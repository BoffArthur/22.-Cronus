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209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CB11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BV40" i="6" s="1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BV39" i="6" s="1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BV38" i="6" s="1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BV37" i="6" s="1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BV36" i="6" s="1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BV35" i="6" s="1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BV34" i="6" s="1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BV33" i="6" s="1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BV32" i="6" s="1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BV31" i="6" s="1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BV30" i="6" s="1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BV29" i="6" s="1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BV28" i="6" s="1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BV27" i="6" s="1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BV26" i="6" s="1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BV25" i="6" s="1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BV24" i="6" s="1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BV23" i="6" s="1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BV22" i="6" s="1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BV21" i="6" s="1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BV20" i="6" s="1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BV19" i="6" s="1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BV18" i="6" s="1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BV17" i="6" s="1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22" i="6" l="1"/>
  <c r="CG9" i="6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<sst xmlns="http://schemas.openxmlformats.org/spreadsheetml/2006/main" count="3290" uniqueCount="1086">
  <si>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</si>
  <si>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</si>
  <si>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</si>
  <si>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</si>
  <si>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</si>
  <si>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</si>
  <si>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</si>
  <si>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</si>
  <si>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</si>
  <si>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</si>
  <si>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</si>
  <si>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</si>
  <si>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</si>
  <si>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</si>
  <si>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</si>
  <si>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</si>
  <si>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</si>
  <si>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</si>
  <si>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</si>
  <si>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</si>
  <si>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</si>
  <si>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</si>
  <si>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</si>
  <si>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</si>
  <si>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</si>
  <si>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</si>
  <si>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</si>
  <si>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</si>
  <si>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</si>
  <si>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</si>
  <si>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</si>
  <si>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</si>
  <si>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</si>
  <si>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</si>
  <si>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</si>
  <si>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</si>
  <si>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</si>
  <si>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</si>
  <si>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</si>
  <si>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</si>
  <si>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</si>
  <si>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</si>
  <si>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</si>
  <si>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</si>
  <si>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</si>
  <si>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</si>
  <si>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</si>
  <si>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</si>
  <si>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</si>
  <si>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</si>
  <si>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</si>
  <si>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</si>
  <si>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</si>
  <si>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</si>
  <si>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</si>
  <si>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</si>
  <si>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</si>
  <si>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</si>
  <si>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</si>
  <si>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</si>
  <si>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</si>
  <si>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</si>
  <si>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</si>
  <si>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</si>
  <si>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</si>
  <si>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</si>
  <si>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</si>
  <si>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</si>
  <si>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</si>
  <si>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</si>
  <si>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</si>
  <si>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</si>
  <si>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</si>
  <si>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</si>
  <si>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</si>
  <si>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</si>
  <si>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</si>
  <si>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</si>
  <si>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</si>
  <si>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</si>
  <si>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</si>
  <si>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</si>
  <si>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</si>
  <si>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</si>
  <si>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</si>
  <si>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</si>
  <si>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</si>
  <si>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</si>
  <si>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</si>
  <si>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</si>
  <si>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</si>
  <si>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</si>
  <si>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</si>
  <si>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</si>
  <si>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</si>
  <si>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</si>
  <si>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</si>
  <si>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</si>
  <si>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</si>
  <si>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</si>
  <si>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</si>
  <si>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</si>
  <si>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</si>
  <si>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</si>
  <si>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</si>
  <si>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</si>
  <si>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</si>
  <si>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</si>
  <si>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</si>
  <si>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</si>
  <si>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</si>
  <si>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</si>
  <si>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</si>
  <si>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</si>
  <si>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</si>
  <si>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</si>
  <si>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</si>
  <si>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</si>
  <si>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</si>
  <si>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</si>
  <si>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</si>
  <si>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</si>
  <si>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</si>
  <si>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</si>
  <si>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</si>
  <si>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</si>
  <si>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</si>
  <si>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</si>
  <si>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</si>
  <si>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</si>
  <si>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</si>
  <si>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</si>
  <si>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</si>
  <si>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</si>
  <si>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</si>
  <si>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</si>
  <si>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</si>
  <si>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</si>
  <si>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</si>
  <si>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</si>
  <si>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</si>
  <si>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</si>
  <si>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</si>
  <si>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</si>
  <si>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</si>
  <si>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</si>
  <si>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</si>
  <si>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</si>
  <si>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</si>
  <si>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</si>
  <si>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</si>
  <si>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</si>
  <si>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</si>
  <si>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</si>
  <si>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</si>
  <si>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</si>
  <si>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</si>
  <si>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</si>
  <si>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</si>
  <si>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</si>
  <si>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</si>
  <si>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</si>
  <si>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</si>
  <si>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</si>
  <si>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</si>
  <si>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</si>
  <si>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</si>
  <si>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</si>
  <si>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</si>
  <si>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</si>
  <si>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</si>
  <si>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</si>
  <si>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</si>
  <si>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</si>
  <si>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</si>
  <si>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</si>
  <si>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</si>
  <si>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</si>
  <si>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</si>
  <si>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</si>
  <si>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</si>
  <si>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</si>
  <si>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</si>
  <si>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</si>
  <si>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</si>
  <si>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</si>
  <si>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</si>
  <si>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</si>
  <si>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</si>
  <si>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</si>
  <si>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</si>
  <si>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</si>
  <si>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</si>
  <si>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</si>
  <si>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</si>
  <si>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</si>
  <si>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</si>
  <si>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</si>
  <si>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</si>
  <si>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</si>
  <si>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</si>
  <si>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</si>
  <si>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</si>
  <si>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</si>
  <si>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</si>
  <si>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</si>
  <si>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</si>
  <si>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</si>
  <si>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</si>
  <si>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</si>
  <si>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</si>
  <si>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</si>
  <si>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</si>
  <si>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</si>
  <si>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</si>
  <si>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</si>
  <si>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</si>
  <si>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</si>
  <si>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</si>
  <si>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</si>
  <si>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</si>
  <si>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</si>
  <si>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</si>
  <si>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</si>
  <si>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</si>
  <si>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</si>
  <si>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</si>
  <si>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</si>
  <si>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</si>
  <si>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</si>
  <si>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</si>
  <si>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</si>
  <si>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</si>
  <si>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</si>
  <si>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</si>
  <si>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</si>
  <si>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</si>
  <si>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</si>
  <si>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</si>
  <si>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</si>
  <si>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</si>
  <si>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</si>
  <si>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</si>
  <si>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</si>
  <si>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</si>
  <si>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</si>
  <si>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</si>
  <si>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</si>
  <si>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</si>
  <si>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</si>
  <si>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</si>
  <si>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</si>
  <si>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</si>
  <si>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</si>
  <si>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</si>
  <si>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</si>
  <si>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</si>
  <si>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</si>
  <si>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</si>
  <si>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</si>
  <si>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</si>
  <si>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</si>
  <si>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</si>
  <si>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</si>
  <si>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</si>
  <si>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</si>
  <si>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</si>
  <si>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</si>
  <si>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</si>
  <si>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</si>
  <si>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</si>
  <si>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</si>
  <si>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</si>
  <si>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</si>
  <si>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</si>
  <si>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</si>
  <si>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</si>
  <si>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</si>
  <si>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</si>
  <si>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</si>
  <si>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</si>
  <si>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</si>
  <si>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</si>
  <si>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</si>
  <si>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</si>
  <si>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</si>
  <si>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</si>
  <si>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</si>
  <si>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</si>
  <si>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</si>
  <si>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</si>
  <si>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</si>
  <si>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</si>
  <si>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</si>
  <si>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</si>
  <si>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</si>
  <si>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</si>
  <si>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</si>
  <si>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</si>
  <si>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</si>
  <si>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</si>
  <si>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</si>
  <si>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</si>
  <si>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</si>
  <si>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</si>
  <si>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</si>
  <si>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</si>
  <si>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</si>
  <si>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</si>
  <si>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</si>
  <si>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</si>
  <si>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</si>
  <si>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</si>
  <si>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</si>
  <si>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</si>
  <si>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</si>
  <si>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</si>
  <si>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</si>
  <si>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</si>
  <si>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</si>
  <si>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</si>
  <si>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</si>
  <si>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</si>
  <si>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</si>
  <si>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</si>
  <si>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</si>
  <si>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</si>
  <si>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</si>
  <si>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</si>
  <si>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</si>
  <si>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</si>
  <si>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</si>
  <si>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</si>
  <si>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</si>
  <si>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</si>
  <si>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</si>
  <si>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</si>
  <si>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</si>
  <si>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</si>
  <si>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</si>
  <si>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</si>
  <si>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</si>
  <si>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</si>
  <si>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</si>
  <si>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</si>
  <si>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</si>
  <si>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</si>
  <si>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</si>
  <si>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</si>
  <si>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</si>
  <si>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</si>
  <si>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</si>
  <si>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</si>
  <si>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</si>
  <si>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</si>
  <si>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</si>
  <si>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</si>
  <si>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</si>
  <si>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</si>
  <si>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</si>
  <si>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</si>
  <si>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</si>
  <si>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</si>
  <si>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</si>
  <si>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</si>
  <si>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</si>
  <si>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</si>
  <si>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</si>
  <si>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</si>
  <si>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</si>
  <si>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</si>
  <si>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</si>
  <si>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</si>
  <si>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</si>
  <si>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</si>
  <si>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</si>
  <si>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</si>
  <si>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</si>
  <si>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</si>
  <si>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</si>
  <si>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</si>
  <si>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</si>
  <si>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</si>
  <si>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</si>
  <si>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</si>
  <si>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</si>
  <si>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</si>
  <si>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</si>
  <si>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</si>
  <si>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</si>
  <si>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</si>
  <si>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</si>
  <si>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</si>
  <si>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</si>
  <si>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</si>
  <si>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</si>
  <si>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</si>
  <si>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</si>
  <si>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</si>
  <si>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</si>
  <si>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</si>
  <si>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</si>
  <si>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</si>
  <si>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</si>
  <si>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</si>
  <si>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</si>
  <si>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</si>
  <si>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</si>
  <si>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</si>
  <si>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</si>
  <si>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</si>
  <si>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</si>
  <si>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</si>
  <si>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</si>
  <si>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</si>
  <si>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</si>
  <si>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</si>
  <si>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</si>
  <si>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</si>
  <si>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</si>
  <si>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</si>
  <si>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</si>
  <si>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</si>
  <si>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</si>
  <si>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</si>
  <si>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</si>
  <si>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</si>
  <si>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</si>
  <si>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</si>
  <si>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</si>
  <si>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</si>
  <si>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</si>
  <si>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</si>
  <si>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</si>
  <si>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</si>
  <si>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</si>
  <si>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</si>
  <si>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</si>
  <si>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</si>
  <si>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</si>
  <si>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</si>
  <si>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</si>
  <si>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</si>
  <si>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</si>
  <si>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</si>
  <si>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</si>
  <si>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</si>
  <si>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</si>
  <si>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</si>
  <si>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</si>
  <si>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</si>
  <si>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</si>
  <si>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</si>
  <si>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</si>
  <si>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</si>
  <si>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</si>
  <si>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</si>
  <si>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</si>
  <si>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</si>
  <si>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</si>
  <si>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</si>
  <si>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</si>
  <si>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</si>
  <si>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</si>
  <si>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</si>
  <si>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</si>
  <si>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</si>
  <si>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</si>
  <si>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</si>
  <si>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</si>
  <si>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</si>
  <si>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</si>
  <si>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</si>
  <si>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</si>
  <si>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</si>
  <si>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</si>
  <si>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</si>
  <si>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</si>
  <si>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</si>
  <si>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</si>
  <si>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</si>
  <si>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</si>
  <si>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</si>
  <si>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</si>
  <si>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</si>
  <si>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</si>
  <si>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</si>
  <si>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</si>
  <si>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</si>
  <si>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</si>
  <si>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</si>
  <si>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</si>
  <si>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</si>
  <si>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</si>
  <si>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</si>
  <si>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</si>
  <si>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</si>
  <si>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</si>
  <si>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</si>
  <si>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</si>
  <si>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</si>
  <si>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</si>
  <si>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</si>
  <si>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</si>
  <si>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</si>
  <si>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</si>
  <si>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</si>
  <si>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</si>
  <si>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</si>
  <si>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</si>
  <si>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</si>
  <si>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</si>
  <si>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</si>
  <si>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</si>
  <si>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</si>
  <si>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</si>
  <si>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</si>
  <si>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</si>
  <si>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</si>
  <si>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</si>
  <si>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</si>
  <si>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</si>
  <si>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</si>
  <si>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</si>
  <si>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</si>
  <si>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</si>
  <si>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</si>
  <si>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</si>
  <si>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</si>
  <si>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</si>
  <si>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</si>
  <si>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</si>
  <si>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</si>
  <si>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</si>
  <si>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</si>
  <si>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</si>
  <si>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</si>
  <si>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</si>
  <si>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</si>
  <si>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</si>
  <si>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</si>
  <si>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</si>
  <si>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</si>
  <si>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</si>
  <si>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</si>
  <si>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</si>
  <si>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</si>
  <si>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</si>
  <si>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</si>
  <si>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</si>
  <si>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</si>
  <si>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</si>
  <si>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</si>
  <si>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</si>
  <si>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</si>
  <si>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</si>
  <si>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</si>
  <si>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</si>
  <si>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</si>
  <si>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</si>
  <si>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</si>
  <si>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</si>
  <si>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</si>
  <si>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</si>
  <si>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</si>
  <si>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</si>
  <si>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</si>
  <si>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</si>
  <si>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</si>
  <si>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</si>
  <si>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</si>
  <si>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</si>
  <si>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</si>
  <si>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</si>
  <si>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</si>
  <si>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</si>
  <si>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</si>
  <si>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</si>
  <si>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</si>
  <si>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</si>
  <si>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</si>
  <si>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</si>
  <si>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</si>
  <si>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</si>
  <si>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</si>
  <si>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</si>
  <si>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</si>
  <si>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</si>
  <si>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</si>
  <si>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</si>
  <si>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</si>
  <si>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</si>
  <si>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</si>
  <si>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</si>
  <si>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</si>
  <si>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</si>
  <si>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</si>
  <si>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</si>
  <si>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</si>
  <si>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</si>
  <si>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</si>
  <si>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</si>
  <si>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</si>
  <si>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</si>
  <si>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</si>
  <si>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</si>
  <si>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</si>
  <si>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</si>
  <si>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</si>
  <si>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</si>
  <si>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</si>
  <si>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</si>
  <si>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</si>
  <si>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</si>
  <si>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</si>
  <si>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</si>
  <si>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</si>
  <si>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</si>
  <si>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</si>
  <si>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</si>
  <si>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</si>
  <si>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</si>
  <si>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</si>
  <si>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</si>
  <si>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</si>
  <si>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</si>
  <si>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</si>
  <si>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</si>
  <si>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</si>
  <si>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</si>
  <si>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</si>
  <si>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</si>
  <si>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</si>
  <si>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</si>
  <si>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</si>
  <si>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</si>
  <si>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</si>
  <si>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</si>
  <si>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</si>
  <si>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</si>
  <si>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</si>
  <si>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</si>
  <si>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</si>
  <si>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</si>
  <si>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</si>
  <si>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</si>
  <si>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</si>
  <si>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</si>
  <si>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</si>
  <si>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</si>
  <si>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</si>
  <si>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</si>
  <si>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</si>
  <si>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</si>
  <si>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</si>
  <si>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</si>
  <si>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</si>
  <si>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</si>
  <si>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</si>
  <si>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</si>
  <si>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</si>
  <si>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</si>
  <si>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</si>
  <si>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</si>
  <si>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</si>
  <si>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</si>
  <si>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</si>
  <si>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</si>
  <si>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</si>
  <si>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</si>
  <si>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</si>
  <si>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</si>
  <si>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</si>
  <si>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</si>
  <si>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</si>
  <si>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</si>
  <si>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</si>
  <si>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</si>
  <si>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</si>
  <si>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</si>
  <si>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</si>
  <si>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</si>
  <si>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</si>
  <si>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</si>
  <si>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</si>
  <si>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</si>
  <si>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</si>
  <si>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</si>
  <si>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</si>
  <si>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</si>
  <si>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</si>
  <si>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</si>
  <si>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</si>
  <si>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</si>
  <si>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</si>
  <si>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</si>
  <si>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</si>
  <si>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</si>
  <si>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</si>
  <si>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</si>
  <si>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</si>
  <si>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</si>
  <si>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</si>
  <si>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</si>
  <si>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</si>
  <si>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</si>
  <si>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</si>
  <si>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</si>
  <si>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</si>
  <si>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</si>
  <si>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</si>
  <si>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</si>
  <si>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</si>
  <si>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</si>
  <si>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</si>
  <si>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</si>
  <si>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</si>
  <si>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</si>
  <si>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</si>
  <si>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</si>
  <si>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</si>
  <si>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</si>
  <si>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</si>
  <si>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</si>
  <si>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</si>
  <si>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</si>
  <si>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</si>
  <si>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</si>
  <si>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</si>
  <si>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</si>
  <si>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</si>
  <si>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</si>
  <si>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</si>
  <si>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</si>
  <si>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</si>
  <si>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</si>
  <si>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</si>
  <si>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</si>
  <si>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</si>
  <si>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</si>
  <si>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</si>
  <si>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</si>
  <si>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</si>
  <si>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</si>
  <si>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</si>
  <si>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</si>
  <si>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</si>
  <si>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</si>
  <si>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</si>
  <si>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</si>
  <si>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</si>
  <si>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</si>
  <si>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</si>
  <si>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</si>
  <si>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</si>
  <si>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</si>
  <si>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</si>
  <si>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</si>
  <si>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</si>
  <si>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</si>
  <si>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</si>
  <si>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</si>
  <si>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</si>
  <si>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</si>
  <si>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</si>
  <si>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</si>
  <si>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</si>
  <si>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</si>
  <si>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</si>
  <si>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</si>
  <si>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</si>
  <si>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</si>
  <si>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</si>
  <si>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</si>
  <si>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</si>
  <si>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</si>
  <si>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</si>
  <si>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</si>
  <si>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</si>
  <si>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</si>
  <si>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</si>
  <si>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</si>
  <si>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</si>
  <si>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</si>
  <si>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</si>
  <si>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</si>
  <si>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</si>
  <si>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</si>
  <si>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</si>
  <si>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</si>
  <si>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</si>
  <si>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</si>
  <si>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</si>
  <si>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</si>
  <si>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</si>
  <si>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</si>
  <si>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</si>
  <si>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</si>
  <si>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</si>
  <si>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</si>
  <si>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</si>
  <si>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</si>
  <si>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</si>
  <si>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</si>
  <si>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</si>
  <si>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</si>
  <si>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</si>
  <si>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</si>
  <si>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</si>
  <si>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</si>
  <si>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</si>
  <si>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</si>
  <si>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</si>
  <si>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</si>
  <si>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</si>
  <si>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</si>
  <si>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</si>
  <si>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</si>
  <si>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</si>
  <si>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</si>
  <si>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</si>
  <si>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</si>
  <si>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</si>
  <si>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</si>
  <si>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</si>
  <si>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</si>
  <si>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</si>
  <si>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</si>
  <si>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</si>
  <si>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</si>
  <si>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</si>
  <si>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</si>
  <si>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</si>
  <si>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</si>
  <si>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</si>
  <si>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</si>
  <si>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</si>
  <si>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</si>
  <si>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</si>
  <si>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</si>
  <si>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</si>
  <si>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</si>
  <si>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</si>
  <si>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</si>
  <si>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</si>
  <si>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</si>
  <si>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</si>
  <si>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</si>
  <si>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</si>
  <si>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</si>
  <si>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</si>
  <si>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</si>
  <si>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</si>
  <si>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</si>
  <si>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</si>
  <si>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</si>
  <si>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</si>
  <si>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</si>
  <si>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</si>
  <si>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</si>
  <si>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</si>
  <si>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</si>
  <si>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</si>
  <si>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</si>
  <si>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</si>
  <si>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</si>
  <si>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</si>
  <si>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</si>
  <si>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</si>
  <si>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</si>
  <si>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</si>
  <si>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</si>
  <si>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</si>
  <si>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</si>
  <si>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</si>
  <si>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</si>
  <si>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</si>
  <si>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</si>
  <si>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</si>
  <si>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</si>
  <si>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</si>
  <si>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</si>
  <si>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</si>
  <si>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</si>
  <si>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</si>
  <si>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</si>
  <si>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</si>
  <si>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</si>
  <si>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</si>
  <si>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</si>
  <si>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</si>
  <si>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</si>
  <si>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</si>
  <si>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</si>
  <si>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</si>
  <si>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</si>
  <si>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</si>
  <si>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</si>
  <si>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</si>
  <si>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</si>
  <si>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</si>
  <si>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</si>
  <si>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</si>
  <si>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</si>
  <si>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</si>
  <si>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</si>
  <si>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</si>
  <si>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</si>
  <si>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</si>
  <si>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</si>
  <si>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</si>
  <si>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</si>
  <si>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</si>
  <si>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</si>
  <si>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</si>
  <si>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</si>
  <si>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</si>
  <si>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</si>
  <si>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</si>
  <si>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</si>
  <si>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</si>
  <si>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</si>
  <si>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</si>
  <si>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</si>
  <si>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</si>
  <si>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</si>
  <si>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</si>
  <si>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</si>
  <si>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</si>
  <si>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</si>
  <si>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</si>
  <si>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</si>
  <si>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</si>
  <si>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</si>
  <si>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</si>
  <si>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</si>
  <si>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</si>
  <si>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</si>
  <si>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</si>
  <si>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</si>
  <si>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</si>
  <si>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</si>
  <si>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</si>
  <si>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</si>
  <si>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</si>
  <si>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</si>
  <si>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</si>
  <si>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</si>
  <si>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</si>
  <si>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</si>
  <si>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</si>
  <si>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</si>
  <si>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</si>
  <si>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</si>
  <si>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</si>
  <si>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</si>
  <si>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</si>
  <si>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</si>
  <si>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</si>
  <si>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</si>
  <si>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</si>
  <si>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</si>
  <si>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</si>
  <si>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</si>
  <si>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</si>
  <si>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</si>
  <si>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</si>
  <si>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</si>
  <si>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</si>
  <si>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</si>
  <si>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</si>
  <si>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</si>
  <si>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</si>
  <si>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</si>
  <si>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</si>
  <si>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</si>
  <si>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</si>
  <si>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</si>
  <si>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</si>
  <si>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</si>
  <si>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</si>
  <si>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</si>
  <si>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</si>
  <si>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</si>
  <si>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</si>
  <si>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</si>
  <si>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</si>
  <si>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</si>
  <si>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</si>
  <si>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</si>
  <si>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</si>
  <si>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</si>
  <si>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</si>
  <si>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</si>
  <si>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</si>
  <si>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</si>
  <si>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</si>
  <si>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</si>
  <si>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</si>
  <si>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</si>
  <si>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</si>
  <si>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</si>
  <si>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</si>
  <si>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</si>
  <si>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</si>
  <si>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</si>
  <si>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</si>
  <si>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</si>
  <si>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</si>
  <si>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</si>
  <si>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</si>
  <si>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</si>
  <si>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</si>
  <si>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</si>
  <si>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</si>
  <si>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</si>
  <si>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</si>
  <si>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</si>
  <si>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</si>
  <si>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</si>
  <si>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</si>
  <si>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</si>
  <si>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</si>
  <si>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</si>
  <si>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</si>
  <si>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</si>
  <si>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</si>
  <si>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</si>
  <si>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</si>
  <si>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</si>
  <si>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</si>
  <si>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</si>
  <si>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</si>
  <si>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</si>
  <si>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</si>
  <si>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</si>
  <si>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</si>
  <si>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</si>
  <si>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</si>
  <si>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</si>
  <si>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</si>
  <si>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</si>
  <si>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</si>
  <si>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</si>
  <si>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</si>
  <si>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</si>
  <si>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</si>
  <si>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</si>
  <si>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</si>
  <si>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</si>
  <si>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</si>
  <si>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</si>
  <si>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</si>
  <si>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</si>
  <si>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</si>
  <si>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</si>
  <si>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</si>
  <si>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</si>
  <si>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</si>
  <si>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</si>
  <si>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</si>
  <si>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</si>
  <si>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</si>
  <si>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</si>
  <si>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</si>
  <si>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</si>
  <si>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</si>
  <si>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</si>
  <si>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</si>
  <si>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</si>
  <si>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</si>
  <si>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</si>
  <si>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</si>
  <si>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</si>
  <si>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</si>
  <si>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</si>
  <si>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</si>
  <si>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</si>
  <si>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</si>
  <si>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</si>
  <si>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</si>
  <si>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</si>
  <si>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</si>
  <si>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</si>
  <si>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</si>
  <si>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M059974004750 não está atualizado no centro 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</si>
</sst>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4"/>
      <tableStyleElement type="headerRow" dxfId="1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5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DZ5" sqref="D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IF(IFERROR(INDEX(Consulta!$A:$DN,MATCH('ZM01'!$C5,Consulta!$D:$D,0),'ZM01'!F$2),"")=0,"",IFERROR(INDEX(Consulta!$A:$DN,MATCH('ZM01'!$C5,Consulta!$D:$D,0),'ZM01'!F$2),""))</f>
        <v/>
      </c>
      <c r="G5" s="43" t="str">
        <f>IF(IFERROR(INDEX(Consulta!$A:$DN,MATCH('ZM01'!$C5,Consulta!$D:$D,0),'ZM01'!G$2),"")=0,"",IFERROR(INDEX(Consulta!$A:$DN,MATCH('ZM01'!$C5,Consulta!$D:$D,0),'ZM01'!G$2),""))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/>
      </c>
      <c r="K5" s="43" t="str">
        <f>IF(IFERROR(INDEX(Consulta!$A:$DN,MATCH('ZM01'!$C5,Consulta!$D:$D,0),'ZM01'!K$2),"")=0,"",IFERROR(INDEX(Consulta!$A:$DN,MATCH('ZM01'!$C5,Consulta!$D:$D,0),'ZM01'!K$2),""))</f>
        <v/>
      </c>
      <c r="L5" s="43" t="str">
        <f>J5</f>
        <v/>
      </c>
      <c r="M5" s="43" t="str">
        <f>IF(IFERROR(INDEX(Consulta!$A:$DN,MATCH('ZM01'!$C5,Consulta!$D:$D,0),'ZM01'!M$2),"")=0,"",IFERROR(INDEX(Consulta!$A:$DN,MATCH('ZM01'!$C5,Consulta!$D:$D,0),'ZM01'!M$2),""))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/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IF(IFERROR(ROUND(INDEX(Consulta!$A:$DN,MATCH('ZM01'!$C5,Consulta!$D:$D,0),'ZM01'!AZ$2),3),"")=0,"",IFERROR(ROUND(INDEX(Consulta!$A:$DN,MATCH('ZM01'!$C5,Consulta!$D:$D,0),'ZM01'!AZ$2),3),""))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>
        <v>99</v>
      </c>
      <c r="BR5" s="46" t="str">
        <f ca="1">IF(BQ5&lt;&gt;0,TEXT(TODAY(),"DD.MM.AAAA"),"")</f>
        <v>13.04.2022</v>
      </c>
      <c r="BS5" s="49" t="str">
        <f>J5</f>
        <v/>
      </c>
      <c r="BT5" s="50">
        <v>1</v>
      </c>
      <c r="BU5" s="50" t="s">
        <v>194</v>
      </c>
      <c r="BV5" s="90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IF(IFERROR(INDEX(Consulta!$A:$DN,MATCH('ZM01'!$C5,Consulta!$D:$D,0),'ZM01'!DA$2),"")=0,"",IFERROR(INDEX(Consulta!$A:$DN,MATCH('ZM01'!$C5,Consulta!$D:$D,0),'ZM01'!DA$2),""))</f>
        <v/>
      </c>
      <c r="DB5" s="43" t="str">
        <f>IF(IFERROR(INDEX(Consulta!$A:$DN,MATCH('ZM01'!$C5,Consulta!$D:$D,0),'ZM01'!DB$2),"")=0,"",IFERROR(INDEX(Consulta!$A:$DN,MATCH('ZM01'!$C5,Consulta!$D:$D,0),'ZM01'!DB$2),""))</f>
        <v/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/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/>
      </c>
      <c r="DI5" s="43" t="str">
        <f ca="1">IF(DH5&lt;&gt;0,TEXT(TODAY(),"dd.mm.aaaa"),"")</f>
        <v>13.04.2022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>
        <v>99</v>
      </c>
      <c r="BR6" s="46" t="str">
        <f t="shared" ref="BR6:BR7" ca="1" si="12">IF(BQ6&lt;&gt;0,TEXT(TODAY(),"DD.MM.AAAA"),"")</f>
        <v>13.04.2022</v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13.04.2022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>
        <v>99</v>
      </c>
      <c r="BR7" s="46" t="str">
        <f t="shared" ca="1" si="12"/>
        <v>13.04.2022</v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13.04.2022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40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>
        <v>99</v>
      </c>
      <c r="BR8" s="46" t="str">
        <f t="shared" ref="BR8:BR40" ca="1" si="46">IF(BQ8&lt;&gt;0,TEXT(TODAY(),"DD.MM.AAAA"),"")</f>
        <v>13.04.2022</v>
      </c>
      <c r="BS8" s="49" t="str">
        <f t="shared" ref="BS8:BS40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40" ca="1" si="51">IF(DH8&lt;&gt;0,TEXT(TODAY(),"dd.mm.aaaa"),"")</f>
        <v>13.04.2022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>
        <v>99</v>
      </c>
      <c r="BR9" s="46" t="str">
        <f t="shared" ca="1" si="46"/>
        <v>13.04.2022</v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13.04.2022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>
        <v>99</v>
      </c>
      <c r="BR10" s="46" t="str">
        <f t="shared" ca="1" si="46"/>
        <v>13.04.2022</v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13.04.2022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>
        <v>99</v>
      </c>
      <c r="BR11" s="46" t="str">
        <f t="shared" ca="1" si="46"/>
        <v>13.04.2022</v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13.04.2022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>
        <v>99</v>
      </c>
      <c r="BR12" s="46" t="str">
        <f t="shared" ca="1" si="46"/>
        <v>13.04.2022</v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13.04.2022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>
        <v>99</v>
      </c>
      <c r="BR13" s="46" t="str">
        <f t="shared" ca="1" si="46"/>
        <v>13.04.2022</v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13.04.2022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>
        <v>99</v>
      </c>
      <c r="BR14" s="46" t="str">
        <f t="shared" ca="1" si="46"/>
        <v>13.04.2022</v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13.04.2022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>
        <v>99</v>
      </c>
      <c r="BR15" s="46" t="str">
        <f t="shared" ca="1" si="46"/>
        <v>13.04.2022</v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13.04.2022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>
        <v>99</v>
      </c>
      <c r="BR16" s="46" t="str">
        <f t="shared" ca="1" si="46"/>
        <v>13.04.2022</v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13.04.2022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si="39"/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>
        <v>99</v>
      </c>
      <c r="BR17" s="46" t="str">
        <f t="shared" ca="1" si="46"/>
        <v>13.04.2022</v>
      </c>
      <c r="BS17" s="49" t="str">
        <f t="shared" si="47"/>
        <v/>
      </c>
      <c r="BT17" s="50">
        <v>1</v>
      </c>
      <c r="BU17" s="50" t="s">
        <v>194</v>
      </c>
      <c r="BV17" s="90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si="50"/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ca="1" si="51"/>
        <v>13.04.2022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39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>
        <v>99</v>
      </c>
      <c r="BR18" s="46" t="str">
        <f t="shared" ca="1" si="46"/>
        <v>13.04.2022</v>
      </c>
      <c r="BS18" s="49" t="str">
        <f t="shared" si="47"/>
        <v/>
      </c>
      <c r="BT18" s="50">
        <v>1</v>
      </c>
      <c r="BU18" s="50" t="s">
        <v>194</v>
      </c>
      <c r="BV18" s="90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50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51"/>
        <v>13.04.2022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39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>
        <v>99</v>
      </c>
      <c r="BR19" s="46" t="str">
        <f t="shared" ca="1" si="46"/>
        <v>13.04.2022</v>
      </c>
      <c r="BS19" s="49" t="str">
        <f t="shared" si="47"/>
        <v/>
      </c>
      <c r="BT19" s="50">
        <v>1</v>
      </c>
      <c r="BU19" s="50" t="s">
        <v>194</v>
      </c>
      <c r="BV19" s="90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50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51"/>
        <v>13.04.2022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39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>
        <v>99</v>
      </c>
      <c r="BR20" s="46" t="str">
        <f t="shared" ca="1" si="46"/>
        <v>13.04.2022</v>
      </c>
      <c r="BS20" s="49" t="str">
        <f t="shared" si="47"/>
        <v/>
      </c>
      <c r="BT20" s="50">
        <v>1</v>
      </c>
      <c r="BU20" s="50" t="s">
        <v>194</v>
      </c>
      <c r="BV20" s="90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50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51"/>
        <v>13.04.2022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39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>
        <v>99</v>
      </c>
      <c r="BR21" s="46" t="str">
        <f t="shared" ca="1" si="46"/>
        <v>13.04.2022</v>
      </c>
      <c r="BS21" s="49" t="str">
        <f t="shared" si="47"/>
        <v/>
      </c>
      <c r="BT21" s="50">
        <v>1</v>
      </c>
      <c r="BU21" s="50" t="s">
        <v>194</v>
      </c>
      <c r="BV21" s="90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50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51"/>
        <v>13.04.2022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39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>
        <v>99</v>
      </c>
      <c r="BR22" s="46" t="str">
        <f t="shared" ca="1" si="46"/>
        <v>13.04.2022</v>
      </c>
      <c r="BS22" s="49" t="str">
        <f t="shared" si="47"/>
        <v/>
      </c>
      <c r="BT22" s="50">
        <v>1</v>
      </c>
      <c r="BU22" s="50" t="s">
        <v>194</v>
      </c>
      <c r="BV22" s="90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50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51"/>
        <v>13.04.2022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39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>
        <v>99</v>
      </c>
      <c r="BR23" s="46" t="str">
        <f t="shared" ca="1" si="46"/>
        <v>13.04.2022</v>
      </c>
      <c r="BS23" s="49" t="str">
        <f t="shared" si="47"/>
        <v/>
      </c>
      <c r="BT23" s="50">
        <v>1</v>
      </c>
      <c r="BU23" s="50" t="s">
        <v>194</v>
      </c>
      <c r="BV23" s="90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50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51"/>
        <v>13.04.2022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39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>
        <v>99</v>
      </c>
      <c r="BR24" s="46" t="str">
        <f t="shared" ca="1" si="46"/>
        <v>13.04.2022</v>
      </c>
      <c r="BS24" s="49" t="str">
        <f t="shared" si="47"/>
        <v/>
      </c>
      <c r="BT24" s="50">
        <v>1</v>
      </c>
      <c r="BU24" s="50" t="s">
        <v>194</v>
      </c>
      <c r="BV24" s="90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50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51"/>
        <v>13.04.2022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39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>
        <v>99</v>
      </c>
      <c r="BR25" s="46" t="str">
        <f t="shared" ca="1" si="46"/>
        <v>13.04.2022</v>
      </c>
      <c r="BS25" s="49" t="str">
        <f t="shared" si="47"/>
        <v/>
      </c>
      <c r="BT25" s="50">
        <v>1</v>
      </c>
      <c r="BU25" s="50" t="s">
        <v>194</v>
      </c>
      <c r="BV25" s="90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50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51"/>
        <v>13.04.2022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39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>
        <v>99</v>
      </c>
      <c r="BR26" s="46" t="str">
        <f t="shared" ca="1" si="46"/>
        <v>13.04.2022</v>
      </c>
      <c r="BS26" s="49" t="str">
        <f t="shared" si="47"/>
        <v/>
      </c>
      <c r="BT26" s="50">
        <v>1</v>
      </c>
      <c r="BU26" s="50" t="s">
        <v>194</v>
      </c>
      <c r="BV26" s="90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50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51"/>
        <v>13.04.2022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39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>
        <v>99</v>
      </c>
      <c r="BR27" s="46" t="str">
        <f t="shared" ca="1" si="46"/>
        <v>13.04.2022</v>
      </c>
      <c r="BS27" s="49" t="str">
        <f t="shared" si="47"/>
        <v/>
      </c>
      <c r="BT27" s="50">
        <v>1</v>
      </c>
      <c r="BU27" s="50" t="s">
        <v>194</v>
      </c>
      <c r="BV27" s="90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50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51"/>
        <v>13.04.2022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39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>
        <v>99</v>
      </c>
      <c r="BR28" s="46" t="str">
        <f t="shared" ca="1" si="46"/>
        <v>13.04.2022</v>
      </c>
      <c r="BS28" s="49" t="str">
        <f t="shared" si="47"/>
        <v/>
      </c>
      <c r="BT28" s="50">
        <v>1</v>
      </c>
      <c r="BU28" s="50" t="s">
        <v>194</v>
      </c>
      <c r="BV28" s="90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50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51"/>
        <v>13.04.2022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39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>
        <v>99</v>
      </c>
      <c r="BR29" s="46" t="str">
        <f t="shared" ca="1" si="46"/>
        <v>13.04.2022</v>
      </c>
      <c r="BS29" s="49" t="str">
        <f t="shared" si="47"/>
        <v/>
      </c>
      <c r="BT29" s="50">
        <v>1</v>
      </c>
      <c r="BU29" s="50" t="s">
        <v>194</v>
      </c>
      <c r="BV29" s="90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50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51"/>
        <v>13.04.2022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39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>
        <v>99</v>
      </c>
      <c r="BR30" s="46" t="str">
        <f t="shared" ca="1" si="46"/>
        <v>13.04.2022</v>
      </c>
      <c r="BS30" s="49" t="str">
        <f t="shared" si="47"/>
        <v/>
      </c>
      <c r="BT30" s="50">
        <v>1</v>
      </c>
      <c r="BU30" s="50" t="s">
        <v>194</v>
      </c>
      <c r="BV30" s="90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50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51"/>
        <v>13.04.2022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39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>
        <v>99</v>
      </c>
      <c r="BR31" s="46" t="str">
        <f t="shared" ca="1" si="46"/>
        <v>13.04.2022</v>
      </c>
      <c r="BS31" s="49" t="str">
        <f t="shared" si="47"/>
        <v/>
      </c>
      <c r="BT31" s="50">
        <v>1</v>
      </c>
      <c r="BU31" s="50" t="s">
        <v>194</v>
      </c>
      <c r="BV31" s="90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50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51"/>
        <v>13.04.2022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39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>
        <v>99</v>
      </c>
      <c r="BR32" s="46" t="str">
        <f t="shared" ca="1" si="46"/>
        <v>13.04.2022</v>
      </c>
      <c r="BS32" s="49" t="str">
        <f t="shared" si="47"/>
        <v/>
      </c>
      <c r="BT32" s="50">
        <v>1</v>
      </c>
      <c r="BU32" s="50" t="s">
        <v>194</v>
      </c>
      <c r="BV32" s="90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50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51"/>
        <v>13.04.2022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39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>
        <v>99</v>
      </c>
      <c r="BR33" s="46" t="str">
        <f t="shared" ca="1" si="46"/>
        <v>13.04.2022</v>
      </c>
      <c r="BS33" s="49" t="str">
        <f t="shared" si="47"/>
        <v/>
      </c>
      <c r="BT33" s="50">
        <v>1</v>
      </c>
      <c r="BU33" s="50" t="s">
        <v>194</v>
      </c>
      <c r="BV33" s="90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50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51"/>
        <v>13.04.2022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39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>
        <v>99</v>
      </c>
      <c r="BR34" s="46" t="str">
        <f t="shared" ca="1" si="46"/>
        <v>13.04.2022</v>
      </c>
      <c r="BS34" s="49" t="str">
        <f t="shared" si="47"/>
        <v/>
      </c>
      <c r="BT34" s="50">
        <v>1</v>
      </c>
      <c r="BU34" s="50" t="s">
        <v>194</v>
      </c>
      <c r="BV34" s="90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50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51"/>
        <v>13.04.2022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39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>
        <v>99</v>
      </c>
      <c r="BR35" s="46" t="str">
        <f t="shared" ca="1" si="46"/>
        <v>13.04.2022</v>
      </c>
      <c r="BS35" s="49" t="str">
        <f t="shared" si="47"/>
        <v/>
      </c>
      <c r="BT35" s="50">
        <v>1</v>
      </c>
      <c r="BU35" s="50" t="s">
        <v>194</v>
      </c>
      <c r="BV35" s="90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50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51"/>
        <v>13.04.2022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39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>
        <v>99</v>
      </c>
      <c r="BR36" s="46" t="str">
        <f t="shared" ca="1" si="46"/>
        <v>13.04.2022</v>
      </c>
      <c r="BS36" s="49" t="str">
        <f t="shared" si="47"/>
        <v/>
      </c>
      <c r="BT36" s="50">
        <v>1</v>
      </c>
      <c r="BU36" s="50" t="s">
        <v>194</v>
      </c>
      <c r="BV36" s="90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50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51"/>
        <v>13.04.2022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39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>
        <v>99</v>
      </c>
      <c r="BR37" s="46" t="str">
        <f t="shared" ca="1" si="46"/>
        <v>13.04.2022</v>
      </c>
      <c r="BS37" s="49" t="str">
        <f t="shared" si="47"/>
        <v/>
      </c>
      <c r="BT37" s="50">
        <v>1</v>
      </c>
      <c r="BU37" s="50" t="s">
        <v>194</v>
      </c>
      <c r="BV37" s="90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50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51"/>
        <v>13.04.2022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39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>
        <v>99</v>
      </c>
      <c r="BR38" s="46" t="str">
        <f t="shared" ca="1" si="46"/>
        <v>13.04.2022</v>
      </c>
      <c r="BS38" s="49" t="str">
        <f t="shared" si="47"/>
        <v/>
      </c>
      <c r="BT38" s="50">
        <v>1</v>
      </c>
      <c r="BU38" s="50" t="s">
        <v>194</v>
      </c>
      <c r="BV38" s="90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50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51"/>
        <v>13.04.2022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39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>
        <v>99</v>
      </c>
      <c r="BR39" s="46" t="str">
        <f t="shared" ca="1" si="46"/>
        <v>13.04.2022</v>
      </c>
      <c r="BS39" s="49" t="str">
        <f t="shared" si="47"/>
        <v/>
      </c>
      <c r="BT39" s="50">
        <v>1</v>
      </c>
      <c r="BU39" s="50" t="s">
        <v>194</v>
      </c>
      <c r="BV39" s="90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50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51"/>
        <v>13.04.2022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39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>
        <v>99</v>
      </c>
      <c r="BR40" s="46" t="str">
        <f t="shared" ca="1" si="46"/>
        <v>13.04.2022</v>
      </c>
      <c r="BS40" s="49" t="str">
        <f t="shared" si="47"/>
        <v/>
      </c>
      <c r="BT40" s="50">
        <v>1</v>
      </c>
      <c r="BU40" s="50" t="s">
        <v>194</v>
      </c>
      <c r="BV40" s="90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50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51"/>
        <v>13.04.2022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142" priority="175" operator="beginsWith" text="L">
      <formula>LEFT(B5,LEN("L"))="L"</formula>
    </cfRule>
  </conditionalFormatting>
  <conditionalFormatting sqref="D6">
    <cfRule type="beginsWith" dxfId="141" priority="143" operator="beginsWith" text="L">
      <formula>LEFT(D6,LEN("L"))="L"</formula>
    </cfRule>
  </conditionalFormatting>
  <conditionalFormatting sqref="B6:C6">
    <cfRule type="beginsWith" dxfId="140" priority="113" operator="beginsWith" text="L">
      <formula>LEFT(B6,LEN("L"))="L"</formula>
    </cfRule>
  </conditionalFormatting>
  <conditionalFormatting sqref="F5:F6">
    <cfRule type="beginsWith" dxfId="139" priority="91" operator="beginsWith" text="L">
      <formula>LEFT(F5,LEN("L"))="L"</formula>
    </cfRule>
  </conditionalFormatting>
  <conditionalFormatting sqref="DZ1:DZ6 DZ41:DZ1048576">
    <cfRule type="containsText" dxfId="138" priority="92" operator="containsText" text="criadas">
      <formula>NOT(ISERROR(SEARCH("criadas",DZ1)))</formula>
    </cfRule>
    <cfRule type="containsText" dxfId="137" priority="94" operator="containsText" text="é gravado">
      <formula>NOT(ISERROR(SEARCH("é gravado",DZ1)))</formula>
    </cfRule>
    <cfRule type="containsText" dxfId="136" priority="95" operator="containsText" text="é modificado">
      <formula>NOT(ISERROR(SEARCH("é modificado",DZ1)))</formula>
    </cfRule>
    <cfRule type="containsText" dxfId="135" priority="96" operator="containsText" text="Error">
      <formula>NOT(ISERROR(SEARCH("Error",DZ1)))</formula>
    </cfRule>
    <cfRule type="containsText" dxfId="134" priority="97" operator="containsText" text="é criado">
      <formula>NOT(ISERROR(SEARCH("é criado",DZ1)))</formula>
    </cfRule>
  </conditionalFormatting>
  <conditionalFormatting sqref="G5:G6">
    <cfRule type="beginsWith" dxfId="133" priority="90" operator="beginsWith" text="L">
      <formula>LEFT(G5,LEN("L"))="L"</formula>
    </cfRule>
  </conditionalFormatting>
  <conditionalFormatting sqref="AS5:AS6">
    <cfRule type="beginsWith" dxfId="132" priority="89" operator="beginsWith" text="L">
      <formula>LEFT(AS5,LEN("L"))="L"</formula>
    </cfRule>
  </conditionalFormatting>
  <conditionalFormatting sqref="AV5:AV6">
    <cfRule type="beginsWith" dxfId="131" priority="88" operator="beginsWith" text="L">
      <formula>LEFT(AV5,LEN("L"))="L"</formula>
    </cfRule>
  </conditionalFormatting>
  <conditionalFormatting sqref="AZ5:AZ6">
    <cfRule type="beginsWith" dxfId="130" priority="87" operator="beginsWith" text="L">
      <formula>LEFT(AZ5,LEN("L"))="L"</formula>
    </cfRule>
  </conditionalFormatting>
  <conditionalFormatting sqref="BD5:BD6">
    <cfRule type="beginsWith" dxfId="129" priority="86" operator="beginsWith" text="L">
      <formula>LEFT(BD5,LEN("L"))="L"</formula>
    </cfRule>
  </conditionalFormatting>
  <conditionalFormatting sqref="BP5:BP6">
    <cfRule type="beginsWith" dxfId="128" priority="85" operator="beginsWith" text="L">
      <formula>LEFT(BP5,LEN("L"))="L"</formula>
    </cfRule>
  </conditionalFormatting>
  <conditionalFormatting sqref="CB5:CB6">
    <cfRule type="beginsWith" dxfId="127" priority="84" operator="beginsWith" text="L">
      <formula>LEFT(CB5,LEN("L"))="L"</formula>
    </cfRule>
  </conditionalFormatting>
  <conditionalFormatting sqref="M5:M6">
    <cfRule type="beginsWith" dxfId="126" priority="77" operator="beginsWith" text="L">
      <formula>LEFT(M5,LEN("L"))="L"</formula>
    </cfRule>
  </conditionalFormatting>
  <conditionalFormatting sqref="DE5:DE6">
    <cfRule type="beginsWith" dxfId="125" priority="82" operator="beginsWith" text="L">
      <formula>LEFT(DE5,LEN("L"))="L"</formula>
    </cfRule>
  </conditionalFormatting>
  <conditionalFormatting sqref="N5:N6">
    <cfRule type="beginsWith" dxfId="124" priority="75" operator="beginsWith" text="L">
      <formula>LEFT(N5,LEN("L"))="L"</formula>
    </cfRule>
  </conditionalFormatting>
  <conditionalFormatting sqref="C5">
    <cfRule type="beginsWith" dxfId="123" priority="74" operator="beginsWith" text="L">
      <formula>LEFT(C5,LEN("L"))="L"</formula>
    </cfRule>
  </conditionalFormatting>
  <conditionalFormatting sqref="J5:J6">
    <cfRule type="beginsWith" dxfId="122" priority="79" operator="beginsWith" text="L">
      <formula>LEFT(J5,LEN("L"))="L"</formula>
    </cfRule>
  </conditionalFormatting>
  <conditionalFormatting sqref="K5:K6">
    <cfRule type="beginsWith" dxfId="121" priority="78" operator="beginsWith" text="L">
      <formula>LEFT(K5,LEN("L"))="L"</formula>
    </cfRule>
  </conditionalFormatting>
  <conditionalFormatting sqref="L5:L6">
    <cfRule type="beginsWith" dxfId="120" priority="76" operator="beginsWith" text="L">
      <formula>LEFT(L5,LEN("L"))="L"</formula>
    </cfRule>
  </conditionalFormatting>
  <conditionalFormatting sqref="AU5">
    <cfRule type="beginsWith" dxfId="119" priority="73" operator="beginsWith" text="L">
      <formula>LEFT(AU5,LEN("L"))="L"</formula>
    </cfRule>
  </conditionalFormatting>
  <conditionalFormatting sqref="AU6">
    <cfRule type="beginsWith" dxfId="118" priority="72" operator="beginsWith" text="L">
      <formula>LEFT(AU6,LEN("L"))="L"</formula>
    </cfRule>
  </conditionalFormatting>
  <conditionalFormatting sqref="CK5:CK6">
    <cfRule type="expression" dxfId="117" priority="71">
      <formula>(CJ5="F")</formula>
    </cfRule>
  </conditionalFormatting>
  <conditionalFormatting sqref="DB5">
    <cfRule type="beginsWith" dxfId="116" priority="66" operator="beginsWith" text="L">
      <formula>LEFT(DB5,LEN("L"))="L"</formula>
    </cfRule>
  </conditionalFormatting>
  <conditionalFormatting sqref="DH5:DH6">
    <cfRule type="beginsWith" dxfId="115" priority="64" operator="beginsWith" text="L">
      <formula>LEFT(DH5,LEN("L"))="L"</formula>
    </cfRule>
  </conditionalFormatting>
  <conditionalFormatting sqref="DA5">
    <cfRule type="beginsWith" dxfId="114" priority="68" operator="beginsWith" text="L">
      <formula>LEFT(DA5,LEN("L"))="L"</formula>
    </cfRule>
  </conditionalFormatting>
  <conditionalFormatting sqref="DA6">
    <cfRule type="beginsWith" dxfId="113" priority="67" operator="beginsWith" text="L">
      <formula>LEFT(DA6,LEN("L"))="L"</formula>
    </cfRule>
  </conditionalFormatting>
  <conditionalFormatting sqref="DB6">
    <cfRule type="beginsWith" dxfId="112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11" priority="62" operator="beginsWith" text="L">
      <formula>LEFT(B7,LEN("L"))="L"</formula>
    </cfRule>
  </conditionalFormatting>
  <conditionalFormatting sqref="D8 D10 D12 D14 D16 D18 D20">
    <cfRule type="beginsWith" dxfId="110" priority="61" operator="beginsWith" text="L">
      <formula>LEFT(D8,LEN("L"))="L"</formula>
    </cfRule>
  </conditionalFormatting>
  <conditionalFormatting sqref="B8:C8 B10:C10 B12:C12 B14:C14 B16:C16 B18:C18 B20:C20">
    <cfRule type="beginsWith" dxfId="109" priority="60" operator="beginsWith" text="L">
      <formula>LEFT(B8,LEN("L"))="L"</formula>
    </cfRule>
  </conditionalFormatting>
  <conditionalFormatting sqref="F7:F20">
    <cfRule type="beginsWith" dxfId="108" priority="54" operator="beginsWith" text="L">
      <formula>LEFT(F7,LEN("L"))="L"</formula>
    </cfRule>
  </conditionalFormatting>
  <conditionalFormatting sqref="DZ7:DZ20">
    <cfRule type="containsText" dxfId="107" priority="55" operator="containsText" text="criadas">
      <formula>NOT(ISERROR(SEARCH("criadas",DZ7)))</formula>
    </cfRule>
    <cfRule type="containsText" dxfId="106" priority="56" operator="containsText" text="é gravado">
      <formula>NOT(ISERROR(SEARCH("é gravado",DZ7)))</formula>
    </cfRule>
    <cfRule type="containsText" dxfId="105" priority="57" operator="containsText" text="é modificado">
      <formula>NOT(ISERROR(SEARCH("é modificado",DZ7)))</formula>
    </cfRule>
    <cfRule type="containsText" dxfId="104" priority="58" operator="containsText" text="Error">
      <formula>NOT(ISERROR(SEARCH("Error",DZ7)))</formula>
    </cfRule>
    <cfRule type="containsText" dxfId="103" priority="59" operator="containsText" text="é criado">
      <formula>NOT(ISERROR(SEARCH("é criado",DZ7)))</formula>
    </cfRule>
  </conditionalFormatting>
  <conditionalFormatting sqref="G7:G20">
    <cfRule type="beginsWith" dxfId="102" priority="53" operator="beginsWith" text="L">
      <formula>LEFT(G7,LEN("L"))="L"</formula>
    </cfRule>
  </conditionalFormatting>
  <conditionalFormatting sqref="AS7:AS20">
    <cfRule type="beginsWith" dxfId="101" priority="52" operator="beginsWith" text="L">
      <formula>LEFT(AS7,LEN("L"))="L"</formula>
    </cfRule>
  </conditionalFormatting>
  <conditionalFormatting sqref="AV7:AV20">
    <cfRule type="beginsWith" dxfId="100" priority="51" operator="beginsWith" text="L">
      <formula>LEFT(AV7,LEN("L"))="L"</formula>
    </cfRule>
  </conditionalFormatting>
  <conditionalFormatting sqref="AZ7:AZ20">
    <cfRule type="beginsWith" dxfId="99" priority="50" operator="beginsWith" text="L">
      <formula>LEFT(AZ7,LEN("L"))="L"</formula>
    </cfRule>
  </conditionalFormatting>
  <conditionalFormatting sqref="BD7:BD20">
    <cfRule type="beginsWith" dxfId="98" priority="49" operator="beginsWith" text="L">
      <formula>LEFT(BD7,LEN("L"))="L"</formula>
    </cfRule>
  </conditionalFormatting>
  <conditionalFormatting sqref="BP7:BP20">
    <cfRule type="beginsWith" dxfId="97" priority="48" operator="beginsWith" text="L">
      <formula>LEFT(BP7,LEN("L"))="L"</formula>
    </cfRule>
  </conditionalFormatting>
  <conditionalFormatting sqref="CB7:CB20">
    <cfRule type="beginsWith" dxfId="96" priority="47" operator="beginsWith" text="L">
      <formula>LEFT(CB7,LEN("L"))="L"</formula>
    </cfRule>
  </conditionalFormatting>
  <conditionalFormatting sqref="M7:M20">
    <cfRule type="beginsWith" dxfId="95" priority="43" operator="beginsWith" text="L">
      <formula>LEFT(M7,LEN("L"))="L"</formula>
    </cfRule>
  </conditionalFormatting>
  <conditionalFormatting sqref="DE7:DE20">
    <cfRule type="beginsWith" dxfId="94" priority="46" operator="beginsWith" text="L">
      <formula>LEFT(DE7,LEN("L"))="L"</formula>
    </cfRule>
  </conditionalFormatting>
  <conditionalFormatting sqref="N7:N20">
    <cfRule type="beginsWith" dxfId="93" priority="41" operator="beginsWith" text="L">
      <formula>LEFT(N7,LEN("L"))="L"</formula>
    </cfRule>
  </conditionalFormatting>
  <conditionalFormatting sqref="C7 C9 C11 C13 C15 C17 C19">
    <cfRule type="beginsWith" dxfId="92" priority="40" operator="beginsWith" text="L">
      <formula>LEFT(C7,LEN("L"))="L"</formula>
    </cfRule>
  </conditionalFormatting>
  <conditionalFormatting sqref="J7:J20">
    <cfRule type="beginsWith" dxfId="91" priority="45" operator="beginsWith" text="L">
      <formula>LEFT(J7,LEN("L"))="L"</formula>
    </cfRule>
  </conditionalFormatting>
  <conditionalFormatting sqref="K7:K20">
    <cfRule type="beginsWith" dxfId="90" priority="44" operator="beginsWith" text="L">
      <formula>LEFT(K7,LEN("L"))="L"</formula>
    </cfRule>
  </conditionalFormatting>
  <conditionalFormatting sqref="L7:L20">
    <cfRule type="beginsWith" dxfId="89" priority="42" operator="beginsWith" text="L">
      <formula>LEFT(L7,LEN("L"))="L"</formula>
    </cfRule>
  </conditionalFormatting>
  <conditionalFormatting sqref="AU7 AU9 AU11 AU13 AU15 AU17 AU19">
    <cfRule type="beginsWith" dxfId="88" priority="39" operator="beginsWith" text="L">
      <formula>LEFT(AU7,LEN("L"))="L"</formula>
    </cfRule>
  </conditionalFormatting>
  <conditionalFormatting sqref="AU8 AU10 AU12 AU14 AU16 AU18 AU20">
    <cfRule type="beginsWith" dxfId="87" priority="38" operator="beginsWith" text="L">
      <formula>LEFT(AU8,LEN("L"))="L"</formula>
    </cfRule>
  </conditionalFormatting>
  <conditionalFormatting sqref="CK7:CK20">
    <cfRule type="expression" dxfId="86" priority="37">
      <formula>(CJ7="F")</formula>
    </cfRule>
  </conditionalFormatting>
  <conditionalFormatting sqref="DB7 DB9 DB11 DB13 DB15 DB17 DB19">
    <cfRule type="beginsWith" dxfId="85" priority="34" operator="beginsWith" text="L">
      <formula>LEFT(DB7,LEN("L"))="L"</formula>
    </cfRule>
  </conditionalFormatting>
  <conditionalFormatting sqref="DH7:DH20">
    <cfRule type="beginsWith" dxfId="84" priority="32" operator="beginsWith" text="L">
      <formula>LEFT(DH7,LEN("L"))="L"</formula>
    </cfRule>
  </conditionalFormatting>
  <conditionalFormatting sqref="DA7 DA9 DA11 DA13 DA15 DA17 DA19">
    <cfRule type="beginsWith" dxfId="83" priority="36" operator="beginsWith" text="L">
      <formula>LEFT(DA7,LEN("L"))="L"</formula>
    </cfRule>
  </conditionalFormatting>
  <conditionalFormatting sqref="DA8 DA10 DA12 DA14 DA16 DA18 DA20">
    <cfRule type="beginsWith" dxfId="82" priority="35" operator="beginsWith" text="L">
      <formula>LEFT(DA8,LEN("L"))="L"</formula>
    </cfRule>
  </conditionalFormatting>
  <conditionalFormatting sqref="DB8 DB10 DB12 DB14 DB16 DB18 DB20">
    <cfRule type="beginsWith" dxfId="81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80" priority="31" operator="beginsWith" text="L">
      <formula>LEFT(B21,LEN("L"))="L"</formula>
    </cfRule>
  </conditionalFormatting>
  <conditionalFormatting sqref="D22 D24 D26 D28 D30 D32 D34 D36 D38 D40">
    <cfRule type="beginsWith" dxfId="79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8" priority="29" operator="beginsWith" text="L">
      <formula>LEFT(B22,LEN("L"))="L"</formula>
    </cfRule>
  </conditionalFormatting>
  <conditionalFormatting sqref="F21:F40">
    <cfRule type="beginsWith" dxfId="77" priority="23" operator="beginsWith" text="L">
      <formula>LEFT(F21,LEN("L"))="L"</formula>
    </cfRule>
  </conditionalFormatting>
  <conditionalFormatting sqref="DZ21:DZ40">
    <cfRule type="containsText" dxfId="76" priority="24" operator="containsText" text="criadas">
      <formula>NOT(ISERROR(SEARCH("criadas",DZ21)))</formula>
    </cfRule>
    <cfRule type="containsText" dxfId="75" priority="25" operator="containsText" text="é gravado">
      <formula>NOT(ISERROR(SEARCH("é gravado",DZ21)))</formula>
    </cfRule>
    <cfRule type="containsText" dxfId="74" priority="26" operator="containsText" text="é modificado">
      <formula>NOT(ISERROR(SEARCH("é modificado",DZ21)))</formula>
    </cfRule>
    <cfRule type="containsText" dxfId="73" priority="27" operator="containsText" text="Error">
      <formula>NOT(ISERROR(SEARCH("Error",DZ21)))</formula>
    </cfRule>
    <cfRule type="containsText" dxfId="72" priority="28" operator="containsText" text="é criado">
      <formula>NOT(ISERROR(SEARCH("é criado",DZ21)))</formula>
    </cfRule>
  </conditionalFormatting>
  <conditionalFormatting sqref="G21:G40">
    <cfRule type="beginsWith" dxfId="71" priority="22" operator="beginsWith" text="L">
      <formula>LEFT(G21,LEN("L"))="L"</formula>
    </cfRule>
  </conditionalFormatting>
  <conditionalFormatting sqref="AS21:AS40">
    <cfRule type="beginsWith" dxfId="70" priority="21" operator="beginsWith" text="L">
      <formula>LEFT(AS21,LEN("L"))="L"</formula>
    </cfRule>
  </conditionalFormatting>
  <conditionalFormatting sqref="AV21:AV40">
    <cfRule type="beginsWith" dxfId="69" priority="20" operator="beginsWith" text="L">
      <formula>LEFT(AV21,LEN("L"))="L"</formula>
    </cfRule>
  </conditionalFormatting>
  <conditionalFormatting sqref="AZ21:AZ40">
    <cfRule type="beginsWith" dxfId="68" priority="19" operator="beginsWith" text="L">
      <formula>LEFT(AZ21,LEN("L"))="L"</formula>
    </cfRule>
  </conditionalFormatting>
  <conditionalFormatting sqref="BD21:BD40">
    <cfRule type="beginsWith" dxfId="67" priority="18" operator="beginsWith" text="L">
      <formula>LEFT(BD21,LEN("L"))="L"</formula>
    </cfRule>
  </conditionalFormatting>
  <conditionalFormatting sqref="BP21:BP40">
    <cfRule type="beginsWith" dxfId="66" priority="17" operator="beginsWith" text="L">
      <formula>LEFT(BP21,LEN("L"))="L"</formula>
    </cfRule>
  </conditionalFormatting>
  <conditionalFormatting sqref="CB21:CB40">
    <cfRule type="beginsWith" dxfId="65" priority="16" operator="beginsWith" text="L">
      <formula>LEFT(CB21,LEN("L"))="L"</formula>
    </cfRule>
  </conditionalFormatting>
  <conditionalFormatting sqref="M21:M40">
    <cfRule type="beginsWith" dxfId="64" priority="12" operator="beginsWith" text="L">
      <formula>LEFT(M21,LEN("L"))="L"</formula>
    </cfRule>
  </conditionalFormatting>
  <conditionalFormatting sqref="DE21:DE40">
    <cfRule type="beginsWith" dxfId="63" priority="15" operator="beginsWith" text="L">
      <formula>LEFT(DE21,LEN("L"))="L"</formula>
    </cfRule>
  </conditionalFormatting>
  <conditionalFormatting sqref="N21:N40">
    <cfRule type="beginsWith" dxfId="62" priority="10" operator="beginsWith" text="L">
      <formula>LEFT(N21,LEN("L"))="L"</formula>
    </cfRule>
  </conditionalFormatting>
  <conditionalFormatting sqref="C21 C23 C25 C27 C29 C31 C33 C35 C37 C39">
    <cfRule type="beginsWith" dxfId="61" priority="9" operator="beginsWith" text="L">
      <formula>LEFT(C21,LEN("L"))="L"</formula>
    </cfRule>
  </conditionalFormatting>
  <conditionalFormatting sqref="J21:J40">
    <cfRule type="beginsWith" dxfId="60" priority="14" operator="beginsWith" text="L">
      <formula>LEFT(J21,LEN("L"))="L"</formula>
    </cfRule>
  </conditionalFormatting>
  <conditionalFormatting sqref="K21:K40">
    <cfRule type="beginsWith" dxfId="59" priority="13" operator="beginsWith" text="L">
      <formula>LEFT(K21,LEN("L"))="L"</formula>
    </cfRule>
  </conditionalFormatting>
  <conditionalFormatting sqref="L21:L40">
    <cfRule type="beginsWith" dxfId="58" priority="11" operator="beginsWith" text="L">
      <formula>LEFT(L21,LEN("L"))="L"</formula>
    </cfRule>
  </conditionalFormatting>
  <conditionalFormatting sqref="AU21 AU23 AU25 AU27 AU29 AU31 AU33 AU35 AU37 AU39">
    <cfRule type="beginsWith" dxfId="57" priority="8" operator="beginsWith" text="L">
      <formula>LEFT(AU21,LEN("L"))="L"</formula>
    </cfRule>
  </conditionalFormatting>
  <conditionalFormatting sqref="AU22 AU24 AU26 AU28 AU30 AU32 AU34 AU36 AU38 AU40">
    <cfRule type="beginsWith" dxfId="56" priority="7" operator="beginsWith" text="L">
      <formula>LEFT(AU22,LEN("L"))="L"</formula>
    </cfRule>
  </conditionalFormatting>
  <conditionalFormatting sqref="CK21:CK40">
    <cfRule type="expression" dxfId="55" priority="6">
      <formula>(CJ21="F")</formula>
    </cfRule>
  </conditionalFormatting>
  <conditionalFormatting sqref="DB21 DB23 DB25 DB27 DB29 DB31 DB33 DB35 DB37 DB39">
    <cfRule type="beginsWith" dxfId="54" priority="3" operator="beginsWith" text="L">
      <formula>LEFT(DB21,LEN("L"))="L"</formula>
    </cfRule>
  </conditionalFormatting>
  <conditionalFormatting sqref="DH21:DH40">
    <cfRule type="beginsWith" dxfId="53" priority="1" operator="beginsWith" text="L">
      <formula>LEFT(DH21,LEN("L"))="L"</formula>
    </cfRule>
  </conditionalFormatting>
  <conditionalFormatting sqref="DA21 DA23 DA25 DA27 DA29 DA31 DA33 DA35 DA37 DA39">
    <cfRule type="beginsWith" dxfId="52" priority="5" operator="beginsWith" text="L">
      <formula>LEFT(DA21,LEN("L"))="L"</formula>
    </cfRule>
  </conditionalFormatting>
  <conditionalFormatting sqref="DA22 DA24 DA26 DA28 DA30 DA32 DA34 DA36 DA38 DA40">
    <cfRule type="beginsWith" dxfId="51" priority="4" operator="beginsWith" text="L">
      <formula>LEFT(DA22,LEN("L"))="L"</formula>
    </cfRule>
  </conditionalFormatting>
  <conditionalFormatting sqref="DB22 DB24 DB26 DB28 DB30 DB32 DB34 DB36 DB38 DB40">
    <cfRule type="beginsWith" dxfId="50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IF(IFERROR(INDEX(Consulta!$A:$DN,MATCH($C5,Consulta!$D:$D,0),I$2),"")=0,"",IFERROR(INDEX(Consulta!$A:$DN,MATCH($C5,Consulta!$D:$D,0),I$2),""))</f>
        <v/>
      </c>
      <c r="J5" s="43" t="str">
        <f>IF(IFERROR(INDEX(Consulta!$A:$DN,MATCH($C5,Consulta!$D:$D,0),J$2),"")=0,"",IFERROR(INDEX(Consulta!$A:$DN,MATCH($C5,Consulta!$D:$D,0),J$2),""))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1085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9" priority="68" operator="beginsWith" text="L">
      <formula>LEFT(B5,LEN("L"))="L"</formula>
    </cfRule>
  </conditionalFormatting>
  <conditionalFormatting sqref="B6:B14">
    <cfRule type="beginsWith" dxfId="48" priority="52" operator="beginsWith" text="L">
      <formula>LEFT(B6,LEN("L"))="L"</formula>
    </cfRule>
  </conditionalFormatting>
  <conditionalFormatting sqref="B15:B54">
    <cfRule type="beginsWith" dxfId="47" priority="38" operator="beginsWith" text="L">
      <formula>LEFT(B15,LEN("L"))="L"</formula>
    </cfRule>
  </conditionalFormatting>
  <conditionalFormatting sqref="L1:L1048576">
    <cfRule type="containsText" dxfId="46" priority="13" operator="containsText" text="criadas">
      <formula>NOT(ISERROR(SEARCH("criadas",L1)))</formula>
    </cfRule>
    <cfRule type="containsText" dxfId="45" priority="14" operator="containsText" text="é gravado">
      <formula>NOT(ISERROR(SEARCH("é gravado",L1)))</formula>
    </cfRule>
    <cfRule type="containsText" dxfId="44" priority="15" operator="containsText" text="é modificado">
      <formula>NOT(ISERROR(SEARCH("é modificado",L1)))</formula>
    </cfRule>
    <cfRule type="containsText" dxfId="43" priority="16" operator="containsText" text="Error">
      <formula>NOT(ISERROR(SEARCH("Error",L1)))</formula>
    </cfRule>
    <cfRule type="containsText" dxfId="42" priority="17" operator="containsText" text="é criado">
      <formula>NOT(ISERROR(SEARCH("é criado",L1)))</formula>
    </cfRule>
  </conditionalFormatting>
  <conditionalFormatting sqref="G5:G54">
    <cfRule type="beginsWith" dxfId="41" priority="12" operator="beginsWith" text="L">
      <formula>LEFT(G5,LEN("L"))="L"</formula>
    </cfRule>
  </conditionalFormatting>
  <conditionalFormatting sqref="H5:H54">
    <cfRule type="beginsWith" dxfId="40" priority="11" operator="beginsWith" text="L">
      <formula>LEFT(H5,LEN("L"))="L"</formula>
    </cfRule>
  </conditionalFormatting>
  <conditionalFormatting sqref="K5:K54">
    <cfRule type="beginsWith" dxfId="39" priority="9" operator="beginsWith" text="L">
      <formula>LEFT(K5,LEN("L"))="L"</formula>
    </cfRule>
  </conditionalFormatting>
  <conditionalFormatting sqref="I5:I54">
    <cfRule type="beginsWith" dxfId="38" priority="6" operator="beginsWith" text="L">
      <formula>LEFT(I5,LEN("L"))="L"</formula>
    </cfRule>
  </conditionalFormatting>
  <conditionalFormatting sqref="J5:J54">
    <cfRule type="beginsWith" dxfId="37" priority="2" operator="beginsWith" text="L">
      <formula>LEFT(J5,LEN("L"))="L"</formula>
    </cfRule>
  </conditionalFormatting>
  <conditionalFormatting sqref="M5:M54">
    <cfRule type="beginsWith" dxfId="36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/>
      </c>
      <c r="H5" s="44" t="s">
        <v>1020</v>
      </c>
      <c r="I5" s="43" t="str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IF(IFERROR(INDEX(Consulta!$A:$DN,MATCH($C5,Consulta!$D:$D,0),K$2),"")=0,"",IFERROR(INDEX(Consulta!$A:$DN,MATCH($C5,Consulta!$D:$D,0),K$2),""))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5" priority="20" operator="beginsWith" text="L">
      <formula>LEFT(B5,LEN("L"))="L"</formula>
    </cfRule>
  </conditionalFormatting>
  <conditionalFormatting sqref="B6:B14">
    <cfRule type="beginsWith" dxfId="34" priority="19" operator="beginsWith" text="L">
      <formula>LEFT(B6,LEN("L"))="L"</formula>
    </cfRule>
  </conditionalFormatting>
  <conditionalFormatting sqref="B15:B54">
    <cfRule type="beginsWith" dxfId="33" priority="18" operator="beginsWith" text="L">
      <formula>LEFT(B15,LEN("L"))="L"</formula>
    </cfRule>
  </conditionalFormatting>
  <conditionalFormatting sqref="L1:L1048576">
    <cfRule type="containsText" dxfId="32" priority="13" operator="containsText" text="criada">
      <formula>NOT(ISERROR(SEARCH("criada",L1)))</formula>
    </cfRule>
    <cfRule type="containsText" dxfId="31" priority="14" operator="containsText" text="é gravado">
      <formula>NOT(ISERROR(SEARCH("é gravado",L1)))</formula>
    </cfRule>
    <cfRule type="containsText" dxfId="30" priority="15" operator="containsText" text="é modificado">
      <formula>NOT(ISERROR(SEARCH("é modificado",L1)))</formula>
    </cfRule>
    <cfRule type="containsText" dxfId="29" priority="16" operator="containsText" text="Error">
      <formula>NOT(ISERROR(SEARCH("Error",L1)))</formula>
    </cfRule>
    <cfRule type="containsText" dxfId="28" priority="17" operator="containsText" text="é criado">
      <formula>NOT(ISERROR(SEARCH("é criado",L1)))</formula>
    </cfRule>
  </conditionalFormatting>
  <conditionalFormatting sqref="E5:E54">
    <cfRule type="beginsWith" dxfId="27" priority="10" operator="beginsWith" text="L">
      <formula>LEFT(E5,LEN("L"))="L"</formula>
    </cfRule>
  </conditionalFormatting>
  <conditionalFormatting sqref="G5:G54">
    <cfRule type="beginsWith" dxfId="26" priority="6" operator="beginsWith" text="L">
      <formula>LEFT(G5,LEN("L"))="L"</formula>
    </cfRule>
  </conditionalFormatting>
  <conditionalFormatting sqref="I5:I54">
    <cfRule type="beginsWith" dxfId="25" priority="2" operator="beginsWith" text="L">
      <formula>LEFT(I5,LEN("L"))="L"</formula>
    </cfRule>
  </conditionalFormatting>
  <conditionalFormatting sqref="K5:K54">
    <cfRule type="beginsWith" dxfId="24" priority="4" operator="beginsWith" text="L">
      <formula>LEFT(K5,LEN("L"))="L"</formula>
    </cfRule>
  </conditionalFormatting>
  <conditionalFormatting sqref="J5:J54">
    <cfRule type="beginsWith" dxfId="23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22" priority="33" operator="beginsWith" text="L">
      <formula>LEFT(B5,LEN("L"))="L"</formula>
    </cfRule>
  </conditionalFormatting>
  <conditionalFormatting sqref="B6:B14">
    <cfRule type="beginsWith" dxfId="21" priority="30" operator="beginsWith" text="L">
      <formula>LEFT(B6,LEN("L"))="L"</formula>
    </cfRule>
  </conditionalFormatting>
  <conditionalFormatting sqref="B15:B54">
    <cfRule type="beginsWith" dxfId="20" priority="29" operator="beginsWith" text="L">
      <formula>LEFT(B15,LEN("L"))="L"</formula>
    </cfRule>
  </conditionalFormatting>
  <conditionalFormatting sqref="D1:D1048576">
    <cfRule type="containsText" dxfId="19" priority="1" operator="containsText" text="será criado">
      <formula>NOT(ISERROR(SEARCH("será criado",D1)))</formula>
    </cfRule>
    <cfRule type="containsText" dxfId="18" priority="2" operator="containsText" text="criadas">
      <formula>NOT(ISERROR(SEARCH("criadas",D1)))</formula>
    </cfRule>
    <cfRule type="containsText" dxfId="17" priority="3" operator="containsText" text="é gravado">
      <formula>NOT(ISERROR(SEARCH("é gravado",D1)))</formula>
    </cfRule>
    <cfRule type="containsText" dxfId="16" priority="4" operator="containsText" text="é modificado">
      <formula>NOT(ISERROR(SEARCH("é modificado",D1)))</formula>
    </cfRule>
    <cfRule type="containsText" dxfId="15" priority="5" operator="containsText" text="Error">
      <formula>NOT(ISERROR(SEARCH("Error",D1)))</formula>
    </cfRule>
    <cfRule type="containsText" dxfId="1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13.04.2022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13.04.2022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13.04.2022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13.04.2022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13.04.2022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13.04.2022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13.04.2022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13.04.2022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13.04.2022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13.04.2022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13.04.2022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13.04.2022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13.04.2022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13.04.2022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13.04.2022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13.04.2022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13.04.2022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13.04.2022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13.04.2022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13.04.2022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13.04.2022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13.04.2022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13.04.2022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13.04.2022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13.04.2022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13.04.2022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13.04.2022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13.04.2022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13.04.2022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13.04.2022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13.04.2022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13.04.2022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13.04.2022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13.04.2022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13.04.2022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13.04.2022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13.04.2022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13.04.2022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13.04.2022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13.04.2022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13.04.2022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13.04.2022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13.04.2022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13.04.2022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13.04.2022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13.04.2022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13.04.2022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13.04.2022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13.04.2022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13.04.2022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3" priority="8" operator="beginsWith" text="L">
      <formula>LEFT(B5,LEN("L"))="L"</formula>
    </cfRule>
  </conditionalFormatting>
  <conditionalFormatting sqref="B6:B14">
    <cfRule type="beginsWith" dxfId="12" priority="7" operator="beginsWith" text="L">
      <formula>LEFT(B6,LEN("L"))="L"</formula>
    </cfRule>
  </conditionalFormatting>
  <conditionalFormatting sqref="B15:B54">
    <cfRule type="beginsWith" dxfId="11" priority="6" operator="beginsWith" text="L">
      <formula>LEFT(B15,LEN("L"))="L"</formula>
    </cfRule>
  </conditionalFormatting>
  <conditionalFormatting sqref="J1:J1048576">
    <cfRule type="containsText" dxfId="10" priority="1" operator="containsText" text="criadas">
      <formula>NOT(ISERROR(SEARCH("criadas",J1)))</formula>
    </cfRule>
    <cfRule type="containsText" dxfId="9" priority="2" operator="containsText" text="é gravado">
      <formula>NOT(ISERROR(SEARCH("é gravado",J1)))</formula>
    </cfRule>
    <cfRule type="containsText" dxfId="8" priority="3" operator="containsText" text="é modificado">
      <formula>NOT(ISERROR(SEARCH("é modificado",J1)))</formula>
    </cfRule>
    <cfRule type="containsText" dxfId="7" priority="4" operator="containsText" text="Error">
      <formula>NOT(ISERROR(SEARCH("Error",J1)))</formula>
    </cfRule>
    <cfRule type="containsText" dxfId="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X2:AY2"/>
    <mergeCell ref="AI2:AJ2"/>
    <mergeCell ref="AL2:AM2"/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2022-04-13T19:04:16Z</dcterms:modified>
</cp:coreProperties>
</file>