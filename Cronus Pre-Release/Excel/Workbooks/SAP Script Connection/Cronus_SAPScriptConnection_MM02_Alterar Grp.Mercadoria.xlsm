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3720" yWindow="552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5" i="6"/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<sst xmlns="http://schemas.openxmlformats.org/spreadsheetml/2006/main" count="5136" uniqueCount="4634">
  <si>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</si>
  <si>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</si>
  <si>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</si>
  <si>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</si>
  <si>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</si>
  <si>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</si>
  <si>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</si>
  <si>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</si>
  <si>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</si>
  <si>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</si>
  <si>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</si>
  <si>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</si>
  <si>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</si>
  <si>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</si>
  <si>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</si>
  <si>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</si>
  <si>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</si>
  <si>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</si>
  <si>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</si>
  <si>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</si>
  <si>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</si>
  <si>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</si>
  <si>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</si>
  <si>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</si>
  <si>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</si>
  <si>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</si>
  <si>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</si>
  <si>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</si>
  <si>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</si>
  <si>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</si>
  <si>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</si>
  <si>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</si>
  <si>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</si>
  <si>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</si>
  <si>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</si>
  <si>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</si>
  <si>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</si>
  <si>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</si>
  <si>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</si>
  <si>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</si>
  <si>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</si>
  <si>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</si>
  <si>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</si>
  <si>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</si>
  <si>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</si>
  <si>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</si>
  <si>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</si>
  <si>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</si>
  <si>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</si>
  <si>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</si>
  <si>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</si>
  <si>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</si>
  <si>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</si>
  <si>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</si>
  <si>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</si>
  <si>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</si>
  <si>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</si>
  <si>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</si>
  <si>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</si>
  <si>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</si>
  <si>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</si>
  <si>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</si>
  <si>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</si>
  <si>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</si>
  <si>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</si>
  <si>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</si>
  <si>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</si>
  <si>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</si>
  <si>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</si>
  <si>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</si>
  <si>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</si>
  <si>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</si>
  <si>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</si>
  <si>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</si>
  <si>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</si>
  <si>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</si>
  <si>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</si>
  <si>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</si>
  <si>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</si>
  <si>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</si>
  <si>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</si>
  <si>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</si>
  <si>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</si>
  <si>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</si>
  <si>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</si>
  <si>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</si>
  <si>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</si>
  <si>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</si>
  <si>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</si>
  <si>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</si>
  <si>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</si>
  <si>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</si>
  <si>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</si>
  <si>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</si>
  <si>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</si>
  <si>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</si>
  <si>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</si>
  <si>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</si>
  <si>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</si>
  <si>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</si>
  <si>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</si>
  <si>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</si>
  <si>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</si>
  <si>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</si>
  <si>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</si>
  <si>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</si>
  <si>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</si>
  <si>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</si>
  <si>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</si>
  <si>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</si>
  <si>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</si>
  <si>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</si>
  <si>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</si>
  <si>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</si>
  <si>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</si>
  <si>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</si>
  <si>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</si>
  <si>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</si>
  <si>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</si>
  <si>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</si>
  <si>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</si>
  <si>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</si>
  <si>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</si>
  <si>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</si>
  <si>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</si>
  <si>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</si>
  <si>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</si>
  <si>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</si>
  <si>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</si>
  <si>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</si>
  <si>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</si>
  <si>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</si>
  <si>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</si>
  <si>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</si>
  <si>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</si>
  <si>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</si>
  <si>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</si>
  <si>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</si>
  <si>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</si>
  <si>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</si>
  <si>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</si>
  <si>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</si>
  <si>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</si>
  <si>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</si>
  <si>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</si>
  <si>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</si>
  <si>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</si>
  <si>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</si>
  <si>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</si>
  <si>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</si>
  <si>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</si>
  <si>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</si>
  <si>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</si>
  <si>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</si>
  <si>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</si>
  <si>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</si>
  <si>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</si>
  <si>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</si>
  <si>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</si>
  <si>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</si>
  <si>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</si>
  <si>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</si>
  <si>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</si>
  <si>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</si>
  <si>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</si>
  <si>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</si>
  <si>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</si>
  <si>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</si>
  <si>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</si>
  <si>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</si>
  <si>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</si>
  <si>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</si>
  <si>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</si>
  <si>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</si>
  <si>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</si>
  <si>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</si>
  <si>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</si>
  <si>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</si>
  <si>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</si>
  <si>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</si>
  <si>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</si>
  <si>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</si>
  <si>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</si>
  <si>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</si>
  <si>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</si>
  <si>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</si>
  <si>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</si>
  <si>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</si>
  <si>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</si>
  <si>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</si>
  <si>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</si>
  <si>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</si>
  <si>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</si>
  <si>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</si>
  <si>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</si>
  <si>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</si>
  <si>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</si>
  <si>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</si>
  <si>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</si>
  <si>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</si>
  <si>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</si>
  <si>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</si>
  <si>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</si>
  <si>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</si>
  <si>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</si>
  <si>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</si>
  <si>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</si>
  <si>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</si>
  <si>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</si>
  <si>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</si>
  <si>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</si>
  <si>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</si>
  <si>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</si>
  <si>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</si>
  <si>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</si>
  <si>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</si>
  <si>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</si>
  <si>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</si>
  <si>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</si>
  <si>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</si>
  <si>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</si>
  <si>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</si>
  <si>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</si>
  <si>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</si>
  <si>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</si>
  <si>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</si>
  <si>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</si>
  <si>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</si>
  <si>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</si>
  <si>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</si>
  <si>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</si>
  <si>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</si>
  <si>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</si>
  <si>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</si>
  <si>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</si>
  <si>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</si>
  <si>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</si>
  <si>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</si>
  <si>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</si>
  <si>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</si>
  <si>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</si>
  <si>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</si>
  <si>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</si>
  <si>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</si>
  <si>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</si>
  <si>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</si>
  <si>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</si>
  <si>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</si>
  <si>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</si>
  <si>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</si>
  <si>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</si>
  <si>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</si>
  <si>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</si>
  <si>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</si>
  <si>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</si>
  <si>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</si>
  <si>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</si>
  <si>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</si>
  <si>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</si>
  <si>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</si>
  <si>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</si>
  <si>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</si>
  <si>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</si>
  <si>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</si>
  <si>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</si>
  <si>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</si>
  <si>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</si>
  <si>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</si>
  <si>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</si>
  <si>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</si>
  <si>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</si>
  <si>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</si>
  <si>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</si>
  <si>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</si>
  <si>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</si>
  <si>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</si>
  <si>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</si>
  <si>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</si>
  <si>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</si>
  <si>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</si>
  <si>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</si>
  <si>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</si>
  <si>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</si>
  <si>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</si>
  <si>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</si>
  <si>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</si>
  <si>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</si>
  <si>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</si>
  <si>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</si>
  <si>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</si>
  <si>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</si>
  <si>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</si>
  <si>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</si>
  <si>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</si>
  <si>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</si>
  <si>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</si>
  <si>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</si>
  <si>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</si>
  <si>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</si>
  <si>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</si>
  <si>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</si>
  <si>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</si>
  <si>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</si>
  <si>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</si>
  <si>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</si>
  <si>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</si>
  <si>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</si>
  <si>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</si>
  <si>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</si>
  <si>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</si>
  <si>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</si>
  <si>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</si>
  <si>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</si>
  <si>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</si>
  <si>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</si>
  <si>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</si>
  <si>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</si>
  <si>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</si>
  <si>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</si>
  <si>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</si>
  <si>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</si>
  <si>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</si>
  <si>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</si>
  <si>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</si>
  <si>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</si>
  <si>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</si>
  <si>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</si>
  <si>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</si>
  <si>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</si>
  <si>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</si>
  <si>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</si>
  <si>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</si>
  <si>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</si>
  <si>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</si>
  <si>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</si>
  <si>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</si>
  <si>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</si>
  <si>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</si>
  <si>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</si>
  <si>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</si>
  <si>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</si>
  <si>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</si>
  <si>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</si>
  <si>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</si>
  <si>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</si>
  <si>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</si>
  <si>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</si>
  <si>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</si>
  <si>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</si>
  <si>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</si>
  <si>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</si>
  <si>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</si>
  <si>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</si>
  <si>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</si>
  <si>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</si>
  <si>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</si>
  <si>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</si>
  <si>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</si>
  <si>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</si>
  <si>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</si>
  <si>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</si>
  <si>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</si>
  <si>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</si>
  <si>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</si>
  <si>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</si>
  <si>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</si>
  <si>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</si>
  <si>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</si>
  <si>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</si>
  <si>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</si>
  <si>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</si>
  <si>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</si>
  <si>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</si>
  <si>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</si>
  <si>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</si>
  <si>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</si>
  <si>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</si>
  <si>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</si>
  <si>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</si>
  <si>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</si>
  <si>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</si>
  <si>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</si>
  <si>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</si>
  <si>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</si>
  <si>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</si>
  <si>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</si>
  <si>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</si>
  <si>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</si>
  <si>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</si>
  <si>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</si>
  <si>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</si>
  <si>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</si>
  <si>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</si>
  <si>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</si>
  <si>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</si>
  <si>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</si>
  <si>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</si>
  <si>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</si>
  <si>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</si>
  <si>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</si>
  <si>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</si>
  <si>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</si>
  <si>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</si>
  <si>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</si>
  <si>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</si>
  <si>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</si>
  <si>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</si>
  <si>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</si>
  <si>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</si>
  <si>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</si>
  <si>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</si>
  <si>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</si>
  <si>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</si>
  <si>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</si>
  <si>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</si>
  <si>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</si>
  <si>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</si>
  <si>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</si>
  <si>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</si>
  <si>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</si>
  <si>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</si>
  <si>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</si>
  <si>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</si>
  <si>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</si>
  <si>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</si>
  <si>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</si>
  <si>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</si>
  <si>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</si>
  <si>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</si>
  <si>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</si>
  <si>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</si>
  <si>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</si>
  <si>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</si>
  <si>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</si>
  <si>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</si>
  <si>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</si>
  <si>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</si>
  <si>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</si>
  <si>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</si>
  <si>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</si>
  <si>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</si>
  <si>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</si>
  <si>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</si>
  <si>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</si>
  <si>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</si>
  <si>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</si>
  <si>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</si>
  <si>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</si>
  <si>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</si>
  <si>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</si>
  <si>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</si>
  <si>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</si>
  <si>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</si>
  <si>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</si>
  <si>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</si>
  <si>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</si>
  <si>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</si>
  <si>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</si>
  <si>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</si>
  <si>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</si>
  <si>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</si>
  <si>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</si>
  <si>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</si>
  <si>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</si>
  <si>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</si>
  <si>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</si>
  <si>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</si>
  <si>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</si>
  <si>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</si>
  <si>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</si>
  <si>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</si>
  <si>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</si>
  <si>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</si>
  <si>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</si>
  <si>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</si>
  <si>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</si>
  <si>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</si>
  <si>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</si>
  <si>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</si>
  <si>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</si>
  <si>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</si>
  <si>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</si>
  <si>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</si>
  <si>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</si>
  <si>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</si>
  <si>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</si>
  <si>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</si>
  <si>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</si>
  <si>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</si>
  <si>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</si>
  <si>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</si>
  <si>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</si>
  <si>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</si>
  <si>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</si>
  <si>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</si>
  <si>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</si>
  <si>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</si>
  <si>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</si>
  <si>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</si>
  <si>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</si>
  <si>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</si>
  <si>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</si>
  <si>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</si>
  <si>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</si>
  <si>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</si>
  <si>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</si>
  <si>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</si>
  <si>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</si>
  <si>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</si>
  <si>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</si>
  <si>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</si>
  <si>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</si>
  <si>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</si>
  <si>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</si>
  <si>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</si>
  <si>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</si>
  <si>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</si>
  <si>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</si>
  <si>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</si>
  <si>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</si>
  <si>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</si>
  <si>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</si>
  <si>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</si>
  <si>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</si>
  <si>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</si>
  <si>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</si>
  <si>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</si>
  <si>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</si>
  <si>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</si>
  <si>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</si>
  <si>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</si>
  <si>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</si>
  <si>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</si>
  <si>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</si>
  <si>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</si>
  <si>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</si>
  <si>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</si>
  <si>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</si>
  <si>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</si>
  <si>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</si>
  <si>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</si>
  <si>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</si>
  <si>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</si>
  <si>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</si>
  <si>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</si>
  <si>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</si>
  <si>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</si>
  <si>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</si>
  <si>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</si>
  <si>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</si>
  <si>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</si>
  <si>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</si>
  <si>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</si>
  <si>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</si>
  <si>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</si>
  <si>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</si>
  <si>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</si>
  <si>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</si>
  <si>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</si>
  <si>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</si>
  <si>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</si>
  <si>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</si>
  <si>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</si>
  <si>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</si>
  <si>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</si>
  <si>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</si>
  <si>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</si>
  <si>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</si>
  <si>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</si>
  <si>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</si>
  <si>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</si>
  <si>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</si>
  <si>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</si>
  <si>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</si>
  <si>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</si>
  <si>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</si>
  <si>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</si>
  <si>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</si>
  <si>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</si>
  <si>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</si>
  <si>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</si>
  <si>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</si>
  <si>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</si>
  <si>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</si>
  <si>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</si>
  <si>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</si>
  <si>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</si>
  <si>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</si>
  <si>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</si>
  <si>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</si>
  <si>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</si>
  <si>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</si>
  <si>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</si>
  <si>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</si>
  <si>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</si>
  <si>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</si>
  <si>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</si>
  <si>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</si>
  <si>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</si>
  <si>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</si>
  <si>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</si>
  <si>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</si>
  <si>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</si>
  <si>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</si>
  <si>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</si>
  <si>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</si>
  <si>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</si>
  <si>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</si>
  <si>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</si>
  <si>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</si>
  <si>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</si>
  <si>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</si>
  <si>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</si>
  <si>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</si>
  <si>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</si>
  <si>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</si>
  <si>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</si>
  <si>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</si>
  <si>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</si>
  <si>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</si>
  <si>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</si>
  <si>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</si>
  <si>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</si>
  <si>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</si>
  <si>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</si>
  <si>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</si>
  <si>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</si>
  <si>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</si>
  <si>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</si>
  <si>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</si>
  <si>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</si>
  <si>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</si>
  <si>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</si>
  <si>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</si>
  <si>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</si>
  <si>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</si>
  <si>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</si>
  <si>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</si>
  <si>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</si>
  <si>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</si>
  <si>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</si>
  <si>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</si>
  <si>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</si>
  <si>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</si>
  <si>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</si>
  <si>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</si>
  <si>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</si>
  <si>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</si>
  <si>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</si>
  <si>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</si>
  <si>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</si>
  <si>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</si>
  <si>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</si>
  <si>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</si>
  <si>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</si>
  <si>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</si>
  <si>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</si>
  <si>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</si>
  <si>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</si>
  <si>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</si>
  <si>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</si>
  <si>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</si>
  <si>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</si>
  <si>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</si>
  <si>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</si>
  <si>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</si>
  <si>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</si>
  <si>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</si>
  <si>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</si>
  <si>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</si>
  <si>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</si>
  <si>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</si>
  <si>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</si>
  <si>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</si>
  <si>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</si>
  <si>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</si>
  <si>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</si>
  <si>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</si>
  <si>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</si>
  <si>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</si>
  <si>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</si>
  <si>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</si>
  <si>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</si>
  <si>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</si>
  <si>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</si>
  <si>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</si>
  <si>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</si>
  <si>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</si>
  <si>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</si>
  <si>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</si>
  <si>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</si>
  <si>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</si>
  <si>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</si>
  <si>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</si>
  <si>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</si>
  <si>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</si>
  <si>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</si>
  <si>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</si>
  <si>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</si>
  <si>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</si>
  <si>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</si>
  <si>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</si>
  <si>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</si>
  <si>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</si>
  <si>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</si>
  <si>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</si>
  <si>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</si>
  <si>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</si>
  <si>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</si>
  <si>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</si>
  <si>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</si>
  <si>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</si>
  <si>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</si>
  <si>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</si>
  <si>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</si>
  <si>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</si>
  <si>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</si>
  <si>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</si>
  <si>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</si>
  <si>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</si>
  <si>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</si>
  <si>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</si>
  <si>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</si>
  <si>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</si>
  <si>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</si>
  <si>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</si>
  <si>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</si>
  <si>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</si>
  <si>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</si>
  <si>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</si>
  <si>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</si>
  <si>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</si>
  <si>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</si>
  <si>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</si>
  <si>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</si>
  <si>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</si>
  <si>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</si>
  <si>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</si>
  <si>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</si>
  <si>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</si>
  <si>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</si>
  <si>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</si>
  <si>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</si>
  <si>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</si>
  <si>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</si>
  <si>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</si>
  <si>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</si>
  <si>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</si>
  <si>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</si>
  <si>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</si>
  <si>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</si>
  <si>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</si>
  <si>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</si>
  <si>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</si>
  <si>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</si>
  <si>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</si>
  <si>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</si>
  <si>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</si>
  <si>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</si>
  <si>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</si>
  <si>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</si>
  <si>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</si>
  <si>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</si>
  <si>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</si>
  <si>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</si>
  <si>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</si>
  <si>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</si>
  <si>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</si>
  <si>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</si>
  <si>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</si>
  <si>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</si>
  <si>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</si>
  <si>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</si>
  <si>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</si>
  <si>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</si>
  <si>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</si>
  <si>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</si>
  <si>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</si>
  <si>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</si>
  <si>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</si>
  <si>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</si>
  <si>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</si>
  <si>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</si>
  <si>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</si>
  <si>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</si>
  <si>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</si>
  <si>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</si>
  <si>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</si>
  <si>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</si>
  <si>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</si>
  <si>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</si>
  <si>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</si>
  <si>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</si>
  <si>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</si>
  <si>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</si>
  <si>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</si>
  <si>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</si>
  <si>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</si>
  <si>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</si>
  <si>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</si>
  <si>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</si>
  <si>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</si>
  <si>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</si>
  <si>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</si>
  <si>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</si>
  <si>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</si>
  <si>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</si>
  <si>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</si>
  <si>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</si>
  <si>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</si>
  <si>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</si>
  <si>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</si>
  <si>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</si>
  <si>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</si>
  <si>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</si>
  <si>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</si>
  <si>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</si>
  <si>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</si>
  <si>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</si>
  <si>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</si>
  <si>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</si>
  <si>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</si>
  <si>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</si>
  <si>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</si>
  <si>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</si>
  <si>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</si>
  <si>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</si>
  <si>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</si>
  <si>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</si>
  <si>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</si>
  <si>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</si>
  <si>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</si>
  <si>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</si>
  <si>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</si>
  <si>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</si>
  <si>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</si>
  <si>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</si>
  <si>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</si>
  <si>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</si>
  <si>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</si>
  <si>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</si>
  <si>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</si>
  <si>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</si>
  <si>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</si>
  <si>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</si>
  <si>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</si>
  <si>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</si>
  <si>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</si>
  <si>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</si>
  <si>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</si>
  <si>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</si>
  <si>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</si>
  <si>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</si>
  <si>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</si>
  <si>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</si>
  <si>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</si>
  <si>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</si>
  <si>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</si>
  <si>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</si>
  <si>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</si>
  <si>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</si>
  <si>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</si>
  <si>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</si>
  <si>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</si>
  <si>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</si>
  <si>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</si>
  <si>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</si>
  <si>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</si>
  <si>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</si>
  <si>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</si>
  <si>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</si>
  <si>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</si>
  <si>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</si>
  <si>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</si>
  <si>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</si>
  <si>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</si>
  <si>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</si>
  <si>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</si>
  <si>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</si>
  <si>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</si>
  <si>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</si>
  <si>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</si>
  <si>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</si>
  <si>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</si>
  <si>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</si>
  <si>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</si>
  <si>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</si>
  <si>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</si>
  <si>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</si>
  <si>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</si>
  <si>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</si>
  <si>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</si>
  <si>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</si>
  <si>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</si>
  <si>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</si>
  <si>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</si>
  <si>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</si>
  <si>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</si>
  <si>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</si>
  <si>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</si>
  <si>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</si>
  <si>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</si>
  <si>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</si>
  <si>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</si>
  <si>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</si>
  <si>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</si>
  <si>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</si>
  <si>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</si>
  <si>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</si>
  <si>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</si>
  <si>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</si>
  <si>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</si>
  <si>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</si>
  <si>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</si>
  <si>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</si>
  <si>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</si>
  <si>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</si>
  <si>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</si>
  <si>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</si>
  <si>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</si>
  <si>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</si>
  <si>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</si>
  <si>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</si>
  <si>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</si>
  <si>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</si>
  <si>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</si>
  <si>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</si>
  <si>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</si>
  <si>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</si>
  <si>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</si>
  <si>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</si>
  <si>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</si>
  <si>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</si>
  <si>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</si>
  <si>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</si>
  <si>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</si>
  <si>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</si>
  <si>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</si>
  <si>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</si>
  <si>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</si>
  <si>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</si>
  <si>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</si>
  <si>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</si>
  <si>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</si>
  <si>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</si>
  <si>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</si>
  <si>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</si>
  <si>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</si>
  <si>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</si>
  <si>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</si>
  <si>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</si>
  <si>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</si>
  <si>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</si>
  <si>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</si>
  <si>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</si>
  <si>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</si>
  <si>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</si>
  <si>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</si>
  <si>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</si>
  <si>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</si>
  <si>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</si>
  <si>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</si>
  <si>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</si>
  <si>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</si>
  <si>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</si>
  <si>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</si>
  <si>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</si>
  <si>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</si>
  <si>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</si>
  <si>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</si>
  <si>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</si>
  <si>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</si>
  <si>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</si>
  <si>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</si>
  <si>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</si>
  <si>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</si>
  <si>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</si>
  <si>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</si>
  <si>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</si>
  <si>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</si>
  <si>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</si>
  <si>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</si>
  <si>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</si>
  <si>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</si>
  <si>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</si>
  <si>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</si>
  <si>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</si>
  <si>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</si>
  <si>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</si>
  <si>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</si>
  <si>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</si>
  <si>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</si>
  <si>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</si>
  <si>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</si>
  <si>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</si>
  <si>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</si>
  <si>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</si>
  <si>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</si>
  <si>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</si>
  <si>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</si>
  <si>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</si>
  <si>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</si>
  <si>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</si>
  <si>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</si>
  <si>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</si>
  <si>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</si>
  <si>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</si>
  <si>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</si>
  <si>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</si>
  <si>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</si>
  <si>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</si>
  <si>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</si>
  <si>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</si>
  <si>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</si>
  <si>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</si>
  <si>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</si>
  <si>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</si>
  <si>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</si>
  <si>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</si>
  <si>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</si>
  <si>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</si>
  <si>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</si>
  <si>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</si>
  <si>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</si>
  <si>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</si>
  <si>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</si>
  <si>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</si>
  <si>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</si>
  <si>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</si>
  <si>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</si>
  <si>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</si>
  <si>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</si>
  <si>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</si>
  <si>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</si>
  <si>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</si>
  <si>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</si>
  <si>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</si>
  <si>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</si>
  <si>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</si>
  <si>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</si>
  <si>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</si>
  <si>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</si>
  <si>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</si>
  <si>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</si>
  <si>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</si>
  <si>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</si>
  <si>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</si>
  <si>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</si>
  <si>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</si>
  <si>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</si>
  <si>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</si>
  <si>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</si>
  <si>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</si>
  <si>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</si>
  <si>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</si>
  <si>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</si>
  <si>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</si>
  <si>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</si>
  <si>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</si>
  <si>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</si>
  <si>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</si>
  <si>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</si>
  <si>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</si>
  <si>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</si>
  <si>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</si>
  <si>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</si>
  <si>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</si>
  <si>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</si>
  <si>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</si>
  <si>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</si>
  <si>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</si>
  <si>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</si>
  <si>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</si>
  <si>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</si>
  <si>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</si>
  <si>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</si>
  <si>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</si>
  <si>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</si>
  <si>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</si>
  <si>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</si>
  <si>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</si>
  <si>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</si>
  <si>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</si>
  <si>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</si>
  <si>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</si>
  <si>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</si>
  <si>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</si>
  <si>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</si>
  <si>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</si>
  <si>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</si>
  <si>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</si>
  <si>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</si>
  <si>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</si>
  <si>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</si>
  <si>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</si>
  <si>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</si>
  <si>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</si>
  <si>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</si>
  <si>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</si>
  <si>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</si>
  <si>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</si>
  <si>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</si>
  <si>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</si>
  <si>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</si>
  <si>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</si>
  <si>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</si>
  <si>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</si>
  <si>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</si>
  <si>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</si>
  <si>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</si>
  <si>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</si>
  <si>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</si>
  <si>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</si>
  <si>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</si>
  <si>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</si>
  <si>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</si>
  <si>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</si>
  <si>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</si>
  <si>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</si>
  <si>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</si>
  <si>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</si>
  <si>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</si>
  <si>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</si>
  <si>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</si>
  <si>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</si>
  <si>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</si>
  <si>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</si>
  <si>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</si>
  <si>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</si>
  <si>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</si>
  <si>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</si>
  <si>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</si>
  <si>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</si>
  <si>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</si>
  <si>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</si>
  <si>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</si>
  <si>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</si>
  <si>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</si>
  <si>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</si>
  <si>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</si>
  <si>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</si>
  <si>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</si>
  <si>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</si>
  <si>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</si>
  <si>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</si>
  <si>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</si>
  <si>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</si>
  <si>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</si>
  <si>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</si>
  <si>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</si>
  <si>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</si>
  <si>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</si>
  <si>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</si>
  <si>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</si>
  <si>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</si>
  <si>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</si>
  <si>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</si>
  <si>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</si>
  <si>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</si>
  <si>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</si>
  <si>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</si>
  <si>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</si>
  <si>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</si>
  <si>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</si>
  <si>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</si>
  <si>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</si>
  <si>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</si>
  <si>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</si>
  <si>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</si>
  <si>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</si>
  <si>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</si>
  <si>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</si>
  <si>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</si>
  <si>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</si>
  <si>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</si>
  <si>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</si>
  <si>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</si>
  <si>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</si>
  <si>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</si>
  <si>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</si>
  <si>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</si>
  <si>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</si>
  <si>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</si>
  <si>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</si>
  <si>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</si>
  <si>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</si>
  <si>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</si>
  <si>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</si>
  <si>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</si>
  <si>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</si>
  <si>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</si>
  <si>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</si>
  <si>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</si>
  <si>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</si>
  <si>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</si>
  <si>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</si>
  <si>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</si>
  <si>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</si>
  <si>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</si>
  <si>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</si>
  <si>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</si>
  <si>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</si>
  <si>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</si>
  <si>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</si>
  <si>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</si>
  <si>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</si>
  <si>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</si>
  <si>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</si>
  <si>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</si>
  <si>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</si>
  <si>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</si>
  <si>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</si>
  <si>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</si>
  <si>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</si>
  <si>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</si>
  <si>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</si>
  <si>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</si>
  <si>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</si>
  <si>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</si>
  <si>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</si>
  <si>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</si>
  <si>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</si>
  <si>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</si>
  <si>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</si>
  <si>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</si>
  <si>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</si>
  <si>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</si>
  <si>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</si>
  <si>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</si>
  <si>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</si>
  <si>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</si>
  <si>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</si>
  <si>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</si>
  <si>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</si>
  <si>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</si>
  <si>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</si>
  <si>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</si>
  <si>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</si>
  <si>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</si>
  <si>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</si>
  <si>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</si>
  <si>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</si>
  <si>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</si>
  <si>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</si>
  <si>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</si>
  <si>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</si>
  <si>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</si>
  <si>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</si>
  <si>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</si>
  <si>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</si>
  <si>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</si>
  <si>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</si>
  <si>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</si>
  <si>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</si>
  <si>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</si>
  <si>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</si>
  <si>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</si>
  <si>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</si>
  <si>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</si>
  <si>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</si>
  <si>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</si>
  <si>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</si>
  <si>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</si>
  <si>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</si>
  <si>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</si>
  <si>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</si>
  <si>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</si>
  <si>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</si>
  <si>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</si>
  <si>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</si>
  <si>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</si>
  <si>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</si>
  <si>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</si>
  <si>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</si>
  <si>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</si>
  <si>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</si>
  <si>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</si>
  <si>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</si>
  <si>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</si>
  <si>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</si>
  <si>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</si>
  <si>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</si>
  <si>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</si>
  <si>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</si>
  <si>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</si>
  <si>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</si>
  <si>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</si>
  <si>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</si>
  <si>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</si>
  <si>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</si>
  <si>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</si>
  <si>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</si>
  <si>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</si>
  <si>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</si>
  <si>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</si>
  <si>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</si>
  <si>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</si>
  <si>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</si>
  <si>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</si>
  <si>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</si>
  <si>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</si>
  <si>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</si>
  <si>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</si>
  <si>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</si>
  <si>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</si>
  <si>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</si>
  <si>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</si>
  <si>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</si>
  <si>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</si>
  <si>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</si>
  <si>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</si>
  <si>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</si>
  <si>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</si>
  <si>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</si>
  <si>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</si>
  <si>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</si>
  <si>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</si>
  <si>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</si>
  <si>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</si>
  <si>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</si>
  <si>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</si>
  <si>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</si>
  <si>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</si>
  <si>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</si>
  <si>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</si>
  <si>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</si>
  <si>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</si>
  <si>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</si>
  <si>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</si>
  <si>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</si>
  <si>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</si>
  <si>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</si>
  <si>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</si>
  <si>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</si>
  <si>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</si>
  <si>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</si>
  <si>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</si>
  <si>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</si>
  <si>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</si>
  <si>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</si>
  <si>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</si>
  <si>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</si>
  <si>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</si>
  <si>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</si>
  <si>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</si>
  <si>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</si>
  <si>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</si>
  <si>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</si>
  <si>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</si>
  <si>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</si>
  <si>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</si>
  <si>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</si>
  <si>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</si>
  <si>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</si>
  <si>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</si>
  <si>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</si>
  <si>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</si>
  <si>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</si>
  <si>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</si>
  <si>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</si>
  <si>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</si>
  <si>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</si>
  <si>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</si>
  <si>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</si>
  <si>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</si>
  <si>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</si>
  <si>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</si>
  <si>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</si>
  <si>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</si>
  <si>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</si>
  <si>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</si>
  <si>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</si>
  <si>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</si>
  <si>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</si>
  <si>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</si>
  <si>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</si>
  <si>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</si>
  <si>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</si>
  <si>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</si>
  <si>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</si>
  <si>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</si>
  <si>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</si>
  <si>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</si>
  <si>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</si>
  <si>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</si>
  <si>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</si>
  <si>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</si>
  <si>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</si>
  <si>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</si>
  <si>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</si>
  <si>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</si>
  <si>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</si>
  <si>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</si>
  <si>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</si>
  <si>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</si>
  <si>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</si>
  <si>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</si>
  <si>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</si>
  <si>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</si>
  <si>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</si>
  <si>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</si>
  <si>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</si>
  <si>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</si>
  <si>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</si>
  <si>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</si>
  <si>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</si>
  <si>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</si>
  <si>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</si>
  <si>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</si>
  <si>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</si>
  <si>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</si>
  <si>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</si>
  <si>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</si>
  <si>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</si>
  <si>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</si>
  <si>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</si>
  <si>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</si>
  <si>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</si>
  <si>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</si>
  <si>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</si>
  <si>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</si>
  <si>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</si>
  <si>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</si>
  <si>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</si>
  <si>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</si>
  <si>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</si>
  <si>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</si>
  <si>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</si>
  <si>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</si>
  <si>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</si>
  <si>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</si>
  <si>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</si>
  <si>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</si>
  <si>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</si>
  <si>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</si>
  <si>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</si>
  <si>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</si>
  <si>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</si>
  <si>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</si>
  <si>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</si>
  <si>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</si>
  <si>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</si>
  <si>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</si>
  <si>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</si>
  <si>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</si>
  <si>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</si>
  <si>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</si>
  <si>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</si>
  <si>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</si>
  <si>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</si>
  <si>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</si>
  <si>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</si>
  <si>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</si>
  <si>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</si>
  <si>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</si>
  <si>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</si>
  <si>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</si>
  <si>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</si>
  <si>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</si>
  <si>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</si>
  <si>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</si>
  <si>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</si>
  <si>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</si>
  <si>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</si>
  <si>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</si>
  <si>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</si>
  <si>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</si>
  <si>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</si>
  <si>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</si>
  <si>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</si>
  <si>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</si>
  <si>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</si>
  <si>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</si>
  <si>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</si>
  <si>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</si>
  <si>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</si>
  <si>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</si>
  <si>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</si>
  <si>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</si>
  <si>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</si>
  <si>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</si>
  <si>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</si>
  <si>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</si>
  <si>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</si>
  <si>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</si>
  <si>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</si>
  <si>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</si>
  <si>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</si>
  <si>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</si>
  <si>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</si>
  <si>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</si>
  <si>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</si>
  <si>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</si>
  <si>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</si>
  <si>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</si>
  <si>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</si>
  <si>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</si>
  <si>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</si>
  <si>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</si>
  <si>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</si>
  <si>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</si>
  <si>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</si>
  <si>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</si>
  <si>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</si>
  <si>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</si>
  <si>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</si>
  <si>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</si>
  <si>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</si>
  <si>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</si>
  <si>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</si>
  <si>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</si>
  <si>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</si>
  <si>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</si>
  <si>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</si>
  <si>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</si>
  <si>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</si>
  <si>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</si>
  <si>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</si>
  <si>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</si>
  <si>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</si>
  <si>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</si>
  <si>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</si>
  <si>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</si>
  <si>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</si>
  <si>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</si>
  <si>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</si>
  <si>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</si>
  <si>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</si>
  <si>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</si>
  <si>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</si>
  <si>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</si>
  <si>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</si>
  <si>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</si>
  <si>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</si>
  <si>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</si>
  <si>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</si>
  <si>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</si>
  <si>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</si>
  <si>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</si>
  <si>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</si>
  <si>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</si>
  <si>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</si>
  <si>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</si>
  <si>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</si>
  <si>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</si>
  <si>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</si>
  <si>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</si>
  <si>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</si>
  <si>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</si>
  <si>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</si>
  <si>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</si>
  <si>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</si>
  <si>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</si>
  <si>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</si>
  <si>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</si>
  <si>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</si>
  <si>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</si>
  <si>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</si>
  <si>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</si>
  <si>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</si>
  <si>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</si>
  <si>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</si>
  <si>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</si>
  <si>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</si>
  <si>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</si>
  <si>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</si>
  <si>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</si>
  <si>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</si>
  <si>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</si>
  <si>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</si>
  <si>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</si>
  <si>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</si>
  <si>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</si>
  <si>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</si>
  <si>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</si>
  <si>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</si>
  <si>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</si>
  <si>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</si>
  <si>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</si>
  <si>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</si>
  <si>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</si>
  <si>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</si>
  <si>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</si>
  <si>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</si>
  <si>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</si>
  <si>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</si>
  <si>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</si>
  <si>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</si>
  <si>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</si>
  <si>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</si>
  <si>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</si>
  <si>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</si>
  <si>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</si>
  <si>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</si>
  <si>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</si>
  <si>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</si>
  <si>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</si>
  <si>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</si>
  <si>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</si>
  <si>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</si>
  <si>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</si>
  <si>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</si>
  <si>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</si>
  <si>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</si>
  <si>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</si>
  <si>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</si>
  <si>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</si>
  <si>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</si>
  <si>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</si>
  <si>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</si>
  <si>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</si>
  <si>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</si>
  <si>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</si>
  <si>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</si>
  <si>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</si>
  <si>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</si>
  <si>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</si>
  <si>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</si>
  <si>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</si>
  <si>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</si>
  <si>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</si>
  <si>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</si>
  <si>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</si>
  <si>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</si>
  <si>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</si>
  <si>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</si>
  <si>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</si>
  <si>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</si>
  <si>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</si>
  <si>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</si>
  <si>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</si>
  <si>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</si>
  <si>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</si>
  <si>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</si>
  <si>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</si>
  <si>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</si>
  <si>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</si>
  <si>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</si>
  <si>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</si>
  <si>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</si>
  <si>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</si>
  <si>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</si>
  <si>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</si>
  <si>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</si>
  <si>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</si>
  <si>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</si>
  <si>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</si>
  <si>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</si>
  <si>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</si>
  <si>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</si>
  <si>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</si>
  <si>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</si>
  <si>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</si>
  <si>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</si>
  <si>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</si>
  <si>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</si>
  <si>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</si>
  <si>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</si>
  <si>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</si>
  <si>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</si>
  <si>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</si>
  <si>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</si>
  <si>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</si>
  <si>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</si>
  <si>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</si>
  <si>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</si>
  <si>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</si>
  <si>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</si>
  <si>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</si>
  <si>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</si>
  <si>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</si>
  <si>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</si>
  <si>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</si>
  <si>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</si>
  <si>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</si>
  <si>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</si>
  <si>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</si>
  <si>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</si>
  <si>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</si>
  <si>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</si>
  <si>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</si>
  <si>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</si>
  <si>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</si>
  <si>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</si>
  <si>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</si>
  <si>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</si>
  <si>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</si>
  <si>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</si>
  <si>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</si>
  <si>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</si>
  <si>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</si>
  <si>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</si>
  <si>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</si>
  <si>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</si>
  <si>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</si>
  <si>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</si>
  <si>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</si>
  <si>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</si>
  <si>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</si>
  <si>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</si>
  <si>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</si>
  <si>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</si>
  <si>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</si>
  <si>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</si>
  <si>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</si>
  <si>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</si>
  <si>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</si>
  <si>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</si>
  <si>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</si>
  <si>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</si>
  <si>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</si>
  <si>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</si>
  <si>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</si>
  <si>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</si>
  <si>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</si>
  <si>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</si>
  <si>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</si>
  <si>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</si>
  <si>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</si>
  <si>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</si>
  <si>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</si>
  <si>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</si>
  <si>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</si>
  <si>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</si>
  <si>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</si>
  <si>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</si>
  <si>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</si>
  <si>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</si>
  <si>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</si>
  <si>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</si>
  <si>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</si>
  <si>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</si>
  <si>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</si>
  <si>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</si>
  <si>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</si>
  <si>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</si>
  <si>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</si>
  <si>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</si>
  <si>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</si>
  <si>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</si>
  <si>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</si>
  <si>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</si>
  <si>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</si>
  <si>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</si>
  <si>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</si>
  <si>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</si>
  <si>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</si>
  <si>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</si>
  <si>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</si>
  <si>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</si>
  <si>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</si>
  <si>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</si>
  <si>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</si>
  <si>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</si>
  <si>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</si>
  <si>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</si>
  <si>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</si>
  <si>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</si>
  <si>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</si>
  <si>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</si>
  <si>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</si>
  <si>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</si>
  <si>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</si>
  <si>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</si>
  <si>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</si>
  <si>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</si>
  <si>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</si>
  <si>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</si>
  <si>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</si>
  <si>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</si>
  <si>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</si>
  <si>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</si>
  <si>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</si>
  <si>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</si>
  <si>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</si>
  <si>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</si>
  <si>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</si>
  <si>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</si>
  <si>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</si>
  <si>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</si>
  <si>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</si>
  <si>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</si>
  <si>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</si>
  <si>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</si>
  <si>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</si>
  <si>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</si>
  <si>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</si>
  <si>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</si>
  <si>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</si>
  <si>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</si>
  <si>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</si>
  <si>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</si>
  <si>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</si>
  <si>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</si>
  <si>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</si>
  <si>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</si>
  <si>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</si>
  <si>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</si>
  <si>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</si>
  <si>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</si>
  <si>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</si>
  <si>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</si>
  <si>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</si>
  <si>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</si>
  <si>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</si>
  <si>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</si>
  <si>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</si>
  <si>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</si>
  <si>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</si>
  <si>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</si>
  <si>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</si>
  <si>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</si>
  <si>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</si>
  <si>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</si>
  <si>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</si>
  <si>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</si>
  <si>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</si>
  <si>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</si>
  <si>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</si>
  <si>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</si>
  <si>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</si>
  <si>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</si>
  <si>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</si>
  <si>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</si>
  <si>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</si>
  <si>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</si>
  <si>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</si>
  <si>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</si>
  <si>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</si>
  <si>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</si>
  <si>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</si>
  <si>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</si>
  <si>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</si>
  <si>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</si>
  <si>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</si>
  <si>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</si>
  <si>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</si>
  <si>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</si>
  <si>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</si>
  <si>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</si>
  <si>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</si>
  <si>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</si>
  <si>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</si>
  <si>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</si>
  <si>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</si>
  <si>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</si>
  <si>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</si>
  <si>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</si>
  <si>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</si>
  <si>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</si>
  <si>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</si>
  <si>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</si>
  <si>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</si>
  <si>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</si>
  <si>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</si>
  <si>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</si>
  <si>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</si>
  <si>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</si>
  <si>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</si>
  <si>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</si>
  <si>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</si>
  <si>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</si>
  <si>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</si>
  <si>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</si>
  <si>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</si>
  <si>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</si>
  <si>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</si>
  <si>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</si>
  <si>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</si>
  <si>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</si>
  <si>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</si>
  <si>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</si>
  <si>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</si>
  <si>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</si>
  <si>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</si>
  <si>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</si>
  <si>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</si>
  <si>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</si>
  <si>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</si>
  <si>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</si>
  <si>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</si>
  <si>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</si>
  <si>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</si>
  <si>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</si>
  <si>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</si>
  <si>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</si>
  <si>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</si>
  <si>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</si>
  <si>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</si>
  <si>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</si>
  <si>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</si>
  <si>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</si>
  <si>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</si>
  <si>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</si>
  <si>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</si>
  <si>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</si>
  <si>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</si>
  <si>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</si>
  <si>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</si>
  <si>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</si>
  <si>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</si>
  <si>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</si>
  <si>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</si>
  <si>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</si>
  <si>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</si>
  <si>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</si>
  <si>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</si>
  <si>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</si>
  <si>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</si>
  <si>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</si>
  <si>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</si>
  <si>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</si>
  <si>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</si>
  <si>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</si>
  <si>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</si>
  <si>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</si>
  <si>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</si>
  <si>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</si>
  <si>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</si>
  <si>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</si>
  <si>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</si>
  <si>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</si>
  <si>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</si>
  <si>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</si>
  <si>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</si>
  <si>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</si>
  <si>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</si>
  <si>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</si>
  <si>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</si>
  <si>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</si>
  <si>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</si>
  <si>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</si>
  <si>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</si>
  <si>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</si>
  <si>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</si>
  <si>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</si>
  <si>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</si>
  <si>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</si>
  <si>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</si>
  <si>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</si>
  <si>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</si>
  <si>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</si>
  <si>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</si>
  <si>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</si>
  <si>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</si>
  <si>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</si>
  <si>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</si>
  <si>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</si>
  <si>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</si>
  <si>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</si>
  <si>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</si>
  <si>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</si>
  <si>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</si>
  <si>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</si>
  <si>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</si>
  <si>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</si>
  <si>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</si>
  <si>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</si>
  <si>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</si>
  <si>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</si>
  <si>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</si>
  <si>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</si>
  <si>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</si>
  <si>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</si>
  <si>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</si>
  <si>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</si>
  <si>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</si>
  <si>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</si>
  <si>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</si>
  <si>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</si>
  <si>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</si>
  <si>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</si>
  <si>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</si>
  <si>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</si>
  <si>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</si>
  <si>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</si>
  <si>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</si>
  <si>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</si>
  <si>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</si>
  <si>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</si>
  <si>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</si>
  <si>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</si>
  <si>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</si>
  <si>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</si>
  <si>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</si>
  <si>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</si>
  <si>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</si>
  <si>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</si>
  <si>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</si>
  <si>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</si>
  <si>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</si>
  <si>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</si>
  <si>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</si>
  <si>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</si>
  <si>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</si>
  <si>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</si>
  <si>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</si>
  <si>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</si>
  <si>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</si>
  <si>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</si>
  <si>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</si>
  <si>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</si>
  <si>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</si>
  <si>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</si>
  <si>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</si>
  <si>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</si>
  <si>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</si>
  <si>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</si>
  <si>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</si>
  <si>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</si>
  <si>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</si>
  <si>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</si>
  <si>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</si>
  <si>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</si>
  <si>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</si>
  <si>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</si>
  <si>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</si>
  <si>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</si>
  <si>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</si>
  <si>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</si>
  <si>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</si>
  <si>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</si>
  <si>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</si>
  <si>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</si>
  <si>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</si>
  <si>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</si>
  <si>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</si>
  <si>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</si>
  <si>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</si>
  <si>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</si>
  <si>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</si>
  <si>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</si>
  <si>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</si>
  <si>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</si>
  <si>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</si>
  <si>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</si>
  <si>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</si>
  <si>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</si>
  <si>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</si>
  <si>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</si>
  <si>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</si>
  <si>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</si>
  <si>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</si>
  <si>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</si>
  <si>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</si>
  <si>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</si>
  <si>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</si>
  <si>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</si>
  <si>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</si>
  <si>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</si>
  <si>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</si>
  <si>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</si>
  <si>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</si>
  <si>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</si>
  <si>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</si>
  <si>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</si>
  <si>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</si>
  <si>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</si>
  <si>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</si>
  <si>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</si>
  <si>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</si>
  <si>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</si>
  <si>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</si>
  <si>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</si>
  <si>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</si>
  <si>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</si>
  <si>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</si>
  <si>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</si>
  <si>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</si>
  <si>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</si>
  <si>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</si>
  <si>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</si>
  <si>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</si>
  <si>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</si>
  <si>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</si>
  <si>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</si>
  <si>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</si>
  <si>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</si>
  <si>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</si>
  <si>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</si>
  <si>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</si>
  <si>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</si>
  <si>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</si>
  <si>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</si>
  <si>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</si>
  <si>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</si>
  <si>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</si>
  <si>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</si>
  <si>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</si>
  <si>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</si>
  <si>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</si>
  <si>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</si>
  <si>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</si>
  <si>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</si>
  <si>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</si>
  <si>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</si>
  <si>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</si>
  <si>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</si>
  <si>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</si>
  <si>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</si>
  <si>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</si>
  <si>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</si>
  <si>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</si>
  <si>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</si>
  <si>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</si>
  <si>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</si>
  <si>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</si>
  <si>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</si>
  <si>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</si>
  <si>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</si>
  <si>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</si>
  <si>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</si>
  <si>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</si>
  <si>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</si>
  <si>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</si>
  <si>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</si>
  <si>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</si>
  <si>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</si>
  <si>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</si>
  <si>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</si>
  <si>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</si>
  <si>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</si>
  <si>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</si>
  <si>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</si>
  <si>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</si>
  <si>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</si>
  <si>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</si>
  <si>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</si>
  <si>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</si>
  <si>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</si>
  <si>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</si>
  <si>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</si>
  <si>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</si>
  <si>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</si>
  <si>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</si>
  <si>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</si>
  <si>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</si>
  <si>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</si>
  <si>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</si>
  <si>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</si>
  <si>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</si>
  <si>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</si>
  <si>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</si>
  <si>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</si>
  <si>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</si>
  <si>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</si>
  <si>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</si>
  <si>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</si>
  <si>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</si>
  <si>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</si>
  <si>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</si>
  <si>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</si>
  <si>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</si>
  <si>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</si>
  <si>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</si>
  <si>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</si>
  <si>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</si>
  <si>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</si>
  <si>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</si>
  <si>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</si>
  <si>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</si>
  <si>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</si>
  <si>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</si>
  <si>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</si>
  <si>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</si>
  <si>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</si>
  <si>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</si>
  <si>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</si>
  <si>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</si>
  <si>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</si>
  <si>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</si>
  <si>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</si>
  <si>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</si>
  <si>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</si>
  <si>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</si>
  <si>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</si>
  <si>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</si>
  <si>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</si>
  <si>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</si>
  <si>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</si>
  <si>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</si>
  <si>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</si>
  <si>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</si>
  <si>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</si>
  <si>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</si>
  <si>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</si>
  <si>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</si>
  <si>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</si>
  <si>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</si>
  <si>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</si>
  <si>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</si>
  <si>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</si>
  <si>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</si>
  <si>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</si>
  <si>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</si>
  <si>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</si>
  <si>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</si>
  <si>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</si>
  <si>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</si>
  <si>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</si>
  <si>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</si>
  <si>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</si>
  <si>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</si>
  <si>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</si>
  <si>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</si>
  <si>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</si>
  <si>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</si>
  <si>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</si>
  <si>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</si>
  <si>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</si>
  <si>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</si>
  <si>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</si>
  <si>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</si>
  <si>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</si>
  <si>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</si>
  <si>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</si>
  <si>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</si>
  <si>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</si>
  <si>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</si>
  <si>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</si>
  <si>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</si>
  <si>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</si>
  <si>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</si>
  <si>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</si>
  <si>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</si>
  <si>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</si>
  <si>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</si>
  <si>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</si>
  <si>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</si>
  <si>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</si>
  <si>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</si>
  <si>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</si>
  <si>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</si>
  <si>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</si>
  <si>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</si>
  <si>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</si>
  <si>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</si>
  <si>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</si>
  <si>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</si>
  <si>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</si>
  <si>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</si>
  <si>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</si>
  <si>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</si>
  <si>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</si>
  <si>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</si>
  <si>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</si>
  <si>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</si>
  <si>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</si>
  <si>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</si>
  <si>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</si>
  <si>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</si>
  <si>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</si>
  <si>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</si>
  <si>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</si>
  <si>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</si>
  <si>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</si>
  <si>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</si>
  <si>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</si>
  <si>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</si>
  <si>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</si>
  <si>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</si>
  <si>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</si>
  <si>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</si>
  <si>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</si>
  <si>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</si>
  <si>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</si>
  <si>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</si>
  <si>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</si>
  <si>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</si>
  <si>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</si>
  <si>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</si>
  <si>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</si>
  <si>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</si>
  <si>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</si>
  <si>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</si>
  <si>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</si>
  <si>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</si>
  <si>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</si>
  <si>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</si>
  <si>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</si>
  <si>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</si>
  <si>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</si>
  <si>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</si>
  <si>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</si>
  <si>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</si>
  <si>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</si>
  <si>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</si>
  <si>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</si>
  <si>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</si>
  <si>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</si>
  <si>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</si>
  <si>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</si>
  <si>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</si>
  <si>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</si>
  <si>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</si>
  <si>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</si>
  <si>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</si>
  <si>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</si>
  <si>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</si>
  <si>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</si>
  <si>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</si>
  <si>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</si>
  <si>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</si>
  <si>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</si>
  <si>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</si>
  <si>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</si>
  <si>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</si>
  <si>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</si>
  <si>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</si>
  <si>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</si>
  <si>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</si>
  <si>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</si>
  <si>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</si>
  <si>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</si>
  <si>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</si>
  <si>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</si>
  <si>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</si>
  <si>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</si>
  <si>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</si>
  <si>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</si>
  <si>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</si>
  <si>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</si>
  <si>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</si>
  <si>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</si>
  <si>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</si>
  <si>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</si>
  <si>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</si>
  <si>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</si>
  <si>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</si>
  <si>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</si>
  <si>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</si>
  <si>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</si>
  <si>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</si>
  <si>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</si>
  <si>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</si>
  <si>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</si>
  <si>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</si>
  <si>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</si>
  <si>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</si>
  <si>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</si>
  <si>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</si>
  <si>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</si>
  <si>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</si>
  <si>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</si>
  <si>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</si>
  <si>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</si>
  <si>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</si>
  <si>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</si>
  <si>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</si>
  <si>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</si>
  <si>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</si>
  <si>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</si>
  <si>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</si>
  <si>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</si>
  <si>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</si>
  <si>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</si>
  <si>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</si>
  <si>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</si>
  <si>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</si>
  <si>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</si>
  <si>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</si>
  <si>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</si>
  <si>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</si>
  <si>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</si>
  <si>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</si>
  <si>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</si>
  <si>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</si>
  <si>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</si>
  <si>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</si>
  <si>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</si>
  <si>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</si>
  <si>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</si>
  <si>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</si>
  <si>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</si>
  <si>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</si>
  <si>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</si>
  <si>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</si>
  <si>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</si>
  <si>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</si>
  <si>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</si>
  <si>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</si>
  <si>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</si>
  <si>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</si>
  <si>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</si>
  <si>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</si>
  <si>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</si>
  <si>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</si>
  <si>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</si>
  <si>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</si>
  <si>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</si>
  <si>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</si>
  <si>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</si>
  <si>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</si>
  <si>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</si>
  <si>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</si>
  <si>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</si>
  <si>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</si>
  <si>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</si>
  <si>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</si>
  <si>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</si>
  <si>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</si>
  <si>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</si>
  <si>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</si>
  <si>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</si>
  <si>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</si>
  <si>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</si>
  <si>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</si>
  <si>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</si>
  <si>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</si>
  <si>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</si>
  <si>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</si>
  <si>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</si>
  <si>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</si>
  <si>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</si>
  <si>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</si>
  <si>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</si>
  <si>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</si>
  <si>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</si>
  <si>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</si>
  <si>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</si>
  <si>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</si>
  <si>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</si>
  <si>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</si>
  <si>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</si>
  <si>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</si>
  <si>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</si>
  <si>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</si>
  <si>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</si>
  <si>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</si>
  <si>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</si>
  <si>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</si>
  <si>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</si>
  <si>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</si>
  <si>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</si>
  <si>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</si>
  <si>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</si>
  <si>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</si>
  <si>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</si>
  <si>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</si>
  <si>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</si>
  <si>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</si>
  <si>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</si>
  <si>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</si>
  <si>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</si>
  <si>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</si>
  <si>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</si>
  <si>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</si>
  <si>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</si>
  <si>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</si>
  <si>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</si>
  <si>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</si>
  <si>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</si>
  <si>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</si>
  <si>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</si>
  <si>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</si>
  <si>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</si>
  <si>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</si>
  <si>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</si>
  <si>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</si>
  <si>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</si>
  <si>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</si>
  <si>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</si>
  <si>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</si>
  <si>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</si>
  <si>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</si>
  <si>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</si>
  <si>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</si>
  <si>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</si>
  <si>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</si>
  <si>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</si>
  <si>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</si>
  <si>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</si>
  <si>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</si>
  <si>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</si>
  <si>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</si>
  <si>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</si>
  <si>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</si>
  <si>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</si>
  <si>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</si>
  <si>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</si>
  <si>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</si>
  <si>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</si>
  <si>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</si>
  <si>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</si>
  <si>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</si>
  <si>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</si>
  <si>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</si>
  <si>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</si>
  <si>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</si>
  <si>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</si>
  <si>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</si>
  <si>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</si>
  <si>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</si>
  <si>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</si>
  <si>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</si>
  <si>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</si>
  <si>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</si>
  <si>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</si>
  <si>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</si>
  <si>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</si>
  <si>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</si>
  <si>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</si>
  <si>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</si>
  <si>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</si>
  <si>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</si>
  <si>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</si>
  <si>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</si>
  <si>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</si>
  <si>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</si>
  <si>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</si>
  <si>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</si>
  <si>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</si>
  <si>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</si>
  <si>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</si>
  <si>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</si>
  <si>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</si>
  <si>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</si>
  <si>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</si>
  <si>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</si>
  <si>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</si>
  <si>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</si>
  <si>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</si>
  <si>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</si>
  <si>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</si>
  <si>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</si>
  <si>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</si>
  <si>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</si>
  <si>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</si>
  <si>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</si>
  <si>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</si>
  <si>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</si>
  <si>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</si>
  <si>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</si>
  <si>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</si>
  <si>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</si>
  <si>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</si>
  <si>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</si>
  <si>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</si>
  <si>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</si>
  <si>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</si>
  <si>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</si>
  <si>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</si>
  <si>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</si>
  <si>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</si>
  <si>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</si>
  <si>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</si>
  <si>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</si>
  <si>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</si>
  <si>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</si>
  <si>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</si>
  <si>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</si>
  <si>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</si>
  <si>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</si>
  <si>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</si>
  <si>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</si>
  <si>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</si>
  <si>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</si>
  <si>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</si>
  <si>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</si>
  <si>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</si>
  <si>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</si>
  <si>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</si>
  <si>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</si>
  <si>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</si>
  <si>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</si>
  <si>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</si>
  <si>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</si>
  <si>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</si>
  <si>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</si>
  <si>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</si>
  <si>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</si>
  <si>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</si>
  <si>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</si>
  <si>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</si>
  <si>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</si>
  <si>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</si>
  <si>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</si>
  <si>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</si>
  <si>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</si>
  <si>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</si>
  <si>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</si>
  <si>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</si>
  <si>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</si>
  <si>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</si>
  <si>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</si>
  <si>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</si>
  <si>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</si>
  <si>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</si>
  <si>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</si>
  <si>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</si>
  <si>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</si>
  <si>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</si>
  <si>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</si>
  <si>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</si>
  <si>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</si>
  <si>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</si>
  <si>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</si>
  <si>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</si>
  <si>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</si>
  <si>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</si>
  <si>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</si>
  <si>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</si>
  <si>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</si>
  <si>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</si>
  <si>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</si>
  <si>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</si>
  <si>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</si>
  <si>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</si>
  <si>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</si>
  <si>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</si>
  <si>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</si>
  <si>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</si>
  <si>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</si>
  <si>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</si>
  <si>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</si>
  <si>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</si>
  <si>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</si>
  <si>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</si>
  <si>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</si>
  <si>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</si>
  <si>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</si>
  <si>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</si>
  <si>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</si>
  <si>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</si>
  <si>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</si>
  <si>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</si>
  <si>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</si>
  <si>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</si>
  <si>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</si>
  <si>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</si>
  <si>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</si>
  <si>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</si>
  <si>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</si>
  <si>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</si>
  <si>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</si>
  <si>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</si>
  <si>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</si>
  <si>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</si>
  <si>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</si>
  <si>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</si>
  <si>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</si>
  <si>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</si>
  <si>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</si>
  <si>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</si>
  <si>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</si>
  <si>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</si>
  <si>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</si>
  <si>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</si>
  <si>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</si>
  <si>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</si>
  <si>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</si>
  <si>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</si>
  <si>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</si>
  <si>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</si>
  <si>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</si>
  <si>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</si>
  <si>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</si>
  <si>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</si>
  <si>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</si>
  <si>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</si>
  <si>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</si>
  <si>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</si>
  <si>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</si>
  <si>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</si>
  <si>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</si>
  <si>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</si>
  <si>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</si>
  <si>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</si>
  <si>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</si>
  <si>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</si>
  <si>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</si>
  <si>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</si>
  <si>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</si>
  <si>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</si>
  <si>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</si>
  <si>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</si>
  <si>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</si>
  <si>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</si>
  <si>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</si>
  <si>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</si>
  <si>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</si>
  <si>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</si>
  <si>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</si>
  <si>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</si>
  <si>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</si>
  <si>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</si>
  <si>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</si>
  <si>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</si>
  <si>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</si>
  <si>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</si>
  <si>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</si>
  <si>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</si>
  <si>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</si>
  <si>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</si>
  <si>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</si>
  <si>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</si>
  <si>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</si>
  <si>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</si>
  <si>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</si>
  <si>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</si>
  <si>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</si>
  <si>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</si>
  <si>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</si>
  <si>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</si>
  <si>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</si>
  <si>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</si>
  <si>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</si>
  <si>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</si>
  <si>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</si>
  <si>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</si>
  <si>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</si>
  <si>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</si>
  <si>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</si>
  <si>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</si>
  <si>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</si>
  <si>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</si>
  <si>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</si>
  <si>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</si>
  <si>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</si>
  <si>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</si>
  <si>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</si>
  <si>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</si>
  <si>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</si>
  <si>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</si>
  <si>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</si>
  <si>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</si>
  <si>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</si>
  <si>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</si>
  <si>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</si>
  <si>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</si>
  <si>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</si>
  <si>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</si>
  <si>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</si>
  <si>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</si>
  <si>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</si>
  <si>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</si>
  <si>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</si>
  <si>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</si>
  <si>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</si>
  <si>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</si>
  <si>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</si>
  <si>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</si>
  <si>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</si>
  <si>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</si>
  <si>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</si>
  <si>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</si>
  <si>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</si>
  <si>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</si>
  <si>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</si>
  <si>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</si>
  <si>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</si>
  <si>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</si>
  <si>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</si>
  <si>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</si>
  <si>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</si>
  <si>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</si>
  <si>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</si>
  <si>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</si>
  <si>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</si>
  <si>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</si>
  <si>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</si>
  <si>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</si>
  <si>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</si>
  <si>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</si>
  <si>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</si>
  <si>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</si>
  <si>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</si>
  <si>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</si>
  <si>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</si>
  <si>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</si>
  <si>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</si>
  <si>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</si>
  <si>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</si>
  <si>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</si>
  <si>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</si>
  <si>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</si>
  <si>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</si>
  <si>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</si>
  <si>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</si>
  <si>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</si>
  <si>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</si>
  <si>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</si>
  <si>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</si>
  <si>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</si>
  <si>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</si>
  <si>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</si>
  <si>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</si>
  <si>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</si>
  <si>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</si>
  <si>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</si>
  <si>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</si>
  <si>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</si>
  <si>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</si>
  <si>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</si>
  <si>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</si>
  <si>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</si>
  <si>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</si>
  <si>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</si>
  <si>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</si>
  <si>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</si>
  <si>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</si>
  <si>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</si>
  <si>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</si>
  <si>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</si>
  <si>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</si>
  <si>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</si>
  <si>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</si>
  <si>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</si>
  <si>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</si>
  <si>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</si>
  <si>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</si>
  <si>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</si>
  <si>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</si>
  <si>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</si>
  <si>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</si>
  <si>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</si>
  <si>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</si>
  <si>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</si>
  <si>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</si>
  <si>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</si>
  <si>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</si>
  <si>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</si>
  <si>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</si>
  <si>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</si>
  <si>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</si>
  <si>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</si>
  <si>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</si>
  <si>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</si>
  <si>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</si>
  <si>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</si>
  <si>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</si>
  <si>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</si>
  <si>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</si>
  <si>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</si>
  <si>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</si>
  <si>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</si>
  <si>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</si>
  <si>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</si>
  <si>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</si>
  <si>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</si>
  <si>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</si>
  <si>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</si>
  <si>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</si>
  <si>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</si>
  <si>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</si>
  <si>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</si>
  <si>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</si>
  <si>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</si>
  <si>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</si>
  <si>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</si>
  <si>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</si>
  <si>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</si>
  <si>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</si>
  <si>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</si>
  <si>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</si>
  <si>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</si>
  <si>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</si>
  <si>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</si>
  <si>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</si>
  <si>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</si>
  <si>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</si>
  <si>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</si>
  <si>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</si>
  <si>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</si>
  <si>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</si>
  <si>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</si>
  <si>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</si>
  <si>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</si>
  <si>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</si>
  <si>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</si>
  <si>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</si>
  <si>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</si>
  <si>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</si>
  <si>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</si>
  <si>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</si>
  <si>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</si>
  <si>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</si>
  <si>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</si>
  <si>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</si>
  <si>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</si>
  <si>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</si>
  <si>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</si>
  <si>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</si>
  <si>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</si>
  <si>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</si>
  <si>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</si>
  <si>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</si>
  <si>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</si>
  <si>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</si>
  <si>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</si>
  <si>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</si>
  <si>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</si>
  <si>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</si>
  <si>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</si>
  <si>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</si>
  <si>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</si>
  <si>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</si>
  <si>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</si>
  <si>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</si>
  <si>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</si>
  <si>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</si>
  <si>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</si>
  <si>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</si>
  <si>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</si>
  <si>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</si>
  <si>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</si>
  <si>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</si>
  <si>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</si>
  <si>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</si>
  <si>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</si>
  <si>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</si>
  <si>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</si>
  <si>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</si>
  <si>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</si>
  <si>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</si>
  <si>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</si>
  <si>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</si>
  <si>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</si>
  <si>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</si>
  <si>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</si>
  <si>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</si>
  <si>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</si>
  <si>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</si>
  <si>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</si>
  <si>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</si>
  <si>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</si>
  <si>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</si>
  <si>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</si>
  <si>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</si>
  <si>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</si>
  <si>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</si>
  <si>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</si>
  <si>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</si>
  <si>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</si>
  <si>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</si>
  <si>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</si>
  <si>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</si>
  <si>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</si>
  <si>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</si>
  <si>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</si>
  <si>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</si>
  <si>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</si>
  <si>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</si>
  <si>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</si>
  <si>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</si>
  <si>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</si>
  <si>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</si>
  <si>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</si>
  <si>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</si>
  <si>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</si>
  <si>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</si>
  <si>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</si>
  <si>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</si>
  <si>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</si>
  <si>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</si>
  <si>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</si>
  <si>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</si>
  <si>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</si>
  <si>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</si>
  <si>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</si>
  <si>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</si>
  <si>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</si>
  <si>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</si>
  <si>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</si>
  <si>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</si>
  <si>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</si>
  <si>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</si>
  <si>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</si>
  <si>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</si>
  <si>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</si>
  <si>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</si>
  <si>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</si>
  <si>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</si>
  <si>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</si>
  <si>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</si>
  <si>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</si>
  <si>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</si>
  <si>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</si>
  <si>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</si>
  <si>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</si>
  <si>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</si>
  <si>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</si>
  <si>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</si>
  <si>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</si>
  <si>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</si>
  <si>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</si>
  <si>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</si>
  <si>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</si>
  <si>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</si>
  <si>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</si>
  <si>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</si>
  <si>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</si>
  <si>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</si>
  <si>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</si>
  <si>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</si>
  <si>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</si>
  <si>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</si>
  <si>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</si>
  <si>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</si>
  <si>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</si>
  <si>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</si>
  <si>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</si>
  <si>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</si>
  <si>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</si>
  <si>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</si>
  <si>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</si>
  <si>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</si>
  <si>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</si>
  <si>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</si>
  <si>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</si>
  <si>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</si>
  <si>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</si>
  <si>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</si>
  <si>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</si>
  <si>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</si>
  <si>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</si>
  <si>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</si>
  <si>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</si>
  <si>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</si>
  <si>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</si>
  <si>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</si>
  <si>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</si>
  <si>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</si>
  <si>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</si>
  <si>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</si>
  <si>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</si>
  <si>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</si>
  <si>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</si>
  <si>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</si>
  <si>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</si>
  <si>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</si>
  <si>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</si>
  <si>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</si>
  <si>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</si>
  <si>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</si>
  <si>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</si>
  <si>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</si>
  <si>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</si>
  <si>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</si>
  <si>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</si>
  <si>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</si>
  <si>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</si>
  <si>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</si>
  <si>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</si>
  <si>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</si>
  <si>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</si>
  <si>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</si>
  <si>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</si>
  <si>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</si>
  <si>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</si>
  <si>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</si>
  <si>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</si>
  <si>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</si>
  <si>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</si>
  <si>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</si>
  <si>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</si>
  <si>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</si>
  <si>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</si>
  <si>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</si>
  <si>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</si>
  <si>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</si>
  <si>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</si>
  <si>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</si>
  <si>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</si>
  <si>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</si>
  <si>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</si>
  <si>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</si>
  <si>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</si>
  <si>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</si>
  <si>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</si>
  <si>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</si>
  <si>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</si>
  <si>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</si>
  <si>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</si>
  <si>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</si>
  <si>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</si>
  <si>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</si>
  <si>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</si>
  <si>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</si>
  <si>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</si>
  <si>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</si>
  <si>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</si>
  <si>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</si>
  <si>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</si>
  <si>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</si>
  <si>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</si>
  <si>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</si>
  <si>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</si>
  <si>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</si>
  <si>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</si>
  <si>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</si>
  <si>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</si>
  <si>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</si>
  <si>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</si>
  <si>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</si>
  <si>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</si>
  <si>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</si>
  <si>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</si>
  <si>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</si>
  <si>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</si>
  <si>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</si>
  <si>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</si>
  <si>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</si>
  <si>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</si>
  <si>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</si>
  <si>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</si>
  <si>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</si>
  <si>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</si>
  <si>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</si>
  <si>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</si>
  <si>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</si>
  <si>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</si>
  <si>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</si>
  <si>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</si>
  <si>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</si>
  <si>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</si>
  <si>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</si>
  <si>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</si>
  <si>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</si>
  <si>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</si>
  <si>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</si>
  <si>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</si>
  <si>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</si>
  <si>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</si>
  <si>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</si>
  <si>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</si>
  <si>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</si>
  <si>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</si>
  <si>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</si>
  <si>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</si>
  <si>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</si>
  <si>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</si>
  <si>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</si>
  <si>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</si>
  <si>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</si>
  <si>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</si>
  <si>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</si>
  <si>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</si>
  <si>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</si>
  <si>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</si>
  <si>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</si>
  <si>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</si>
  <si>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</si>
  <si>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</si>
  <si>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</si>
  <si>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</si>
  <si>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</si>
  <si>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</si>
  <si>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</si>
  <si>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</si>
  <si>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</si>
  <si>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</si>
  <si>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</si>
  <si>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</si>
  <si>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</si>
  <si>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</si>
  <si>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</si>
  <si>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</si>
  <si>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</si>
  <si>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</si>
  <si>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</si>
  <si>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</si>
  <si>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</si>
  <si>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</si>
  <si>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</si>
  <si>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</si>
  <si>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</si>
  <si>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</si>
  <si>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</si>
  <si>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</si>
  <si>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</si>
  <si>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</si>
  <si>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</si>
  <si>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</si>
  <si>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</si>
  <si>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</si>
  <si>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</si>
  <si>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</si>
  <si>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</si>
  <si>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</si>
  <si>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</si>
  <si>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</si>
  <si>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</si>
  <si>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</si>
  <si>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</si>
  <si>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</si>
  <si>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</si>
  <si>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</si>
  <si>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</si>
  <si>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</si>
  <si>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</si>
  <si>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</si>
  <si>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</si>
  <si>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</si>
  <si>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</si>
  <si>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</si>
  <si>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</si>
  <si>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</si>
  <si>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</si>
  <si>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</si>
  <si>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</si>
  <si>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</si>
  <si>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</si>
  <si>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</si>
  <si>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</si>
  <si>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</si>
  <si>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</si>
  <si>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</si>
  <si>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</si>
  <si>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</si>
  <si>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</si>
  <si>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</si>
  <si>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</si>
  <si>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</si>
  <si>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</si>
  <si>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</si>
  <si>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</si>
  <si>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</si>
  <si>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</si>
  <si>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</si>
  <si>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</si>
  <si>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</si>
  <si>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</si>
  <si>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</si>
  <si>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</si>
  <si>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</si>
  <si>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</si>
  <si>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</si>
  <si>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</si>
  <si>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</si>
  <si>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</si>
  <si>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</si>
  <si>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</si>
  <si>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</si>
  <si>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</si>
  <si>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</si>
  <si>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</si>
  <si>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</si>
  <si>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</si>
  <si>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</si>
  <si>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</si>
  <si>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</si>
  <si>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</si>
  <si>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</si>
  <si>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</si>
  <si>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</si>
  <si>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</si>
  <si>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</si>
  <si>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</si>
  <si>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</si>
  <si>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</si>
  <si>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</si>
  <si>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</si>
  <si>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</si>
  <si>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</si>
  <si>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</si>
  <si>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</si>
  <si>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</si>
  <si>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</si>
  <si>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</si>
  <si>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</si>
  <si>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</si>
  <si>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</si>
  <si>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</si>
  <si>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</si>
  <si>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</si>
  <si>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</si>
  <si>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</si>
  <si>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</si>
  <si>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</si>
  <si>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</si>
  <si>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</si>
  <si>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</si>
  <si>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</si>
  <si>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</si>
  <si>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</si>
  <si>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</si>
  <si>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</si>
  <si>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</si>
  <si>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</si>
  <si>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</si>
  <si>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</si>
  <si>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</si>
  <si>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</si>
  <si>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</si>
  <si>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</si>
  <si>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</si>
  <si>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</si>
  <si>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</si>
  <si>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</si>
  <si>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</si>
  <si>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</si>
  <si>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</si>
  <si>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</si>
  <si>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</si>
  <si>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</si>
  <si>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</si>
  <si>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</si>
  <si>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</si>
  <si>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</si>
  <si>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</si>
  <si>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</si>
  <si>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</si>
  <si>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</si>
  <si>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</si>
  <si>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</si>
  <si>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</si>
  <si>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</si>
  <si>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</si>
  <si>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</si>
  <si>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</si>
  <si>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</si>
  <si>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</si>
  <si>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</si>
  <si>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</si>
  <si>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</si>
  <si>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</si>
  <si>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</si>
  <si>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</si>
  <si>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</si>
  <si>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</si>
  <si>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</si>
  <si>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</si>
  <si>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</si>
  <si>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</si>
  <si>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</si>
  <si>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</si>
  <si>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</si>
  <si>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</si>
  <si>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</si>
  <si>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</si>
  <si>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</si>
  <si>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</si>
  <si>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</si>
  <si>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</si>
  <si>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</si>
  <si>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</si>
  <si>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</si>
  <si>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</si>
  <si>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</si>
  <si>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</si>
  <si>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</si>
  <si>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</si>
  <si>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</si>
  <si>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</si>
  <si>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</si>
  <si>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</si>
  <si>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</si>
  <si>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</si>
  <si>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</si>
  <si>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</si>
  <si>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</si>
  <si>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</si>
  <si>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</si>
  <si>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</si>
  <si>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</si>
  <si>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</si>
  <si>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</si>
  <si>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</si>
  <si>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</si>
  <si>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</si>
  <si>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</si>
  <si>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</si>
  <si>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</si>
  <si>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</si>
  <si>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</si>
  <si>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</si>
  <si>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</si>
  <si>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</si>
  <si>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</si>
  <si>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</si>
  <si>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</si>
  <si>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</si>
  <si>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</si>
  <si>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</si>
  <si>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</si>
  <si>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</si>
  <si>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</si>
  <si>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</si>
  <si>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</si>
  <si>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</si>
  <si>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</si>
  <si>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</si>
  <si>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</si>
  <si>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</si>
  <si>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</si>
  <si>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</si>
  <si>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</si>
  <si>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</si>
  <si>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</si>
  <si>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</si>
  <si>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</si>
  <si>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</si>
  <si>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</si>
  <si>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</si>
  <si>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</si>
  <si>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</si>
  <si>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</si>
  <si>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</si>
  <si>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</si>
  <si>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</si>
  <si>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</si>
  <si>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</si>
  <si>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</si>
  <si>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</si>
  <si>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</si>
  <si>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</si>
  <si>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</si>
  <si>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</si>
  <si>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</si>
  <si>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</si>
  <si>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</si>
  <si>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</si>
  <si>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</si>
  <si>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</si>
  <si>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</si>
  <si>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</si>
  <si>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</si>
  <si>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</si>
  <si>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</si>
  <si>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</si>
  <si>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</si>
  <si>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</si>
  <si>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</si>
  <si>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</si>
  <si>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</si>
  <si>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</si>
  <si>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</si>
  <si>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</si>
  <si>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</si>
  <si>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</si>
  <si>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</si>
  <si>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</si>
  <si>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</si>
  <si>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</si>
  <si>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</si>
  <si>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</si>
  <si>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</si>
  <si>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</si>
  <si>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</si>
  <si>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</si>
  <si>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</si>
  <si>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</si>
  <si>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</si>
  <si>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</si>
  <si>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</si>
  <si>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</si>
  <si>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</si>
  <si>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</si>
  <si>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</si>
  <si>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</si>
  <si>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</si>
  <si>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</si>
  <si>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</si>
  <si>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</si>
  <si>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</si>
  <si>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</si>
  <si>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</si>
  <si>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</si>
  <si>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</si>
  <si>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</si>
  <si>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</si>
  <si>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</si>
  <si>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</si>
  <si>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</si>
  <si>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</si>
  <si>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</si>
  <si>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</si>
  <si>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</si>
  <si>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</si>
  <si>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</si>
  <si>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</si>
  <si>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</si>
  <si>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</si>
  <si>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</si>
  <si>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</si>
  <si>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</si>
  <si>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</si>
  <si>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</si>
  <si>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</si>
  <si>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</si>
  <si>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</si>
  <si>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</si>
  <si>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</si>
  <si>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</si>
  <si>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</si>
  <si>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</si>
  <si>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</si>
  <si>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</si>
  <si>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</si>
  <si>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</si>
  <si>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</si>
  <si>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</si>
  <si>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</si>
  <si>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</si>
  <si>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</si>
  <si>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</si>
  <si>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</si>
  <si>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</si>
  <si>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</si>
  <si>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</si>
  <si>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</si>
  <si>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</si>
  <si>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</si>
  <si>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</si>
  <si>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</si>
  <si>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</si>
  <si>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</si>
  <si>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</si>
  <si>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</si>
  <si>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</si>
  <si>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</si>
  <si>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</si>
  <si>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</si>
  <si>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</si>
  <si>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</si>
  <si>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</si>
  <si>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</si>
  <si>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</si>
  <si>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</si>
  <si>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</si>
  <si>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</si>
  <si>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</si>
  <si>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</si>
  <si>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</si>
  <si>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</si>
  <si>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</si>
  <si>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</si>
  <si>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</si>
  <si>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</si>
  <si>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</si>
  <si>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</si>
  <si>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</si>
  <si>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</si>
  <si>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</si>
  <si>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</si>
  <si>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</si>
  <si>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</si>
  <si>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</si>
  <si>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</si>
  <si>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</si>
  <si>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</si>
  <si>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</si>
  <si>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</si>
  <si>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</si>
  <si>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</si>
  <si>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</si>
  <si>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</si>
  <si>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</si>
  <si>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</si>
  <si>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</si>
  <si>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</si>
  <si>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</si>
  <si>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</si>
  <si>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</si>
  <si>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</si>
  <si>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</si>
  <si>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</si>
  <si>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</si>
  <si>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</si>
  <si>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</si>
  <si>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</si>
  <si>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</si>
  <si>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</si>
  <si>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</si>
  <si>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</si>
  <si>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</si>
  <si>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</si>
  <si>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</si>
  <si>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</si>
  <si>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</si>
  <si>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</si>
  <si>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</si>
  <si>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</si>
  <si>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</si>
  <si>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</si>
  <si>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</si>
  <si>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</si>
  <si>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</si>
  <si>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</si>
  <si>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</si>
  <si>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</si>
  <si>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</si>
  <si>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</si>
  <si>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</si>
  <si>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</si>
  <si>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</si>
  <si>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</si>
  <si>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</si>
  <si>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</si>
  <si>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</si>
  <si>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</si>
  <si>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</si>
  <si>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</si>
  <si>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</si>
  <si>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</si>
  <si>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</si>
  <si>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</si>
  <si>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</si>
  <si>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</si>
  <si>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</si>
  <si>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</si>
  <si>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</si>
  <si>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</si>
  <si>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</si>
  <si>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</si>
  <si>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</si>
  <si>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</si>
  <si>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</si>
  <si>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</si>
  <si>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</si>
  <si>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</si>
  <si>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</si>
  <si>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</si>
  <si>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</si>
  <si>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</si>
  <si>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</si>
  <si>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</si>
  <si>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</si>
  <si>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</si>
  <si>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</si>
  <si>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</si>
  <si>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</si>
  <si>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</si>
  <si>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</si>
  <si>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</si>
  <si>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</si>
  <si>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</si>
  <si>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</si>
  <si>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</si>
  <si>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</si>
  <si>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</si>
  <si>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</si>
  <si>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</si>
  <si>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</si>
  <si>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</si>
  <si>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</si>
  <si>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</si>
  <si>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</si>
  <si>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</si>
  <si>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</si>
  <si>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</si>
  <si>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</si>
  <si>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</si>
  <si>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</si>
  <si>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</si>
  <si>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</si>
  <si>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</si>
  <si>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</si>
  <si>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</si>
  <si>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</si>
  <si>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</si>
  <si>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</si>
  <si>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</si>
  <si>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</si>
  <si>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</si>
  <si>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</si>
  <si>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</si>
  <si>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</si>
  <si>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</si>
  <si>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</si>
  <si>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</si>
  <si>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</si>
  <si>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</si>
  <si>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</si>
  <si>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</si>
  <si>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</si>
  <si>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</si>
  <si>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</si>
  <si>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</si>
  <si>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</si>
  <si>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</si>
  <si>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</si>
  <si>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</si>
  <si>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</si>
  <si>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</si>
  <si>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</si>
  <si>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</si>
  <si>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</si>
  <si>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</si>
  <si>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</si>
  <si>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</si>
  <si>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</si>
  <si>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</si>
  <si>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</si>
  <si>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</si>
  <si>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</si>
  <si>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</si>
  <si>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</si>
  <si>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</si>
  <si>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</si>
  <si>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</si>
  <si>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</si>
  <si>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</si>
  <si>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</si>
  <si>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</si>
  <si>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</si>
  <si>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</si>
  <si>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</si>
  <si>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</si>
  <si>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</si>
  <si>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</si>
  <si>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</si>
  <si>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</si>
  <si>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</si>
  <si>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</si>
  <si>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</si>
  <si>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</si>
  <si>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</si>
  <si>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</si>
  <si>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</si>
  <si>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</si>
  <si>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</si>
  <si>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</si>
  <si>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</si>
  <si>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</si>
  <si>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</si>
  <si>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</si>
  <si>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</si>
  <si>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</si>
  <si>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</si>
  <si>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</si>
  <si>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</si>
  <si>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</si>
  <si>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</si>
  <si>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</si>
  <si>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</si>
  <si>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</si>
  <si>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</si>
  <si>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</si>
  <si>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</si>
  <si>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</si>
  <si>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</si>
  <si>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</si>
  <si>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</si>
  <si>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</si>
  <si>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</si>
  <si>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</si>
  <si>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</si>
  <si>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</si>
  <si>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</si>
  <si>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</si>
  <si>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</si>
  <si>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</si>
  <si>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</si>
  <si>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</si>
  <si>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</si>
  <si>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</si>
  <si>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</si>
  <si>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</si>
  <si>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</si>
  <si>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</si>
  <si>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</si>
  <si>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</si>
  <si>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</si>
  <si>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</si>
  <si>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</si>
  <si>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</si>
  <si>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</si>
  <si>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</si>
  <si>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</si>
  <si>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</si>
  <si>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</si>
  <si>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</si>
  <si>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</si>
  <si>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</si>
  <si>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</si>
  <si>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</si>
  <si>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</si>
  <si>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</si>
  <si>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</si>
  <si>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</si>
  <si>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</si>
  <si>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</si>
  <si>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</si>
  <si>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</si>
  <si>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</si>
  <si>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</si>
  <si>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</si>
  <si>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</si>
  <si>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</si>
  <si>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</si>
  <si>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</si>
  <si>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</si>
  <si>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</si>
  <si>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</si>
  <si>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</si>
  <si>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</si>
  <si>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</si>
  <si>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</si>
  <si>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</si>
  <si>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</si>
  <si>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</si>
  <si>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</si>
  <si>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</si>
  <si>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</si>
  <si>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</si>
  <si>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</si>
  <si>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</si>
  <si>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</si>
  <si>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</si>
  <si>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</si>
  <si>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</si>
  <si>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</si>
  <si>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</si>
  <si>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</si>
  <si>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</si>
  <si>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</si>
  <si>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</si>
  <si>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</si>
  <si>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</si>
  <si>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</si>
  <si>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</si>
  <si>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</si>
  <si>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</si>
  <si>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</si>
  <si>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</si>
  <si>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</si>
  <si>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</si>
  <si>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</si>
  <si>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</si>
  <si>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</si>
  <si>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</si>
  <si>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</si>
  <si>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</si>
  <si>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</si>
  <si>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</si>
  <si>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</si>
  <si>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</si>
  <si>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</si>
  <si>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</si>
  <si>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</si>
  <si>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</si>
  <si>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</si>
  <si>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</si>
  <si>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</si>
  <si>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</si>
  <si>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</si>
  <si>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</si>
  <si>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</si>
  <si>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</si>
  <si>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</si>
  <si>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</si>
  <si>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</si>
  <si>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</si>
  <si>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</si>
  <si>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</si>
  <si>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</si>
  <si>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</si>
  <si>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</si>
  <si>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</si>
  <si>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</si>
  <si>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</si>
  <si>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</si>
  <si>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</si>
  <si>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</si>
  <si>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</si>
  <si>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</si>
  <si>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</si>
  <si>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</si>
  <si>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</si>
  <si>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</si>
  <si>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</si>
  <si>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</si>
  <si>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</si>
  <si>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</si>
  <si>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</si>
  <si>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</si>
  <si>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</si>
  <si>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</si>
  <si>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</si>
  <si>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</si>
  <si>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</si>
  <si>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</si>
  <si>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</si>
  <si>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</si>
  <si>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</si>
  <si>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</si>
  <si>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</si>
  <si>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</si>
  <si>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</si>
  <si>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</si>
  <si>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</si>
  <si>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</si>
  <si>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</si>
  <si>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</si>
  <si>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</si>
  <si>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</si>
  <si>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</si>
  <si>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</si>
  <si>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</si>
  <si>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</si>
  <si>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</si>
  <si>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</si>
  <si>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</si>
  <si>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</si>
  <si>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</si>
  <si>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</si>
  <si>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</si>
  <si>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</si>
  <si>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</si>
  <si>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</si>
  <si>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</si>
  <si>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</si>
  <si>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</si>
  <si>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</si>
  <si>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</si>
  <si>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</si>
  <si>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</si>
  <si>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</si>
  <si>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</si>
  <si>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</si>
  <si>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</si>
  <si>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</si>
  <si>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</si>
  <si>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</si>
  <si>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</si>
  <si>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</si>
  <si>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</si>
  <si>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</si>
  <si>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</si>
  <si>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</si>
  <si>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</si>
  <si>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</si>
  <si>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</si>
  <si>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</si>
  <si>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</si>
  <si>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</si>
  <si>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</si>
  <si>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</si>
  <si>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</si>
  <si>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</si>
  <si>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</si>
  <si>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</si>
  <si>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</si>
  <si>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</si>
  <si>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</si>
  <si>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</si>
  <si>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</si>
  <si>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</si>
  <si>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</si>
  <si>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</si>
  <si>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</si>
  <si>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</si>
  <si>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</si>
  <si>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</si>
  <si>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</si>
  <si>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</si>
  <si>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</si>
  <si>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</si>
  <si>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</si>
  <si>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</si>
  <si>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</si>
  <si>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</si>
  <si>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</si>
  <si>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</si>
  <si>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</si>
  <si>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</si>
  <si>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</si>
  <si>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</si>
  <si>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</si>
  <si>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</si>
  <si>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</si>
  <si>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</si>
  <si>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</si>
  <si>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</si>
  <si>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</si>
  <si>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</si>
  <si>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</si>
  <si>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</si>
  <si>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</si>
  <si>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</si>
  <si>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</si>
  <si>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</si>
  <si>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</si>
  <si>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</si>
  <si>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</si>
  <si>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</si>
  <si>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</si>
  <si>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</si>
  <si>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</si>
  <si>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</si>
  <si>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</si>
  <si>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</si>
  <si>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</si>
  <si>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</si>
  <si>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</si>
  <si>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</si>
  <si>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</si>
  <si>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</si>
  <si>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</si>
  <si>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</si>
  <si>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</si>
  <si>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</si>
  <si>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</si>
  <si>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</si>
  <si>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</si>
  <si>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</si>
  <si>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</si>
  <si>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</si>
  <si>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</si>
  <si>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</si>
  <si>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</si>
  <si>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</si>
  <si>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</si>
  <si>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</si>
  <si>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</si>
  <si>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</si>
  <si>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</si>
  <si>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</si>
  <si>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</si>
  <si>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</si>
  <si>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</si>
  <si>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</si>
  <si>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</si>
  <si>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</si>
  <si>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</si>
  <si>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</si>
  <si>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</si>
  <si>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</si>
  <si>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</si>
  <si>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</si>
  <si>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</si>
  <si>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</si>
  <si>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</si>
  <si>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</si>
  <si>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</si>
  <si>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</si>
  <si>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</si>
  <si>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</si>
  <si>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</si>
  <si>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</si>
  <si>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</si>
  <si>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</si>
  <si>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</si>
  <si>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</si>
  <si>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</si>
  <si>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</si>
  <si>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</si>
  <si>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</si>
  <si>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</si>
  <si>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</si>
  <si>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</si>
  <si>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</si>
  <si>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</si>
  <si>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</si>
  <si>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</si>
  <si>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</si>
  <si>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</si>
  <si>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</si>
  <si>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</si>
  <si>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</si>
  <si>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</si>
  <si>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</si>
  <si>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</si>
  <si>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</si>
  <si>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</si>
  <si>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</si>
  <si>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</si>
  <si>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</si>
  <si>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</si>
  <si>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</si>
  <si>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</si>
  <si>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</si>
  <si>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</si>
  <si>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</si>
  <si>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</si>
  <si>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</si>
  <si>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</si>
  <si>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</si>
  <si>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</si>
  <si>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</si>
  <si>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</si>
  <si>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</si>
  <si>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</si>
  <si>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</si>
  <si>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</si>
  <si>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</si>
  <si>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</si>
  <si>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</si>
  <si>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</si>
  <si>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</si>
  <si>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</si>
  <si>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</si>
  <si>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</si>
  <si>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</si>
  <si>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</si>
  <si>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</si>
  <si>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</si>
  <si>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</si>
  <si>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</si>
  <si>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</si>
  <si>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</si>
  <si>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</si>
  <si>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</si>
  <si>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</si>
  <si>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</si>
  <si>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</si>
  <si>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</si>
  <si>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</si>
  <si>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</si>
  <si>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</si>
  <si>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</si>
  <si>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</si>
  <si>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</si>
  <si>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</si>
  <si>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</si>
  <si>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</si>
  <si>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</si>
  <si>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</si>
  <si>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</si>
  <si>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</si>
  <si>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</si>
  <si>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</si>
  <si>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</si>
  <si>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</si>
  <si>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</si>
  <si>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</si>
  <si>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</si>
  <si>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</si>
  <si>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</si>
  <si>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</si>
  <si>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</si>
  <si>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</si>
  <si>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</si>
  <si>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</si>
  <si>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</si>
  <si>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</si>
  <si>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</si>
  <si>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</si>
  <si>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</si>
  <si>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</si>
  <si>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</si>
  <si>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</si>
  <si>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</si>
  <si>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</si>
  <si>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</si>
  <si>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</si>
  <si>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</si>
  <si>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</si>
  <si>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</si>
  <si>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</si>
  <si>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</si>
  <si>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</si>
  <si>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</si>
  <si>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</si>
  <si>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</si>
  <si>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</si>
  <si>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</si>
  <si>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</si>
  <si>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</si>
  <si>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</si>
  <si>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</si>
  <si>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</si>
  <si>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</si>
  <si>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</si>
  <si>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</si>
  <si>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</si>
  <si>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</si>
  <si>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</si>
  <si>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</si>
  <si>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</si>
  <si>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</si>
  <si>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</si>
  <si>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</si>
  <si>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</si>
  <si>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</si>
  <si>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</si>
  <si>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</si>
  <si>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</si>
  <si>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</si>
  <si>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</si>
  <si>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</si>
  <si>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</si>
  <si>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</si>
  <si>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</si>
  <si>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</si>
  <si>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</si>
  <si>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</si>
  <si>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</si>
  <si>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</si>
  <si>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</si>
  <si>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</si>
  <si>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</si>
  <si>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</si>
  <si>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</si>
  <si>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</si>
  <si>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</si>
  <si>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</si>
  <si>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</si>
  <si>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</si>
  <si>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</si>
  <si>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</si>
  <si>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</si>
  <si>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</si>
  <si>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</si>
  <si>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</si>
  <si>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</si>
  <si>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</si>
  <si>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</si>
  <si>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</si>
  <si>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</si>
  <si>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</si>
  <si>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</si>
  <si>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</si>
  <si>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</si>
  <si>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</si>
  <si>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</si>
  <si>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</si>
  <si>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</si>
  <si>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</si>
  <si>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</si>
  <si>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</si>
  <si>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</si>
  <si>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</si>
  <si>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</si>
  <si>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</si>
  <si>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</si>
  <si>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</si>
  <si>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</si>
  <si>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</si>
  <si>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</si>
  <si>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</si>
  <si>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</si>
  <si>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</si>
  <si>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</si>
  <si>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</si>
  <si>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</si>
  <si>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</si>
  <si>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</si>
  <si>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</si>
  <si>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</si>
  <si>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</si>
  <si>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</si>
  <si>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</si>
  <si>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</si>
  <si>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</si>
  <si>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</si>
  <si>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</si>
  <si>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</si>
  <si>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</si>
  <si>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</si>
  <si>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</si>
  <si>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</si>
  <si>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</si>
  <si>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</si>
  <si>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</si>
  <si>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</si>
  <si>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</si>
  <si>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</si>
  <si>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</si>
  <si>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</si>
  <si>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</si>
  <si>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</si>
  <si>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</si>
  <si>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</si>
  <si>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</si>
  <si>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</si>
  <si>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</si>
  <si>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</si>
  <si>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</si>
  <si>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</si>
  <si>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</si>
  <si>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</si>
  <si>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</si>
  <si>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</si>
  <si>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</si>
  <si>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</si>
  <si>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</si>
  <si>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</si>
  <si>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</si>
  <si>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</si>
  <si>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</si>
  <si>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</si>
  <si>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</si>
  <si>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</si>
  <si>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</si>
  <si>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</si>
  <si>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</si>
  <si>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</si>
  <si>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</si>
  <si>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</si>
  <si>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</si>
  <si>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</si>
  <si>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</si>
  <si>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</si>
  <si>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</si>
  <si>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</si>
  <si>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</si>
  <si>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</si>
  <si>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</si>
  <si>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</si>
  <si>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</si>
  <si>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</si>
  <si>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</si>
  <si>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</si>
  <si>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</si>
  <si>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</si>
  <si>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</si>
  <si>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</si>
  <si>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</si>
  <si>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</si>
  <si>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</si>
  <si>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</si>
  <si>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</si>
  <si>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</si>
  <si>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</si>
  <si>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</si>
  <si>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</si>
  <si>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</si>
  <si>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</si>
  <si>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</si>
  <si>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</si>
  <si>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</si>
  <si>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</si>
  <si>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</si>
  <si>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</si>
  <si>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</si>
  <si>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</si>
  <si>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</si>
  <si>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</si>
  <si>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</si>
  <si>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</si>
  <si>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</si>
  <si>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</si>
  <si>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</si>
  <si>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</si>
  <si>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</si>
  <si>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</si>
  <si>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</si>
  <si>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</si>
  <si>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</si>
  <si>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</si>
  <si>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</si>
  <si>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</si>
  <si>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</si>
  <si>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</si>
  <si>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</si>
  <si>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</si>
  <si>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</si>
  <si>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</si>
  <si>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</si>
  <si>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</si>
  <si>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</si>
  <si>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</si>
  <si>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</si>
  <si>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</si>
  <si>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</si>
  <si>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</si>
  <si>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</si>
  <si>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</si>
  <si>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</si>
  <si>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</si>
  <si>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</si>
  <si>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</si>
  <si>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</si>
  <si>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</si>
  <si>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</si>
  <si>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</si>
  <si>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</si>
  <si>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</si>
  <si>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</si>
  <si>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</si>
  <si>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</si>
  <si>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</si>
  <si>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</si>
  <si>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</si>
  <si>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</si>
  <si>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</si>
  <si>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</si>
  <si>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</si>
  <si>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</si>
  <si>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</si>
  <si>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</si>
  <si>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</si>
  <si>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</si>
  <si>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</si>
  <si>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</si>
  <si>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</si>
  <si>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</si>
  <si>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</si>
  <si>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</si>
  <si>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</si>
  <si>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</si>
  <si>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</si>
  <si>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</si>
  <si>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</si>
  <si>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</si>
  <si>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</si>
  <si>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</si>
  <si>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</si>
  <si>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</si>
  <si>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</si>
  <si>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</si>
  <si>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</si>
  <si>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</si>
  <si>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</si>
  <si>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</si>
  <si>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</si>
  <si>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</si>
  <si>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</si>
  <si>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</si>
  <si>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</si>
  <si>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</si>
  <si>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</si>
  <si>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</si>
  <si>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</si>
  <si>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</si>
  <si>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</si>
  <si>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</si>
  <si>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</si>
  <si>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</si>
  <si>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</si>
  <si>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</si>
  <si>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</si>
  <si>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</si>
  <si>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</si>
  <si>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</si>
  <si>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</si>
  <si>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</si>
  <si>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</si>
  <si>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</si>
  <si>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</si>
  <si>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</si>
  <si>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</si>
  <si>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</si>
  <si>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</si>
  <si>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</si>
  <si>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</si>
  <si>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</si>
  <si>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</si>
  <si>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</si>
  <si>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</si>
  <si>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</si>
  <si>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</si>
  <si>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</si>
  <si>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</si>
  <si>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</si>
  <si>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</si>
  <si>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</si>
  <si>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</si>
  <si>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</si>
  <si>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</si>
  <si>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</si>
  <si>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</si>
  <si>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</si>
  <si>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</si>
  <si>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</si>
  <si>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</si>
  <si>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</si>
  <si>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</si>
  <si>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</si>
  <si>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</si>
  <si>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</si>
  <si>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</si>
  <si>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</si>
  <si>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</si>
  <si>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</si>
  <si>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</si>
  <si>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</si>
  <si>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</si>
  <si>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</si>
  <si>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</si>
  <si>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</si>
  <si>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</si>
  <si>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</si>
  <si>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</si>
  <si>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</si>
  <si>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</si>
  <si>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</si>
  <si>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</si>
  <si>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</si>
  <si>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</si>
  <si>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</si>
  <si>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</si>
  <si>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</si>
  <si>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</si>
  <si>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</si>
  <si>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</si>
  <si>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</si>
  <si>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</si>
  <si>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</si>
  <si>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</si>
  <si>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</si>
  <si>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</si>
  <si>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</si>
  <si>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</si>
  <si>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</si>
  <si>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</si>
  <si>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</si>
  <si>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</si>
  <si>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</si>
  <si>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</si>
  <si>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</si>
  <si>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</si>
  <si>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</si>
  <si>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</si>
  <si>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</si>
  <si>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</si>
  <si>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</si>
  <si>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</si>
  <si>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</si>
  <si>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</si>
  <si>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</si>
  <si>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</si>
  <si>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</si>
  <si>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</si>
  <si>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</si>
  <si>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</si>
  <si>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</si>
  <si>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</si>
  <si>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</si>
  <si>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</si>
  <si>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</si>
  <si>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</si>
  <si>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</si>
  <si>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</si>
  <si>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</si>
  <si>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</si>
  <si>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</si>
  <si>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</si>
  <si>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</si>
  <si>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</si>
  <si>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</si>
  <si>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</si>
  <si>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</si>
  <si>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</si>
  <si>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</si>
  <si>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</si>
  <si>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</si>
  <si>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</si>
  <si>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</si>
  <si>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</si>
  <si>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</si>
  <si>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</si>
  <si>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</si>
  <si>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</si>
  <si>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</si>
  <si>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</si>
  <si>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</si>
  <si>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</si>
  <si>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</si>
  <si>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</si>
  <si>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</si>
  <si>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</si>
  <si>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</si>
  <si>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</si>
  <si>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</si>
  <si>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</si>
  <si>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</si>
  <si>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</si>
  <si>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</si>
  <si>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</si>
  <si>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</si>
  <si>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</si>
  <si>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</si>
  <si>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</si>
  <si>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</si>
  <si>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</si>
  <si>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</si>
  <si>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</si>
  <si>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</si>
  <si>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</si>
  <si>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</si>
  <si>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</si>
  <si>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</si>
  <si>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</si>
  <si>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</si>
  <si>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</si>
  <si>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</si>
  <si>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</si>
  <si>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</si>
  <si>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</si>
  <si>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</si>
  <si>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</si>
  <si>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</si>
  <si>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</si>
  <si>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</si>
  <si>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</si>
  <si>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</si>
  <si>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</si>
  <si>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</si>
  <si>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</si>
  <si>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</si>
  <si>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</si>
  <si>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</si>
  <si>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</si>
  <si>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</si>
  <si>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</si>
  <si>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</si>
  <si>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</si>
  <si>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</si>
  <si>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</si>
  <si>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</si>
  <si>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</si>
  <si>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</si>
  <si>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</si>
  <si>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</si>
  <si>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</si>
  <si>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</si>
  <si>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</si>
  <si>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</si>
  <si>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</si>
  <si>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</si>
  <si>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</si>
  <si>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</si>
  <si>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</si>
  <si>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</si>
  <si>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</si>
  <si>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</si>
  <si>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</si>
  <si>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</si>
  <si>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</si>
  <si>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</si>
  <si>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</si>
  <si>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</si>
  <si>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</si>
  <si>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</si>
  <si>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</si>
  <si>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</si>
  <si>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</si>
  <si>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</si>
  <si>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</si>
  <si>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</si>
  <si>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</si>
  <si>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</si>
  <si>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</si>
  <si>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</si>
  <si>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</si>
  <si>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</si>
  <si>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</si>
  <si>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GRP. DE MERCADORIA</t>
  </si>
  <si>
    <t>ctxtMARA-MATKL</t>
  </si>
  <si>
    <t>DESCRIÇÃO DO 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</si>
</sst>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0"/>
      <name val="Trebuchet MS"/>
      <family val="2"/>
    </font>
    <font>
      <b/>
      <u/>
      <sz val="10"/>
      <color theme="0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D1" s="46"/>
      <c r="AF1" s="52" t="s">
        <v>124</v>
      </c>
      <c r="AG1" s="38"/>
    </row>
    <row r="2" spans="1:33" s="31" customFormat="1" x14ac:dyDescent="0.3">
      <c r="A2" s="7"/>
      <c r="B2" s="30"/>
      <c r="C2" s="48"/>
      <c r="D2" s="4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2"/>
    </row>
    <row r="3" spans="1:33" s="9" customFormat="1" ht="15" customHeight="1" x14ac:dyDescent="0.3">
      <c r="A3" s="7" t="s">
        <v>29</v>
      </c>
      <c r="B3" s="4" t="s">
        <v>94</v>
      </c>
      <c r="C3" s="47" t="s">
        <v>4632</v>
      </c>
      <c r="D3" s="47"/>
      <c r="E3" s="51" t="s">
        <v>152</v>
      </c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50" t="s">
        <v>4631</v>
      </c>
      <c r="D4" s="14" t="s">
        <v>4633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Dados'!BO:BP,2,0),"")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69" si="0">"Execução "&amp;ROW()-4</f>
        <v>Execução 2</v>
      </c>
      <c r="B6" s="32"/>
      <c r="C6" s="33"/>
      <c r="D6" s="49" t="str">
        <f>IFERROR(VLOOKUP(C6,'Listas de Dados'!BO:BP,2,0),"")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Dados'!BO:BP,2,0),"")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Dados'!BO:BP,2,0),"")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Dados'!BO:BP,2,0),"")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Dados'!BO:BP,2,0),"")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Dados'!BO:BP,2,0),"")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Dados'!BO:BP,2,0),"")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Dados'!BO:BP,2,0),"")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Dados'!BO:BP,2,0),"")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Dados'!BO:BP,2,0),"")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Dados'!BO:BP,2,0),"")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Dados'!BO:BP,2,0),"")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Dados'!BO:BP,2,0),"")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Dados'!BO:BP,2,0),"")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Dados'!BO:BP,2,0),"")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Dados'!BO:BP,2,0),"")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Dados'!BO:BP,2,0),"")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Dados'!BO:BP,2,0),"")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Dados'!BO:BP,2,0),"")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Dados'!BO:BP,2,0),"")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Dados'!BO:BP,2,0),"")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Dados'!BO:BP,2,0),"")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Dados'!BO:BP,2,0),"")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Dados'!BO:BP,2,0),"")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Dados'!BO:BP,2,0),"")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Dados'!BO:BP,2,0),"")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Dados'!BO:BP,2,0),"")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Dados'!BO:BP,2,0),"")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Dados'!BO:BP,2,0),"")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Dados'!BO:BP,2,0),"")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Dados'!BO:BP,2,0),"")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Dados'!BO:BP,2,0),"")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Dados'!BO:BP,2,0),"")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Dados'!BO:BP,2,0),"")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Dados'!BO:BP,2,0),"")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Dados'!BO:BP,2,0),"")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Dados'!BO:BP,2,0),"")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Dados'!BO:BP,2,0),"")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Dados'!BO:BP,2,0),"")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Dados'!BO:BP,2,0),"")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Dados'!BO:BP,2,0),"")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Dados'!BO:BP,2,0),"")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Dados'!BO:BP,2,0),"")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Dados'!BO:BP,2,0),"")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Dados'!BO:BP,2,0),"")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Dados'!BO:BP,2,0),"")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Dados'!BO:BP,2,0),"")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Dados'!BO:BP,2,0),"")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Dados'!BO:BP,2,0),"")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  <row r="55" spans="1:33" x14ac:dyDescent="0.3">
      <c r="A55" s="7" t="str">
        <f t="shared" si="0"/>
        <v>Execução 51</v>
      </c>
      <c r="B55" s="32"/>
      <c r="C55" s="33"/>
      <c r="D55" s="49" t="str">
        <f>IFERROR(VLOOKUP(C55,'Listas de Dados'!BO:BP,2,0),"")</f>
        <v/>
      </c>
      <c r="E55" s="33" t="s">
        <v>98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2"/>
    </row>
    <row r="56" spans="1:33" x14ac:dyDescent="0.3">
      <c r="A56" s="7" t="str">
        <f t="shared" si="0"/>
        <v>Execução 52</v>
      </c>
      <c r="B56" s="32"/>
      <c r="C56" s="33"/>
      <c r="D56" s="49" t="str">
        <f>IFERROR(VLOOKUP(C56,'Listas de Dados'!BO:BP,2,0),"")</f>
        <v/>
      </c>
      <c r="E56" s="33" t="s">
        <v>98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2"/>
    </row>
    <row r="57" spans="1:33" x14ac:dyDescent="0.3">
      <c r="A57" s="7" t="str">
        <f t="shared" si="0"/>
        <v>Execução 53</v>
      </c>
      <c r="B57" s="32"/>
      <c r="C57" s="33"/>
      <c r="D57" s="49" t="str">
        <f>IFERROR(VLOOKUP(C57,'Listas de Dados'!BO:BP,2,0),"")</f>
        <v/>
      </c>
      <c r="E57" s="33" t="s">
        <v>98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2"/>
    </row>
    <row r="58" spans="1:33" x14ac:dyDescent="0.3">
      <c r="A58" s="7" t="str">
        <f t="shared" si="0"/>
        <v>Execução 54</v>
      </c>
      <c r="B58" s="32"/>
      <c r="C58" s="33"/>
      <c r="D58" s="49" t="str">
        <f>IFERROR(VLOOKUP(C58,'Listas de Dados'!BO:BP,2,0),"")</f>
        <v/>
      </c>
      <c r="E58" s="33" t="s">
        <v>98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2"/>
    </row>
    <row r="59" spans="1:33" x14ac:dyDescent="0.3">
      <c r="A59" s="7" t="str">
        <f t="shared" si="0"/>
        <v>Execução 55</v>
      </c>
      <c r="B59" s="32"/>
      <c r="C59" s="33"/>
      <c r="D59" s="49" t="str">
        <f>IFERROR(VLOOKUP(C59,'Listas de Dados'!BO:BP,2,0),"")</f>
        <v/>
      </c>
      <c r="E59" s="33" t="s">
        <v>98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2"/>
    </row>
    <row r="60" spans="1:33" x14ac:dyDescent="0.3">
      <c r="A60" s="7" t="str">
        <f t="shared" si="0"/>
        <v>Execução 56</v>
      </c>
      <c r="B60" s="32"/>
      <c r="C60" s="33"/>
      <c r="D60" s="49" t="str">
        <f>IFERROR(VLOOKUP(C60,'Listas de Dados'!BO:BP,2,0),"")</f>
        <v/>
      </c>
      <c r="E60" s="33" t="s">
        <v>98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2"/>
    </row>
    <row r="61" spans="1:33" x14ac:dyDescent="0.3">
      <c r="A61" s="7" t="str">
        <f t="shared" si="0"/>
        <v>Execução 57</v>
      </c>
      <c r="B61" s="32"/>
      <c r="C61" s="33"/>
      <c r="D61" s="49" t="str">
        <f>IFERROR(VLOOKUP(C61,'Listas de Dados'!BO:BP,2,0),"")</f>
        <v/>
      </c>
      <c r="E61" s="33" t="s">
        <v>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2"/>
    </row>
    <row r="62" spans="1:33" x14ac:dyDescent="0.3">
      <c r="A62" s="7" t="str">
        <f t="shared" si="0"/>
        <v>Execução 58</v>
      </c>
      <c r="B62" s="32"/>
      <c r="C62" s="33"/>
      <c r="D62" s="49" t="str">
        <f>IFERROR(VLOOKUP(C62,'Listas de Dados'!BO:BP,2,0),"")</f>
        <v/>
      </c>
      <c r="E62" s="33" t="s">
        <v>98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2"/>
    </row>
    <row r="63" spans="1:33" x14ac:dyDescent="0.3">
      <c r="A63" s="7" t="str">
        <f t="shared" si="0"/>
        <v>Execução 59</v>
      </c>
      <c r="B63" s="32"/>
      <c r="C63" s="33"/>
      <c r="D63" s="49" t="str">
        <f>IFERROR(VLOOKUP(C63,'Listas de Dados'!BO:BP,2,0),"")</f>
        <v/>
      </c>
      <c r="E63" s="33" t="s">
        <v>98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2"/>
    </row>
    <row r="64" spans="1:33" x14ac:dyDescent="0.3">
      <c r="A64" s="7" t="str">
        <f t="shared" si="0"/>
        <v>Execução 60</v>
      </c>
      <c r="B64" s="32"/>
      <c r="C64" s="33"/>
      <c r="D64" s="49" t="str">
        <f>IFERROR(VLOOKUP(C64,'Listas de Dados'!BO:BP,2,0),"")</f>
        <v/>
      </c>
      <c r="E64" s="33" t="s">
        <v>98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2"/>
    </row>
    <row r="65" spans="1:33" x14ac:dyDescent="0.3">
      <c r="A65" s="7" t="str">
        <f t="shared" si="0"/>
        <v>Execução 61</v>
      </c>
      <c r="B65" s="32"/>
      <c r="C65" s="33"/>
      <c r="D65" s="49" t="str">
        <f>IFERROR(VLOOKUP(C65,'Listas de Dados'!BO:BP,2,0),"")</f>
        <v/>
      </c>
      <c r="E65" s="33" t="s">
        <v>98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2"/>
    </row>
    <row r="66" spans="1:33" x14ac:dyDescent="0.3">
      <c r="A66" s="7" t="str">
        <f t="shared" si="0"/>
        <v>Execução 62</v>
      </c>
      <c r="B66" s="32"/>
      <c r="C66" s="33"/>
      <c r="D66" s="49" t="str">
        <f>IFERROR(VLOOKUP(C66,'Listas de Dados'!BO:BP,2,0),"")</f>
        <v/>
      </c>
      <c r="E66" s="33" t="s">
        <v>98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2"/>
    </row>
    <row r="67" spans="1:33" x14ac:dyDescent="0.3">
      <c r="A67" s="7" t="str">
        <f t="shared" si="0"/>
        <v>Execução 63</v>
      </c>
      <c r="B67" s="32"/>
      <c r="C67" s="33"/>
      <c r="D67" s="49" t="str">
        <f>IFERROR(VLOOKUP(C67,'Listas de Dados'!BO:BP,2,0),"")</f>
        <v/>
      </c>
      <c r="E67" s="33" t="s">
        <v>98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2"/>
    </row>
    <row r="68" spans="1:33" x14ac:dyDescent="0.3">
      <c r="A68" s="7" t="str">
        <f t="shared" si="0"/>
        <v>Execução 64</v>
      </c>
      <c r="B68" s="32"/>
      <c r="C68" s="33"/>
      <c r="D68" s="49" t="str">
        <f>IFERROR(VLOOKUP(C68,'Listas de Dados'!BO:BP,2,0),"")</f>
        <v/>
      </c>
      <c r="E68" s="33" t="s">
        <v>98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2"/>
    </row>
    <row r="69" spans="1:33" x14ac:dyDescent="0.3">
      <c r="A69" s="7" t="str">
        <f t="shared" si="0"/>
        <v>Execução 65</v>
      </c>
      <c r="B69" s="32"/>
      <c r="C69" s="33"/>
      <c r="D69" s="49" t="str">
        <f>IFERROR(VLOOKUP(C69,'Listas de Dados'!BO:BP,2,0),"")</f>
        <v/>
      </c>
      <c r="E69" s="33" t="s">
        <v>98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2"/>
    </row>
    <row r="70" spans="1:33" x14ac:dyDescent="0.3">
      <c r="A70" s="7" t="str">
        <f t="shared" ref="A70:A107" si="1">"Execução "&amp;ROW()-4</f>
        <v>Execução 66</v>
      </c>
      <c r="B70" s="32"/>
      <c r="C70" s="33"/>
      <c r="D70" s="49" t="str">
        <f>IFERROR(VLOOKUP(C70,'Listas de Dados'!BO:BP,2,0),"")</f>
        <v/>
      </c>
      <c r="E70" s="33" t="s">
        <v>98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2"/>
    </row>
    <row r="71" spans="1:33" x14ac:dyDescent="0.3">
      <c r="A71" s="7" t="str">
        <f t="shared" si="1"/>
        <v>Execução 67</v>
      </c>
      <c r="B71" s="32"/>
      <c r="C71" s="33"/>
      <c r="D71" s="49" t="str">
        <f>IFERROR(VLOOKUP(C71,'Listas de Dados'!BO:BP,2,0),"")</f>
        <v/>
      </c>
      <c r="E71" s="33" t="s">
        <v>98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2"/>
    </row>
    <row r="72" spans="1:33" x14ac:dyDescent="0.3">
      <c r="A72" s="7" t="str">
        <f t="shared" si="1"/>
        <v>Execução 68</v>
      </c>
      <c r="B72" s="32"/>
      <c r="C72" s="33"/>
      <c r="D72" s="49" t="str">
        <f>IFERROR(VLOOKUP(C72,'Listas de Dados'!BO:BP,2,0),"")</f>
        <v/>
      </c>
      <c r="E72" s="33" t="s">
        <v>98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2"/>
    </row>
    <row r="73" spans="1:33" x14ac:dyDescent="0.3">
      <c r="A73" s="7" t="str">
        <f t="shared" si="1"/>
        <v>Execução 69</v>
      </c>
      <c r="B73" s="32"/>
      <c r="C73" s="33"/>
      <c r="D73" s="49" t="str">
        <f>IFERROR(VLOOKUP(C73,'Listas de Dados'!BO:BP,2,0),"")</f>
        <v/>
      </c>
      <c r="E73" s="33" t="s">
        <v>98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2"/>
    </row>
    <row r="74" spans="1:33" x14ac:dyDescent="0.3">
      <c r="A74" s="7" t="str">
        <f t="shared" si="1"/>
        <v>Execução 70</v>
      </c>
      <c r="B74" s="32"/>
      <c r="C74" s="33"/>
      <c r="D74" s="49" t="str">
        <f>IFERROR(VLOOKUP(C74,'Listas de Dados'!BO:BP,2,0),"")</f>
        <v/>
      </c>
      <c r="E74" s="33" t="s">
        <v>98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2"/>
    </row>
    <row r="75" spans="1:33" x14ac:dyDescent="0.3">
      <c r="A75" s="7" t="str">
        <f t="shared" si="1"/>
        <v>Execução 71</v>
      </c>
      <c r="B75" s="32"/>
      <c r="C75" s="33"/>
      <c r="D75" s="49" t="str">
        <f>IFERROR(VLOOKUP(C75,'Listas de Dados'!BO:BP,2,0),"")</f>
        <v/>
      </c>
      <c r="E75" s="33" t="s">
        <v>98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2"/>
    </row>
    <row r="76" spans="1:33" x14ac:dyDescent="0.3">
      <c r="A76" s="7" t="str">
        <f t="shared" si="1"/>
        <v>Execução 72</v>
      </c>
      <c r="B76" s="32"/>
      <c r="C76" s="33"/>
      <c r="D76" s="49" t="str">
        <f>IFERROR(VLOOKUP(C76,'Listas de Dados'!BO:BP,2,0),"")</f>
        <v/>
      </c>
      <c r="E76" s="33" t="s">
        <v>98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2"/>
    </row>
    <row r="77" spans="1:33" x14ac:dyDescent="0.3">
      <c r="A77" s="7" t="str">
        <f t="shared" si="1"/>
        <v>Execução 73</v>
      </c>
      <c r="B77" s="32"/>
      <c r="C77" s="33"/>
      <c r="D77" s="49" t="str">
        <f>IFERROR(VLOOKUP(C77,'Listas de Dados'!BO:BP,2,0),"")</f>
        <v/>
      </c>
      <c r="E77" s="33" t="s">
        <v>98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2"/>
    </row>
    <row r="78" spans="1:33" x14ac:dyDescent="0.3">
      <c r="A78" s="7" t="str">
        <f t="shared" si="1"/>
        <v>Execução 74</v>
      </c>
      <c r="B78" s="32"/>
      <c r="C78" s="33"/>
      <c r="D78" s="49" t="str">
        <f>IFERROR(VLOOKUP(C78,'Listas de Dados'!BO:BP,2,0),"")</f>
        <v/>
      </c>
      <c r="E78" s="33" t="s">
        <v>98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2"/>
    </row>
    <row r="79" spans="1:33" x14ac:dyDescent="0.3">
      <c r="A79" s="7" t="str">
        <f t="shared" si="1"/>
        <v>Execução 75</v>
      </c>
      <c r="B79" s="32"/>
      <c r="C79" s="33"/>
      <c r="D79" s="49" t="str">
        <f>IFERROR(VLOOKUP(C79,'Listas de Dados'!BO:BP,2,0),"")</f>
        <v/>
      </c>
      <c r="E79" s="33" t="s">
        <v>98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2"/>
    </row>
    <row r="80" spans="1:33" x14ac:dyDescent="0.3">
      <c r="A80" s="7" t="str">
        <f t="shared" si="1"/>
        <v>Execução 76</v>
      </c>
      <c r="B80" s="32"/>
      <c r="C80" s="33"/>
      <c r="D80" s="49" t="str">
        <f>IFERROR(VLOOKUP(C80,'Listas de Dados'!BO:BP,2,0),"")</f>
        <v/>
      </c>
      <c r="E80" s="33" t="s">
        <v>98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2"/>
    </row>
    <row r="81" spans="1:33" x14ac:dyDescent="0.3">
      <c r="A81" s="7" t="str">
        <f t="shared" si="1"/>
        <v>Execução 77</v>
      </c>
      <c r="B81" s="32"/>
      <c r="C81" s="33"/>
      <c r="D81" s="49" t="str">
        <f>IFERROR(VLOOKUP(C81,'Listas de Dados'!BO:BP,2,0),"")</f>
        <v/>
      </c>
      <c r="E81" s="33" t="s">
        <v>98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2"/>
    </row>
    <row r="82" spans="1:33" x14ac:dyDescent="0.3">
      <c r="A82" s="7" t="str">
        <f t="shared" si="1"/>
        <v>Execução 78</v>
      </c>
      <c r="B82" s="32"/>
      <c r="C82" s="33"/>
      <c r="D82" s="49" t="str">
        <f>IFERROR(VLOOKUP(C82,'Listas de Dados'!BO:BP,2,0),"")</f>
        <v/>
      </c>
      <c r="E82" s="33" t="s">
        <v>98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2"/>
    </row>
    <row r="83" spans="1:33" x14ac:dyDescent="0.3">
      <c r="A83" s="7" t="str">
        <f t="shared" si="1"/>
        <v>Execução 79</v>
      </c>
      <c r="B83" s="32"/>
      <c r="C83" s="33"/>
      <c r="D83" s="49" t="str">
        <f>IFERROR(VLOOKUP(C83,'Listas de Dados'!BO:BP,2,0),"")</f>
        <v/>
      </c>
      <c r="E83" s="33" t="s">
        <v>98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2"/>
    </row>
    <row r="84" spans="1:33" x14ac:dyDescent="0.3">
      <c r="A84" s="7" t="str">
        <f t="shared" si="1"/>
        <v>Execução 80</v>
      </c>
      <c r="B84" s="32"/>
      <c r="C84" s="33"/>
      <c r="D84" s="49" t="str">
        <f>IFERROR(VLOOKUP(C84,'Listas de Dados'!BO:BP,2,0),"")</f>
        <v/>
      </c>
      <c r="E84" s="33" t="s">
        <v>98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2"/>
    </row>
    <row r="85" spans="1:33" x14ac:dyDescent="0.3">
      <c r="A85" s="7" t="str">
        <f t="shared" si="1"/>
        <v>Execução 81</v>
      </c>
      <c r="B85" s="32"/>
      <c r="C85" s="33"/>
      <c r="D85" s="49" t="str">
        <f>IFERROR(VLOOKUP(C85,'Listas de Dados'!BO:BP,2,0),"")</f>
        <v/>
      </c>
      <c r="E85" s="33" t="s">
        <v>98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2"/>
    </row>
    <row r="86" spans="1:33" x14ac:dyDescent="0.3">
      <c r="A86" s="7" t="str">
        <f t="shared" si="1"/>
        <v>Execução 82</v>
      </c>
      <c r="B86" s="32"/>
      <c r="C86" s="33"/>
      <c r="D86" s="49" t="str">
        <f>IFERROR(VLOOKUP(C86,'Listas de Dados'!BO:BP,2,0),"")</f>
        <v/>
      </c>
      <c r="E86" s="33" t="s">
        <v>98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2"/>
    </row>
    <row r="87" spans="1:33" x14ac:dyDescent="0.3">
      <c r="A87" s="7" t="str">
        <f t="shared" si="1"/>
        <v>Execução 83</v>
      </c>
      <c r="B87" s="32"/>
      <c r="C87" s="33"/>
      <c r="D87" s="49" t="str">
        <f>IFERROR(VLOOKUP(C87,'Listas de Dados'!BO:BP,2,0),"")</f>
        <v/>
      </c>
      <c r="E87" s="33" t="s">
        <v>98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2"/>
    </row>
    <row r="88" spans="1:33" x14ac:dyDescent="0.3">
      <c r="A88" s="7" t="str">
        <f t="shared" si="1"/>
        <v>Execução 84</v>
      </c>
      <c r="B88" s="32"/>
      <c r="C88" s="33"/>
      <c r="D88" s="49" t="str">
        <f>IFERROR(VLOOKUP(C88,'Listas de Dados'!BO:BP,2,0),"")</f>
        <v/>
      </c>
      <c r="E88" s="33" t="s">
        <v>98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2"/>
    </row>
    <row r="89" spans="1:33" x14ac:dyDescent="0.3">
      <c r="A89" s="7" t="str">
        <f t="shared" si="1"/>
        <v>Execução 85</v>
      </c>
      <c r="B89" s="32"/>
      <c r="C89" s="33"/>
      <c r="D89" s="49" t="str">
        <f>IFERROR(VLOOKUP(C89,'Listas de Dados'!BO:BP,2,0),"")</f>
        <v/>
      </c>
      <c r="E89" s="33" t="s">
        <v>98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2"/>
    </row>
    <row r="90" spans="1:33" x14ac:dyDescent="0.3">
      <c r="A90" s="7" t="str">
        <f t="shared" si="1"/>
        <v>Execução 86</v>
      </c>
      <c r="B90" s="32"/>
      <c r="C90" s="33"/>
      <c r="D90" s="49" t="str">
        <f>IFERROR(VLOOKUP(C90,'Listas de Dados'!BO:BP,2,0),"")</f>
        <v/>
      </c>
      <c r="E90" s="33" t="s">
        <v>98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2"/>
    </row>
    <row r="91" spans="1:33" x14ac:dyDescent="0.3">
      <c r="A91" s="7" t="str">
        <f t="shared" si="1"/>
        <v>Execução 87</v>
      </c>
      <c r="B91" s="32"/>
      <c r="C91" s="33"/>
      <c r="D91" s="49" t="str">
        <f>IFERROR(VLOOKUP(C91,'Listas de Dados'!BO:BP,2,0),"")</f>
        <v/>
      </c>
      <c r="E91" s="33" t="s">
        <v>98</v>
      </c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G91" s="42"/>
    </row>
    <row r="92" spans="1:33" x14ac:dyDescent="0.3">
      <c r="A92" s="7" t="str">
        <f t="shared" si="1"/>
        <v>Execução 88</v>
      </c>
      <c r="B92" s="32"/>
      <c r="C92" s="33"/>
      <c r="D92" s="49" t="str">
        <f>IFERROR(VLOOKUP(C92,'Listas de Dados'!BO:BP,2,0),"")</f>
        <v/>
      </c>
      <c r="E92" s="33" t="s">
        <v>98</v>
      </c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G92" s="42"/>
    </row>
    <row r="93" spans="1:33" x14ac:dyDescent="0.3">
      <c r="A93" s="7" t="str">
        <f t="shared" si="1"/>
        <v>Execução 89</v>
      </c>
      <c r="B93" s="32"/>
      <c r="C93" s="33"/>
      <c r="D93" s="49" t="str">
        <f>IFERROR(VLOOKUP(C93,'Listas de Dados'!BO:BP,2,0),"")</f>
        <v/>
      </c>
      <c r="E93" s="33" t="s">
        <v>98</v>
      </c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G93" s="42"/>
    </row>
    <row r="94" spans="1:33" x14ac:dyDescent="0.3">
      <c r="A94" s="7" t="str">
        <f t="shared" si="1"/>
        <v>Execução 90</v>
      </c>
      <c r="B94" s="32"/>
      <c r="C94" s="33"/>
      <c r="D94" s="49" t="str">
        <f>IFERROR(VLOOKUP(C94,'Listas de Dados'!BO:BP,2,0),"")</f>
        <v/>
      </c>
      <c r="E94" s="33" t="s">
        <v>98</v>
      </c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G94" s="42"/>
    </row>
    <row r="95" spans="1:33" x14ac:dyDescent="0.3">
      <c r="A95" s="7" t="str">
        <f t="shared" si="1"/>
        <v>Execução 91</v>
      </c>
      <c r="B95" s="32"/>
      <c r="C95" s="33"/>
      <c r="D95" s="49" t="str">
        <f>IFERROR(VLOOKUP(C95,'Listas de Dados'!BO:BP,2,0),"")</f>
        <v/>
      </c>
      <c r="E95" s="33" t="s">
        <v>98</v>
      </c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G95" s="42"/>
    </row>
    <row r="96" spans="1:33" x14ac:dyDescent="0.3">
      <c r="A96" s="7" t="str">
        <f t="shared" si="1"/>
        <v>Execução 92</v>
      </c>
      <c r="B96" s="32"/>
      <c r="C96" s="33"/>
      <c r="D96" s="49" t="str">
        <f>IFERROR(VLOOKUP(C96,'Listas de Dados'!BO:BP,2,0),"")</f>
        <v/>
      </c>
      <c r="E96" s="33" t="s">
        <v>98</v>
      </c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G96" s="42"/>
    </row>
    <row r="97" spans="1:33" x14ac:dyDescent="0.3">
      <c r="A97" s="7" t="str">
        <f t="shared" si="1"/>
        <v>Execução 93</v>
      </c>
      <c r="B97" s="32"/>
      <c r="C97" s="33"/>
      <c r="D97" s="49" t="str">
        <f>IFERROR(VLOOKUP(C97,'Listas de Dados'!BO:BP,2,0),"")</f>
        <v/>
      </c>
      <c r="E97" s="33" t="s">
        <v>98</v>
      </c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G97" s="42"/>
    </row>
    <row r="98" spans="1:33" x14ac:dyDescent="0.3">
      <c r="A98" s="7" t="str">
        <f t="shared" si="1"/>
        <v>Execução 94</v>
      </c>
      <c r="B98" s="32"/>
      <c r="C98" s="33"/>
      <c r="D98" s="49" t="str">
        <f>IFERROR(VLOOKUP(C98,'Listas de Dados'!BO:BP,2,0),"")</f>
        <v/>
      </c>
      <c r="E98" s="33" t="s">
        <v>98</v>
      </c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G98" s="42"/>
    </row>
    <row r="99" spans="1:33" x14ac:dyDescent="0.3">
      <c r="A99" s="7" t="str">
        <f t="shared" si="1"/>
        <v>Execução 95</v>
      </c>
      <c r="B99" s="32"/>
      <c r="C99" s="33"/>
      <c r="D99" s="49" t="str">
        <f>IFERROR(VLOOKUP(C99,'Listas de Dados'!BO:BP,2,0),"")</f>
        <v/>
      </c>
      <c r="E99" s="33" t="s">
        <v>98</v>
      </c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G99" s="42"/>
    </row>
    <row r="100" spans="1:33" x14ac:dyDescent="0.3">
      <c r="A100" s="7" t="str">
        <f t="shared" si="1"/>
        <v>Execução 96</v>
      </c>
      <c r="B100" s="32"/>
      <c r="C100" s="33"/>
      <c r="D100" s="49" t="str">
        <f>IFERROR(VLOOKUP(C100,'Listas de Dados'!BO:BP,2,0),"")</f>
        <v/>
      </c>
      <c r="E100" s="33" t="s">
        <v>98</v>
      </c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G100" s="42"/>
    </row>
    <row r="101" spans="1:33" x14ac:dyDescent="0.3">
      <c r="A101" s="7" t="str">
        <f t="shared" si="1"/>
        <v>Execução 97</v>
      </c>
      <c r="B101" s="32"/>
      <c r="C101" s="33"/>
      <c r="D101" s="49" t="str">
        <f>IFERROR(VLOOKUP(C101,'Listas de Dados'!BO:BP,2,0),"")</f>
        <v/>
      </c>
      <c r="E101" s="33" t="s">
        <v>98</v>
      </c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G101" s="42"/>
    </row>
    <row r="102" spans="1:33" x14ac:dyDescent="0.3">
      <c r="A102" s="7" t="str">
        <f t="shared" si="1"/>
        <v>Execução 98</v>
      </c>
      <c r="B102" s="32"/>
      <c r="C102" s="33"/>
      <c r="D102" s="49" t="str">
        <f>IFERROR(VLOOKUP(C102,'Listas de Dados'!BO:BP,2,0),"")</f>
        <v/>
      </c>
      <c r="E102" s="33" t="s">
        <v>98</v>
      </c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G102" s="42"/>
    </row>
    <row r="103" spans="1:33" x14ac:dyDescent="0.3">
      <c r="A103" s="7" t="str">
        <f t="shared" si="1"/>
        <v>Execução 99</v>
      </c>
      <c r="B103" s="32"/>
      <c r="C103" s="33"/>
      <c r="D103" s="49" t="str">
        <f>IFERROR(VLOOKUP(C103,'Listas de Dados'!BO:BP,2,0),"")</f>
        <v/>
      </c>
      <c r="E103" s="33" t="s">
        <v>98</v>
      </c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G103" s="42"/>
    </row>
    <row r="104" spans="1:33" x14ac:dyDescent="0.3">
      <c r="A104" s="7" t="str">
        <f t="shared" si="1"/>
        <v>Execução 100</v>
      </c>
      <c r="B104" s="32"/>
      <c r="C104" s="33"/>
      <c r="D104" s="49" t="str">
        <f>IFERROR(VLOOKUP(C104,'Listas de Dados'!BO:BP,2,0),"")</f>
        <v/>
      </c>
      <c r="E104" s="33" t="s">
        <v>98</v>
      </c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G104" s="42"/>
    </row>
    <row r="105" spans="1:33" x14ac:dyDescent="0.3">
      <c r="A105" s="7" t="str">
        <f t="shared" si="1"/>
        <v>Execução 101</v>
      </c>
      <c r="B105" s="32"/>
      <c r="C105" s="33"/>
      <c r="D105" s="49" t="str">
        <f>IFERROR(VLOOKUP(C105,'Listas de Dados'!BO:BP,2,0),"")</f>
        <v/>
      </c>
      <c r="E105" s="33" t="s">
        <v>98</v>
      </c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G105" s="42"/>
    </row>
    <row r="106" spans="1:33" x14ac:dyDescent="0.3">
      <c r="A106" s="7" t="str">
        <f t="shared" si="1"/>
        <v>Execução 102</v>
      </c>
      <c r="B106" s="32"/>
      <c r="C106" s="33"/>
      <c r="D106" s="49" t="str">
        <f>IFERROR(VLOOKUP(C106,'Listas de Dados'!BO:BP,2,0),"")</f>
        <v/>
      </c>
      <c r="E106" s="33" t="s">
        <v>98</v>
      </c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G106" s="42"/>
    </row>
    <row r="107" spans="1:33" x14ac:dyDescent="0.3">
      <c r="A107" s="7" t="str">
        <f t="shared" si="1"/>
        <v>Execução 103</v>
      </c>
      <c r="B107" s="32"/>
      <c r="C107" s="33"/>
      <c r="D107" s="49" t="str">
        <f>IFERROR(VLOOKUP(C107,'Listas de Dados'!BO:BP,2,0),"")</f>
        <v/>
      </c>
      <c r="E107" s="33" t="s">
        <v>98</v>
      </c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G107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G1:AG54 AG108:AG1048576">
    <cfRule type="containsText" dxfId="13" priority="13" operator="containsText" text="criadas">
      <formula>NOT(ISERROR(SEARCH("criadas",AG1)))</formula>
    </cfRule>
    <cfRule type="containsText" dxfId="12" priority="15" operator="containsText" text="é gravado">
      <formula>NOT(ISERROR(SEARCH("é gravado",AG1)))</formula>
    </cfRule>
    <cfRule type="containsText" dxfId="11" priority="16" operator="containsText" text="é modificado">
      <formula>NOT(ISERROR(SEARCH("é modificado",AG1)))</formula>
    </cfRule>
    <cfRule type="containsText" dxfId="10" priority="17" operator="containsText" text="Error">
      <formula>NOT(ISERROR(SEARCH("Error",AG1)))</formula>
    </cfRule>
    <cfRule type="containsText" dxfId="9" priority="18" operator="containsText" text="é criado">
      <formula>NOT(ISERROR(SEARCH("é criado",AG1)))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G55:AG107">
    <cfRule type="containsText" dxfId="7" priority="1" operator="containsText" text="criadas">
      <formula>NOT(ISERROR(SEARCH("criadas",AG55)))</formula>
    </cfRule>
    <cfRule type="containsText" dxfId="6" priority="2" operator="containsText" text="é gravado">
      <formula>NOT(ISERROR(SEARCH("é gravado",AG55)))</formula>
    </cfRule>
    <cfRule type="containsText" dxfId="5" priority="3" operator="containsText" text="é modificado">
      <formula>NOT(ISERROR(SEARCH("é modificado",AG55)))</formula>
    </cfRule>
    <cfRule type="containsText" dxfId="4" priority="4" operator="containsText" text="Error">
      <formula>NOT(ISERROR(SEARCH("Error",AG55)))</formula>
    </cfRule>
    <cfRule type="containsText" dxfId="3" priority="5" operator="containsText" text="é criado">
      <formula>NOT(ISERROR(SEARCH("é criado",AG55)))</formula>
    </cfRule>
  </conditionalFormatting>
  <dataValidations count="1">
    <dataValidation operator="lessThanOrEqual" allowBlank="1" showInputMessage="1" showErrorMessage="1" sqref="D5:D107"/>
  </dataValidations>
  <hyperlinks>
    <hyperlink ref="C4" location="'Listas de Dados'!BO1" display="GRP. DE MERCADORIA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lessThanOrEqual" allowBlank="1" showInputMessage="1" showErrorMessage="1">
          <x14:formula1>
            <xm:f>'Listas de Dados'!$BO$4:$BO$34</xm:f>
          </x14:formula1>
          <xm:sqref>C5:C107</xm:sqref>
        </x14:dataValidation>
        <x14:dataValidation type="list" allowBlank="1" showInputMessage="1" showErrorMessage="1">
          <x14:formula1>
            <xm:f>'Listas de Dados'!$J$4:$J$29</xm:f>
          </x14:formula1>
          <xm:sqref>E5:AE107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BF1" workbookViewId="0">
      <selection activeCell="BO31" sqref="BO31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153</v>
      </c>
      <c r="N2" s="52"/>
      <c r="O2" s="15"/>
      <c r="P2" s="52" t="s">
        <v>165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267</v>
      </c>
      <c r="AB2" s="52"/>
      <c r="AC2" s="15"/>
      <c r="AD2" s="52" t="s">
        <v>270</v>
      </c>
      <c r="AE2" s="52"/>
      <c r="AF2" s="17"/>
      <c r="AG2" s="17" t="s">
        <v>270</v>
      </c>
      <c r="AH2" s="19"/>
      <c r="AI2" s="52" t="s">
        <v>302</v>
      </c>
      <c r="AJ2" s="52"/>
      <c r="AK2" s="19"/>
      <c r="AL2" s="52" t="s">
        <v>326</v>
      </c>
      <c r="AM2" s="52"/>
      <c r="AN2" s="19"/>
      <c r="AO2" s="52" t="s">
        <v>33</v>
      </c>
      <c r="AP2" s="52"/>
      <c r="AQ2" s="19"/>
      <c r="AR2" s="52" t="s">
        <v>327</v>
      </c>
      <c r="AS2" s="52"/>
      <c r="AT2" s="19"/>
      <c r="AU2" s="52" t="s">
        <v>341</v>
      </c>
      <c r="AV2" s="52"/>
      <c r="AW2" s="19"/>
      <c r="AX2" s="52" t="s">
        <v>403</v>
      </c>
      <c r="AY2" s="52"/>
      <c r="AZ2" s="21"/>
      <c r="BA2" s="52" t="s">
        <v>415</v>
      </c>
      <c r="BB2" s="52"/>
      <c r="BC2" s="52"/>
      <c r="BD2" s="52"/>
      <c r="BE2" s="23"/>
      <c r="BF2" s="52" t="s">
        <v>561</v>
      </c>
      <c r="BG2" s="52"/>
      <c r="BH2" s="52"/>
      <c r="BI2" s="29"/>
      <c r="BJ2" s="52" t="s">
        <v>613</v>
      </c>
      <c r="BK2" s="52"/>
      <c r="BL2" s="34"/>
      <c r="BM2" s="34" t="s">
        <v>96</v>
      </c>
      <c r="BN2" s="34"/>
      <c r="BO2" s="52" t="s">
        <v>684</v>
      </c>
      <c r="BP2" s="52"/>
      <c r="BQ2" s="34"/>
      <c r="BR2" s="34" t="s">
        <v>685</v>
      </c>
      <c r="BS2" s="45"/>
      <c r="BT2" s="52" t="s">
        <v>695</v>
      </c>
      <c r="BU2" s="52"/>
    </row>
    <row r="3" spans="1:73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20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680</v>
      </c>
      <c r="BP5" s="20" t="s">
        <v>681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634</v>
      </c>
      <c r="BP6" s="20" t="s">
        <v>635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626</v>
      </c>
      <c r="BP7" s="20" t="s">
        <v>627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661</v>
      </c>
      <c r="BP8" s="20" t="s">
        <v>662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632</v>
      </c>
      <c r="BP9" s="20" t="s">
        <v>633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628</v>
      </c>
      <c r="BP10" s="20" t="s">
        <v>629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630</v>
      </c>
      <c r="BP11" s="20" t="s">
        <v>631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682</v>
      </c>
      <c r="BP12" s="20" t="s">
        <v>683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670</v>
      </c>
      <c r="BP13" s="20" t="s">
        <v>671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672</v>
      </c>
      <c r="BP14" s="20" t="s">
        <v>673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674</v>
      </c>
      <c r="BP15" s="20" t="s">
        <v>675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678</v>
      </c>
      <c r="BP16" s="20" t="s">
        <v>679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676</v>
      </c>
      <c r="BP17" s="20" t="s">
        <v>677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649</v>
      </c>
      <c r="BP18" s="20" t="s">
        <v>650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663</v>
      </c>
      <c r="BP19" s="20" t="s">
        <v>664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668</v>
      </c>
      <c r="BP20" s="20" t="s">
        <v>669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636</v>
      </c>
      <c r="BP21" s="20" t="s">
        <v>637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655</v>
      </c>
      <c r="BP22" s="20" t="s">
        <v>656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651</v>
      </c>
      <c r="BP23" s="20" t="s">
        <v>652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638</v>
      </c>
      <c r="BP24" s="20" t="s">
        <v>639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657</v>
      </c>
      <c r="BP25" s="20" t="s">
        <v>658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642</v>
      </c>
      <c r="BP26" s="20" t="s">
        <v>643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640</v>
      </c>
      <c r="BP27" s="20" t="s">
        <v>641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647</v>
      </c>
      <c r="BP28" s="20" t="s">
        <v>648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659</v>
      </c>
      <c r="BP29" s="20" t="s">
        <v>660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644</v>
      </c>
      <c r="BP30" s="20" t="s">
        <v>645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618</v>
      </c>
      <c r="BP31" s="20" t="s">
        <v>646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653</v>
      </c>
      <c r="BP32" s="20" t="s">
        <v>654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665</v>
      </c>
      <c r="BP33" s="20" t="s">
        <v>666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616</v>
      </c>
      <c r="BP34" s="20" t="s">
        <v>667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BO4:BP34">
    <sortCondition ref="BP34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2022-03-11T14:27:08Z</dcterms:modified>
</cp:coreProperties>
</file>