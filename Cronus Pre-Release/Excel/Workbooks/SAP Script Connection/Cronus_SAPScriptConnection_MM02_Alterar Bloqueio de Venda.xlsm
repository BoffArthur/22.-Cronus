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372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<sst xmlns="http://schemas.openxmlformats.org/spreadsheetml/2006/main" count="5085" uniqueCount="4635">
  <si>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</si>
  <si>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</si>
  <si>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</si>
  <si>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</si>
  <si>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</si>
  <si>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</si>
  <si>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</si>
  <si>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</si>
  <si>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</si>
  <si>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</si>
  <si>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</si>
  <si>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</si>
  <si>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</si>
  <si>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</si>
  <si>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</si>
  <si>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</si>
  <si>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</si>
  <si>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</si>
  <si>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</si>
  <si>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</si>
  <si>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</si>
  <si>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</si>
  <si>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</si>
  <si>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</si>
  <si>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</si>
  <si>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</si>
  <si>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</si>
  <si>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</si>
  <si>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</si>
  <si>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</si>
  <si>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</si>
  <si>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</si>
  <si>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</si>
  <si>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</si>
  <si>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</si>
  <si>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</si>
  <si>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</si>
  <si>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</si>
  <si>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</si>
  <si>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</si>
  <si>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</si>
  <si>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</si>
  <si>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</si>
  <si>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</si>
  <si>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</si>
  <si>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</si>
  <si>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</si>
  <si>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</si>
  <si>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</si>
  <si>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</si>
  <si>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</si>
  <si>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</si>
  <si>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</si>
  <si>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</si>
  <si>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</si>
  <si>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</si>
  <si>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</si>
  <si>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</si>
  <si>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</si>
  <si>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</si>
  <si>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</si>
  <si>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</si>
  <si>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</si>
  <si>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</si>
  <si>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</si>
  <si>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</si>
  <si>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</si>
  <si>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</si>
  <si>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</si>
  <si>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</si>
  <si>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</si>
  <si>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</si>
  <si>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</si>
  <si>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</si>
  <si>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</si>
  <si>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</si>
  <si>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</si>
  <si>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</si>
  <si>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</si>
  <si>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</si>
  <si>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</si>
  <si>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</si>
  <si>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</si>
  <si>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</si>
  <si>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</si>
  <si>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</si>
  <si>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</si>
  <si>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</si>
  <si>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</si>
  <si>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</si>
  <si>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</si>
  <si>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</si>
  <si>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</si>
  <si>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</si>
  <si>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</si>
  <si>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</si>
  <si>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</si>
  <si>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</si>
  <si>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</si>
  <si>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</si>
  <si>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</si>
  <si>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</si>
  <si>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</si>
  <si>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</si>
  <si>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</si>
  <si>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</si>
  <si>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</si>
  <si>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</si>
  <si>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</si>
  <si>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</si>
  <si>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</si>
  <si>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</si>
  <si>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</si>
  <si>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</si>
  <si>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</si>
  <si>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</si>
  <si>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</si>
  <si>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</si>
  <si>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</si>
  <si>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</si>
  <si>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</si>
  <si>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</si>
  <si>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</si>
  <si>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</si>
  <si>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</si>
  <si>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</si>
  <si>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</si>
  <si>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</si>
  <si>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</si>
  <si>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</si>
  <si>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</si>
  <si>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</si>
  <si>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</si>
  <si>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</si>
  <si>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</si>
  <si>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</si>
  <si>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</si>
  <si>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</si>
  <si>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</si>
  <si>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</si>
  <si>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</si>
  <si>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</si>
  <si>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</si>
  <si>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</si>
  <si>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</si>
  <si>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</si>
  <si>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</si>
  <si>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</si>
  <si>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</si>
  <si>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</si>
  <si>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</si>
  <si>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</si>
  <si>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</si>
  <si>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</si>
  <si>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</si>
  <si>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</si>
  <si>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</si>
  <si>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</si>
  <si>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</si>
  <si>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</si>
  <si>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</si>
  <si>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</si>
  <si>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</si>
  <si>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</si>
  <si>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</si>
  <si>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</si>
  <si>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</si>
  <si>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</si>
  <si>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</si>
  <si>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</si>
  <si>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</si>
  <si>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</si>
  <si>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</si>
  <si>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</si>
  <si>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</si>
  <si>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</si>
  <si>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</si>
  <si>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</si>
  <si>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</si>
  <si>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</si>
  <si>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</si>
  <si>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</si>
  <si>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</si>
  <si>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</si>
  <si>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</si>
  <si>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</si>
  <si>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</si>
  <si>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</si>
  <si>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</si>
  <si>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</si>
  <si>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</si>
  <si>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</si>
  <si>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</si>
  <si>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</si>
  <si>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</si>
  <si>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</si>
  <si>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</si>
  <si>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</si>
  <si>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</si>
  <si>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</si>
  <si>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</si>
  <si>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</si>
  <si>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</si>
  <si>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</si>
  <si>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</si>
  <si>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</si>
  <si>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</si>
  <si>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</si>
  <si>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</si>
  <si>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</si>
  <si>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</si>
  <si>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</si>
  <si>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</si>
  <si>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</si>
  <si>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</si>
  <si>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</si>
  <si>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</si>
  <si>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</si>
  <si>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</si>
  <si>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</si>
  <si>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</si>
  <si>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</si>
  <si>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</si>
  <si>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</si>
  <si>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</si>
  <si>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</si>
  <si>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</si>
  <si>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</si>
  <si>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</si>
  <si>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</si>
  <si>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</si>
  <si>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</si>
  <si>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</si>
  <si>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</si>
  <si>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</si>
  <si>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</si>
  <si>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</si>
  <si>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</si>
  <si>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</si>
  <si>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</si>
  <si>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</si>
  <si>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</si>
  <si>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</si>
  <si>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</si>
  <si>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</si>
  <si>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</si>
  <si>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</si>
  <si>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</si>
  <si>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</si>
  <si>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</si>
  <si>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</si>
  <si>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</si>
  <si>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</si>
  <si>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</si>
  <si>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</si>
  <si>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</si>
  <si>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</si>
  <si>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</si>
  <si>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</si>
  <si>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</si>
  <si>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</si>
  <si>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</si>
  <si>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</si>
  <si>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</si>
  <si>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</si>
  <si>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</si>
  <si>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</si>
  <si>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</si>
  <si>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</si>
  <si>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</si>
  <si>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</si>
  <si>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</si>
  <si>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</si>
  <si>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</si>
  <si>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</si>
  <si>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</si>
  <si>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</si>
  <si>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</si>
  <si>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</si>
  <si>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</si>
  <si>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</si>
  <si>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</si>
  <si>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</si>
  <si>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</si>
  <si>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</si>
  <si>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</si>
  <si>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</si>
  <si>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</si>
  <si>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</si>
  <si>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</si>
  <si>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</si>
  <si>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</si>
  <si>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</si>
  <si>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</si>
  <si>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</si>
  <si>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</si>
  <si>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</si>
  <si>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</si>
  <si>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</si>
  <si>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</si>
  <si>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</si>
  <si>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</si>
  <si>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</si>
  <si>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</si>
  <si>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</si>
  <si>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</si>
  <si>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</si>
  <si>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</si>
  <si>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</si>
  <si>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</si>
  <si>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</si>
  <si>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</si>
  <si>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</si>
  <si>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</si>
  <si>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</si>
  <si>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</si>
  <si>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</si>
  <si>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</si>
  <si>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</si>
  <si>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</si>
  <si>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</si>
  <si>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</si>
  <si>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</si>
  <si>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</si>
  <si>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</si>
  <si>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</si>
  <si>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</si>
  <si>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</si>
  <si>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</si>
  <si>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</si>
  <si>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</si>
  <si>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</si>
  <si>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</si>
  <si>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</si>
  <si>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</si>
  <si>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</si>
  <si>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</si>
  <si>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</si>
  <si>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</si>
  <si>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</si>
  <si>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</si>
  <si>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</si>
  <si>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</si>
  <si>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</si>
  <si>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</si>
  <si>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</si>
  <si>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</si>
  <si>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</si>
  <si>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</si>
  <si>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</si>
  <si>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</si>
  <si>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</si>
  <si>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</si>
  <si>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</si>
  <si>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</si>
  <si>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</si>
  <si>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</si>
  <si>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</si>
  <si>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</si>
  <si>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</si>
  <si>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</si>
  <si>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</si>
  <si>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</si>
  <si>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</si>
  <si>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</si>
  <si>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</si>
  <si>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</si>
  <si>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</si>
  <si>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</si>
  <si>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</si>
  <si>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</si>
  <si>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</si>
  <si>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</si>
  <si>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</si>
  <si>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</si>
  <si>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</si>
  <si>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</si>
  <si>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</si>
  <si>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</si>
  <si>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</si>
  <si>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</si>
  <si>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</si>
  <si>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</si>
  <si>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</si>
  <si>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</si>
  <si>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</si>
  <si>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</si>
  <si>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</si>
  <si>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</si>
  <si>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</si>
  <si>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</si>
  <si>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</si>
  <si>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</si>
  <si>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</si>
  <si>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</si>
  <si>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</si>
  <si>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</si>
  <si>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</si>
  <si>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</si>
  <si>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</si>
  <si>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</si>
  <si>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</si>
  <si>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</si>
  <si>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</si>
  <si>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</si>
  <si>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</si>
  <si>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</si>
  <si>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</si>
  <si>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</si>
  <si>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</si>
  <si>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</si>
  <si>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</si>
  <si>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</si>
  <si>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</si>
  <si>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</si>
  <si>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</si>
  <si>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</si>
  <si>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</si>
  <si>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</si>
  <si>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</si>
  <si>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</si>
  <si>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</si>
  <si>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</si>
  <si>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</si>
  <si>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</si>
  <si>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</si>
  <si>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</si>
  <si>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</si>
  <si>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</si>
  <si>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</si>
  <si>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</si>
  <si>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</si>
  <si>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</si>
  <si>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</si>
  <si>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</si>
  <si>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</si>
  <si>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</si>
  <si>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</si>
  <si>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</si>
  <si>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</si>
  <si>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</si>
  <si>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</si>
  <si>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</si>
  <si>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</si>
  <si>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</si>
  <si>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</si>
  <si>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</si>
  <si>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</si>
  <si>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</si>
  <si>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</si>
  <si>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</si>
  <si>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</si>
  <si>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</si>
  <si>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</si>
  <si>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</si>
  <si>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</si>
  <si>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</si>
  <si>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</si>
  <si>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</si>
  <si>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</si>
  <si>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</si>
  <si>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</si>
  <si>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</si>
  <si>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</si>
  <si>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</si>
  <si>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</si>
  <si>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</si>
  <si>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</si>
  <si>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</si>
  <si>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</si>
  <si>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</si>
  <si>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</si>
  <si>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</si>
  <si>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</si>
  <si>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</si>
  <si>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</si>
  <si>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</si>
  <si>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</si>
  <si>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</si>
  <si>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</si>
  <si>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</si>
  <si>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</si>
  <si>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</si>
  <si>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</si>
  <si>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</si>
  <si>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</si>
  <si>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</si>
  <si>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</si>
  <si>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</si>
  <si>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</si>
  <si>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</si>
  <si>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</si>
  <si>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</si>
  <si>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</si>
  <si>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</si>
  <si>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</si>
  <si>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</si>
  <si>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</si>
  <si>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</si>
  <si>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</si>
  <si>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</si>
  <si>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</si>
  <si>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</si>
  <si>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</si>
  <si>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</si>
  <si>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</si>
  <si>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</si>
  <si>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</si>
  <si>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</si>
  <si>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</si>
  <si>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</si>
  <si>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</si>
  <si>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</si>
  <si>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</si>
  <si>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</si>
  <si>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</si>
  <si>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</si>
  <si>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</si>
  <si>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</si>
  <si>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</si>
  <si>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</si>
  <si>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</si>
  <si>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</si>
  <si>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</si>
  <si>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</si>
  <si>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</si>
  <si>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</si>
  <si>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</si>
  <si>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</si>
  <si>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</si>
  <si>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</si>
  <si>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</si>
  <si>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</si>
  <si>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</si>
  <si>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</si>
  <si>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</si>
  <si>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</si>
  <si>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</si>
  <si>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</si>
  <si>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</si>
  <si>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</si>
  <si>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</si>
  <si>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</si>
  <si>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</si>
  <si>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</si>
  <si>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</si>
  <si>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</si>
  <si>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</si>
  <si>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</si>
  <si>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</si>
  <si>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</si>
  <si>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</si>
  <si>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</si>
  <si>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</si>
  <si>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</si>
  <si>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</si>
  <si>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</si>
  <si>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</si>
  <si>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</si>
  <si>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</si>
  <si>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</si>
  <si>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</si>
  <si>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</si>
  <si>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</si>
  <si>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</si>
  <si>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</si>
  <si>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</si>
  <si>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</si>
  <si>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</si>
  <si>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</si>
  <si>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</si>
  <si>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</si>
  <si>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</si>
  <si>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</si>
  <si>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</si>
  <si>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</si>
  <si>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</si>
  <si>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</si>
  <si>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</si>
  <si>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</si>
  <si>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</si>
  <si>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</si>
  <si>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</si>
  <si>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</si>
  <si>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</si>
  <si>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</si>
  <si>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</si>
  <si>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</si>
  <si>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</si>
  <si>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</si>
  <si>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</si>
  <si>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</si>
  <si>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</si>
  <si>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</si>
  <si>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</si>
  <si>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</si>
  <si>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</si>
  <si>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</si>
  <si>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</si>
  <si>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</si>
  <si>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</si>
  <si>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</si>
  <si>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</si>
  <si>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</si>
  <si>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</si>
  <si>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</si>
  <si>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</si>
  <si>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</si>
  <si>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</si>
  <si>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</si>
  <si>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</si>
  <si>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</si>
  <si>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</si>
  <si>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</si>
  <si>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</si>
  <si>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</si>
  <si>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</si>
  <si>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</si>
  <si>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</si>
  <si>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</si>
  <si>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</si>
  <si>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</si>
  <si>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</si>
  <si>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</si>
  <si>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</si>
  <si>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</si>
  <si>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</si>
  <si>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</si>
  <si>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</si>
  <si>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</si>
  <si>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</si>
  <si>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</si>
  <si>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</si>
  <si>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</si>
  <si>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</si>
  <si>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</si>
  <si>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</si>
  <si>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</si>
  <si>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</si>
  <si>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</si>
  <si>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</si>
  <si>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</si>
  <si>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</si>
  <si>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</si>
  <si>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</si>
  <si>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</si>
  <si>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</si>
  <si>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</si>
  <si>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</si>
  <si>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</si>
  <si>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</si>
  <si>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</si>
  <si>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</si>
  <si>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</si>
  <si>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</si>
  <si>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</si>
  <si>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</si>
  <si>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</si>
  <si>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</si>
  <si>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</si>
  <si>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</si>
  <si>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</si>
  <si>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</si>
  <si>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</si>
  <si>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</si>
  <si>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</si>
  <si>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</si>
  <si>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</si>
  <si>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</si>
  <si>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</si>
  <si>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</si>
  <si>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</si>
  <si>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</si>
  <si>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</si>
  <si>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</si>
  <si>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</si>
  <si>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</si>
  <si>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</si>
  <si>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</si>
  <si>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</si>
  <si>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</si>
  <si>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</si>
  <si>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</si>
  <si>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</si>
  <si>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</si>
  <si>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</si>
  <si>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</si>
  <si>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</si>
  <si>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</si>
  <si>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</si>
  <si>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</si>
  <si>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</si>
  <si>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</si>
  <si>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</si>
  <si>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</si>
  <si>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</si>
  <si>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</si>
  <si>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</si>
  <si>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</si>
  <si>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</si>
  <si>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</si>
  <si>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</si>
  <si>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</si>
  <si>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</si>
  <si>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</si>
  <si>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</si>
  <si>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</si>
  <si>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</si>
  <si>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</si>
  <si>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</si>
  <si>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</si>
  <si>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</si>
  <si>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</si>
  <si>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</si>
  <si>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</si>
  <si>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</si>
  <si>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</si>
  <si>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</si>
  <si>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</si>
  <si>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</si>
  <si>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</si>
  <si>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</si>
  <si>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</si>
  <si>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</si>
  <si>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</si>
  <si>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</si>
  <si>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</si>
  <si>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</si>
  <si>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</si>
  <si>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</si>
  <si>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</si>
  <si>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</si>
  <si>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</si>
  <si>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</si>
  <si>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</si>
  <si>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</si>
  <si>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</si>
  <si>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</si>
  <si>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</si>
  <si>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</si>
  <si>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</si>
  <si>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</si>
  <si>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</si>
  <si>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</si>
  <si>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</si>
  <si>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</si>
  <si>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</si>
  <si>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</si>
  <si>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</si>
  <si>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</si>
  <si>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</si>
  <si>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</si>
  <si>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</si>
  <si>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</si>
  <si>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</si>
  <si>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</si>
  <si>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</si>
  <si>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</si>
  <si>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</si>
  <si>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</si>
  <si>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</si>
  <si>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</si>
  <si>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</si>
  <si>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</si>
  <si>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</si>
  <si>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</si>
  <si>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</si>
  <si>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</si>
  <si>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</si>
  <si>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</si>
  <si>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</si>
  <si>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</si>
  <si>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</si>
  <si>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</si>
  <si>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</si>
  <si>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</si>
  <si>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</si>
  <si>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</si>
  <si>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</si>
  <si>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</si>
  <si>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</si>
  <si>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</si>
  <si>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</si>
  <si>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</si>
  <si>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</si>
  <si>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</si>
  <si>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</si>
  <si>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</si>
  <si>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</si>
  <si>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</si>
  <si>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</si>
  <si>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</si>
  <si>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</si>
  <si>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</si>
  <si>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</si>
  <si>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</si>
  <si>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</si>
  <si>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</si>
  <si>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</si>
  <si>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</si>
  <si>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</si>
  <si>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</si>
  <si>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</si>
  <si>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</si>
  <si>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</si>
  <si>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</si>
  <si>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</si>
  <si>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</si>
  <si>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</si>
  <si>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</si>
  <si>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</si>
  <si>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</si>
  <si>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</si>
  <si>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</si>
  <si>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</si>
  <si>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</si>
  <si>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</si>
  <si>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</si>
  <si>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</si>
  <si>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</si>
  <si>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</si>
  <si>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</si>
  <si>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</si>
  <si>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</si>
  <si>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</si>
  <si>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</si>
  <si>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</si>
  <si>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</si>
  <si>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</si>
  <si>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</si>
  <si>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</si>
  <si>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</si>
  <si>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</si>
  <si>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</si>
  <si>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</si>
  <si>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</si>
  <si>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</si>
  <si>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</si>
  <si>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</si>
  <si>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</si>
  <si>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</si>
  <si>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</si>
  <si>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</si>
  <si>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</si>
  <si>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</si>
  <si>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</si>
  <si>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</si>
  <si>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</si>
  <si>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</si>
  <si>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</si>
  <si>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</si>
  <si>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</si>
  <si>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</si>
  <si>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</si>
  <si>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</si>
  <si>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</si>
  <si>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</si>
  <si>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</si>
  <si>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</si>
  <si>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</si>
  <si>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</si>
  <si>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</si>
  <si>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</si>
  <si>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</si>
  <si>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</si>
  <si>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</si>
  <si>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</si>
  <si>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</si>
  <si>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</si>
  <si>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</si>
  <si>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</si>
  <si>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</si>
  <si>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</si>
  <si>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</si>
  <si>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</si>
  <si>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</si>
  <si>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</si>
  <si>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</si>
  <si>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</si>
  <si>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</si>
  <si>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</si>
  <si>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</si>
  <si>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</si>
  <si>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</si>
  <si>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</si>
  <si>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</si>
  <si>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</si>
  <si>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</si>
  <si>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</si>
  <si>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</si>
  <si>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</si>
  <si>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</si>
  <si>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</si>
  <si>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</si>
  <si>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</si>
  <si>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</si>
  <si>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</si>
  <si>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</si>
  <si>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</si>
  <si>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</si>
  <si>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</si>
  <si>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</si>
  <si>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</si>
  <si>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</si>
  <si>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</si>
  <si>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</si>
  <si>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</si>
  <si>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</si>
  <si>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</si>
  <si>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</si>
  <si>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</si>
  <si>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</si>
  <si>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</si>
  <si>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</si>
  <si>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</si>
  <si>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</si>
  <si>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</si>
  <si>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</si>
  <si>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</si>
  <si>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</si>
  <si>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</si>
  <si>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</si>
  <si>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</si>
  <si>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</si>
  <si>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</si>
  <si>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</si>
  <si>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</si>
  <si>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</si>
  <si>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</si>
  <si>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</si>
  <si>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</si>
  <si>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</si>
  <si>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</si>
  <si>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</si>
  <si>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</si>
  <si>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</si>
  <si>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</si>
  <si>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</si>
  <si>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</si>
  <si>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</si>
  <si>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</si>
  <si>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</si>
  <si>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</si>
  <si>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</si>
  <si>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</si>
  <si>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</si>
  <si>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</si>
  <si>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</si>
  <si>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</si>
  <si>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</si>
  <si>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</si>
  <si>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</si>
  <si>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</si>
  <si>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</si>
  <si>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</si>
  <si>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</si>
  <si>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</si>
  <si>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</si>
  <si>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</si>
  <si>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</si>
  <si>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</si>
  <si>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</si>
  <si>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</si>
  <si>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</si>
  <si>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</si>
  <si>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</si>
  <si>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</si>
  <si>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</si>
  <si>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</si>
  <si>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</si>
  <si>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</si>
  <si>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</si>
  <si>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</si>
  <si>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</si>
  <si>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</si>
  <si>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</si>
  <si>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</si>
  <si>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</si>
  <si>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</si>
  <si>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</si>
  <si>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</si>
  <si>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</si>
  <si>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</si>
  <si>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</si>
  <si>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</si>
  <si>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</si>
  <si>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</si>
  <si>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</si>
  <si>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</si>
  <si>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</si>
  <si>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</si>
  <si>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</si>
  <si>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</si>
  <si>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</si>
  <si>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</si>
  <si>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</si>
  <si>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</si>
  <si>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</si>
  <si>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</si>
  <si>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</si>
  <si>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</si>
  <si>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</si>
  <si>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</si>
  <si>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</si>
  <si>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</si>
  <si>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</si>
  <si>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</si>
  <si>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</si>
  <si>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</si>
  <si>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</si>
  <si>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</si>
  <si>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</si>
  <si>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</si>
  <si>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</si>
  <si>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</si>
  <si>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</si>
  <si>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</si>
  <si>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</si>
  <si>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</si>
  <si>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</si>
  <si>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</si>
  <si>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</si>
  <si>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</si>
  <si>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</si>
  <si>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</si>
  <si>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</si>
  <si>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</si>
  <si>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</si>
  <si>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</si>
  <si>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</si>
  <si>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</si>
  <si>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</si>
  <si>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</si>
  <si>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</si>
  <si>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</si>
  <si>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</si>
  <si>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</si>
  <si>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</si>
  <si>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</si>
  <si>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</si>
  <si>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</si>
  <si>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</si>
  <si>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</si>
  <si>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</si>
  <si>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</si>
  <si>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</si>
  <si>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</si>
  <si>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</si>
  <si>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</si>
  <si>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</si>
  <si>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</si>
  <si>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</si>
  <si>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</si>
  <si>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</si>
  <si>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</si>
  <si>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</si>
  <si>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</si>
  <si>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</si>
  <si>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</si>
  <si>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</si>
  <si>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</si>
  <si>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</si>
  <si>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</si>
  <si>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</si>
  <si>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</si>
  <si>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</si>
  <si>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</si>
  <si>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</si>
  <si>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</si>
  <si>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</si>
  <si>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</si>
  <si>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</si>
  <si>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</si>
  <si>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</si>
  <si>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</si>
  <si>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</si>
  <si>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</si>
  <si>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</si>
  <si>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</si>
  <si>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</si>
  <si>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</si>
  <si>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</si>
  <si>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</si>
  <si>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</si>
  <si>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</si>
  <si>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</si>
  <si>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</si>
  <si>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</si>
  <si>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</si>
  <si>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</si>
  <si>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</si>
  <si>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</si>
  <si>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</si>
  <si>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</si>
  <si>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</si>
  <si>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</si>
  <si>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</si>
  <si>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</si>
  <si>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</si>
  <si>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</si>
  <si>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</si>
  <si>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</si>
  <si>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</si>
  <si>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</si>
  <si>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</si>
  <si>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</si>
  <si>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</si>
  <si>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</si>
  <si>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</si>
  <si>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</si>
  <si>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</si>
  <si>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</si>
  <si>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</si>
  <si>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</si>
  <si>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</si>
  <si>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</si>
  <si>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</si>
  <si>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</si>
  <si>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</si>
  <si>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</si>
  <si>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</si>
  <si>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</si>
  <si>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</si>
  <si>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</si>
  <si>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</si>
  <si>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</si>
  <si>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</si>
  <si>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</si>
  <si>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</si>
  <si>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</si>
  <si>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</si>
  <si>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</si>
  <si>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</si>
  <si>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</si>
  <si>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</si>
  <si>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</si>
  <si>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</si>
  <si>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</si>
  <si>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</si>
  <si>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</si>
  <si>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</si>
  <si>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</si>
  <si>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</si>
  <si>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</si>
  <si>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</si>
  <si>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</si>
  <si>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</si>
  <si>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</si>
  <si>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</si>
  <si>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</si>
  <si>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</si>
  <si>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</si>
  <si>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</si>
  <si>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</si>
  <si>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</si>
  <si>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</si>
  <si>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</si>
  <si>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</si>
  <si>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</si>
  <si>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</si>
  <si>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</si>
  <si>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</si>
  <si>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</si>
  <si>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</si>
  <si>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</si>
  <si>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</si>
  <si>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</si>
  <si>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</si>
  <si>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</si>
  <si>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</si>
  <si>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</si>
  <si>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</si>
  <si>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</si>
  <si>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</si>
  <si>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</si>
  <si>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</si>
  <si>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</si>
  <si>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</si>
  <si>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</si>
  <si>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</si>
  <si>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</si>
  <si>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</si>
  <si>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</si>
  <si>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</si>
  <si>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</si>
  <si>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</si>
  <si>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</si>
  <si>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</si>
  <si>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</si>
  <si>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</si>
  <si>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</si>
  <si>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</si>
  <si>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</si>
  <si>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</si>
  <si>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</si>
  <si>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</si>
  <si>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</si>
  <si>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</si>
  <si>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</si>
  <si>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</si>
  <si>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</si>
  <si>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</si>
  <si>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</si>
  <si>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</si>
  <si>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</si>
  <si>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</si>
  <si>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</si>
  <si>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</si>
  <si>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</si>
  <si>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</si>
  <si>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</si>
  <si>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</si>
  <si>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</si>
  <si>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</si>
  <si>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</si>
  <si>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</si>
  <si>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</si>
  <si>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</si>
  <si>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</si>
  <si>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</si>
  <si>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</si>
  <si>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</si>
  <si>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</si>
  <si>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</si>
  <si>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</si>
  <si>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</si>
  <si>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</si>
  <si>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</si>
  <si>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</si>
  <si>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</si>
  <si>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</si>
  <si>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</si>
  <si>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</si>
  <si>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</si>
  <si>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</si>
  <si>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</si>
  <si>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</si>
  <si>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</si>
  <si>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</si>
  <si>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</si>
  <si>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</si>
  <si>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</si>
  <si>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</si>
  <si>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</si>
  <si>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</si>
  <si>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</si>
  <si>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</si>
  <si>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</si>
  <si>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</si>
  <si>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</si>
  <si>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</si>
  <si>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</si>
  <si>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</si>
  <si>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</si>
  <si>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</si>
  <si>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</si>
  <si>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</si>
  <si>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</si>
  <si>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</si>
  <si>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</si>
  <si>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</si>
  <si>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</si>
  <si>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</si>
  <si>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</si>
  <si>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</si>
  <si>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</si>
  <si>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</si>
  <si>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</si>
  <si>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</si>
  <si>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</si>
  <si>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</si>
  <si>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</si>
  <si>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</si>
  <si>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</si>
  <si>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</si>
  <si>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</si>
  <si>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</si>
  <si>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</si>
  <si>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</si>
  <si>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</si>
  <si>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</si>
  <si>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</si>
  <si>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</si>
  <si>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</si>
  <si>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</si>
  <si>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</si>
  <si>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</si>
  <si>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</si>
  <si>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</si>
  <si>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</si>
  <si>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</si>
  <si>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</si>
  <si>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</si>
  <si>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</si>
  <si>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</si>
  <si>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</si>
  <si>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</si>
  <si>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</si>
  <si>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</si>
  <si>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</si>
  <si>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</si>
  <si>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</si>
  <si>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</si>
  <si>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</si>
  <si>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</si>
  <si>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</si>
  <si>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</si>
  <si>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</si>
  <si>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</si>
  <si>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</si>
  <si>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</si>
  <si>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</si>
  <si>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</si>
  <si>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</si>
  <si>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</si>
  <si>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</si>
  <si>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</si>
  <si>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</si>
  <si>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</si>
  <si>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</si>
  <si>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</si>
  <si>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</si>
  <si>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</si>
  <si>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</si>
  <si>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</si>
  <si>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</si>
  <si>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</si>
  <si>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</si>
  <si>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</si>
  <si>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</si>
  <si>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</si>
  <si>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</si>
  <si>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</si>
  <si>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</si>
  <si>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</si>
  <si>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</si>
  <si>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</si>
  <si>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</si>
  <si>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</si>
  <si>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</si>
  <si>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</si>
  <si>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</si>
  <si>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</si>
  <si>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</si>
  <si>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</si>
  <si>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</si>
  <si>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</si>
  <si>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</si>
  <si>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</si>
  <si>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</si>
  <si>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</si>
  <si>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</si>
  <si>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</si>
  <si>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</si>
  <si>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</si>
  <si>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</si>
  <si>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</si>
  <si>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</si>
  <si>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</si>
  <si>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</si>
  <si>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</si>
  <si>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</si>
  <si>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</si>
  <si>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</si>
  <si>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</si>
  <si>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</si>
  <si>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</si>
  <si>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</si>
  <si>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</si>
  <si>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</si>
  <si>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</si>
  <si>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</si>
  <si>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</si>
  <si>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</si>
  <si>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</si>
  <si>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</si>
  <si>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</si>
  <si>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</si>
  <si>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</si>
  <si>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</si>
  <si>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</si>
  <si>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</si>
  <si>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</si>
  <si>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</si>
  <si>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</si>
  <si>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</si>
  <si>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</si>
  <si>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</si>
  <si>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</si>
  <si>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</si>
  <si>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</si>
  <si>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</si>
  <si>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</si>
  <si>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</si>
  <si>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</si>
  <si>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</si>
  <si>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</si>
  <si>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</si>
  <si>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</si>
  <si>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</si>
  <si>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</si>
  <si>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</si>
  <si>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</si>
  <si>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</si>
  <si>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</si>
  <si>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</si>
  <si>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</si>
  <si>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</si>
  <si>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</si>
  <si>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</si>
  <si>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</si>
  <si>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</si>
  <si>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</si>
  <si>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</si>
  <si>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</si>
  <si>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</si>
  <si>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</si>
  <si>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</si>
  <si>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</si>
  <si>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</si>
  <si>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</si>
  <si>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</si>
  <si>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</si>
  <si>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</si>
  <si>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</si>
  <si>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</si>
  <si>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</si>
  <si>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</si>
  <si>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</si>
  <si>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</si>
  <si>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</si>
  <si>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</si>
  <si>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</si>
  <si>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</si>
  <si>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</si>
  <si>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</si>
  <si>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</si>
  <si>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</si>
  <si>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</si>
  <si>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</si>
  <si>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</si>
  <si>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</si>
  <si>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</si>
  <si>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</si>
  <si>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</si>
  <si>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</si>
  <si>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</si>
  <si>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</si>
  <si>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</si>
  <si>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</si>
  <si>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</si>
  <si>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</si>
  <si>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</si>
  <si>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</si>
  <si>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</si>
  <si>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</si>
  <si>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</si>
  <si>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</si>
  <si>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</si>
  <si>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</si>
  <si>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</si>
  <si>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</si>
  <si>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</si>
  <si>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</si>
  <si>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</si>
  <si>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</si>
  <si>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</si>
  <si>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</si>
  <si>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</si>
  <si>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</si>
  <si>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</si>
  <si>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</si>
  <si>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</si>
  <si>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</si>
  <si>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</si>
  <si>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</si>
  <si>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</si>
  <si>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</si>
  <si>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</si>
  <si>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</si>
  <si>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</si>
  <si>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</si>
  <si>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</si>
  <si>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</si>
  <si>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</si>
  <si>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</si>
  <si>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</si>
  <si>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</si>
  <si>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</si>
  <si>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</si>
  <si>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</si>
  <si>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</si>
  <si>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</si>
  <si>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</si>
  <si>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</si>
  <si>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</si>
  <si>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</si>
  <si>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</si>
  <si>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</si>
  <si>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</si>
  <si>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</si>
  <si>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</si>
  <si>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</si>
  <si>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</si>
  <si>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</si>
  <si>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</si>
  <si>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</si>
  <si>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</si>
  <si>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</si>
  <si>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</si>
  <si>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</si>
  <si>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</si>
  <si>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</si>
  <si>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</si>
  <si>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</si>
  <si>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</si>
  <si>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</si>
  <si>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</si>
  <si>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</si>
  <si>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</si>
  <si>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</si>
  <si>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</si>
  <si>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</si>
  <si>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</si>
  <si>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</si>
  <si>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</si>
  <si>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</si>
  <si>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</si>
  <si>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</si>
  <si>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</si>
  <si>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</si>
  <si>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</si>
  <si>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</si>
  <si>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</si>
  <si>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</si>
  <si>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</si>
  <si>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</si>
  <si>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</si>
  <si>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</si>
  <si>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</si>
  <si>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</si>
  <si>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</si>
  <si>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</si>
  <si>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</si>
  <si>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</si>
  <si>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</si>
  <si>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</si>
  <si>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</si>
  <si>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</si>
  <si>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</si>
  <si>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</si>
  <si>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</si>
  <si>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</si>
  <si>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</si>
  <si>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</si>
  <si>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</si>
  <si>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</si>
  <si>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</si>
  <si>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</si>
  <si>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</si>
  <si>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</si>
  <si>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</si>
  <si>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</si>
  <si>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</si>
  <si>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</si>
  <si>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</si>
  <si>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</si>
  <si>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</si>
  <si>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</si>
  <si>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</si>
  <si>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</si>
  <si>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</si>
  <si>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</si>
  <si>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</si>
  <si>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</si>
  <si>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</si>
  <si>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</si>
  <si>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</si>
  <si>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</si>
  <si>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</si>
  <si>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</si>
  <si>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</si>
  <si>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</si>
  <si>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</si>
  <si>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</si>
  <si>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</si>
  <si>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</si>
  <si>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</si>
  <si>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</si>
  <si>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</si>
  <si>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</si>
  <si>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</si>
  <si>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</si>
  <si>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</si>
  <si>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</si>
  <si>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</si>
  <si>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</si>
  <si>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</si>
  <si>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</si>
  <si>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</si>
  <si>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</si>
  <si>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</si>
  <si>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</si>
  <si>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</si>
  <si>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</si>
  <si>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</si>
  <si>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</si>
  <si>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</si>
  <si>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</si>
  <si>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</si>
  <si>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</si>
  <si>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</si>
  <si>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</si>
  <si>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</si>
  <si>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</si>
  <si>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</si>
  <si>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</si>
  <si>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</si>
  <si>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</si>
  <si>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</si>
  <si>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</si>
  <si>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</si>
  <si>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</si>
  <si>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</si>
  <si>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</si>
  <si>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</si>
  <si>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</si>
  <si>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</si>
  <si>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</si>
  <si>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</si>
  <si>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</si>
  <si>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</si>
  <si>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</si>
  <si>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</si>
  <si>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</si>
  <si>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</si>
  <si>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</si>
  <si>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</si>
  <si>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</si>
  <si>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</si>
  <si>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</si>
  <si>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</si>
  <si>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</si>
  <si>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</si>
  <si>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</si>
  <si>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</si>
  <si>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</si>
  <si>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</si>
  <si>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</si>
  <si>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</si>
  <si>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</si>
  <si>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</si>
  <si>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</si>
  <si>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</si>
  <si>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</si>
  <si>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</si>
  <si>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</si>
  <si>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</si>
  <si>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</si>
  <si>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</si>
  <si>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</si>
  <si>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</si>
  <si>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</si>
  <si>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</si>
  <si>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</si>
  <si>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</si>
  <si>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</si>
  <si>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</si>
  <si>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</si>
  <si>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</si>
  <si>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</si>
  <si>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</si>
  <si>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</si>
  <si>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</si>
  <si>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</si>
  <si>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</si>
  <si>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</si>
  <si>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</si>
  <si>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</si>
  <si>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</si>
  <si>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</si>
  <si>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</si>
  <si>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</si>
  <si>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</si>
  <si>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</si>
  <si>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</si>
  <si>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</si>
  <si>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</si>
  <si>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</si>
  <si>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</si>
  <si>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</si>
  <si>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</si>
  <si>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</si>
  <si>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</si>
  <si>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</si>
  <si>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</si>
  <si>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</si>
  <si>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</si>
  <si>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</si>
  <si>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</si>
  <si>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</si>
  <si>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</si>
  <si>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</si>
  <si>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</si>
  <si>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</si>
  <si>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</si>
  <si>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</si>
  <si>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</si>
  <si>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</si>
  <si>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</si>
  <si>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</si>
  <si>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</si>
  <si>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</si>
  <si>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</si>
  <si>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</si>
  <si>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</si>
  <si>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</si>
  <si>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</si>
  <si>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</si>
  <si>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</si>
  <si>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</si>
  <si>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</si>
  <si>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</si>
  <si>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</si>
  <si>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</si>
  <si>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</si>
  <si>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</si>
  <si>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</si>
  <si>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</si>
  <si>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</si>
  <si>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</si>
  <si>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</si>
  <si>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</si>
  <si>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</si>
  <si>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</si>
  <si>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</si>
  <si>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</si>
  <si>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</si>
  <si>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</si>
  <si>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</si>
  <si>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</si>
  <si>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</si>
  <si>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</si>
  <si>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</si>
  <si>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</si>
  <si>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</si>
  <si>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</si>
  <si>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</si>
  <si>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</si>
  <si>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</si>
  <si>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</si>
  <si>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</si>
  <si>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</si>
  <si>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</si>
  <si>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</si>
  <si>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</si>
  <si>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</si>
  <si>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</si>
  <si>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</si>
  <si>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</si>
  <si>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</si>
  <si>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</si>
  <si>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</si>
  <si>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</si>
  <si>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</si>
  <si>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</si>
  <si>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</si>
  <si>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</si>
  <si>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</si>
  <si>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</si>
  <si>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</si>
  <si>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</si>
  <si>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</si>
  <si>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</si>
  <si>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</si>
  <si>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</si>
  <si>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</si>
  <si>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</si>
  <si>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</si>
  <si>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</si>
  <si>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</si>
  <si>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</si>
  <si>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</si>
  <si>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</si>
  <si>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</si>
  <si>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</si>
  <si>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</si>
  <si>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</si>
  <si>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</si>
  <si>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</si>
  <si>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</si>
  <si>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</si>
  <si>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</si>
  <si>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</si>
  <si>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</si>
  <si>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</si>
  <si>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</si>
  <si>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</si>
  <si>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</si>
  <si>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</si>
  <si>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</si>
  <si>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</si>
  <si>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</si>
  <si>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</si>
  <si>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</si>
  <si>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</si>
  <si>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</si>
  <si>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</si>
  <si>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</si>
  <si>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</si>
  <si>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</si>
  <si>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</si>
  <si>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</si>
  <si>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</si>
  <si>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</si>
  <si>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</si>
  <si>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</si>
  <si>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</si>
  <si>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</si>
  <si>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</si>
  <si>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</si>
  <si>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</si>
  <si>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</si>
  <si>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</si>
  <si>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</si>
  <si>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</si>
  <si>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</si>
  <si>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</si>
  <si>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</si>
  <si>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</si>
  <si>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</si>
  <si>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</si>
  <si>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</si>
  <si>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</si>
  <si>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</si>
  <si>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</si>
  <si>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</si>
  <si>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</si>
  <si>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</si>
  <si>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</si>
  <si>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</si>
  <si>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</si>
  <si>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</si>
  <si>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</si>
  <si>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</si>
  <si>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</si>
  <si>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</si>
  <si>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</si>
  <si>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</si>
  <si>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</si>
  <si>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</si>
  <si>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</si>
  <si>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</si>
  <si>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</si>
  <si>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</si>
  <si>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</si>
  <si>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</si>
  <si>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</si>
  <si>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</si>
  <si>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</si>
  <si>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</si>
  <si>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</si>
  <si>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</si>
  <si>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</si>
  <si>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</si>
  <si>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</si>
  <si>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</si>
  <si>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</si>
  <si>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</si>
  <si>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</si>
  <si>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</si>
  <si>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</si>
  <si>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</si>
  <si>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</si>
  <si>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</si>
  <si>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</si>
  <si>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</si>
  <si>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</si>
  <si>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</si>
  <si>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</si>
  <si>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</si>
  <si>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</si>
  <si>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</si>
  <si>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</si>
  <si>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</si>
  <si>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</si>
  <si>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</si>
  <si>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</si>
  <si>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</si>
  <si>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</si>
  <si>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</si>
  <si>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</si>
  <si>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</si>
  <si>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</si>
  <si>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</si>
  <si>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</si>
  <si>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</si>
  <si>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</si>
  <si>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</si>
  <si>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</si>
  <si>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</si>
  <si>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</si>
  <si>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</si>
  <si>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</si>
  <si>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</si>
  <si>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</si>
  <si>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</si>
  <si>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</si>
  <si>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</si>
  <si>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</si>
  <si>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</si>
  <si>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</si>
  <si>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</si>
  <si>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</si>
  <si>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</si>
  <si>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</si>
  <si>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</si>
  <si>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</si>
  <si>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</si>
  <si>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</si>
  <si>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</si>
  <si>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</si>
  <si>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</si>
  <si>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</si>
  <si>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</si>
  <si>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</si>
  <si>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</si>
  <si>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</si>
  <si>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</si>
  <si>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</si>
  <si>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</si>
  <si>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</si>
  <si>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</si>
  <si>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</si>
  <si>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</si>
  <si>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</si>
  <si>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</si>
  <si>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</si>
  <si>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</si>
  <si>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</si>
  <si>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</si>
  <si>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</si>
  <si>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</si>
  <si>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</si>
  <si>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</si>
  <si>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</si>
  <si>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</si>
  <si>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</si>
  <si>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</si>
  <si>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</si>
  <si>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</si>
  <si>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</si>
  <si>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</si>
  <si>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</si>
  <si>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</si>
  <si>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</si>
  <si>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</si>
  <si>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</si>
  <si>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</si>
  <si>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</si>
  <si>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</si>
  <si>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</si>
  <si>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</si>
  <si>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</si>
  <si>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</si>
  <si>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</si>
  <si>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</si>
  <si>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</si>
  <si>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</si>
  <si>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</si>
  <si>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</si>
  <si>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</si>
  <si>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</si>
  <si>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</si>
  <si>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</si>
  <si>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</si>
  <si>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</si>
  <si>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</si>
  <si>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</si>
  <si>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</si>
  <si>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</si>
  <si>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</si>
  <si>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</si>
  <si>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</si>
  <si>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</si>
  <si>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</si>
  <si>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</si>
  <si>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</si>
  <si>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</si>
  <si>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</si>
  <si>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</si>
  <si>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</si>
  <si>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</si>
  <si>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</si>
  <si>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</si>
  <si>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</si>
  <si>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</si>
  <si>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</si>
  <si>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</si>
  <si>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</si>
  <si>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</si>
  <si>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</si>
  <si>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</si>
  <si>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</si>
  <si>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</si>
  <si>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</si>
  <si>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</si>
  <si>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</si>
  <si>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</si>
  <si>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</si>
  <si>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</si>
  <si>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</si>
  <si>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</si>
  <si>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</si>
  <si>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</si>
  <si>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</si>
  <si>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</si>
  <si>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</si>
  <si>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</si>
  <si>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</si>
  <si>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</si>
  <si>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</si>
  <si>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</si>
  <si>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</si>
  <si>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</si>
  <si>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</si>
  <si>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</si>
  <si>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</si>
  <si>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</si>
  <si>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</si>
  <si>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</si>
  <si>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</si>
  <si>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</si>
  <si>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</si>
  <si>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</si>
  <si>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</si>
  <si>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</si>
  <si>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</si>
  <si>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</si>
  <si>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</si>
  <si>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</si>
  <si>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</si>
  <si>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</si>
  <si>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</si>
  <si>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</si>
  <si>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</si>
  <si>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</si>
  <si>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</si>
  <si>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</si>
  <si>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</si>
  <si>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</si>
  <si>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</si>
  <si>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</si>
  <si>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</si>
  <si>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</si>
  <si>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</si>
  <si>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</si>
  <si>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</si>
  <si>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</si>
  <si>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</si>
  <si>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</si>
  <si>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</si>
  <si>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</si>
  <si>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</si>
  <si>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</si>
  <si>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</si>
  <si>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</si>
  <si>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</si>
  <si>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</si>
  <si>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</si>
  <si>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</si>
  <si>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</si>
  <si>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</si>
  <si>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</si>
  <si>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</si>
  <si>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</si>
  <si>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</si>
  <si>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</si>
  <si>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</si>
  <si>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</si>
  <si>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</si>
  <si>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</si>
  <si>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</si>
  <si>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</si>
  <si>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</si>
  <si>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</si>
  <si>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</si>
  <si>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</si>
  <si>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</si>
  <si>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</si>
  <si>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</si>
  <si>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</si>
  <si>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</si>
  <si>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</si>
  <si>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</si>
  <si>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</si>
  <si>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</si>
  <si>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</si>
  <si>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</si>
  <si>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</si>
  <si>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</si>
  <si>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</si>
  <si>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</si>
  <si>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</si>
  <si>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</si>
  <si>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</si>
  <si>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</si>
  <si>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</si>
  <si>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</si>
  <si>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</si>
  <si>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</si>
  <si>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</si>
  <si>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</si>
  <si>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</si>
  <si>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</si>
  <si>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</si>
  <si>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</si>
  <si>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</si>
  <si>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</si>
  <si>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</si>
  <si>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</si>
  <si>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</si>
  <si>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</si>
  <si>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</si>
  <si>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</si>
  <si>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</si>
  <si>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</si>
  <si>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</si>
  <si>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</si>
  <si>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</si>
  <si>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</si>
  <si>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</si>
  <si>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</si>
  <si>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</si>
  <si>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</si>
  <si>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</si>
  <si>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</si>
  <si>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</si>
  <si>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</si>
  <si>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</si>
  <si>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</si>
  <si>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</si>
  <si>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</si>
  <si>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</si>
  <si>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</si>
  <si>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</si>
  <si>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</si>
  <si>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</si>
  <si>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</si>
  <si>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</si>
  <si>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</si>
  <si>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</si>
  <si>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</si>
  <si>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</si>
  <si>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</si>
  <si>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</si>
  <si>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</si>
  <si>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</si>
  <si>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</si>
  <si>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</si>
  <si>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</si>
  <si>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</si>
  <si>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</si>
  <si>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</si>
  <si>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</si>
  <si>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</si>
  <si>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</si>
  <si>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</si>
  <si>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</si>
  <si>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</si>
  <si>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</si>
  <si>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</si>
  <si>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</si>
  <si>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</si>
  <si>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</si>
  <si>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</si>
  <si>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</si>
  <si>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</si>
  <si>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</si>
  <si>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</si>
  <si>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</si>
  <si>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</si>
  <si>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</si>
  <si>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</si>
  <si>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</si>
  <si>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</si>
  <si>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</si>
  <si>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</si>
  <si>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</si>
  <si>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</si>
  <si>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</si>
  <si>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</si>
  <si>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</si>
  <si>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</si>
  <si>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</si>
  <si>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</si>
  <si>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</si>
  <si>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</si>
  <si>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</si>
  <si>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</si>
  <si>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</si>
  <si>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</si>
  <si>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</si>
  <si>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</si>
  <si>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</si>
  <si>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</si>
  <si>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</si>
  <si>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</si>
  <si>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</si>
  <si>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</si>
  <si>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</si>
  <si>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</si>
  <si>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</si>
  <si>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</si>
  <si>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</si>
  <si>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</si>
  <si>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</si>
  <si>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</si>
  <si>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</si>
  <si>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</si>
  <si>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</si>
  <si>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</si>
  <si>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</si>
  <si>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</si>
  <si>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</si>
  <si>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</si>
  <si>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</si>
  <si>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</si>
  <si>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</si>
  <si>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</si>
  <si>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</si>
  <si>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</si>
  <si>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</si>
  <si>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</si>
  <si>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</si>
  <si>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</si>
  <si>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</si>
  <si>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</si>
  <si>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</si>
  <si>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</si>
  <si>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</si>
  <si>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</si>
  <si>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</si>
  <si>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</si>
  <si>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</si>
  <si>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</si>
  <si>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</si>
  <si>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</si>
  <si>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</si>
  <si>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</si>
  <si>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</si>
  <si>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</si>
  <si>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</si>
  <si>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</si>
  <si>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</si>
  <si>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</si>
  <si>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</si>
  <si>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</si>
  <si>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</si>
  <si>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</si>
  <si>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</si>
  <si>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</si>
  <si>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</si>
  <si>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</si>
  <si>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</si>
  <si>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</si>
  <si>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</si>
  <si>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</si>
  <si>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</si>
  <si>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</si>
  <si>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</si>
  <si>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</si>
  <si>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</si>
  <si>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</si>
  <si>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</si>
  <si>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</si>
  <si>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</si>
  <si>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</si>
  <si>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</si>
  <si>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</si>
  <si>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</si>
  <si>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</si>
  <si>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</si>
  <si>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</si>
  <si>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</si>
  <si>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</si>
  <si>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</si>
  <si>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</si>
  <si>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</si>
  <si>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</si>
  <si>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</si>
  <si>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</si>
  <si>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</si>
  <si>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</si>
  <si>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</si>
  <si>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</si>
  <si>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</si>
  <si>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</si>
  <si>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</si>
  <si>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</si>
  <si>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</si>
  <si>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</si>
  <si>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</si>
  <si>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</si>
  <si>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</si>
  <si>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</si>
  <si>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</si>
  <si>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</si>
  <si>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</si>
  <si>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</si>
  <si>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</si>
  <si>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</si>
  <si>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</si>
  <si>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</si>
  <si>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</si>
  <si>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</si>
  <si>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</si>
  <si>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</si>
  <si>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</si>
  <si>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</si>
  <si>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</si>
  <si>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</si>
  <si>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</si>
  <si>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</si>
  <si>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</si>
  <si>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</si>
  <si>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</si>
  <si>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</si>
  <si>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</si>
  <si>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</si>
  <si>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</si>
  <si>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</si>
  <si>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</si>
  <si>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</si>
  <si>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</si>
  <si>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</si>
  <si>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</si>
  <si>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</si>
  <si>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</si>
  <si>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</si>
  <si>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</si>
  <si>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</si>
  <si>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</si>
  <si>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</si>
  <si>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</si>
  <si>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</si>
  <si>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</si>
  <si>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</si>
  <si>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</si>
  <si>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</si>
  <si>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</si>
  <si>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</si>
  <si>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</si>
  <si>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</si>
  <si>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</si>
  <si>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</si>
  <si>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</si>
  <si>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</si>
  <si>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</si>
  <si>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</si>
  <si>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</si>
  <si>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</si>
  <si>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</si>
  <si>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</si>
  <si>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</si>
  <si>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</si>
  <si>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</si>
  <si>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</si>
  <si>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</si>
  <si>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</si>
  <si>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</si>
  <si>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</si>
  <si>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</si>
  <si>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</si>
  <si>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</si>
  <si>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</si>
  <si>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</si>
  <si>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</si>
  <si>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</si>
  <si>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</si>
  <si>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</si>
  <si>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</si>
  <si>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</si>
  <si>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</si>
  <si>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</si>
  <si>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</si>
  <si>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</si>
  <si>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</si>
  <si>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</si>
  <si>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</si>
  <si>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</si>
  <si>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</si>
  <si>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</si>
  <si>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</si>
  <si>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</si>
  <si>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</si>
  <si>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</si>
  <si>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</si>
  <si>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</si>
  <si>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</si>
  <si>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</si>
  <si>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</si>
  <si>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</si>
  <si>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</si>
  <si>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</si>
  <si>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</si>
  <si>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</si>
  <si>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</si>
  <si>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</si>
  <si>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</si>
  <si>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</si>
  <si>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</si>
  <si>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</si>
  <si>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</si>
  <si>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</si>
  <si>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</si>
  <si>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</si>
  <si>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</si>
  <si>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</si>
  <si>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</si>
  <si>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</si>
  <si>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</si>
  <si>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</si>
  <si>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</si>
  <si>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</si>
  <si>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</si>
  <si>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</si>
  <si>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</si>
  <si>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</si>
  <si>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</si>
  <si>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</si>
  <si>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</si>
  <si>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</si>
  <si>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</si>
  <si>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</si>
  <si>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</si>
  <si>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</si>
  <si>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</si>
  <si>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</si>
  <si>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</si>
  <si>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</si>
  <si>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</si>
  <si>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</si>
  <si>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</si>
  <si>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</si>
  <si>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</si>
  <si>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</si>
  <si>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</si>
  <si>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</si>
  <si>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</si>
  <si>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</si>
  <si>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</si>
  <si>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</si>
  <si>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</si>
  <si>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</si>
  <si>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</si>
  <si>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</si>
  <si>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</si>
  <si>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</si>
  <si>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</si>
  <si>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</si>
  <si>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</si>
  <si>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</si>
  <si>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</si>
  <si>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</si>
  <si>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</si>
  <si>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</si>
  <si>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</si>
  <si>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</si>
  <si>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</si>
  <si>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</si>
  <si>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</si>
  <si>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</si>
  <si>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</si>
  <si>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</si>
  <si>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</si>
  <si>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</si>
  <si>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</si>
  <si>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</si>
  <si>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</si>
  <si>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</si>
  <si>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</si>
  <si>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</si>
  <si>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</si>
  <si>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</si>
  <si>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</si>
  <si>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</si>
  <si>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</si>
  <si>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</si>
  <si>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</si>
  <si>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</si>
  <si>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</si>
  <si>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</si>
  <si>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</si>
  <si>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</si>
  <si>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</si>
  <si>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</si>
  <si>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</si>
  <si>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</si>
  <si>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</si>
  <si>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</si>
  <si>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</si>
  <si>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</si>
  <si>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</si>
  <si>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</si>
  <si>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</si>
  <si>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</si>
  <si>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</si>
  <si>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</si>
  <si>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</si>
  <si>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</si>
  <si>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</si>
  <si>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</si>
  <si>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</si>
  <si>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</si>
  <si>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</si>
  <si>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</si>
  <si>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</si>
  <si>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</si>
  <si>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</si>
  <si>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</si>
  <si>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</si>
  <si>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</si>
  <si>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</si>
  <si>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</si>
  <si>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</si>
  <si>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</si>
  <si>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</si>
  <si>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</si>
  <si>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</si>
  <si>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</si>
  <si>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</si>
  <si>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</si>
  <si>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</si>
  <si>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</si>
  <si>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</si>
  <si>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</si>
  <si>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</si>
  <si>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</si>
  <si>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</si>
  <si>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</si>
  <si>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</si>
  <si>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</si>
  <si>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</si>
  <si>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</si>
  <si>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</si>
  <si>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</si>
  <si>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</si>
  <si>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</si>
  <si>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</si>
  <si>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</si>
  <si>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</si>
  <si>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</si>
  <si>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</si>
  <si>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</si>
  <si>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</si>
  <si>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</si>
  <si>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</si>
  <si>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</si>
  <si>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</si>
  <si>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</si>
  <si>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</si>
  <si>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</si>
  <si>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</si>
  <si>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</si>
  <si>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</si>
  <si>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</si>
  <si>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</si>
  <si>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</si>
  <si>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</si>
  <si>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</si>
  <si>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</si>
  <si>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</si>
  <si>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</si>
  <si>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</si>
  <si>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</si>
  <si>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</si>
  <si>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</si>
  <si>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</si>
  <si>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</si>
  <si>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</si>
  <si>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</si>
  <si>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</si>
  <si>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</si>
  <si>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</si>
  <si>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</si>
  <si>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</si>
  <si>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</si>
  <si>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</si>
  <si>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</si>
  <si>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</si>
  <si>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</si>
  <si>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</si>
  <si>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</si>
  <si>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</si>
  <si>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</si>
  <si>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</si>
  <si>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</si>
  <si>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</si>
  <si>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</si>
  <si>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</si>
  <si>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</si>
  <si>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</si>
  <si>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</si>
  <si>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</si>
  <si>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</si>
  <si>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</si>
  <si>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</si>
  <si>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</si>
  <si>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</si>
  <si>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</si>
  <si>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</si>
  <si>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</si>
  <si>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</si>
  <si>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</si>
  <si>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</si>
  <si>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</si>
  <si>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</si>
  <si>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</si>
  <si>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</si>
  <si>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</si>
  <si>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</si>
  <si>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</si>
  <si>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</si>
  <si>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</si>
  <si>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</si>
  <si>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</si>
  <si>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</si>
  <si>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</si>
  <si>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</si>
  <si>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</si>
  <si>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</si>
  <si>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</si>
  <si>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</si>
  <si>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</si>
  <si>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</si>
  <si>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</si>
  <si>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</si>
  <si>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</si>
  <si>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</si>
  <si>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</si>
  <si>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</si>
  <si>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</si>
  <si>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</si>
  <si>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</si>
  <si>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</si>
  <si>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</si>
  <si>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</si>
  <si>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</si>
  <si>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</si>
  <si>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</si>
  <si>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</si>
  <si>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</si>
  <si>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</si>
  <si>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</si>
  <si>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</si>
  <si>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</si>
  <si>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</si>
  <si>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</si>
  <si>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</si>
  <si>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</si>
  <si>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</si>
  <si>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</si>
  <si>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</si>
  <si>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</si>
  <si>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</si>
  <si>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</si>
  <si>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</si>
  <si>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</si>
  <si>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</si>
  <si>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</si>
  <si>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</si>
  <si>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</si>
  <si>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</si>
  <si>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</si>
  <si>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</si>
  <si>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</si>
  <si>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</si>
  <si>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</si>
  <si>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</si>
  <si>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</si>
  <si>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</si>
  <si>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</si>
  <si>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</si>
  <si>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</si>
  <si>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</si>
  <si>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</si>
  <si>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</si>
  <si>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</si>
  <si>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</si>
  <si>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</si>
  <si>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</si>
  <si>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</si>
  <si>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</si>
  <si>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</si>
  <si>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</si>
  <si>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</si>
  <si>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</si>
  <si>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</si>
  <si>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</si>
  <si>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</si>
  <si>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</si>
  <si>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</si>
  <si>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</si>
  <si>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</si>
  <si>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</si>
  <si>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</si>
  <si>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</si>
  <si>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</si>
  <si>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</si>
  <si>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</si>
  <si>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</si>
  <si>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</si>
  <si>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</si>
  <si>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</si>
  <si>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</si>
  <si>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</si>
  <si>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</si>
  <si>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</si>
  <si>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</si>
  <si>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</si>
  <si>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</si>
  <si>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</si>
  <si>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</si>
  <si>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</si>
  <si>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</si>
  <si>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</si>
  <si>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</si>
  <si>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</si>
  <si>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</si>
  <si>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</si>
  <si>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</si>
  <si>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</si>
  <si>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</si>
  <si>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</si>
  <si>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</si>
  <si>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</si>
  <si>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</si>
  <si>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</si>
  <si>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</si>
  <si>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</si>
  <si>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</si>
  <si>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</si>
  <si>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</si>
  <si>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</si>
  <si>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</si>
  <si>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</si>
  <si>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</si>
  <si>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</si>
  <si>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</si>
  <si>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</si>
  <si>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</si>
  <si>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</si>
  <si>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</si>
  <si>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</si>
  <si>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</si>
  <si>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</si>
  <si>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</si>
  <si>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</si>
  <si>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</si>
  <si>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</si>
  <si>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</si>
  <si>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</si>
  <si>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</si>
  <si>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</si>
  <si>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</si>
  <si>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</si>
  <si>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</si>
  <si>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</si>
  <si>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</si>
  <si>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</si>
  <si>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</si>
  <si>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</si>
  <si>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</si>
  <si>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</si>
  <si>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</si>
  <si>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</si>
  <si>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</si>
  <si>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</si>
  <si>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</si>
  <si>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</si>
  <si>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</si>
  <si>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</si>
  <si>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</si>
  <si>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</si>
  <si>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</si>
  <si>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</si>
  <si>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</si>
  <si>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</si>
  <si>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</si>
  <si>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</si>
  <si>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</si>
  <si>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</si>
  <si>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</si>
  <si>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</si>
  <si>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</si>
  <si>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</si>
  <si>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</si>
  <si>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</si>
  <si>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</si>
  <si>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</si>
  <si>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</si>
  <si>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</si>
  <si>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</si>
  <si>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</si>
  <si>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</si>
  <si>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</si>
  <si>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</si>
  <si>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</si>
  <si>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</si>
  <si>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</si>
  <si>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</si>
  <si>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</si>
  <si>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</si>
  <si>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</si>
  <si>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</si>
  <si>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</si>
  <si>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</si>
  <si>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</si>
  <si>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</si>
  <si>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</si>
  <si>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</si>
  <si>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</si>
  <si>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</si>
  <si>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</si>
  <si>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</si>
  <si>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</si>
  <si>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</si>
  <si>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</si>
  <si>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</si>
  <si>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</si>
  <si>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</si>
  <si>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</si>
  <si>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</si>
  <si>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</si>
  <si>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</si>
  <si>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</si>
  <si>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</si>
  <si>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</si>
  <si>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</si>
  <si>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</si>
  <si>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</si>
  <si>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</si>
  <si>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</si>
  <si>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</si>
  <si>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</si>
  <si>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</si>
  <si>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</si>
  <si>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</si>
  <si>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</si>
  <si>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</si>
  <si>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</si>
  <si>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</si>
  <si>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</si>
  <si>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</si>
  <si>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</si>
  <si>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</si>
  <si>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</si>
  <si>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</si>
  <si>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</si>
  <si>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</si>
  <si>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</si>
  <si>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</si>
  <si>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</si>
  <si>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</si>
  <si>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</si>
  <si>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</si>
  <si>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</si>
  <si>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</si>
  <si>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</si>
  <si>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</si>
  <si>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</si>
  <si>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</si>
  <si>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</si>
  <si>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</si>
  <si>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</si>
  <si>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</si>
  <si>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</si>
  <si>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</si>
  <si>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</si>
  <si>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</si>
  <si>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</si>
  <si>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</si>
  <si>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</si>
  <si>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</si>
  <si>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</si>
  <si>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</si>
  <si>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</si>
  <si>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</si>
  <si>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</si>
  <si>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</si>
  <si>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</si>
  <si>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</si>
  <si>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</si>
  <si>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</si>
  <si>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</si>
  <si>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</si>
  <si>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</si>
  <si>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</si>
  <si>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</si>
  <si>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</si>
  <si>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</si>
  <si>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</si>
  <si>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</si>
  <si>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</si>
  <si>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</si>
  <si>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</si>
  <si>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</si>
  <si>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</si>
  <si>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</si>
  <si>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</si>
  <si>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</si>
  <si>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</si>
  <si>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</si>
  <si>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</si>
  <si>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</si>
  <si>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</si>
  <si>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</si>
  <si>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</si>
  <si>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</si>
  <si>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</si>
  <si>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</si>
  <si>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</si>
  <si>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</si>
  <si>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</si>
  <si>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</si>
  <si>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</si>
  <si>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</si>
  <si>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</si>
  <si>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</si>
  <si>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</si>
  <si>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</si>
  <si>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</si>
  <si>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</si>
  <si>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</si>
  <si>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</si>
  <si>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</si>
  <si>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</si>
  <si>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</si>
  <si>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</si>
  <si>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</si>
  <si>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</si>
  <si>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</si>
  <si>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</si>
  <si>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</si>
  <si>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</si>
  <si>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</si>
  <si>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</si>
  <si>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</si>
  <si>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</si>
  <si>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</si>
  <si>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</si>
  <si>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</si>
  <si>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</si>
  <si>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</si>
  <si>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</si>
  <si>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</si>
  <si>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</si>
  <si>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</si>
  <si>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</si>
  <si>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</si>
  <si>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</si>
  <si>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</si>
  <si>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</si>
  <si>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</si>
  <si>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</si>
  <si>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</si>
  <si>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</si>
  <si>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</si>
  <si>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</si>
  <si>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</si>
  <si>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</si>
  <si>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</si>
  <si>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</si>
  <si>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</si>
  <si>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</si>
  <si>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</si>
  <si>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</si>
  <si>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</si>
  <si>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</si>
  <si>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</si>
  <si>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</si>
  <si>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</si>
  <si>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</si>
  <si>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</si>
  <si>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</si>
  <si>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</si>
  <si>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</si>
  <si>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</si>
  <si>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</si>
  <si>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</si>
  <si>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</si>
  <si>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</si>
  <si>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</si>
  <si>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</si>
  <si>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</si>
  <si>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</si>
  <si>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</si>
  <si>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</si>
  <si>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</si>
  <si>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</si>
  <si>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</si>
  <si>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</si>
  <si>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</si>
  <si>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</si>
  <si>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</si>
  <si>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</si>
  <si>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</si>
  <si>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</si>
  <si>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</si>
  <si>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</si>
  <si>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</si>
  <si>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</si>
  <si>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</si>
  <si>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</si>
  <si>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</si>
  <si>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</si>
  <si>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</si>
  <si>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</si>
  <si>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</si>
  <si>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</si>
  <si>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</si>
  <si>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</si>
  <si>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</si>
  <si>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</si>
  <si>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</si>
  <si>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</si>
  <si>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</si>
  <si>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</si>
  <si>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</si>
  <si>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</si>
  <si>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</si>
  <si>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</si>
  <si>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</si>
  <si>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</si>
  <si>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</si>
  <si>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</si>
  <si>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</si>
  <si>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</si>
  <si>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</si>
  <si>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</si>
  <si>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</si>
  <si>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</si>
  <si>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</si>
  <si>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</si>
  <si>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</si>
  <si>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</si>
  <si>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</si>
  <si>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</si>
  <si>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</si>
  <si>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</si>
  <si>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</si>
  <si>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</si>
  <si>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</si>
  <si>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</si>
  <si>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</si>
  <si>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</si>
  <si>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</si>
  <si>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</si>
  <si>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</si>
  <si>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</si>
  <si>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</si>
  <si>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</si>
  <si>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</si>
  <si>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</si>
  <si>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</si>
  <si>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</si>
  <si>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</si>
  <si>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</si>
  <si>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</si>
  <si>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</si>
  <si>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</si>
  <si>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</si>
  <si>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</si>
  <si>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</si>
  <si>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</si>
  <si>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</si>
  <si>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</si>
  <si>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</si>
  <si>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</si>
  <si>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</si>
  <si>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</si>
  <si>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</si>
  <si>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</si>
  <si>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</si>
  <si>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</si>
  <si>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</si>
  <si>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</si>
  <si>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</si>
  <si>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</si>
  <si>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</si>
  <si>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</si>
  <si>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</si>
  <si>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</si>
  <si>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</si>
  <si>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</si>
  <si>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</si>
  <si>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</si>
  <si>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</si>
  <si>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</si>
  <si>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</si>
  <si>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</si>
  <si>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</si>
  <si>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</si>
  <si>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</si>
  <si>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</si>
  <si>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</si>
  <si>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</si>
  <si>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</si>
  <si>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</si>
  <si>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</si>
  <si>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</si>
  <si>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</si>
  <si>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</si>
  <si>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</si>
  <si>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</si>
  <si>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</si>
  <si>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</si>
  <si>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</si>
  <si>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</si>
  <si>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</si>
  <si>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</si>
  <si>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</si>
  <si>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</si>
  <si>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</si>
  <si>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</si>
  <si>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</si>
  <si>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</si>
  <si>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</si>
  <si>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</si>
  <si>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</si>
  <si>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</si>
  <si>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</si>
  <si>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</si>
  <si>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</si>
  <si>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</si>
  <si>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</si>
  <si>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</si>
  <si>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</si>
  <si>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</si>
  <si>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</si>
  <si>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</si>
  <si>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</si>
  <si>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</si>
  <si>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</si>
  <si>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</si>
  <si>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</si>
  <si>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</si>
  <si>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</si>
  <si>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</si>
  <si>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</si>
  <si>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</si>
  <si>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</si>
  <si>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</si>
  <si>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</si>
  <si>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</si>
  <si>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</si>
  <si>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</si>
  <si>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</si>
  <si>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</si>
  <si>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</si>
  <si>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</si>
  <si>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</si>
  <si>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</si>
  <si>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</si>
  <si>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</si>
  <si>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</si>
  <si>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</si>
  <si>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</si>
  <si>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</si>
  <si>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</si>
  <si>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</si>
  <si>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</si>
  <si>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</si>
  <si>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</si>
  <si>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</si>
  <si>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</si>
  <si>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</si>
  <si>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</si>
  <si>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</si>
  <si>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</si>
  <si>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</si>
  <si>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</si>
  <si>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</si>
  <si>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</si>
  <si>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</si>
  <si>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</si>
  <si>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</si>
  <si>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</si>
  <si>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</si>
  <si>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</si>
  <si>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</si>
  <si>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</si>
  <si>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</si>
  <si>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</si>
  <si>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</si>
  <si>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</si>
  <si>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</si>
  <si>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</si>
  <si>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</si>
  <si>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</si>
  <si>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</si>
  <si>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</si>
  <si>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</si>
  <si>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</si>
  <si>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</si>
  <si>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</si>
  <si>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</si>
  <si>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</si>
  <si>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</si>
  <si>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</si>
  <si>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</si>
  <si>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</si>
  <si>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</si>
  <si>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</si>
  <si>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</si>
  <si>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</si>
  <si>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</si>
  <si>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</si>
  <si>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</si>
  <si>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</si>
  <si>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</si>
  <si>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</si>
  <si>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</si>
  <si>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</si>
  <si>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</si>
  <si>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</si>
  <si>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</si>
  <si>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</si>
  <si>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</si>
  <si>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</si>
  <si>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</si>
  <si>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</si>
  <si>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</si>
  <si>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</si>
  <si>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</si>
  <si>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</si>
  <si>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</si>
  <si>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</si>
  <si>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</si>
  <si>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</si>
  <si>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</si>
  <si>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</si>
  <si>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</si>
  <si>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</si>
  <si>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</si>
  <si>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</si>
  <si>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</si>
  <si>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</si>
  <si>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</si>
  <si>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</si>
  <si>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</si>
  <si>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</si>
  <si>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</si>
  <si>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</si>
  <si>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</si>
  <si>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</si>
  <si>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</si>
  <si>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</si>
  <si>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</si>
  <si>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</si>
  <si>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</si>
  <si>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</si>
  <si>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</si>
  <si>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</si>
  <si>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</si>
  <si>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</si>
  <si>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</si>
  <si>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</si>
  <si>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</si>
  <si>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</si>
  <si>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</si>
  <si>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</si>
  <si>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</si>
  <si>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</si>
  <si>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</si>
  <si>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</si>
  <si>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</si>
  <si>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</si>
  <si>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</si>
  <si>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</si>
  <si>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</si>
  <si>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</si>
  <si>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</si>
  <si>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</si>
  <si>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</si>
  <si>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</si>
  <si>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</si>
  <si>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</si>
  <si>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</si>
  <si>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</si>
  <si>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</si>
  <si>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</si>
  <si>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</si>
  <si>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</si>
  <si>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</si>
  <si>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</si>
  <si>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</si>
  <si>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</si>
  <si>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</si>
  <si>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</si>
  <si>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</si>
  <si>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</si>
  <si>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</si>
  <si>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</si>
  <si>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</si>
  <si>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</si>
  <si>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</si>
  <si>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</si>
  <si>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</si>
  <si>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</si>
  <si>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</si>
  <si>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</si>
  <si>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</si>
  <si>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</si>
  <si>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</si>
  <si>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</si>
  <si>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</si>
  <si>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</si>
  <si>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</si>
  <si>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</si>
  <si>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</si>
  <si>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</si>
  <si>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</si>
  <si>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</si>
  <si>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</si>
  <si>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</si>
  <si>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</si>
  <si>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</si>
  <si>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</si>
  <si>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</si>
  <si>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</si>
  <si>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</si>
  <si>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</si>
  <si>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</si>
  <si>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</si>
  <si>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</si>
  <si>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</si>
  <si>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</si>
  <si>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</si>
  <si>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</si>
  <si>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</si>
  <si>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</si>
  <si>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</si>
  <si>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</si>
  <si>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</si>
  <si>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</si>
  <si>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</si>
  <si>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</si>
  <si>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</si>
  <si>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</si>
  <si>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</si>
  <si>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</si>
  <si>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</si>
  <si>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</si>
  <si>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</si>
  <si>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</si>
  <si>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</si>
  <si>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</si>
  <si>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</si>
  <si>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</si>
  <si>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</si>
  <si>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</si>
  <si>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</si>
  <si>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</si>
  <si>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</si>
  <si>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</si>
  <si>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</si>
  <si>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</si>
  <si>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</si>
  <si>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</si>
  <si>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</si>
  <si>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</si>
  <si>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</si>
  <si>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</si>
  <si>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</si>
  <si>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</si>
  <si>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</si>
  <si>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</si>
  <si>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</si>
  <si>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</si>
  <si>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</si>
  <si>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</si>
  <si>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</si>
  <si>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</si>
  <si>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</si>
  <si>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</si>
  <si>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</si>
  <si>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</si>
  <si>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</si>
  <si>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</si>
  <si>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</si>
  <si>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</si>
  <si>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</si>
  <si>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</si>
  <si>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</si>
  <si>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</si>
  <si>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</si>
  <si>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</si>
  <si>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</si>
  <si>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</si>
  <si>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</si>
  <si>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</si>
  <si>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</si>
  <si>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</si>
  <si>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</si>
  <si>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</si>
  <si>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</si>
  <si>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</si>
  <si>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</si>
  <si>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</si>
  <si>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</si>
  <si>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</si>
  <si>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</si>
  <si>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</si>
  <si>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</si>
  <si>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</si>
  <si>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</si>
  <si>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</si>
  <si>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</si>
  <si>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</si>
  <si>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</si>
  <si>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</si>
  <si>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</si>
  <si>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</si>
  <si>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</si>
  <si>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</si>
  <si>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</si>
  <si>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</si>
  <si>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</si>
  <si>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</si>
  <si>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</si>
  <si>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</si>
  <si>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</si>
  <si>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</si>
  <si>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</si>
  <si>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</si>
  <si>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</si>
  <si>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</si>
  <si>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</si>
  <si>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</si>
  <si>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</si>
  <si>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</si>
  <si>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</si>
  <si>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</si>
  <si>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</si>
  <si>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</si>
  <si>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</si>
  <si>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</si>
  <si>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</si>
  <si>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</si>
  <si>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</si>
  <si>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</si>
  <si>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</si>
  <si>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</si>
  <si>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</si>
  <si>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</si>
  <si>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</si>
  <si>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</si>
  <si>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</si>
  <si>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</si>
  <si>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</si>
  <si>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</si>
  <si>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</si>
  <si>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</si>
  <si>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</si>
  <si>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</si>
  <si>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</si>
  <si>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</si>
  <si>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</si>
  <si>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</si>
  <si>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</si>
  <si>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</si>
  <si>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</si>
  <si>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</si>
  <si>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</si>
  <si>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</si>
  <si>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</si>
  <si>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</si>
  <si>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</si>
  <si>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</si>
  <si>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</si>
  <si>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</si>
  <si>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</si>
  <si>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</si>
  <si>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</si>
  <si>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</si>
  <si>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</si>
  <si>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</si>
  <si>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</si>
  <si>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</si>
  <si>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</si>
  <si>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</si>
  <si>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</si>
  <si>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</si>
  <si>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</si>
  <si>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</si>
  <si>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</si>
  <si>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</si>
  <si>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</si>
  <si>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</si>
  <si>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</si>
  <si>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</si>
  <si>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</si>
  <si>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</si>
  <si>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</si>
  <si>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</si>
  <si>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</si>
  <si>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</si>
  <si>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</si>
  <si>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</si>
  <si>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</si>
  <si>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</si>
  <si>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</si>
  <si>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</si>
  <si>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</si>
  <si>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</si>
  <si>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</si>
  <si>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</si>
  <si>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</si>
  <si>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</si>
  <si>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</si>
  <si>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</si>
  <si>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</si>
  <si>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</si>
  <si>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</si>
  <si>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</si>
  <si>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</si>
  <si>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</si>
  <si>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</si>
  <si>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</si>
  <si>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</si>
  <si>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</si>
  <si>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</si>
  <si>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</si>
  <si>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</si>
  <si>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</si>
  <si>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</si>
  <si>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</si>
  <si>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</si>
  <si>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</si>
  <si>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</si>
  <si>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</si>
  <si>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</si>
  <si>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</si>
  <si>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</si>
  <si>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</si>
  <si>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</si>
  <si>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</si>
  <si>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</si>
  <si>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</si>
  <si>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</si>
  <si>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</si>
  <si>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</si>
  <si>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</si>
  <si>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</si>
  <si>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</si>
  <si>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</si>
  <si>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</si>
  <si>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</si>
  <si>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</si>
  <si>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</si>
  <si>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</si>
  <si>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</si>
  <si>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</si>
  <si>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</si>
  <si>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</si>
  <si>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</si>
  <si>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</si>
  <si>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</si>
  <si>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</si>
  <si>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</si>
  <si>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</si>
  <si>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</si>
  <si>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</si>
  <si>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</si>
  <si>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</si>
  <si>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</si>
  <si>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</si>
  <si>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</si>
  <si>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</si>
  <si>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</si>
  <si>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</si>
  <si>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</si>
  <si>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</si>
  <si>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</si>
  <si>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</si>
  <si>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</si>
  <si>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</si>
  <si>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</si>
  <si>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</si>
  <si>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</si>
  <si>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</si>
  <si>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</si>
  <si>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</si>
  <si>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</si>
  <si>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</si>
  <si>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</si>
  <si>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</si>
  <si>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</si>
  <si>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</si>
  <si>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</si>
  <si>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</si>
  <si>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</si>
  <si>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</si>
  <si>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</si>
  <si>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</si>
  <si>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</si>
  <si>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</si>
  <si>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</si>
  <si>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</si>
  <si>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</si>
  <si>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</si>
  <si>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</si>
  <si>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</si>
  <si>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</si>
  <si>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</si>
  <si>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</si>
  <si>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</si>
  <si>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</si>
  <si>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</si>
  <si>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</si>
  <si>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</si>
  <si>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</si>
  <si>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</si>
  <si>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</si>
  <si>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</si>
  <si>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</si>
  <si>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</si>
  <si>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</si>
  <si>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</si>
  <si>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</si>
  <si>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</si>
  <si>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</si>
  <si>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</si>
  <si>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</si>
  <si>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</si>
  <si>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</si>
  <si>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</si>
  <si>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</si>
  <si>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</si>
  <si>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</si>
  <si>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</si>
  <si>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</si>
  <si>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</si>
  <si>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</si>
  <si>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</si>
  <si>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</si>
  <si>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</si>
  <si>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</si>
  <si>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</si>
  <si>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</si>
  <si>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</si>
  <si>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</si>
  <si>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</si>
  <si>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</si>
  <si>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</si>
  <si>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</si>
  <si>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</si>
  <si>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</si>
  <si>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</si>
  <si>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</si>
  <si>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</si>
  <si>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</si>
  <si>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</si>
  <si>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</si>
  <si>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</si>
  <si>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</si>
  <si>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</si>
  <si>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</si>
  <si>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</si>
  <si>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</si>
  <si>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</si>
  <si>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</si>
  <si>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</si>
  <si>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</si>
  <si>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</si>
  <si>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</si>
  <si>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</si>
  <si>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</si>
  <si>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</si>
  <si>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</si>
  <si>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</si>
  <si>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</si>
  <si>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</si>
  <si>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</si>
  <si>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</si>
  <si>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</si>
  <si>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</si>
  <si>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</si>
  <si>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</si>
  <si>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</si>
  <si>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</si>
  <si>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</si>
  <si>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</si>
  <si>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</si>
  <si>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</si>
  <si>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</si>
  <si>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</si>
  <si>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</si>
  <si>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</si>
  <si>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</si>
  <si>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</si>
  <si>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</si>
  <si>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</si>
  <si>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</si>
  <si>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</si>
  <si>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</si>
  <si>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</si>
  <si>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</si>
  <si>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</si>
  <si>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</si>
  <si>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</si>
  <si>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</si>
  <si>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</si>
  <si>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</si>
  <si>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</si>
  <si>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</si>
  <si>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</si>
  <si>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</si>
  <si>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</si>
  <si>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</si>
  <si>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</si>
  <si>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</si>
  <si>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</si>
  <si>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</si>
  <si>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</si>
  <si>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</si>
  <si>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</si>
  <si>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</si>
  <si>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</si>
  <si>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</si>
  <si>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</si>
  <si>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</si>
  <si>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</si>
  <si>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</si>
  <si>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</si>
  <si>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</si>
  <si>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</si>
  <si>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</si>
  <si>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</si>
  <si>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</si>
  <si>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</si>
  <si>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</si>
  <si>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</si>
  <si>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</si>
  <si>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</si>
  <si>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</si>
  <si>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</si>
  <si>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</si>
  <si>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</si>
  <si>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</si>
  <si>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</si>
  <si>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</si>
  <si>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</si>
  <si>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</si>
  <si>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</si>
  <si>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</si>
  <si>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</si>
  <si>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</si>
  <si>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</si>
  <si>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</si>
  <si>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</si>
  <si>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</si>
  <si>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</si>
  <si>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</si>
  <si>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</si>
  <si>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</si>
  <si>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</si>
  <si>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</si>
  <si>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</si>
  <si>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</si>
  <si>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</si>
  <si>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</si>
  <si>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</si>
  <si>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</si>
  <si>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</si>
  <si>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</si>
  <si>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</si>
  <si>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</si>
  <si>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</si>
  <si>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</si>
  <si>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</si>
  <si>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</si>
  <si>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</si>
  <si>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</si>
  <si>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</si>
  <si>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</si>
  <si>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</si>
  <si>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</si>
  <si>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</si>
  <si>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</si>
  <si>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</si>
  <si>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</si>
  <si>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</si>
  <si>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</si>
  <si>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</si>
  <si>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</si>
  <si>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</si>
  <si>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</si>
  <si>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</si>
  <si>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</si>
  <si>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</si>
  <si>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</si>
  <si>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</si>
  <si>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</si>
  <si>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</si>
  <si>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</si>
  <si>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</si>
  <si>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</si>
  <si>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</si>
  <si>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</si>
  <si>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</si>
  <si>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</si>
  <si>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</si>
  <si>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</si>
  <si>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</si>
  <si>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</si>
  <si>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</si>
  <si>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</si>
  <si>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</si>
  <si>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</si>
  <si>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</si>
  <si>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</si>
  <si>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</si>
  <si>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</si>
  <si>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</si>
  <si>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</si>
  <si>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</si>
  <si>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</si>
  <si>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</si>
  <si>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</si>
  <si>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</si>
  <si>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</si>
  <si>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</si>
  <si>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</si>
  <si>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</si>
  <si>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</si>
  <si>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</si>
  <si>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</si>
  <si>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</si>
  <si>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</si>
  <si>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</si>
  <si>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</si>
  <si>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</si>
  <si>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</si>
  <si>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</si>
  <si>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</si>
  <si>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</si>
  <si>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</si>
  <si>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</si>
  <si>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</si>
  <si>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</si>
  <si>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</si>
  <si>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</si>
  <si>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</si>
  <si>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</si>
  <si>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</si>
  <si>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</si>
  <si>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</si>
  <si>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</si>
  <si>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</si>
  <si>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</si>
  <si>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</si>
  <si>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</si>
  <si>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</si>
  <si>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</si>
  <si>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</si>
  <si>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</si>
  <si>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</si>
  <si>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</si>
  <si>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</si>
  <si>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</si>
  <si>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</si>
  <si>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</si>
  <si>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</si>
  <si>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</si>
  <si>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</si>
  <si>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</si>
  <si>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</si>
  <si>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</si>
  <si>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</si>
  <si>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</si>
  <si>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</si>
  <si>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</si>
  <si>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</si>
  <si>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</si>
  <si>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</si>
  <si>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</si>
  <si>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</si>
  <si>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</si>
  <si>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</si>
  <si>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</si>
  <si>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</si>
  <si>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</si>
  <si>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</si>
  <si>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</si>
  <si>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</si>
  <si>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</si>
  <si>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</si>
  <si>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</si>
  <si>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</si>
  <si>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</si>
  <si>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</si>
  <si>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</si>
  <si>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</si>
  <si>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</si>
  <si>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</si>
  <si>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</si>
  <si>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</si>
  <si>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</si>
  <si>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</si>
  <si>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</si>
  <si>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</si>
  <si>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</si>
  <si>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</si>
  <si>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</si>
  <si>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</si>
  <si>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</si>
  <si>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</si>
  <si>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</si>
  <si>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</si>
  <si>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</si>
  <si>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</si>
  <si>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</si>
  <si>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</si>
  <si>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</si>
  <si>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</si>
  <si>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</si>
  <si>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</si>
  <si>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</si>
  <si>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</si>
  <si>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</si>
  <si>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</si>
  <si>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</si>
  <si>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</si>
  <si>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</si>
  <si>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</si>
  <si>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</si>
  <si>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</si>
  <si>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</si>
  <si>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</si>
  <si>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</si>
  <si>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</si>
  <si>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</si>
  <si>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</si>
  <si>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</si>
  <si>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</si>
  <si>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</si>
  <si>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</si>
  <si>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</si>
  <si>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</si>
  <si>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</si>
  <si>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</si>
  <si>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</si>
  <si>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</si>
  <si>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</si>
  <si>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</si>
  <si>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</si>
  <si>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</si>
  <si>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</si>
  <si>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</si>
  <si>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</si>
  <si>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</si>
  <si>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</si>
  <si>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</si>
  <si>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</si>
  <si>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</si>
  <si>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</si>
  <si>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</si>
  <si>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</si>
  <si>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</si>
  <si>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</si>
  <si>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</si>
  <si>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</si>
  <si>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</si>
  <si>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</si>
  <si>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</si>
  <si>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</si>
  <si>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</si>
  <si>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</si>
  <si>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</si>
  <si>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</si>
  <si>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</si>
  <si>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</si>
  <si>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</si>
  <si>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</si>
  <si>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</si>
  <si>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</si>
  <si>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</si>
  <si>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</si>
  <si>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</si>
  <si>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</si>
  <si>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</si>
  <si>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</si>
  <si>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</si>
  <si>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</si>
  <si>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</si>
  <si>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</si>
  <si>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</si>
  <si>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</si>
  <si>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</si>
  <si>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</si>
  <si>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</si>
  <si>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</si>
  <si>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</si>
  <si>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</si>
  <si>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</si>
  <si>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</si>
  <si>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</si>
  <si>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</si>
  <si>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</si>
  <si>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</si>
  <si>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</si>
  <si>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</si>
  <si>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</si>
  <si>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</si>
  <si>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</si>
  <si>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</si>
  <si>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</si>
  <si>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</si>
  <si>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</si>
  <si>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</si>
  <si>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</si>
  <si>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</si>
  <si>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</si>
  <si>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</si>
  <si>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</si>
  <si>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</si>
  <si>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</si>
  <si>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</si>
  <si>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</si>
  <si>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</si>
  <si>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</si>
  <si>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</si>
  <si>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</si>
  <si>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</si>
  <si>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</si>
  <si>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</si>
  <si>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</si>
  <si>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</si>
  <si>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</si>
  <si>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</si>
  <si>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</si>
  <si>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</si>
  <si>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</si>
  <si>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</si>
  <si>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</si>
  <si>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</si>
  <si>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</si>
  <si>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</si>
  <si>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</si>
  <si>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</si>
  <si>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</si>
  <si>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</si>
  <si>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</si>
  <si>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</si>
  <si>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</si>
  <si>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</si>
  <si>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</si>
  <si>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</si>
  <si>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</si>
  <si>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</si>
  <si>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</si>
  <si>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</si>
  <si>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</si>
  <si>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</si>
  <si>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</si>
  <si>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</si>
  <si>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</si>
  <si>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</si>
  <si>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</si>
  <si>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</si>
  <si>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</si>
  <si>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</si>
  <si>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</si>
  <si>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</si>
  <si>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</si>
  <si>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</si>
  <si>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</si>
  <si>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</si>
  <si>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</si>
  <si>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</si>
  <si>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</si>
  <si>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</si>
  <si>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</si>
  <si>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</si>
  <si>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</si>
  <si>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</si>
  <si>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</si>
  <si>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</si>
  <si>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</si>
  <si>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</si>
  <si>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</si>
  <si>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</si>
  <si>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</si>
  <si>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</si>
  <si>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</si>
  <si>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</si>
  <si>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</si>
  <si>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</si>
  <si>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</si>
  <si>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</si>
  <si>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</si>
  <si>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</si>
  <si>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</si>
  <si>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</si>
  <si>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</si>
  <si>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</si>
  <si>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</si>
  <si>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</si>
  <si>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</si>
  <si>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</si>
  <si>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</si>
  <si>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</si>
  <si>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</si>
  <si>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</si>
  <si>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</si>
  <si>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</si>
  <si>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</si>
  <si>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</si>
  <si>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</si>
  <si>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</si>
  <si>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</si>
  <si>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</si>
  <si>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</si>
  <si>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</si>
  <si>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</si>
  <si>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</si>
  <si>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</si>
  <si>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</si>
  <si>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</si>
  <si>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</si>
  <si>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</si>
  <si>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</si>
  <si>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</si>
  <si>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</si>
  <si>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</si>
  <si>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</si>
  <si>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</si>
  <si>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</si>
  <si>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</si>
  <si>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</si>
  <si>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</si>
  <si>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</si>
  <si>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</si>
  <si>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</si>
  <si>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</si>
  <si>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</si>
  <si>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</si>
  <si>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</si>
  <si>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</si>
  <si>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</si>
  <si>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</si>
  <si>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</si>
  <si>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</si>
  <si>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</si>
  <si>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</si>
  <si>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</si>
  <si>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</si>
  <si>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</si>
  <si>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</si>
  <si>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</si>
  <si>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</si>
  <si>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</si>
  <si>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</si>
  <si>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</si>
  <si>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</si>
  <si>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</si>
  <si>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</si>
  <si>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</si>
  <si>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</si>
  <si>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</si>
  <si>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</si>
  <si>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</si>
  <si>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</si>
  <si>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</si>
  <si>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</si>
  <si>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</si>
  <si>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</si>
  <si>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</si>
  <si>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</si>
  <si>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</si>
  <si>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</si>
  <si>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</si>
  <si>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</si>
  <si>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</si>
  <si>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</si>
  <si>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</si>
  <si>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</si>
  <si>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</si>
  <si>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</si>
  <si>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</si>
  <si>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</si>
  <si>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</si>
  <si>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</si>
  <si>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</si>
  <si>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</si>
  <si>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</si>
  <si>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</si>
  <si>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</si>
  <si>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</si>
  <si>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</si>
  <si>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</si>
  <si>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</si>
  <si>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</si>
  <si>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</si>
  <si>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</si>
  <si>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</si>
  <si>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</si>
  <si>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</si>
  <si>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</si>
  <si>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</si>
  <si>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</si>
  <si>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</si>
  <si>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</si>
  <si>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</si>
  <si>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</si>
  <si>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</si>
  <si>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</si>
  <si>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</si>
  <si>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</si>
  <si>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</si>
  <si>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</si>
  <si>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</si>
  <si>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</si>
  <si>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</si>
  <si>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</si>
  <si>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</si>
  <si>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</si>
  <si>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</si>
  <si>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</si>
  <si>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</si>
  <si>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</si>
  <si>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</si>
  <si>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</si>
  <si>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</si>
  <si>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</si>
  <si>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</si>
  <si>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</si>
  <si>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</si>
  <si>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</si>
  <si>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</si>
  <si>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</si>
  <si>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</si>
  <si>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</si>
  <si>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</si>
  <si>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</si>
  <si>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</si>
  <si>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</si>
  <si>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</si>
  <si>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</si>
  <si>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</si>
  <si>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</si>
  <si>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</si>
  <si>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</si>
  <si>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</si>
  <si>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</si>
  <si>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</si>
  <si>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</si>
  <si>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</si>
  <si>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</si>
  <si>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</si>
  <si>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</si>
  <si>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</si>
  <si>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</si>
  <si>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</si>
  <si>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</si>
  <si>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</si>
  <si>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</si>
  <si>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</si>
  <si>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</si>
  <si>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</si>
  <si>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</si>
  <si>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</si>
  <si>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</si>
  <si>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</si>
  <si>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</si>
  <si>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</si>
  <si>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</si>
  <si>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</si>
  <si>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</si>
  <si>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</si>
  <si>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</si>
  <si>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</si>
  <si>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</si>
  <si>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</si>
  <si>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</si>
  <si>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</si>
  <si>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</si>
  <si>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</si>
  <si>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</si>
  <si>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</si>
  <si>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</si>
  <si>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</si>
  <si>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</si>
  <si>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</si>
  <si>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</si>
  <si>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</si>
  <si>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</si>
  <si>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</si>
  <si>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</si>
  <si>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</si>
  <si>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</si>
  <si>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</si>
  <si>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</si>
  <si>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</si>
  <si>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</si>
  <si>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</si>
  <si>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</si>
  <si>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</si>
  <si>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</si>
  <si>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</si>
  <si>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</si>
  <si>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</si>
  <si>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</si>
  <si>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</si>
  <si>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</si>
  <si>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</si>
  <si>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</si>
  <si>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</si>
  <si>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</si>
  <si>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</si>
  <si>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</si>
  <si>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</si>
  <si>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</si>
  <si>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</si>
  <si>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</si>
  <si>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</si>
  <si>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</si>
  <si>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</si>
  <si>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</si>
  <si>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</si>
  <si>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</si>
  <si>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</si>
  <si>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</si>
  <si>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</si>
  <si>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</si>
  <si>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</si>
  <si>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</si>
  <si>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</si>
  <si>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</si>
  <si>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</si>
  <si>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</si>
  <si>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</si>
  <si>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</si>
  <si>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</si>
  <si>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</si>
  <si>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</si>
  <si>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</si>
  <si>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</si>
  <si>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</si>
  <si>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</si>
  <si>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</si>
  <si>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</si>
  <si>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</si>
  <si>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</si>
  <si>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</si>
  <si>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</si>
  <si>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</si>
  <si>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</si>
  <si>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</si>
  <si>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</si>
  <si>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</si>
  <si>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</si>
  <si>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</si>
  <si>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</si>
  <si>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</si>
  <si>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</si>
  <si>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</si>
  <si>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</si>
  <si>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</si>
  <si>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</si>
  <si>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</si>
  <si>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</si>
  <si>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</si>
  <si>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</si>
  <si>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</si>
  <si>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</si>
  <si>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</si>
  <si>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</si>
  <si>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</si>
  <si>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</si>
  <si>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</si>
  <si>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</si>
  <si>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</si>
  <si>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</si>
  <si>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</si>
  <si>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</si>
  <si>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</si>
  <si>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</si>
  <si>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</si>
  <si>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</si>
  <si>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</si>
  <si>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</si>
  <si>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</si>
  <si>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</si>
  <si>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</si>
  <si>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</si>
  <si>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</si>
  <si>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</si>
  <si>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</si>
  <si>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</si>
  <si>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</si>
  <si>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</si>
  <si>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</si>
  <si>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</si>
  <si>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</si>
  <si>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</si>
  <si>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</si>
  <si>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</si>
  <si>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</si>
  <si>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</si>
  <si>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</si>
  <si>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</si>
  <si>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</si>
  <si>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</si>
  <si>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</si>
  <si>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</si>
  <si>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</si>
  <si>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</si>
  <si>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</si>
  <si>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</si>
  <si>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</si>
  <si>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</si>
  <si>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</si>
  <si>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</si>
  <si>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</si>
  <si>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</si>
  <si>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</si>
  <si>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</si>
  <si>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</si>
  <si>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</si>
  <si>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</si>
  <si>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</si>
  <si>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</si>
  <si>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</si>
  <si>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</si>
  <si>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</si>
  <si>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</si>
  <si>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</si>
  <si>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</si>
  <si>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</si>
  <si>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</si>
  <si>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</si>
  <si>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</si>
  <si>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</si>
  <si>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</si>
  <si>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</si>
  <si>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</si>
  <si>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</si>
  <si>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</si>
  <si>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</si>
  <si>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</si>
  <si>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</si>
  <si>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</si>
  <si>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</si>
  <si>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</si>
  <si>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</si>
  <si>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</si>
  <si>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</si>
  <si>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</si>
  <si>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</si>
  <si>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</si>
  <si>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</si>
  <si>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</si>
  <si>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</si>
  <si>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</si>
  <si>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</si>
  <si>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</si>
  <si>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</si>
  <si>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</si>
  <si>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</si>
  <si>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</si>
  <si>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</si>
  <si>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</si>
  <si>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</si>
  <si>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</si>
  <si>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</si>
  <si>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</si>
  <si>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</si>
  <si>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</si>
  <si>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</si>
  <si>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</si>
  <si>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</si>
  <si>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</si>
  <si>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</si>
  <si>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</si>
  <si>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</si>
  <si>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</si>
  <si>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</si>
  <si>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</si>
  <si>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</si>
  <si>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</si>
  <si>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</si>
  <si>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</si>
  <si>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</si>
  <si>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</si>
  <si>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</si>
  <si>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</si>
  <si>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</si>
  <si>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</si>
  <si>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</si>
  <si>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</si>
  <si>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</si>
  <si>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</si>
  <si>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</si>
  <si>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</si>
  <si>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</si>
  <si>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</si>
  <si>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</si>
  <si>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</si>
  <si>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</si>
  <si>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</si>
  <si>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</si>
  <si>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</si>
  <si>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</si>
  <si>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</si>
  <si>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</si>
  <si>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</si>
  <si>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</si>
  <si>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</si>
  <si>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</si>
  <si>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</si>
  <si>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</si>
  <si>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</si>
  <si>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</si>
  <si>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</si>
  <si>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</si>
  <si>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</si>
  <si>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</si>
  <si>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</si>
  <si>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</si>
  <si>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</si>
  <si>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</si>
  <si>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</si>
  <si>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</si>
  <si>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</si>
  <si>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</si>
  <si>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</si>
  <si>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</si>
  <si>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</si>
  <si>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</si>
  <si>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</si>
  <si>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</si>
  <si>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</si>
  <si>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</si>
  <si>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</si>
  <si>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</si>
  <si>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</si>
  <si>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</si>
  <si>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</si>
  <si>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</si>
  <si>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</si>
  <si>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</si>
  <si>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</si>
  <si>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</si>
  <si>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</si>
  <si>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</si>
  <si>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</si>
  <si>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</si>
  <si>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</si>
  <si>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</si>
  <si>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</si>
  <si>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</si>
  <si>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</si>
  <si>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</si>
  <si>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</si>
  <si>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</si>
  <si>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</si>
  <si>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</si>
  <si>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</si>
  <si>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</si>
  <si>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</si>
  <si>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</si>
  <si>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</si>
  <si>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</si>
  <si>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</si>
  <si>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</si>
  <si>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</si>
  <si>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</si>
  <si>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</si>
  <si>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</si>
  <si>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</si>
  <si>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</si>
  <si>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</si>
  <si>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</si>
  <si>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</si>
  <si>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</si>
  <si>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</si>
  <si>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</si>
  <si>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</si>
  <si>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</si>
  <si>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</si>
  <si>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</si>
  <si>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</si>
  <si>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</si>
  <si>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</si>
  <si>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</si>
  <si>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</si>
  <si>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</si>
  <si>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</si>
  <si>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</si>
  <si>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</si>
  <si>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</si>
  <si>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</si>
  <si>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</si>
  <si>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</si>
  <si>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</si>
  <si>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</si>
  <si>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</si>
  <si>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</si>
  <si>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</si>
  <si>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</si>
  <si>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</si>
  <si>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</si>
  <si>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</si>
  <si>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</si>
  <si>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</si>
  <si>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</si>
  <si>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</si>
  <si>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</si>
  <si>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</si>
  <si>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</si>
  <si>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</si>
  <si>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</si>
  <si>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</si>
  <si>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</si>
  <si>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</si>
  <si>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</si>
  <si>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</si>
  <si>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STATUS</t>
  </si>
  <si>
    <t>DATA LIMITE</t>
  </si>
  <si>
    <t>ctxtMARA-MSTAV</t>
  </si>
  <si>
    <t>ctxtMARA-MSTDV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</si>
</sst>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9" dataDxfId="8">
  <autoFilter ref="A6:A7"/>
  <tableColumns count="1">
    <tableColumn id="1" name="DIRETORIO DA CONSULTA (POWER QUERY)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5" width="20.7109375" style="6" bestFit="1" customWidth="1"/>
    <col min="6" max="6" width="21.7109375" style="6" hidden="1" customWidth="1" outlineLevel="1"/>
    <col min="7" max="7" width="8" style="6" hidden="1" customWidth="1" outlineLevel="1"/>
    <col min="8" max="8" width="12.28515625" style="6" hidden="1" customWidth="1" outlineLevel="1"/>
    <col min="9" max="14" width="8" style="6" hidden="1" customWidth="1" outlineLevel="1"/>
    <col min="15" max="32" width="9.140625" style="6" hidden="1" customWidth="1" outlineLevel="1"/>
    <col min="33" max="33" width="19.140625" style="6" bestFit="1" customWidth="1" collapsed="1"/>
    <col min="34" max="34" width="75.7109375" style="1" customWidth="1"/>
    <col min="35" max="16384" width="9.140625" style="1"/>
  </cols>
  <sheetData>
    <row r="1" spans="1:34" s="27" customFormat="1" x14ac:dyDescent="0.3">
      <c r="A1" s="7" t="s">
        <v>28</v>
      </c>
      <c r="C1" s="46"/>
      <c r="D1" s="49"/>
      <c r="AG1" s="51" t="s">
        <v>124</v>
      </c>
      <c r="AH1" s="38"/>
    </row>
    <row r="2" spans="1:34" s="31" customFormat="1" x14ac:dyDescent="0.3">
      <c r="A2" s="7"/>
      <c r="B2" s="30"/>
      <c r="C2" s="46"/>
      <c r="D2" s="49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51"/>
    </row>
    <row r="3" spans="1:34" s="9" customFormat="1" ht="15" customHeight="1" x14ac:dyDescent="0.3">
      <c r="A3" s="7" t="s">
        <v>29</v>
      </c>
      <c r="B3" s="4" t="s">
        <v>94</v>
      </c>
      <c r="C3" s="48" t="s">
        <v>4633</v>
      </c>
      <c r="D3" s="48"/>
      <c r="E3" s="48" t="s">
        <v>4634</v>
      </c>
      <c r="F3" s="50" t="s">
        <v>152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13"/>
      <c r="AH3" s="38" t="s">
        <v>32</v>
      </c>
    </row>
    <row r="4" spans="1:34" s="5" customFormat="1" ht="15" customHeight="1" x14ac:dyDescent="0.3">
      <c r="A4" s="8" t="s">
        <v>30</v>
      </c>
      <c r="B4" s="3" t="s">
        <v>95</v>
      </c>
      <c r="C4" s="14" t="s">
        <v>4631</v>
      </c>
      <c r="D4" s="14" t="s">
        <v>93</v>
      </c>
      <c r="E4" s="14" t="s">
        <v>4632</v>
      </c>
      <c r="F4" s="14" t="s">
        <v>125</v>
      </c>
      <c r="G4" s="14" t="s">
        <v>126</v>
      </c>
      <c r="H4" s="14" t="s">
        <v>127</v>
      </c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/>
      <c r="AH4" s="5" t="s">
        <v>692</v>
      </c>
    </row>
    <row r="5" spans="1:34" x14ac:dyDescent="0.3">
      <c r="A5" s="7" t="str">
        <f>"Execução "&amp;ROW()-4</f>
        <v>Execução 1</v>
      </c>
      <c r="B5" s="32"/>
      <c r="C5" s="33"/>
      <c r="D5" s="47" t="str">
        <f>IFERROR(VLOOKUP(C5,'Listas de Dados'!$AA$4:$AB$5,2,0),"Liberado")</f>
        <v>Liberado</v>
      </c>
      <c r="E5" s="47" t="str">
        <f ca="1">IF(C5&lt;&gt;"",TEXT(TODAY(),"dd.mm.aaa"),"")</f>
        <v/>
      </c>
      <c r="F5" s="33" t="s">
        <v>101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H5" s="41"/>
    </row>
    <row r="6" spans="1:34" x14ac:dyDescent="0.3">
      <c r="A6" s="7" t="str">
        <f t="shared" ref="A6:A54" si="0">"Execução "&amp;ROW()-4</f>
        <v>Execução 2</v>
      </c>
      <c r="B6" s="32"/>
      <c r="C6" s="33"/>
      <c r="D6" s="47" t="str">
        <f>IFERROR(VLOOKUP(C6,'Listas de Dados'!$AA$4:$AB$5,2,0),"Liberado")</f>
        <v>Liberado</v>
      </c>
      <c r="E6" s="47" t="str">
        <f t="shared" ref="E6:E54" ca="1" si="1">IF(C6&lt;&gt;"",TEXT(TODAY(),"dd.mm.aaa"),"")</f>
        <v/>
      </c>
      <c r="F6" s="33" t="s">
        <v>101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H6" s="41"/>
    </row>
    <row r="7" spans="1:34" x14ac:dyDescent="0.3">
      <c r="A7" s="7" t="str">
        <f t="shared" si="0"/>
        <v>Execução 3</v>
      </c>
      <c r="B7" s="32"/>
      <c r="C7" s="33"/>
      <c r="D7" s="47" t="str">
        <f>IFERROR(VLOOKUP(C7,'Listas de Dados'!$AA$4:$AB$5,2,0),"Liberado")</f>
        <v>Liberado</v>
      </c>
      <c r="E7" s="47" t="str">
        <f t="shared" ca="1" si="1"/>
        <v/>
      </c>
      <c r="F7" s="33" t="s">
        <v>101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H7" s="41"/>
    </row>
    <row r="8" spans="1:34" x14ac:dyDescent="0.3">
      <c r="A8" s="7" t="str">
        <f t="shared" si="0"/>
        <v>Execução 4</v>
      </c>
      <c r="B8" s="32"/>
      <c r="C8" s="33"/>
      <c r="D8" s="47" t="str">
        <f>IFERROR(VLOOKUP(C8,'Listas de Dados'!$AA$4:$AB$5,2,0),"Liberado")</f>
        <v>Liberado</v>
      </c>
      <c r="E8" s="47" t="str">
        <f t="shared" ca="1" si="1"/>
        <v/>
      </c>
      <c r="F8" s="33" t="s">
        <v>101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H8" s="41"/>
    </row>
    <row r="9" spans="1:34" x14ac:dyDescent="0.3">
      <c r="A9" s="7" t="str">
        <f t="shared" si="0"/>
        <v>Execução 5</v>
      </c>
      <c r="B9" s="32"/>
      <c r="C9" s="33"/>
      <c r="D9" s="47" t="str">
        <f>IFERROR(VLOOKUP(C9,'Listas de Dados'!$AA$4:$AB$5,2,0),"Liberado")</f>
        <v>Liberado</v>
      </c>
      <c r="E9" s="47" t="str">
        <f t="shared" ca="1" si="1"/>
        <v/>
      </c>
      <c r="F9" s="33" t="s">
        <v>101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H9" s="41"/>
    </row>
    <row r="10" spans="1:34" x14ac:dyDescent="0.3">
      <c r="A10" s="7" t="str">
        <f t="shared" si="0"/>
        <v>Execução 6</v>
      </c>
      <c r="B10" s="32"/>
      <c r="C10" s="33"/>
      <c r="D10" s="47" t="str">
        <f>IFERROR(VLOOKUP(C10,'Listas de Dados'!$AA$4:$AB$5,2,0),"Liberado")</f>
        <v>Liberado</v>
      </c>
      <c r="E10" s="47" t="str">
        <f t="shared" ca="1" si="1"/>
        <v/>
      </c>
      <c r="F10" s="33" t="s">
        <v>101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H10" s="41"/>
    </row>
    <row r="11" spans="1:34" x14ac:dyDescent="0.3">
      <c r="A11" s="7" t="str">
        <f t="shared" si="0"/>
        <v>Execução 7</v>
      </c>
      <c r="B11" s="32"/>
      <c r="C11" s="33"/>
      <c r="D11" s="47" t="str">
        <f>IFERROR(VLOOKUP(C11,'Listas de Dados'!$AA$4:$AB$5,2,0),"Liberado")</f>
        <v>Liberado</v>
      </c>
      <c r="E11" s="47" t="str">
        <f t="shared" ca="1" si="1"/>
        <v/>
      </c>
      <c r="F11" s="33" t="s">
        <v>101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H11" s="41"/>
    </row>
    <row r="12" spans="1:34" x14ac:dyDescent="0.3">
      <c r="A12" s="7" t="str">
        <f t="shared" si="0"/>
        <v>Execução 8</v>
      </c>
      <c r="B12" s="32"/>
      <c r="C12" s="33"/>
      <c r="D12" s="47" t="str">
        <f>IFERROR(VLOOKUP(C12,'Listas de Dados'!$AA$4:$AB$5,2,0),"Liberado")</f>
        <v>Liberado</v>
      </c>
      <c r="E12" s="47" t="str">
        <f t="shared" ca="1" si="1"/>
        <v/>
      </c>
      <c r="F12" s="33" t="s">
        <v>101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H12" s="41"/>
    </row>
    <row r="13" spans="1:34" x14ac:dyDescent="0.3">
      <c r="A13" s="7" t="str">
        <f t="shared" si="0"/>
        <v>Execução 9</v>
      </c>
      <c r="B13" s="32"/>
      <c r="C13" s="33"/>
      <c r="D13" s="47" t="str">
        <f>IFERROR(VLOOKUP(C13,'Listas de Dados'!$AA$4:$AB$5,2,0),"Liberado")</f>
        <v>Liberado</v>
      </c>
      <c r="E13" s="47" t="str">
        <f t="shared" ca="1" si="1"/>
        <v/>
      </c>
      <c r="F13" s="33" t="s">
        <v>101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H13" s="41"/>
    </row>
    <row r="14" spans="1:34" x14ac:dyDescent="0.3">
      <c r="A14" s="7" t="str">
        <f t="shared" si="0"/>
        <v>Execução 10</v>
      </c>
      <c r="B14" s="32"/>
      <c r="C14" s="33"/>
      <c r="D14" s="47" t="str">
        <f>IFERROR(VLOOKUP(C14,'Listas de Dados'!$AA$4:$AB$5,2,0),"Liberado")</f>
        <v>Liberado</v>
      </c>
      <c r="E14" s="47" t="str">
        <f t="shared" ca="1" si="1"/>
        <v/>
      </c>
      <c r="F14" s="33" t="s">
        <v>101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H14" s="41"/>
    </row>
    <row r="15" spans="1:34" x14ac:dyDescent="0.3">
      <c r="A15" s="7" t="str">
        <f t="shared" si="0"/>
        <v>Execução 11</v>
      </c>
      <c r="B15" s="32"/>
      <c r="C15" s="33"/>
      <c r="D15" s="47" t="str">
        <f>IFERROR(VLOOKUP(C15,'Listas de Dados'!$AA$4:$AB$5,2,0),"Liberado")</f>
        <v>Liberado</v>
      </c>
      <c r="E15" s="47" t="str">
        <f t="shared" ca="1" si="1"/>
        <v/>
      </c>
      <c r="F15" s="33" t="s">
        <v>101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H15" s="41"/>
    </row>
    <row r="16" spans="1:34" x14ac:dyDescent="0.3">
      <c r="A16" s="7" t="str">
        <f t="shared" si="0"/>
        <v>Execução 12</v>
      </c>
      <c r="B16" s="32"/>
      <c r="C16" s="33"/>
      <c r="D16" s="47" t="str">
        <f>IFERROR(VLOOKUP(C16,'Listas de Dados'!$AA$4:$AB$5,2,0),"Liberado")</f>
        <v>Liberado</v>
      </c>
      <c r="E16" s="47" t="str">
        <f t="shared" ca="1" si="1"/>
        <v/>
      </c>
      <c r="F16" s="33" t="s">
        <v>101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H16" s="41"/>
    </row>
    <row r="17" spans="1:34" x14ac:dyDescent="0.3">
      <c r="A17" s="7" t="str">
        <f t="shared" si="0"/>
        <v>Execução 13</v>
      </c>
      <c r="B17" s="32"/>
      <c r="C17" s="33"/>
      <c r="D17" s="47" t="str">
        <f>IFERROR(VLOOKUP(C17,'Listas de Dados'!$AA$4:$AB$5,2,0),"Liberado")</f>
        <v>Liberado</v>
      </c>
      <c r="E17" s="47" t="str">
        <f t="shared" ca="1" si="1"/>
        <v/>
      </c>
      <c r="F17" s="33" t="s">
        <v>101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H17" s="41"/>
    </row>
    <row r="18" spans="1:34" x14ac:dyDescent="0.3">
      <c r="A18" s="7" t="str">
        <f t="shared" si="0"/>
        <v>Execução 14</v>
      </c>
      <c r="B18" s="32"/>
      <c r="C18" s="33"/>
      <c r="D18" s="47" t="str">
        <f>IFERROR(VLOOKUP(C18,'Listas de Dados'!$AA$4:$AB$5,2,0),"Liberado")</f>
        <v>Liberado</v>
      </c>
      <c r="E18" s="47" t="str">
        <f t="shared" ca="1" si="1"/>
        <v/>
      </c>
      <c r="F18" s="33" t="s">
        <v>101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H18" s="41"/>
    </row>
    <row r="19" spans="1:34" x14ac:dyDescent="0.3">
      <c r="A19" s="7" t="str">
        <f t="shared" si="0"/>
        <v>Execução 15</v>
      </c>
      <c r="B19" s="32"/>
      <c r="C19" s="33"/>
      <c r="D19" s="47" t="str">
        <f>IFERROR(VLOOKUP(C19,'Listas de Dados'!$AA$4:$AB$5,2,0),"Liberado")</f>
        <v>Liberado</v>
      </c>
      <c r="E19" s="47" t="str">
        <f t="shared" ca="1" si="1"/>
        <v/>
      </c>
      <c r="F19" s="33" t="s">
        <v>101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H19" s="41"/>
    </row>
    <row r="20" spans="1:34" x14ac:dyDescent="0.3">
      <c r="A20" s="7" t="str">
        <f t="shared" si="0"/>
        <v>Execução 16</v>
      </c>
      <c r="B20" s="32"/>
      <c r="C20" s="33"/>
      <c r="D20" s="47" t="str">
        <f>IFERROR(VLOOKUP(C20,'Listas de Dados'!$AA$4:$AB$5,2,0),"Liberado")</f>
        <v>Liberado</v>
      </c>
      <c r="E20" s="47" t="str">
        <f t="shared" ca="1" si="1"/>
        <v/>
      </c>
      <c r="F20" s="33" t="s">
        <v>101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H20" s="41"/>
    </row>
    <row r="21" spans="1:34" x14ac:dyDescent="0.3">
      <c r="A21" s="7" t="str">
        <f t="shared" si="0"/>
        <v>Execução 17</v>
      </c>
      <c r="B21" s="32"/>
      <c r="C21" s="33"/>
      <c r="D21" s="47" t="str">
        <f>IFERROR(VLOOKUP(C21,'Listas de Dados'!$AA$4:$AB$5,2,0),"Liberado")</f>
        <v>Liberado</v>
      </c>
      <c r="E21" s="47" t="str">
        <f t="shared" ca="1" si="1"/>
        <v/>
      </c>
      <c r="F21" s="33" t="s">
        <v>101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H21" s="41"/>
    </row>
    <row r="22" spans="1:34" x14ac:dyDescent="0.3">
      <c r="A22" s="7" t="str">
        <f t="shared" si="0"/>
        <v>Execução 18</v>
      </c>
      <c r="B22" s="32"/>
      <c r="C22" s="33"/>
      <c r="D22" s="47" t="str">
        <f>IFERROR(VLOOKUP(C22,'Listas de Dados'!$AA$4:$AB$5,2,0),"Liberado")</f>
        <v>Liberado</v>
      </c>
      <c r="E22" s="47" t="str">
        <f t="shared" ca="1" si="1"/>
        <v/>
      </c>
      <c r="F22" s="33" t="s">
        <v>101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H22" s="41"/>
    </row>
    <row r="23" spans="1:34" x14ac:dyDescent="0.3">
      <c r="A23" s="7" t="str">
        <f t="shared" si="0"/>
        <v>Execução 19</v>
      </c>
      <c r="B23" s="32"/>
      <c r="C23" s="33"/>
      <c r="D23" s="47" t="str">
        <f>IFERROR(VLOOKUP(C23,'Listas de Dados'!$AA$4:$AB$5,2,0),"Liberado")</f>
        <v>Liberado</v>
      </c>
      <c r="E23" s="47" t="str">
        <f t="shared" ca="1" si="1"/>
        <v/>
      </c>
      <c r="F23" s="33" t="s">
        <v>101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H23" s="41"/>
    </row>
    <row r="24" spans="1:34" x14ac:dyDescent="0.3">
      <c r="A24" s="7" t="str">
        <f t="shared" si="0"/>
        <v>Execução 20</v>
      </c>
      <c r="B24" s="32"/>
      <c r="C24" s="33"/>
      <c r="D24" s="47" t="str">
        <f>IFERROR(VLOOKUP(C24,'Listas de Dados'!$AA$4:$AB$5,2,0),"Liberado")</f>
        <v>Liberado</v>
      </c>
      <c r="E24" s="47" t="str">
        <f t="shared" ca="1" si="1"/>
        <v/>
      </c>
      <c r="F24" s="33" t="s">
        <v>101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H24" s="41"/>
    </row>
    <row r="25" spans="1:34" x14ac:dyDescent="0.3">
      <c r="A25" s="7" t="str">
        <f t="shared" si="0"/>
        <v>Execução 21</v>
      </c>
      <c r="B25" s="32"/>
      <c r="C25" s="33"/>
      <c r="D25" s="47" t="str">
        <f>IFERROR(VLOOKUP(C25,'Listas de Dados'!$AA$4:$AB$5,2,0),"Liberado")</f>
        <v>Liberado</v>
      </c>
      <c r="E25" s="47" t="str">
        <f t="shared" ca="1" si="1"/>
        <v/>
      </c>
      <c r="F25" s="33" t="s">
        <v>101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H25" s="41"/>
    </row>
    <row r="26" spans="1:34" x14ac:dyDescent="0.3">
      <c r="A26" s="7" t="str">
        <f t="shared" si="0"/>
        <v>Execução 22</v>
      </c>
      <c r="B26" s="32"/>
      <c r="C26" s="33"/>
      <c r="D26" s="47" t="str">
        <f>IFERROR(VLOOKUP(C26,'Listas de Dados'!$AA$4:$AB$5,2,0),"Liberado")</f>
        <v>Liberado</v>
      </c>
      <c r="E26" s="47" t="str">
        <f t="shared" ca="1" si="1"/>
        <v/>
      </c>
      <c r="F26" s="33" t="s">
        <v>101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H26" s="41"/>
    </row>
    <row r="27" spans="1:34" x14ac:dyDescent="0.3">
      <c r="A27" s="7" t="str">
        <f t="shared" si="0"/>
        <v>Execução 23</v>
      </c>
      <c r="B27" s="32"/>
      <c r="C27" s="33"/>
      <c r="D27" s="47" t="str">
        <f>IFERROR(VLOOKUP(C27,'Listas de Dados'!$AA$4:$AB$5,2,0),"Liberado")</f>
        <v>Liberado</v>
      </c>
      <c r="E27" s="47" t="str">
        <f t="shared" ca="1" si="1"/>
        <v/>
      </c>
      <c r="F27" s="33" t="s">
        <v>101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H27" s="41"/>
    </row>
    <row r="28" spans="1:34" x14ac:dyDescent="0.3">
      <c r="A28" s="7" t="str">
        <f t="shared" si="0"/>
        <v>Execução 24</v>
      </c>
      <c r="B28" s="32"/>
      <c r="C28" s="33"/>
      <c r="D28" s="47" t="str">
        <f>IFERROR(VLOOKUP(C28,'Listas de Dados'!$AA$4:$AB$5,2,0),"Liberado")</f>
        <v>Liberado</v>
      </c>
      <c r="E28" s="47" t="str">
        <f t="shared" ca="1" si="1"/>
        <v/>
      </c>
      <c r="F28" s="33" t="s">
        <v>101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H28" s="41"/>
    </row>
    <row r="29" spans="1:34" x14ac:dyDescent="0.3">
      <c r="A29" s="7" t="str">
        <f t="shared" si="0"/>
        <v>Execução 25</v>
      </c>
      <c r="B29" s="32"/>
      <c r="C29" s="33"/>
      <c r="D29" s="47" t="str">
        <f>IFERROR(VLOOKUP(C29,'Listas de Dados'!$AA$4:$AB$5,2,0),"Liberado")</f>
        <v>Liberado</v>
      </c>
      <c r="E29" s="47" t="str">
        <f t="shared" ca="1" si="1"/>
        <v/>
      </c>
      <c r="F29" s="33" t="s">
        <v>101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H29" s="41"/>
    </row>
    <row r="30" spans="1:34" x14ac:dyDescent="0.3">
      <c r="A30" s="7" t="str">
        <f t="shared" si="0"/>
        <v>Execução 26</v>
      </c>
      <c r="B30" s="32"/>
      <c r="C30" s="33"/>
      <c r="D30" s="47" t="str">
        <f>IFERROR(VLOOKUP(C30,'Listas de Dados'!$AA$4:$AB$5,2,0),"Liberado")</f>
        <v>Liberado</v>
      </c>
      <c r="E30" s="47" t="str">
        <f t="shared" ca="1" si="1"/>
        <v/>
      </c>
      <c r="F30" s="33" t="s">
        <v>101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H30" s="41"/>
    </row>
    <row r="31" spans="1:34" x14ac:dyDescent="0.3">
      <c r="A31" s="7" t="str">
        <f t="shared" si="0"/>
        <v>Execução 27</v>
      </c>
      <c r="B31" s="32"/>
      <c r="C31" s="33"/>
      <c r="D31" s="47" t="str">
        <f>IFERROR(VLOOKUP(C31,'Listas de Dados'!$AA$4:$AB$5,2,0),"Liberado")</f>
        <v>Liberado</v>
      </c>
      <c r="E31" s="47" t="str">
        <f t="shared" ca="1" si="1"/>
        <v/>
      </c>
      <c r="F31" s="33" t="s">
        <v>101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H31" s="41"/>
    </row>
    <row r="32" spans="1:34" x14ac:dyDescent="0.3">
      <c r="A32" s="7" t="str">
        <f t="shared" si="0"/>
        <v>Execução 28</v>
      </c>
      <c r="B32" s="32"/>
      <c r="C32" s="33"/>
      <c r="D32" s="47" t="str">
        <f>IFERROR(VLOOKUP(C32,'Listas de Dados'!$AA$4:$AB$5,2,0),"Liberado")</f>
        <v>Liberado</v>
      </c>
      <c r="E32" s="47" t="str">
        <f t="shared" ca="1" si="1"/>
        <v/>
      </c>
      <c r="F32" s="33" t="s">
        <v>101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H32" s="41"/>
    </row>
    <row r="33" spans="1:34" x14ac:dyDescent="0.3">
      <c r="A33" s="7" t="str">
        <f t="shared" si="0"/>
        <v>Execução 29</v>
      </c>
      <c r="B33" s="32"/>
      <c r="C33" s="33"/>
      <c r="D33" s="47" t="str">
        <f>IFERROR(VLOOKUP(C33,'Listas de Dados'!$AA$4:$AB$5,2,0),"Liberado")</f>
        <v>Liberado</v>
      </c>
      <c r="E33" s="47" t="str">
        <f t="shared" ca="1" si="1"/>
        <v/>
      </c>
      <c r="F33" s="33" t="s">
        <v>101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H33" s="41"/>
    </row>
    <row r="34" spans="1:34" x14ac:dyDescent="0.3">
      <c r="A34" s="7" t="str">
        <f t="shared" si="0"/>
        <v>Execução 30</v>
      </c>
      <c r="B34" s="32"/>
      <c r="C34" s="33"/>
      <c r="D34" s="47" t="str">
        <f>IFERROR(VLOOKUP(C34,'Listas de Dados'!$AA$4:$AB$5,2,0),"Liberado")</f>
        <v>Liberado</v>
      </c>
      <c r="E34" s="47" t="str">
        <f t="shared" ca="1" si="1"/>
        <v/>
      </c>
      <c r="F34" s="33" t="s">
        <v>101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H34" s="41"/>
    </row>
    <row r="35" spans="1:34" x14ac:dyDescent="0.3">
      <c r="A35" s="7" t="str">
        <f t="shared" si="0"/>
        <v>Execução 31</v>
      </c>
      <c r="B35" s="32"/>
      <c r="C35" s="33"/>
      <c r="D35" s="47" t="str">
        <f>IFERROR(VLOOKUP(C35,'Listas de Dados'!$AA$4:$AB$5,2,0),"Liberado")</f>
        <v>Liberado</v>
      </c>
      <c r="E35" s="47" t="str">
        <f t="shared" ca="1" si="1"/>
        <v/>
      </c>
      <c r="F35" s="33" t="s">
        <v>101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H35" s="41"/>
    </row>
    <row r="36" spans="1:34" x14ac:dyDescent="0.3">
      <c r="A36" s="7" t="str">
        <f t="shared" si="0"/>
        <v>Execução 32</v>
      </c>
      <c r="B36" s="32"/>
      <c r="C36" s="33"/>
      <c r="D36" s="47" t="str">
        <f>IFERROR(VLOOKUP(C36,'Listas de Dados'!$AA$4:$AB$5,2,0),"Liberado")</f>
        <v>Liberado</v>
      </c>
      <c r="E36" s="47" t="str">
        <f t="shared" ca="1" si="1"/>
        <v/>
      </c>
      <c r="F36" s="33" t="s">
        <v>101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H36" s="41"/>
    </row>
    <row r="37" spans="1:34" x14ac:dyDescent="0.3">
      <c r="A37" s="7" t="str">
        <f t="shared" si="0"/>
        <v>Execução 33</v>
      </c>
      <c r="B37" s="32"/>
      <c r="C37" s="33"/>
      <c r="D37" s="47" t="str">
        <f>IFERROR(VLOOKUP(C37,'Listas de Dados'!$AA$4:$AB$5,2,0),"Liberado")</f>
        <v>Liberado</v>
      </c>
      <c r="E37" s="47" t="str">
        <f t="shared" ca="1" si="1"/>
        <v/>
      </c>
      <c r="F37" s="33" t="s">
        <v>101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H37" s="41"/>
    </row>
    <row r="38" spans="1:34" x14ac:dyDescent="0.3">
      <c r="A38" s="7" t="str">
        <f t="shared" si="0"/>
        <v>Execução 34</v>
      </c>
      <c r="B38" s="32"/>
      <c r="C38" s="33"/>
      <c r="D38" s="47" t="str">
        <f>IFERROR(VLOOKUP(C38,'Listas de Dados'!$AA$4:$AB$5,2,0),"Liberado")</f>
        <v>Liberado</v>
      </c>
      <c r="E38" s="47" t="str">
        <f t="shared" ca="1" si="1"/>
        <v/>
      </c>
      <c r="F38" s="33" t="s">
        <v>101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H38" s="41"/>
    </row>
    <row r="39" spans="1:34" x14ac:dyDescent="0.3">
      <c r="A39" s="7" t="str">
        <f t="shared" si="0"/>
        <v>Execução 35</v>
      </c>
      <c r="B39" s="32"/>
      <c r="C39" s="33"/>
      <c r="D39" s="47" t="str">
        <f>IFERROR(VLOOKUP(C39,'Listas de Dados'!$AA$4:$AB$5,2,0),"Liberado")</f>
        <v>Liberado</v>
      </c>
      <c r="E39" s="47" t="str">
        <f t="shared" ca="1" si="1"/>
        <v/>
      </c>
      <c r="F39" s="33" t="s">
        <v>101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H39" s="41"/>
    </row>
    <row r="40" spans="1:34" x14ac:dyDescent="0.3">
      <c r="A40" s="7" t="str">
        <f t="shared" si="0"/>
        <v>Execução 36</v>
      </c>
      <c r="B40" s="32"/>
      <c r="C40" s="33"/>
      <c r="D40" s="47" t="str">
        <f>IFERROR(VLOOKUP(C40,'Listas de Dados'!$AA$4:$AB$5,2,0),"Liberado")</f>
        <v>Liberado</v>
      </c>
      <c r="E40" s="47" t="str">
        <f t="shared" ca="1" si="1"/>
        <v/>
      </c>
      <c r="F40" s="33" t="s">
        <v>101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H40" s="41"/>
    </row>
    <row r="41" spans="1:34" x14ac:dyDescent="0.3">
      <c r="A41" s="7" t="str">
        <f t="shared" si="0"/>
        <v>Execução 37</v>
      </c>
      <c r="B41" s="32"/>
      <c r="C41" s="33"/>
      <c r="D41" s="47" t="str">
        <f>IFERROR(VLOOKUP(C41,'Listas de Dados'!$AA$4:$AB$5,2,0),"Liberado")</f>
        <v>Liberado</v>
      </c>
      <c r="E41" s="47" t="str">
        <f t="shared" ca="1" si="1"/>
        <v/>
      </c>
      <c r="F41" s="33" t="s">
        <v>101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H41" s="41"/>
    </row>
    <row r="42" spans="1:34" x14ac:dyDescent="0.3">
      <c r="A42" s="7" t="str">
        <f t="shared" si="0"/>
        <v>Execução 38</v>
      </c>
      <c r="B42" s="32"/>
      <c r="C42" s="33"/>
      <c r="D42" s="47" t="str">
        <f>IFERROR(VLOOKUP(C42,'Listas de Dados'!$AA$4:$AB$5,2,0),"Liberado")</f>
        <v>Liberado</v>
      </c>
      <c r="E42" s="47" t="str">
        <f t="shared" ca="1" si="1"/>
        <v/>
      </c>
      <c r="F42" s="33" t="s">
        <v>101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H42" s="41"/>
    </row>
    <row r="43" spans="1:34" x14ac:dyDescent="0.3">
      <c r="A43" s="7" t="str">
        <f t="shared" si="0"/>
        <v>Execução 39</v>
      </c>
      <c r="B43" s="32"/>
      <c r="C43" s="33"/>
      <c r="D43" s="47" t="str">
        <f>IFERROR(VLOOKUP(C43,'Listas de Dados'!$AA$4:$AB$5,2,0),"Liberado")</f>
        <v>Liberado</v>
      </c>
      <c r="E43" s="47" t="str">
        <f t="shared" ca="1" si="1"/>
        <v/>
      </c>
      <c r="F43" s="33" t="s">
        <v>101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H43" s="41"/>
    </row>
    <row r="44" spans="1:34" x14ac:dyDescent="0.3">
      <c r="A44" s="7" t="str">
        <f t="shared" si="0"/>
        <v>Execução 40</v>
      </c>
      <c r="B44" s="32"/>
      <c r="C44" s="33"/>
      <c r="D44" s="47" t="str">
        <f>IFERROR(VLOOKUP(C44,'Listas de Dados'!$AA$4:$AB$5,2,0),"Liberado")</f>
        <v>Liberado</v>
      </c>
      <c r="E44" s="47" t="str">
        <f t="shared" ca="1" si="1"/>
        <v/>
      </c>
      <c r="F44" s="33" t="s">
        <v>101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H44" s="41"/>
    </row>
    <row r="45" spans="1:34" x14ac:dyDescent="0.3">
      <c r="A45" s="7" t="str">
        <f t="shared" si="0"/>
        <v>Execução 41</v>
      </c>
      <c r="B45" s="32"/>
      <c r="C45" s="33"/>
      <c r="D45" s="47" t="str">
        <f>IFERROR(VLOOKUP(C45,'Listas de Dados'!$AA$4:$AB$5,2,0),"Liberado")</f>
        <v>Liberado</v>
      </c>
      <c r="E45" s="47" t="str">
        <f t="shared" ca="1" si="1"/>
        <v/>
      </c>
      <c r="F45" s="33" t="s">
        <v>101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H45" s="41"/>
    </row>
    <row r="46" spans="1:34" x14ac:dyDescent="0.3">
      <c r="A46" s="7" t="str">
        <f t="shared" si="0"/>
        <v>Execução 42</v>
      </c>
      <c r="B46" s="32"/>
      <c r="C46" s="33"/>
      <c r="D46" s="47" t="str">
        <f>IFERROR(VLOOKUP(C46,'Listas de Dados'!$AA$4:$AB$5,2,0),"Liberado")</f>
        <v>Liberado</v>
      </c>
      <c r="E46" s="47" t="str">
        <f t="shared" ca="1" si="1"/>
        <v/>
      </c>
      <c r="F46" s="33" t="s">
        <v>101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H46" s="41"/>
    </row>
    <row r="47" spans="1:34" x14ac:dyDescent="0.3">
      <c r="A47" s="7" t="str">
        <f t="shared" si="0"/>
        <v>Execução 43</v>
      </c>
      <c r="B47" s="32"/>
      <c r="C47" s="33"/>
      <c r="D47" s="47" t="str">
        <f>IFERROR(VLOOKUP(C47,'Listas de Dados'!$AA$4:$AB$5,2,0),"Liberado")</f>
        <v>Liberado</v>
      </c>
      <c r="E47" s="47" t="str">
        <f t="shared" ca="1" si="1"/>
        <v/>
      </c>
      <c r="F47" s="33" t="s">
        <v>101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H47" s="41"/>
    </row>
    <row r="48" spans="1:34" x14ac:dyDescent="0.3">
      <c r="A48" s="7" t="str">
        <f t="shared" si="0"/>
        <v>Execução 44</v>
      </c>
      <c r="B48" s="32"/>
      <c r="C48" s="33"/>
      <c r="D48" s="47" t="str">
        <f>IFERROR(VLOOKUP(C48,'Listas de Dados'!$AA$4:$AB$5,2,0),"Liberado")</f>
        <v>Liberado</v>
      </c>
      <c r="E48" s="47" t="str">
        <f t="shared" ca="1" si="1"/>
        <v/>
      </c>
      <c r="F48" s="33" t="s">
        <v>101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H48" s="41"/>
    </row>
    <row r="49" spans="1:34" x14ac:dyDescent="0.3">
      <c r="A49" s="7" t="str">
        <f t="shared" si="0"/>
        <v>Execução 45</v>
      </c>
      <c r="B49" s="32"/>
      <c r="C49" s="33"/>
      <c r="D49" s="47" t="str">
        <f>IFERROR(VLOOKUP(C49,'Listas de Dados'!$AA$4:$AB$5,2,0),"Liberado")</f>
        <v>Liberado</v>
      </c>
      <c r="E49" s="47" t="str">
        <f t="shared" ca="1" si="1"/>
        <v/>
      </c>
      <c r="F49" s="33" t="s">
        <v>101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H49" s="41"/>
    </row>
    <row r="50" spans="1:34" x14ac:dyDescent="0.3">
      <c r="A50" s="7" t="str">
        <f t="shared" si="0"/>
        <v>Execução 46</v>
      </c>
      <c r="B50" s="32"/>
      <c r="C50" s="33"/>
      <c r="D50" s="47" t="str">
        <f>IFERROR(VLOOKUP(C50,'Listas de Dados'!$AA$4:$AB$5,2,0),"Liberado")</f>
        <v>Liberado</v>
      </c>
      <c r="E50" s="47" t="str">
        <f t="shared" ca="1" si="1"/>
        <v/>
      </c>
      <c r="F50" s="33" t="s">
        <v>101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H50" s="41"/>
    </row>
    <row r="51" spans="1:34" x14ac:dyDescent="0.3">
      <c r="A51" s="7" t="str">
        <f t="shared" si="0"/>
        <v>Execução 47</v>
      </c>
      <c r="B51" s="32"/>
      <c r="C51" s="33"/>
      <c r="D51" s="47" t="str">
        <f>IFERROR(VLOOKUP(C51,'Listas de Dados'!$AA$4:$AB$5,2,0),"Liberado")</f>
        <v>Liberado</v>
      </c>
      <c r="E51" s="47" t="str">
        <f t="shared" ca="1" si="1"/>
        <v/>
      </c>
      <c r="F51" s="33" t="s">
        <v>101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H51" s="41"/>
    </row>
    <row r="52" spans="1:34" x14ac:dyDescent="0.3">
      <c r="A52" s="7" t="str">
        <f t="shared" si="0"/>
        <v>Execução 48</v>
      </c>
      <c r="B52" s="32"/>
      <c r="C52" s="33"/>
      <c r="D52" s="47" t="str">
        <f>IFERROR(VLOOKUP(C52,'Listas de Dados'!$AA$4:$AB$5,2,0),"Liberado")</f>
        <v>Liberado</v>
      </c>
      <c r="E52" s="47" t="str">
        <f t="shared" ca="1" si="1"/>
        <v/>
      </c>
      <c r="F52" s="33" t="s">
        <v>101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H52" s="41"/>
    </row>
    <row r="53" spans="1:34" x14ac:dyDescent="0.3">
      <c r="A53" s="7" t="str">
        <f t="shared" si="0"/>
        <v>Execução 49</v>
      </c>
      <c r="B53" s="32"/>
      <c r="C53" s="33"/>
      <c r="D53" s="47" t="str">
        <f>IFERROR(VLOOKUP(C53,'Listas de Dados'!$AA$4:$AB$5,2,0),"Liberado")</f>
        <v>Liberado</v>
      </c>
      <c r="E53" s="47" t="str">
        <f t="shared" ca="1" si="1"/>
        <v/>
      </c>
      <c r="F53" s="33" t="s">
        <v>101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H53" s="42"/>
    </row>
    <row r="54" spans="1:34" x14ac:dyDescent="0.3">
      <c r="A54" s="7" t="str">
        <f t="shared" si="0"/>
        <v>Execução 50</v>
      </c>
      <c r="B54" s="32"/>
      <c r="C54" s="33"/>
      <c r="D54" s="47" t="str">
        <f>IFERROR(VLOOKUP(C54,'Listas de Dados'!$AA$4:$AB$5,2,0),"Liberado")</f>
        <v>Liberado</v>
      </c>
      <c r="E54" s="47" t="str">
        <f t="shared" ca="1" si="1"/>
        <v/>
      </c>
      <c r="F54" s="33" t="s">
        <v>101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H54" s="42"/>
    </row>
  </sheetData>
  <sortState ref="B5:B61">
    <sortCondition ref="B5"/>
  </sortState>
  <mergeCells count="2">
    <mergeCell ref="F3:AF3"/>
    <mergeCell ref="AG1:AG2"/>
  </mergeCells>
  <conditionalFormatting sqref="B5">
    <cfRule type="beginsWith" dxfId="6" priority="90" operator="beginsWith" text="L">
      <formula>LEFT(B5,LEN("L"))="L"</formula>
    </cfRule>
  </conditionalFormatting>
  <conditionalFormatting sqref="B6:B54">
    <cfRule type="beginsWith" dxfId="5" priority="28" operator="beginsWith" text="L">
      <formula>LEFT(B6,LEN("L"))="L"</formula>
    </cfRule>
  </conditionalFormatting>
  <conditionalFormatting sqref="AH1:AH1048576">
    <cfRule type="containsText" dxfId="4" priority="7" operator="containsText" text="criadas">
      <formula>NOT(ISERROR(SEARCH("criadas",AH1)))</formula>
    </cfRule>
    <cfRule type="containsText" dxfId="3" priority="9" operator="containsText" text="é gravado">
      <formula>NOT(ISERROR(SEARCH("é gravado",AH1)))</formula>
    </cfRule>
    <cfRule type="containsText" dxfId="2" priority="10" operator="containsText" text="é modificado">
      <formula>NOT(ISERROR(SEARCH("é modificado",AH1)))</formula>
    </cfRule>
    <cfRule type="containsText" dxfId="1" priority="11" operator="containsText" text="Error">
      <formula>NOT(ISERROR(SEARCH("Error",AH1)))</formula>
    </cfRule>
    <cfRule type="containsText" dxfId="0" priority="12" operator="containsText" text="é criado">
      <formula>NOT(ISERROR(SEARCH("é criado",AH1)))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F5:AF54</xm:sqref>
        </x14:dataValidation>
        <x14:dataValidation type="list" allowBlank="1" showInputMessage="1" showErrorMessage="1">
          <x14:formula1>
            <xm:f>'Listas de Dados'!$AA$4:$AA$5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L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2022-04-12T13:01:26Z</dcterms:modified>
</cp:coreProperties>
</file>