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Z:\Trabalhos em Andamento\Arthur Boff\19. Programas\22. Cronus\Reports\ERRO\"/>
    </mc:Choice>
  </mc:AlternateContent>
  <bookViews>
    <workbookView xWindow="13965" yWindow="70200" windowWidth="28800" windowHeight="14130" activeTab="6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Consulta" sheetId="7" r:id="rId7"/>
    <sheet name="Listas de Dados" sheetId="2" r:id="rId8"/>
  </sheets>
  <functionGroups builtInGroupCount="18"/>
  <definedNames>
    <definedName name="DadosExternos_1" localSheetId="6" hidden="1">Consulta!$A$1:$CB$12</definedName>
  </definedNames>
  <calcPr calcId="162913"/>
</workbook>
</file>

<file path=xl/calcChain.xml><?xml version="1.0" encoding="utf-8"?>
<calcChain xmlns="http://schemas.openxmlformats.org/spreadsheetml/2006/main">
  <c r="CB13" i="7" l="1"/>
  <c r="E154" i="12" l="1"/>
  <c r="C154" i="12"/>
  <c r="D154" i="12" s="1"/>
  <c r="A154" i="12"/>
  <c r="E153" i="12"/>
  <c r="C153" i="12"/>
  <c r="D153" i="12" s="1"/>
  <c r="A153" i="12"/>
  <c r="E152" i="12"/>
  <c r="C152" i="12"/>
  <c r="D152" i="12" s="1"/>
  <c r="A152" i="12"/>
  <c r="E151" i="12"/>
  <c r="C151" i="12"/>
  <c r="D151" i="12" s="1"/>
  <c r="A151" i="12"/>
  <c r="E150" i="12"/>
  <c r="C150" i="12"/>
  <c r="D150" i="12" s="1"/>
  <c r="A150" i="12"/>
  <c r="E149" i="12"/>
  <c r="C149" i="12"/>
  <c r="D149" i="12" s="1"/>
  <c r="A149" i="12"/>
  <c r="E148" i="12"/>
  <c r="C148" i="12"/>
  <c r="D148" i="12" s="1"/>
  <c r="A148" i="12"/>
  <c r="E147" i="12"/>
  <c r="C147" i="12"/>
  <c r="D147" i="12" s="1"/>
  <c r="A147" i="12"/>
  <c r="E146" i="12"/>
  <c r="C146" i="12"/>
  <c r="D146" i="12" s="1"/>
  <c r="A146" i="12"/>
  <c r="E145" i="12"/>
  <c r="C145" i="12"/>
  <c r="D145" i="12" s="1"/>
  <c r="A145" i="12"/>
  <c r="E144" i="12"/>
  <c r="C144" i="12"/>
  <c r="D144" i="12" s="1"/>
  <c r="A144" i="12"/>
  <c r="E143" i="12"/>
  <c r="C143" i="12"/>
  <c r="D143" i="12" s="1"/>
  <c r="A143" i="12"/>
  <c r="E142" i="12"/>
  <c r="C142" i="12"/>
  <c r="D142" i="12" s="1"/>
  <c r="A142" i="12"/>
  <c r="E141" i="12"/>
  <c r="C141" i="12"/>
  <c r="D141" i="12" s="1"/>
  <c r="A141" i="12"/>
  <c r="E140" i="12"/>
  <c r="C140" i="12"/>
  <c r="D140" i="12" s="1"/>
  <c r="A140" i="12"/>
  <c r="E139" i="12"/>
  <c r="C139" i="12"/>
  <c r="D139" i="12" s="1"/>
  <c r="A139" i="12"/>
  <c r="E138" i="12"/>
  <c r="C138" i="12"/>
  <c r="D138" i="12" s="1"/>
  <c r="A138" i="12"/>
  <c r="E137" i="12"/>
  <c r="C137" i="12"/>
  <c r="D137" i="12" s="1"/>
  <c r="A137" i="12"/>
  <c r="E136" i="12"/>
  <c r="C136" i="12"/>
  <c r="D136" i="12" s="1"/>
  <c r="A136" i="12"/>
  <c r="E135" i="12"/>
  <c r="C135" i="12"/>
  <c r="D135" i="12" s="1"/>
  <c r="A135" i="12"/>
  <c r="E134" i="12"/>
  <c r="C134" i="12"/>
  <c r="D134" i="12" s="1"/>
  <c r="A134" i="12"/>
  <c r="E133" i="12"/>
  <c r="C133" i="12"/>
  <c r="D133" i="12" s="1"/>
  <c r="A133" i="12"/>
  <c r="E132" i="12"/>
  <c r="C132" i="12"/>
  <c r="D132" i="12" s="1"/>
  <c r="A132" i="12"/>
  <c r="E131" i="12"/>
  <c r="C131" i="12"/>
  <c r="D131" i="12" s="1"/>
  <c r="A131" i="12"/>
  <c r="E130" i="12"/>
  <c r="C130" i="12"/>
  <c r="D130" i="12" s="1"/>
  <c r="A130" i="12"/>
  <c r="E129" i="12"/>
  <c r="C129" i="12"/>
  <c r="D129" i="12" s="1"/>
  <c r="A129" i="12"/>
  <c r="E128" i="12"/>
  <c r="C128" i="12"/>
  <c r="D128" i="12" s="1"/>
  <c r="A128" i="12"/>
  <c r="E127" i="12"/>
  <c r="C127" i="12"/>
  <c r="D127" i="12" s="1"/>
  <c r="A127" i="12"/>
  <c r="E126" i="12"/>
  <c r="C126" i="12"/>
  <c r="D126" i="12" s="1"/>
  <c r="A126" i="12"/>
  <c r="E125" i="12"/>
  <c r="C125" i="12"/>
  <c r="D125" i="12" s="1"/>
  <c r="A125" i="12"/>
  <c r="E124" i="12"/>
  <c r="C124" i="12"/>
  <c r="D124" i="12" s="1"/>
  <c r="A124" i="12"/>
  <c r="E123" i="12"/>
  <c r="C123" i="12"/>
  <c r="D123" i="12" s="1"/>
  <c r="A123" i="12"/>
  <c r="E122" i="12"/>
  <c r="C122" i="12"/>
  <c r="D122" i="12" s="1"/>
  <c r="A122" i="12"/>
  <c r="E121" i="12"/>
  <c r="C121" i="12"/>
  <c r="D121" i="12" s="1"/>
  <c r="A121" i="12"/>
  <c r="E120" i="12"/>
  <c r="C120" i="12"/>
  <c r="D120" i="12" s="1"/>
  <c r="A120" i="12"/>
  <c r="E119" i="12"/>
  <c r="C119" i="12"/>
  <c r="D119" i="12" s="1"/>
  <c r="A119" i="12"/>
  <c r="E118" i="12"/>
  <c r="C118" i="12"/>
  <c r="D118" i="12" s="1"/>
  <c r="A118" i="12"/>
  <c r="E117" i="12"/>
  <c r="C117" i="12"/>
  <c r="D117" i="12" s="1"/>
  <c r="A117" i="12"/>
  <c r="E116" i="12"/>
  <c r="C116" i="12"/>
  <c r="D116" i="12" s="1"/>
  <c r="A116" i="12"/>
  <c r="E115" i="12"/>
  <c r="C115" i="12"/>
  <c r="D115" i="12" s="1"/>
  <c r="A115" i="12"/>
  <c r="E114" i="12"/>
  <c r="C114" i="12"/>
  <c r="D114" i="12" s="1"/>
  <c r="A114" i="12"/>
  <c r="E113" i="12"/>
  <c r="C113" i="12"/>
  <c r="D113" i="12" s="1"/>
  <c r="A113" i="12"/>
  <c r="E112" i="12"/>
  <c r="C112" i="12"/>
  <c r="D112" i="12" s="1"/>
  <c r="A112" i="12"/>
  <c r="E111" i="12"/>
  <c r="C111" i="12"/>
  <c r="D111" i="12" s="1"/>
  <c r="A111" i="12"/>
  <c r="E110" i="12"/>
  <c r="C110" i="12"/>
  <c r="D110" i="12" s="1"/>
  <c r="A110" i="12"/>
  <c r="E109" i="12"/>
  <c r="C109" i="12"/>
  <c r="D109" i="12" s="1"/>
  <c r="A109" i="12"/>
  <c r="E108" i="12"/>
  <c r="C108" i="12"/>
  <c r="D108" i="12" s="1"/>
  <c r="A108" i="12"/>
  <c r="E107" i="12"/>
  <c r="C107" i="12"/>
  <c r="D107" i="12" s="1"/>
  <c r="A107" i="12"/>
  <c r="E106" i="12"/>
  <c r="C106" i="12"/>
  <c r="D106" i="12" s="1"/>
  <c r="A106" i="12"/>
  <c r="E105" i="12"/>
  <c r="C105" i="12"/>
  <c r="D105" i="12" s="1"/>
  <c r="A105" i="12"/>
  <c r="E104" i="12"/>
  <c r="C104" i="12"/>
  <c r="D104" i="12" s="1"/>
  <c r="A104" i="12"/>
  <c r="E103" i="12"/>
  <c r="C103" i="12"/>
  <c r="D103" i="12" s="1"/>
  <c r="A103" i="12"/>
  <c r="E102" i="12"/>
  <c r="C102" i="12"/>
  <c r="D102" i="12" s="1"/>
  <c r="A102" i="12"/>
  <c r="E101" i="12"/>
  <c r="C101" i="12"/>
  <c r="D101" i="12" s="1"/>
  <c r="A101" i="12"/>
  <c r="E100" i="12"/>
  <c r="C100" i="12"/>
  <c r="D100" i="12" s="1"/>
  <c r="A100" i="12"/>
  <c r="E99" i="12"/>
  <c r="C99" i="12"/>
  <c r="D99" i="12" s="1"/>
  <c r="A99" i="12"/>
  <c r="E98" i="12"/>
  <c r="C98" i="12"/>
  <c r="D98" i="12" s="1"/>
  <c r="A98" i="12"/>
  <c r="E97" i="12"/>
  <c r="C97" i="12"/>
  <c r="D97" i="12" s="1"/>
  <c r="A97" i="12"/>
  <c r="E96" i="12"/>
  <c r="C96" i="12"/>
  <c r="D96" i="12" s="1"/>
  <c r="A96" i="12"/>
  <c r="E95" i="12"/>
  <c r="C95" i="12"/>
  <c r="D95" i="12" s="1"/>
  <c r="A95" i="12"/>
  <c r="E94" i="12"/>
  <c r="C94" i="12"/>
  <c r="D94" i="12" s="1"/>
  <c r="A94" i="12"/>
  <c r="E93" i="12"/>
  <c r="C93" i="12"/>
  <c r="D93" i="12" s="1"/>
  <c r="A93" i="12"/>
  <c r="E92" i="12"/>
  <c r="C92" i="12"/>
  <c r="D92" i="12" s="1"/>
  <c r="A92" i="12"/>
  <c r="E91" i="12"/>
  <c r="C91" i="12"/>
  <c r="D91" i="12" s="1"/>
  <c r="A91" i="12"/>
  <c r="E90" i="12"/>
  <c r="C90" i="12"/>
  <c r="D90" i="12" s="1"/>
  <c r="A90" i="12"/>
  <c r="E89" i="12"/>
  <c r="C89" i="12"/>
  <c r="D89" i="12" s="1"/>
  <c r="A89" i="12"/>
  <c r="E88" i="12"/>
  <c r="C88" i="12"/>
  <c r="D88" i="12" s="1"/>
  <c r="A88" i="12"/>
  <c r="E87" i="12"/>
  <c r="C87" i="12"/>
  <c r="D87" i="12" s="1"/>
  <c r="A87" i="12"/>
  <c r="E86" i="12"/>
  <c r="C86" i="12"/>
  <c r="D86" i="12" s="1"/>
  <c r="A86" i="12"/>
  <c r="E85" i="12"/>
  <c r="C85" i="12"/>
  <c r="D85" i="12" s="1"/>
  <c r="A85" i="12"/>
  <c r="E84" i="12"/>
  <c r="C84" i="12"/>
  <c r="D84" i="12" s="1"/>
  <c r="A84" i="12"/>
  <c r="E83" i="12"/>
  <c r="C83" i="12"/>
  <c r="D83" i="12" s="1"/>
  <c r="A83" i="12"/>
  <c r="E82" i="12"/>
  <c r="C82" i="12"/>
  <c r="D82" i="12" s="1"/>
  <c r="A82" i="12"/>
  <c r="E81" i="12"/>
  <c r="C81" i="12"/>
  <c r="D81" i="12" s="1"/>
  <c r="A81" i="12"/>
  <c r="E80" i="12"/>
  <c r="C80" i="12"/>
  <c r="D80" i="12" s="1"/>
  <c r="A80" i="12"/>
  <c r="E79" i="12"/>
  <c r="C79" i="12"/>
  <c r="D79" i="12" s="1"/>
  <c r="A79" i="12"/>
  <c r="E78" i="12"/>
  <c r="C78" i="12"/>
  <c r="D78" i="12" s="1"/>
  <c r="A78" i="12"/>
  <c r="E77" i="12"/>
  <c r="C77" i="12"/>
  <c r="D77" i="12" s="1"/>
  <c r="A77" i="12"/>
  <c r="E76" i="12"/>
  <c r="C76" i="12"/>
  <c r="D76" i="12" s="1"/>
  <c r="A76" i="12"/>
  <c r="E75" i="12"/>
  <c r="C75" i="12"/>
  <c r="D75" i="12" s="1"/>
  <c r="A75" i="12"/>
  <c r="E74" i="12"/>
  <c r="C74" i="12"/>
  <c r="D74" i="12" s="1"/>
  <c r="A74" i="12"/>
  <c r="E73" i="12"/>
  <c r="C73" i="12"/>
  <c r="D73" i="12" s="1"/>
  <c r="A73" i="12"/>
  <c r="E72" i="12"/>
  <c r="C72" i="12"/>
  <c r="D72" i="12" s="1"/>
  <c r="A72" i="12"/>
  <c r="E71" i="12"/>
  <c r="C71" i="12"/>
  <c r="D71" i="12" s="1"/>
  <c r="A71" i="12"/>
  <c r="E70" i="12"/>
  <c r="C70" i="12"/>
  <c r="D70" i="12" s="1"/>
  <c r="A70" i="12"/>
  <c r="E69" i="12"/>
  <c r="C69" i="12"/>
  <c r="D69" i="12" s="1"/>
  <c r="A69" i="12"/>
  <c r="E68" i="12"/>
  <c r="C68" i="12"/>
  <c r="D68" i="12" s="1"/>
  <c r="A68" i="12"/>
  <c r="E67" i="12"/>
  <c r="C67" i="12"/>
  <c r="D67" i="12" s="1"/>
  <c r="A67" i="12"/>
  <c r="E66" i="12"/>
  <c r="C66" i="12"/>
  <c r="D66" i="12" s="1"/>
  <c r="A66" i="12"/>
  <c r="E65" i="12"/>
  <c r="C65" i="12"/>
  <c r="D65" i="12" s="1"/>
  <c r="A65" i="12"/>
  <c r="E64" i="12"/>
  <c r="C64" i="12"/>
  <c r="D64" i="12" s="1"/>
  <c r="A64" i="12"/>
  <c r="E63" i="12"/>
  <c r="C63" i="12"/>
  <c r="D63" i="12" s="1"/>
  <c r="A63" i="12"/>
  <c r="E62" i="12"/>
  <c r="C62" i="12"/>
  <c r="D62" i="12" s="1"/>
  <c r="A62" i="12"/>
  <c r="E61" i="12"/>
  <c r="C61" i="12"/>
  <c r="D61" i="12" s="1"/>
  <c r="A61" i="12"/>
  <c r="E60" i="12"/>
  <c r="C60" i="12"/>
  <c r="D60" i="12" s="1"/>
  <c r="A60" i="12"/>
  <c r="E59" i="12"/>
  <c r="C59" i="12"/>
  <c r="D59" i="12" s="1"/>
  <c r="A59" i="12"/>
  <c r="E58" i="12"/>
  <c r="C58" i="12"/>
  <c r="D58" i="12" s="1"/>
  <c r="A58" i="12"/>
  <c r="E57" i="12"/>
  <c r="C57" i="12"/>
  <c r="D57" i="12" s="1"/>
  <c r="A57" i="12"/>
  <c r="E56" i="12"/>
  <c r="C56" i="12"/>
  <c r="D56" i="12" s="1"/>
  <c r="A56" i="12"/>
  <c r="E55" i="12"/>
  <c r="C55" i="12"/>
  <c r="D55" i="12" s="1"/>
  <c r="A55" i="12"/>
  <c r="C154" i="11"/>
  <c r="A154" i="11"/>
  <c r="C153" i="11"/>
  <c r="A153" i="11"/>
  <c r="C152" i="11"/>
  <c r="A152" i="11"/>
  <c r="C151" i="11"/>
  <c r="A151" i="11"/>
  <c r="C150" i="11"/>
  <c r="A150" i="11"/>
  <c r="C149" i="11"/>
  <c r="A149" i="11"/>
  <c r="C148" i="11"/>
  <c r="A148" i="11"/>
  <c r="C147" i="11"/>
  <c r="A147" i="11"/>
  <c r="C146" i="11"/>
  <c r="A146" i="11"/>
  <c r="C145" i="11"/>
  <c r="A145" i="11"/>
  <c r="C144" i="11"/>
  <c r="A144" i="11"/>
  <c r="C143" i="11"/>
  <c r="A143" i="11"/>
  <c r="C142" i="11"/>
  <c r="A142" i="11"/>
  <c r="C141" i="11"/>
  <c r="A141" i="11"/>
  <c r="C140" i="11"/>
  <c r="A140" i="11"/>
  <c r="C139" i="11"/>
  <c r="A139" i="11"/>
  <c r="C138" i="11"/>
  <c r="A138" i="11"/>
  <c r="C137" i="11"/>
  <c r="A137" i="11"/>
  <c r="C136" i="11"/>
  <c r="A136" i="11"/>
  <c r="C135" i="11"/>
  <c r="A135" i="11"/>
  <c r="C134" i="11"/>
  <c r="A134" i="11"/>
  <c r="C133" i="11"/>
  <c r="A133" i="11"/>
  <c r="C132" i="11"/>
  <c r="A132" i="11"/>
  <c r="C131" i="11"/>
  <c r="A131" i="11"/>
  <c r="C130" i="11"/>
  <c r="A130" i="11"/>
  <c r="C129" i="11"/>
  <c r="A129" i="11"/>
  <c r="C128" i="11"/>
  <c r="A128" i="11"/>
  <c r="C127" i="11"/>
  <c r="A127" i="11"/>
  <c r="C126" i="11"/>
  <c r="A126" i="11"/>
  <c r="C125" i="11"/>
  <c r="A125" i="11"/>
  <c r="C124" i="11"/>
  <c r="A124" i="11"/>
  <c r="C123" i="11"/>
  <c r="A123" i="11"/>
  <c r="C122" i="11"/>
  <c r="A122" i="11"/>
  <c r="C121" i="11"/>
  <c r="A121" i="11"/>
  <c r="C120" i="11"/>
  <c r="A120" i="11"/>
  <c r="C119" i="11"/>
  <c r="A119" i="11"/>
  <c r="C118" i="11"/>
  <c r="A118" i="11"/>
  <c r="C117" i="11"/>
  <c r="A117" i="11"/>
  <c r="C116" i="11"/>
  <c r="A116" i="11"/>
  <c r="C115" i="11"/>
  <c r="A115" i="11"/>
  <c r="C114" i="11"/>
  <c r="A114" i="11"/>
  <c r="C113" i="11"/>
  <c r="A113" i="11"/>
  <c r="C112" i="11"/>
  <c r="A112" i="11"/>
  <c r="C111" i="11"/>
  <c r="A111" i="11"/>
  <c r="C110" i="11"/>
  <c r="A110" i="11"/>
  <c r="C109" i="11"/>
  <c r="A109" i="11"/>
  <c r="C108" i="11"/>
  <c r="A108" i="11"/>
  <c r="C107" i="11"/>
  <c r="A107" i="11"/>
  <c r="C106" i="11"/>
  <c r="A106" i="11"/>
  <c r="C105" i="11"/>
  <c r="A105" i="11"/>
  <c r="C104" i="11"/>
  <c r="A104" i="11"/>
  <c r="C103" i="11"/>
  <c r="A103" i="11"/>
  <c r="C102" i="11"/>
  <c r="A102" i="11"/>
  <c r="C101" i="11"/>
  <c r="A101" i="11"/>
  <c r="C100" i="11"/>
  <c r="A100" i="11"/>
  <c r="C99" i="11"/>
  <c r="A99" i="11"/>
  <c r="C98" i="11"/>
  <c r="A98" i="11"/>
  <c r="C97" i="11"/>
  <c r="A97" i="11"/>
  <c r="C96" i="11"/>
  <c r="A96" i="11"/>
  <c r="C95" i="11"/>
  <c r="A95" i="11"/>
  <c r="C94" i="11"/>
  <c r="A94" i="11"/>
  <c r="C93" i="11"/>
  <c r="A93" i="11"/>
  <c r="C92" i="11"/>
  <c r="A92" i="11"/>
  <c r="C91" i="11"/>
  <c r="A91" i="11"/>
  <c r="C90" i="11"/>
  <c r="A90" i="11"/>
  <c r="C89" i="11"/>
  <c r="A89" i="11"/>
  <c r="C88" i="11"/>
  <c r="A88" i="11"/>
  <c r="C87" i="11"/>
  <c r="A87" i="11"/>
  <c r="C86" i="11"/>
  <c r="A86" i="11"/>
  <c r="C85" i="11"/>
  <c r="A85" i="11"/>
  <c r="C84" i="11"/>
  <c r="A84" i="11"/>
  <c r="C83" i="11"/>
  <c r="A83" i="11"/>
  <c r="C82" i="11"/>
  <c r="A82" i="11"/>
  <c r="C81" i="11"/>
  <c r="A81" i="11"/>
  <c r="C80" i="11"/>
  <c r="A80" i="11"/>
  <c r="C79" i="11"/>
  <c r="A79" i="11"/>
  <c r="C78" i="11"/>
  <c r="A78" i="11"/>
  <c r="C77" i="11"/>
  <c r="A77" i="11"/>
  <c r="C76" i="11"/>
  <c r="A76" i="11"/>
  <c r="C75" i="11"/>
  <c r="A75" i="11"/>
  <c r="C74" i="11"/>
  <c r="A74" i="11"/>
  <c r="C73" i="11"/>
  <c r="A73" i="11"/>
  <c r="C72" i="11"/>
  <c r="A72" i="11"/>
  <c r="C71" i="11"/>
  <c r="A71" i="11"/>
  <c r="C70" i="11"/>
  <c r="A70" i="11"/>
  <c r="C69" i="11"/>
  <c r="A69" i="11"/>
  <c r="C68" i="11"/>
  <c r="A68" i="11"/>
  <c r="C67" i="11"/>
  <c r="A67" i="11"/>
  <c r="C66" i="11"/>
  <c r="A66" i="11"/>
  <c r="C65" i="11"/>
  <c r="A65" i="11"/>
  <c r="C64" i="11"/>
  <c r="A64" i="11"/>
  <c r="C63" i="11"/>
  <c r="A63" i="11"/>
  <c r="C62" i="11"/>
  <c r="A62" i="11"/>
  <c r="C61" i="11"/>
  <c r="A61" i="11"/>
  <c r="C60" i="11"/>
  <c r="A60" i="11"/>
  <c r="C59" i="11"/>
  <c r="A59" i="11"/>
  <c r="C58" i="11"/>
  <c r="A58" i="11"/>
  <c r="C57" i="11"/>
  <c r="A57" i="11"/>
  <c r="C56" i="11"/>
  <c r="A56" i="11"/>
  <c r="C55" i="11"/>
  <c r="A55" i="11"/>
  <c r="C154" i="10"/>
  <c r="A154" i="10"/>
  <c r="C153" i="10"/>
  <c r="A153" i="10"/>
  <c r="C152" i="10"/>
  <c r="A152" i="10"/>
  <c r="C151" i="10"/>
  <c r="A151" i="10"/>
  <c r="C150" i="10"/>
  <c r="A150" i="10"/>
  <c r="C149" i="10"/>
  <c r="A149" i="10"/>
  <c r="C148" i="10"/>
  <c r="A148" i="10"/>
  <c r="C147" i="10"/>
  <c r="A147" i="10"/>
  <c r="C146" i="10"/>
  <c r="A146" i="10"/>
  <c r="C145" i="10"/>
  <c r="A145" i="10"/>
  <c r="C144" i="10"/>
  <c r="A144" i="10"/>
  <c r="C143" i="10"/>
  <c r="A143" i="10"/>
  <c r="C142" i="10"/>
  <c r="A142" i="10"/>
  <c r="C141" i="10"/>
  <c r="A141" i="10"/>
  <c r="C140" i="10"/>
  <c r="A140" i="10"/>
  <c r="C139" i="10"/>
  <c r="A139" i="10"/>
  <c r="C138" i="10"/>
  <c r="A138" i="10"/>
  <c r="C137" i="10"/>
  <c r="A137" i="10"/>
  <c r="C136" i="10"/>
  <c r="A136" i="10"/>
  <c r="C135" i="10"/>
  <c r="A135" i="10"/>
  <c r="C134" i="10"/>
  <c r="A134" i="10"/>
  <c r="C133" i="10"/>
  <c r="A133" i="10"/>
  <c r="C132" i="10"/>
  <c r="A132" i="10"/>
  <c r="C131" i="10"/>
  <c r="A131" i="10"/>
  <c r="C130" i="10"/>
  <c r="A130" i="10"/>
  <c r="C129" i="10"/>
  <c r="A129" i="10"/>
  <c r="C128" i="10"/>
  <c r="A128" i="10"/>
  <c r="C127" i="10"/>
  <c r="A127" i="10"/>
  <c r="C126" i="10"/>
  <c r="A126" i="10"/>
  <c r="C125" i="10"/>
  <c r="A125" i="10"/>
  <c r="C124" i="10"/>
  <c r="A124" i="10"/>
  <c r="C123" i="10"/>
  <c r="A123" i="10"/>
  <c r="C122" i="10"/>
  <c r="A122" i="10"/>
  <c r="C121" i="10"/>
  <c r="A121" i="10"/>
  <c r="C120" i="10"/>
  <c r="A120" i="10"/>
  <c r="C119" i="10"/>
  <c r="A119" i="10"/>
  <c r="C118" i="10"/>
  <c r="A118" i="10"/>
  <c r="C117" i="10"/>
  <c r="A117" i="10"/>
  <c r="C116" i="10"/>
  <c r="A116" i="10"/>
  <c r="C115" i="10"/>
  <c r="A115" i="10"/>
  <c r="C114" i="10"/>
  <c r="A114" i="10"/>
  <c r="C113" i="10"/>
  <c r="A113" i="10"/>
  <c r="C112" i="10"/>
  <c r="A112" i="10"/>
  <c r="C111" i="10"/>
  <c r="A111" i="10"/>
  <c r="C110" i="10"/>
  <c r="A110" i="10"/>
  <c r="C109" i="10"/>
  <c r="A109" i="10"/>
  <c r="C108" i="10"/>
  <c r="A108" i="10"/>
  <c r="C107" i="10"/>
  <c r="A107" i="10"/>
  <c r="C106" i="10"/>
  <c r="A106" i="10"/>
  <c r="C105" i="10"/>
  <c r="A105" i="10"/>
  <c r="C104" i="10"/>
  <c r="A104" i="10"/>
  <c r="C103" i="10"/>
  <c r="A103" i="10"/>
  <c r="C102" i="10"/>
  <c r="A102" i="10"/>
  <c r="C101" i="10"/>
  <c r="A101" i="10"/>
  <c r="C100" i="10"/>
  <c r="A100" i="10"/>
  <c r="C99" i="10"/>
  <c r="A99" i="10"/>
  <c r="C98" i="10"/>
  <c r="A98" i="10"/>
  <c r="C97" i="10"/>
  <c r="A97" i="10"/>
  <c r="C96" i="10"/>
  <c r="A96" i="10"/>
  <c r="C95" i="10"/>
  <c r="A95" i="10"/>
  <c r="C94" i="10"/>
  <c r="A94" i="10"/>
  <c r="C93" i="10"/>
  <c r="A93" i="10"/>
  <c r="C92" i="10"/>
  <c r="A92" i="10"/>
  <c r="C91" i="10"/>
  <c r="A91" i="10"/>
  <c r="C90" i="10"/>
  <c r="A90" i="10"/>
  <c r="C89" i="10"/>
  <c r="A89" i="10"/>
  <c r="C88" i="10"/>
  <c r="A88" i="10"/>
  <c r="C87" i="10"/>
  <c r="A87" i="10"/>
  <c r="C86" i="10"/>
  <c r="A86" i="10"/>
  <c r="C85" i="10"/>
  <c r="A85" i="10"/>
  <c r="C84" i="10"/>
  <c r="A84" i="10"/>
  <c r="C83" i="10"/>
  <c r="A83" i="10"/>
  <c r="C82" i="10"/>
  <c r="A82" i="10"/>
  <c r="C81" i="10"/>
  <c r="A81" i="10"/>
  <c r="C80" i="10"/>
  <c r="A80" i="10"/>
  <c r="C79" i="10"/>
  <c r="A79" i="10"/>
  <c r="C78" i="10"/>
  <c r="A78" i="10"/>
  <c r="C77" i="10"/>
  <c r="A77" i="10"/>
  <c r="C76" i="10"/>
  <c r="A76" i="10"/>
  <c r="C75" i="10"/>
  <c r="A75" i="10"/>
  <c r="C74" i="10"/>
  <c r="A74" i="10"/>
  <c r="C73" i="10"/>
  <c r="A73" i="10"/>
  <c r="C72" i="10"/>
  <c r="A72" i="10"/>
  <c r="C71" i="10"/>
  <c r="A71" i="10"/>
  <c r="C70" i="10"/>
  <c r="A70" i="10"/>
  <c r="C69" i="10"/>
  <c r="A69" i="10"/>
  <c r="C68" i="10"/>
  <c r="A68" i="10"/>
  <c r="C67" i="10"/>
  <c r="A67" i="10"/>
  <c r="C66" i="10"/>
  <c r="A66" i="10"/>
  <c r="C65" i="10"/>
  <c r="A65" i="10"/>
  <c r="C64" i="10"/>
  <c r="A64" i="10"/>
  <c r="C63" i="10"/>
  <c r="A63" i="10"/>
  <c r="C62" i="10"/>
  <c r="A62" i="10"/>
  <c r="C61" i="10"/>
  <c r="A61" i="10"/>
  <c r="C60" i="10"/>
  <c r="A60" i="10"/>
  <c r="C59" i="10"/>
  <c r="A59" i="10"/>
  <c r="C58" i="10"/>
  <c r="A58" i="10"/>
  <c r="C57" i="10"/>
  <c r="A57" i="10"/>
  <c r="C56" i="10"/>
  <c r="A56" i="10"/>
  <c r="C55" i="10"/>
  <c r="A55" i="10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EJ154" i="6"/>
  <c r="EE154" i="6"/>
  <c r="EB154" i="6"/>
  <c r="EA154" i="6"/>
  <c r="DZ154" i="6"/>
  <c r="DV154" i="6"/>
  <c r="DU154" i="6"/>
  <c r="DS154" i="6"/>
  <c r="DR154" i="6"/>
  <c r="DQ154" i="6"/>
  <c r="DO154" i="6"/>
  <c r="DN154" i="6"/>
  <c r="DM154" i="6"/>
  <c r="DK154" i="6"/>
  <c r="DJ154" i="6"/>
  <c r="DI154" i="6"/>
  <c r="DG154" i="6"/>
  <c r="DC154" i="6"/>
  <c r="DA154" i="6"/>
  <c r="CW154" i="6"/>
  <c r="CV154" i="6"/>
  <c r="CU154" i="6"/>
  <c r="CT154" i="6"/>
  <c r="CX154" i="6" s="1"/>
  <c r="BX154" i="6"/>
  <c r="BN154" i="6"/>
  <c r="BL154" i="6"/>
  <c r="BI154" i="6"/>
  <c r="BE154" i="6"/>
  <c r="BA154" i="6"/>
  <c r="AW154" i="6"/>
  <c r="BB154" i="6" s="1"/>
  <c r="AU154" i="6"/>
  <c r="AR154" i="6"/>
  <c r="AP154" i="6"/>
  <c r="J154" i="6"/>
  <c r="H154" i="6"/>
  <c r="CI154" i="6" s="1"/>
  <c r="G154" i="6"/>
  <c r="CR154" i="6" s="1"/>
  <c r="E154" i="6"/>
  <c r="DB154" i="6" s="1"/>
  <c r="D154" i="6"/>
  <c r="C154" i="6"/>
  <c r="A154" i="6"/>
  <c r="EJ153" i="6"/>
  <c r="EE153" i="6"/>
  <c r="EB153" i="6"/>
  <c r="EA153" i="6"/>
  <c r="DZ153" i="6"/>
  <c r="DV153" i="6"/>
  <c r="DU153" i="6"/>
  <c r="DS153" i="6"/>
  <c r="DR153" i="6"/>
  <c r="DQ153" i="6"/>
  <c r="DO153" i="6"/>
  <c r="DN153" i="6"/>
  <c r="DM153" i="6"/>
  <c r="DK153" i="6"/>
  <c r="DJ153" i="6"/>
  <c r="DI153" i="6"/>
  <c r="DG153" i="6"/>
  <c r="DC153" i="6"/>
  <c r="DA153" i="6"/>
  <c r="CW153" i="6"/>
  <c r="CV153" i="6"/>
  <c r="CU153" i="6"/>
  <c r="CT153" i="6"/>
  <c r="BX153" i="6"/>
  <c r="BN153" i="6"/>
  <c r="BL153" i="6"/>
  <c r="BI153" i="6"/>
  <c r="BE153" i="6"/>
  <c r="BA153" i="6"/>
  <c r="AW153" i="6"/>
  <c r="BB153" i="6" s="1"/>
  <c r="AU153" i="6"/>
  <c r="AR153" i="6"/>
  <c r="AP153" i="6"/>
  <c r="J153" i="6"/>
  <c r="H153" i="6"/>
  <c r="CI153" i="6" s="1"/>
  <c r="G153" i="6"/>
  <c r="CR153" i="6" s="1"/>
  <c r="E153" i="6"/>
  <c r="DB153" i="6" s="1"/>
  <c r="D153" i="6"/>
  <c r="C153" i="6"/>
  <c r="A153" i="6"/>
  <c r="EJ152" i="6"/>
  <c r="EE152" i="6"/>
  <c r="EB152" i="6"/>
  <c r="EA152" i="6"/>
  <c r="DZ152" i="6"/>
  <c r="DV152" i="6"/>
  <c r="DU152" i="6"/>
  <c r="DS152" i="6"/>
  <c r="DR152" i="6"/>
  <c r="DQ152" i="6"/>
  <c r="DO152" i="6"/>
  <c r="DN152" i="6"/>
  <c r="DM152" i="6"/>
  <c r="DK152" i="6"/>
  <c r="DJ152" i="6"/>
  <c r="DI152" i="6"/>
  <c r="DG152" i="6"/>
  <c r="DC152" i="6"/>
  <c r="DA152" i="6"/>
  <c r="CW152" i="6"/>
  <c r="CV152" i="6"/>
  <c r="CU152" i="6"/>
  <c r="CT152" i="6"/>
  <c r="BX152" i="6"/>
  <c r="BN152" i="6"/>
  <c r="BL152" i="6"/>
  <c r="BI152" i="6"/>
  <c r="BE152" i="6"/>
  <c r="BA152" i="6"/>
  <c r="AW152" i="6"/>
  <c r="BB152" i="6" s="1"/>
  <c r="AU152" i="6"/>
  <c r="AR152" i="6"/>
  <c r="AP152" i="6"/>
  <c r="J152" i="6"/>
  <c r="H152" i="6"/>
  <c r="CI152" i="6" s="1"/>
  <c r="G152" i="6"/>
  <c r="CR152" i="6" s="1"/>
  <c r="E152" i="6"/>
  <c r="DB152" i="6" s="1"/>
  <c r="D152" i="6"/>
  <c r="C152" i="6"/>
  <c r="A152" i="6"/>
  <c r="EJ151" i="6"/>
  <c r="EE151" i="6"/>
  <c r="EB151" i="6"/>
  <c r="EA151" i="6"/>
  <c r="DZ151" i="6"/>
  <c r="DV151" i="6"/>
  <c r="DU151" i="6"/>
  <c r="DS151" i="6"/>
  <c r="DR151" i="6"/>
  <c r="DQ151" i="6"/>
  <c r="DO151" i="6"/>
  <c r="DN151" i="6"/>
  <c r="DM151" i="6"/>
  <c r="DK151" i="6"/>
  <c r="DJ151" i="6"/>
  <c r="DI151" i="6"/>
  <c r="DG151" i="6"/>
  <c r="DC151" i="6"/>
  <c r="DA151" i="6"/>
  <c r="CW151" i="6"/>
  <c r="CV151" i="6"/>
  <c r="CU151" i="6"/>
  <c r="CT151" i="6"/>
  <c r="BX151" i="6"/>
  <c r="BN151" i="6"/>
  <c r="BL151" i="6"/>
  <c r="BI151" i="6"/>
  <c r="BE151" i="6"/>
  <c r="BA151" i="6"/>
  <c r="AW151" i="6"/>
  <c r="BB151" i="6" s="1"/>
  <c r="AU151" i="6"/>
  <c r="AR151" i="6"/>
  <c r="AP151" i="6"/>
  <c r="J151" i="6"/>
  <c r="H151" i="6"/>
  <c r="CI151" i="6" s="1"/>
  <c r="G151" i="6"/>
  <c r="CR151" i="6" s="1"/>
  <c r="E151" i="6"/>
  <c r="DB151" i="6" s="1"/>
  <c r="D151" i="6"/>
  <c r="C151" i="6"/>
  <c r="A151" i="6"/>
  <c r="EJ150" i="6"/>
  <c r="EE150" i="6"/>
  <c r="EB150" i="6"/>
  <c r="EA150" i="6"/>
  <c r="DZ150" i="6"/>
  <c r="DV150" i="6"/>
  <c r="DU150" i="6"/>
  <c r="DS150" i="6"/>
  <c r="DR150" i="6"/>
  <c r="DQ150" i="6"/>
  <c r="DO150" i="6"/>
  <c r="DN150" i="6"/>
  <c r="DM150" i="6"/>
  <c r="DK150" i="6"/>
  <c r="DJ150" i="6"/>
  <c r="DI150" i="6"/>
  <c r="DG150" i="6"/>
  <c r="DC150" i="6"/>
  <c r="DA150" i="6"/>
  <c r="CW150" i="6"/>
  <c r="CV150" i="6"/>
  <c r="CU150" i="6"/>
  <c r="CT150" i="6"/>
  <c r="BX150" i="6"/>
  <c r="BN150" i="6"/>
  <c r="BL150" i="6"/>
  <c r="BI150" i="6"/>
  <c r="BE150" i="6"/>
  <c r="BA150" i="6"/>
  <c r="AW150" i="6"/>
  <c r="BB150" i="6" s="1"/>
  <c r="AU150" i="6"/>
  <c r="AR150" i="6"/>
  <c r="AP150" i="6"/>
  <c r="J150" i="6"/>
  <c r="H150" i="6"/>
  <c r="CI150" i="6" s="1"/>
  <c r="G150" i="6"/>
  <c r="CC150" i="6" s="1"/>
  <c r="E150" i="6"/>
  <c r="DB150" i="6" s="1"/>
  <c r="D150" i="6"/>
  <c r="C150" i="6"/>
  <c r="A150" i="6"/>
  <c r="EJ149" i="6"/>
  <c r="EE149" i="6"/>
  <c r="EB149" i="6"/>
  <c r="EA149" i="6"/>
  <c r="DZ149" i="6"/>
  <c r="DV149" i="6"/>
  <c r="DU149" i="6"/>
  <c r="DS149" i="6"/>
  <c r="DR149" i="6"/>
  <c r="DQ149" i="6"/>
  <c r="DO149" i="6"/>
  <c r="DN149" i="6"/>
  <c r="DM149" i="6"/>
  <c r="DK149" i="6"/>
  <c r="DJ149" i="6"/>
  <c r="DI149" i="6"/>
  <c r="DG149" i="6"/>
  <c r="DC149" i="6"/>
  <c r="DA149" i="6"/>
  <c r="CW149" i="6"/>
  <c r="CV149" i="6"/>
  <c r="CU149" i="6"/>
  <c r="CT149" i="6"/>
  <c r="BX149" i="6"/>
  <c r="BN149" i="6"/>
  <c r="BL149" i="6"/>
  <c r="BI149" i="6"/>
  <c r="BE149" i="6"/>
  <c r="BA149" i="6"/>
  <c r="AW149" i="6"/>
  <c r="BB149" i="6" s="1"/>
  <c r="AU149" i="6"/>
  <c r="AR149" i="6"/>
  <c r="AP149" i="6"/>
  <c r="J149" i="6"/>
  <c r="H149" i="6"/>
  <c r="CI149" i="6" s="1"/>
  <c r="G149" i="6"/>
  <c r="CC149" i="6" s="1"/>
  <c r="E149" i="6"/>
  <c r="DB149" i="6" s="1"/>
  <c r="D149" i="6"/>
  <c r="C149" i="6"/>
  <c r="A149" i="6"/>
  <c r="EJ148" i="6"/>
  <c r="EE148" i="6"/>
  <c r="EB148" i="6"/>
  <c r="EA148" i="6"/>
  <c r="DZ148" i="6"/>
  <c r="DV148" i="6"/>
  <c r="DU148" i="6"/>
  <c r="DS148" i="6"/>
  <c r="DR148" i="6"/>
  <c r="DQ148" i="6"/>
  <c r="DO148" i="6"/>
  <c r="DN148" i="6"/>
  <c r="DM148" i="6"/>
  <c r="DK148" i="6"/>
  <c r="DJ148" i="6"/>
  <c r="DI148" i="6"/>
  <c r="DG148" i="6"/>
  <c r="DC148" i="6"/>
  <c r="DA148" i="6"/>
  <c r="CW148" i="6"/>
  <c r="CV148" i="6"/>
  <c r="CU148" i="6"/>
  <c r="CT148" i="6"/>
  <c r="BX148" i="6"/>
  <c r="BN148" i="6"/>
  <c r="BL148" i="6"/>
  <c r="BI148" i="6"/>
  <c r="BE148" i="6"/>
  <c r="BA148" i="6"/>
  <c r="AW148" i="6"/>
  <c r="BB148" i="6" s="1"/>
  <c r="AU148" i="6"/>
  <c r="AR148" i="6"/>
  <c r="AP148" i="6"/>
  <c r="J148" i="6"/>
  <c r="H148" i="6"/>
  <c r="CJ148" i="6" s="1"/>
  <c r="G148" i="6"/>
  <c r="CC148" i="6" s="1"/>
  <c r="E148" i="6"/>
  <c r="DB148" i="6" s="1"/>
  <c r="D148" i="6"/>
  <c r="C148" i="6"/>
  <c r="A148" i="6"/>
  <c r="EJ147" i="6"/>
  <c r="EE147" i="6"/>
  <c r="EB147" i="6"/>
  <c r="EA147" i="6"/>
  <c r="DZ147" i="6"/>
  <c r="DV147" i="6"/>
  <c r="DU147" i="6"/>
  <c r="DS147" i="6"/>
  <c r="DR147" i="6"/>
  <c r="DQ147" i="6"/>
  <c r="DO147" i="6"/>
  <c r="DN147" i="6"/>
  <c r="DM147" i="6"/>
  <c r="DK147" i="6"/>
  <c r="DJ147" i="6"/>
  <c r="DI147" i="6"/>
  <c r="DG147" i="6"/>
  <c r="DC147" i="6"/>
  <c r="DA147" i="6"/>
  <c r="CW147" i="6"/>
  <c r="CV147" i="6"/>
  <c r="CU147" i="6"/>
  <c r="CT147" i="6"/>
  <c r="BX147" i="6"/>
  <c r="BN147" i="6"/>
  <c r="BL147" i="6"/>
  <c r="BI147" i="6"/>
  <c r="BE147" i="6"/>
  <c r="BA147" i="6"/>
  <c r="AW147" i="6"/>
  <c r="BB147" i="6" s="1"/>
  <c r="AU147" i="6"/>
  <c r="AR147" i="6"/>
  <c r="AP147" i="6"/>
  <c r="J147" i="6"/>
  <c r="H147" i="6"/>
  <c r="CJ147" i="6" s="1"/>
  <c r="G147" i="6"/>
  <c r="CC147" i="6" s="1"/>
  <c r="E147" i="6"/>
  <c r="DB147" i="6" s="1"/>
  <c r="D147" i="6"/>
  <c r="CZ147" i="6" s="1"/>
  <c r="C147" i="6"/>
  <c r="A147" i="6"/>
  <c r="EJ146" i="6"/>
  <c r="EE146" i="6"/>
  <c r="EB146" i="6"/>
  <c r="EA146" i="6"/>
  <c r="DZ146" i="6"/>
  <c r="DV146" i="6"/>
  <c r="DU146" i="6"/>
  <c r="DS146" i="6"/>
  <c r="DR146" i="6"/>
  <c r="DQ146" i="6"/>
  <c r="DO146" i="6"/>
  <c r="DN146" i="6"/>
  <c r="DM146" i="6"/>
  <c r="DK146" i="6"/>
  <c r="DJ146" i="6"/>
  <c r="DI146" i="6"/>
  <c r="DG146" i="6"/>
  <c r="DC146" i="6"/>
  <c r="DA146" i="6"/>
  <c r="CW146" i="6"/>
  <c r="CV146" i="6"/>
  <c r="CU146" i="6"/>
  <c r="CT146" i="6"/>
  <c r="BX146" i="6"/>
  <c r="BN146" i="6"/>
  <c r="BL146" i="6"/>
  <c r="BI146" i="6"/>
  <c r="BE146" i="6"/>
  <c r="BA146" i="6"/>
  <c r="AW146" i="6"/>
  <c r="BB146" i="6" s="1"/>
  <c r="AU146" i="6"/>
  <c r="AR146" i="6"/>
  <c r="AP146" i="6"/>
  <c r="J146" i="6"/>
  <c r="H146" i="6"/>
  <c r="CJ146" i="6" s="1"/>
  <c r="G146" i="6"/>
  <c r="CC146" i="6" s="1"/>
  <c r="E146" i="6"/>
  <c r="D146" i="6"/>
  <c r="CZ146" i="6" s="1"/>
  <c r="C146" i="6"/>
  <c r="A146" i="6"/>
  <c r="EJ145" i="6"/>
  <c r="EE145" i="6"/>
  <c r="EB145" i="6"/>
  <c r="EA145" i="6"/>
  <c r="DZ145" i="6"/>
  <c r="DV145" i="6"/>
  <c r="DU145" i="6"/>
  <c r="DS145" i="6"/>
  <c r="DR145" i="6"/>
  <c r="DQ145" i="6"/>
  <c r="DO145" i="6"/>
  <c r="DN145" i="6"/>
  <c r="DM145" i="6"/>
  <c r="DK145" i="6"/>
  <c r="DJ145" i="6"/>
  <c r="DI145" i="6"/>
  <c r="DG145" i="6"/>
  <c r="DC145" i="6"/>
  <c r="DA145" i="6"/>
  <c r="CW145" i="6"/>
  <c r="CV145" i="6"/>
  <c r="CU145" i="6"/>
  <c r="CT145" i="6"/>
  <c r="BX145" i="6"/>
  <c r="BN145" i="6"/>
  <c r="BL145" i="6"/>
  <c r="BI145" i="6"/>
  <c r="BE145" i="6"/>
  <c r="BA145" i="6"/>
  <c r="AW145" i="6"/>
  <c r="BB145" i="6" s="1"/>
  <c r="AU145" i="6"/>
  <c r="AR145" i="6"/>
  <c r="AP145" i="6"/>
  <c r="J145" i="6"/>
  <c r="H145" i="6"/>
  <c r="CJ145" i="6" s="1"/>
  <c r="G145" i="6"/>
  <c r="CC145" i="6" s="1"/>
  <c r="E145" i="6"/>
  <c r="D145" i="6"/>
  <c r="CZ145" i="6" s="1"/>
  <c r="C145" i="6"/>
  <c r="A145" i="6"/>
  <c r="EJ144" i="6"/>
  <c r="EE144" i="6"/>
  <c r="EB144" i="6"/>
  <c r="EA144" i="6"/>
  <c r="DZ144" i="6"/>
  <c r="DV144" i="6"/>
  <c r="DU144" i="6"/>
  <c r="DS144" i="6"/>
  <c r="DR144" i="6"/>
  <c r="DQ144" i="6"/>
  <c r="DO144" i="6"/>
  <c r="DN144" i="6"/>
  <c r="DM144" i="6"/>
  <c r="DK144" i="6"/>
  <c r="DJ144" i="6"/>
  <c r="DI144" i="6"/>
  <c r="DG144" i="6"/>
  <c r="DC144" i="6"/>
  <c r="DA144" i="6"/>
  <c r="CW144" i="6"/>
  <c r="CV144" i="6"/>
  <c r="CU144" i="6"/>
  <c r="CT144" i="6"/>
  <c r="BX144" i="6"/>
  <c r="BN144" i="6"/>
  <c r="BL144" i="6"/>
  <c r="BI144" i="6"/>
  <c r="BE144" i="6"/>
  <c r="BA144" i="6"/>
  <c r="AW144" i="6"/>
  <c r="BB144" i="6" s="1"/>
  <c r="AU144" i="6"/>
  <c r="AR144" i="6"/>
  <c r="AP144" i="6"/>
  <c r="J144" i="6"/>
  <c r="H144" i="6"/>
  <c r="CJ144" i="6" s="1"/>
  <c r="G144" i="6"/>
  <c r="CC144" i="6" s="1"/>
  <c r="E144" i="6"/>
  <c r="D144" i="6"/>
  <c r="CZ144" i="6" s="1"/>
  <c r="C144" i="6"/>
  <c r="A144" i="6"/>
  <c r="EJ143" i="6"/>
  <c r="EE143" i="6"/>
  <c r="EB143" i="6"/>
  <c r="EA143" i="6"/>
  <c r="DZ143" i="6"/>
  <c r="DV143" i="6"/>
  <c r="DU143" i="6"/>
  <c r="DS143" i="6"/>
  <c r="DR143" i="6"/>
  <c r="DQ143" i="6"/>
  <c r="DO143" i="6"/>
  <c r="DN143" i="6"/>
  <c r="DM143" i="6"/>
  <c r="DK143" i="6"/>
  <c r="DJ143" i="6"/>
  <c r="DI143" i="6"/>
  <c r="DG143" i="6"/>
  <c r="DC143" i="6"/>
  <c r="DA143" i="6"/>
  <c r="CW143" i="6"/>
  <c r="CV143" i="6"/>
  <c r="CU143" i="6"/>
  <c r="CT143" i="6"/>
  <c r="BX143" i="6"/>
  <c r="BN143" i="6"/>
  <c r="BL143" i="6"/>
  <c r="BI143" i="6"/>
  <c r="BE143" i="6"/>
  <c r="BA143" i="6"/>
  <c r="AW143" i="6"/>
  <c r="DF143" i="6" s="1"/>
  <c r="AU143" i="6"/>
  <c r="AR143" i="6"/>
  <c r="AP143" i="6"/>
  <c r="J143" i="6"/>
  <c r="H143" i="6"/>
  <c r="CJ143" i="6" s="1"/>
  <c r="G143" i="6"/>
  <c r="CC143" i="6" s="1"/>
  <c r="E143" i="6"/>
  <c r="DB143" i="6" s="1"/>
  <c r="D143" i="6"/>
  <c r="C143" i="6"/>
  <c r="A143" i="6"/>
  <c r="EJ142" i="6"/>
  <c r="EE142" i="6"/>
  <c r="EB142" i="6"/>
  <c r="EA142" i="6"/>
  <c r="DZ142" i="6"/>
  <c r="DV142" i="6"/>
  <c r="DU142" i="6"/>
  <c r="DS142" i="6"/>
  <c r="DR142" i="6"/>
  <c r="DQ142" i="6"/>
  <c r="DO142" i="6"/>
  <c r="DN142" i="6"/>
  <c r="DM142" i="6"/>
  <c r="DK142" i="6"/>
  <c r="DJ142" i="6"/>
  <c r="DI142" i="6"/>
  <c r="DG142" i="6"/>
  <c r="DC142" i="6"/>
  <c r="DA142" i="6"/>
  <c r="CW142" i="6"/>
  <c r="CV142" i="6"/>
  <c r="CU142" i="6"/>
  <c r="CT142" i="6"/>
  <c r="BX142" i="6"/>
  <c r="BN142" i="6"/>
  <c r="BL142" i="6"/>
  <c r="BI142" i="6"/>
  <c r="BE142" i="6"/>
  <c r="BA142" i="6"/>
  <c r="AW142" i="6"/>
  <c r="DF142" i="6" s="1"/>
  <c r="AU142" i="6"/>
  <c r="AR142" i="6"/>
  <c r="AP142" i="6"/>
  <c r="J142" i="6"/>
  <c r="H142" i="6"/>
  <c r="CJ142" i="6" s="1"/>
  <c r="G142" i="6"/>
  <c r="CC142" i="6" s="1"/>
  <c r="E142" i="6"/>
  <c r="DB142" i="6" s="1"/>
  <c r="D142" i="6"/>
  <c r="CY142" i="6" s="1"/>
  <c r="C142" i="6"/>
  <c r="A142" i="6"/>
  <c r="EJ141" i="6"/>
  <c r="EE141" i="6"/>
  <c r="EB141" i="6"/>
  <c r="EA141" i="6"/>
  <c r="DZ141" i="6"/>
  <c r="DV141" i="6"/>
  <c r="DU141" i="6"/>
  <c r="DS141" i="6"/>
  <c r="DR141" i="6"/>
  <c r="DQ141" i="6"/>
  <c r="DO141" i="6"/>
  <c r="DN141" i="6"/>
  <c r="DM141" i="6"/>
  <c r="DK141" i="6"/>
  <c r="DJ141" i="6"/>
  <c r="DI141" i="6"/>
  <c r="DG141" i="6"/>
  <c r="DC141" i="6"/>
  <c r="DA141" i="6"/>
  <c r="CW141" i="6"/>
  <c r="CV141" i="6"/>
  <c r="CU141" i="6"/>
  <c r="CT141" i="6"/>
  <c r="BX141" i="6"/>
  <c r="BN141" i="6"/>
  <c r="BL141" i="6"/>
  <c r="BI141" i="6"/>
  <c r="BE141" i="6"/>
  <c r="BA141" i="6"/>
  <c r="AW141" i="6"/>
  <c r="DF141" i="6" s="1"/>
  <c r="AU141" i="6"/>
  <c r="AR141" i="6"/>
  <c r="AP141" i="6"/>
  <c r="J141" i="6"/>
  <c r="H141" i="6"/>
  <c r="CJ141" i="6" s="1"/>
  <c r="G141" i="6"/>
  <c r="CC141" i="6" s="1"/>
  <c r="E141" i="6"/>
  <c r="DB141" i="6" s="1"/>
  <c r="D141" i="6"/>
  <c r="CY141" i="6" s="1"/>
  <c r="C141" i="6"/>
  <c r="A141" i="6"/>
  <c r="EJ140" i="6"/>
  <c r="EE140" i="6"/>
  <c r="EB140" i="6"/>
  <c r="EA140" i="6"/>
  <c r="DZ140" i="6"/>
  <c r="DV140" i="6"/>
  <c r="DU140" i="6"/>
  <c r="DS140" i="6"/>
  <c r="DR140" i="6"/>
  <c r="DQ140" i="6"/>
  <c r="DO140" i="6"/>
  <c r="DN140" i="6"/>
  <c r="DM140" i="6"/>
  <c r="DK140" i="6"/>
  <c r="DJ140" i="6"/>
  <c r="DI140" i="6"/>
  <c r="DG140" i="6"/>
  <c r="DC140" i="6"/>
  <c r="DA140" i="6"/>
  <c r="CW140" i="6"/>
  <c r="CV140" i="6"/>
  <c r="CU140" i="6"/>
  <c r="CT140" i="6"/>
  <c r="BX140" i="6"/>
  <c r="BN140" i="6"/>
  <c r="BL140" i="6"/>
  <c r="BI140" i="6"/>
  <c r="BE140" i="6"/>
  <c r="BA140" i="6"/>
  <c r="AW140" i="6"/>
  <c r="DF140" i="6" s="1"/>
  <c r="AU140" i="6"/>
  <c r="AR140" i="6"/>
  <c r="AP140" i="6"/>
  <c r="J140" i="6"/>
  <c r="H140" i="6"/>
  <c r="CJ140" i="6" s="1"/>
  <c r="G140" i="6"/>
  <c r="CC140" i="6" s="1"/>
  <c r="E140" i="6"/>
  <c r="DB140" i="6" s="1"/>
  <c r="D140" i="6"/>
  <c r="CY140" i="6" s="1"/>
  <c r="C140" i="6"/>
  <c r="A140" i="6"/>
  <c r="EJ139" i="6"/>
  <c r="EE139" i="6"/>
  <c r="EB139" i="6"/>
  <c r="EA139" i="6"/>
  <c r="DZ139" i="6"/>
  <c r="DV139" i="6"/>
  <c r="DU139" i="6"/>
  <c r="DS139" i="6"/>
  <c r="DR139" i="6"/>
  <c r="DQ139" i="6"/>
  <c r="DO139" i="6"/>
  <c r="DN139" i="6"/>
  <c r="DM139" i="6"/>
  <c r="DK139" i="6"/>
  <c r="DJ139" i="6"/>
  <c r="DI139" i="6"/>
  <c r="DG139" i="6"/>
  <c r="DC139" i="6"/>
  <c r="DA139" i="6"/>
  <c r="CW139" i="6"/>
  <c r="CV139" i="6"/>
  <c r="CU139" i="6"/>
  <c r="CT139" i="6"/>
  <c r="BX139" i="6"/>
  <c r="BN139" i="6"/>
  <c r="BL139" i="6"/>
  <c r="BI139" i="6"/>
  <c r="BE139" i="6"/>
  <c r="BA139" i="6"/>
  <c r="AW139" i="6"/>
  <c r="DF139" i="6" s="1"/>
  <c r="AU139" i="6"/>
  <c r="AR139" i="6"/>
  <c r="AP139" i="6"/>
  <c r="J139" i="6"/>
  <c r="H139" i="6"/>
  <c r="CJ139" i="6" s="1"/>
  <c r="G139" i="6"/>
  <c r="CC139" i="6" s="1"/>
  <c r="E139" i="6"/>
  <c r="DB139" i="6" s="1"/>
  <c r="D139" i="6"/>
  <c r="CY139" i="6" s="1"/>
  <c r="C139" i="6"/>
  <c r="A139" i="6"/>
  <c r="EJ138" i="6"/>
  <c r="EE138" i="6"/>
  <c r="EB138" i="6"/>
  <c r="EA138" i="6"/>
  <c r="DZ138" i="6"/>
  <c r="DV138" i="6"/>
  <c r="DU138" i="6"/>
  <c r="DS138" i="6"/>
  <c r="DR138" i="6"/>
  <c r="DQ138" i="6"/>
  <c r="DO138" i="6"/>
  <c r="DN138" i="6"/>
  <c r="DM138" i="6"/>
  <c r="DK138" i="6"/>
  <c r="DJ138" i="6"/>
  <c r="DI138" i="6"/>
  <c r="DG138" i="6"/>
  <c r="DC138" i="6"/>
  <c r="DA138" i="6"/>
  <c r="CW138" i="6"/>
  <c r="CV138" i="6"/>
  <c r="CU138" i="6"/>
  <c r="CT138" i="6"/>
  <c r="BX138" i="6"/>
  <c r="BN138" i="6"/>
  <c r="BL138" i="6"/>
  <c r="BI138" i="6"/>
  <c r="BE138" i="6"/>
  <c r="BA138" i="6"/>
  <c r="AW138" i="6"/>
  <c r="DF138" i="6" s="1"/>
  <c r="AU138" i="6"/>
  <c r="AR138" i="6"/>
  <c r="AP138" i="6"/>
  <c r="J138" i="6"/>
  <c r="H138" i="6"/>
  <c r="CJ138" i="6" s="1"/>
  <c r="G138" i="6"/>
  <c r="CC138" i="6" s="1"/>
  <c r="E138" i="6"/>
  <c r="DB138" i="6" s="1"/>
  <c r="D138" i="6"/>
  <c r="CY138" i="6" s="1"/>
  <c r="C138" i="6"/>
  <c r="A138" i="6"/>
  <c r="EJ137" i="6"/>
  <c r="EE137" i="6"/>
  <c r="EB137" i="6"/>
  <c r="EA137" i="6"/>
  <c r="DZ137" i="6"/>
  <c r="DV137" i="6"/>
  <c r="DU137" i="6"/>
  <c r="DS137" i="6"/>
  <c r="DR137" i="6"/>
  <c r="DQ137" i="6"/>
  <c r="DO137" i="6"/>
  <c r="DN137" i="6"/>
  <c r="DM137" i="6"/>
  <c r="DK137" i="6"/>
  <c r="DJ137" i="6"/>
  <c r="DI137" i="6"/>
  <c r="DG137" i="6"/>
  <c r="DC137" i="6"/>
  <c r="DA137" i="6"/>
  <c r="CW137" i="6"/>
  <c r="CV137" i="6"/>
  <c r="CU137" i="6"/>
  <c r="CT137" i="6"/>
  <c r="BX137" i="6"/>
  <c r="BN137" i="6"/>
  <c r="BL137" i="6"/>
  <c r="BI137" i="6"/>
  <c r="BE137" i="6"/>
  <c r="BA137" i="6"/>
  <c r="AW137" i="6"/>
  <c r="DF137" i="6" s="1"/>
  <c r="AU137" i="6"/>
  <c r="AR137" i="6"/>
  <c r="AP137" i="6"/>
  <c r="J137" i="6"/>
  <c r="H137" i="6"/>
  <c r="CJ137" i="6" s="1"/>
  <c r="G137" i="6"/>
  <c r="CC137" i="6" s="1"/>
  <c r="E137" i="6"/>
  <c r="DB137" i="6" s="1"/>
  <c r="D137" i="6"/>
  <c r="CY137" i="6" s="1"/>
  <c r="C137" i="6"/>
  <c r="A137" i="6"/>
  <c r="EJ136" i="6"/>
  <c r="EE136" i="6"/>
  <c r="EB136" i="6"/>
  <c r="EA136" i="6"/>
  <c r="DZ136" i="6"/>
  <c r="DV136" i="6"/>
  <c r="DU136" i="6"/>
  <c r="DS136" i="6"/>
  <c r="DR136" i="6"/>
  <c r="DQ136" i="6"/>
  <c r="DO136" i="6"/>
  <c r="DN136" i="6"/>
  <c r="DM136" i="6"/>
  <c r="DK136" i="6"/>
  <c r="DJ136" i="6"/>
  <c r="DI136" i="6"/>
  <c r="DG136" i="6"/>
  <c r="DC136" i="6"/>
  <c r="DA136" i="6"/>
  <c r="CW136" i="6"/>
  <c r="CV136" i="6"/>
  <c r="CU136" i="6"/>
  <c r="CT136" i="6"/>
  <c r="BX136" i="6"/>
  <c r="BN136" i="6"/>
  <c r="BL136" i="6"/>
  <c r="BI136" i="6"/>
  <c r="BE136" i="6"/>
  <c r="BA136" i="6"/>
  <c r="AW136" i="6"/>
  <c r="AU136" i="6"/>
  <c r="AR136" i="6"/>
  <c r="AP136" i="6"/>
  <c r="J136" i="6"/>
  <c r="H136" i="6"/>
  <c r="CJ136" i="6" s="1"/>
  <c r="G136" i="6"/>
  <c r="CC136" i="6" s="1"/>
  <c r="E136" i="6"/>
  <c r="DB136" i="6" s="1"/>
  <c r="D136" i="6"/>
  <c r="CY136" i="6" s="1"/>
  <c r="C136" i="6"/>
  <c r="A136" i="6"/>
  <c r="EJ135" i="6"/>
  <c r="EE135" i="6"/>
  <c r="EB135" i="6"/>
  <c r="EA135" i="6"/>
  <c r="DZ135" i="6"/>
  <c r="DV135" i="6"/>
  <c r="DU135" i="6"/>
  <c r="DS135" i="6"/>
  <c r="DR135" i="6"/>
  <c r="DQ135" i="6"/>
  <c r="DO135" i="6"/>
  <c r="DN135" i="6"/>
  <c r="DM135" i="6"/>
  <c r="DK135" i="6"/>
  <c r="DJ135" i="6"/>
  <c r="DI135" i="6"/>
  <c r="DG135" i="6"/>
  <c r="DC135" i="6"/>
  <c r="DA135" i="6"/>
  <c r="CW135" i="6"/>
  <c r="CV135" i="6"/>
  <c r="CU135" i="6"/>
  <c r="CT135" i="6"/>
  <c r="BX135" i="6"/>
  <c r="BN135" i="6"/>
  <c r="BL135" i="6"/>
  <c r="BI135" i="6"/>
  <c r="BE135" i="6"/>
  <c r="BA135" i="6"/>
  <c r="AW135" i="6"/>
  <c r="AU135" i="6"/>
  <c r="AR135" i="6"/>
  <c r="AP135" i="6"/>
  <c r="J135" i="6"/>
  <c r="H135" i="6"/>
  <c r="CJ135" i="6" s="1"/>
  <c r="G135" i="6"/>
  <c r="CC135" i="6" s="1"/>
  <c r="E135" i="6"/>
  <c r="DB135" i="6" s="1"/>
  <c r="D135" i="6"/>
  <c r="CZ135" i="6" s="1"/>
  <c r="C135" i="6"/>
  <c r="A135" i="6"/>
  <c r="EJ134" i="6"/>
  <c r="EE134" i="6"/>
  <c r="EB134" i="6"/>
  <c r="EA134" i="6"/>
  <c r="DZ134" i="6"/>
  <c r="DV134" i="6"/>
  <c r="DU134" i="6"/>
  <c r="DS134" i="6"/>
  <c r="DR134" i="6"/>
  <c r="DQ134" i="6"/>
  <c r="DO134" i="6"/>
  <c r="DN134" i="6"/>
  <c r="DM134" i="6"/>
  <c r="DK134" i="6"/>
  <c r="DJ134" i="6"/>
  <c r="DI134" i="6"/>
  <c r="DG134" i="6"/>
  <c r="DC134" i="6"/>
  <c r="DA134" i="6"/>
  <c r="CW134" i="6"/>
  <c r="CV134" i="6"/>
  <c r="CU134" i="6"/>
  <c r="CT134" i="6"/>
  <c r="BX134" i="6"/>
  <c r="BN134" i="6"/>
  <c r="BL134" i="6"/>
  <c r="BI134" i="6"/>
  <c r="BE134" i="6"/>
  <c r="BA134" i="6"/>
  <c r="AW134" i="6"/>
  <c r="AU134" i="6"/>
  <c r="AR134" i="6"/>
  <c r="AP134" i="6"/>
  <c r="J134" i="6"/>
  <c r="H134" i="6"/>
  <c r="CJ134" i="6" s="1"/>
  <c r="G134" i="6"/>
  <c r="I134" i="6" s="1"/>
  <c r="E134" i="6"/>
  <c r="DB134" i="6" s="1"/>
  <c r="D134" i="6"/>
  <c r="CZ134" i="6" s="1"/>
  <c r="C134" i="6"/>
  <c r="A134" i="6"/>
  <c r="EJ133" i="6"/>
  <c r="EE133" i="6"/>
  <c r="EB133" i="6"/>
  <c r="EA133" i="6"/>
  <c r="DZ133" i="6"/>
  <c r="DV133" i="6"/>
  <c r="DU133" i="6"/>
  <c r="DS133" i="6"/>
  <c r="DR133" i="6"/>
  <c r="DQ133" i="6"/>
  <c r="DO133" i="6"/>
  <c r="DN133" i="6"/>
  <c r="DM133" i="6"/>
  <c r="DK133" i="6"/>
  <c r="DJ133" i="6"/>
  <c r="DI133" i="6"/>
  <c r="DG133" i="6"/>
  <c r="DC133" i="6"/>
  <c r="DA133" i="6"/>
  <c r="CW133" i="6"/>
  <c r="CV133" i="6"/>
  <c r="CU133" i="6"/>
  <c r="CT133" i="6"/>
  <c r="BX133" i="6"/>
  <c r="BN133" i="6"/>
  <c r="BL133" i="6"/>
  <c r="BI133" i="6"/>
  <c r="BE133" i="6"/>
  <c r="BA133" i="6"/>
  <c r="AW133" i="6"/>
  <c r="AX133" i="6" s="1"/>
  <c r="AU133" i="6"/>
  <c r="AR133" i="6"/>
  <c r="AP133" i="6"/>
  <c r="J133" i="6"/>
  <c r="H133" i="6"/>
  <c r="CJ133" i="6" s="1"/>
  <c r="G133" i="6"/>
  <c r="I133" i="6" s="1"/>
  <c r="E133" i="6"/>
  <c r="DB133" i="6" s="1"/>
  <c r="D133" i="6"/>
  <c r="CZ133" i="6" s="1"/>
  <c r="C133" i="6"/>
  <c r="A133" i="6"/>
  <c r="EJ132" i="6"/>
  <c r="EE132" i="6"/>
  <c r="EB132" i="6"/>
  <c r="EA132" i="6"/>
  <c r="DZ132" i="6"/>
  <c r="DV132" i="6"/>
  <c r="DU132" i="6"/>
  <c r="DS132" i="6"/>
  <c r="DR132" i="6"/>
  <c r="DQ132" i="6"/>
  <c r="DO132" i="6"/>
  <c r="DN132" i="6"/>
  <c r="DM132" i="6"/>
  <c r="DK132" i="6"/>
  <c r="DJ132" i="6"/>
  <c r="DI132" i="6"/>
  <c r="DG132" i="6"/>
  <c r="DC132" i="6"/>
  <c r="DA132" i="6"/>
  <c r="CW132" i="6"/>
  <c r="CV132" i="6"/>
  <c r="CU132" i="6"/>
  <c r="CT132" i="6"/>
  <c r="BX132" i="6"/>
  <c r="BN132" i="6"/>
  <c r="BL132" i="6"/>
  <c r="BI132" i="6"/>
  <c r="BE132" i="6"/>
  <c r="BA132" i="6"/>
  <c r="AW132" i="6"/>
  <c r="AU132" i="6"/>
  <c r="AR132" i="6"/>
  <c r="AP132" i="6"/>
  <c r="J132" i="6"/>
  <c r="H132" i="6"/>
  <c r="CJ132" i="6" s="1"/>
  <c r="G132" i="6"/>
  <c r="I132" i="6" s="1"/>
  <c r="E132" i="6"/>
  <c r="DB132" i="6" s="1"/>
  <c r="D132" i="6"/>
  <c r="CZ132" i="6" s="1"/>
  <c r="C132" i="6"/>
  <c r="A132" i="6"/>
  <c r="EJ131" i="6"/>
  <c r="EE131" i="6"/>
  <c r="EB131" i="6"/>
  <c r="EA131" i="6"/>
  <c r="DZ131" i="6"/>
  <c r="DV131" i="6"/>
  <c r="DU131" i="6"/>
  <c r="DS131" i="6"/>
  <c r="DR131" i="6"/>
  <c r="DQ131" i="6"/>
  <c r="DO131" i="6"/>
  <c r="DN131" i="6"/>
  <c r="DM131" i="6"/>
  <c r="DK131" i="6"/>
  <c r="DJ131" i="6"/>
  <c r="DI131" i="6"/>
  <c r="DG131" i="6"/>
  <c r="DC131" i="6"/>
  <c r="DA131" i="6"/>
  <c r="CW131" i="6"/>
  <c r="CV131" i="6"/>
  <c r="CU131" i="6"/>
  <c r="CT131" i="6"/>
  <c r="BX131" i="6"/>
  <c r="BN131" i="6"/>
  <c r="BL131" i="6"/>
  <c r="BI131" i="6"/>
  <c r="BE131" i="6"/>
  <c r="BA131" i="6"/>
  <c r="AW131" i="6"/>
  <c r="AU131" i="6"/>
  <c r="AR131" i="6"/>
  <c r="AP131" i="6"/>
  <c r="J131" i="6"/>
  <c r="H131" i="6"/>
  <c r="CJ131" i="6" s="1"/>
  <c r="G131" i="6"/>
  <c r="I131" i="6" s="1"/>
  <c r="E131" i="6"/>
  <c r="DB131" i="6" s="1"/>
  <c r="D131" i="6"/>
  <c r="CZ131" i="6" s="1"/>
  <c r="C131" i="6"/>
  <c r="A131" i="6"/>
  <c r="EJ130" i="6"/>
  <c r="EE130" i="6"/>
  <c r="EB130" i="6"/>
  <c r="EA130" i="6"/>
  <c r="DZ130" i="6"/>
  <c r="DV130" i="6"/>
  <c r="DU130" i="6"/>
  <c r="DS130" i="6"/>
  <c r="DR130" i="6"/>
  <c r="DQ130" i="6"/>
  <c r="DO130" i="6"/>
  <c r="DN130" i="6"/>
  <c r="DM130" i="6"/>
  <c r="DK130" i="6"/>
  <c r="DJ130" i="6"/>
  <c r="DI130" i="6"/>
  <c r="DG130" i="6"/>
  <c r="DC130" i="6"/>
  <c r="DA130" i="6"/>
  <c r="CW130" i="6"/>
  <c r="CV130" i="6"/>
  <c r="CU130" i="6"/>
  <c r="CT130" i="6"/>
  <c r="BX130" i="6"/>
  <c r="BN130" i="6"/>
  <c r="BL130" i="6"/>
  <c r="BI130" i="6"/>
  <c r="BE130" i="6"/>
  <c r="BA130" i="6"/>
  <c r="AW130" i="6"/>
  <c r="AX130" i="6" s="1"/>
  <c r="AU130" i="6"/>
  <c r="AR130" i="6"/>
  <c r="AP130" i="6"/>
  <c r="J130" i="6"/>
  <c r="H130" i="6"/>
  <c r="CJ130" i="6" s="1"/>
  <c r="G130" i="6"/>
  <c r="I130" i="6" s="1"/>
  <c r="E130" i="6"/>
  <c r="DB130" i="6" s="1"/>
  <c r="D130" i="6"/>
  <c r="CZ130" i="6" s="1"/>
  <c r="C130" i="6"/>
  <c r="A130" i="6"/>
  <c r="EJ129" i="6"/>
  <c r="EE129" i="6"/>
  <c r="EB129" i="6"/>
  <c r="EA129" i="6"/>
  <c r="DZ129" i="6"/>
  <c r="DV129" i="6"/>
  <c r="DU129" i="6"/>
  <c r="DS129" i="6"/>
  <c r="DR129" i="6"/>
  <c r="DQ129" i="6"/>
  <c r="DO129" i="6"/>
  <c r="DN129" i="6"/>
  <c r="DM129" i="6"/>
  <c r="DK129" i="6"/>
  <c r="DJ129" i="6"/>
  <c r="DI129" i="6"/>
  <c r="DG129" i="6"/>
  <c r="DC129" i="6"/>
  <c r="DA129" i="6"/>
  <c r="CW129" i="6"/>
  <c r="CV129" i="6"/>
  <c r="CU129" i="6"/>
  <c r="CT129" i="6"/>
  <c r="BX129" i="6"/>
  <c r="BN129" i="6"/>
  <c r="BL129" i="6"/>
  <c r="BI129" i="6"/>
  <c r="BE129" i="6"/>
  <c r="BA129" i="6"/>
  <c r="AW129" i="6"/>
  <c r="AX129" i="6" s="1"/>
  <c r="AU129" i="6"/>
  <c r="AR129" i="6"/>
  <c r="AP129" i="6"/>
  <c r="J129" i="6"/>
  <c r="H129" i="6"/>
  <c r="CJ129" i="6" s="1"/>
  <c r="G129" i="6"/>
  <c r="I129" i="6" s="1"/>
  <c r="E129" i="6"/>
  <c r="DB129" i="6" s="1"/>
  <c r="D129" i="6"/>
  <c r="CY129" i="6" s="1"/>
  <c r="C129" i="6"/>
  <c r="A129" i="6"/>
  <c r="EJ128" i="6"/>
  <c r="EE128" i="6"/>
  <c r="EB128" i="6"/>
  <c r="EA128" i="6"/>
  <c r="DZ128" i="6"/>
  <c r="DV128" i="6"/>
  <c r="DU128" i="6"/>
  <c r="DS128" i="6"/>
  <c r="DR128" i="6"/>
  <c r="DQ128" i="6"/>
  <c r="DO128" i="6"/>
  <c r="DN128" i="6"/>
  <c r="DM128" i="6"/>
  <c r="DK128" i="6"/>
  <c r="DJ128" i="6"/>
  <c r="DI128" i="6"/>
  <c r="DG128" i="6"/>
  <c r="DC128" i="6"/>
  <c r="DA128" i="6"/>
  <c r="CW128" i="6"/>
  <c r="CV128" i="6"/>
  <c r="CU128" i="6"/>
  <c r="CT128" i="6"/>
  <c r="BX128" i="6"/>
  <c r="BN128" i="6"/>
  <c r="BL128" i="6"/>
  <c r="BI128" i="6"/>
  <c r="BE128" i="6"/>
  <c r="BA128" i="6"/>
  <c r="AW128" i="6"/>
  <c r="AU128" i="6"/>
  <c r="AR128" i="6"/>
  <c r="AP128" i="6"/>
  <c r="J128" i="6"/>
  <c r="H128" i="6"/>
  <c r="CJ128" i="6" s="1"/>
  <c r="G128" i="6"/>
  <c r="I128" i="6" s="1"/>
  <c r="E128" i="6"/>
  <c r="DB128" i="6" s="1"/>
  <c r="D128" i="6"/>
  <c r="CZ128" i="6" s="1"/>
  <c r="C128" i="6"/>
  <c r="A128" i="6"/>
  <c r="EJ127" i="6"/>
  <c r="EE127" i="6"/>
  <c r="EB127" i="6"/>
  <c r="EA127" i="6"/>
  <c r="DZ127" i="6"/>
  <c r="DV127" i="6"/>
  <c r="DU127" i="6"/>
  <c r="DS127" i="6"/>
  <c r="DR127" i="6"/>
  <c r="DQ127" i="6"/>
  <c r="DO127" i="6"/>
  <c r="DN127" i="6"/>
  <c r="DM127" i="6"/>
  <c r="DK127" i="6"/>
  <c r="DJ127" i="6"/>
  <c r="DI127" i="6"/>
  <c r="DG127" i="6"/>
  <c r="DC127" i="6"/>
  <c r="DA127" i="6"/>
  <c r="CW127" i="6"/>
  <c r="CV127" i="6"/>
  <c r="CU127" i="6"/>
  <c r="CT127" i="6"/>
  <c r="BX127" i="6"/>
  <c r="BN127" i="6"/>
  <c r="BL127" i="6"/>
  <c r="BI127" i="6"/>
  <c r="BE127" i="6"/>
  <c r="BA127" i="6"/>
  <c r="AW127" i="6"/>
  <c r="AX127" i="6" s="1"/>
  <c r="AU127" i="6"/>
  <c r="AR127" i="6"/>
  <c r="AP127" i="6"/>
  <c r="J127" i="6"/>
  <c r="H127" i="6"/>
  <c r="CJ127" i="6" s="1"/>
  <c r="G127" i="6"/>
  <c r="I127" i="6" s="1"/>
  <c r="E127" i="6"/>
  <c r="DB127" i="6" s="1"/>
  <c r="D127" i="6"/>
  <c r="CY127" i="6" s="1"/>
  <c r="C127" i="6"/>
  <c r="A127" i="6"/>
  <c r="EJ126" i="6"/>
  <c r="EE126" i="6"/>
  <c r="EB126" i="6"/>
  <c r="EA126" i="6"/>
  <c r="DZ126" i="6"/>
  <c r="DV126" i="6"/>
  <c r="DU126" i="6"/>
  <c r="DS126" i="6"/>
  <c r="DR126" i="6"/>
  <c r="DQ126" i="6"/>
  <c r="DO126" i="6"/>
  <c r="DN126" i="6"/>
  <c r="DM126" i="6"/>
  <c r="DK126" i="6"/>
  <c r="DJ126" i="6"/>
  <c r="DI126" i="6"/>
  <c r="DG126" i="6"/>
  <c r="DC126" i="6"/>
  <c r="DA126" i="6"/>
  <c r="CW126" i="6"/>
  <c r="CV126" i="6"/>
  <c r="CU126" i="6"/>
  <c r="CT126" i="6"/>
  <c r="BX126" i="6"/>
  <c r="BN126" i="6"/>
  <c r="BL126" i="6"/>
  <c r="BI126" i="6"/>
  <c r="BE126" i="6"/>
  <c r="BA126" i="6"/>
  <c r="AW126" i="6"/>
  <c r="DF126" i="6" s="1"/>
  <c r="AU126" i="6"/>
  <c r="AR126" i="6"/>
  <c r="AP126" i="6"/>
  <c r="J126" i="6"/>
  <c r="H126" i="6"/>
  <c r="CJ126" i="6" s="1"/>
  <c r="G126" i="6"/>
  <c r="I126" i="6" s="1"/>
  <c r="E126" i="6"/>
  <c r="DB126" i="6" s="1"/>
  <c r="D126" i="6"/>
  <c r="CZ126" i="6" s="1"/>
  <c r="C126" i="6"/>
  <c r="A126" i="6"/>
  <c r="EJ125" i="6"/>
  <c r="EE125" i="6"/>
  <c r="EB125" i="6"/>
  <c r="EA125" i="6"/>
  <c r="DZ125" i="6"/>
  <c r="DV125" i="6"/>
  <c r="DU125" i="6"/>
  <c r="DS125" i="6"/>
  <c r="DR125" i="6"/>
  <c r="DQ125" i="6"/>
  <c r="DO125" i="6"/>
  <c r="DN125" i="6"/>
  <c r="DM125" i="6"/>
  <c r="DK125" i="6"/>
  <c r="DJ125" i="6"/>
  <c r="DI125" i="6"/>
  <c r="DG125" i="6"/>
  <c r="DC125" i="6"/>
  <c r="DA125" i="6"/>
  <c r="CW125" i="6"/>
  <c r="CV125" i="6"/>
  <c r="CU125" i="6"/>
  <c r="CT125" i="6"/>
  <c r="BX125" i="6"/>
  <c r="BN125" i="6"/>
  <c r="BL125" i="6"/>
  <c r="BI125" i="6"/>
  <c r="BE125" i="6"/>
  <c r="BA125" i="6"/>
  <c r="AW125" i="6"/>
  <c r="DF125" i="6" s="1"/>
  <c r="AU125" i="6"/>
  <c r="AR125" i="6"/>
  <c r="AP125" i="6"/>
  <c r="J125" i="6"/>
  <c r="H125" i="6"/>
  <c r="CJ125" i="6" s="1"/>
  <c r="G125" i="6"/>
  <c r="I125" i="6" s="1"/>
  <c r="E125" i="6"/>
  <c r="DB125" i="6" s="1"/>
  <c r="D125" i="6"/>
  <c r="CZ125" i="6" s="1"/>
  <c r="C125" i="6"/>
  <c r="A125" i="6"/>
  <c r="EJ124" i="6"/>
  <c r="EE124" i="6"/>
  <c r="EB124" i="6"/>
  <c r="EA124" i="6"/>
  <c r="DZ124" i="6"/>
  <c r="DV124" i="6"/>
  <c r="DU124" i="6"/>
  <c r="DS124" i="6"/>
  <c r="DR124" i="6"/>
  <c r="DQ124" i="6"/>
  <c r="DO124" i="6"/>
  <c r="DN124" i="6"/>
  <c r="DM124" i="6"/>
  <c r="DK124" i="6"/>
  <c r="DJ124" i="6"/>
  <c r="DI124" i="6"/>
  <c r="DG124" i="6"/>
  <c r="DC124" i="6"/>
  <c r="DA124" i="6"/>
  <c r="CW124" i="6"/>
  <c r="CV124" i="6"/>
  <c r="CU124" i="6"/>
  <c r="CT124" i="6"/>
  <c r="BX124" i="6"/>
  <c r="BN124" i="6"/>
  <c r="BL124" i="6"/>
  <c r="BI124" i="6"/>
  <c r="BE124" i="6"/>
  <c r="BA124" i="6"/>
  <c r="AW124" i="6"/>
  <c r="DF124" i="6" s="1"/>
  <c r="AU124" i="6"/>
  <c r="AR124" i="6"/>
  <c r="AP124" i="6"/>
  <c r="J124" i="6"/>
  <c r="H124" i="6"/>
  <c r="CJ124" i="6" s="1"/>
  <c r="G124" i="6"/>
  <c r="CC124" i="6" s="1"/>
  <c r="E124" i="6"/>
  <c r="D124" i="6"/>
  <c r="CY124" i="6" s="1"/>
  <c r="C124" i="6"/>
  <c r="A124" i="6"/>
  <c r="EJ123" i="6"/>
  <c r="EE123" i="6"/>
  <c r="EB123" i="6"/>
  <c r="EA123" i="6"/>
  <c r="DZ123" i="6"/>
  <c r="DV123" i="6"/>
  <c r="DU123" i="6"/>
  <c r="DS123" i="6"/>
  <c r="DR123" i="6"/>
  <c r="DQ123" i="6"/>
  <c r="DO123" i="6"/>
  <c r="DN123" i="6"/>
  <c r="DM123" i="6"/>
  <c r="DK123" i="6"/>
  <c r="DJ123" i="6"/>
  <c r="DI123" i="6"/>
  <c r="DG123" i="6"/>
  <c r="DC123" i="6"/>
  <c r="DA123" i="6"/>
  <c r="CW123" i="6"/>
  <c r="CV123" i="6"/>
  <c r="CU123" i="6"/>
  <c r="CT123" i="6"/>
  <c r="BX123" i="6"/>
  <c r="BN123" i="6"/>
  <c r="BL123" i="6"/>
  <c r="BI123" i="6"/>
  <c r="BE123" i="6"/>
  <c r="BA123" i="6"/>
  <c r="AW123" i="6"/>
  <c r="BB123" i="6" s="1"/>
  <c r="AU123" i="6"/>
  <c r="AR123" i="6"/>
  <c r="AP123" i="6"/>
  <c r="J123" i="6"/>
  <c r="H123" i="6"/>
  <c r="CI123" i="6" s="1"/>
  <c r="G123" i="6"/>
  <c r="CC123" i="6" s="1"/>
  <c r="E123" i="6"/>
  <c r="D123" i="6"/>
  <c r="CZ123" i="6" s="1"/>
  <c r="C123" i="6"/>
  <c r="A123" i="6"/>
  <c r="EJ122" i="6"/>
  <c r="EE122" i="6"/>
  <c r="EB122" i="6"/>
  <c r="EA122" i="6"/>
  <c r="DZ122" i="6"/>
  <c r="DV122" i="6"/>
  <c r="DU122" i="6"/>
  <c r="DS122" i="6"/>
  <c r="DR122" i="6"/>
  <c r="DQ122" i="6"/>
  <c r="DO122" i="6"/>
  <c r="DN122" i="6"/>
  <c r="DM122" i="6"/>
  <c r="DK122" i="6"/>
  <c r="DJ122" i="6"/>
  <c r="DI122" i="6"/>
  <c r="DG122" i="6"/>
  <c r="DC122" i="6"/>
  <c r="DA122" i="6"/>
  <c r="CW122" i="6"/>
  <c r="CV122" i="6"/>
  <c r="CU122" i="6"/>
  <c r="CT122" i="6"/>
  <c r="BX122" i="6"/>
  <c r="BN122" i="6"/>
  <c r="BL122" i="6"/>
  <c r="BI122" i="6"/>
  <c r="BE122" i="6"/>
  <c r="BA122" i="6"/>
  <c r="AW122" i="6"/>
  <c r="BB122" i="6" s="1"/>
  <c r="AU122" i="6"/>
  <c r="AR122" i="6"/>
  <c r="AP122" i="6"/>
  <c r="J122" i="6"/>
  <c r="H122" i="6"/>
  <c r="CI122" i="6" s="1"/>
  <c r="G122" i="6"/>
  <c r="CC122" i="6" s="1"/>
  <c r="E122" i="6"/>
  <c r="D122" i="6"/>
  <c r="CZ122" i="6" s="1"/>
  <c r="C122" i="6"/>
  <c r="A122" i="6"/>
  <c r="EJ121" i="6"/>
  <c r="EE121" i="6"/>
  <c r="EB121" i="6"/>
  <c r="EA121" i="6"/>
  <c r="DZ121" i="6"/>
  <c r="DV121" i="6"/>
  <c r="DU121" i="6"/>
  <c r="DS121" i="6"/>
  <c r="DR121" i="6"/>
  <c r="DQ121" i="6"/>
  <c r="DO121" i="6"/>
  <c r="DN121" i="6"/>
  <c r="DM121" i="6"/>
  <c r="DK121" i="6"/>
  <c r="DJ121" i="6"/>
  <c r="DI121" i="6"/>
  <c r="DG121" i="6"/>
  <c r="DC121" i="6"/>
  <c r="DA121" i="6"/>
  <c r="CW121" i="6"/>
  <c r="CV121" i="6"/>
  <c r="CU121" i="6"/>
  <c r="CT121" i="6"/>
  <c r="BX121" i="6"/>
  <c r="BN121" i="6"/>
  <c r="BL121" i="6"/>
  <c r="BI121" i="6"/>
  <c r="BE121" i="6"/>
  <c r="BA121" i="6"/>
  <c r="AW121" i="6"/>
  <c r="BB121" i="6" s="1"/>
  <c r="AU121" i="6"/>
  <c r="AR121" i="6"/>
  <c r="AP121" i="6"/>
  <c r="J121" i="6"/>
  <c r="H121" i="6"/>
  <c r="CI121" i="6" s="1"/>
  <c r="G121" i="6"/>
  <c r="CC121" i="6" s="1"/>
  <c r="E121" i="6"/>
  <c r="D121" i="6"/>
  <c r="CZ121" i="6" s="1"/>
  <c r="C121" i="6"/>
  <c r="A121" i="6"/>
  <c r="EJ120" i="6"/>
  <c r="EE120" i="6"/>
  <c r="EB120" i="6"/>
  <c r="EA120" i="6"/>
  <c r="DZ120" i="6"/>
  <c r="DV120" i="6"/>
  <c r="DU120" i="6"/>
  <c r="DS120" i="6"/>
  <c r="DR120" i="6"/>
  <c r="DQ120" i="6"/>
  <c r="DO120" i="6"/>
  <c r="DN120" i="6"/>
  <c r="DM120" i="6"/>
  <c r="DK120" i="6"/>
  <c r="DJ120" i="6"/>
  <c r="DI120" i="6"/>
  <c r="DG120" i="6"/>
  <c r="DC120" i="6"/>
  <c r="DA120" i="6"/>
  <c r="CW120" i="6"/>
  <c r="CV120" i="6"/>
  <c r="CU120" i="6"/>
  <c r="CT120" i="6"/>
  <c r="BX120" i="6"/>
  <c r="BN120" i="6"/>
  <c r="BL120" i="6"/>
  <c r="BI120" i="6"/>
  <c r="BE120" i="6"/>
  <c r="BA120" i="6"/>
  <c r="AW120" i="6"/>
  <c r="DF120" i="6" s="1"/>
  <c r="AU120" i="6"/>
  <c r="AR120" i="6"/>
  <c r="AP120" i="6"/>
  <c r="J120" i="6"/>
  <c r="H120" i="6"/>
  <c r="CI120" i="6" s="1"/>
  <c r="G120" i="6"/>
  <c r="CC120" i="6" s="1"/>
  <c r="E120" i="6"/>
  <c r="D120" i="6"/>
  <c r="CZ120" i="6" s="1"/>
  <c r="C120" i="6"/>
  <c r="A120" i="6"/>
  <c r="EJ119" i="6"/>
  <c r="EE119" i="6"/>
  <c r="EB119" i="6"/>
  <c r="EA119" i="6"/>
  <c r="DZ119" i="6"/>
  <c r="DV119" i="6"/>
  <c r="DU119" i="6"/>
  <c r="DS119" i="6"/>
  <c r="DR119" i="6"/>
  <c r="DQ119" i="6"/>
  <c r="DO119" i="6"/>
  <c r="DN119" i="6"/>
  <c r="DM119" i="6"/>
  <c r="DK119" i="6"/>
  <c r="DJ119" i="6"/>
  <c r="DI119" i="6"/>
  <c r="DG119" i="6"/>
  <c r="DC119" i="6"/>
  <c r="DA119" i="6"/>
  <c r="CW119" i="6"/>
  <c r="CV119" i="6"/>
  <c r="CU119" i="6"/>
  <c r="CT119" i="6"/>
  <c r="BX119" i="6"/>
  <c r="BN119" i="6"/>
  <c r="BL119" i="6"/>
  <c r="BI119" i="6"/>
  <c r="BE119" i="6"/>
  <c r="BA119" i="6"/>
  <c r="AW119" i="6"/>
  <c r="DF119" i="6" s="1"/>
  <c r="AU119" i="6"/>
  <c r="AR119" i="6"/>
  <c r="AP119" i="6"/>
  <c r="J119" i="6"/>
  <c r="H119" i="6"/>
  <c r="CI119" i="6" s="1"/>
  <c r="G119" i="6"/>
  <c r="CC119" i="6" s="1"/>
  <c r="E119" i="6"/>
  <c r="D119" i="6"/>
  <c r="CZ119" i="6" s="1"/>
  <c r="C119" i="6"/>
  <c r="A119" i="6"/>
  <c r="EJ118" i="6"/>
  <c r="EE118" i="6"/>
  <c r="EB118" i="6"/>
  <c r="EA118" i="6"/>
  <c r="DZ118" i="6"/>
  <c r="DV118" i="6"/>
  <c r="DU118" i="6"/>
  <c r="DS118" i="6"/>
  <c r="DR118" i="6"/>
  <c r="DQ118" i="6"/>
  <c r="DO118" i="6"/>
  <c r="DN118" i="6"/>
  <c r="DM118" i="6"/>
  <c r="DK118" i="6"/>
  <c r="DJ118" i="6"/>
  <c r="DI118" i="6"/>
  <c r="DG118" i="6"/>
  <c r="DC118" i="6"/>
  <c r="DA118" i="6"/>
  <c r="CW118" i="6"/>
  <c r="CV118" i="6"/>
  <c r="CU118" i="6"/>
  <c r="CT118" i="6"/>
  <c r="BX118" i="6"/>
  <c r="BN118" i="6"/>
  <c r="BL118" i="6"/>
  <c r="BI118" i="6"/>
  <c r="BE118" i="6"/>
  <c r="BA118" i="6"/>
  <c r="AW118" i="6"/>
  <c r="DF118" i="6" s="1"/>
  <c r="AU118" i="6"/>
  <c r="AR118" i="6"/>
  <c r="AP118" i="6"/>
  <c r="J118" i="6"/>
  <c r="H118" i="6"/>
  <c r="CI118" i="6" s="1"/>
  <c r="G118" i="6"/>
  <c r="CC118" i="6" s="1"/>
  <c r="E118" i="6"/>
  <c r="D118" i="6"/>
  <c r="CZ118" i="6" s="1"/>
  <c r="C118" i="6"/>
  <c r="A118" i="6"/>
  <c r="EJ117" i="6"/>
  <c r="EE117" i="6"/>
  <c r="EB117" i="6"/>
  <c r="EA117" i="6"/>
  <c r="DZ117" i="6"/>
  <c r="DV117" i="6"/>
  <c r="DU117" i="6"/>
  <c r="DS117" i="6"/>
  <c r="DR117" i="6"/>
  <c r="DQ117" i="6"/>
  <c r="DO117" i="6"/>
  <c r="DN117" i="6"/>
  <c r="DM117" i="6"/>
  <c r="DK117" i="6"/>
  <c r="DJ117" i="6"/>
  <c r="DI117" i="6"/>
  <c r="DG117" i="6"/>
  <c r="DC117" i="6"/>
  <c r="DA117" i="6"/>
  <c r="CW117" i="6"/>
  <c r="CV117" i="6"/>
  <c r="CU117" i="6"/>
  <c r="CT117" i="6"/>
  <c r="BX117" i="6"/>
  <c r="BN117" i="6"/>
  <c r="BL117" i="6"/>
  <c r="BI117" i="6"/>
  <c r="BE117" i="6"/>
  <c r="BA117" i="6"/>
  <c r="AW117" i="6"/>
  <c r="DF117" i="6" s="1"/>
  <c r="AU117" i="6"/>
  <c r="AR117" i="6"/>
  <c r="AP117" i="6"/>
  <c r="J117" i="6"/>
  <c r="H117" i="6"/>
  <c r="CJ117" i="6" s="1"/>
  <c r="G117" i="6"/>
  <c r="CC117" i="6" s="1"/>
  <c r="E117" i="6"/>
  <c r="D117" i="6"/>
  <c r="CZ117" i="6" s="1"/>
  <c r="C117" i="6"/>
  <c r="A117" i="6"/>
  <c r="EJ116" i="6"/>
  <c r="EE116" i="6"/>
  <c r="EB116" i="6"/>
  <c r="EA116" i="6"/>
  <c r="DZ116" i="6"/>
  <c r="DV116" i="6"/>
  <c r="DU116" i="6"/>
  <c r="DS116" i="6"/>
  <c r="DR116" i="6"/>
  <c r="DQ116" i="6"/>
  <c r="DO116" i="6"/>
  <c r="DN116" i="6"/>
  <c r="DM116" i="6"/>
  <c r="DK116" i="6"/>
  <c r="DJ116" i="6"/>
  <c r="DI116" i="6"/>
  <c r="DG116" i="6"/>
  <c r="DC116" i="6"/>
  <c r="DA116" i="6"/>
  <c r="CW116" i="6"/>
  <c r="CV116" i="6"/>
  <c r="CU116" i="6"/>
  <c r="CT116" i="6"/>
  <c r="BX116" i="6"/>
  <c r="BN116" i="6"/>
  <c r="BL116" i="6"/>
  <c r="BI116" i="6"/>
  <c r="BE116" i="6"/>
  <c r="BA116" i="6"/>
  <c r="AW116" i="6"/>
  <c r="DF116" i="6" s="1"/>
  <c r="AU116" i="6"/>
  <c r="AR116" i="6"/>
  <c r="AP116" i="6"/>
  <c r="J116" i="6"/>
  <c r="H116" i="6"/>
  <c r="CJ116" i="6" s="1"/>
  <c r="G116" i="6"/>
  <c r="CC116" i="6" s="1"/>
  <c r="E116" i="6"/>
  <c r="D116" i="6"/>
  <c r="CZ116" i="6" s="1"/>
  <c r="C116" i="6"/>
  <c r="A116" i="6"/>
  <c r="EJ115" i="6"/>
  <c r="EE115" i="6"/>
  <c r="EB115" i="6"/>
  <c r="EA115" i="6"/>
  <c r="DZ115" i="6"/>
  <c r="DV115" i="6"/>
  <c r="DU115" i="6"/>
  <c r="DS115" i="6"/>
  <c r="DR115" i="6"/>
  <c r="DQ115" i="6"/>
  <c r="DO115" i="6"/>
  <c r="DN115" i="6"/>
  <c r="DM115" i="6"/>
  <c r="DK115" i="6"/>
  <c r="DJ115" i="6"/>
  <c r="DI115" i="6"/>
  <c r="DG115" i="6"/>
  <c r="DC115" i="6"/>
  <c r="DA115" i="6"/>
  <c r="CW115" i="6"/>
  <c r="CV115" i="6"/>
  <c r="CU115" i="6"/>
  <c r="CT115" i="6"/>
  <c r="BX115" i="6"/>
  <c r="BN115" i="6"/>
  <c r="BL115" i="6"/>
  <c r="BI115" i="6"/>
  <c r="BE115" i="6"/>
  <c r="BA115" i="6"/>
  <c r="AW115" i="6"/>
  <c r="DF115" i="6" s="1"/>
  <c r="AU115" i="6"/>
  <c r="AR115" i="6"/>
  <c r="AP115" i="6"/>
  <c r="J115" i="6"/>
  <c r="H115" i="6"/>
  <c r="CJ115" i="6" s="1"/>
  <c r="G115" i="6"/>
  <c r="CC115" i="6" s="1"/>
  <c r="E115" i="6"/>
  <c r="D115" i="6"/>
  <c r="CZ115" i="6" s="1"/>
  <c r="C115" i="6"/>
  <c r="A115" i="6"/>
  <c r="EJ114" i="6"/>
  <c r="EE114" i="6"/>
  <c r="EB114" i="6"/>
  <c r="EA114" i="6"/>
  <c r="DZ114" i="6"/>
  <c r="DV114" i="6"/>
  <c r="DU114" i="6"/>
  <c r="DS114" i="6"/>
  <c r="DR114" i="6"/>
  <c r="DQ114" i="6"/>
  <c r="DO114" i="6"/>
  <c r="DN114" i="6"/>
  <c r="DM114" i="6"/>
  <c r="DK114" i="6"/>
  <c r="DJ114" i="6"/>
  <c r="DI114" i="6"/>
  <c r="DG114" i="6"/>
  <c r="DC114" i="6"/>
  <c r="DA114" i="6"/>
  <c r="CW114" i="6"/>
  <c r="CV114" i="6"/>
  <c r="CU114" i="6"/>
  <c r="CT114" i="6"/>
  <c r="BX114" i="6"/>
  <c r="BN114" i="6"/>
  <c r="BL114" i="6"/>
  <c r="BI114" i="6"/>
  <c r="BE114" i="6"/>
  <c r="BA114" i="6"/>
  <c r="AW114" i="6"/>
  <c r="DF114" i="6" s="1"/>
  <c r="AU114" i="6"/>
  <c r="AR114" i="6"/>
  <c r="AP114" i="6"/>
  <c r="J114" i="6"/>
  <c r="H114" i="6"/>
  <c r="CJ114" i="6" s="1"/>
  <c r="G114" i="6"/>
  <c r="CC114" i="6" s="1"/>
  <c r="E114" i="6"/>
  <c r="D114" i="6"/>
  <c r="CZ114" i="6" s="1"/>
  <c r="C114" i="6"/>
  <c r="A114" i="6"/>
  <c r="EJ113" i="6"/>
  <c r="EE113" i="6"/>
  <c r="EB113" i="6"/>
  <c r="EA113" i="6"/>
  <c r="DZ113" i="6"/>
  <c r="DV113" i="6"/>
  <c r="DU113" i="6"/>
  <c r="DS113" i="6"/>
  <c r="DR113" i="6"/>
  <c r="DQ113" i="6"/>
  <c r="DO113" i="6"/>
  <c r="DN113" i="6"/>
  <c r="DM113" i="6"/>
  <c r="DK113" i="6"/>
  <c r="DJ113" i="6"/>
  <c r="DI113" i="6"/>
  <c r="DG113" i="6"/>
  <c r="DC113" i="6"/>
  <c r="DA113" i="6"/>
  <c r="CW113" i="6"/>
  <c r="CV113" i="6"/>
  <c r="CU113" i="6"/>
  <c r="CT113" i="6"/>
  <c r="BX113" i="6"/>
  <c r="BN113" i="6"/>
  <c r="BL113" i="6"/>
  <c r="BI113" i="6"/>
  <c r="BE113" i="6"/>
  <c r="BA113" i="6"/>
  <c r="AW113" i="6"/>
  <c r="DF113" i="6" s="1"/>
  <c r="AU113" i="6"/>
  <c r="AR113" i="6"/>
  <c r="AP113" i="6"/>
  <c r="J113" i="6"/>
  <c r="H113" i="6"/>
  <c r="CJ113" i="6" s="1"/>
  <c r="G113" i="6"/>
  <c r="CC113" i="6" s="1"/>
  <c r="E113" i="6"/>
  <c r="D113" i="6"/>
  <c r="CZ113" i="6" s="1"/>
  <c r="C113" i="6"/>
  <c r="A113" i="6"/>
  <c r="EJ112" i="6"/>
  <c r="EE112" i="6"/>
  <c r="EB112" i="6"/>
  <c r="EA112" i="6"/>
  <c r="DZ112" i="6"/>
  <c r="DV112" i="6"/>
  <c r="DU112" i="6"/>
  <c r="DS112" i="6"/>
  <c r="DR112" i="6"/>
  <c r="DQ112" i="6"/>
  <c r="DO112" i="6"/>
  <c r="DN112" i="6"/>
  <c r="DM112" i="6"/>
  <c r="DK112" i="6"/>
  <c r="DJ112" i="6"/>
  <c r="DI112" i="6"/>
  <c r="DG112" i="6"/>
  <c r="DC112" i="6"/>
  <c r="DA112" i="6"/>
  <c r="CW112" i="6"/>
  <c r="CV112" i="6"/>
  <c r="CU112" i="6"/>
  <c r="CT112" i="6"/>
  <c r="BX112" i="6"/>
  <c r="BN112" i="6"/>
  <c r="BL112" i="6"/>
  <c r="BI112" i="6"/>
  <c r="BE112" i="6"/>
  <c r="BA112" i="6"/>
  <c r="AW112" i="6"/>
  <c r="DF112" i="6" s="1"/>
  <c r="AU112" i="6"/>
  <c r="AR112" i="6"/>
  <c r="AP112" i="6"/>
  <c r="J112" i="6"/>
  <c r="H112" i="6"/>
  <c r="CJ112" i="6" s="1"/>
  <c r="G112" i="6"/>
  <c r="I112" i="6" s="1"/>
  <c r="E112" i="6"/>
  <c r="D112" i="6"/>
  <c r="CZ112" i="6" s="1"/>
  <c r="C112" i="6"/>
  <c r="A112" i="6"/>
  <c r="EJ111" i="6"/>
  <c r="EE111" i="6"/>
  <c r="EB111" i="6"/>
  <c r="EA111" i="6"/>
  <c r="DZ111" i="6"/>
  <c r="DV111" i="6"/>
  <c r="DU111" i="6"/>
  <c r="DS111" i="6"/>
  <c r="DR111" i="6"/>
  <c r="DQ111" i="6"/>
  <c r="DO111" i="6"/>
  <c r="DN111" i="6"/>
  <c r="DM111" i="6"/>
  <c r="DK111" i="6"/>
  <c r="DJ111" i="6"/>
  <c r="DI111" i="6"/>
  <c r="DG111" i="6"/>
  <c r="DC111" i="6"/>
  <c r="DA111" i="6"/>
  <c r="CW111" i="6"/>
  <c r="CV111" i="6"/>
  <c r="CU111" i="6"/>
  <c r="CT111" i="6"/>
  <c r="BX111" i="6"/>
  <c r="BN111" i="6"/>
  <c r="BL111" i="6"/>
  <c r="BI111" i="6"/>
  <c r="BE111" i="6"/>
  <c r="BA111" i="6"/>
  <c r="AW111" i="6"/>
  <c r="DF111" i="6" s="1"/>
  <c r="AU111" i="6"/>
  <c r="AR111" i="6"/>
  <c r="AP111" i="6"/>
  <c r="J111" i="6"/>
  <c r="H111" i="6"/>
  <c r="CJ111" i="6" s="1"/>
  <c r="G111" i="6"/>
  <c r="I111" i="6" s="1"/>
  <c r="E111" i="6"/>
  <c r="D111" i="6"/>
  <c r="CZ111" i="6" s="1"/>
  <c r="C111" i="6"/>
  <c r="A111" i="6"/>
  <c r="EJ110" i="6"/>
  <c r="EE110" i="6"/>
  <c r="EB110" i="6"/>
  <c r="EA110" i="6"/>
  <c r="DZ110" i="6"/>
  <c r="DV110" i="6"/>
  <c r="DU110" i="6"/>
  <c r="DS110" i="6"/>
  <c r="DR110" i="6"/>
  <c r="DQ110" i="6"/>
  <c r="DO110" i="6"/>
  <c r="DN110" i="6"/>
  <c r="DM110" i="6"/>
  <c r="DK110" i="6"/>
  <c r="DJ110" i="6"/>
  <c r="DI110" i="6"/>
  <c r="DG110" i="6"/>
  <c r="DC110" i="6"/>
  <c r="DA110" i="6"/>
  <c r="CW110" i="6"/>
  <c r="CV110" i="6"/>
  <c r="CU110" i="6"/>
  <c r="CT110" i="6"/>
  <c r="BX110" i="6"/>
  <c r="BN110" i="6"/>
  <c r="BL110" i="6"/>
  <c r="BI110" i="6"/>
  <c r="BE110" i="6"/>
  <c r="BA110" i="6"/>
  <c r="AW110" i="6"/>
  <c r="DF110" i="6" s="1"/>
  <c r="AU110" i="6"/>
  <c r="AR110" i="6"/>
  <c r="AP110" i="6"/>
  <c r="J110" i="6"/>
  <c r="H110" i="6"/>
  <c r="CJ110" i="6" s="1"/>
  <c r="G110" i="6"/>
  <c r="I110" i="6" s="1"/>
  <c r="E110" i="6"/>
  <c r="D110" i="6"/>
  <c r="CZ110" i="6" s="1"/>
  <c r="C110" i="6"/>
  <c r="A110" i="6"/>
  <c r="EJ109" i="6"/>
  <c r="EE109" i="6"/>
  <c r="EB109" i="6"/>
  <c r="EA109" i="6"/>
  <c r="DZ109" i="6"/>
  <c r="DV109" i="6"/>
  <c r="DU109" i="6"/>
  <c r="DS109" i="6"/>
  <c r="DR109" i="6"/>
  <c r="DQ109" i="6"/>
  <c r="DO109" i="6"/>
  <c r="DN109" i="6"/>
  <c r="DM109" i="6"/>
  <c r="DK109" i="6"/>
  <c r="DJ109" i="6"/>
  <c r="DI109" i="6"/>
  <c r="DG109" i="6"/>
  <c r="DC109" i="6"/>
  <c r="DA109" i="6"/>
  <c r="CW109" i="6"/>
  <c r="CV109" i="6"/>
  <c r="CU109" i="6"/>
  <c r="CT109" i="6"/>
  <c r="BX109" i="6"/>
  <c r="BN109" i="6"/>
  <c r="BL109" i="6"/>
  <c r="BI109" i="6"/>
  <c r="BE109" i="6"/>
  <c r="BA109" i="6"/>
  <c r="AW109" i="6"/>
  <c r="DF109" i="6" s="1"/>
  <c r="AU109" i="6"/>
  <c r="AR109" i="6"/>
  <c r="AP109" i="6"/>
  <c r="J109" i="6"/>
  <c r="H109" i="6"/>
  <c r="CJ109" i="6" s="1"/>
  <c r="G109" i="6"/>
  <c r="I109" i="6" s="1"/>
  <c r="E109" i="6"/>
  <c r="D109" i="6"/>
  <c r="CZ109" i="6" s="1"/>
  <c r="C109" i="6"/>
  <c r="A109" i="6"/>
  <c r="EJ108" i="6"/>
  <c r="EE108" i="6"/>
  <c r="EB108" i="6"/>
  <c r="EA108" i="6"/>
  <c r="DZ108" i="6"/>
  <c r="DV108" i="6"/>
  <c r="DU108" i="6"/>
  <c r="DS108" i="6"/>
  <c r="DR108" i="6"/>
  <c r="DQ108" i="6"/>
  <c r="DO108" i="6"/>
  <c r="DN108" i="6"/>
  <c r="DM108" i="6"/>
  <c r="DK108" i="6"/>
  <c r="DJ108" i="6"/>
  <c r="DI108" i="6"/>
  <c r="DG108" i="6"/>
  <c r="DC108" i="6"/>
  <c r="DA108" i="6"/>
  <c r="CW108" i="6"/>
  <c r="CV108" i="6"/>
  <c r="CU108" i="6"/>
  <c r="CT108" i="6"/>
  <c r="BX108" i="6"/>
  <c r="BN108" i="6"/>
  <c r="BL108" i="6"/>
  <c r="BI108" i="6"/>
  <c r="BE108" i="6"/>
  <c r="BA108" i="6"/>
  <c r="AW108" i="6"/>
  <c r="DF108" i="6" s="1"/>
  <c r="AU108" i="6"/>
  <c r="AR108" i="6"/>
  <c r="AP108" i="6"/>
  <c r="J108" i="6"/>
  <c r="H108" i="6"/>
  <c r="CJ108" i="6" s="1"/>
  <c r="G108" i="6"/>
  <c r="I108" i="6" s="1"/>
  <c r="E108" i="6"/>
  <c r="D108" i="6"/>
  <c r="CZ108" i="6" s="1"/>
  <c r="C108" i="6"/>
  <c r="A108" i="6"/>
  <c r="EJ107" i="6"/>
  <c r="EE107" i="6"/>
  <c r="EB107" i="6"/>
  <c r="EA107" i="6"/>
  <c r="DZ107" i="6"/>
  <c r="DV107" i="6"/>
  <c r="DU107" i="6"/>
  <c r="DS107" i="6"/>
  <c r="DR107" i="6"/>
  <c r="DQ107" i="6"/>
  <c r="DO107" i="6"/>
  <c r="DN107" i="6"/>
  <c r="DM107" i="6"/>
  <c r="DK107" i="6"/>
  <c r="DJ107" i="6"/>
  <c r="DI107" i="6"/>
  <c r="DG107" i="6"/>
  <c r="DC107" i="6"/>
  <c r="DA107" i="6"/>
  <c r="CW107" i="6"/>
  <c r="CV107" i="6"/>
  <c r="CU107" i="6"/>
  <c r="CT107" i="6"/>
  <c r="BX107" i="6"/>
  <c r="BN107" i="6"/>
  <c r="BL107" i="6"/>
  <c r="BI107" i="6"/>
  <c r="BE107" i="6"/>
  <c r="BA107" i="6"/>
  <c r="AW107" i="6"/>
  <c r="DF107" i="6" s="1"/>
  <c r="AU107" i="6"/>
  <c r="AR107" i="6"/>
  <c r="AP107" i="6"/>
  <c r="J107" i="6"/>
  <c r="H107" i="6"/>
  <c r="CJ107" i="6" s="1"/>
  <c r="G107" i="6"/>
  <c r="I107" i="6" s="1"/>
  <c r="E107" i="6"/>
  <c r="D107" i="6"/>
  <c r="CZ107" i="6" s="1"/>
  <c r="C107" i="6"/>
  <c r="A107" i="6"/>
  <c r="EJ106" i="6"/>
  <c r="EE106" i="6"/>
  <c r="EB106" i="6"/>
  <c r="EA106" i="6"/>
  <c r="DZ106" i="6"/>
  <c r="DV106" i="6"/>
  <c r="DU106" i="6"/>
  <c r="DS106" i="6"/>
  <c r="DR106" i="6"/>
  <c r="DQ106" i="6"/>
  <c r="DO106" i="6"/>
  <c r="DN106" i="6"/>
  <c r="DM106" i="6"/>
  <c r="DK106" i="6"/>
  <c r="DJ106" i="6"/>
  <c r="DI106" i="6"/>
  <c r="DG106" i="6"/>
  <c r="DC106" i="6"/>
  <c r="DA106" i="6"/>
  <c r="CW106" i="6"/>
  <c r="CV106" i="6"/>
  <c r="CU106" i="6"/>
  <c r="CT106" i="6"/>
  <c r="BX106" i="6"/>
  <c r="BN106" i="6"/>
  <c r="BL106" i="6"/>
  <c r="BI106" i="6"/>
  <c r="BE106" i="6"/>
  <c r="BA106" i="6"/>
  <c r="AW106" i="6"/>
  <c r="DF106" i="6" s="1"/>
  <c r="AU106" i="6"/>
  <c r="AR106" i="6"/>
  <c r="AP106" i="6"/>
  <c r="J106" i="6"/>
  <c r="H106" i="6"/>
  <c r="CJ106" i="6" s="1"/>
  <c r="G106" i="6"/>
  <c r="I106" i="6" s="1"/>
  <c r="E106" i="6"/>
  <c r="D106" i="6"/>
  <c r="CZ106" i="6" s="1"/>
  <c r="C106" i="6"/>
  <c r="A106" i="6"/>
  <c r="EJ105" i="6"/>
  <c r="EE105" i="6"/>
  <c r="EB105" i="6"/>
  <c r="EA105" i="6"/>
  <c r="DZ105" i="6"/>
  <c r="DV105" i="6"/>
  <c r="DU105" i="6"/>
  <c r="DS105" i="6"/>
  <c r="DR105" i="6"/>
  <c r="DQ105" i="6"/>
  <c r="DO105" i="6"/>
  <c r="DN105" i="6"/>
  <c r="DM105" i="6"/>
  <c r="DK105" i="6"/>
  <c r="DJ105" i="6"/>
  <c r="DI105" i="6"/>
  <c r="DG105" i="6"/>
  <c r="DC105" i="6"/>
  <c r="DA105" i="6"/>
  <c r="CW105" i="6"/>
  <c r="CV105" i="6"/>
  <c r="CU105" i="6"/>
  <c r="CT105" i="6"/>
  <c r="BX105" i="6"/>
  <c r="BN105" i="6"/>
  <c r="BL105" i="6"/>
  <c r="BI105" i="6"/>
  <c r="BE105" i="6"/>
  <c r="BA105" i="6"/>
  <c r="AW105" i="6"/>
  <c r="DF105" i="6" s="1"/>
  <c r="AU105" i="6"/>
  <c r="AR105" i="6"/>
  <c r="AP105" i="6"/>
  <c r="J105" i="6"/>
  <c r="H105" i="6"/>
  <c r="CJ105" i="6" s="1"/>
  <c r="G105" i="6"/>
  <c r="I105" i="6" s="1"/>
  <c r="E105" i="6"/>
  <c r="D105" i="6"/>
  <c r="CZ105" i="6" s="1"/>
  <c r="C105" i="6"/>
  <c r="A105" i="6"/>
  <c r="EJ104" i="6"/>
  <c r="EE104" i="6"/>
  <c r="EB104" i="6"/>
  <c r="EA104" i="6"/>
  <c r="DZ104" i="6"/>
  <c r="DV104" i="6"/>
  <c r="DU104" i="6"/>
  <c r="DS104" i="6"/>
  <c r="DR104" i="6"/>
  <c r="DQ104" i="6"/>
  <c r="DO104" i="6"/>
  <c r="DN104" i="6"/>
  <c r="DM104" i="6"/>
  <c r="DK104" i="6"/>
  <c r="DJ104" i="6"/>
  <c r="DI104" i="6"/>
  <c r="DG104" i="6"/>
  <c r="DC104" i="6"/>
  <c r="DA104" i="6"/>
  <c r="CW104" i="6"/>
  <c r="CV104" i="6"/>
  <c r="CU104" i="6"/>
  <c r="CT104" i="6"/>
  <c r="BX104" i="6"/>
  <c r="BN104" i="6"/>
  <c r="BL104" i="6"/>
  <c r="BI104" i="6"/>
  <c r="BE104" i="6"/>
  <c r="BA104" i="6"/>
  <c r="AW104" i="6"/>
  <c r="DF104" i="6" s="1"/>
  <c r="AU104" i="6"/>
  <c r="AR104" i="6"/>
  <c r="AP104" i="6"/>
  <c r="J104" i="6"/>
  <c r="H104" i="6"/>
  <c r="CJ104" i="6" s="1"/>
  <c r="G104" i="6"/>
  <c r="K104" i="6" s="1"/>
  <c r="E104" i="6"/>
  <c r="DB104" i="6" s="1"/>
  <c r="D104" i="6"/>
  <c r="CZ104" i="6" s="1"/>
  <c r="C104" i="6"/>
  <c r="A104" i="6"/>
  <c r="EJ103" i="6"/>
  <c r="EE103" i="6"/>
  <c r="EB103" i="6"/>
  <c r="EA103" i="6"/>
  <c r="DZ103" i="6"/>
  <c r="DV103" i="6"/>
  <c r="DU103" i="6"/>
  <c r="DS103" i="6"/>
  <c r="DR103" i="6"/>
  <c r="DQ103" i="6"/>
  <c r="DO103" i="6"/>
  <c r="DN103" i="6"/>
  <c r="DM103" i="6"/>
  <c r="DK103" i="6"/>
  <c r="DJ103" i="6"/>
  <c r="DI103" i="6"/>
  <c r="DG103" i="6"/>
  <c r="DC103" i="6"/>
  <c r="DA103" i="6"/>
  <c r="CW103" i="6"/>
  <c r="CV103" i="6"/>
  <c r="CU103" i="6"/>
  <c r="CT103" i="6"/>
  <c r="BX103" i="6"/>
  <c r="BN103" i="6"/>
  <c r="BL103" i="6"/>
  <c r="BI103" i="6"/>
  <c r="BE103" i="6"/>
  <c r="BA103" i="6"/>
  <c r="AW103" i="6"/>
  <c r="DF103" i="6" s="1"/>
  <c r="AU103" i="6"/>
  <c r="AR103" i="6"/>
  <c r="AP103" i="6"/>
  <c r="J103" i="6"/>
  <c r="H103" i="6"/>
  <c r="CJ103" i="6" s="1"/>
  <c r="G103" i="6"/>
  <c r="K103" i="6" s="1"/>
  <c r="E103" i="6"/>
  <c r="DB103" i="6" s="1"/>
  <c r="D103" i="6"/>
  <c r="C103" i="6"/>
  <c r="A103" i="6"/>
  <c r="EJ102" i="6"/>
  <c r="EE102" i="6"/>
  <c r="EB102" i="6"/>
  <c r="EA102" i="6"/>
  <c r="DZ102" i="6"/>
  <c r="DV102" i="6"/>
  <c r="DU102" i="6"/>
  <c r="DS102" i="6"/>
  <c r="DR102" i="6"/>
  <c r="DQ102" i="6"/>
  <c r="DO102" i="6"/>
  <c r="DN102" i="6"/>
  <c r="DM102" i="6"/>
  <c r="DK102" i="6"/>
  <c r="DJ102" i="6"/>
  <c r="DI102" i="6"/>
  <c r="DG102" i="6"/>
  <c r="DC102" i="6"/>
  <c r="DA102" i="6"/>
  <c r="CW102" i="6"/>
  <c r="CV102" i="6"/>
  <c r="CU102" i="6"/>
  <c r="CT102" i="6"/>
  <c r="BX102" i="6"/>
  <c r="BN102" i="6"/>
  <c r="BL102" i="6"/>
  <c r="BI102" i="6"/>
  <c r="BE102" i="6"/>
  <c r="BA102" i="6"/>
  <c r="AW102" i="6"/>
  <c r="DF102" i="6" s="1"/>
  <c r="AU102" i="6"/>
  <c r="AR102" i="6"/>
  <c r="AP102" i="6"/>
  <c r="J102" i="6"/>
  <c r="H102" i="6"/>
  <c r="CJ102" i="6" s="1"/>
  <c r="G102" i="6"/>
  <c r="K102" i="6" s="1"/>
  <c r="E102" i="6"/>
  <c r="DB102" i="6" s="1"/>
  <c r="D102" i="6"/>
  <c r="C102" i="6"/>
  <c r="A102" i="6"/>
  <c r="EJ101" i="6"/>
  <c r="EE101" i="6"/>
  <c r="EB101" i="6"/>
  <c r="EA101" i="6"/>
  <c r="DZ101" i="6"/>
  <c r="DV101" i="6"/>
  <c r="DU101" i="6"/>
  <c r="DS101" i="6"/>
  <c r="DR101" i="6"/>
  <c r="DQ101" i="6"/>
  <c r="DO101" i="6"/>
  <c r="DN101" i="6"/>
  <c r="DM101" i="6"/>
  <c r="DK101" i="6"/>
  <c r="DJ101" i="6"/>
  <c r="DI101" i="6"/>
  <c r="DG101" i="6"/>
  <c r="DC101" i="6"/>
  <c r="DA101" i="6"/>
  <c r="CW101" i="6"/>
  <c r="CV101" i="6"/>
  <c r="CU101" i="6"/>
  <c r="CT101" i="6"/>
  <c r="BX101" i="6"/>
  <c r="BN101" i="6"/>
  <c r="BL101" i="6"/>
  <c r="BI101" i="6"/>
  <c r="BE101" i="6"/>
  <c r="BA101" i="6"/>
  <c r="AW101" i="6"/>
  <c r="DF101" i="6" s="1"/>
  <c r="AU101" i="6"/>
  <c r="AR101" i="6"/>
  <c r="AP101" i="6"/>
  <c r="J101" i="6"/>
  <c r="H101" i="6"/>
  <c r="CJ101" i="6" s="1"/>
  <c r="G101" i="6"/>
  <c r="K101" i="6" s="1"/>
  <c r="E101" i="6"/>
  <c r="DB101" i="6" s="1"/>
  <c r="D101" i="6"/>
  <c r="C101" i="6"/>
  <c r="A101" i="6"/>
  <c r="EJ100" i="6"/>
  <c r="EE100" i="6"/>
  <c r="EB100" i="6"/>
  <c r="EA100" i="6"/>
  <c r="DZ100" i="6"/>
  <c r="DV100" i="6"/>
  <c r="DU100" i="6"/>
  <c r="DS100" i="6"/>
  <c r="DR100" i="6"/>
  <c r="DQ100" i="6"/>
  <c r="DO100" i="6"/>
  <c r="DN100" i="6"/>
  <c r="DM100" i="6"/>
  <c r="DK100" i="6"/>
  <c r="DJ100" i="6"/>
  <c r="DI100" i="6"/>
  <c r="DG100" i="6"/>
  <c r="DC100" i="6"/>
  <c r="DA100" i="6"/>
  <c r="CW100" i="6"/>
  <c r="CV100" i="6"/>
  <c r="CU100" i="6"/>
  <c r="CT100" i="6"/>
  <c r="BX100" i="6"/>
  <c r="BN100" i="6"/>
  <c r="BL100" i="6"/>
  <c r="BI100" i="6"/>
  <c r="BE100" i="6"/>
  <c r="BA100" i="6"/>
  <c r="AW100" i="6"/>
  <c r="DF100" i="6" s="1"/>
  <c r="AU100" i="6"/>
  <c r="AR100" i="6"/>
  <c r="AP100" i="6"/>
  <c r="J100" i="6"/>
  <c r="H100" i="6"/>
  <c r="CJ100" i="6" s="1"/>
  <c r="G100" i="6"/>
  <c r="BO100" i="6" s="1"/>
  <c r="E100" i="6"/>
  <c r="DB100" i="6" s="1"/>
  <c r="D100" i="6"/>
  <c r="C100" i="6"/>
  <c r="A100" i="6"/>
  <c r="EJ99" i="6"/>
  <c r="EE99" i="6"/>
  <c r="EB99" i="6"/>
  <c r="EA99" i="6"/>
  <c r="DZ99" i="6"/>
  <c r="DV99" i="6"/>
  <c r="DU99" i="6"/>
  <c r="DS99" i="6"/>
  <c r="DR99" i="6"/>
  <c r="DQ99" i="6"/>
  <c r="DO99" i="6"/>
  <c r="DN99" i="6"/>
  <c r="DM99" i="6"/>
  <c r="DK99" i="6"/>
  <c r="DJ99" i="6"/>
  <c r="DI99" i="6"/>
  <c r="DG99" i="6"/>
  <c r="DC99" i="6"/>
  <c r="DA99" i="6"/>
  <c r="CW99" i="6"/>
  <c r="CV99" i="6"/>
  <c r="CU99" i="6"/>
  <c r="CT99" i="6"/>
  <c r="BX99" i="6"/>
  <c r="BN99" i="6"/>
  <c r="BL99" i="6"/>
  <c r="BI99" i="6"/>
  <c r="BE99" i="6"/>
  <c r="BA99" i="6"/>
  <c r="AW99" i="6"/>
  <c r="DF99" i="6" s="1"/>
  <c r="AU99" i="6"/>
  <c r="AR99" i="6"/>
  <c r="AP99" i="6"/>
  <c r="J99" i="6"/>
  <c r="H99" i="6"/>
  <c r="CJ99" i="6" s="1"/>
  <c r="G99" i="6"/>
  <c r="BO99" i="6" s="1"/>
  <c r="E99" i="6"/>
  <c r="DB99" i="6" s="1"/>
  <c r="D99" i="6"/>
  <c r="CY99" i="6" s="1"/>
  <c r="C99" i="6"/>
  <c r="A99" i="6"/>
  <c r="EJ98" i="6"/>
  <c r="EE98" i="6"/>
  <c r="EB98" i="6"/>
  <c r="EA98" i="6"/>
  <c r="DZ98" i="6"/>
  <c r="DV98" i="6"/>
  <c r="DU98" i="6"/>
  <c r="DS98" i="6"/>
  <c r="DR98" i="6"/>
  <c r="DQ98" i="6"/>
  <c r="DO98" i="6"/>
  <c r="DN98" i="6"/>
  <c r="DM98" i="6"/>
  <c r="DK98" i="6"/>
  <c r="DJ98" i="6"/>
  <c r="DI98" i="6"/>
  <c r="DG98" i="6"/>
  <c r="DC98" i="6"/>
  <c r="DA98" i="6"/>
  <c r="CW98" i="6"/>
  <c r="CV98" i="6"/>
  <c r="CU98" i="6"/>
  <c r="CT98" i="6"/>
  <c r="BX98" i="6"/>
  <c r="BN98" i="6"/>
  <c r="BL98" i="6"/>
  <c r="BI98" i="6"/>
  <c r="BE98" i="6"/>
  <c r="BA98" i="6"/>
  <c r="AW98" i="6"/>
  <c r="DF98" i="6" s="1"/>
  <c r="AU98" i="6"/>
  <c r="AR98" i="6"/>
  <c r="AP98" i="6"/>
  <c r="J98" i="6"/>
  <c r="H98" i="6"/>
  <c r="CJ98" i="6" s="1"/>
  <c r="G98" i="6"/>
  <c r="E98" i="6"/>
  <c r="DB98" i="6" s="1"/>
  <c r="D98" i="6"/>
  <c r="C98" i="6"/>
  <c r="A98" i="6"/>
  <c r="EJ97" i="6"/>
  <c r="EE97" i="6"/>
  <c r="EB97" i="6"/>
  <c r="EA97" i="6"/>
  <c r="DZ97" i="6"/>
  <c r="DV97" i="6"/>
  <c r="DU97" i="6"/>
  <c r="DS97" i="6"/>
  <c r="DR97" i="6"/>
  <c r="DQ97" i="6"/>
  <c r="DO97" i="6"/>
  <c r="DN97" i="6"/>
  <c r="DM97" i="6"/>
  <c r="DK97" i="6"/>
  <c r="DJ97" i="6"/>
  <c r="DI97" i="6"/>
  <c r="DG97" i="6"/>
  <c r="DC97" i="6"/>
  <c r="DA97" i="6"/>
  <c r="CW97" i="6"/>
  <c r="CV97" i="6"/>
  <c r="CU97" i="6"/>
  <c r="CT97" i="6"/>
  <c r="BX97" i="6"/>
  <c r="BN97" i="6"/>
  <c r="BL97" i="6"/>
  <c r="BI97" i="6"/>
  <c r="BE97" i="6"/>
  <c r="BA97" i="6"/>
  <c r="AW97" i="6"/>
  <c r="DF97" i="6" s="1"/>
  <c r="AU97" i="6"/>
  <c r="AR97" i="6"/>
  <c r="AP97" i="6"/>
  <c r="J97" i="6"/>
  <c r="H97" i="6"/>
  <c r="CJ97" i="6" s="1"/>
  <c r="G97" i="6"/>
  <c r="BO97" i="6" s="1"/>
  <c r="E97" i="6"/>
  <c r="DB97" i="6" s="1"/>
  <c r="D97" i="6"/>
  <c r="CZ97" i="6" s="1"/>
  <c r="C97" i="6"/>
  <c r="A97" i="6"/>
  <c r="EJ96" i="6"/>
  <c r="EE96" i="6"/>
  <c r="EB96" i="6"/>
  <c r="EA96" i="6"/>
  <c r="DZ96" i="6"/>
  <c r="DV96" i="6"/>
  <c r="DU96" i="6"/>
  <c r="DS96" i="6"/>
  <c r="DR96" i="6"/>
  <c r="DQ96" i="6"/>
  <c r="DO96" i="6"/>
  <c r="DN96" i="6"/>
  <c r="DM96" i="6"/>
  <c r="DK96" i="6"/>
  <c r="DJ96" i="6"/>
  <c r="DI96" i="6"/>
  <c r="DG96" i="6"/>
  <c r="DC96" i="6"/>
  <c r="DA96" i="6"/>
  <c r="CW96" i="6"/>
  <c r="CV96" i="6"/>
  <c r="CU96" i="6"/>
  <c r="CT96" i="6"/>
  <c r="BX96" i="6"/>
  <c r="BN96" i="6"/>
  <c r="BL96" i="6"/>
  <c r="BI96" i="6"/>
  <c r="BE96" i="6"/>
  <c r="BA96" i="6"/>
  <c r="AW96" i="6"/>
  <c r="DF96" i="6" s="1"/>
  <c r="AU96" i="6"/>
  <c r="AR96" i="6"/>
  <c r="AP96" i="6"/>
  <c r="J96" i="6"/>
  <c r="H96" i="6"/>
  <c r="CJ96" i="6" s="1"/>
  <c r="G96" i="6"/>
  <c r="I96" i="6" s="1"/>
  <c r="E96" i="6"/>
  <c r="DB96" i="6" s="1"/>
  <c r="D96" i="6"/>
  <c r="CZ96" i="6" s="1"/>
  <c r="C96" i="6"/>
  <c r="A96" i="6"/>
  <c r="EJ95" i="6"/>
  <c r="EE95" i="6"/>
  <c r="EB95" i="6"/>
  <c r="EA95" i="6"/>
  <c r="DZ95" i="6"/>
  <c r="DV95" i="6"/>
  <c r="DU95" i="6"/>
  <c r="DS95" i="6"/>
  <c r="DR95" i="6"/>
  <c r="DQ95" i="6"/>
  <c r="DO95" i="6"/>
  <c r="DN95" i="6"/>
  <c r="DM95" i="6"/>
  <c r="DK95" i="6"/>
  <c r="DJ95" i="6"/>
  <c r="DI95" i="6"/>
  <c r="DG95" i="6"/>
  <c r="DC95" i="6"/>
  <c r="DA95" i="6"/>
  <c r="CW95" i="6"/>
  <c r="CV95" i="6"/>
  <c r="CU95" i="6"/>
  <c r="CT95" i="6"/>
  <c r="BX95" i="6"/>
  <c r="BN95" i="6"/>
  <c r="BL95" i="6"/>
  <c r="BI95" i="6"/>
  <c r="BE95" i="6"/>
  <c r="BA95" i="6"/>
  <c r="AW95" i="6"/>
  <c r="DF95" i="6" s="1"/>
  <c r="AU95" i="6"/>
  <c r="AR95" i="6"/>
  <c r="AP95" i="6"/>
  <c r="J95" i="6"/>
  <c r="H95" i="6"/>
  <c r="CJ95" i="6" s="1"/>
  <c r="G95" i="6"/>
  <c r="I95" i="6" s="1"/>
  <c r="E95" i="6"/>
  <c r="DB95" i="6" s="1"/>
  <c r="D95" i="6"/>
  <c r="C95" i="6"/>
  <c r="A95" i="6"/>
  <c r="EJ94" i="6"/>
  <c r="EE94" i="6"/>
  <c r="EB94" i="6"/>
  <c r="EA94" i="6"/>
  <c r="DZ94" i="6"/>
  <c r="DV94" i="6"/>
  <c r="DU94" i="6"/>
  <c r="DS94" i="6"/>
  <c r="DR94" i="6"/>
  <c r="DQ94" i="6"/>
  <c r="DO94" i="6"/>
  <c r="DN94" i="6"/>
  <c r="DM94" i="6"/>
  <c r="DK94" i="6"/>
  <c r="DJ94" i="6"/>
  <c r="DI94" i="6"/>
  <c r="DG94" i="6"/>
  <c r="DC94" i="6"/>
  <c r="DA94" i="6"/>
  <c r="CW94" i="6"/>
  <c r="CV94" i="6"/>
  <c r="CU94" i="6"/>
  <c r="CT94" i="6"/>
  <c r="BX94" i="6"/>
  <c r="BN94" i="6"/>
  <c r="BL94" i="6"/>
  <c r="BI94" i="6"/>
  <c r="BE94" i="6"/>
  <c r="BA94" i="6"/>
  <c r="AW94" i="6"/>
  <c r="DF94" i="6" s="1"/>
  <c r="AU94" i="6"/>
  <c r="AR94" i="6"/>
  <c r="AP94" i="6"/>
  <c r="J94" i="6"/>
  <c r="H94" i="6"/>
  <c r="CJ94" i="6" s="1"/>
  <c r="G94" i="6"/>
  <c r="I94" i="6" s="1"/>
  <c r="E94" i="6"/>
  <c r="DB94" i="6" s="1"/>
  <c r="D94" i="6"/>
  <c r="CZ94" i="6" s="1"/>
  <c r="C94" i="6"/>
  <c r="A94" i="6"/>
  <c r="EJ93" i="6"/>
  <c r="EE93" i="6"/>
  <c r="EB93" i="6"/>
  <c r="EA93" i="6"/>
  <c r="DZ93" i="6"/>
  <c r="DV93" i="6"/>
  <c r="DU93" i="6"/>
  <c r="DS93" i="6"/>
  <c r="DR93" i="6"/>
  <c r="DQ93" i="6"/>
  <c r="DO93" i="6"/>
  <c r="DN93" i="6"/>
  <c r="DM93" i="6"/>
  <c r="DK93" i="6"/>
  <c r="DJ93" i="6"/>
  <c r="DI93" i="6"/>
  <c r="DG93" i="6"/>
  <c r="DC93" i="6"/>
  <c r="DA93" i="6"/>
  <c r="CW93" i="6"/>
  <c r="CV93" i="6"/>
  <c r="CU93" i="6"/>
  <c r="CT93" i="6"/>
  <c r="BX93" i="6"/>
  <c r="BN93" i="6"/>
  <c r="BL93" i="6"/>
  <c r="BI93" i="6"/>
  <c r="BE93" i="6"/>
  <c r="BA93" i="6"/>
  <c r="AW93" i="6"/>
  <c r="DF93" i="6" s="1"/>
  <c r="AU93" i="6"/>
  <c r="AR93" i="6"/>
  <c r="AP93" i="6"/>
  <c r="J93" i="6"/>
  <c r="H93" i="6"/>
  <c r="CJ93" i="6" s="1"/>
  <c r="G93" i="6"/>
  <c r="I93" i="6" s="1"/>
  <c r="E93" i="6"/>
  <c r="DB93" i="6" s="1"/>
  <c r="D93" i="6"/>
  <c r="CZ93" i="6" s="1"/>
  <c r="C93" i="6"/>
  <c r="A93" i="6"/>
  <c r="EJ92" i="6"/>
  <c r="EE92" i="6"/>
  <c r="EB92" i="6"/>
  <c r="EA92" i="6"/>
  <c r="DZ92" i="6"/>
  <c r="DV92" i="6"/>
  <c r="DU92" i="6"/>
  <c r="DS92" i="6"/>
  <c r="DR92" i="6"/>
  <c r="DQ92" i="6"/>
  <c r="DO92" i="6"/>
  <c r="DN92" i="6"/>
  <c r="DM92" i="6"/>
  <c r="DK92" i="6"/>
  <c r="DJ92" i="6"/>
  <c r="DI92" i="6"/>
  <c r="DG92" i="6"/>
  <c r="DC92" i="6"/>
  <c r="DA92" i="6"/>
  <c r="CW92" i="6"/>
  <c r="CV92" i="6"/>
  <c r="CU92" i="6"/>
  <c r="CT92" i="6"/>
  <c r="BX92" i="6"/>
  <c r="BN92" i="6"/>
  <c r="BL92" i="6"/>
  <c r="BI92" i="6"/>
  <c r="BE92" i="6"/>
  <c r="BA92" i="6"/>
  <c r="AW92" i="6"/>
  <c r="DF92" i="6" s="1"/>
  <c r="AU92" i="6"/>
  <c r="AR92" i="6"/>
  <c r="AP92" i="6"/>
  <c r="J92" i="6"/>
  <c r="H92" i="6"/>
  <c r="CJ92" i="6" s="1"/>
  <c r="G92" i="6"/>
  <c r="I92" i="6" s="1"/>
  <c r="E92" i="6"/>
  <c r="DB92" i="6" s="1"/>
  <c r="D92" i="6"/>
  <c r="CY92" i="6" s="1"/>
  <c r="C92" i="6"/>
  <c r="A92" i="6"/>
  <c r="EJ91" i="6"/>
  <c r="EE91" i="6"/>
  <c r="EB91" i="6"/>
  <c r="EA91" i="6"/>
  <c r="DZ91" i="6"/>
  <c r="DV91" i="6"/>
  <c r="DU91" i="6"/>
  <c r="DS91" i="6"/>
  <c r="DR91" i="6"/>
  <c r="DQ91" i="6"/>
  <c r="DO91" i="6"/>
  <c r="DN91" i="6"/>
  <c r="DM91" i="6"/>
  <c r="DK91" i="6"/>
  <c r="DJ91" i="6"/>
  <c r="DI91" i="6"/>
  <c r="DG91" i="6"/>
  <c r="DC91" i="6"/>
  <c r="DA91" i="6"/>
  <c r="CW91" i="6"/>
  <c r="CV91" i="6"/>
  <c r="CU91" i="6"/>
  <c r="CT91" i="6"/>
  <c r="BX91" i="6"/>
  <c r="BN91" i="6"/>
  <c r="BL91" i="6"/>
  <c r="BI91" i="6"/>
  <c r="BE91" i="6"/>
  <c r="BA91" i="6"/>
  <c r="AW91" i="6"/>
  <c r="DF91" i="6" s="1"/>
  <c r="AU91" i="6"/>
  <c r="AR91" i="6"/>
  <c r="AP91" i="6"/>
  <c r="J91" i="6"/>
  <c r="H91" i="6"/>
  <c r="CJ91" i="6" s="1"/>
  <c r="G91" i="6"/>
  <c r="I91" i="6" s="1"/>
  <c r="E91" i="6"/>
  <c r="DB91" i="6" s="1"/>
  <c r="D91" i="6"/>
  <c r="CZ91" i="6" s="1"/>
  <c r="C91" i="6"/>
  <c r="A91" i="6"/>
  <c r="EJ90" i="6"/>
  <c r="EE90" i="6"/>
  <c r="EB90" i="6"/>
  <c r="EA90" i="6"/>
  <c r="DZ90" i="6"/>
  <c r="DV90" i="6"/>
  <c r="DU90" i="6"/>
  <c r="DS90" i="6"/>
  <c r="DR90" i="6"/>
  <c r="DQ90" i="6"/>
  <c r="DO90" i="6"/>
  <c r="DN90" i="6"/>
  <c r="DM90" i="6"/>
  <c r="DK90" i="6"/>
  <c r="DJ90" i="6"/>
  <c r="DI90" i="6"/>
  <c r="DG90" i="6"/>
  <c r="DC90" i="6"/>
  <c r="DA90" i="6"/>
  <c r="CW90" i="6"/>
  <c r="CV90" i="6"/>
  <c r="CU90" i="6"/>
  <c r="CT90" i="6"/>
  <c r="BX90" i="6"/>
  <c r="BN90" i="6"/>
  <c r="BL90" i="6"/>
  <c r="BI90" i="6"/>
  <c r="BE90" i="6"/>
  <c r="BA90" i="6"/>
  <c r="AW90" i="6"/>
  <c r="DF90" i="6" s="1"/>
  <c r="AU90" i="6"/>
  <c r="AR90" i="6"/>
  <c r="AP90" i="6"/>
  <c r="J90" i="6"/>
  <c r="H90" i="6"/>
  <c r="CJ90" i="6" s="1"/>
  <c r="G90" i="6"/>
  <c r="I90" i="6" s="1"/>
  <c r="E90" i="6"/>
  <c r="DB90" i="6" s="1"/>
  <c r="D90" i="6"/>
  <c r="CZ90" i="6" s="1"/>
  <c r="C90" i="6"/>
  <c r="A90" i="6"/>
  <c r="EJ89" i="6"/>
  <c r="EE89" i="6"/>
  <c r="EB89" i="6"/>
  <c r="EA89" i="6"/>
  <c r="DZ89" i="6"/>
  <c r="DV89" i="6"/>
  <c r="DU89" i="6"/>
  <c r="DS89" i="6"/>
  <c r="DR89" i="6"/>
  <c r="DQ89" i="6"/>
  <c r="DO89" i="6"/>
  <c r="DN89" i="6"/>
  <c r="DM89" i="6"/>
  <c r="DK89" i="6"/>
  <c r="DJ89" i="6"/>
  <c r="DI89" i="6"/>
  <c r="DG89" i="6"/>
  <c r="DC89" i="6"/>
  <c r="DA89" i="6"/>
  <c r="CW89" i="6"/>
  <c r="CV89" i="6"/>
  <c r="CU89" i="6"/>
  <c r="CT89" i="6"/>
  <c r="BX89" i="6"/>
  <c r="BN89" i="6"/>
  <c r="BL89" i="6"/>
  <c r="BI89" i="6"/>
  <c r="BE89" i="6"/>
  <c r="BA89" i="6"/>
  <c r="AW89" i="6"/>
  <c r="DF89" i="6" s="1"/>
  <c r="AU89" i="6"/>
  <c r="AR89" i="6"/>
  <c r="AP89" i="6"/>
  <c r="J89" i="6"/>
  <c r="H89" i="6"/>
  <c r="CJ89" i="6" s="1"/>
  <c r="G89" i="6"/>
  <c r="I89" i="6" s="1"/>
  <c r="E89" i="6"/>
  <c r="DB89" i="6" s="1"/>
  <c r="D89" i="6"/>
  <c r="C89" i="6"/>
  <c r="A89" i="6"/>
  <c r="EJ88" i="6"/>
  <c r="EE88" i="6"/>
  <c r="EB88" i="6"/>
  <c r="EA88" i="6"/>
  <c r="DZ88" i="6"/>
  <c r="DV88" i="6"/>
  <c r="DU88" i="6"/>
  <c r="DS88" i="6"/>
  <c r="DR88" i="6"/>
  <c r="DQ88" i="6"/>
  <c r="DO88" i="6"/>
  <c r="DN88" i="6"/>
  <c r="DM88" i="6"/>
  <c r="DK88" i="6"/>
  <c r="DJ88" i="6"/>
  <c r="DI88" i="6"/>
  <c r="DG88" i="6"/>
  <c r="DC88" i="6"/>
  <c r="DA88" i="6"/>
  <c r="CW88" i="6"/>
  <c r="CV88" i="6"/>
  <c r="CU88" i="6"/>
  <c r="CT88" i="6"/>
  <c r="BX88" i="6"/>
  <c r="BN88" i="6"/>
  <c r="BL88" i="6"/>
  <c r="BI88" i="6"/>
  <c r="BE88" i="6"/>
  <c r="BA88" i="6"/>
  <c r="AW88" i="6"/>
  <c r="DF88" i="6" s="1"/>
  <c r="AU88" i="6"/>
  <c r="AR88" i="6"/>
  <c r="AP88" i="6"/>
  <c r="J88" i="6"/>
  <c r="H88" i="6"/>
  <c r="CJ88" i="6" s="1"/>
  <c r="G88" i="6"/>
  <c r="I88" i="6" s="1"/>
  <c r="E88" i="6"/>
  <c r="DB88" i="6" s="1"/>
  <c r="D88" i="6"/>
  <c r="CZ88" i="6" s="1"/>
  <c r="C88" i="6"/>
  <c r="A88" i="6"/>
  <c r="EJ87" i="6"/>
  <c r="EE87" i="6"/>
  <c r="EB87" i="6"/>
  <c r="EA87" i="6"/>
  <c r="DZ87" i="6"/>
  <c r="DV87" i="6"/>
  <c r="DU87" i="6"/>
  <c r="DS87" i="6"/>
  <c r="DR87" i="6"/>
  <c r="DQ87" i="6"/>
  <c r="DO87" i="6"/>
  <c r="DN87" i="6"/>
  <c r="DM87" i="6"/>
  <c r="DK87" i="6"/>
  <c r="DJ87" i="6"/>
  <c r="DI87" i="6"/>
  <c r="DG87" i="6"/>
  <c r="DC87" i="6"/>
  <c r="DA87" i="6"/>
  <c r="CW87" i="6"/>
  <c r="CV87" i="6"/>
  <c r="CU87" i="6"/>
  <c r="CT87" i="6"/>
  <c r="BX87" i="6"/>
  <c r="BN87" i="6"/>
  <c r="BL87" i="6"/>
  <c r="BI87" i="6"/>
  <c r="BE87" i="6"/>
  <c r="BA87" i="6"/>
  <c r="AW87" i="6"/>
  <c r="DF87" i="6" s="1"/>
  <c r="AU87" i="6"/>
  <c r="AR87" i="6"/>
  <c r="AP87" i="6"/>
  <c r="J87" i="6"/>
  <c r="H87" i="6"/>
  <c r="CJ87" i="6" s="1"/>
  <c r="G87" i="6"/>
  <c r="I87" i="6" s="1"/>
  <c r="E87" i="6"/>
  <c r="DB87" i="6" s="1"/>
  <c r="D87" i="6"/>
  <c r="CZ87" i="6" s="1"/>
  <c r="C87" i="6"/>
  <c r="A87" i="6"/>
  <c r="EJ86" i="6"/>
  <c r="EE86" i="6"/>
  <c r="EB86" i="6"/>
  <c r="EA86" i="6"/>
  <c r="DZ86" i="6"/>
  <c r="DV86" i="6"/>
  <c r="DU86" i="6"/>
  <c r="DS86" i="6"/>
  <c r="DR86" i="6"/>
  <c r="DQ86" i="6"/>
  <c r="DO86" i="6"/>
  <c r="DN86" i="6"/>
  <c r="DM86" i="6"/>
  <c r="DK86" i="6"/>
  <c r="DJ86" i="6"/>
  <c r="DI86" i="6"/>
  <c r="DG86" i="6"/>
  <c r="DC86" i="6"/>
  <c r="DA86" i="6"/>
  <c r="CW86" i="6"/>
  <c r="CV86" i="6"/>
  <c r="CU86" i="6"/>
  <c r="CT86" i="6"/>
  <c r="BX86" i="6"/>
  <c r="BN86" i="6"/>
  <c r="BL86" i="6"/>
  <c r="BI86" i="6"/>
  <c r="BE86" i="6"/>
  <c r="BA86" i="6"/>
  <c r="AW86" i="6"/>
  <c r="DF86" i="6" s="1"/>
  <c r="AU86" i="6"/>
  <c r="AR86" i="6"/>
  <c r="AP86" i="6"/>
  <c r="J86" i="6"/>
  <c r="H86" i="6"/>
  <c r="CJ86" i="6" s="1"/>
  <c r="G86" i="6"/>
  <c r="I86" i="6" s="1"/>
  <c r="E86" i="6"/>
  <c r="DB86" i="6" s="1"/>
  <c r="D86" i="6"/>
  <c r="CZ86" i="6" s="1"/>
  <c r="C86" i="6"/>
  <c r="A86" i="6"/>
  <c r="EJ85" i="6"/>
  <c r="EE85" i="6"/>
  <c r="EB85" i="6"/>
  <c r="EA85" i="6"/>
  <c r="DZ85" i="6"/>
  <c r="DV85" i="6"/>
  <c r="DU85" i="6"/>
  <c r="DS85" i="6"/>
  <c r="DR85" i="6"/>
  <c r="DQ85" i="6"/>
  <c r="DO85" i="6"/>
  <c r="DN85" i="6"/>
  <c r="DM85" i="6"/>
  <c r="DK85" i="6"/>
  <c r="DJ85" i="6"/>
  <c r="DI85" i="6"/>
  <c r="DG85" i="6"/>
  <c r="DC85" i="6"/>
  <c r="DA85" i="6"/>
  <c r="CW85" i="6"/>
  <c r="CV85" i="6"/>
  <c r="CU85" i="6"/>
  <c r="CT85" i="6"/>
  <c r="BX85" i="6"/>
  <c r="BN85" i="6"/>
  <c r="BL85" i="6"/>
  <c r="BI85" i="6"/>
  <c r="BE85" i="6"/>
  <c r="BA85" i="6"/>
  <c r="AW85" i="6"/>
  <c r="AU85" i="6"/>
  <c r="AR85" i="6"/>
  <c r="AP85" i="6"/>
  <c r="J85" i="6"/>
  <c r="H85" i="6"/>
  <c r="CJ85" i="6" s="1"/>
  <c r="G85" i="6"/>
  <c r="I85" i="6" s="1"/>
  <c r="E85" i="6"/>
  <c r="DB85" i="6" s="1"/>
  <c r="D85" i="6"/>
  <c r="C85" i="6"/>
  <c r="A85" i="6"/>
  <c r="EJ84" i="6"/>
  <c r="EE84" i="6"/>
  <c r="EB84" i="6"/>
  <c r="EA84" i="6"/>
  <c r="DZ84" i="6"/>
  <c r="DV84" i="6"/>
  <c r="DU84" i="6"/>
  <c r="DS84" i="6"/>
  <c r="DR84" i="6"/>
  <c r="DQ84" i="6"/>
  <c r="DO84" i="6"/>
  <c r="DN84" i="6"/>
  <c r="DM84" i="6"/>
  <c r="DK84" i="6"/>
  <c r="DJ84" i="6"/>
  <c r="DI84" i="6"/>
  <c r="DG84" i="6"/>
  <c r="DC84" i="6"/>
  <c r="DA84" i="6"/>
  <c r="CW84" i="6"/>
  <c r="CV84" i="6"/>
  <c r="CU84" i="6"/>
  <c r="CT84" i="6"/>
  <c r="BX84" i="6"/>
  <c r="BN84" i="6"/>
  <c r="BL84" i="6"/>
  <c r="BI84" i="6"/>
  <c r="BE84" i="6"/>
  <c r="BA84" i="6"/>
  <c r="AW84" i="6"/>
  <c r="DF84" i="6" s="1"/>
  <c r="AU84" i="6"/>
  <c r="AR84" i="6"/>
  <c r="AP84" i="6"/>
  <c r="J84" i="6"/>
  <c r="H84" i="6"/>
  <c r="CJ84" i="6" s="1"/>
  <c r="G84" i="6"/>
  <c r="I84" i="6" s="1"/>
  <c r="E84" i="6"/>
  <c r="DB84" i="6" s="1"/>
  <c r="D84" i="6"/>
  <c r="CZ84" i="6" s="1"/>
  <c r="C84" i="6"/>
  <c r="A84" i="6"/>
  <c r="EJ83" i="6"/>
  <c r="EE83" i="6"/>
  <c r="EB83" i="6"/>
  <c r="EA83" i="6"/>
  <c r="DZ83" i="6"/>
  <c r="DV83" i="6"/>
  <c r="DU83" i="6"/>
  <c r="DS83" i="6"/>
  <c r="DR83" i="6"/>
  <c r="DQ83" i="6"/>
  <c r="DO83" i="6"/>
  <c r="DN83" i="6"/>
  <c r="DM83" i="6"/>
  <c r="DK83" i="6"/>
  <c r="DJ83" i="6"/>
  <c r="DI83" i="6"/>
  <c r="DG83" i="6"/>
  <c r="DC83" i="6"/>
  <c r="DA83" i="6"/>
  <c r="CW83" i="6"/>
  <c r="CV83" i="6"/>
  <c r="CU83" i="6"/>
  <c r="CT83" i="6"/>
  <c r="BX83" i="6"/>
  <c r="BN83" i="6"/>
  <c r="BL83" i="6"/>
  <c r="BI83" i="6"/>
  <c r="BE83" i="6"/>
  <c r="BA83" i="6"/>
  <c r="AW83" i="6"/>
  <c r="DF83" i="6" s="1"/>
  <c r="AU83" i="6"/>
  <c r="AR83" i="6"/>
  <c r="AP83" i="6"/>
  <c r="J83" i="6"/>
  <c r="H83" i="6"/>
  <c r="CJ83" i="6" s="1"/>
  <c r="G83" i="6"/>
  <c r="CR83" i="6" s="1"/>
  <c r="E83" i="6"/>
  <c r="DB83" i="6" s="1"/>
  <c r="D83" i="6"/>
  <c r="C83" i="6"/>
  <c r="A83" i="6"/>
  <c r="EJ82" i="6"/>
  <c r="EE82" i="6"/>
  <c r="EB82" i="6"/>
  <c r="EA82" i="6"/>
  <c r="DZ82" i="6"/>
  <c r="DV82" i="6"/>
  <c r="DU82" i="6"/>
  <c r="DS82" i="6"/>
  <c r="DR82" i="6"/>
  <c r="DQ82" i="6"/>
  <c r="DO82" i="6"/>
  <c r="DN82" i="6"/>
  <c r="DM82" i="6"/>
  <c r="DK82" i="6"/>
  <c r="DJ82" i="6"/>
  <c r="DI82" i="6"/>
  <c r="DG82" i="6"/>
  <c r="DC82" i="6"/>
  <c r="DA82" i="6"/>
  <c r="CW82" i="6"/>
  <c r="CV82" i="6"/>
  <c r="CU82" i="6"/>
  <c r="CT82" i="6"/>
  <c r="BX82" i="6"/>
  <c r="BN82" i="6"/>
  <c r="BL82" i="6"/>
  <c r="BI82" i="6"/>
  <c r="BE82" i="6"/>
  <c r="BA82" i="6"/>
  <c r="AW82" i="6"/>
  <c r="DF82" i="6" s="1"/>
  <c r="AU82" i="6"/>
  <c r="AR82" i="6"/>
  <c r="AP82" i="6"/>
  <c r="J82" i="6"/>
  <c r="H82" i="6"/>
  <c r="CJ82" i="6" s="1"/>
  <c r="G82" i="6"/>
  <c r="I82" i="6" s="1"/>
  <c r="E82" i="6"/>
  <c r="DB82" i="6" s="1"/>
  <c r="D82" i="6"/>
  <c r="C82" i="6"/>
  <c r="A82" i="6"/>
  <c r="EJ81" i="6"/>
  <c r="EE81" i="6"/>
  <c r="EB81" i="6"/>
  <c r="EA81" i="6"/>
  <c r="DZ81" i="6"/>
  <c r="DV81" i="6"/>
  <c r="DU81" i="6"/>
  <c r="DS81" i="6"/>
  <c r="DR81" i="6"/>
  <c r="DQ81" i="6"/>
  <c r="DO81" i="6"/>
  <c r="DN81" i="6"/>
  <c r="DM81" i="6"/>
  <c r="DK81" i="6"/>
  <c r="DJ81" i="6"/>
  <c r="DI81" i="6"/>
  <c r="DG81" i="6"/>
  <c r="DC81" i="6"/>
  <c r="DA81" i="6"/>
  <c r="CW81" i="6"/>
  <c r="CV81" i="6"/>
  <c r="CU81" i="6"/>
  <c r="CT81" i="6"/>
  <c r="BX81" i="6"/>
  <c r="BN81" i="6"/>
  <c r="BL81" i="6"/>
  <c r="BI81" i="6"/>
  <c r="BE81" i="6"/>
  <c r="BA81" i="6"/>
  <c r="AW81" i="6"/>
  <c r="DF81" i="6" s="1"/>
  <c r="AU81" i="6"/>
  <c r="AR81" i="6"/>
  <c r="AP81" i="6"/>
  <c r="J81" i="6"/>
  <c r="H81" i="6"/>
  <c r="CJ81" i="6" s="1"/>
  <c r="G81" i="6"/>
  <c r="I81" i="6" s="1"/>
  <c r="E81" i="6"/>
  <c r="DB81" i="6" s="1"/>
  <c r="D81" i="6"/>
  <c r="CZ81" i="6" s="1"/>
  <c r="C81" i="6"/>
  <c r="A81" i="6"/>
  <c r="EJ80" i="6"/>
  <c r="EE80" i="6"/>
  <c r="EB80" i="6"/>
  <c r="EA80" i="6"/>
  <c r="DZ80" i="6"/>
  <c r="DV80" i="6"/>
  <c r="DU80" i="6"/>
  <c r="DS80" i="6"/>
  <c r="DR80" i="6"/>
  <c r="DQ80" i="6"/>
  <c r="DO80" i="6"/>
  <c r="DN80" i="6"/>
  <c r="DM80" i="6"/>
  <c r="DK80" i="6"/>
  <c r="DJ80" i="6"/>
  <c r="DI80" i="6"/>
  <c r="DG80" i="6"/>
  <c r="DC80" i="6"/>
  <c r="DA80" i="6"/>
  <c r="CW80" i="6"/>
  <c r="CV80" i="6"/>
  <c r="CU80" i="6"/>
  <c r="CT80" i="6"/>
  <c r="BX80" i="6"/>
  <c r="BN80" i="6"/>
  <c r="BL80" i="6"/>
  <c r="BI80" i="6"/>
  <c r="BE80" i="6"/>
  <c r="BA80" i="6"/>
  <c r="AW80" i="6"/>
  <c r="DF80" i="6" s="1"/>
  <c r="AU80" i="6"/>
  <c r="AR80" i="6"/>
  <c r="AP80" i="6"/>
  <c r="J80" i="6"/>
  <c r="H80" i="6"/>
  <c r="CJ80" i="6" s="1"/>
  <c r="G80" i="6"/>
  <c r="I80" i="6" s="1"/>
  <c r="E80" i="6"/>
  <c r="DB80" i="6" s="1"/>
  <c r="D80" i="6"/>
  <c r="C80" i="6"/>
  <c r="A80" i="6"/>
  <c r="EJ79" i="6"/>
  <c r="EE79" i="6"/>
  <c r="EB79" i="6"/>
  <c r="EA79" i="6"/>
  <c r="DZ79" i="6"/>
  <c r="DV79" i="6"/>
  <c r="DU79" i="6"/>
  <c r="DS79" i="6"/>
  <c r="DR79" i="6"/>
  <c r="DQ79" i="6"/>
  <c r="DO79" i="6"/>
  <c r="DN79" i="6"/>
  <c r="DM79" i="6"/>
  <c r="DK79" i="6"/>
  <c r="DJ79" i="6"/>
  <c r="DI79" i="6"/>
  <c r="DG79" i="6"/>
  <c r="DC79" i="6"/>
  <c r="DA79" i="6"/>
  <c r="CW79" i="6"/>
  <c r="CV79" i="6"/>
  <c r="CU79" i="6"/>
  <c r="CT79" i="6"/>
  <c r="BX79" i="6"/>
  <c r="BN79" i="6"/>
  <c r="BL79" i="6"/>
  <c r="BI79" i="6"/>
  <c r="BE79" i="6"/>
  <c r="BA79" i="6"/>
  <c r="AW79" i="6"/>
  <c r="DF79" i="6" s="1"/>
  <c r="AU79" i="6"/>
  <c r="AR79" i="6"/>
  <c r="AP79" i="6"/>
  <c r="J79" i="6"/>
  <c r="H79" i="6"/>
  <c r="CJ79" i="6" s="1"/>
  <c r="G79" i="6"/>
  <c r="I79" i="6" s="1"/>
  <c r="E79" i="6"/>
  <c r="DB79" i="6" s="1"/>
  <c r="D79" i="6"/>
  <c r="C79" i="6"/>
  <c r="A79" i="6"/>
  <c r="EJ78" i="6"/>
  <c r="EE78" i="6"/>
  <c r="EB78" i="6"/>
  <c r="EA78" i="6"/>
  <c r="DZ78" i="6"/>
  <c r="DV78" i="6"/>
  <c r="DU78" i="6"/>
  <c r="DS78" i="6"/>
  <c r="DR78" i="6"/>
  <c r="DQ78" i="6"/>
  <c r="DO78" i="6"/>
  <c r="DN78" i="6"/>
  <c r="DM78" i="6"/>
  <c r="DK78" i="6"/>
  <c r="DJ78" i="6"/>
  <c r="DI78" i="6"/>
  <c r="DG78" i="6"/>
  <c r="DC78" i="6"/>
  <c r="DA78" i="6"/>
  <c r="CW78" i="6"/>
  <c r="CV78" i="6"/>
  <c r="CU78" i="6"/>
  <c r="CT78" i="6"/>
  <c r="BX78" i="6"/>
  <c r="BN78" i="6"/>
  <c r="BL78" i="6"/>
  <c r="BI78" i="6"/>
  <c r="BE78" i="6"/>
  <c r="BA78" i="6"/>
  <c r="AW78" i="6"/>
  <c r="DF78" i="6" s="1"/>
  <c r="AU78" i="6"/>
  <c r="AR78" i="6"/>
  <c r="AP78" i="6"/>
  <c r="J78" i="6"/>
  <c r="H78" i="6"/>
  <c r="CJ78" i="6" s="1"/>
  <c r="G78" i="6"/>
  <c r="I78" i="6" s="1"/>
  <c r="E78" i="6"/>
  <c r="DB78" i="6" s="1"/>
  <c r="D78" i="6"/>
  <c r="C78" i="6"/>
  <c r="A78" i="6"/>
  <c r="EJ77" i="6"/>
  <c r="EE77" i="6"/>
  <c r="EB77" i="6"/>
  <c r="EA77" i="6"/>
  <c r="DZ77" i="6"/>
  <c r="DV77" i="6"/>
  <c r="DU77" i="6"/>
  <c r="DS77" i="6"/>
  <c r="DR77" i="6"/>
  <c r="DQ77" i="6"/>
  <c r="DO77" i="6"/>
  <c r="DN77" i="6"/>
  <c r="DM77" i="6"/>
  <c r="DK77" i="6"/>
  <c r="DJ77" i="6"/>
  <c r="DI77" i="6"/>
  <c r="DG77" i="6"/>
  <c r="DC77" i="6"/>
  <c r="DA77" i="6"/>
  <c r="CW77" i="6"/>
  <c r="CV77" i="6"/>
  <c r="CU77" i="6"/>
  <c r="CT77" i="6"/>
  <c r="BX77" i="6"/>
  <c r="BN77" i="6"/>
  <c r="BL77" i="6"/>
  <c r="BI77" i="6"/>
  <c r="BE77" i="6"/>
  <c r="BA77" i="6"/>
  <c r="AW77" i="6"/>
  <c r="DF77" i="6" s="1"/>
  <c r="AU77" i="6"/>
  <c r="AR77" i="6"/>
  <c r="AP77" i="6"/>
  <c r="J77" i="6"/>
  <c r="H77" i="6"/>
  <c r="CJ77" i="6" s="1"/>
  <c r="G77" i="6"/>
  <c r="I77" i="6" s="1"/>
  <c r="E77" i="6"/>
  <c r="DB77" i="6" s="1"/>
  <c r="D77" i="6"/>
  <c r="C77" i="6"/>
  <c r="A77" i="6"/>
  <c r="EJ76" i="6"/>
  <c r="EE76" i="6"/>
  <c r="EB76" i="6"/>
  <c r="EA76" i="6"/>
  <c r="DZ76" i="6"/>
  <c r="DV76" i="6"/>
  <c r="DU76" i="6"/>
  <c r="DS76" i="6"/>
  <c r="DR76" i="6"/>
  <c r="DQ76" i="6"/>
  <c r="DO76" i="6"/>
  <c r="DN76" i="6"/>
  <c r="DM76" i="6"/>
  <c r="DK76" i="6"/>
  <c r="DJ76" i="6"/>
  <c r="DI76" i="6"/>
  <c r="DG76" i="6"/>
  <c r="DC76" i="6"/>
  <c r="DA76" i="6"/>
  <c r="CW76" i="6"/>
  <c r="CV76" i="6"/>
  <c r="CU76" i="6"/>
  <c r="CT76" i="6"/>
  <c r="BX76" i="6"/>
  <c r="BN76" i="6"/>
  <c r="BL76" i="6"/>
  <c r="BI76" i="6"/>
  <c r="BE76" i="6"/>
  <c r="BA76" i="6"/>
  <c r="AW76" i="6"/>
  <c r="DF76" i="6" s="1"/>
  <c r="AU76" i="6"/>
  <c r="AR76" i="6"/>
  <c r="AP76" i="6"/>
  <c r="J76" i="6"/>
  <c r="H76" i="6"/>
  <c r="CJ76" i="6" s="1"/>
  <c r="G76" i="6"/>
  <c r="I76" i="6" s="1"/>
  <c r="E76" i="6"/>
  <c r="DB76" i="6" s="1"/>
  <c r="D76" i="6"/>
  <c r="CZ76" i="6" s="1"/>
  <c r="C76" i="6"/>
  <c r="A76" i="6"/>
  <c r="EJ75" i="6"/>
  <c r="EE75" i="6"/>
  <c r="EB75" i="6"/>
  <c r="EA75" i="6"/>
  <c r="DZ75" i="6"/>
  <c r="DV75" i="6"/>
  <c r="DU75" i="6"/>
  <c r="DS75" i="6"/>
  <c r="DR75" i="6"/>
  <c r="DQ75" i="6"/>
  <c r="DO75" i="6"/>
  <c r="DN75" i="6"/>
  <c r="DM75" i="6"/>
  <c r="DK75" i="6"/>
  <c r="DJ75" i="6"/>
  <c r="DI75" i="6"/>
  <c r="DG75" i="6"/>
  <c r="DC75" i="6"/>
  <c r="DA75" i="6"/>
  <c r="CW75" i="6"/>
  <c r="CV75" i="6"/>
  <c r="CU75" i="6"/>
  <c r="CT75" i="6"/>
  <c r="BX75" i="6"/>
  <c r="BN75" i="6"/>
  <c r="BL75" i="6"/>
  <c r="BI75" i="6"/>
  <c r="BE75" i="6"/>
  <c r="BA75" i="6"/>
  <c r="AW75" i="6"/>
  <c r="DF75" i="6" s="1"/>
  <c r="AU75" i="6"/>
  <c r="AR75" i="6"/>
  <c r="AP75" i="6"/>
  <c r="J75" i="6"/>
  <c r="H75" i="6"/>
  <c r="CJ75" i="6" s="1"/>
  <c r="G75" i="6"/>
  <c r="I75" i="6" s="1"/>
  <c r="E75" i="6"/>
  <c r="DB75" i="6" s="1"/>
  <c r="D75" i="6"/>
  <c r="CZ75" i="6" s="1"/>
  <c r="C75" i="6"/>
  <c r="A75" i="6"/>
  <c r="EJ74" i="6"/>
  <c r="EE74" i="6"/>
  <c r="EB74" i="6"/>
  <c r="EA74" i="6"/>
  <c r="DZ74" i="6"/>
  <c r="DV74" i="6"/>
  <c r="DU74" i="6"/>
  <c r="DS74" i="6"/>
  <c r="DR74" i="6"/>
  <c r="DQ74" i="6"/>
  <c r="DO74" i="6"/>
  <c r="DN74" i="6"/>
  <c r="DM74" i="6"/>
  <c r="DK74" i="6"/>
  <c r="DJ74" i="6"/>
  <c r="DI74" i="6"/>
  <c r="DG74" i="6"/>
  <c r="DC74" i="6"/>
  <c r="DA74" i="6"/>
  <c r="CW74" i="6"/>
  <c r="CV74" i="6"/>
  <c r="CU74" i="6"/>
  <c r="CT74" i="6"/>
  <c r="BX74" i="6"/>
  <c r="BN74" i="6"/>
  <c r="BL74" i="6"/>
  <c r="BI74" i="6"/>
  <c r="BE74" i="6"/>
  <c r="BA74" i="6"/>
  <c r="AW74" i="6"/>
  <c r="DF74" i="6" s="1"/>
  <c r="AU74" i="6"/>
  <c r="AR74" i="6"/>
  <c r="AP74" i="6"/>
  <c r="J74" i="6"/>
  <c r="H74" i="6"/>
  <c r="CJ74" i="6" s="1"/>
  <c r="G74" i="6"/>
  <c r="I74" i="6" s="1"/>
  <c r="E74" i="6"/>
  <c r="DB74" i="6" s="1"/>
  <c r="D74" i="6"/>
  <c r="C74" i="6"/>
  <c r="A74" i="6"/>
  <c r="EJ73" i="6"/>
  <c r="EE73" i="6"/>
  <c r="EB73" i="6"/>
  <c r="EA73" i="6"/>
  <c r="DZ73" i="6"/>
  <c r="DV73" i="6"/>
  <c r="DU73" i="6"/>
  <c r="DS73" i="6"/>
  <c r="DR73" i="6"/>
  <c r="DQ73" i="6"/>
  <c r="DO73" i="6"/>
  <c r="DN73" i="6"/>
  <c r="DM73" i="6"/>
  <c r="DK73" i="6"/>
  <c r="DJ73" i="6"/>
  <c r="DI73" i="6"/>
  <c r="DG73" i="6"/>
  <c r="DC73" i="6"/>
  <c r="DA73" i="6"/>
  <c r="CW73" i="6"/>
  <c r="CV73" i="6"/>
  <c r="CU73" i="6"/>
  <c r="CT73" i="6"/>
  <c r="BX73" i="6"/>
  <c r="BN73" i="6"/>
  <c r="BL73" i="6"/>
  <c r="BI73" i="6"/>
  <c r="BE73" i="6"/>
  <c r="BA73" i="6"/>
  <c r="AW73" i="6"/>
  <c r="DF73" i="6" s="1"/>
  <c r="AU73" i="6"/>
  <c r="AR73" i="6"/>
  <c r="AP73" i="6"/>
  <c r="J73" i="6"/>
  <c r="H73" i="6"/>
  <c r="CJ73" i="6" s="1"/>
  <c r="G73" i="6"/>
  <c r="I73" i="6" s="1"/>
  <c r="E73" i="6"/>
  <c r="DB73" i="6" s="1"/>
  <c r="D73" i="6"/>
  <c r="CZ73" i="6" s="1"/>
  <c r="C73" i="6"/>
  <c r="A73" i="6"/>
  <c r="EJ72" i="6"/>
  <c r="EE72" i="6"/>
  <c r="EB72" i="6"/>
  <c r="EA72" i="6"/>
  <c r="DZ72" i="6"/>
  <c r="DV72" i="6"/>
  <c r="DU72" i="6"/>
  <c r="DS72" i="6"/>
  <c r="DR72" i="6"/>
  <c r="DQ72" i="6"/>
  <c r="DO72" i="6"/>
  <c r="DN72" i="6"/>
  <c r="DM72" i="6"/>
  <c r="DK72" i="6"/>
  <c r="DJ72" i="6"/>
  <c r="DI72" i="6"/>
  <c r="DG72" i="6"/>
  <c r="DC72" i="6"/>
  <c r="DA72" i="6"/>
  <c r="CW72" i="6"/>
  <c r="CV72" i="6"/>
  <c r="CU72" i="6"/>
  <c r="CT72" i="6"/>
  <c r="BX72" i="6"/>
  <c r="BN72" i="6"/>
  <c r="BL72" i="6"/>
  <c r="BI72" i="6"/>
  <c r="BE72" i="6"/>
  <c r="BA72" i="6"/>
  <c r="AW72" i="6"/>
  <c r="DF72" i="6" s="1"/>
  <c r="AU72" i="6"/>
  <c r="AR72" i="6"/>
  <c r="AP72" i="6"/>
  <c r="J72" i="6"/>
  <c r="H72" i="6"/>
  <c r="CJ72" i="6" s="1"/>
  <c r="G72" i="6"/>
  <c r="I72" i="6" s="1"/>
  <c r="E72" i="6"/>
  <c r="DB72" i="6" s="1"/>
  <c r="D72" i="6"/>
  <c r="CZ72" i="6" s="1"/>
  <c r="C72" i="6"/>
  <c r="A72" i="6"/>
  <c r="EJ71" i="6"/>
  <c r="EE71" i="6"/>
  <c r="EB71" i="6"/>
  <c r="EA71" i="6"/>
  <c r="DZ71" i="6"/>
  <c r="DV71" i="6"/>
  <c r="DU71" i="6"/>
  <c r="DS71" i="6"/>
  <c r="DR71" i="6"/>
  <c r="DQ71" i="6"/>
  <c r="DO71" i="6"/>
  <c r="DN71" i="6"/>
  <c r="DM71" i="6"/>
  <c r="DK71" i="6"/>
  <c r="DJ71" i="6"/>
  <c r="DI71" i="6"/>
  <c r="DG71" i="6"/>
  <c r="DC71" i="6"/>
  <c r="DA71" i="6"/>
  <c r="CW71" i="6"/>
  <c r="CV71" i="6"/>
  <c r="CU71" i="6"/>
  <c r="CT71" i="6"/>
  <c r="BX71" i="6"/>
  <c r="BN71" i="6"/>
  <c r="BL71" i="6"/>
  <c r="BI71" i="6"/>
  <c r="BE71" i="6"/>
  <c r="BA71" i="6"/>
  <c r="AW71" i="6"/>
  <c r="DF71" i="6" s="1"/>
  <c r="AU71" i="6"/>
  <c r="AR71" i="6"/>
  <c r="AP71" i="6"/>
  <c r="J71" i="6"/>
  <c r="H71" i="6"/>
  <c r="CJ71" i="6" s="1"/>
  <c r="G71" i="6"/>
  <c r="I71" i="6" s="1"/>
  <c r="E71" i="6"/>
  <c r="DB71" i="6" s="1"/>
  <c r="D71" i="6"/>
  <c r="C71" i="6"/>
  <c r="A71" i="6"/>
  <c r="EJ70" i="6"/>
  <c r="EE70" i="6"/>
  <c r="EB70" i="6"/>
  <c r="EA70" i="6"/>
  <c r="DZ70" i="6"/>
  <c r="DV70" i="6"/>
  <c r="DU70" i="6"/>
  <c r="DS70" i="6"/>
  <c r="DR70" i="6"/>
  <c r="DQ70" i="6"/>
  <c r="DO70" i="6"/>
  <c r="DN70" i="6"/>
  <c r="DM70" i="6"/>
  <c r="DK70" i="6"/>
  <c r="DJ70" i="6"/>
  <c r="DI70" i="6"/>
  <c r="DG70" i="6"/>
  <c r="DC70" i="6"/>
  <c r="DA70" i="6"/>
  <c r="CW70" i="6"/>
  <c r="CV70" i="6"/>
  <c r="CU70" i="6"/>
  <c r="CT70" i="6"/>
  <c r="BX70" i="6"/>
  <c r="BN70" i="6"/>
  <c r="BL70" i="6"/>
  <c r="BI70" i="6"/>
  <c r="BE70" i="6"/>
  <c r="BA70" i="6"/>
  <c r="AW70" i="6"/>
  <c r="DF70" i="6" s="1"/>
  <c r="AU70" i="6"/>
  <c r="AR70" i="6"/>
  <c r="AP70" i="6"/>
  <c r="J70" i="6"/>
  <c r="H70" i="6"/>
  <c r="CJ70" i="6" s="1"/>
  <c r="G70" i="6"/>
  <c r="I70" i="6" s="1"/>
  <c r="E70" i="6"/>
  <c r="DB70" i="6" s="1"/>
  <c r="D70" i="6"/>
  <c r="CZ70" i="6" s="1"/>
  <c r="C70" i="6"/>
  <c r="A70" i="6"/>
  <c r="EJ69" i="6"/>
  <c r="EE69" i="6"/>
  <c r="EB69" i="6"/>
  <c r="EA69" i="6"/>
  <c r="DZ69" i="6"/>
  <c r="DV69" i="6"/>
  <c r="DU69" i="6"/>
  <c r="DS69" i="6"/>
  <c r="DR69" i="6"/>
  <c r="DQ69" i="6"/>
  <c r="DO69" i="6"/>
  <c r="DN69" i="6"/>
  <c r="DM69" i="6"/>
  <c r="DK69" i="6"/>
  <c r="DJ69" i="6"/>
  <c r="DI69" i="6"/>
  <c r="DG69" i="6"/>
  <c r="DC69" i="6"/>
  <c r="DA69" i="6"/>
  <c r="CW69" i="6"/>
  <c r="CV69" i="6"/>
  <c r="CU69" i="6"/>
  <c r="CT69" i="6"/>
  <c r="BX69" i="6"/>
  <c r="BN69" i="6"/>
  <c r="BL69" i="6"/>
  <c r="BI69" i="6"/>
  <c r="BE69" i="6"/>
  <c r="BA69" i="6"/>
  <c r="AW69" i="6"/>
  <c r="DF69" i="6" s="1"/>
  <c r="AU69" i="6"/>
  <c r="AR69" i="6"/>
  <c r="AP69" i="6"/>
  <c r="J69" i="6"/>
  <c r="H69" i="6"/>
  <c r="CJ69" i="6" s="1"/>
  <c r="G69" i="6"/>
  <c r="I69" i="6" s="1"/>
  <c r="E69" i="6"/>
  <c r="DB69" i="6" s="1"/>
  <c r="D69" i="6"/>
  <c r="CZ69" i="6" s="1"/>
  <c r="C69" i="6"/>
  <c r="A69" i="6"/>
  <c r="EJ68" i="6"/>
  <c r="EE68" i="6"/>
  <c r="EB68" i="6"/>
  <c r="EA68" i="6"/>
  <c r="DZ68" i="6"/>
  <c r="DV68" i="6"/>
  <c r="DU68" i="6"/>
  <c r="DS68" i="6"/>
  <c r="DR68" i="6"/>
  <c r="DQ68" i="6"/>
  <c r="DO68" i="6"/>
  <c r="DN68" i="6"/>
  <c r="DM68" i="6"/>
  <c r="DK68" i="6"/>
  <c r="DJ68" i="6"/>
  <c r="DI68" i="6"/>
  <c r="DG68" i="6"/>
  <c r="DC68" i="6"/>
  <c r="DA68" i="6"/>
  <c r="CW68" i="6"/>
  <c r="CV68" i="6"/>
  <c r="CU68" i="6"/>
  <c r="CT68" i="6"/>
  <c r="BX68" i="6"/>
  <c r="BN68" i="6"/>
  <c r="BL68" i="6"/>
  <c r="BI68" i="6"/>
  <c r="BE68" i="6"/>
  <c r="BA68" i="6"/>
  <c r="AW68" i="6"/>
  <c r="DF68" i="6" s="1"/>
  <c r="AU68" i="6"/>
  <c r="AR68" i="6"/>
  <c r="AP68" i="6"/>
  <c r="J68" i="6"/>
  <c r="H68" i="6"/>
  <c r="CJ68" i="6" s="1"/>
  <c r="G68" i="6"/>
  <c r="K68" i="6" s="1"/>
  <c r="E68" i="6"/>
  <c r="DB68" i="6" s="1"/>
  <c r="D68" i="6"/>
  <c r="C68" i="6"/>
  <c r="A68" i="6"/>
  <c r="EJ67" i="6"/>
  <c r="EE67" i="6"/>
  <c r="EB67" i="6"/>
  <c r="EA67" i="6"/>
  <c r="DZ67" i="6"/>
  <c r="DV67" i="6"/>
  <c r="DU67" i="6"/>
  <c r="DS67" i="6"/>
  <c r="DR67" i="6"/>
  <c r="DQ67" i="6"/>
  <c r="DO67" i="6"/>
  <c r="DN67" i="6"/>
  <c r="DM67" i="6"/>
  <c r="DK67" i="6"/>
  <c r="DJ67" i="6"/>
  <c r="DI67" i="6"/>
  <c r="DG67" i="6"/>
  <c r="DC67" i="6"/>
  <c r="DA67" i="6"/>
  <c r="CW67" i="6"/>
  <c r="CV67" i="6"/>
  <c r="CU67" i="6"/>
  <c r="CT67" i="6"/>
  <c r="BX67" i="6"/>
  <c r="BN67" i="6"/>
  <c r="BL67" i="6"/>
  <c r="BI67" i="6"/>
  <c r="BE67" i="6"/>
  <c r="BA67" i="6"/>
  <c r="AW67" i="6"/>
  <c r="DF67" i="6" s="1"/>
  <c r="AU67" i="6"/>
  <c r="AR67" i="6"/>
  <c r="AP67" i="6"/>
  <c r="J67" i="6"/>
  <c r="H67" i="6"/>
  <c r="CJ67" i="6" s="1"/>
  <c r="G67" i="6"/>
  <c r="K67" i="6" s="1"/>
  <c r="E67" i="6"/>
  <c r="DB67" i="6" s="1"/>
  <c r="D67" i="6"/>
  <c r="CZ67" i="6" s="1"/>
  <c r="C67" i="6"/>
  <c r="A67" i="6"/>
  <c r="EJ66" i="6"/>
  <c r="EE66" i="6"/>
  <c r="EB66" i="6"/>
  <c r="EA66" i="6"/>
  <c r="DZ66" i="6"/>
  <c r="DV66" i="6"/>
  <c r="DU66" i="6"/>
  <c r="DS66" i="6"/>
  <c r="DR66" i="6"/>
  <c r="DQ66" i="6"/>
  <c r="DO66" i="6"/>
  <c r="DN66" i="6"/>
  <c r="DM66" i="6"/>
  <c r="DK66" i="6"/>
  <c r="DJ66" i="6"/>
  <c r="DI66" i="6"/>
  <c r="DG66" i="6"/>
  <c r="DC66" i="6"/>
  <c r="DA66" i="6"/>
  <c r="CW66" i="6"/>
  <c r="CV66" i="6"/>
  <c r="CU66" i="6"/>
  <c r="CT66" i="6"/>
  <c r="BX66" i="6"/>
  <c r="BN66" i="6"/>
  <c r="BL66" i="6"/>
  <c r="BI66" i="6"/>
  <c r="BE66" i="6"/>
  <c r="BA66" i="6"/>
  <c r="AW66" i="6"/>
  <c r="DF66" i="6" s="1"/>
  <c r="AU66" i="6"/>
  <c r="AR66" i="6"/>
  <c r="AP66" i="6"/>
  <c r="J66" i="6"/>
  <c r="H66" i="6"/>
  <c r="CJ66" i="6" s="1"/>
  <c r="G66" i="6"/>
  <c r="K66" i="6" s="1"/>
  <c r="E66" i="6"/>
  <c r="DB66" i="6" s="1"/>
  <c r="D66" i="6"/>
  <c r="CZ66" i="6" s="1"/>
  <c r="C66" i="6"/>
  <c r="A66" i="6"/>
  <c r="EJ65" i="6"/>
  <c r="EE65" i="6"/>
  <c r="EB65" i="6"/>
  <c r="EA65" i="6"/>
  <c r="DZ65" i="6"/>
  <c r="DV65" i="6"/>
  <c r="DU65" i="6"/>
  <c r="DS65" i="6"/>
  <c r="DR65" i="6"/>
  <c r="DQ65" i="6"/>
  <c r="DO65" i="6"/>
  <c r="DN65" i="6"/>
  <c r="DM65" i="6"/>
  <c r="DK65" i="6"/>
  <c r="DJ65" i="6"/>
  <c r="DI65" i="6"/>
  <c r="DG65" i="6"/>
  <c r="DC65" i="6"/>
  <c r="DA65" i="6"/>
  <c r="CW65" i="6"/>
  <c r="CV65" i="6"/>
  <c r="CU65" i="6"/>
  <c r="CT65" i="6"/>
  <c r="BX65" i="6"/>
  <c r="BN65" i="6"/>
  <c r="BL65" i="6"/>
  <c r="BI65" i="6"/>
  <c r="BE65" i="6"/>
  <c r="BA65" i="6"/>
  <c r="AW65" i="6"/>
  <c r="DF65" i="6" s="1"/>
  <c r="AU65" i="6"/>
  <c r="AR65" i="6"/>
  <c r="AP65" i="6"/>
  <c r="J65" i="6"/>
  <c r="H65" i="6"/>
  <c r="CJ65" i="6" s="1"/>
  <c r="G65" i="6"/>
  <c r="K65" i="6" s="1"/>
  <c r="E65" i="6"/>
  <c r="DB65" i="6" s="1"/>
  <c r="D65" i="6"/>
  <c r="CZ65" i="6" s="1"/>
  <c r="C65" i="6"/>
  <c r="A65" i="6"/>
  <c r="EJ64" i="6"/>
  <c r="EE64" i="6"/>
  <c r="EB64" i="6"/>
  <c r="EA64" i="6"/>
  <c r="DZ64" i="6"/>
  <c r="DV64" i="6"/>
  <c r="DU64" i="6"/>
  <c r="DS64" i="6"/>
  <c r="DR64" i="6"/>
  <c r="DQ64" i="6"/>
  <c r="DO64" i="6"/>
  <c r="DN64" i="6"/>
  <c r="DM64" i="6"/>
  <c r="DK64" i="6"/>
  <c r="DJ64" i="6"/>
  <c r="DI64" i="6"/>
  <c r="DG64" i="6"/>
  <c r="DC64" i="6"/>
  <c r="DA64" i="6"/>
  <c r="CW64" i="6"/>
  <c r="CV64" i="6"/>
  <c r="CU64" i="6"/>
  <c r="CT64" i="6"/>
  <c r="BX64" i="6"/>
  <c r="BN64" i="6"/>
  <c r="BL64" i="6"/>
  <c r="BI64" i="6"/>
  <c r="BE64" i="6"/>
  <c r="BA64" i="6"/>
  <c r="AW64" i="6"/>
  <c r="DF64" i="6" s="1"/>
  <c r="AU64" i="6"/>
  <c r="AR64" i="6"/>
  <c r="AP64" i="6"/>
  <c r="J64" i="6"/>
  <c r="H64" i="6"/>
  <c r="CJ64" i="6" s="1"/>
  <c r="G64" i="6"/>
  <c r="K64" i="6" s="1"/>
  <c r="E64" i="6"/>
  <c r="DB64" i="6" s="1"/>
  <c r="D64" i="6"/>
  <c r="CZ64" i="6" s="1"/>
  <c r="C64" i="6"/>
  <c r="A64" i="6"/>
  <c r="EJ63" i="6"/>
  <c r="EE63" i="6"/>
  <c r="EB63" i="6"/>
  <c r="EA63" i="6"/>
  <c r="DZ63" i="6"/>
  <c r="DV63" i="6"/>
  <c r="DU63" i="6"/>
  <c r="DS63" i="6"/>
  <c r="DR63" i="6"/>
  <c r="DQ63" i="6"/>
  <c r="DO63" i="6"/>
  <c r="DN63" i="6"/>
  <c r="DM63" i="6"/>
  <c r="DK63" i="6"/>
  <c r="DJ63" i="6"/>
  <c r="DI63" i="6"/>
  <c r="DG63" i="6"/>
  <c r="DC63" i="6"/>
  <c r="DA63" i="6"/>
  <c r="CW63" i="6"/>
  <c r="CV63" i="6"/>
  <c r="CU63" i="6"/>
  <c r="CT63" i="6"/>
  <c r="BX63" i="6"/>
  <c r="BN63" i="6"/>
  <c r="BL63" i="6"/>
  <c r="BI63" i="6"/>
  <c r="BE63" i="6"/>
  <c r="BA63" i="6"/>
  <c r="AW63" i="6"/>
  <c r="DF63" i="6" s="1"/>
  <c r="AU63" i="6"/>
  <c r="AR63" i="6"/>
  <c r="AP63" i="6"/>
  <c r="J63" i="6"/>
  <c r="H63" i="6"/>
  <c r="CJ63" i="6" s="1"/>
  <c r="G63" i="6"/>
  <c r="K63" i="6" s="1"/>
  <c r="E63" i="6"/>
  <c r="DB63" i="6" s="1"/>
  <c r="D63" i="6"/>
  <c r="CZ63" i="6" s="1"/>
  <c r="C63" i="6"/>
  <c r="A63" i="6"/>
  <c r="EJ62" i="6"/>
  <c r="EE62" i="6"/>
  <c r="EB62" i="6"/>
  <c r="EA62" i="6"/>
  <c r="DZ62" i="6"/>
  <c r="DV62" i="6"/>
  <c r="DU62" i="6"/>
  <c r="DS62" i="6"/>
  <c r="DR62" i="6"/>
  <c r="DQ62" i="6"/>
  <c r="DO62" i="6"/>
  <c r="DN62" i="6"/>
  <c r="DM62" i="6"/>
  <c r="DK62" i="6"/>
  <c r="DJ62" i="6"/>
  <c r="DI62" i="6"/>
  <c r="DG62" i="6"/>
  <c r="DC62" i="6"/>
  <c r="DA62" i="6"/>
  <c r="CW62" i="6"/>
  <c r="CV62" i="6"/>
  <c r="CU62" i="6"/>
  <c r="CT62" i="6"/>
  <c r="BX62" i="6"/>
  <c r="BN62" i="6"/>
  <c r="BL62" i="6"/>
  <c r="BI62" i="6"/>
  <c r="BE62" i="6"/>
  <c r="BA62" i="6"/>
  <c r="AW62" i="6"/>
  <c r="DF62" i="6" s="1"/>
  <c r="AU62" i="6"/>
  <c r="AR62" i="6"/>
  <c r="AP62" i="6"/>
  <c r="J62" i="6"/>
  <c r="H62" i="6"/>
  <c r="CJ62" i="6" s="1"/>
  <c r="G62" i="6"/>
  <c r="K62" i="6" s="1"/>
  <c r="E62" i="6"/>
  <c r="DB62" i="6" s="1"/>
  <c r="D62" i="6"/>
  <c r="CZ62" i="6" s="1"/>
  <c r="C62" i="6"/>
  <c r="A62" i="6"/>
  <c r="EJ61" i="6"/>
  <c r="EE61" i="6"/>
  <c r="EB61" i="6"/>
  <c r="EA61" i="6"/>
  <c r="DZ61" i="6"/>
  <c r="DV61" i="6"/>
  <c r="DU61" i="6"/>
  <c r="DS61" i="6"/>
  <c r="DR61" i="6"/>
  <c r="DQ61" i="6"/>
  <c r="DO61" i="6"/>
  <c r="DN61" i="6"/>
  <c r="DM61" i="6"/>
  <c r="DK61" i="6"/>
  <c r="DJ61" i="6"/>
  <c r="DI61" i="6"/>
  <c r="DG61" i="6"/>
  <c r="DC61" i="6"/>
  <c r="DA61" i="6"/>
  <c r="CW61" i="6"/>
  <c r="CV61" i="6"/>
  <c r="CU61" i="6"/>
  <c r="CT61" i="6"/>
  <c r="BX61" i="6"/>
  <c r="BN61" i="6"/>
  <c r="BL61" i="6"/>
  <c r="BI61" i="6"/>
  <c r="BE61" i="6"/>
  <c r="BA61" i="6"/>
  <c r="AW61" i="6"/>
  <c r="DF61" i="6" s="1"/>
  <c r="AU61" i="6"/>
  <c r="AR61" i="6"/>
  <c r="AP61" i="6"/>
  <c r="J61" i="6"/>
  <c r="H61" i="6"/>
  <c r="CJ61" i="6" s="1"/>
  <c r="G61" i="6"/>
  <c r="K61" i="6" s="1"/>
  <c r="E61" i="6"/>
  <c r="DB61" i="6" s="1"/>
  <c r="D61" i="6"/>
  <c r="CZ61" i="6" s="1"/>
  <c r="C61" i="6"/>
  <c r="A61" i="6"/>
  <c r="EJ60" i="6"/>
  <c r="EE60" i="6"/>
  <c r="EB60" i="6"/>
  <c r="EA60" i="6"/>
  <c r="DZ60" i="6"/>
  <c r="DV60" i="6"/>
  <c r="DU60" i="6"/>
  <c r="DS60" i="6"/>
  <c r="DR60" i="6"/>
  <c r="DQ60" i="6"/>
  <c r="DO60" i="6"/>
  <c r="DN60" i="6"/>
  <c r="DM60" i="6"/>
  <c r="DK60" i="6"/>
  <c r="DJ60" i="6"/>
  <c r="DI60" i="6"/>
  <c r="DG60" i="6"/>
  <c r="DC60" i="6"/>
  <c r="DA60" i="6"/>
  <c r="CW60" i="6"/>
  <c r="CV60" i="6"/>
  <c r="CU60" i="6"/>
  <c r="CT60" i="6"/>
  <c r="BX60" i="6"/>
  <c r="BN60" i="6"/>
  <c r="BL60" i="6"/>
  <c r="BI60" i="6"/>
  <c r="BE60" i="6"/>
  <c r="BA60" i="6"/>
  <c r="AW60" i="6"/>
  <c r="DF60" i="6" s="1"/>
  <c r="AU60" i="6"/>
  <c r="AR60" i="6"/>
  <c r="AP60" i="6"/>
  <c r="J60" i="6"/>
  <c r="H60" i="6"/>
  <c r="CJ60" i="6" s="1"/>
  <c r="G60" i="6"/>
  <c r="K60" i="6" s="1"/>
  <c r="E60" i="6"/>
  <c r="DB60" i="6" s="1"/>
  <c r="D60" i="6"/>
  <c r="CZ60" i="6" s="1"/>
  <c r="C60" i="6"/>
  <c r="A60" i="6"/>
  <c r="EJ59" i="6"/>
  <c r="EE59" i="6"/>
  <c r="EB59" i="6"/>
  <c r="EA59" i="6"/>
  <c r="DZ59" i="6"/>
  <c r="DV59" i="6"/>
  <c r="DU59" i="6"/>
  <c r="DS59" i="6"/>
  <c r="DR59" i="6"/>
  <c r="DQ59" i="6"/>
  <c r="DO59" i="6"/>
  <c r="DN59" i="6"/>
  <c r="DM59" i="6"/>
  <c r="DK59" i="6"/>
  <c r="DJ59" i="6"/>
  <c r="DI59" i="6"/>
  <c r="DG59" i="6"/>
  <c r="DC59" i="6"/>
  <c r="DA59" i="6"/>
  <c r="CW59" i="6"/>
  <c r="CV59" i="6"/>
  <c r="CU59" i="6"/>
  <c r="CT59" i="6"/>
  <c r="BX59" i="6"/>
  <c r="BN59" i="6"/>
  <c r="BL59" i="6"/>
  <c r="BI59" i="6"/>
  <c r="BE59" i="6"/>
  <c r="BA59" i="6"/>
  <c r="AW59" i="6"/>
  <c r="DF59" i="6" s="1"/>
  <c r="AU59" i="6"/>
  <c r="AR59" i="6"/>
  <c r="AP59" i="6"/>
  <c r="J59" i="6"/>
  <c r="H59" i="6"/>
  <c r="CJ59" i="6" s="1"/>
  <c r="G59" i="6"/>
  <c r="K59" i="6" s="1"/>
  <c r="E59" i="6"/>
  <c r="DB59" i="6" s="1"/>
  <c r="D59" i="6"/>
  <c r="CZ59" i="6" s="1"/>
  <c r="C59" i="6"/>
  <c r="A59" i="6"/>
  <c r="EJ58" i="6"/>
  <c r="EE58" i="6"/>
  <c r="EB58" i="6"/>
  <c r="EA58" i="6"/>
  <c r="DZ58" i="6"/>
  <c r="DV58" i="6"/>
  <c r="DU58" i="6"/>
  <c r="DS58" i="6"/>
  <c r="DR58" i="6"/>
  <c r="DQ58" i="6"/>
  <c r="DO58" i="6"/>
  <c r="DN58" i="6"/>
  <c r="DM58" i="6"/>
  <c r="DK58" i="6"/>
  <c r="DJ58" i="6"/>
  <c r="DI58" i="6"/>
  <c r="DG58" i="6"/>
  <c r="DC58" i="6"/>
  <c r="DA58" i="6"/>
  <c r="CW58" i="6"/>
  <c r="CV58" i="6"/>
  <c r="CU58" i="6"/>
  <c r="CT58" i="6"/>
  <c r="BX58" i="6"/>
  <c r="BN58" i="6"/>
  <c r="BL58" i="6"/>
  <c r="BI58" i="6"/>
  <c r="BE58" i="6"/>
  <c r="BA58" i="6"/>
  <c r="AW58" i="6"/>
  <c r="DF58" i="6" s="1"/>
  <c r="AU58" i="6"/>
  <c r="AR58" i="6"/>
  <c r="AP58" i="6"/>
  <c r="J58" i="6"/>
  <c r="H58" i="6"/>
  <c r="CJ58" i="6" s="1"/>
  <c r="G58" i="6"/>
  <c r="I58" i="6" s="1"/>
  <c r="E58" i="6"/>
  <c r="DB58" i="6" s="1"/>
  <c r="D58" i="6"/>
  <c r="CZ58" i="6" s="1"/>
  <c r="C58" i="6"/>
  <c r="A58" i="6"/>
  <c r="EJ57" i="6"/>
  <c r="EE57" i="6"/>
  <c r="EB57" i="6"/>
  <c r="EA57" i="6"/>
  <c r="DZ57" i="6"/>
  <c r="DV57" i="6"/>
  <c r="DU57" i="6"/>
  <c r="DS57" i="6"/>
  <c r="DR57" i="6"/>
  <c r="DQ57" i="6"/>
  <c r="DO57" i="6"/>
  <c r="DN57" i="6"/>
  <c r="DM57" i="6"/>
  <c r="DK57" i="6"/>
  <c r="DJ57" i="6"/>
  <c r="DI57" i="6"/>
  <c r="DG57" i="6"/>
  <c r="DC57" i="6"/>
  <c r="DA57" i="6"/>
  <c r="CW57" i="6"/>
  <c r="CV57" i="6"/>
  <c r="CU57" i="6"/>
  <c r="CT57" i="6"/>
  <c r="BX57" i="6"/>
  <c r="BN57" i="6"/>
  <c r="BL57" i="6"/>
  <c r="BI57" i="6"/>
  <c r="BE57" i="6"/>
  <c r="BA57" i="6"/>
  <c r="AW57" i="6"/>
  <c r="DF57" i="6" s="1"/>
  <c r="AU57" i="6"/>
  <c r="AR57" i="6"/>
  <c r="AP57" i="6"/>
  <c r="J57" i="6"/>
  <c r="H57" i="6"/>
  <c r="CJ57" i="6" s="1"/>
  <c r="G57" i="6"/>
  <c r="I57" i="6" s="1"/>
  <c r="E57" i="6"/>
  <c r="DB57" i="6" s="1"/>
  <c r="D57" i="6"/>
  <c r="CZ57" i="6" s="1"/>
  <c r="C57" i="6"/>
  <c r="A57" i="6"/>
  <c r="EJ56" i="6"/>
  <c r="EE56" i="6"/>
  <c r="EB56" i="6"/>
  <c r="EA56" i="6"/>
  <c r="DZ56" i="6"/>
  <c r="DV56" i="6"/>
  <c r="DU56" i="6"/>
  <c r="DS56" i="6"/>
  <c r="DR56" i="6"/>
  <c r="DQ56" i="6"/>
  <c r="DO56" i="6"/>
  <c r="DN56" i="6"/>
  <c r="DM56" i="6"/>
  <c r="DK56" i="6"/>
  <c r="DJ56" i="6"/>
  <c r="DI56" i="6"/>
  <c r="DG56" i="6"/>
  <c r="DC56" i="6"/>
  <c r="DA56" i="6"/>
  <c r="CW56" i="6"/>
  <c r="CV56" i="6"/>
  <c r="CU56" i="6"/>
  <c r="CT56" i="6"/>
  <c r="BX56" i="6"/>
  <c r="BN56" i="6"/>
  <c r="BL56" i="6"/>
  <c r="BI56" i="6"/>
  <c r="BE56" i="6"/>
  <c r="BA56" i="6"/>
  <c r="AW56" i="6"/>
  <c r="DF56" i="6" s="1"/>
  <c r="AU56" i="6"/>
  <c r="AR56" i="6"/>
  <c r="AP56" i="6"/>
  <c r="J56" i="6"/>
  <c r="H56" i="6"/>
  <c r="CJ56" i="6" s="1"/>
  <c r="G56" i="6"/>
  <c r="I56" i="6" s="1"/>
  <c r="E56" i="6"/>
  <c r="DB56" i="6" s="1"/>
  <c r="D56" i="6"/>
  <c r="CZ56" i="6" s="1"/>
  <c r="C56" i="6"/>
  <c r="A56" i="6"/>
  <c r="EJ55" i="6"/>
  <c r="EE55" i="6"/>
  <c r="EB55" i="6"/>
  <c r="EA55" i="6"/>
  <c r="DZ55" i="6"/>
  <c r="DV55" i="6"/>
  <c r="DU55" i="6"/>
  <c r="DS55" i="6"/>
  <c r="DR55" i="6"/>
  <c r="DQ55" i="6"/>
  <c r="DO55" i="6"/>
  <c r="DN55" i="6"/>
  <c r="DM55" i="6"/>
  <c r="DK55" i="6"/>
  <c r="DJ55" i="6"/>
  <c r="DI55" i="6"/>
  <c r="DG55" i="6"/>
  <c r="DC55" i="6"/>
  <c r="DA55" i="6"/>
  <c r="CW55" i="6"/>
  <c r="CV55" i="6"/>
  <c r="CU55" i="6"/>
  <c r="CT55" i="6"/>
  <c r="BX55" i="6"/>
  <c r="BN55" i="6"/>
  <c r="BL55" i="6"/>
  <c r="BI55" i="6"/>
  <c r="BE55" i="6"/>
  <c r="BA55" i="6"/>
  <c r="AW55" i="6"/>
  <c r="DF55" i="6" s="1"/>
  <c r="AU55" i="6"/>
  <c r="AR55" i="6"/>
  <c r="AP55" i="6"/>
  <c r="J55" i="6"/>
  <c r="H55" i="6"/>
  <c r="CJ55" i="6" s="1"/>
  <c r="G55" i="6"/>
  <c r="I55" i="6" s="1"/>
  <c r="E55" i="6"/>
  <c r="DB55" i="6" s="1"/>
  <c r="D55" i="6"/>
  <c r="CZ55" i="6" s="1"/>
  <c r="C55" i="6"/>
  <c r="A55" i="6"/>
  <c r="AS68" i="6" l="1"/>
  <c r="BR68" i="6"/>
  <c r="AS152" i="6"/>
  <c r="BR152" i="6"/>
  <c r="AS74" i="6"/>
  <c r="BR74" i="6"/>
  <c r="AS80" i="6"/>
  <c r="BR80" i="6"/>
  <c r="AS86" i="6"/>
  <c r="BR86" i="6"/>
  <c r="AS113" i="6"/>
  <c r="BR113" i="6"/>
  <c r="AS137" i="6"/>
  <c r="BR137" i="6"/>
  <c r="AS57" i="6"/>
  <c r="BR57" i="6"/>
  <c r="AS60" i="6"/>
  <c r="BR60" i="6"/>
  <c r="AS63" i="6"/>
  <c r="BR63" i="6"/>
  <c r="AS66" i="6"/>
  <c r="BR66" i="6"/>
  <c r="AS69" i="6"/>
  <c r="BR69" i="6"/>
  <c r="AS72" i="6"/>
  <c r="BR72" i="6"/>
  <c r="AS75" i="6"/>
  <c r="BR75" i="6"/>
  <c r="AS78" i="6"/>
  <c r="BR78" i="6"/>
  <c r="AS81" i="6"/>
  <c r="BR81" i="6"/>
  <c r="AS84" i="6"/>
  <c r="BR84" i="6"/>
  <c r="AS87" i="6"/>
  <c r="BR87" i="6"/>
  <c r="AS90" i="6"/>
  <c r="BR90" i="6"/>
  <c r="AS93" i="6"/>
  <c r="BR93" i="6"/>
  <c r="AS96" i="6"/>
  <c r="BR96" i="6"/>
  <c r="AS99" i="6"/>
  <c r="BR99" i="6"/>
  <c r="AS102" i="6"/>
  <c r="BR102" i="6"/>
  <c r="AS105" i="6"/>
  <c r="BR105" i="6"/>
  <c r="AS108" i="6"/>
  <c r="BR108" i="6"/>
  <c r="AS111" i="6"/>
  <c r="BR111" i="6"/>
  <c r="AS114" i="6"/>
  <c r="BR114" i="6"/>
  <c r="AS117" i="6"/>
  <c r="BR117" i="6"/>
  <c r="AS120" i="6"/>
  <c r="BR120" i="6"/>
  <c r="AS123" i="6"/>
  <c r="BR123" i="6"/>
  <c r="AS126" i="6"/>
  <c r="BR126" i="6"/>
  <c r="AS129" i="6"/>
  <c r="BR129" i="6"/>
  <c r="AS132" i="6"/>
  <c r="BR132" i="6"/>
  <c r="AS135" i="6"/>
  <c r="BR135" i="6"/>
  <c r="AS138" i="6"/>
  <c r="BR138" i="6"/>
  <c r="AS141" i="6"/>
  <c r="BR141" i="6"/>
  <c r="AS144" i="6"/>
  <c r="BR144" i="6"/>
  <c r="AS147" i="6"/>
  <c r="BR147" i="6"/>
  <c r="AS150" i="6"/>
  <c r="BR150" i="6"/>
  <c r="AS153" i="6"/>
  <c r="BR153" i="6"/>
  <c r="AS77" i="6"/>
  <c r="BR77" i="6"/>
  <c r="AS83" i="6"/>
  <c r="BR83" i="6"/>
  <c r="AS104" i="6"/>
  <c r="BR104" i="6"/>
  <c r="AS110" i="6"/>
  <c r="BR110" i="6"/>
  <c r="AS122" i="6"/>
  <c r="BR122" i="6"/>
  <c r="AS143" i="6"/>
  <c r="BR143" i="6"/>
  <c r="AS149" i="6"/>
  <c r="BR149" i="6"/>
  <c r="AS101" i="6"/>
  <c r="BR101" i="6"/>
  <c r="AS107" i="6"/>
  <c r="BR107" i="6"/>
  <c r="AS119" i="6"/>
  <c r="BR119" i="6"/>
  <c r="AS125" i="6"/>
  <c r="BR125" i="6"/>
  <c r="AS131" i="6"/>
  <c r="BR131" i="6"/>
  <c r="AS146" i="6"/>
  <c r="BR146" i="6"/>
  <c r="AS71" i="6"/>
  <c r="BR71" i="6"/>
  <c r="AS98" i="6"/>
  <c r="BR98" i="6"/>
  <c r="AS140" i="6"/>
  <c r="BR140" i="6"/>
  <c r="AS62" i="6"/>
  <c r="BR62" i="6"/>
  <c r="AS116" i="6"/>
  <c r="BR116" i="6"/>
  <c r="AS55" i="6"/>
  <c r="BR55" i="6"/>
  <c r="AS58" i="6"/>
  <c r="BR58" i="6"/>
  <c r="AS61" i="6"/>
  <c r="BR61" i="6"/>
  <c r="AS64" i="6"/>
  <c r="BR64" i="6"/>
  <c r="AS67" i="6"/>
  <c r="BR67" i="6"/>
  <c r="AS70" i="6"/>
  <c r="BR70" i="6"/>
  <c r="AS73" i="6"/>
  <c r="BR73" i="6"/>
  <c r="AS76" i="6"/>
  <c r="BR76" i="6"/>
  <c r="AS79" i="6"/>
  <c r="BR79" i="6"/>
  <c r="AS82" i="6"/>
  <c r="BR82" i="6"/>
  <c r="AS85" i="6"/>
  <c r="BR85" i="6"/>
  <c r="AS88" i="6"/>
  <c r="BR88" i="6"/>
  <c r="AS91" i="6"/>
  <c r="BR91" i="6"/>
  <c r="AS94" i="6"/>
  <c r="BR94" i="6"/>
  <c r="AS97" i="6"/>
  <c r="BR97" i="6"/>
  <c r="AS100" i="6"/>
  <c r="BR100" i="6"/>
  <c r="AS103" i="6"/>
  <c r="BR103" i="6"/>
  <c r="AS106" i="6"/>
  <c r="BR106" i="6"/>
  <c r="AS109" i="6"/>
  <c r="BR109" i="6"/>
  <c r="AS112" i="6"/>
  <c r="BR112" i="6"/>
  <c r="AS115" i="6"/>
  <c r="BR115" i="6"/>
  <c r="AS118" i="6"/>
  <c r="BR118" i="6"/>
  <c r="AS121" i="6"/>
  <c r="BR121" i="6"/>
  <c r="AS124" i="6"/>
  <c r="BR124" i="6"/>
  <c r="AS127" i="6"/>
  <c r="BR127" i="6"/>
  <c r="AS130" i="6"/>
  <c r="BR130" i="6"/>
  <c r="AS133" i="6"/>
  <c r="BR133" i="6"/>
  <c r="AS136" i="6"/>
  <c r="BR136" i="6"/>
  <c r="AS139" i="6"/>
  <c r="BR139" i="6"/>
  <c r="AS142" i="6"/>
  <c r="BR142" i="6"/>
  <c r="AS145" i="6"/>
  <c r="BR145" i="6"/>
  <c r="AS148" i="6"/>
  <c r="BR148" i="6"/>
  <c r="AS151" i="6"/>
  <c r="BR151" i="6"/>
  <c r="AS154" i="6"/>
  <c r="BR154" i="6"/>
  <c r="AS65" i="6"/>
  <c r="BR65" i="6"/>
  <c r="AS92" i="6"/>
  <c r="BR92" i="6"/>
  <c r="AS56" i="6"/>
  <c r="BR56" i="6"/>
  <c r="AS89" i="6"/>
  <c r="BR89" i="6"/>
  <c r="AS59" i="6"/>
  <c r="BR59" i="6"/>
  <c r="AS95" i="6"/>
  <c r="BR95" i="6"/>
  <c r="AS128" i="6"/>
  <c r="BR128" i="6"/>
  <c r="AS134" i="6"/>
  <c r="BR134" i="6"/>
  <c r="BH89" i="6"/>
  <c r="BF89" i="6" s="1"/>
  <c r="BG89" i="6" s="1"/>
  <c r="BH95" i="6"/>
  <c r="BF95" i="6" s="1"/>
  <c r="BG95" i="6" s="1"/>
  <c r="AX95" i="6"/>
  <c r="I67" i="6"/>
  <c r="BB95" i="6"/>
  <c r="BD95" i="6" s="1"/>
  <c r="K110" i="6"/>
  <c r="I65" i="6"/>
  <c r="CR65" i="6"/>
  <c r="AX144" i="6"/>
  <c r="AX66" i="6"/>
  <c r="CX107" i="6"/>
  <c r="I136" i="6"/>
  <c r="BO142" i="6"/>
  <c r="CR150" i="6"/>
  <c r="BB97" i="6"/>
  <c r="BD97" i="6" s="1"/>
  <c r="CX116" i="6"/>
  <c r="K57" i="6"/>
  <c r="BH117" i="6"/>
  <c r="BF117" i="6" s="1"/>
  <c r="BG117" i="6" s="1"/>
  <c r="K148" i="6"/>
  <c r="AX142" i="6"/>
  <c r="BH152" i="6"/>
  <c r="BF152" i="6" s="1"/>
  <c r="BG152" i="6" s="1"/>
  <c r="BH106" i="6"/>
  <c r="BF106" i="6" s="1"/>
  <c r="BG106" i="6" s="1"/>
  <c r="K117" i="6"/>
  <c r="CX109" i="6"/>
  <c r="CR59" i="6"/>
  <c r="BO70" i="6"/>
  <c r="AX77" i="6"/>
  <c r="BH79" i="6"/>
  <c r="BF79" i="6" s="1"/>
  <c r="BG79" i="6" s="1"/>
  <c r="CR118" i="6"/>
  <c r="CY106" i="6"/>
  <c r="AX64" i="6"/>
  <c r="BH107" i="6"/>
  <c r="BF107" i="6" s="1"/>
  <c r="BG107" i="6" s="1"/>
  <c r="CX122" i="6"/>
  <c r="CR128" i="6"/>
  <c r="I63" i="6"/>
  <c r="CR63" i="6"/>
  <c r="I120" i="6"/>
  <c r="I151" i="6"/>
  <c r="BO151" i="6"/>
  <c r="K94" i="6"/>
  <c r="AX69" i="6"/>
  <c r="BH124" i="6"/>
  <c r="BF124" i="6" s="1"/>
  <c r="BG124" i="6" s="1"/>
  <c r="AX141" i="6"/>
  <c r="AX143" i="6"/>
  <c r="K146" i="6"/>
  <c r="K151" i="6"/>
  <c r="CJ151" i="6"/>
  <c r="K55" i="6"/>
  <c r="CC68" i="6"/>
  <c r="CC70" i="6"/>
  <c r="CY112" i="6"/>
  <c r="I137" i="6"/>
  <c r="CI137" i="6"/>
  <c r="CR142" i="6"/>
  <c r="BB96" i="6"/>
  <c r="BD96" i="6" s="1"/>
  <c r="CC97" i="6"/>
  <c r="BB101" i="6"/>
  <c r="BD101" i="6" s="1"/>
  <c r="DF153" i="6"/>
  <c r="CJ119" i="6"/>
  <c r="CR127" i="6"/>
  <c r="CI103" i="6"/>
  <c r="AX68" i="6"/>
  <c r="CX106" i="6"/>
  <c r="CZ124" i="6"/>
  <c r="CZ129" i="6"/>
  <c r="DF144" i="6"/>
  <c r="I145" i="6"/>
  <c r="CR57" i="6"/>
  <c r="AX97" i="6"/>
  <c r="AX62" i="6"/>
  <c r="CX69" i="6"/>
  <c r="BB103" i="6"/>
  <c r="BD103" i="6" s="1"/>
  <c r="CR113" i="6"/>
  <c r="K138" i="6"/>
  <c r="AX146" i="6"/>
  <c r="CR67" i="6"/>
  <c r="CX100" i="6"/>
  <c r="CR111" i="6"/>
  <c r="I135" i="6"/>
  <c r="BO135" i="6"/>
  <c r="CX145" i="6"/>
  <c r="BO150" i="6"/>
  <c r="CR61" i="6"/>
  <c r="CX76" i="6"/>
  <c r="AX60" i="6"/>
  <c r="BH77" i="6"/>
  <c r="BF77" i="6" s="1"/>
  <c r="BG77" i="6" s="1"/>
  <c r="BO79" i="6"/>
  <c r="BH105" i="6"/>
  <c r="BF105" i="6" s="1"/>
  <c r="BG105" i="6" s="1"/>
  <c r="CY108" i="6"/>
  <c r="K111" i="6"/>
  <c r="CY115" i="6"/>
  <c r="I118" i="6"/>
  <c r="CY132" i="6"/>
  <c r="BO133" i="6"/>
  <c r="CX141" i="6"/>
  <c r="K145" i="6"/>
  <c r="AX149" i="6"/>
  <c r="I150" i="6"/>
  <c r="K135" i="6"/>
  <c r="CR135" i="6"/>
  <c r="BO72" i="6"/>
  <c r="CX74" i="6"/>
  <c r="CC94" i="6"/>
  <c r="CI96" i="6"/>
  <c r="BO101" i="6"/>
  <c r="BH112" i="6"/>
  <c r="BF112" i="6" s="1"/>
  <c r="BG112" i="6" s="1"/>
  <c r="K118" i="6"/>
  <c r="CX118" i="6"/>
  <c r="BO131" i="6"/>
  <c r="CJ152" i="6"/>
  <c r="I66" i="6"/>
  <c r="CY86" i="6"/>
  <c r="BO103" i="6"/>
  <c r="CR105" i="6"/>
  <c r="CY113" i="6"/>
  <c r="K137" i="6"/>
  <c r="CR137" i="6"/>
  <c r="CX139" i="6"/>
  <c r="CX152" i="6"/>
  <c r="CX72" i="6"/>
  <c r="K105" i="6"/>
  <c r="CX105" i="6"/>
  <c r="CX112" i="6"/>
  <c r="CR140" i="6"/>
  <c r="CR55" i="6"/>
  <c r="AX89" i="6"/>
  <c r="BH108" i="6"/>
  <c r="BF108" i="6" s="1"/>
  <c r="BG108" i="6" s="1"/>
  <c r="CX110" i="6"/>
  <c r="K112" i="6"/>
  <c r="BH115" i="6"/>
  <c r="BF115" i="6" s="1"/>
  <c r="BG115" i="6" s="1"/>
  <c r="CR117" i="6"/>
  <c r="CX142" i="6"/>
  <c r="BO153" i="6"/>
  <c r="BO67" i="6"/>
  <c r="AX72" i="6"/>
  <c r="BO102" i="6"/>
  <c r="AX103" i="6"/>
  <c r="CY105" i="6"/>
  <c r="K119" i="6"/>
  <c r="CR119" i="6"/>
  <c r="BH122" i="6"/>
  <c r="BF122" i="6" s="1"/>
  <c r="BG122" i="6" s="1"/>
  <c r="CX134" i="6"/>
  <c r="CC91" i="6"/>
  <c r="BO93" i="6"/>
  <c r="BH97" i="6"/>
  <c r="BF97" i="6" s="1"/>
  <c r="BG97" i="6" s="1"/>
  <c r="CI98" i="6"/>
  <c r="AX99" i="6"/>
  <c r="BH111" i="6"/>
  <c r="BF111" i="6" s="1"/>
  <c r="BG111" i="6" s="1"/>
  <c r="I114" i="6"/>
  <c r="AX126" i="6"/>
  <c r="BO134" i="6"/>
  <c r="I144" i="6"/>
  <c r="BO55" i="6"/>
  <c r="BO57" i="6"/>
  <c r="BO59" i="6"/>
  <c r="BO61" i="6"/>
  <c r="CC87" i="6"/>
  <c r="BB90" i="6"/>
  <c r="BD90" i="6" s="1"/>
  <c r="CX114" i="6"/>
  <c r="CY117" i="6"/>
  <c r="CX119" i="6"/>
  <c r="CR121" i="6"/>
  <c r="CJ123" i="6"/>
  <c r="CX125" i="6"/>
  <c r="CX130" i="6"/>
  <c r="CZ136" i="6"/>
  <c r="BO141" i="6"/>
  <c r="BO144" i="6"/>
  <c r="BH146" i="6"/>
  <c r="BF146" i="6" s="1"/>
  <c r="BG146" i="6" s="1"/>
  <c r="DF146" i="6"/>
  <c r="BO147" i="6"/>
  <c r="I149" i="6"/>
  <c r="K150" i="6"/>
  <c r="CX151" i="6"/>
  <c r="AX56" i="6"/>
  <c r="AX58" i="6"/>
  <c r="I59" i="6"/>
  <c r="I61" i="6"/>
  <c r="BO63" i="6"/>
  <c r="BO65" i="6"/>
  <c r="CX68" i="6"/>
  <c r="BH71" i="6"/>
  <c r="BF71" i="6" s="1"/>
  <c r="BG71" i="6" s="1"/>
  <c r="CX87" i="6"/>
  <c r="K93" i="6"/>
  <c r="CC93" i="6"/>
  <c r="BB99" i="6"/>
  <c r="BD99" i="6" s="1"/>
  <c r="AX101" i="6"/>
  <c r="CX103" i="6"/>
  <c r="K107" i="6"/>
  <c r="BH113" i="6"/>
  <c r="BF113" i="6" s="1"/>
  <c r="BG113" i="6" s="1"/>
  <c r="K114" i="6"/>
  <c r="K121" i="6"/>
  <c r="DF122" i="6"/>
  <c r="BB126" i="6"/>
  <c r="BD126" i="6" s="1"/>
  <c r="BO127" i="6"/>
  <c r="K134" i="6"/>
  <c r="CR134" i="6"/>
  <c r="K141" i="6"/>
  <c r="K144" i="6"/>
  <c r="K147" i="6"/>
  <c r="BO149" i="6"/>
  <c r="CJ150" i="6"/>
  <c r="CY76" i="6"/>
  <c r="K109" i="6"/>
  <c r="K116" i="6"/>
  <c r="CX121" i="6"/>
  <c r="CX123" i="6"/>
  <c r="K127" i="6"/>
  <c r="CR141" i="6"/>
  <c r="CR144" i="6"/>
  <c r="CX147" i="6"/>
  <c r="K149" i="6"/>
  <c r="CJ154" i="6"/>
  <c r="AX104" i="6"/>
  <c r="CX111" i="6"/>
  <c r="CI129" i="6"/>
  <c r="I143" i="6"/>
  <c r="BO143" i="6"/>
  <c r="CX144" i="6"/>
  <c r="BO146" i="6"/>
  <c r="BH148" i="6"/>
  <c r="BF148" i="6" s="1"/>
  <c r="BG148" i="6" s="1"/>
  <c r="CJ149" i="6"/>
  <c r="CX150" i="6"/>
  <c r="AX151" i="6"/>
  <c r="K153" i="6"/>
  <c r="AX74" i="6"/>
  <c r="BH109" i="6"/>
  <c r="BF109" i="6" s="1"/>
  <c r="BG109" i="6" s="1"/>
  <c r="BO75" i="6"/>
  <c r="CR149" i="6"/>
  <c r="CX63" i="6"/>
  <c r="CX65" i="6"/>
  <c r="CX77" i="6"/>
  <c r="CI79" i="6"/>
  <c r="CI97" i="6"/>
  <c r="BB98" i="6"/>
  <c r="BD98" i="6" s="1"/>
  <c r="CX102" i="6"/>
  <c r="BH110" i="6"/>
  <c r="BF110" i="6" s="1"/>
  <c r="BG110" i="6" s="1"/>
  <c r="K113" i="6"/>
  <c r="CX113" i="6"/>
  <c r="I115" i="6"/>
  <c r="CJ120" i="6"/>
  <c r="K131" i="6"/>
  <c r="CR131" i="6"/>
  <c r="K133" i="6"/>
  <c r="BO136" i="6"/>
  <c r="CR143" i="6"/>
  <c r="CR146" i="6"/>
  <c r="CX149" i="6"/>
  <c r="AX150" i="6"/>
  <c r="CX153" i="6"/>
  <c r="CC71" i="6"/>
  <c r="CI77" i="6"/>
  <c r="CX67" i="6"/>
  <c r="BH68" i="6"/>
  <c r="BF68" i="6" s="1"/>
  <c r="BG68" i="6" s="1"/>
  <c r="CX71" i="6"/>
  <c r="BH78" i="6"/>
  <c r="BF78" i="6" s="1"/>
  <c r="BG78" i="6" s="1"/>
  <c r="CX86" i="6"/>
  <c r="BB87" i="6"/>
  <c r="BC87" i="6" s="1"/>
  <c r="CX97" i="6"/>
  <c r="K106" i="6"/>
  <c r="CR108" i="6"/>
  <c r="CY109" i="6"/>
  <c r="CR115" i="6"/>
  <c r="K120" i="6"/>
  <c r="CR120" i="6"/>
  <c r="I122" i="6"/>
  <c r="CR124" i="6"/>
  <c r="CX129" i="6"/>
  <c r="BH130" i="6"/>
  <c r="BF130" i="6" s="1"/>
  <c r="BG130" i="6" s="1"/>
  <c r="CI133" i="6"/>
  <c r="CY134" i="6"/>
  <c r="K136" i="6"/>
  <c r="CX143" i="6"/>
  <c r="CX146" i="6"/>
  <c r="DF151" i="6"/>
  <c r="I152" i="6"/>
  <c r="BH154" i="6"/>
  <c r="BF154" i="6" s="1"/>
  <c r="BG154" i="6" s="1"/>
  <c r="K88" i="6"/>
  <c r="CC99" i="6"/>
  <c r="K108" i="6"/>
  <c r="CX108" i="6"/>
  <c r="CY111" i="6"/>
  <c r="K115" i="6"/>
  <c r="CX115" i="6"/>
  <c r="CX120" i="6"/>
  <c r="K124" i="6"/>
  <c r="CR136" i="6"/>
  <c r="CX140" i="6"/>
  <c r="CX148" i="6"/>
  <c r="CI78" i="6"/>
  <c r="CX59" i="6"/>
  <c r="CX61" i="6"/>
  <c r="CX58" i="6"/>
  <c r="I62" i="6"/>
  <c r="CY73" i="6"/>
  <c r="CX117" i="6"/>
  <c r="CX126" i="6"/>
  <c r="CZ127" i="6"/>
  <c r="BH144" i="6"/>
  <c r="BF144" i="6" s="1"/>
  <c r="BG144" i="6" s="1"/>
  <c r="BH147" i="6"/>
  <c r="BF147" i="6" s="1"/>
  <c r="BG147" i="6" s="1"/>
  <c r="K152" i="6"/>
  <c r="AX153" i="6"/>
  <c r="CX62" i="6"/>
  <c r="CX66" i="6"/>
  <c r="CX70" i="6"/>
  <c r="AX71" i="6"/>
  <c r="CY75" i="6"/>
  <c r="CC78" i="6"/>
  <c r="CX79" i="6"/>
  <c r="BH83" i="6"/>
  <c r="BF83" i="6" s="1"/>
  <c r="BG83" i="6" s="1"/>
  <c r="BB83" i="6"/>
  <c r="BD83" i="6" s="1"/>
  <c r="K85" i="6"/>
  <c r="CX89" i="6"/>
  <c r="CX90" i="6"/>
  <c r="CX101" i="6"/>
  <c r="BB102" i="6"/>
  <c r="BH120" i="6"/>
  <c r="BF120" i="6" s="1"/>
  <c r="BG120" i="6" s="1"/>
  <c r="DF121" i="6"/>
  <c r="CX124" i="6"/>
  <c r="CR129" i="6"/>
  <c r="BO140" i="6"/>
  <c r="BH145" i="6"/>
  <c r="BF145" i="6" s="1"/>
  <c r="BG145" i="6" s="1"/>
  <c r="DF148" i="6"/>
  <c r="DF149" i="6"/>
  <c r="DF150" i="6"/>
  <c r="BO152" i="6"/>
  <c r="BH59" i="6"/>
  <c r="BF59" i="6" s="1"/>
  <c r="BG59" i="6" s="1"/>
  <c r="BH63" i="6"/>
  <c r="BF63" i="6" s="1"/>
  <c r="BG63" i="6" s="1"/>
  <c r="BH67" i="6"/>
  <c r="BF67" i="6" s="1"/>
  <c r="BG67" i="6" s="1"/>
  <c r="BO69" i="6"/>
  <c r="BH72" i="6"/>
  <c r="BF72" i="6" s="1"/>
  <c r="BG72" i="6" s="1"/>
  <c r="CX73" i="6"/>
  <c r="I116" i="6"/>
  <c r="CY119" i="6"/>
  <c r="I121" i="6"/>
  <c r="CJ122" i="6"/>
  <c r="K123" i="6"/>
  <c r="CR123" i="6"/>
  <c r="BO128" i="6"/>
  <c r="CR130" i="6"/>
  <c r="I138" i="6"/>
  <c r="K139" i="6"/>
  <c r="K140" i="6"/>
  <c r="I147" i="6"/>
  <c r="DF147" i="6"/>
  <c r="I148" i="6"/>
  <c r="CJ153" i="6"/>
  <c r="BH55" i="6"/>
  <c r="BF55" i="6" s="1"/>
  <c r="BG55" i="6" s="1"/>
  <c r="I60" i="6"/>
  <c r="I64" i="6"/>
  <c r="I68" i="6"/>
  <c r="BO68" i="6"/>
  <c r="CC85" i="6"/>
  <c r="K56" i="6"/>
  <c r="BO56" i="6"/>
  <c r="CX57" i="6"/>
  <c r="BO60" i="6"/>
  <c r="BO64" i="6"/>
  <c r="BH75" i="6"/>
  <c r="BF75" i="6" s="1"/>
  <c r="BG75" i="6" s="1"/>
  <c r="AX78" i="6"/>
  <c r="CX78" i="6"/>
  <c r="BH80" i="6"/>
  <c r="BF80" i="6" s="1"/>
  <c r="BG80" i="6" s="1"/>
  <c r="BB82" i="6"/>
  <c r="BO84" i="6"/>
  <c r="AX86" i="6"/>
  <c r="BO88" i="6"/>
  <c r="CX94" i="6"/>
  <c r="CY95" i="6"/>
  <c r="CY97" i="6"/>
  <c r="CR106" i="6"/>
  <c r="CR109" i="6"/>
  <c r="CR112" i="6"/>
  <c r="CY114" i="6"/>
  <c r="CR116" i="6"/>
  <c r="BH119" i="6"/>
  <c r="BF119" i="6" s="1"/>
  <c r="BG119" i="6" s="1"/>
  <c r="CJ121" i="6"/>
  <c r="K122" i="6"/>
  <c r="CR122" i="6"/>
  <c r="K128" i="6"/>
  <c r="BO132" i="6"/>
  <c r="CY135" i="6"/>
  <c r="BO138" i="6"/>
  <c r="BO139" i="6"/>
  <c r="CI140" i="6"/>
  <c r="BH143" i="6"/>
  <c r="BF143" i="6" s="1"/>
  <c r="BG143" i="6" s="1"/>
  <c r="DF145" i="6"/>
  <c r="I146" i="6"/>
  <c r="BO148" i="6"/>
  <c r="BH65" i="6"/>
  <c r="BF65" i="6" s="1"/>
  <c r="BG65" i="6" s="1"/>
  <c r="CZ95" i="6"/>
  <c r="CY118" i="6"/>
  <c r="CR56" i="6"/>
  <c r="AX57" i="6"/>
  <c r="BH58" i="6"/>
  <c r="BF58" i="6" s="1"/>
  <c r="BG58" i="6" s="1"/>
  <c r="CR60" i="6"/>
  <c r="AX61" i="6"/>
  <c r="BH62" i="6"/>
  <c r="BF62" i="6" s="1"/>
  <c r="BG62" i="6" s="1"/>
  <c r="CR64" i="6"/>
  <c r="AX65" i="6"/>
  <c r="BH66" i="6"/>
  <c r="BF66" i="6" s="1"/>
  <c r="BG66" i="6" s="1"/>
  <c r="CR68" i="6"/>
  <c r="CY70" i="6"/>
  <c r="BH74" i="6"/>
  <c r="BF74" i="6" s="1"/>
  <c r="BG74" i="6" s="1"/>
  <c r="BB78" i="6"/>
  <c r="CC84" i="6"/>
  <c r="BH86" i="6"/>
  <c r="BF86" i="6" s="1"/>
  <c r="BG86" i="6" s="1"/>
  <c r="CC88" i="6"/>
  <c r="CY89" i="6"/>
  <c r="CI93" i="6"/>
  <c r="AX100" i="6"/>
  <c r="CY107" i="6"/>
  <c r="CY110" i="6"/>
  <c r="BH114" i="6"/>
  <c r="BF114" i="6" s="1"/>
  <c r="BG114" i="6" s="1"/>
  <c r="BH118" i="6"/>
  <c r="BF118" i="6" s="1"/>
  <c r="BG118" i="6" s="1"/>
  <c r="CX128" i="6"/>
  <c r="K132" i="6"/>
  <c r="CR132" i="6"/>
  <c r="CR133" i="6"/>
  <c r="BO137" i="6"/>
  <c r="CI138" i="6"/>
  <c r="CR139" i="6"/>
  <c r="BO145" i="6"/>
  <c r="CR148" i="6"/>
  <c r="AX154" i="6"/>
  <c r="CY77" i="6"/>
  <c r="BO87" i="6"/>
  <c r="CZ89" i="6"/>
  <c r="BO91" i="6"/>
  <c r="CX92" i="6"/>
  <c r="CX93" i="6"/>
  <c r="I119" i="6"/>
  <c r="CI126" i="6"/>
  <c r="BH129" i="6"/>
  <c r="BF129" i="6" s="1"/>
  <c r="BG129" i="6" s="1"/>
  <c r="CX132" i="6"/>
  <c r="CR138" i="6"/>
  <c r="CR147" i="6"/>
  <c r="CX56" i="6"/>
  <c r="CX60" i="6"/>
  <c r="CX64" i="6"/>
  <c r="CX80" i="6"/>
  <c r="K91" i="6"/>
  <c r="K96" i="6"/>
  <c r="BO96" i="6"/>
  <c r="BB100" i="6"/>
  <c r="BO125" i="6"/>
  <c r="CX133" i="6"/>
  <c r="CX138" i="6"/>
  <c r="AX139" i="6"/>
  <c r="AX140" i="6"/>
  <c r="CR145" i="6"/>
  <c r="AX152" i="6"/>
  <c r="BH153" i="6"/>
  <c r="BF153" i="6" s="1"/>
  <c r="BG153" i="6" s="1"/>
  <c r="BH61" i="6"/>
  <c r="BF61" i="6" s="1"/>
  <c r="BG61" i="6" s="1"/>
  <c r="CX55" i="6"/>
  <c r="K58" i="6"/>
  <c r="BO58" i="6"/>
  <c r="BO62" i="6"/>
  <c r="BO66" i="6"/>
  <c r="CC74" i="6"/>
  <c r="CX75" i="6"/>
  <c r="K78" i="6"/>
  <c r="K79" i="6"/>
  <c r="BH81" i="6"/>
  <c r="BF81" i="6" s="1"/>
  <c r="BG81" i="6" s="1"/>
  <c r="BO82" i="6"/>
  <c r="BB84" i="6"/>
  <c r="BD84" i="6" s="1"/>
  <c r="CI87" i="6"/>
  <c r="BO90" i="6"/>
  <c r="AX92" i="6"/>
  <c r="BB93" i="6"/>
  <c r="BD93" i="6" s="1"/>
  <c r="CC96" i="6"/>
  <c r="CR114" i="6"/>
  <c r="CY116" i="6"/>
  <c r="CJ118" i="6"/>
  <c r="CY122" i="6"/>
  <c r="BH123" i="6"/>
  <c r="BF123" i="6" s="1"/>
  <c r="BG123" i="6" s="1"/>
  <c r="K125" i="6"/>
  <c r="CC125" i="6"/>
  <c r="CX127" i="6"/>
  <c r="CX137" i="6"/>
  <c r="AX138" i="6"/>
  <c r="I142" i="6"/>
  <c r="K143" i="6"/>
  <c r="AX147" i="6"/>
  <c r="AX148" i="6"/>
  <c r="BH149" i="6"/>
  <c r="BF149" i="6" s="1"/>
  <c r="BG149" i="6" s="1"/>
  <c r="BH150" i="6"/>
  <c r="BF150" i="6" s="1"/>
  <c r="BG150" i="6" s="1"/>
  <c r="BH151" i="6"/>
  <c r="BF151" i="6" s="1"/>
  <c r="BG151" i="6" s="1"/>
  <c r="DF154" i="6"/>
  <c r="BH57" i="6"/>
  <c r="BF57" i="6" s="1"/>
  <c r="BG57" i="6" s="1"/>
  <c r="BH69" i="6"/>
  <c r="BF69" i="6" s="1"/>
  <c r="BG69" i="6" s="1"/>
  <c r="CY121" i="6"/>
  <c r="BO129" i="6"/>
  <c r="CZ139" i="6"/>
  <c r="I154" i="6"/>
  <c r="CY69" i="6"/>
  <c r="CY84" i="6"/>
  <c r="AX55" i="6"/>
  <c r="BH56" i="6"/>
  <c r="BF56" i="6" s="1"/>
  <c r="BG56" i="6" s="1"/>
  <c r="CR58" i="6"/>
  <c r="AX59" i="6"/>
  <c r="BH60" i="6"/>
  <c r="BF60" i="6" s="1"/>
  <c r="BG60" i="6" s="1"/>
  <c r="CR62" i="6"/>
  <c r="AX63" i="6"/>
  <c r="BH64" i="6"/>
  <c r="BF64" i="6" s="1"/>
  <c r="BG64" i="6" s="1"/>
  <c r="CR66" i="6"/>
  <c r="AX67" i="6"/>
  <c r="AX75" i="6"/>
  <c r="CC77" i="6"/>
  <c r="BO78" i="6"/>
  <c r="CX82" i="6"/>
  <c r="AX83" i="6"/>
  <c r="BH84" i="6"/>
  <c r="BF84" i="6" s="1"/>
  <c r="BG84" i="6" s="1"/>
  <c r="CC90" i="6"/>
  <c r="BH92" i="6"/>
  <c r="BF92" i="6" s="1"/>
  <c r="BG92" i="6" s="1"/>
  <c r="BB92" i="6"/>
  <c r="CZ92" i="6"/>
  <c r="BO94" i="6"/>
  <c r="CX95" i="6"/>
  <c r="CX98" i="6"/>
  <c r="AX102" i="6"/>
  <c r="CR107" i="6"/>
  <c r="CR110" i="6"/>
  <c r="I113" i="6"/>
  <c r="BH116" i="6"/>
  <c r="BF116" i="6" s="1"/>
  <c r="BG116" i="6" s="1"/>
  <c r="I117" i="6"/>
  <c r="BH121" i="6"/>
  <c r="BF121" i="6" s="1"/>
  <c r="BG121" i="6" s="1"/>
  <c r="DF123" i="6"/>
  <c r="I124" i="6"/>
  <c r="K129" i="6"/>
  <c r="K130" i="6"/>
  <c r="CX131" i="6"/>
  <c r="CX135" i="6"/>
  <c r="CX136" i="6"/>
  <c r="AX137" i="6"/>
  <c r="BH139" i="6"/>
  <c r="BF139" i="6" s="1"/>
  <c r="BG139" i="6" s="1"/>
  <c r="I141" i="6"/>
  <c r="K142" i="6"/>
  <c r="AX145" i="6"/>
  <c r="DF152" i="6"/>
  <c r="I153" i="6"/>
  <c r="BO154" i="6"/>
  <c r="CY123" i="6"/>
  <c r="CY72" i="6"/>
  <c r="BO85" i="6"/>
  <c r="CI90" i="6"/>
  <c r="CX96" i="6"/>
  <c r="BO104" i="6"/>
  <c r="CY120" i="6"/>
  <c r="I123" i="6"/>
  <c r="BH127" i="6"/>
  <c r="BF127" i="6" s="1"/>
  <c r="BG127" i="6" s="1"/>
  <c r="BO130" i="6"/>
  <c r="I139" i="6"/>
  <c r="I140" i="6"/>
  <c r="K154" i="6"/>
  <c r="BD123" i="6"/>
  <c r="BC123" i="6"/>
  <c r="BD122" i="6"/>
  <c r="BC122" i="6"/>
  <c r="BD121" i="6"/>
  <c r="BC121" i="6"/>
  <c r="BB125" i="6"/>
  <c r="CI125" i="6"/>
  <c r="K126" i="6"/>
  <c r="CY130" i="6"/>
  <c r="DF134" i="6"/>
  <c r="BB134" i="6"/>
  <c r="DF136" i="6"/>
  <c r="BB136" i="6"/>
  <c r="BH137" i="6"/>
  <c r="BF137" i="6" s="1"/>
  <c r="BG137" i="6" s="1"/>
  <c r="BH140" i="6"/>
  <c r="BF140" i="6" s="1"/>
  <c r="BG140" i="6" s="1"/>
  <c r="BD154" i="6"/>
  <c r="BC154" i="6"/>
  <c r="AX105" i="6"/>
  <c r="BO105" i="6"/>
  <c r="AX106" i="6"/>
  <c r="BO106" i="6"/>
  <c r="AX107" i="6"/>
  <c r="BO107" i="6"/>
  <c r="AX108" i="6"/>
  <c r="BO108" i="6"/>
  <c r="AX109" i="6"/>
  <c r="BO109" i="6"/>
  <c r="AX110" i="6"/>
  <c r="BO110" i="6"/>
  <c r="AX111" i="6"/>
  <c r="BO111" i="6"/>
  <c r="AX112" i="6"/>
  <c r="BO112" i="6"/>
  <c r="AX113" i="6"/>
  <c r="BO113" i="6"/>
  <c r="AX114" i="6"/>
  <c r="BO114" i="6"/>
  <c r="AX115" i="6"/>
  <c r="BO115" i="6"/>
  <c r="AX116" i="6"/>
  <c r="BO116" i="6"/>
  <c r="AX117" i="6"/>
  <c r="BO117" i="6"/>
  <c r="AX118" i="6"/>
  <c r="BO118" i="6"/>
  <c r="AX119" i="6"/>
  <c r="BO119" i="6"/>
  <c r="AX120" i="6"/>
  <c r="BO120" i="6"/>
  <c r="AX121" i="6"/>
  <c r="BO121" i="6"/>
  <c r="AX122" i="6"/>
  <c r="BO122" i="6"/>
  <c r="AX123" i="6"/>
  <c r="BO123" i="6"/>
  <c r="AX124" i="6"/>
  <c r="BO124" i="6"/>
  <c r="CR125" i="6"/>
  <c r="BH126" i="6"/>
  <c r="BF126" i="6" s="1"/>
  <c r="BG126" i="6" s="1"/>
  <c r="DF127" i="6"/>
  <c r="BB127" i="6"/>
  <c r="BH128" i="6"/>
  <c r="BF128" i="6" s="1"/>
  <c r="BG128" i="6" s="1"/>
  <c r="AX134" i="6"/>
  <c r="CI134" i="6"/>
  <c r="BH135" i="6"/>
  <c r="BF135" i="6" s="1"/>
  <c r="BG135" i="6" s="1"/>
  <c r="AX136" i="6"/>
  <c r="CI136" i="6"/>
  <c r="CZ137" i="6"/>
  <c r="CZ140" i="6"/>
  <c r="BH141" i="6"/>
  <c r="BF141" i="6" s="1"/>
  <c r="BG141" i="6" s="1"/>
  <c r="CZ141" i="6"/>
  <c r="BH142" i="6"/>
  <c r="BF142" i="6" s="1"/>
  <c r="BG142" i="6" s="1"/>
  <c r="CZ142" i="6"/>
  <c r="BD153" i="6"/>
  <c r="BC153" i="6"/>
  <c r="DB124" i="6"/>
  <c r="CI127" i="6"/>
  <c r="CY128" i="6"/>
  <c r="DF132" i="6"/>
  <c r="BB132" i="6"/>
  <c r="BH133" i="6"/>
  <c r="BF133" i="6" s="1"/>
  <c r="BG133" i="6" s="1"/>
  <c r="CI139" i="6"/>
  <c r="BD152" i="6"/>
  <c r="BC152" i="6"/>
  <c r="BB105" i="6"/>
  <c r="CC105" i="6"/>
  <c r="DB105" i="6"/>
  <c r="BB106" i="6"/>
  <c r="CC106" i="6"/>
  <c r="DB106" i="6"/>
  <c r="BB107" i="6"/>
  <c r="CC107" i="6"/>
  <c r="DB107" i="6"/>
  <c r="BB108" i="6"/>
  <c r="CC108" i="6"/>
  <c r="DB108" i="6"/>
  <c r="BB109" i="6"/>
  <c r="CC109" i="6"/>
  <c r="DB109" i="6"/>
  <c r="BB110" i="6"/>
  <c r="CC110" i="6"/>
  <c r="DB110" i="6"/>
  <c r="BB111" i="6"/>
  <c r="CC111" i="6"/>
  <c r="DB111" i="6"/>
  <c r="BB112" i="6"/>
  <c r="CC112" i="6"/>
  <c r="DB112" i="6"/>
  <c r="BB113" i="6"/>
  <c r="DB113" i="6"/>
  <c r="BB114" i="6"/>
  <c r="DB114" i="6"/>
  <c r="BB115" i="6"/>
  <c r="DB115" i="6"/>
  <c r="BB116" i="6"/>
  <c r="DB116" i="6"/>
  <c r="BB117" i="6"/>
  <c r="DB117" i="6"/>
  <c r="BB118" i="6"/>
  <c r="DB118" i="6"/>
  <c r="BB119" i="6"/>
  <c r="DB119" i="6"/>
  <c r="BB120" i="6"/>
  <c r="DB120" i="6"/>
  <c r="DB121" i="6"/>
  <c r="DB122" i="6"/>
  <c r="DB123" i="6"/>
  <c r="BB124" i="6"/>
  <c r="CY126" i="6"/>
  <c r="AX132" i="6"/>
  <c r="CI132" i="6"/>
  <c r="CY133" i="6"/>
  <c r="BD149" i="6"/>
  <c r="BC149" i="6"/>
  <c r="BD150" i="6"/>
  <c r="BC150" i="6"/>
  <c r="BD151" i="6"/>
  <c r="BC151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24" i="6"/>
  <c r="DF130" i="6"/>
  <c r="BB130" i="6"/>
  <c r="BH131" i="6"/>
  <c r="BF131" i="6" s="1"/>
  <c r="BG131" i="6" s="1"/>
  <c r="BH138" i="6"/>
  <c r="BF138" i="6" s="1"/>
  <c r="BG138" i="6" s="1"/>
  <c r="BD147" i="6"/>
  <c r="BC147" i="6"/>
  <c r="BD148" i="6"/>
  <c r="BC148" i="6"/>
  <c r="CI105" i="6"/>
  <c r="BH125" i="6"/>
  <c r="BF125" i="6" s="1"/>
  <c r="BG125" i="6" s="1"/>
  <c r="BO126" i="6"/>
  <c r="CI130" i="6"/>
  <c r="CY131" i="6"/>
  <c r="CZ138" i="6"/>
  <c r="BD146" i="6"/>
  <c r="BC146" i="6"/>
  <c r="DF128" i="6"/>
  <c r="BB128" i="6"/>
  <c r="DF135" i="6"/>
  <c r="BB135" i="6"/>
  <c r="BD145" i="6"/>
  <c r="BC145" i="6"/>
  <c r="DF129" i="6"/>
  <c r="BB129" i="6"/>
  <c r="CY125" i="6"/>
  <c r="CC126" i="6"/>
  <c r="AX128" i="6"/>
  <c r="CI128" i="6"/>
  <c r="DF133" i="6"/>
  <c r="BB133" i="6"/>
  <c r="BH134" i="6"/>
  <c r="BF134" i="6" s="1"/>
  <c r="BG134" i="6" s="1"/>
  <c r="AX135" i="6"/>
  <c r="CI135" i="6"/>
  <c r="BH136" i="6"/>
  <c r="BF136" i="6" s="1"/>
  <c r="BG136" i="6" s="1"/>
  <c r="BD144" i="6"/>
  <c r="BC144" i="6"/>
  <c r="CR126" i="6"/>
  <c r="DF131" i="6"/>
  <c r="BB131" i="6"/>
  <c r="BH132" i="6"/>
  <c r="BF132" i="6" s="1"/>
  <c r="BG132" i="6" s="1"/>
  <c r="AX125" i="6"/>
  <c r="AX131" i="6"/>
  <c r="CI131" i="6"/>
  <c r="CY143" i="6"/>
  <c r="CY144" i="6"/>
  <c r="CY145" i="6"/>
  <c r="CY146" i="6"/>
  <c r="CY147" i="6"/>
  <c r="CY148" i="6"/>
  <c r="CY149" i="6"/>
  <c r="CY150" i="6"/>
  <c r="CY151" i="6"/>
  <c r="CY152" i="6"/>
  <c r="CY153" i="6"/>
  <c r="CY154" i="6"/>
  <c r="CZ143" i="6"/>
  <c r="CZ148" i="6"/>
  <c r="CZ149" i="6"/>
  <c r="CZ150" i="6"/>
  <c r="CZ151" i="6"/>
  <c r="CZ152" i="6"/>
  <c r="CZ153" i="6"/>
  <c r="CZ154" i="6"/>
  <c r="CC127" i="6"/>
  <c r="CC128" i="6"/>
  <c r="CC129" i="6"/>
  <c r="CC130" i="6"/>
  <c r="CC131" i="6"/>
  <c r="CC132" i="6"/>
  <c r="CC133" i="6"/>
  <c r="CC134" i="6"/>
  <c r="BB137" i="6"/>
  <c r="BB138" i="6"/>
  <c r="BB139" i="6"/>
  <c r="BB140" i="6"/>
  <c r="BB141" i="6"/>
  <c r="BB142" i="6"/>
  <c r="BB143" i="6"/>
  <c r="DB144" i="6"/>
  <c r="DB145" i="6"/>
  <c r="DB146" i="6"/>
  <c r="CC151" i="6"/>
  <c r="CC152" i="6"/>
  <c r="CC153" i="6"/>
  <c r="CC154" i="6"/>
  <c r="CI141" i="6"/>
  <c r="CI142" i="6"/>
  <c r="CI143" i="6"/>
  <c r="CI144" i="6"/>
  <c r="CI145" i="6"/>
  <c r="CI146" i="6"/>
  <c r="CI147" i="6"/>
  <c r="CI148" i="6"/>
  <c r="CY68" i="6"/>
  <c r="CC69" i="6"/>
  <c r="CY71" i="6"/>
  <c r="CC72" i="6"/>
  <c r="CY74" i="6"/>
  <c r="CC75" i="6"/>
  <c r="CZ77" i="6"/>
  <c r="CR78" i="6"/>
  <c r="AX80" i="6"/>
  <c r="CC80" i="6"/>
  <c r="CY83" i="6"/>
  <c r="CZ85" i="6"/>
  <c r="CY85" i="6"/>
  <c r="BH85" i="6"/>
  <c r="BF85" i="6" s="1"/>
  <c r="BG85" i="6" s="1"/>
  <c r="CZ98" i="6"/>
  <c r="CY98" i="6"/>
  <c r="BH98" i="6"/>
  <c r="BF98" i="6" s="1"/>
  <c r="BG98" i="6" s="1"/>
  <c r="CZ68" i="6"/>
  <c r="BB69" i="6"/>
  <c r="CI69" i="6"/>
  <c r="K70" i="6"/>
  <c r="CZ71" i="6"/>
  <c r="BB72" i="6"/>
  <c r="CI72" i="6"/>
  <c r="K73" i="6"/>
  <c r="CZ74" i="6"/>
  <c r="BB75" i="6"/>
  <c r="CI75" i="6"/>
  <c r="K76" i="6"/>
  <c r="BO77" i="6"/>
  <c r="CY79" i="6"/>
  <c r="CI80" i="6"/>
  <c r="K81" i="6"/>
  <c r="AX82" i="6"/>
  <c r="CC82" i="6"/>
  <c r="CZ83" i="6"/>
  <c r="CY55" i="6"/>
  <c r="CY56" i="6"/>
  <c r="CY57" i="6"/>
  <c r="CY58" i="6"/>
  <c r="CY59" i="6"/>
  <c r="CY60" i="6"/>
  <c r="CY61" i="6"/>
  <c r="CY62" i="6"/>
  <c r="CY63" i="6"/>
  <c r="CY64" i="6"/>
  <c r="CY65" i="6"/>
  <c r="CY66" i="6"/>
  <c r="CY67" i="6"/>
  <c r="CR69" i="6"/>
  <c r="BH70" i="6"/>
  <c r="BF70" i="6" s="1"/>
  <c r="BG70" i="6" s="1"/>
  <c r="BO71" i="6"/>
  <c r="CR72" i="6"/>
  <c r="BH73" i="6"/>
  <c r="BF73" i="6" s="1"/>
  <c r="BG73" i="6" s="1"/>
  <c r="BO74" i="6"/>
  <c r="CR75" i="6"/>
  <c r="BH76" i="6"/>
  <c r="BF76" i="6" s="1"/>
  <c r="BG76" i="6" s="1"/>
  <c r="CZ79" i="6"/>
  <c r="BB80" i="6"/>
  <c r="CR80" i="6"/>
  <c r="CY81" i="6"/>
  <c r="BH82" i="6"/>
  <c r="BF82" i="6" s="1"/>
  <c r="BG82" i="6" s="1"/>
  <c r="CI82" i="6"/>
  <c r="CR82" i="6"/>
  <c r="BO83" i="6"/>
  <c r="CX88" i="6"/>
  <c r="BB55" i="6"/>
  <c r="CC55" i="6"/>
  <c r="BB56" i="6"/>
  <c r="CC56" i="6"/>
  <c r="BB57" i="6"/>
  <c r="CC57" i="6"/>
  <c r="BB58" i="6"/>
  <c r="CC58" i="6"/>
  <c r="BB59" i="6"/>
  <c r="CC59" i="6"/>
  <c r="BB60" i="6"/>
  <c r="CC60" i="6"/>
  <c r="BB61" i="6"/>
  <c r="CC61" i="6"/>
  <c r="BB62" i="6"/>
  <c r="CC62" i="6"/>
  <c r="BB63" i="6"/>
  <c r="CC63" i="6"/>
  <c r="BB64" i="6"/>
  <c r="CC64" i="6"/>
  <c r="BB65" i="6"/>
  <c r="CC65" i="6"/>
  <c r="BB66" i="6"/>
  <c r="CC66" i="6"/>
  <c r="BB67" i="6"/>
  <c r="CC67" i="6"/>
  <c r="BB68" i="6"/>
  <c r="CI68" i="6"/>
  <c r="K69" i="6"/>
  <c r="BB71" i="6"/>
  <c r="CI71" i="6"/>
  <c r="K72" i="6"/>
  <c r="BB74" i="6"/>
  <c r="CI74" i="6"/>
  <c r="K75" i="6"/>
  <c r="BB77" i="6"/>
  <c r="CR77" i="6"/>
  <c r="AX79" i="6"/>
  <c r="CC79" i="6"/>
  <c r="BO81" i="6"/>
  <c r="CC83" i="6"/>
  <c r="CI56" i="6"/>
  <c r="CI60" i="6"/>
  <c r="CI63" i="6"/>
  <c r="CI64" i="6"/>
  <c r="CI65" i="6"/>
  <c r="CI66" i="6"/>
  <c r="CR71" i="6"/>
  <c r="BO73" i="6"/>
  <c r="CR74" i="6"/>
  <c r="BO76" i="6"/>
  <c r="CY78" i="6"/>
  <c r="K80" i="6"/>
  <c r="CI83" i="6"/>
  <c r="CI55" i="6"/>
  <c r="CI57" i="6"/>
  <c r="CI58" i="6"/>
  <c r="CI59" i="6"/>
  <c r="CI61" i="6"/>
  <c r="CI62" i="6"/>
  <c r="CI67" i="6"/>
  <c r="AX70" i="6"/>
  <c r="AX73" i="6"/>
  <c r="AX76" i="6"/>
  <c r="CZ78" i="6"/>
  <c r="BB79" i="6"/>
  <c r="CR79" i="6"/>
  <c r="AX81" i="6"/>
  <c r="CC81" i="6"/>
  <c r="K82" i="6"/>
  <c r="CX91" i="6"/>
  <c r="CC73" i="6"/>
  <c r="CC76" i="6"/>
  <c r="CY80" i="6"/>
  <c r="CI81" i="6"/>
  <c r="CY82" i="6"/>
  <c r="CX83" i="6"/>
  <c r="BB70" i="6"/>
  <c r="CI70" i="6"/>
  <c r="K71" i="6"/>
  <c r="BB73" i="6"/>
  <c r="CI73" i="6"/>
  <c r="K74" i="6"/>
  <c r="BB76" i="6"/>
  <c r="CI76" i="6"/>
  <c r="K77" i="6"/>
  <c r="CZ80" i="6"/>
  <c r="BB81" i="6"/>
  <c r="CR81" i="6"/>
  <c r="CZ82" i="6"/>
  <c r="CI84" i="6"/>
  <c r="CR70" i="6"/>
  <c r="CR73" i="6"/>
  <c r="CR76" i="6"/>
  <c r="BO80" i="6"/>
  <c r="CX81" i="6"/>
  <c r="K83" i="6"/>
  <c r="I83" i="6"/>
  <c r="CX84" i="6"/>
  <c r="DF85" i="6"/>
  <c r="BB85" i="6"/>
  <c r="AX85" i="6"/>
  <c r="CX85" i="6"/>
  <c r="CR84" i="6"/>
  <c r="BO86" i="6"/>
  <c r="CR87" i="6"/>
  <c r="BH88" i="6"/>
  <c r="BF88" i="6" s="1"/>
  <c r="BG88" i="6" s="1"/>
  <c r="BO89" i="6"/>
  <c r="CR90" i="6"/>
  <c r="BH91" i="6"/>
  <c r="BF91" i="6" s="1"/>
  <c r="BG91" i="6" s="1"/>
  <c r="BO92" i="6"/>
  <c r="CR93" i="6"/>
  <c r="BH94" i="6"/>
  <c r="BF94" i="6" s="1"/>
  <c r="BG94" i="6" s="1"/>
  <c r="BO95" i="6"/>
  <c r="CR96" i="6"/>
  <c r="CX104" i="6"/>
  <c r="K98" i="6"/>
  <c r="CR98" i="6"/>
  <c r="I98" i="6"/>
  <c r="CC86" i="6"/>
  <c r="CY88" i="6"/>
  <c r="CC89" i="6"/>
  <c r="CY91" i="6"/>
  <c r="CC92" i="6"/>
  <c r="CY94" i="6"/>
  <c r="CC95" i="6"/>
  <c r="K84" i="6"/>
  <c r="BB86" i="6"/>
  <c r="CI86" i="6"/>
  <c r="K87" i="6"/>
  <c r="BB89" i="6"/>
  <c r="CI89" i="6"/>
  <c r="K90" i="6"/>
  <c r="CI92" i="6"/>
  <c r="CI95" i="6"/>
  <c r="CI99" i="6"/>
  <c r="CI102" i="6"/>
  <c r="CR86" i="6"/>
  <c r="BH87" i="6"/>
  <c r="BF87" i="6" s="1"/>
  <c r="BG87" i="6" s="1"/>
  <c r="CR89" i="6"/>
  <c r="BH90" i="6"/>
  <c r="BF90" i="6" s="1"/>
  <c r="BG90" i="6" s="1"/>
  <c r="CR92" i="6"/>
  <c r="BH93" i="6"/>
  <c r="BF93" i="6" s="1"/>
  <c r="BG93" i="6" s="1"/>
  <c r="CR95" i="6"/>
  <c r="BH96" i="6"/>
  <c r="BF96" i="6" s="1"/>
  <c r="BG96" i="6" s="1"/>
  <c r="CI100" i="6"/>
  <c r="CI101" i="6"/>
  <c r="AX88" i="6"/>
  <c r="AX91" i="6"/>
  <c r="AX94" i="6"/>
  <c r="CX99" i="6"/>
  <c r="BH104" i="6"/>
  <c r="BF104" i="6" s="1"/>
  <c r="BG104" i="6" s="1"/>
  <c r="CY104" i="6"/>
  <c r="CY87" i="6"/>
  <c r="CY90" i="6"/>
  <c r="CY93" i="6"/>
  <c r="CY96" i="6"/>
  <c r="K99" i="6"/>
  <c r="CR99" i="6"/>
  <c r="I99" i="6"/>
  <c r="BH103" i="6"/>
  <c r="BF103" i="6" s="1"/>
  <c r="BG103" i="6" s="1"/>
  <c r="CY103" i="6"/>
  <c r="CI85" i="6"/>
  <c r="K86" i="6"/>
  <c r="BB88" i="6"/>
  <c r="CI88" i="6"/>
  <c r="K89" i="6"/>
  <c r="BB91" i="6"/>
  <c r="CI91" i="6"/>
  <c r="K92" i="6"/>
  <c r="BB94" i="6"/>
  <c r="CI94" i="6"/>
  <c r="K95" i="6"/>
  <c r="BO98" i="6"/>
  <c r="BH100" i="6"/>
  <c r="BF100" i="6" s="1"/>
  <c r="BG100" i="6" s="1"/>
  <c r="CY100" i="6"/>
  <c r="BH101" i="6"/>
  <c r="BF101" i="6" s="1"/>
  <c r="BG101" i="6" s="1"/>
  <c r="CY101" i="6"/>
  <c r="BH102" i="6"/>
  <c r="BF102" i="6" s="1"/>
  <c r="BG102" i="6" s="1"/>
  <c r="CY102" i="6"/>
  <c r="CZ103" i="6"/>
  <c r="CR85" i="6"/>
  <c r="CR88" i="6"/>
  <c r="CR91" i="6"/>
  <c r="CR94" i="6"/>
  <c r="K97" i="6"/>
  <c r="CR97" i="6"/>
  <c r="I97" i="6"/>
  <c r="BH99" i="6"/>
  <c r="BF99" i="6" s="1"/>
  <c r="BG99" i="6" s="1"/>
  <c r="CZ99" i="6"/>
  <c r="CZ102" i="6"/>
  <c r="AX84" i="6"/>
  <c r="AX87" i="6"/>
  <c r="AX90" i="6"/>
  <c r="AX93" i="6"/>
  <c r="AX96" i="6"/>
  <c r="AX98" i="6"/>
  <c r="CC98" i="6"/>
  <c r="K100" i="6"/>
  <c r="CR100" i="6"/>
  <c r="I100" i="6"/>
  <c r="CC100" i="6"/>
  <c r="CZ100" i="6"/>
  <c r="CZ101" i="6"/>
  <c r="CC101" i="6"/>
  <c r="CC102" i="6"/>
  <c r="CC103" i="6"/>
  <c r="BB104" i="6"/>
  <c r="CC104" i="6"/>
  <c r="CI104" i="6"/>
  <c r="I101" i="6"/>
  <c r="I102" i="6"/>
  <c r="I103" i="6"/>
  <c r="I104" i="6"/>
  <c r="CR101" i="6"/>
  <c r="CR102" i="6"/>
  <c r="CR103" i="6"/>
  <c r="CR104" i="6"/>
  <c r="BC98" i="6" l="1"/>
  <c r="BC95" i="6"/>
  <c r="BC96" i="6"/>
  <c r="BC97" i="6"/>
  <c r="BD87" i="6"/>
  <c r="BC126" i="6"/>
  <c r="BC99" i="6"/>
  <c r="BC101" i="6"/>
  <c r="BC103" i="6"/>
  <c r="BC93" i="6"/>
  <c r="BC90" i="6"/>
  <c r="BC84" i="6"/>
  <c r="BC83" i="6"/>
  <c r="BD100" i="6"/>
  <c r="BC100" i="6"/>
  <c r="BD92" i="6"/>
  <c r="BC92" i="6"/>
  <c r="BD78" i="6"/>
  <c r="BC78" i="6"/>
  <c r="BD102" i="6"/>
  <c r="BC102" i="6"/>
  <c r="BD82" i="6"/>
  <c r="BC82" i="6"/>
  <c r="BD109" i="6"/>
  <c r="BC109" i="6"/>
  <c r="BD131" i="6"/>
  <c r="BC131" i="6"/>
  <c r="BD118" i="6"/>
  <c r="BC118" i="6"/>
  <c r="BD139" i="6"/>
  <c r="BC139" i="6"/>
  <c r="BD112" i="6"/>
  <c r="BC112" i="6"/>
  <c r="BD108" i="6"/>
  <c r="BC108" i="6"/>
  <c r="BD113" i="6"/>
  <c r="BC113" i="6"/>
  <c r="BD138" i="6"/>
  <c r="BC138" i="6"/>
  <c r="BD130" i="6"/>
  <c r="BC130" i="6"/>
  <c r="BD117" i="6"/>
  <c r="BC117" i="6"/>
  <c r="BD106" i="6"/>
  <c r="BC106" i="6"/>
  <c r="BD119" i="6"/>
  <c r="BC119" i="6"/>
  <c r="BD140" i="6"/>
  <c r="BC140" i="6"/>
  <c r="BD134" i="6"/>
  <c r="BC134" i="6"/>
  <c r="BD137" i="6"/>
  <c r="BC137" i="6"/>
  <c r="BD124" i="6"/>
  <c r="BC124" i="6"/>
  <c r="BD132" i="6"/>
  <c r="BC132" i="6"/>
  <c r="BD128" i="6"/>
  <c r="BC128" i="6"/>
  <c r="BD141" i="6"/>
  <c r="BC141" i="6"/>
  <c r="BD129" i="6"/>
  <c r="BC129" i="6"/>
  <c r="BD116" i="6"/>
  <c r="BC116" i="6"/>
  <c r="BD111" i="6"/>
  <c r="BC111" i="6"/>
  <c r="BD107" i="6"/>
  <c r="BC107" i="6"/>
  <c r="BD125" i="6"/>
  <c r="BC125" i="6"/>
  <c r="BD115" i="6"/>
  <c r="BC115" i="6"/>
  <c r="BD135" i="6"/>
  <c r="BC135" i="6"/>
  <c r="BD120" i="6"/>
  <c r="BC120" i="6"/>
  <c r="BD114" i="6"/>
  <c r="BC114" i="6"/>
  <c r="BD143" i="6"/>
  <c r="BC143" i="6"/>
  <c r="BD133" i="6"/>
  <c r="BC133" i="6"/>
  <c r="BD105" i="6"/>
  <c r="BC105" i="6"/>
  <c r="BD127" i="6"/>
  <c r="BC127" i="6"/>
  <c r="BD136" i="6"/>
  <c r="BC136" i="6"/>
  <c r="BD110" i="6"/>
  <c r="BC110" i="6"/>
  <c r="BD142" i="6"/>
  <c r="BC142" i="6"/>
  <c r="BD85" i="6"/>
  <c r="BC85" i="6"/>
  <c r="BD70" i="6"/>
  <c r="BC70" i="6"/>
  <c r="BD94" i="6"/>
  <c r="BC94" i="6"/>
  <c r="BD74" i="6"/>
  <c r="BC74" i="6"/>
  <c r="BD65" i="6"/>
  <c r="BC65" i="6"/>
  <c r="BD59" i="6"/>
  <c r="BC59" i="6"/>
  <c r="BD75" i="6"/>
  <c r="BC75" i="6"/>
  <c r="BD64" i="6"/>
  <c r="BC64" i="6"/>
  <c r="BD58" i="6"/>
  <c r="BC58" i="6"/>
  <c r="BD91" i="6"/>
  <c r="BC91" i="6"/>
  <c r="BD71" i="6"/>
  <c r="BC71" i="6"/>
  <c r="BD57" i="6"/>
  <c r="BC57" i="6"/>
  <c r="BD76" i="6"/>
  <c r="BC76" i="6"/>
  <c r="BD80" i="6"/>
  <c r="BC80" i="6"/>
  <c r="BD68" i="6"/>
  <c r="BC68" i="6"/>
  <c r="BD62" i="6"/>
  <c r="BC62" i="6"/>
  <c r="BD56" i="6"/>
  <c r="BC56" i="6"/>
  <c r="BD81" i="6"/>
  <c r="BC81" i="6"/>
  <c r="BD63" i="6"/>
  <c r="BC63" i="6"/>
  <c r="BD72" i="6"/>
  <c r="BC72" i="6"/>
  <c r="BD89" i="6"/>
  <c r="BC89" i="6"/>
  <c r="BD88" i="6"/>
  <c r="BC88" i="6"/>
  <c r="BD79" i="6"/>
  <c r="BC79" i="6"/>
  <c r="BD86" i="6"/>
  <c r="BC86" i="6"/>
  <c r="BD73" i="6"/>
  <c r="BC73" i="6"/>
  <c r="BD67" i="6"/>
  <c r="BC67" i="6"/>
  <c r="BD61" i="6"/>
  <c r="BC61" i="6"/>
  <c r="BD55" i="6"/>
  <c r="BC55" i="6"/>
  <c r="BD69" i="6"/>
  <c r="BC69" i="6"/>
  <c r="BD77" i="6"/>
  <c r="BC77" i="6"/>
  <c r="BD104" i="6"/>
  <c r="BC104" i="6"/>
  <c r="BD66" i="6"/>
  <c r="BC66" i="6"/>
  <c r="BD60" i="6"/>
  <c r="BC60" i="6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5" i="12" l="1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C5" i="11" l="1"/>
  <c r="AR6" i="6" l="1"/>
  <c r="AR7" i="6"/>
  <c r="AR8" i="6"/>
  <c r="AR9" i="6"/>
  <c r="AR10" i="6"/>
  <c r="AR11" i="6"/>
  <c r="AR12" i="6"/>
  <c r="AR13" i="6"/>
  <c r="AR14" i="6"/>
  <c r="AR15" i="6"/>
  <c r="AR16" i="6"/>
  <c r="AR17" i="6"/>
  <c r="AR18" i="6"/>
  <c r="AR19" i="6"/>
  <c r="AR20" i="6"/>
  <c r="AR21" i="6"/>
  <c r="AR22" i="6"/>
  <c r="AR23" i="6"/>
  <c r="AR24" i="6"/>
  <c r="AR25" i="6"/>
  <c r="AR26" i="6"/>
  <c r="AR27" i="6"/>
  <c r="AR28" i="6"/>
  <c r="AR29" i="6"/>
  <c r="AR30" i="6"/>
  <c r="AR31" i="6"/>
  <c r="AR32" i="6"/>
  <c r="AR33" i="6"/>
  <c r="AR34" i="6"/>
  <c r="AR35" i="6"/>
  <c r="AR36" i="6"/>
  <c r="AR37" i="6"/>
  <c r="AR38" i="6"/>
  <c r="AR39" i="6"/>
  <c r="AR40" i="6"/>
  <c r="AR41" i="6"/>
  <c r="AR42" i="6"/>
  <c r="AR43" i="6"/>
  <c r="AR44" i="6"/>
  <c r="AR45" i="6"/>
  <c r="AR46" i="6"/>
  <c r="AR47" i="6"/>
  <c r="AR48" i="6"/>
  <c r="AR49" i="6"/>
  <c r="AR50" i="6"/>
  <c r="AR51" i="6"/>
  <c r="AR52" i="6"/>
  <c r="AR53" i="6"/>
  <c r="AR54" i="6"/>
  <c r="AR5" i="6"/>
  <c r="EB6" i="6"/>
  <c r="EB7" i="6"/>
  <c r="EB8" i="6"/>
  <c r="EB9" i="6"/>
  <c r="EB10" i="6"/>
  <c r="EB11" i="6"/>
  <c r="EB12" i="6"/>
  <c r="EB13" i="6"/>
  <c r="EB14" i="6"/>
  <c r="EB15" i="6"/>
  <c r="EB16" i="6"/>
  <c r="EB17" i="6"/>
  <c r="EB18" i="6"/>
  <c r="EB19" i="6"/>
  <c r="EB20" i="6"/>
  <c r="EB21" i="6"/>
  <c r="EB22" i="6"/>
  <c r="EB23" i="6"/>
  <c r="EB24" i="6"/>
  <c r="EB25" i="6"/>
  <c r="EB26" i="6"/>
  <c r="EB27" i="6"/>
  <c r="EB28" i="6"/>
  <c r="EB29" i="6"/>
  <c r="EB30" i="6"/>
  <c r="EB31" i="6"/>
  <c r="EB32" i="6"/>
  <c r="EB33" i="6"/>
  <c r="EB34" i="6"/>
  <c r="EB35" i="6"/>
  <c r="EB36" i="6"/>
  <c r="EB37" i="6"/>
  <c r="EB38" i="6"/>
  <c r="EB39" i="6"/>
  <c r="EB40" i="6"/>
  <c r="EB41" i="6"/>
  <c r="EB42" i="6"/>
  <c r="EB43" i="6"/>
  <c r="EB44" i="6"/>
  <c r="EB45" i="6"/>
  <c r="EB46" i="6"/>
  <c r="EB47" i="6"/>
  <c r="EB48" i="6"/>
  <c r="EB49" i="6"/>
  <c r="EB50" i="6"/>
  <c r="EB51" i="6"/>
  <c r="EB52" i="6"/>
  <c r="EB53" i="6"/>
  <c r="EB54" i="6"/>
  <c r="EB5" i="6"/>
  <c r="DA9" i="6"/>
  <c r="DA8" i="6"/>
  <c r="DA7" i="6"/>
  <c r="DA6" i="6"/>
  <c r="DA5" i="6"/>
  <c r="AS53" i="6" l="1"/>
  <c r="BR53" i="6"/>
  <c r="AS41" i="6"/>
  <c r="BR41" i="6"/>
  <c r="AS29" i="6"/>
  <c r="BR29" i="6"/>
  <c r="AS17" i="6"/>
  <c r="BR17" i="6"/>
  <c r="AS52" i="6"/>
  <c r="BR52" i="6"/>
  <c r="AS40" i="6"/>
  <c r="BR40" i="6"/>
  <c r="AS28" i="6"/>
  <c r="BR28" i="6"/>
  <c r="AS16" i="6"/>
  <c r="BR16" i="6"/>
  <c r="AS38" i="6"/>
  <c r="BR38" i="6"/>
  <c r="AS49" i="6"/>
  <c r="BR49" i="6"/>
  <c r="AS37" i="6"/>
  <c r="BR37" i="6"/>
  <c r="AS25" i="6"/>
  <c r="BR25" i="6"/>
  <c r="AS13" i="6"/>
  <c r="BR13" i="6"/>
  <c r="AS14" i="6"/>
  <c r="BR14" i="6"/>
  <c r="AS48" i="6"/>
  <c r="BR48" i="6"/>
  <c r="AS36" i="6"/>
  <c r="BR36" i="6"/>
  <c r="AS24" i="6"/>
  <c r="BR24" i="6"/>
  <c r="AS12" i="6"/>
  <c r="BR12" i="6"/>
  <c r="AS39" i="6"/>
  <c r="BR39" i="6"/>
  <c r="AS50" i="6"/>
  <c r="BR50" i="6"/>
  <c r="AS47" i="6"/>
  <c r="BR47" i="6"/>
  <c r="AS35" i="6"/>
  <c r="BR35" i="6"/>
  <c r="AS23" i="6"/>
  <c r="BR23" i="6"/>
  <c r="AS11" i="6"/>
  <c r="BR11" i="6"/>
  <c r="AS51" i="6"/>
  <c r="BR51" i="6"/>
  <c r="AS26" i="6"/>
  <c r="BR26" i="6"/>
  <c r="AS46" i="6"/>
  <c r="BR46" i="6"/>
  <c r="AS34" i="6"/>
  <c r="BR34" i="6"/>
  <c r="AS22" i="6"/>
  <c r="BR22" i="6"/>
  <c r="AS10" i="6"/>
  <c r="BR10" i="6"/>
  <c r="AS45" i="6"/>
  <c r="BR45" i="6"/>
  <c r="AS33" i="6"/>
  <c r="BR33" i="6"/>
  <c r="AS21" i="6"/>
  <c r="BR21" i="6"/>
  <c r="AS9" i="6"/>
  <c r="BR9" i="6"/>
  <c r="AS27" i="6"/>
  <c r="BR27" i="6"/>
  <c r="AS44" i="6"/>
  <c r="BR44" i="6"/>
  <c r="AS32" i="6"/>
  <c r="BR32" i="6"/>
  <c r="AS20" i="6"/>
  <c r="BR20" i="6"/>
  <c r="AS8" i="6"/>
  <c r="BR8" i="6"/>
  <c r="AS15" i="6"/>
  <c r="BR15" i="6"/>
  <c r="AS5" i="6"/>
  <c r="BR5" i="6"/>
  <c r="AS43" i="6"/>
  <c r="BR43" i="6"/>
  <c r="AS31" i="6"/>
  <c r="BR31" i="6"/>
  <c r="AS19" i="6"/>
  <c r="BR19" i="6"/>
  <c r="AS7" i="6"/>
  <c r="BR7" i="6"/>
  <c r="AS54" i="6"/>
  <c r="BR54" i="6"/>
  <c r="AS42" i="6"/>
  <c r="BR42" i="6"/>
  <c r="AS30" i="6"/>
  <c r="BR30" i="6"/>
  <c r="AS18" i="6"/>
  <c r="BR18" i="6"/>
  <c r="AS6" i="6"/>
  <c r="BR6" i="6"/>
  <c r="E6" i="6"/>
  <c r="G6" i="6"/>
  <c r="I6" i="6" s="1"/>
  <c r="H6" i="6"/>
  <c r="J6" i="6"/>
  <c r="E7" i="6"/>
  <c r="G7" i="6"/>
  <c r="K7" i="6" s="1"/>
  <c r="H7" i="6"/>
  <c r="J7" i="6"/>
  <c r="E8" i="6"/>
  <c r="G8" i="6"/>
  <c r="I8" i="6" s="1"/>
  <c r="H8" i="6"/>
  <c r="J8" i="6"/>
  <c r="E9" i="6"/>
  <c r="G9" i="6"/>
  <c r="I9" i="6" s="1"/>
  <c r="H9" i="6"/>
  <c r="J9" i="6"/>
  <c r="E10" i="6"/>
  <c r="G10" i="6"/>
  <c r="I10" i="6" s="1"/>
  <c r="H10" i="6"/>
  <c r="J10" i="6"/>
  <c r="E11" i="6"/>
  <c r="G11" i="6"/>
  <c r="I11" i="6" s="1"/>
  <c r="H11" i="6"/>
  <c r="J11" i="6"/>
  <c r="E12" i="6"/>
  <c r="G12" i="6"/>
  <c r="I12" i="6" s="1"/>
  <c r="H12" i="6"/>
  <c r="J12" i="6"/>
  <c r="E13" i="6"/>
  <c r="G13" i="6"/>
  <c r="I13" i="6" s="1"/>
  <c r="H13" i="6"/>
  <c r="J13" i="6"/>
  <c r="E14" i="6"/>
  <c r="G14" i="6"/>
  <c r="I14" i="6" s="1"/>
  <c r="H14" i="6"/>
  <c r="J14" i="6"/>
  <c r="E15" i="6"/>
  <c r="G15" i="6"/>
  <c r="I15" i="6" s="1"/>
  <c r="H15" i="6"/>
  <c r="J15" i="6"/>
  <c r="E16" i="6"/>
  <c r="G16" i="6"/>
  <c r="I16" i="6" s="1"/>
  <c r="H16" i="6"/>
  <c r="J16" i="6"/>
  <c r="E17" i="6"/>
  <c r="G17" i="6"/>
  <c r="I17" i="6" s="1"/>
  <c r="H17" i="6"/>
  <c r="J17" i="6"/>
  <c r="E18" i="6"/>
  <c r="G18" i="6"/>
  <c r="I18" i="6" s="1"/>
  <c r="H18" i="6"/>
  <c r="J18" i="6"/>
  <c r="E19" i="6"/>
  <c r="G19" i="6"/>
  <c r="K19" i="6" s="1"/>
  <c r="H19" i="6"/>
  <c r="J19" i="6"/>
  <c r="E20" i="6"/>
  <c r="G20" i="6"/>
  <c r="I20" i="6" s="1"/>
  <c r="H20" i="6"/>
  <c r="J20" i="6"/>
  <c r="E21" i="6"/>
  <c r="G21" i="6"/>
  <c r="I21" i="6" s="1"/>
  <c r="H21" i="6"/>
  <c r="J21" i="6"/>
  <c r="E22" i="6"/>
  <c r="G22" i="6"/>
  <c r="I22" i="6" s="1"/>
  <c r="H22" i="6"/>
  <c r="J22" i="6"/>
  <c r="E23" i="6"/>
  <c r="G23" i="6"/>
  <c r="I23" i="6" s="1"/>
  <c r="H23" i="6"/>
  <c r="J23" i="6"/>
  <c r="E24" i="6"/>
  <c r="G24" i="6"/>
  <c r="I24" i="6" s="1"/>
  <c r="H24" i="6"/>
  <c r="J24" i="6"/>
  <c r="E25" i="6"/>
  <c r="G25" i="6"/>
  <c r="I25" i="6" s="1"/>
  <c r="H25" i="6"/>
  <c r="J25" i="6"/>
  <c r="E26" i="6"/>
  <c r="G26" i="6"/>
  <c r="I26" i="6" s="1"/>
  <c r="H26" i="6"/>
  <c r="J26" i="6"/>
  <c r="E27" i="6"/>
  <c r="G27" i="6"/>
  <c r="I27" i="6" s="1"/>
  <c r="H27" i="6"/>
  <c r="J27" i="6"/>
  <c r="E28" i="6"/>
  <c r="G28" i="6"/>
  <c r="I28" i="6" s="1"/>
  <c r="H28" i="6"/>
  <c r="J28" i="6"/>
  <c r="E29" i="6"/>
  <c r="G29" i="6"/>
  <c r="I29" i="6" s="1"/>
  <c r="H29" i="6"/>
  <c r="J29" i="6"/>
  <c r="E30" i="6"/>
  <c r="G30" i="6"/>
  <c r="I30" i="6" s="1"/>
  <c r="H30" i="6"/>
  <c r="J30" i="6"/>
  <c r="E31" i="6"/>
  <c r="G31" i="6"/>
  <c r="I31" i="6" s="1"/>
  <c r="H31" i="6"/>
  <c r="J31" i="6"/>
  <c r="E32" i="6"/>
  <c r="G32" i="6"/>
  <c r="I32" i="6" s="1"/>
  <c r="H32" i="6"/>
  <c r="J32" i="6"/>
  <c r="E33" i="6"/>
  <c r="G33" i="6"/>
  <c r="I33" i="6" s="1"/>
  <c r="H33" i="6"/>
  <c r="J33" i="6"/>
  <c r="E34" i="6"/>
  <c r="G34" i="6"/>
  <c r="I34" i="6" s="1"/>
  <c r="H34" i="6"/>
  <c r="J34" i="6"/>
  <c r="E35" i="6"/>
  <c r="G35" i="6"/>
  <c r="I35" i="6" s="1"/>
  <c r="H35" i="6"/>
  <c r="J35" i="6"/>
  <c r="E36" i="6"/>
  <c r="G36" i="6"/>
  <c r="I36" i="6" s="1"/>
  <c r="H36" i="6"/>
  <c r="J36" i="6"/>
  <c r="E37" i="6"/>
  <c r="G37" i="6"/>
  <c r="I37" i="6" s="1"/>
  <c r="H37" i="6"/>
  <c r="J37" i="6"/>
  <c r="E38" i="6"/>
  <c r="G38" i="6"/>
  <c r="I38" i="6" s="1"/>
  <c r="H38" i="6"/>
  <c r="J38" i="6"/>
  <c r="E39" i="6"/>
  <c r="G39" i="6"/>
  <c r="I39" i="6" s="1"/>
  <c r="H39" i="6"/>
  <c r="J39" i="6"/>
  <c r="E40" i="6"/>
  <c r="G40" i="6"/>
  <c r="I40" i="6" s="1"/>
  <c r="H40" i="6"/>
  <c r="J40" i="6"/>
  <c r="E41" i="6"/>
  <c r="G41" i="6"/>
  <c r="I41" i="6" s="1"/>
  <c r="H41" i="6"/>
  <c r="J41" i="6"/>
  <c r="E42" i="6"/>
  <c r="G42" i="6"/>
  <c r="I42" i="6" s="1"/>
  <c r="H42" i="6"/>
  <c r="J42" i="6"/>
  <c r="E43" i="6"/>
  <c r="G43" i="6"/>
  <c r="I43" i="6" s="1"/>
  <c r="H43" i="6"/>
  <c r="J43" i="6"/>
  <c r="E44" i="6"/>
  <c r="G44" i="6"/>
  <c r="I44" i="6" s="1"/>
  <c r="H44" i="6"/>
  <c r="J44" i="6"/>
  <c r="E45" i="6"/>
  <c r="G45" i="6"/>
  <c r="I45" i="6" s="1"/>
  <c r="H45" i="6"/>
  <c r="J45" i="6"/>
  <c r="E46" i="6"/>
  <c r="G46" i="6"/>
  <c r="I46" i="6" s="1"/>
  <c r="H46" i="6"/>
  <c r="J46" i="6"/>
  <c r="E47" i="6"/>
  <c r="G47" i="6"/>
  <c r="I47" i="6" s="1"/>
  <c r="H47" i="6"/>
  <c r="J47" i="6"/>
  <c r="E48" i="6"/>
  <c r="G48" i="6"/>
  <c r="I48" i="6" s="1"/>
  <c r="H48" i="6"/>
  <c r="J48" i="6"/>
  <c r="E49" i="6"/>
  <c r="G49" i="6"/>
  <c r="I49" i="6" s="1"/>
  <c r="H49" i="6"/>
  <c r="J49" i="6"/>
  <c r="E50" i="6"/>
  <c r="G50" i="6"/>
  <c r="I50" i="6" s="1"/>
  <c r="H50" i="6"/>
  <c r="J50" i="6"/>
  <c r="E51" i="6"/>
  <c r="G51" i="6"/>
  <c r="I51" i="6" s="1"/>
  <c r="H51" i="6"/>
  <c r="J51" i="6"/>
  <c r="E52" i="6"/>
  <c r="G52" i="6"/>
  <c r="I52" i="6" s="1"/>
  <c r="H52" i="6"/>
  <c r="J52" i="6"/>
  <c r="E53" i="6"/>
  <c r="G53" i="6"/>
  <c r="I53" i="6" s="1"/>
  <c r="H53" i="6"/>
  <c r="J53" i="6"/>
  <c r="E54" i="6"/>
  <c r="G54" i="6"/>
  <c r="I54" i="6" s="1"/>
  <c r="H54" i="6"/>
  <c r="J54" i="6"/>
  <c r="J5" i="6"/>
  <c r="H5" i="6"/>
  <c r="G5" i="6"/>
  <c r="K5" i="6" s="1"/>
  <c r="DA10" i="6"/>
  <c r="DA11" i="6"/>
  <c r="DA12" i="6"/>
  <c r="DA13" i="6"/>
  <c r="DA14" i="6"/>
  <c r="DA15" i="6"/>
  <c r="DA16" i="6"/>
  <c r="DA17" i="6"/>
  <c r="DA18" i="6"/>
  <c r="DA19" i="6"/>
  <c r="DA20" i="6"/>
  <c r="DA21" i="6"/>
  <c r="DA22" i="6"/>
  <c r="DA23" i="6"/>
  <c r="DA24" i="6"/>
  <c r="DA25" i="6"/>
  <c r="DA26" i="6"/>
  <c r="DA27" i="6"/>
  <c r="DA28" i="6"/>
  <c r="DA29" i="6"/>
  <c r="DA30" i="6"/>
  <c r="DA31" i="6"/>
  <c r="DA32" i="6"/>
  <c r="DA33" i="6"/>
  <c r="DA34" i="6"/>
  <c r="DA35" i="6"/>
  <c r="DA36" i="6"/>
  <c r="DA37" i="6"/>
  <c r="DA38" i="6"/>
  <c r="DA39" i="6"/>
  <c r="DA40" i="6"/>
  <c r="DA41" i="6"/>
  <c r="DA42" i="6"/>
  <c r="DA43" i="6"/>
  <c r="DA44" i="6"/>
  <c r="DA45" i="6"/>
  <c r="DA46" i="6"/>
  <c r="DA47" i="6"/>
  <c r="DA48" i="6"/>
  <c r="DA49" i="6"/>
  <c r="DA50" i="6"/>
  <c r="DA51" i="6"/>
  <c r="DA52" i="6"/>
  <c r="DA53" i="6"/>
  <c r="DA54" i="6"/>
  <c r="K37" i="6" l="1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W53" i="7" l="1"/>
  <c r="EJ54" i="6"/>
  <c r="EE54" i="6"/>
  <c r="EA54" i="6"/>
  <c r="DZ54" i="6"/>
  <c r="DV54" i="6"/>
  <c r="DU54" i="6"/>
  <c r="DS54" i="6"/>
  <c r="DR54" i="6"/>
  <c r="DQ54" i="6"/>
  <c r="DO54" i="6"/>
  <c r="DN54" i="6"/>
  <c r="DM54" i="6"/>
  <c r="DK54" i="6"/>
  <c r="DJ54" i="6"/>
  <c r="DI54" i="6"/>
  <c r="DG54" i="6"/>
  <c r="DC54" i="6"/>
  <c r="CW54" i="6"/>
  <c r="CV54" i="6"/>
  <c r="CU54" i="6"/>
  <c r="CT54" i="6"/>
  <c r="CR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DB54" i="6"/>
  <c r="D54" i="6"/>
  <c r="C54" i="6"/>
  <c r="A54" i="6"/>
  <c r="EJ53" i="6"/>
  <c r="EE53" i="6"/>
  <c r="EA53" i="6"/>
  <c r="DZ53" i="6"/>
  <c r="DV53" i="6"/>
  <c r="DU53" i="6"/>
  <c r="DS53" i="6"/>
  <c r="DR53" i="6"/>
  <c r="DQ53" i="6"/>
  <c r="DO53" i="6"/>
  <c r="DN53" i="6"/>
  <c r="DM53" i="6"/>
  <c r="DK53" i="6"/>
  <c r="DJ53" i="6"/>
  <c r="DI53" i="6"/>
  <c r="DG53" i="6"/>
  <c r="DC53" i="6"/>
  <c r="CW53" i="6"/>
  <c r="CV53" i="6"/>
  <c r="CU53" i="6"/>
  <c r="CT53" i="6"/>
  <c r="CR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DB53" i="6"/>
  <c r="D53" i="6"/>
  <c r="C53" i="6"/>
  <c r="A53" i="6"/>
  <c r="EJ52" i="6"/>
  <c r="EE52" i="6"/>
  <c r="EA52" i="6"/>
  <c r="DZ52" i="6"/>
  <c r="DV52" i="6"/>
  <c r="DU52" i="6"/>
  <c r="DS52" i="6"/>
  <c r="DR52" i="6"/>
  <c r="DQ52" i="6"/>
  <c r="DO52" i="6"/>
  <c r="DN52" i="6"/>
  <c r="DM52" i="6"/>
  <c r="DK52" i="6"/>
  <c r="DJ52" i="6"/>
  <c r="DI52" i="6"/>
  <c r="DG52" i="6"/>
  <c r="DC52" i="6"/>
  <c r="CW52" i="6"/>
  <c r="CV52" i="6"/>
  <c r="CU52" i="6"/>
  <c r="CT52" i="6"/>
  <c r="CR52" i="6"/>
  <c r="CJ52" i="6"/>
  <c r="CI52" i="6"/>
  <c r="BX52" i="6"/>
  <c r="BO52" i="6"/>
  <c r="BN52" i="6"/>
  <c r="BL52" i="6"/>
  <c r="BI52" i="6"/>
  <c r="BE52" i="6"/>
  <c r="BA52" i="6"/>
  <c r="DF52" i="6"/>
  <c r="AU52" i="6"/>
  <c r="AP52" i="6"/>
  <c r="DB52" i="6"/>
  <c r="D52" i="6"/>
  <c r="C52" i="6"/>
  <c r="A52" i="6"/>
  <c r="EJ51" i="6"/>
  <c r="EE51" i="6"/>
  <c r="EA51" i="6"/>
  <c r="DZ51" i="6"/>
  <c r="DV51" i="6"/>
  <c r="DU51" i="6"/>
  <c r="DS51" i="6"/>
  <c r="DR51" i="6"/>
  <c r="DQ51" i="6"/>
  <c r="DO51" i="6"/>
  <c r="DN51" i="6"/>
  <c r="DM51" i="6"/>
  <c r="DK51" i="6"/>
  <c r="DJ51" i="6"/>
  <c r="DI51" i="6"/>
  <c r="DG51" i="6"/>
  <c r="DC51" i="6"/>
  <c r="CW51" i="6"/>
  <c r="CV51" i="6"/>
  <c r="CU51" i="6"/>
  <c r="CT51" i="6"/>
  <c r="CR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DB51" i="6"/>
  <c r="D51" i="6"/>
  <c r="CZ51" i="6" s="1"/>
  <c r="C51" i="6"/>
  <c r="A51" i="6"/>
  <c r="EJ50" i="6"/>
  <c r="EE50" i="6"/>
  <c r="EA50" i="6"/>
  <c r="DZ50" i="6"/>
  <c r="DV50" i="6"/>
  <c r="DU50" i="6"/>
  <c r="DS50" i="6"/>
  <c r="DR50" i="6"/>
  <c r="DQ50" i="6"/>
  <c r="DO50" i="6"/>
  <c r="DN50" i="6"/>
  <c r="DM50" i="6"/>
  <c r="DK50" i="6"/>
  <c r="DJ50" i="6"/>
  <c r="DI50" i="6"/>
  <c r="DG50" i="6"/>
  <c r="DC50" i="6"/>
  <c r="CW50" i="6"/>
  <c r="CV50" i="6"/>
  <c r="CU50" i="6"/>
  <c r="CT50" i="6"/>
  <c r="CR50" i="6"/>
  <c r="CJ50" i="6"/>
  <c r="CI50" i="6"/>
  <c r="BX50" i="6"/>
  <c r="BO50" i="6"/>
  <c r="BN50" i="6"/>
  <c r="BL50" i="6"/>
  <c r="BI50" i="6"/>
  <c r="BE50" i="6"/>
  <c r="BA50" i="6"/>
  <c r="DF50" i="6"/>
  <c r="AU50" i="6"/>
  <c r="AP50" i="6"/>
  <c r="DB50" i="6"/>
  <c r="D50" i="6"/>
  <c r="C50" i="6"/>
  <c r="A50" i="6"/>
  <c r="EJ49" i="6"/>
  <c r="EE49" i="6"/>
  <c r="EA49" i="6"/>
  <c r="DZ49" i="6"/>
  <c r="DV49" i="6"/>
  <c r="DU49" i="6"/>
  <c r="DS49" i="6"/>
  <c r="DR49" i="6"/>
  <c r="DQ49" i="6"/>
  <c r="DO49" i="6"/>
  <c r="DN49" i="6"/>
  <c r="DM49" i="6"/>
  <c r="DK49" i="6"/>
  <c r="DJ49" i="6"/>
  <c r="DI49" i="6"/>
  <c r="DG49" i="6"/>
  <c r="DC49" i="6"/>
  <c r="CW49" i="6"/>
  <c r="CV49" i="6"/>
  <c r="CU49" i="6"/>
  <c r="CT49" i="6"/>
  <c r="CR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DB49" i="6"/>
  <c r="D49" i="6"/>
  <c r="CY49" i="6" s="1"/>
  <c r="C49" i="6"/>
  <c r="A49" i="6"/>
  <c r="EJ48" i="6"/>
  <c r="EE48" i="6"/>
  <c r="EA48" i="6"/>
  <c r="DZ48" i="6"/>
  <c r="DV48" i="6"/>
  <c r="DU48" i="6"/>
  <c r="DS48" i="6"/>
  <c r="DR48" i="6"/>
  <c r="DQ48" i="6"/>
  <c r="DO48" i="6"/>
  <c r="DN48" i="6"/>
  <c r="DM48" i="6"/>
  <c r="DK48" i="6"/>
  <c r="DJ48" i="6"/>
  <c r="DI48" i="6"/>
  <c r="DG48" i="6"/>
  <c r="DF48" i="6"/>
  <c r="DC48" i="6"/>
  <c r="CW48" i="6"/>
  <c r="CV48" i="6"/>
  <c r="CU48" i="6"/>
  <c r="CT48" i="6"/>
  <c r="CR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DB48" i="6"/>
  <c r="D48" i="6"/>
  <c r="CY48" i="6" s="1"/>
  <c r="C48" i="6"/>
  <c r="A48" i="6"/>
  <c r="EJ47" i="6"/>
  <c r="EE47" i="6"/>
  <c r="EA47" i="6"/>
  <c r="DZ47" i="6"/>
  <c r="DV47" i="6"/>
  <c r="DU47" i="6"/>
  <c r="DS47" i="6"/>
  <c r="DR47" i="6"/>
  <c r="DQ47" i="6"/>
  <c r="DO47" i="6"/>
  <c r="DN47" i="6"/>
  <c r="DM47" i="6"/>
  <c r="DK47" i="6"/>
  <c r="DJ47" i="6"/>
  <c r="DI47" i="6"/>
  <c r="DG47" i="6"/>
  <c r="DC47" i="6"/>
  <c r="CW47" i="6"/>
  <c r="CV47" i="6"/>
  <c r="CU47" i="6"/>
  <c r="CT47" i="6"/>
  <c r="CR47" i="6"/>
  <c r="CJ47" i="6"/>
  <c r="CI47" i="6"/>
  <c r="BX47" i="6"/>
  <c r="BO47" i="6"/>
  <c r="BN47" i="6"/>
  <c r="BL47" i="6"/>
  <c r="BI47" i="6"/>
  <c r="BE47" i="6"/>
  <c r="BA47" i="6"/>
  <c r="DF47" i="6"/>
  <c r="AU47" i="6"/>
  <c r="AP47" i="6"/>
  <c r="DB47" i="6"/>
  <c r="D47" i="6"/>
  <c r="C47" i="6"/>
  <c r="A47" i="6"/>
  <c r="EJ46" i="6"/>
  <c r="EE46" i="6"/>
  <c r="EA46" i="6"/>
  <c r="DZ46" i="6"/>
  <c r="DV46" i="6"/>
  <c r="DU46" i="6"/>
  <c r="DS46" i="6"/>
  <c r="DR46" i="6"/>
  <c r="DQ46" i="6"/>
  <c r="DO46" i="6"/>
  <c r="DN46" i="6"/>
  <c r="DM46" i="6"/>
  <c r="DK46" i="6"/>
  <c r="DJ46" i="6"/>
  <c r="DI46" i="6"/>
  <c r="DG46" i="6"/>
  <c r="DC46" i="6"/>
  <c r="CW46" i="6"/>
  <c r="CV46" i="6"/>
  <c r="CU46" i="6"/>
  <c r="CT46" i="6"/>
  <c r="CR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DB46" i="6"/>
  <c r="D46" i="6"/>
  <c r="C46" i="6"/>
  <c r="A46" i="6"/>
  <c r="EJ45" i="6"/>
  <c r="EE45" i="6"/>
  <c r="EA45" i="6"/>
  <c r="DZ45" i="6"/>
  <c r="DV45" i="6"/>
  <c r="DU45" i="6"/>
  <c r="DS45" i="6"/>
  <c r="DR45" i="6"/>
  <c r="DQ45" i="6"/>
  <c r="DO45" i="6"/>
  <c r="DN45" i="6"/>
  <c r="DM45" i="6"/>
  <c r="DK45" i="6"/>
  <c r="DJ45" i="6"/>
  <c r="DI45" i="6"/>
  <c r="DG45" i="6"/>
  <c r="DC45" i="6"/>
  <c r="CW45" i="6"/>
  <c r="CV45" i="6"/>
  <c r="CU45" i="6"/>
  <c r="CT45" i="6"/>
  <c r="CR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DB45" i="6"/>
  <c r="D45" i="6"/>
  <c r="CZ45" i="6" s="1"/>
  <c r="C45" i="6"/>
  <c r="A45" i="6"/>
  <c r="EJ44" i="6"/>
  <c r="EE44" i="6"/>
  <c r="EA44" i="6"/>
  <c r="DZ44" i="6"/>
  <c r="DV44" i="6"/>
  <c r="DU44" i="6"/>
  <c r="DS44" i="6"/>
  <c r="DR44" i="6"/>
  <c r="DQ44" i="6"/>
  <c r="DO44" i="6"/>
  <c r="DN44" i="6"/>
  <c r="DM44" i="6"/>
  <c r="DK44" i="6"/>
  <c r="DJ44" i="6"/>
  <c r="DI44" i="6"/>
  <c r="DG44" i="6"/>
  <c r="DC44" i="6"/>
  <c r="CW44" i="6"/>
  <c r="CV44" i="6"/>
  <c r="CU44" i="6"/>
  <c r="CT44" i="6"/>
  <c r="CR44" i="6"/>
  <c r="CJ44" i="6"/>
  <c r="CI44" i="6"/>
  <c r="BX44" i="6"/>
  <c r="BO44" i="6"/>
  <c r="BN44" i="6"/>
  <c r="BL44" i="6"/>
  <c r="BI44" i="6"/>
  <c r="BE44" i="6"/>
  <c r="BA44" i="6"/>
  <c r="DF44" i="6"/>
  <c r="AU44" i="6"/>
  <c r="AP44" i="6"/>
  <c r="DB44" i="6"/>
  <c r="D44" i="6"/>
  <c r="CY44" i="6" s="1"/>
  <c r="C44" i="6"/>
  <c r="A44" i="6"/>
  <c r="EJ43" i="6"/>
  <c r="EE43" i="6"/>
  <c r="EA43" i="6"/>
  <c r="DZ43" i="6"/>
  <c r="DV43" i="6"/>
  <c r="DU43" i="6"/>
  <c r="DS43" i="6"/>
  <c r="DR43" i="6"/>
  <c r="DQ43" i="6"/>
  <c r="DO43" i="6"/>
  <c r="DN43" i="6"/>
  <c r="DM43" i="6"/>
  <c r="DK43" i="6"/>
  <c r="DJ43" i="6"/>
  <c r="DI43" i="6"/>
  <c r="DG43" i="6"/>
  <c r="DC43" i="6"/>
  <c r="CW43" i="6"/>
  <c r="CV43" i="6"/>
  <c r="CU43" i="6"/>
  <c r="CT43" i="6"/>
  <c r="CR43" i="6"/>
  <c r="CJ43" i="6"/>
  <c r="CI43" i="6"/>
  <c r="BX43" i="6"/>
  <c r="BO43" i="6"/>
  <c r="BN43" i="6"/>
  <c r="BL43" i="6"/>
  <c r="BI43" i="6"/>
  <c r="BE43" i="6"/>
  <c r="BA43" i="6"/>
  <c r="DF43" i="6"/>
  <c r="AU43" i="6"/>
  <c r="AP43" i="6"/>
  <c r="DB43" i="6"/>
  <c r="D43" i="6"/>
  <c r="C43" i="6"/>
  <c r="A43" i="6"/>
  <c r="EJ42" i="6"/>
  <c r="EE42" i="6"/>
  <c r="EA42" i="6"/>
  <c r="DZ42" i="6"/>
  <c r="DV42" i="6"/>
  <c r="DU42" i="6"/>
  <c r="DS42" i="6"/>
  <c r="DR42" i="6"/>
  <c r="DQ42" i="6"/>
  <c r="DO42" i="6"/>
  <c r="DN42" i="6"/>
  <c r="DM42" i="6"/>
  <c r="DK42" i="6"/>
  <c r="DJ42" i="6"/>
  <c r="DI42" i="6"/>
  <c r="DG42" i="6"/>
  <c r="DC42" i="6"/>
  <c r="CW42" i="6"/>
  <c r="CV42" i="6"/>
  <c r="CU42" i="6"/>
  <c r="CT42" i="6"/>
  <c r="CR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DB42" i="6"/>
  <c r="D42" i="6"/>
  <c r="C42" i="6"/>
  <c r="A42" i="6"/>
  <c r="EJ41" i="6"/>
  <c r="EE41" i="6"/>
  <c r="EA41" i="6"/>
  <c r="DZ41" i="6"/>
  <c r="DV41" i="6"/>
  <c r="DU41" i="6"/>
  <c r="DS41" i="6"/>
  <c r="DR41" i="6"/>
  <c r="DQ41" i="6"/>
  <c r="DO41" i="6"/>
  <c r="DN41" i="6"/>
  <c r="DM41" i="6"/>
  <c r="DK41" i="6"/>
  <c r="DJ41" i="6"/>
  <c r="DI41" i="6"/>
  <c r="DG41" i="6"/>
  <c r="DC41" i="6"/>
  <c r="CW41" i="6"/>
  <c r="CV41" i="6"/>
  <c r="CU41" i="6"/>
  <c r="CT41" i="6"/>
  <c r="CR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DB41" i="6"/>
  <c r="D41" i="6"/>
  <c r="C41" i="6"/>
  <c r="A41" i="6"/>
  <c r="EJ40" i="6"/>
  <c r="EE40" i="6"/>
  <c r="EA40" i="6"/>
  <c r="DZ40" i="6"/>
  <c r="DV40" i="6"/>
  <c r="DU40" i="6"/>
  <c r="DS40" i="6"/>
  <c r="DR40" i="6"/>
  <c r="DQ40" i="6"/>
  <c r="DO40" i="6"/>
  <c r="DN40" i="6"/>
  <c r="DM40" i="6"/>
  <c r="DK40" i="6"/>
  <c r="DJ40" i="6"/>
  <c r="DI40" i="6"/>
  <c r="DG40" i="6"/>
  <c r="DC40" i="6"/>
  <c r="CW40" i="6"/>
  <c r="CV40" i="6"/>
  <c r="CU40" i="6"/>
  <c r="CT40" i="6"/>
  <c r="CR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DB40" i="6"/>
  <c r="D40" i="6"/>
  <c r="C40" i="6"/>
  <c r="A40" i="6"/>
  <c r="EJ39" i="6"/>
  <c r="EE39" i="6"/>
  <c r="EA39" i="6"/>
  <c r="DZ39" i="6"/>
  <c r="DV39" i="6"/>
  <c r="DU39" i="6"/>
  <c r="DS39" i="6"/>
  <c r="DR39" i="6"/>
  <c r="DQ39" i="6"/>
  <c r="DO39" i="6"/>
  <c r="DN39" i="6"/>
  <c r="DM39" i="6"/>
  <c r="DK39" i="6"/>
  <c r="DJ39" i="6"/>
  <c r="DI39" i="6"/>
  <c r="DG39" i="6"/>
  <c r="DC39" i="6"/>
  <c r="CW39" i="6"/>
  <c r="CV39" i="6"/>
  <c r="CU39" i="6"/>
  <c r="CT39" i="6"/>
  <c r="CR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DB39" i="6"/>
  <c r="D39" i="6"/>
  <c r="CZ39" i="6" s="1"/>
  <c r="C39" i="6"/>
  <c r="A39" i="6"/>
  <c r="EJ38" i="6"/>
  <c r="EE38" i="6"/>
  <c r="EA38" i="6"/>
  <c r="DZ38" i="6"/>
  <c r="DV38" i="6"/>
  <c r="DU38" i="6"/>
  <c r="DS38" i="6"/>
  <c r="DR38" i="6"/>
  <c r="DQ38" i="6"/>
  <c r="DO38" i="6"/>
  <c r="DN38" i="6"/>
  <c r="DM38" i="6"/>
  <c r="DK38" i="6"/>
  <c r="DJ38" i="6"/>
  <c r="DI38" i="6"/>
  <c r="DG38" i="6"/>
  <c r="DC38" i="6"/>
  <c r="CW38" i="6"/>
  <c r="CV38" i="6"/>
  <c r="CU38" i="6"/>
  <c r="CT38" i="6"/>
  <c r="CR38" i="6"/>
  <c r="CJ38" i="6"/>
  <c r="CI38" i="6"/>
  <c r="BX38" i="6"/>
  <c r="BO38" i="6"/>
  <c r="BN38" i="6"/>
  <c r="BL38" i="6"/>
  <c r="BI38" i="6"/>
  <c r="BE38" i="6"/>
  <c r="BA38" i="6"/>
  <c r="DF38" i="6"/>
  <c r="AU38" i="6"/>
  <c r="AP38" i="6"/>
  <c r="DB38" i="6"/>
  <c r="D38" i="6"/>
  <c r="C38" i="6"/>
  <c r="A38" i="6"/>
  <c r="EJ37" i="6"/>
  <c r="EE37" i="6"/>
  <c r="EA37" i="6"/>
  <c r="DZ37" i="6"/>
  <c r="DV37" i="6"/>
  <c r="DU37" i="6"/>
  <c r="DS37" i="6"/>
  <c r="DR37" i="6"/>
  <c r="DQ37" i="6"/>
  <c r="DO37" i="6"/>
  <c r="DN37" i="6"/>
  <c r="DM37" i="6"/>
  <c r="DK37" i="6"/>
  <c r="DJ37" i="6"/>
  <c r="DI37" i="6"/>
  <c r="DG37" i="6"/>
  <c r="DF37" i="6"/>
  <c r="DC37" i="6"/>
  <c r="CW37" i="6"/>
  <c r="CV37" i="6"/>
  <c r="CU37" i="6"/>
  <c r="CT37" i="6"/>
  <c r="CR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DB37" i="6"/>
  <c r="D37" i="6"/>
  <c r="CY37" i="6" s="1"/>
  <c r="C37" i="6"/>
  <c r="A37" i="6"/>
  <c r="EJ36" i="6"/>
  <c r="EE36" i="6"/>
  <c r="EA36" i="6"/>
  <c r="DZ36" i="6"/>
  <c r="DV36" i="6"/>
  <c r="DU36" i="6"/>
  <c r="DS36" i="6"/>
  <c r="DR36" i="6"/>
  <c r="DQ36" i="6"/>
  <c r="DO36" i="6"/>
  <c r="DN36" i="6"/>
  <c r="DM36" i="6"/>
  <c r="DK36" i="6"/>
  <c r="DJ36" i="6"/>
  <c r="DI36" i="6"/>
  <c r="DG36" i="6"/>
  <c r="DC36" i="6"/>
  <c r="CW36" i="6"/>
  <c r="CV36" i="6"/>
  <c r="CU36" i="6"/>
  <c r="CT36" i="6"/>
  <c r="CR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DB36" i="6"/>
  <c r="D36" i="6"/>
  <c r="CY36" i="6" s="1"/>
  <c r="C36" i="6"/>
  <c r="A36" i="6"/>
  <c r="EJ35" i="6"/>
  <c r="EE35" i="6"/>
  <c r="EA35" i="6"/>
  <c r="DZ35" i="6"/>
  <c r="DV35" i="6"/>
  <c r="DU35" i="6"/>
  <c r="DS35" i="6"/>
  <c r="DR35" i="6"/>
  <c r="DQ35" i="6"/>
  <c r="DO35" i="6"/>
  <c r="DN35" i="6"/>
  <c r="DM35" i="6"/>
  <c r="DK35" i="6"/>
  <c r="DJ35" i="6"/>
  <c r="DI35" i="6"/>
  <c r="DG35" i="6"/>
  <c r="DC35" i="6"/>
  <c r="CW35" i="6"/>
  <c r="CV35" i="6"/>
  <c r="CU35" i="6"/>
  <c r="CT35" i="6"/>
  <c r="CR35" i="6"/>
  <c r="CJ35" i="6"/>
  <c r="CI35" i="6"/>
  <c r="BX35" i="6"/>
  <c r="BO35" i="6"/>
  <c r="BN35" i="6"/>
  <c r="BL35" i="6"/>
  <c r="BI35" i="6"/>
  <c r="BE35" i="6"/>
  <c r="BA35" i="6"/>
  <c r="DF35" i="6"/>
  <c r="AU35" i="6"/>
  <c r="AP35" i="6"/>
  <c r="DB35" i="6"/>
  <c r="D35" i="6"/>
  <c r="C35" i="6"/>
  <c r="A35" i="6"/>
  <c r="EJ34" i="6"/>
  <c r="EE34" i="6"/>
  <c r="EA34" i="6"/>
  <c r="DZ34" i="6"/>
  <c r="DV34" i="6"/>
  <c r="DU34" i="6"/>
  <c r="DS34" i="6"/>
  <c r="DR34" i="6"/>
  <c r="DQ34" i="6"/>
  <c r="DO34" i="6"/>
  <c r="DN34" i="6"/>
  <c r="DM34" i="6"/>
  <c r="DK34" i="6"/>
  <c r="DJ34" i="6"/>
  <c r="DI34" i="6"/>
  <c r="DG34" i="6"/>
  <c r="DC34" i="6"/>
  <c r="CW34" i="6"/>
  <c r="CV34" i="6"/>
  <c r="CU34" i="6"/>
  <c r="CT34" i="6"/>
  <c r="CR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J33" i="6"/>
  <c r="EE33" i="6"/>
  <c r="EA33" i="6"/>
  <c r="DZ33" i="6"/>
  <c r="DV33" i="6"/>
  <c r="DU33" i="6"/>
  <c r="DS33" i="6"/>
  <c r="DR33" i="6"/>
  <c r="DQ33" i="6"/>
  <c r="DO33" i="6"/>
  <c r="DN33" i="6"/>
  <c r="DM33" i="6"/>
  <c r="DK33" i="6"/>
  <c r="DJ33" i="6"/>
  <c r="DI33" i="6"/>
  <c r="DG33" i="6"/>
  <c r="DC33" i="6"/>
  <c r="CW33" i="6"/>
  <c r="CV33" i="6"/>
  <c r="CU33" i="6"/>
  <c r="CT33" i="6"/>
  <c r="CR33" i="6"/>
  <c r="CJ33" i="6"/>
  <c r="CI33" i="6"/>
  <c r="BX33" i="6"/>
  <c r="BO33" i="6"/>
  <c r="BN33" i="6"/>
  <c r="BL33" i="6"/>
  <c r="BI33" i="6"/>
  <c r="BE33" i="6"/>
  <c r="BA33" i="6"/>
  <c r="DF33" i="6"/>
  <c r="AU33" i="6"/>
  <c r="AP33" i="6"/>
  <c r="DB33" i="6"/>
  <c r="D33" i="6"/>
  <c r="CZ33" i="6" s="1"/>
  <c r="C33" i="6"/>
  <c r="A33" i="6"/>
  <c r="EJ32" i="6"/>
  <c r="EE32" i="6"/>
  <c r="EA32" i="6"/>
  <c r="DZ32" i="6"/>
  <c r="DV32" i="6"/>
  <c r="DU32" i="6"/>
  <c r="DS32" i="6"/>
  <c r="DR32" i="6"/>
  <c r="DQ32" i="6"/>
  <c r="DO32" i="6"/>
  <c r="DN32" i="6"/>
  <c r="DM32" i="6"/>
  <c r="DK32" i="6"/>
  <c r="DJ32" i="6"/>
  <c r="DI32" i="6"/>
  <c r="DG32" i="6"/>
  <c r="DC32" i="6"/>
  <c r="CW32" i="6"/>
  <c r="CV32" i="6"/>
  <c r="CU32" i="6"/>
  <c r="CT32" i="6"/>
  <c r="CR32" i="6"/>
  <c r="CJ32" i="6"/>
  <c r="CI32" i="6"/>
  <c r="BX32" i="6"/>
  <c r="BO32" i="6"/>
  <c r="BN32" i="6"/>
  <c r="BL32" i="6"/>
  <c r="BI32" i="6"/>
  <c r="BE32" i="6"/>
  <c r="BA32" i="6"/>
  <c r="DF32" i="6"/>
  <c r="AU32" i="6"/>
  <c r="AP32" i="6"/>
  <c r="DB32" i="6"/>
  <c r="D32" i="6"/>
  <c r="CY32" i="6" s="1"/>
  <c r="C32" i="6"/>
  <c r="A32" i="6"/>
  <c r="EJ31" i="6"/>
  <c r="EE31" i="6"/>
  <c r="EA31" i="6"/>
  <c r="DZ31" i="6"/>
  <c r="DV31" i="6"/>
  <c r="DU31" i="6"/>
  <c r="DS31" i="6"/>
  <c r="DR31" i="6"/>
  <c r="DQ31" i="6"/>
  <c r="DO31" i="6"/>
  <c r="DN31" i="6"/>
  <c r="DM31" i="6"/>
  <c r="DK31" i="6"/>
  <c r="DJ31" i="6"/>
  <c r="DI31" i="6"/>
  <c r="DG31" i="6"/>
  <c r="DC31" i="6"/>
  <c r="CW31" i="6"/>
  <c r="CV31" i="6"/>
  <c r="CU31" i="6"/>
  <c r="CT31" i="6"/>
  <c r="CR31" i="6"/>
  <c r="CJ31" i="6"/>
  <c r="CI31" i="6"/>
  <c r="BX31" i="6"/>
  <c r="BO31" i="6"/>
  <c r="BN31" i="6"/>
  <c r="BL31" i="6"/>
  <c r="BI31" i="6"/>
  <c r="BE31" i="6"/>
  <c r="BA31" i="6"/>
  <c r="DF31" i="6"/>
  <c r="AU31" i="6"/>
  <c r="AP31" i="6"/>
  <c r="DB31" i="6"/>
  <c r="D31" i="6"/>
  <c r="C31" i="6"/>
  <c r="A31" i="6"/>
  <c r="EJ30" i="6"/>
  <c r="EE30" i="6"/>
  <c r="EA30" i="6"/>
  <c r="DZ30" i="6"/>
  <c r="DV30" i="6"/>
  <c r="DU30" i="6"/>
  <c r="DS30" i="6"/>
  <c r="DR30" i="6"/>
  <c r="DQ30" i="6"/>
  <c r="DO30" i="6"/>
  <c r="DN30" i="6"/>
  <c r="DM30" i="6"/>
  <c r="DK30" i="6"/>
  <c r="DJ30" i="6"/>
  <c r="DI30" i="6"/>
  <c r="DG30" i="6"/>
  <c r="DC30" i="6"/>
  <c r="CW30" i="6"/>
  <c r="CV30" i="6"/>
  <c r="CU30" i="6"/>
  <c r="CT30" i="6"/>
  <c r="CR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DB30" i="6"/>
  <c r="D30" i="6"/>
  <c r="C30" i="6"/>
  <c r="A30" i="6"/>
  <c r="EJ29" i="6"/>
  <c r="EE29" i="6"/>
  <c r="EA29" i="6"/>
  <c r="DZ29" i="6"/>
  <c r="DV29" i="6"/>
  <c r="DU29" i="6"/>
  <c r="DS29" i="6"/>
  <c r="DR29" i="6"/>
  <c r="DQ29" i="6"/>
  <c r="DO29" i="6"/>
  <c r="DN29" i="6"/>
  <c r="DM29" i="6"/>
  <c r="DK29" i="6"/>
  <c r="DJ29" i="6"/>
  <c r="DI29" i="6"/>
  <c r="DG29" i="6"/>
  <c r="DC29" i="6"/>
  <c r="CW29" i="6"/>
  <c r="CV29" i="6"/>
  <c r="CU29" i="6"/>
  <c r="CT29" i="6"/>
  <c r="CR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DB29" i="6"/>
  <c r="D29" i="6"/>
  <c r="C29" i="6"/>
  <c r="A29" i="6"/>
  <c r="EJ28" i="6"/>
  <c r="EE28" i="6"/>
  <c r="EA28" i="6"/>
  <c r="DZ28" i="6"/>
  <c r="DV28" i="6"/>
  <c r="DU28" i="6"/>
  <c r="DS28" i="6"/>
  <c r="DR28" i="6"/>
  <c r="DQ28" i="6"/>
  <c r="DO28" i="6"/>
  <c r="DN28" i="6"/>
  <c r="DM28" i="6"/>
  <c r="DK28" i="6"/>
  <c r="DJ28" i="6"/>
  <c r="DI28" i="6"/>
  <c r="DG28" i="6"/>
  <c r="DC28" i="6"/>
  <c r="CW28" i="6"/>
  <c r="CV28" i="6"/>
  <c r="CU28" i="6"/>
  <c r="CT28" i="6"/>
  <c r="CR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DB28" i="6"/>
  <c r="D28" i="6"/>
  <c r="C28" i="6"/>
  <c r="A28" i="6"/>
  <c r="EJ27" i="6"/>
  <c r="EE27" i="6"/>
  <c r="EA27" i="6"/>
  <c r="DZ27" i="6"/>
  <c r="DV27" i="6"/>
  <c r="DU27" i="6"/>
  <c r="DS27" i="6"/>
  <c r="DR27" i="6"/>
  <c r="DQ27" i="6"/>
  <c r="DO27" i="6"/>
  <c r="DN27" i="6"/>
  <c r="DM27" i="6"/>
  <c r="DK27" i="6"/>
  <c r="DJ27" i="6"/>
  <c r="DI27" i="6"/>
  <c r="DG27" i="6"/>
  <c r="DC27" i="6"/>
  <c r="CW27" i="6"/>
  <c r="CV27" i="6"/>
  <c r="CU27" i="6"/>
  <c r="CT27" i="6"/>
  <c r="CR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DB27" i="6"/>
  <c r="D27" i="6"/>
  <c r="CZ27" i="6" s="1"/>
  <c r="C27" i="6"/>
  <c r="A27" i="6"/>
  <c r="EJ26" i="6"/>
  <c r="EE26" i="6"/>
  <c r="EA26" i="6"/>
  <c r="DZ26" i="6"/>
  <c r="DV26" i="6"/>
  <c r="DU26" i="6"/>
  <c r="DS26" i="6"/>
  <c r="DR26" i="6"/>
  <c r="DQ26" i="6"/>
  <c r="DO26" i="6"/>
  <c r="DN26" i="6"/>
  <c r="DM26" i="6"/>
  <c r="DK26" i="6"/>
  <c r="DJ26" i="6"/>
  <c r="DI26" i="6"/>
  <c r="DG26" i="6"/>
  <c r="DC26" i="6"/>
  <c r="CW26" i="6"/>
  <c r="CV26" i="6"/>
  <c r="CU26" i="6"/>
  <c r="CT26" i="6"/>
  <c r="CR26" i="6"/>
  <c r="CJ26" i="6"/>
  <c r="CI26" i="6"/>
  <c r="BX26" i="6"/>
  <c r="BO26" i="6"/>
  <c r="BN26" i="6"/>
  <c r="BL26" i="6"/>
  <c r="BI26" i="6"/>
  <c r="BE26" i="6"/>
  <c r="BA26" i="6"/>
  <c r="DF26" i="6"/>
  <c r="AU26" i="6"/>
  <c r="AP26" i="6"/>
  <c r="DB26" i="6"/>
  <c r="D26" i="6"/>
  <c r="C26" i="6"/>
  <c r="A26" i="6"/>
  <c r="EJ25" i="6"/>
  <c r="EE25" i="6"/>
  <c r="EA25" i="6"/>
  <c r="DZ25" i="6"/>
  <c r="DV25" i="6"/>
  <c r="DU25" i="6"/>
  <c r="DS25" i="6"/>
  <c r="DR25" i="6"/>
  <c r="DQ25" i="6"/>
  <c r="DO25" i="6"/>
  <c r="DN25" i="6"/>
  <c r="DM25" i="6"/>
  <c r="DK25" i="6"/>
  <c r="DJ25" i="6"/>
  <c r="DI25" i="6"/>
  <c r="DG25" i="6"/>
  <c r="DF25" i="6"/>
  <c r="DC25" i="6"/>
  <c r="CW25" i="6"/>
  <c r="CV25" i="6"/>
  <c r="CU25" i="6"/>
  <c r="CT25" i="6"/>
  <c r="CR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DB25" i="6"/>
  <c r="D25" i="6"/>
  <c r="CY25" i="6" s="1"/>
  <c r="C25" i="6"/>
  <c r="A25" i="6"/>
  <c r="EJ24" i="6"/>
  <c r="EE24" i="6"/>
  <c r="EA24" i="6"/>
  <c r="DZ24" i="6"/>
  <c r="DV24" i="6"/>
  <c r="DU24" i="6"/>
  <c r="DS24" i="6"/>
  <c r="DR24" i="6"/>
  <c r="DQ24" i="6"/>
  <c r="DO24" i="6"/>
  <c r="DN24" i="6"/>
  <c r="DM24" i="6"/>
  <c r="DK24" i="6"/>
  <c r="DJ24" i="6"/>
  <c r="DI24" i="6"/>
  <c r="DG24" i="6"/>
  <c r="DC24" i="6"/>
  <c r="CW24" i="6"/>
  <c r="CV24" i="6"/>
  <c r="CU24" i="6"/>
  <c r="CT24" i="6"/>
  <c r="CR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DB24" i="6"/>
  <c r="D24" i="6"/>
  <c r="CY24" i="6" s="1"/>
  <c r="C24" i="6"/>
  <c r="A24" i="6"/>
  <c r="EJ23" i="6"/>
  <c r="EE23" i="6"/>
  <c r="EA23" i="6"/>
  <c r="DZ23" i="6"/>
  <c r="DV23" i="6"/>
  <c r="DU23" i="6"/>
  <c r="DS23" i="6"/>
  <c r="DR23" i="6"/>
  <c r="DQ23" i="6"/>
  <c r="DO23" i="6"/>
  <c r="DN23" i="6"/>
  <c r="DM23" i="6"/>
  <c r="DK23" i="6"/>
  <c r="DJ23" i="6"/>
  <c r="DI23" i="6"/>
  <c r="DG23" i="6"/>
  <c r="DC23" i="6"/>
  <c r="CW23" i="6"/>
  <c r="CV23" i="6"/>
  <c r="CU23" i="6"/>
  <c r="CT23" i="6"/>
  <c r="CR23" i="6"/>
  <c r="CJ23" i="6"/>
  <c r="CI23" i="6"/>
  <c r="BX23" i="6"/>
  <c r="BO23" i="6"/>
  <c r="BN23" i="6"/>
  <c r="BL23" i="6"/>
  <c r="BI23" i="6"/>
  <c r="BE23" i="6"/>
  <c r="BA23" i="6"/>
  <c r="DF23" i="6"/>
  <c r="AU23" i="6"/>
  <c r="AP23" i="6"/>
  <c r="DB23" i="6"/>
  <c r="D23" i="6"/>
  <c r="C23" i="6"/>
  <c r="A23" i="6"/>
  <c r="EJ22" i="6"/>
  <c r="EE22" i="6"/>
  <c r="EA22" i="6"/>
  <c r="DZ22" i="6"/>
  <c r="DV22" i="6"/>
  <c r="DU22" i="6"/>
  <c r="DS22" i="6"/>
  <c r="DR22" i="6"/>
  <c r="DQ22" i="6"/>
  <c r="DO22" i="6"/>
  <c r="DN22" i="6"/>
  <c r="DM22" i="6"/>
  <c r="DK22" i="6"/>
  <c r="DJ22" i="6"/>
  <c r="DI22" i="6"/>
  <c r="DG22" i="6"/>
  <c r="DC22" i="6"/>
  <c r="CW22" i="6"/>
  <c r="CV22" i="6"/>
  <c r="CU22" i="6"/>
  <c r="CT22" i="6"/>
  <c r="CR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DB22" i="6"/>
  <c r="D22" i="6"/>
  <c r="C22" i="6"/>
  <c r="A22" i="6"/>
  <c r="EJ21" i="6"/>
  <c r="EE21" i="6"/>
  <c r="EA21" i="6"/>
  <c r="DZ21" i="6"/>
  <c r="DV21" i="6"/>
  <c r="DU21" i="6"/>
  <c r="DS21" i="6"/>
  <c r="DR21" i="6"/>
  <c r="DQ21" i="6"/>
  <c r="DO21" i="6"/>
  <c r="DN21" i="6"/>
  <c r="DM21" i="6"/>
  <c r="DK21" i="6"/>
  <c r="DJ21" i="6"/>
  <c r="DI21" i="6"/>
  <c r="DG21" i="6"/>
  <c r="DC21" i="6"/>
  <c r="CW21" i="6"/>
  <c r="CV21" i="6"/>
  <c r="CU21" i="6"/>
  <c r="CT21" i="6"/>
  <c r="CR21" i="6"/>
  <c r="CJ21" i="6"/>
  <c r="CI21" i="6"/>
  <c r="BX21" i="6"/>
  <c r="BO21" i="6"/>
  <c r="BN21" i="6"/>
  <c r="BL21" i="6"/>
  <c r="BI21" i="6"/>
  <c r="BE21" i="6"/>
  <c r="BA21" i="6"/>
  <c r="DF21" i="6"/>
  <c r="AU21" i="6"/>
  <c r="AP21" i="6"/>
  <c r="DB21" i="6"/>
  <c r="D21" i="6"/>
  <c r="C21" i="6"/>
  <c r="A21" i="6"/>
  <c r="EJ20" i="6"/>
  <c r="EE20" i="6"/>
  <c r="EA20" i="6"/>
  <c r="DZ20" i="6"/>
  <c r="DV20" i="6"/>
  <c r="DU20" i="6"/>
  <c r="DS20" i="6"/>
  <c r="DR20" i="6"/>
  <c r="DQ20" i="6"/>
  <c r="DO20" i="6"/>
  <c r="DN20" i="6"/>
  <c r="DM20" i="6"/>
  <c r="DK20" i="6"/>
  <c r="DJ20" i="6"/>
  <c r="DI20" i="6"/>
  <c r="DG20" i="6"/>
  <c r="DC20" i="6"/>
  <c r="CW20" i="6"/>
  <c r="CV20" i="6"/>
  <c r="CU20" i="6"/>
  <c r="CT20" i="6"/>
  <c r="CR20" i="6"/>
  <c r="CJ20" i="6"/>
  <c r="CI20" i="6"/>
  <c r="BX20" i="6"/>
  <c r="BO20" i="6"/>
  <c r="BN20" i="6"/>
  <c r="BL20" i="6"/>
  <c r="BI20" i="6"/>
  <c r="BE20" i="6"/>
  <c r="BA20" i="6"/>
  <c r="DF20" i="6"/>
  <c r="AU20" i="6"/>
  <c r="AP20" i="6"/>
  <c r="DB20" i="6"/>
  <c r="D20" i="6"/>
  <c r="CY20" i="6" s="1"/>
  <c r="C20" i="6"/>
  <c r="A20" i="6"/>
  <c r="EJ19" i="6"/>
  <c r="EE19" i="6"/>
  <c r="EA19" i="6"/>
  <c r="DZ19" i="6"/>
  <c r="DV19" i="6"/>
  <c r="DU19" i="6"/>
  <c r="DS19" i="6"/>
  <c r="DR19" i="6"/>
  <c r="DQ19" i="6"/>
  <c r="DO19" i="6"/>
  <c r="DN19" i="6"/>
  <c r="DM19" i="6"/>
  <c r="DK19" i="6"/>
  <c r="DJ19" i="6"/>
  <c r="DI19" i="6"/>
  <c r="DG19" i="6"/>
  <c r="DC19" i="6"/>
  <c r="CW19" i="6"/>
  <c r="CV19" i="6"/>
  <c r="CU19" i="6"/>
  <c r="CT19" i="6"/>
  <c r="CR19" i="6"/>
  <c r="CJ19" i="6"/>
  <c r="CI19" i="6"/>
  <c r="BX19" i="6"/>
  <c r="BO19" i="6"/>
  <c r="BN19" i="6"/>
  <c r="BL19" i="6"/>
  <c r="BI19" i="6"/>
  <c r="BE19" i="6"/>
  <c r="BA19" i="6"/>
  <c r="DF19" i="6"/>
  <c r="AU19" i="6"/>
  <c r="AP19" i="6"/>
  <c r="DB19" i="6"/>
  <c r="D19" i="6"/>
  <c r="C19" i="6"/>
  <c r="A19" i="6"/>
  <c r="EJ18" i="6"/>
  <c r="EE18" i="6"/>
  <c r="EA18" i="6"/>
  <c r="DZ18" i="6"/>
  <c r="DV18" i="6"/>
  <c r="DU18" i="6"/>
  <c r="DS18" i="6"/>
  <c r="DR18" i="6"/>
  <c r="DQ18" i="6"/>
  <c r="DO18" i="6"/>
  <c r="DN18" i="6"/>
  <c r="DM18" i="6"/>
  <c r="DK18" i="6"/>
  <c r="DJ18" i="6"/>
  <c r="DI18" i="6"/>
  <c r="DG18" i="6"/>
  <c r="DC18" i="6"/>
  <c r="CW18" i="6"/>
  <c r="CV18" i="6"/>
  <c r="CU18" i="6"/>
  <c r="CT18" i="6"/>
  <c r="CR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DB18" i="6"/>
  <c r="D18" i="6"/>
  <c r="C18" i="6"/>
  <c r="A18" i="6"/>
  <c r="EJ17" i="6"/>
  <c r="EE17" i="6"/>
  <c r="EA17" i="6"/>
  <c r="DZ17" i="6"/>
  <c r="DV17" i="6"/>
  <c r="DU17" i="6"/>
  <c r="DS17" i="6"/>
  <c r="DR17" i="6"/>
  <c r="DQ17" i="6"/>
  <c r="DO17" i="6"/>
  <c r="DN17" i="6"/>
  <c r="DM17" i="6"/>
  <c r="DK17" i="6"/>
  <c r="DJ17" i="6"/>
  <c r="DI17" i="6"/>
  <c r="DG17" i="6"/>
  <c r="DC17" i="6"/>
  <c r="CW17" i="6"/>
  <c r="CV17" i="6"/>
  <c r="CU17" i="6"/>
  <c r="CT17" i="6"/>
  <c r="CR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DB17" i="6"/>
  <c r="D17" i="6"/>
  <c r="C17" i="6"/>
  <c r="A17" i="6"/>
  <c r="EJ16" i="6"/>
  <c r="EE16" i="6"/>
  <c r="EA16" i="6"/>
  <c r="DZ16" i="6"/>
  <c r="DV16" i="6"/>
  <c r="DU16" i="6"/>
  <c r="DS16" i="6"/>
  <c r="DR16" i="6"/>
  <c r="DQ16" i="6"/>
  <c r="DO16" i="6"/>
  <c r="DN16" i="6"/>
  <c r="DM16" i="6"/>
  <c r="DK16" i="6"/>
  <c r="DJ16" i="6"/>
  <c r="DI16" i="6"/>
  <c r="DG16" i="6"/>
  <c r="DC16" i="6"/>
  <c r="CW16" i="6"/>
  <c r="CV16" i="6"/>
  <c r="CU16" i="6"/>
  <c r="CT16" i="6"/>
  <c r="CR16" i="6"/>
  <c r="CJ16" i="6"/>
  <c r="CI16" i="6"/>
  <c r="BX16" i="6"/>
  <c r="BO16" i="6"/>
  <c r="BN16" i="6"/>
  <c r="BL16" i="6"/>
  <c r="BI16" i="6"/>
  <c r="BE16" i="6"/>
  <c r="BA16" i="6"/>
  <c r="DF16" i="6"/>
  <c r="AU16" i="6"/>
  <c r="AP16" i="6"/>
  <c r="DB16" i="6"/>
  <c r="D16" i="6"/>
  <c r="C16" i="6"/>
  <c r="A16" i="6"/>
  <c r="EJ15" i="6"/>
  <c r="EE15" i="6"/>
  <c r="EA15" i="6"/>
  <c r="DZ15" i="6"/>
  <c r="DV15" i="6"/>
  <c r="DU15" i="6"/>
  <c r="DS15" i="6"/>
  <c r="DR15" i="6"/>
  <c r="DQ15" i="6"/>
  <c r="DO15" i="6"/>
  <c r="DN15" i="6"/>
  <c r="DM15" i="6"/>
  <c r="DK15" i="6"/>
  <c r="DJ15" i="6"/>
  <c r="DI15" i="6"/>
  <c r="DG15" i="6"/>
  <c r="DC15" i="6"/>
  <c r="CW15" i="6"/>
  <c r="CV15" i="6"/>
  <c r="CU15" i="6"/>
  <c r="CT15" i="6"/>
  <c r="CR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DB15" i="6"/>
  <c r="D15" i="6"/>
  <c r="CZ15" i="6" s="1"/>
  <c r="C15" i="6"/>
  <c r="A15" i="6"/>
  <c r="EJ14" i="6"/>
  <c r="EE14" i="6"/>
  <c r="EA14" i="6"/>
  <c r="DZ14" i="6"/>
  <c r="DV14" i="6"/>
  <c r="DU14" i="6"/>
  <c r="DS14" i="6"/>
  <c r="DR14" i="6"/>
  <c r="DQ14" i="6"/>
  <c r="DO14" i="6"/>
  <c r="DN14" i="6"/>
  <c r="DM14" i="6"/>
  <c r="DK14" i="6"/>
  <c r="DJ14" i="6"/>
  <c r="DI14" i="6"/>
  <c r="DG14" i="6"/>
  <c r="DC14" i="6"/>
  <c r="CW14" i="6"/>
  <c r="CV14" i="6"/>
  <c r="CU14" i="6"/>
  <c r="CT14" i="6"/>
  <c r="CR14" i="6"/>
  <c r="CJ14" i="6"/>
  <c r="CI14" i="6"/>
  <c r="BX14" i="6"/>
  <c r="BO14" i="6"/>
  <c r="BN14" i="6"/>
  <c r="BL14" i="6"/>
  <c r="BI14" i="6"/>
  <c r="BE14" i="6"/>
  <c r="BA14" i="6"/>
  <c r="DF14" i="6"/>
  <c r="AU14" i="6"/>
  <c r="AP14" i="6"/>
  <c r="DB14" i="6"/>
  <c r="D14" i="6"/>
  <c r="C14" i="6"/>
  <c r="A14" i="6"/>
  <c r="EJ13" i="6"/>
  <c r="EE13" i="6"/>
  <c r="EA13" i="6"/>
  <c r="DZ13" i="6"/>
  <c r="DV13" i="6"/>
  <c r="DU13" i="6"/>
  <c r="DS13" i="6"/>
  <c r="DR13" i="6"/>
  <c r="DQ13" i="6"/>
  <c r="DO13" i="6"/>
  <c r="DN13" i="6"/>
  <c r="DM13" i="6"/>
  <c r="DK13" i="6"/>
  <c r="DJ13" i="6"/>
  <c r="DI13" i="6"/>
  <c r="DG13" i="6"/>
  <c r="DC13" i="6"/>
  <c r="CW13" i="6"/>
  <c r="CV13" i="6"/>
  <c r="CU13" i="6"/>
  <c r="CT13" i="6"/>
  <c r="CR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DB13" i="6"/>
  <c r="D13" i="6"/>
  <c r="CY13" i="6" s="1"/>
  <c r="C13" i="6"/>
  <c r="A13" i="6"/>
  <c r="EJ12" i="6"/>
  <c r="EE12" i="6"/>
  <c r="EA12" i="6"/>
  <c r="DZ12" i="6"/>
  <c r="DV12" i="6"/>
  <c r="DU12" i="6"/>
  <c r="DS12" i="6"/>
  <c r="DR12" i="6"/>
  <c r="DQ12" i="6"/>
  <c r="DO12" i="6"/>
  <c r="DN12" i="6"/>
  <c r="DM12" i="6"/>
  <c r="DK12" i="6"/>
  <c r="DJ12" i="6"/>
  <c r="DI12" i="6"/>
  <c r="DG12" i="6"/>
  <c r="DC12" i="6"/>
  <c r="CW12" i="6"/>
  <c r="CV12" i="6"/>
  <c r="CU12" i="6"/>
  <c r="CT12" i="6"/>
  <c r="CR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DB12" i="6"/>
  <c r="D12" i="6"/>
  <c r="CY12" i="6" s="1"/>
  <c r="C12" i="6"/>
  <c r="A12" i="6"/>
  <c r="EJ11" i="6"/>
  <c r="EE11" i="6"/>
  <c r="EA11" i="6"/>
  <c r="DZ11" i="6"/>
  <c r="DV11" i="6"/>
  <c r="DU11" i="6"/>
  <c r="DS11" i="6"/>
  <c r="DR11" i="6"/>
  <c r="DQ11" i="6"/>
  <c r="DO11" i="6"/>
  <c r="DN11" i="6"/>
  <c r="DM11" i="6"/>
  <c r="DK11" i="6"/>
  <c r="DJ11" i="6"/>
  <c r="DI11" i="6"/>
  <c r="DG11" i="6"/>
  <c r="DC11" i="6"/>
  <c r="CW11" i="6"/>
  <c r="CV11" i="6"/>
  <c r="CU11" i="6"/>
  <c r="CT11" i="6"/>
  <c r="CR11" i="6"/>
  <c r="CJ11" i="6"/>
  <c r="CI11" i="6"/>
  <c r="BX11" i="6"/>
  <c r="BO11" i="6"/>
  <c r="BN11" i="6"/>
  <c r="BL11" i="6"/>
  <c r="BI11" i="6"/>
  <c r="BE11" i="6"/>
  <c r="BA11" i="6"/>
  <c r="DF11" i="6"/>
  <c r="AU11" i="6"/>
  <c r="AP11" i="6"/>
  <c r="DB11" i="6"/>
  <c r="D11" i="6"/>
  <c r="C11" i="6"/>
  <c r="A11" i="6"/>
  <c r="EJ10" i="6"/>
  <c r="EE10" i="6"/>
  <c r="EA10" i="6"/>
  <c r="DZ10" i="6"/>
  <c r="DV10" i="6"/>
  <c r="DU10" i="6"/>
  <c r="DS10" i="6"/>
  <c r="DR10" i="6"/>
  <c r="DQ10" i="6"/>
  <c r="DO10" i="6"/>
  <c r="DN10" i="6"/>
  <c r="DM10" i="6"/>
  <c r="DK10" i="6"/>
  <c r="DJ10" i="6"/>
  <c r="DI10" i="6"/>
  <c r="DG10" i="6"/>
  <c r="DC10" i="6"/>
  <c r="CW10" i="6"/>
  <c r="CV10" i="6"/>
  <c r="CU10" i="6"/>
  <c r="CT10" i="6"/>
  <c r="CR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DB10" i="6"/>
  <c r="D10" i="6"/>
  <c r="C10" i="6"/>
  <c r="A10" i="6"/>
  <c r="EJ9" i="6"/>
  <c r="EE9" i="6"/>
  <c r="EA9" i="6"/>
  <c r="DZ9" i="6"/>
  <c r="DV9" i="6"/>
  <c r="DU9" i="6"/>
  <c r="DS9" i="6"/>
  <c r="DR9" i="6"/>
  <c r="DQ9" i="6"/>
  <c r="DO9" i="6"/>
  <c r="DN9" i="6"/>
  <c r="DM9" i="6"/>
  <c r="DK9" i="6"/>
  <c r="DJ9" i="6"/>
  <c r="DI9" i="6"/>
  <c r="DG9" i="6"/>
  <c r="DC9" i="6"/>
  <c r="CW9" i="6"/>
  <c r="CV9" i="6"/>
  <c r="CU9" i="6"/>
  <c r="CT9" i="6"/>
  <c r="CR9" i="6"/>
  <c r="CJ9" i="6"/>
  <c r="CI9" i="6"/>
  <c r="BX9" i="6"/>
  <c r="BO9" i="6"/>
  <c r="BN9" i="6"/>
  <c r="BL9" i="6"/>
  <c r="BI9" i="6"/>
  <c r="BE9" i="6"/>
  <c r="BA9" i="6"/>
  <c r="AX9" i="6"/>
  <c r="AU9" i="6"/>
  <c r="AP9" i="6"/>
  <c r="DB9" i="6"/>
  <c r="D9" i="6"/>
  <c r="CZ9" i="6" s="1"/>
  <c r="C9" i="6"/>
  <c r="A9" i="6"/>
  <c r="EJ8" i="6"/>
  <c r="EE8" i="6"/>
  <c r="EA8" i="6"/>
  <c r="DZ8" i="6"/>
  <c r="DV8" i="6"/>
  <c r="DU8" i="6"/>
  <c r="DS8" i="6"/>
  <c r="DR8" i="6"/>
  <c r="DQ8" i="6"/>
  <c r="DO8" i="6"/>
  <c r="DN8" i="6"/>
  <c r="DM8" i="6"/>
  <c r="DK8" i="6"/>
  <c r="DJ8" i="6"/>
  <c r="DI8" i="6"/>
  <c r="DG8" i="6"/>
  <c r="DC8" i="6"/>
  <c r="CW8" i="6"/>
  <c r="CV8" i="6"/>
  <c r="CU8" i="6"/>
  <c r="CT8" i="6"/>
  <c r="CR8" i="6"/>
  <c r="CJ8" i="6"/>
  <c r="CI8" i="6"/>
  <c r="BX8" i="6"/>
  <c r="BO8" i="6"/>
  <c r="BN8" i="6"/>
  <c r="BL8" i="6"/>
  <c r="BI8" i="6"/>
  <c r="BE8" i="6"/>
  <c r="BA8" i="6"/>
  <c r="DF8" i="6"/>
  <c r="AU8" i="6"/>
  <c r="AP8" i="6"/>
  <c r="DB8" i="6"/>
  <c r="D8" i="6"/>
  <c r="CY8" i="6" s="1"/>
  <c r="C8" i="6"/>
  <c r="A8" i="6"/>
  <c r="EJ7" i="6"/>
  <c r="EE7" i="6"/>
  <c r="EA7" i="6"/>
  <c r="DZ7" i="6"/>
  <c r="DV7" i="6"/>
  <c r="DU7" i="6"/>
  <c r="DS7" i="6"/>
  <c r="DR7" i="6"/>
  <c r="DQ7" i="6"/>
  <c r="DO7" i="6"/>
  <c r="DN7" i="6"/>
  <c r="DM7" i="6"/>
  <c r="DK7" i="6"/>
  <c r="DJ7" i="6"/>
  <c r="DI7" i="6"/>
  <c r="DG7" i="6"/>
  <c r="DC7" i="6"/>
  <c r="CW7" i="6"/>
  <c r="CV7" i="6"/>
  <c r="CU7" i="6"/>
  <c r="CT7" i="6"/>
  <c r="CR7" i="6"/>
  <c r="CJ7" i="6"/>
  <c r="CI7" i="6"/>
  <c r="BX7" i="6"/>
  <c r="BO7" i="6"/>
  <c r="BN7" i="6"/>
  <c r="BL7" i="6"/>
  <c r="BI7" i="6"/>
  <c r="BE7" i="6"/>
  <c r="BA7" i="6"/>
  <c r="DF7" i="6"/>
  <c r="AU7" i="6"/>
  <c r="AP7" i="6"/>
  <c r="DB7" i="6"/>
  <c r="D7" i="6"/>
  <c r="CZ7" i="6" s="1"/>
  <c r="C7" i="6"/>
  <c r="A7" i="6"/>
  <c r="EJ6" i="6"/>
  <c r="EE6" i="6"/>
  <c r="EA6" i="6"/>
  <c r="DZ6" i="6"/>
  <c r="DV6" i="6"/>
  <c r="DU6" i="6"/>
  <c r="DS6" i="6"/>
  <c r="DR6" i="6"/>
  <c r="DQ6" i="6"/>
  <c r="DO6" i="6"/>
  <c r="DN6" i="6"/>
  <c r="DM6" i="6"/>
  <c r="DK6" i="6"/>
  <c r="DJ6" i="6"/>
  <c r="DI6" i="6"/>
  <c r="DG6" i="6"/>
  <c r="DC6" i="6"/>
  <c r="CW6" i="6"/>
  <c r="CV6" i="6"/>
  <c r="CU6" i="6"/>
  <c r="CT6" i="6"/>
  <c r="CR6" i="6"/>
  <c r="CJ6" i="6"/>
  <c r="CI6" i="6"/>
  <c r="BX6" i="6"/>
  <c r="BO6" i="6"/>
  <c r="BN6" i="6"/>
  <c r="BL6" i="6"/>
  <c r="BI6" i="6"/>
  <c r="BE6" i="6"/>
  <c r="BA6" i="6"/>
  <c r="DF6" i="6"/>
  <c r="AU6" i="6"/>
  <c r="AP6" i="6"/>
  <c r="DB6" i="6"/>
  <c r="D6" i="6"/>
  <c r="C6" i="6"/>
  <c r="A6" i="6"/>
  <c r="AW5" i="6"/>
  <c r="AX5" i="6" s="1"/>
  <c r="CZ43" i="6" l="1"/>
  <c r="CX44" i="6"/>
  <c r="CX26" i="6"/>
  <c r="BH17" i="6"/>
  <c r="BF17" i="6" s="1"/>
  <c r="BG17" i="6" s="1"/>
  <c r="CX18" i="6"/>
  <c r="BH19" i="6"/>
  <c r="BF19" i="6" s="1"/>
  <c r="BG19" i="6" s="1"/>
  <c r="AX27" i="6"/>
  <c r="DF40" i="6"/>
  <c r="AX31" i="6"/>
  <c r="CZ34" i="6"/>
  <c r="AX15" i="6"/>
  <c r="CX15" i="6"/>
  <c r="BH41" i="6"/>
  <c r="BF41" i="6" s="1"/>
  <c r="BG41" i="6" s="1"/>
  <c r="CY41" i="6"/>
  <c r="DF18" i="6"/>
  <c r="CZ41" i="6"/>
  <c r="BH34" i="6"/>
  <c r="BF34" i="6" s="1"/>
  <c r="BG34" i="6" s="1"/>
  <c r="CZ48" i="6"/>
  <c r="BB29" i="6"/>
  <c r="BD29" i="6" s="1"/>
  <c r="BH23" i="6"/>
  <c r="BF23" i="6" s="1"/>
  <c r="BG23" i="6" s="1"/>
  <c r="CZ23" i="6"/>
  <c r="CX30" i="6"/>
  <c r="CX34" i="6"/>
  <c r="DF42" i="6"/>
  <c r="DF45" i="6"/>
  <c r="DF13" i="6"/>
  <c r="AX7" i="6"/>
  <c r="CX12" i="6"/>
  <c r="CX6" i="6"/>
  <c r="BD28" i="6"/>
  <c r="BC28" i="6"/>
  <c r="AX16" i="6"/>
  <c r="BB18" i="6"/>
  <c r="CX22" i="6"/>
  <c r="BH26" i="6"/>
  <c r="BF26" i="6" s="1"/>
  <c r="BG26" i="6" s="1"/>
  <c r="AX40" i="6"/>
  <c r="CX40" i="6"/>
  <c r="BB9" i="6"/>
  <c r="BD9" i="6" s="1"/>
  <c r="CZ26" i="6"/>
  <c r="DF28" i="6"/>
  <c r="BH30" i="6"/>
  <c r="BF30" i="6" s="1"/>
  <c r="BG30" i="6" s="1"/>
  <c r="BB42" i="6"/>
  <c r="AX51" i="6"/>
  <c r="DF9" i="6"/>
  <c r="CX10" i="6"/>
  <c r="BB16" i="6"/>
  <c r="CZ24" i="6"/>
  <c r="CX25" i="6"/>
  <c r="CY34" i="6"/>
  <c r="CX42" i="6"/>
  <c r="CX54" i="6"/>
  <c r="CX8" i="6"/>
  <c r="BH18" i="6"/>
  <c r="BF18" i="6" s="1"/>
  <c r="BG18" i="6" s="1"/>
  <c r="CY29" i="6"/>
  <c r="AX52" i="6"/>
  <c r="CX46" i="6"/>
  <c r="BB17" i="6"/>
  <c r="BD17" i="6" s="1"/>
  <c r="AX28" i="6"/>
  <c r="CY38" i="6"/>
  <c r="CX43" i="6"/>
  <c r="BB52" i="6"/>
  <c r="BD52" i="6" s="1"/>
  <c r="BB30" i="6"/>
  <c r="CX21" i="6"/>
  <c r="CX24" i="6"/>
  <c r="CY50" i="6"/>
  <c r="BB53" i="6"/>
  <c r="BD53" i="6" s="1"/>
  <c r="AX6" i="6"/>
  <c r="CY7" i="6"/>
  <c r="BH11" i="6"/>
  <c r="BF11" i="6" s="1"/>
  <c r="BG11" i="6" s="1"/>
  <c r="BH22" i="6"/>
  <c r="BF22" i="6" s="1"/>
  <c r="BG22" i="6" s="1"/>
  <c r="BH25" i="6"/>
  <c r="BF25" i="6" s="1"/>
  <c r="BG25" i="6" s="1"/>
  <c r="DF27" i="6"/>
  <c r="AX33" i="6"/>
  <c r="DB34" i="6"/>
  <c r="CX37" i="6"/>
  <c r="CZ38" i="6"/>
  <c r="BC40" i="6"/>
  <c r="BH47" i="6"/>
  <c r="BF47" i="6" s="1"/>
  <c r="BG47" i="6" s="1"/>
  <c r="CX51" i="6"/>
  <c r="BC54" i="6"/>
  <c r="BH15" i="6"/>
  <c r="BF15" i="6" s="1"/>
  <c r="BG15" i="6" s="1"/>
  <c r="CX17" i="6"/>
  <c r="CZ20" i="6"/>
  <c r="BH29" i="6"/>
  <c r="BF29" i="6" s="1"/>
  <c r="BG29" i="6" s="1"/>
  <c r="DF30" i="6"/>
  <c r="CX33" i="6"/>
  <c r="CX35" i="6"/>
  <c r="DF36" i="6"/>
  <c r="CY43" i="6"/>
  <c r="CZ47" i="6"/>
  <c r="CX53" i="6"/>
  <c r="CX14" i="6"/>
  <c r="CY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F15" i="6"/>
  <c r="AX21" i="6"/>
  <c r="CZ22" i="6"/>
  <c r="CY26" i="6"/>
  <c r="CX28" i="6"/>
  <c r="CZ29" i="6"/>
  <c r="CX31" i="6"/>
  <c r="AX39" i="6"/>
  <c r="CY40" i="6"/>
  <c r="CX48" i="6"/>
  <c r="DF49" i="6"/>
  <c r="CX50" i="6"/>
  <c r="BH54" i="6"/>
  <c r="BF54" i="6" s="1"/>
  <c r="BG54" i="6" s="1"/>
  <c r="BH35" i="6"/>
  <c r="BF35" i="6" s="1"/>
  <c r="BG35" i="6" s="1"/>
  <c r="CX39" i="6"/>
  <c r="BH49" i="6"/>
  <c r="BF49" i="6" s="1"/>
  <c r="BG49" i="6" s="1"/>
  <c r="DF51" i="6"/>
  <c r="BH53" i="6"/>
  <c r="BF53" i="6" s="1"/>
  <c r="BG53" i="6" s="1"/>
  <c r="CZ12" i="6"/>
  <c r="BH14" i="6"/>
  <c r="BF14" i="6" s="1"/>
  <c r="BG14" i="6" s="1"/>
  <c r="CY17" i="6"/>
  <c r="AX19" i="6"/>
  <c r="BB21" i="6"/>
  <c r="BD21" i="6" s="1"/>
  <c r="CX23" i="6"/>
  <c r="DF24" i="6"/>
  <c r="CY31" i="6"/>
  <c r="CZ35" i="6"/>
  <c r="CY53" i="6"/>
  <c r="DF54" i="6"/>
  <c r="BH6" i="6"/>
  <c r="BF6" i="6" s="1"/>
  <c r="BG6" i="6" s="1"/>
  <c r="CZ8" i="6"/>
  <c r="CY10" i="6"/>
  <c r="CY14" i="6"/>
  <c r="CX16" i="6"/>
  <c r="CZ17" i="6"/>
  <c r="CX19" i="6"/>
  <c r="CZ31" i="6"/>
  <c r="CX32" i="6"/>
  <c r="BH39" i="6"/>
  <c r="BF39" i="6" s="1"/>
  <c r="BG39" i="6" s="1"/>
  <c r="CX41" i="6"/>
  <c r="CZ44" i="6"/>
  <c r="CY46" i="6"/>
  <c r="BH50" i="6"/>
  <c r="BF50" i="6" s="1"/>
  <c r="BG50" i="6" s="1"/>
  <c r="CX52" i="6"/>
  <c r="CZ53" i="6"/>
  <c r="BB6" i="6"/>
  <c r="CZ10" i="6"/>
  <c r="CX13" i="6"/>
  <c r="CZ14" i="6"/>
  <c r="CY28" i="6"/>
  <c r="CX36" i="6"/>
  <c r="CX38" i="6"/>
  <c r="BB41" i="6"/>
  <c r="BD41" i="6" s="1"/>
  <c r="BH42" i="6"/>
  <c r="BF42" i="6" s="1"/>
  <c r="BG42" i="6" s="1"/>
  <c r="CZ46" i="6"/>
  <c r="DF12" i="6"/>
  <c r="CY19" i="6"/>
  <c r="CX27" i="6"/>
  <c r="BH37" i="6"/>
  <c r="BF37" i="6" s="1"/>
  <c r="BG37" i="6" s="1"/>
  <c r="DF39" i="6"/>
  <c r="CX49" i="6"/>
  <c r="CZ50" i="6"/>
  <c r="CX9" i="6"/>
  <c r="CX11" i="6"/>
  <c r="CZ19" i="6"/>
  <c r="CX20" i="6"/>
  <c r="CX45" i="6"/>
  <c r="CX47" i="6"/>
  <c r="CX7" i="6"/>
  <c r="BH10" i="6"/>
  <c r="BF10" i="6" s="1"/>
  <c r="BG10" i="6" s="1"/>
  <c r="CY16" i="6"/>
  <c r="BH27" i="6"/>
  <c r="BF27" i="6" s="1"/>
  <c r="BG27" i="6" s="1"/>
  <c r="CX29" i="6"/>
  <c r="CZ32" i="6"/>
  <c r="CZ36" i="6"/>
  <c r="BH38" i="6"/>
  <c r="BF38" i="6" s="1"/>
  <c r="BG38" i="6" s="1"/>
  <c r="AX43" i="6"/>
  <c r="BH46" i="6"/>
  <c r="BF46" i="6" s="1"/>
  <c r="BG46" i="6" s="1"/>
  <c r="CY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Y6" i="6"/>
  <c r="AX8" i="6"/>
  <c r="BB10" i="6"/>
  <c r="CZ13" i="6"/>
  <c r="BH16" i="6"/>
  <c r="BF16" i="6" s="1"/>
  <c r="BG16" i="6" s="1"/>
  <c r="DF17" i="6"/>
  <c r="CY18" i="6"/>
  <c r="AX20" i="6"/>
  <c r="BB22" i="6"/>
  <c r="CZ25" i="6"/>
  <c r="BH28" i="6"/>
  <c r="BF28" i="6" s="1"/>
  <c r="BG28" i="6" s="1"/>
  <c r="DF29" i="6"/>
  <c r="CY30" i="6"/>
  <c r="AX32" i="6"/>
  <c r="BB34" i="6"/>
  <c r="CZ37" i="6"/>
  <c r="BH40" i="6"/>
  <c r="BF40" i="6" s="1"/>
  <c r="BG40" i="6" s="1"/>
  <c r="DF41" i="6"/>
  <c r="CY42" i="6"/>
  <c r="AX44" i="6"/>
  <c r="BB46" i="6"/>
  <c r="CZ49" i="6"/>
  <c r="BH52" i="6"/>
  <c r="BF52" i="6" s="1"/>
  <c r="BG52" i="6" s="1"/>
  <c r="DF53" i="6"/>
  <c r="CY54" i="6"/>
  <c r="CZ6" i="6"/>
  <c r="BH9" i="6"/>
  <c r="BF9" i="6" s="1"/>
  <c r="BG9" i="6" s="1"/>
  <c r="DF10" i="6"/>
  <c r="CY11" i="6"/>
  <c r="AX13" i="6"/>
  <c r="CZ18" i="6"/>
  <c r="BH21" i="6"/>
  <c r="BF21" i="6" s="1"/>
  <c r="BG21" i="6" s="1"/>
  <c r="DF22" i="6"/>
  <c r="CY23" i="6"/>
  <c r="AX25" i="6"/>
  <c r="CZ30" i="6"/>
  <c r="BH33" i="6"/>
  <c r="BF33" i="6" s="1"/>
  <c r="BG33" i="6" s="1"/>
  <c r="DF34" i="6"/>
  <c r="CY35" i="6"/>
  <c r="AX37" i="6"/>
  <c r="CZ42" i="6"/>
  <c r="BH45" i="6"/>
  <c r="BF45" i="6" s="1"/>
  <c r="BG45" i="6" s="1"/>
  <c r="DF46" i="6"/>
  <c r="CY47" i="6"/>
  <c r="AX49" i="6"/>
  <c r="CZ54" i="6"/>
  <c r="BB20" i="6"/>
  <c r="BB32" i="6"/>
  <c r="BB44" i="6"/>
  <c r="BB8" i="6"/>
  <c r="CZ11" i="6"/>
  <c r="CY9" i="6"/>
  <c r="AX11" i="6"/>
  <c r="CZ16" i="6"/>
  <c r="CY21" i="6"/>
  <c r="AX23" i="6"/>
  <c r="CZ28" i="6"/>
  <c r="BH31" i="6"/>
  <c r="BF31" i="6" s="1"/>
  <c r="BG31" i="6" s="1"/>
  <c r="CY33" i="6"/>
  <c r="AX35" i="6"/>
  <c r="CZ40" i="6"/>
  <c r="BH43" i="6"/>
  <c r="BF43" i="6" s="1"/>
  <c r="BG43" i="6" s="1"/>
  <c r="CY45" i="6"/>
  <c r="AX47" i="6"/>
  <c r="CZ52" i="6"/>
  <c r="BH12" i="6"/>
  <c r="BF12" i="6" s="1"/>
  <c r="BG12" i="6" s="1"/>
  <c r="CZ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Y15" i="6"/>
  <c r="BB19" i="6"/>
  <c r="CY27" i="6"/>
  <c r="BB31" i="6"/>
  <c r="CY39" i="6"/>
  <c r="BB43" i="6"/>
  <c r="CY51" i="6"/>
  <c r="BH8" i="6"/>
  <c r="BF8" i="6" s="1"/>
  <c r="BG8" i="6" s="1"/>
  <c r="BB7" i="6"/>
  <c r="DF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C5" i="6" l="1"/>
  <c r="CW5" i="6"/>
  <c r="CV5" i="6"/>
  <c r="CU5" i="6"/>
  <c r="CT5" i="6"/>
  <c r="BX5" i="6"/>
  <c r="BL5" i="6"/>
  <c r="BA5" i="6"/>
  <c r="AP5" i="6"/>
  <c r="E5" i="6"/>
  <c r="D5" i="6"/>
  <c r="C5" i="6"/>
  <c r="DB5" i="6" l="1"/>
  <c r="CX5" i="6" l="1"/>
  <c r="EJ5" i="6"/>
  <c r="EE5" i="6"/>
  <c r="DZ5" i="6"/>
  <c r="EA5" i="6"/>
  <c r="DV5" i="6"/>
  <c r="DU5" i="6"/>
  <c r="DR5" i="6"/>
  <c r="DQ5" i="6"/>
  <c r="DM5" i="6"/>
  <c r="DN5" i="6"/>
  <c r="DJ5" i="6"/>
  <c r="DI5" i="6"/>
  <c r="DG5" i="6"/>
  <c r="DS5" i="6"/>
  <c r="DO5" i="6"/>
  <c r="DK5" i="6"/>
  <c r="CZ5" i="6" l="1"/>
  <c r="CY5" i="6"/>
  <c r="CR5" i="6" l="1"/>
  <c r="CJ5" i="6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<sst xmlns="http://schemas.openxmlformats.org/spreadsheetml/2006/main" count="7742" uniqueCount="1053">
  <si>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</si>
  <si>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</si>
  <si>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</si>
  <si>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</si>
  <si>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</si>
  <si>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</si>
  <si>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</si>
  <si>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</si>
  <si>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</si>
  <si>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</si>
  <si>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</si>
  <si>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</si>
  <si>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</si>
  <si>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</si>
  <si>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</si>
  <si>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</si>
  <si>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</si>
  <si>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</si>
  <si>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</si>
  <si>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</si>
  <si>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</si>
  <si>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</si>
  <si>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</si>
  <si>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</si>
  <si>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</si>
  <si>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</si>
  <si>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</si>
  <si>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</si>
  <si>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</si>
  <si>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</si>
  <si>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</si>
  <si>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</si>
  <si>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</si>
  <si>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</si>
  <si>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</si>
  <si>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</si>
  <si>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</si>
  <si>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</si>
  <si>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</si>
  <si>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</si>
  <si>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</si>
  <si>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</si>
  <si>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</si>
  <si>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</si>
  <si>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</si>
  <si>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</si>
  <si>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</si>
  <si>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</si>
  <si>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</si>
  <si>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</si>
  <si>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</si>
  <si>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</si>
  <si>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</si>
  <si>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</si>
  <si>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</si>
  <si>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</si>
  <si>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</si>
  <si>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</si>
  <si>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</si>
  <si>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</si>
  <si>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</si>
  <si>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</si>
  <si>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</si>
  <si>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</si>
  <si>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</si>
  <si>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</si>
  <si>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</si>
  <si>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</si>
  <si>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</si>
  <si>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</si>
  <si>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</si>
  <si>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</si>
  <si>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</si>
  <si>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</si>
  <si>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</si>
  <si>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</si>
  <si>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</si>
  <si>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</si>
  <si>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</si>
  <si>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</si>
  <si>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</si>
  <si>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</si>
  <si>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</si>
  <si>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</si>
  <si>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</si>
  <si>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</si>
  <si>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</si>
  <si>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</si>
  <si>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</si>
  <si>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</si>
  <si>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</si>
  <si>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</si>
  <si>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</si>
  <si>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</si>
  <si>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</si>
  <si>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</si>
  <si>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</si>
  <si>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</si>
  <si>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</si>
  <si>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</si>
  <si>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</si>
  <si>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</si>
  <si>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</si>
  <si>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</si>
  <si>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</si>
  <si>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</si>
  <si>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</si>
  <si>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</si>
  <si>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</si>
  <si>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</si>
  <si>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</si>
  <si>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</si>
  <si>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</si>
  <si>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</si>
  <si>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</si>
  <si>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</si>
  <si>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</si>
  <si>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</si>
  <si>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</si>
  <si>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</si>
  <si>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</si>
  <si>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</si>
  <si>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</si>
  <si>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</si>
  <si>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</si>
  <si>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</si>
  <si>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</si>
  <si>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</si>
  <si>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</si>
  <si>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</si>
  <si>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</si>
  <si>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</si>
  <si>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</si>
  <si>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</si>
  <si>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</si>
  <si>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</si>
  <si>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</si>
  <si>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</si>
  <si>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</si>
  <si>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</si>
  <si>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</si>
  <si>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</si>
  <si>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</si>
  <si>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</si>
  <si>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</si>
  <si>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</si>
  <si>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</si>
  <si>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</si>
  <si>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</si>
  <si>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</si>
  <si>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</si>
  <si>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</si>
  <si>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</si>
  <si>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</si>
  <si>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</si>
  <si>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</si>
  <si>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</si>
  <si>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</si>
  <si>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</si>
  <si>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</si>
  <si>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</si>
  <si>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</si>
  <si>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</si>
  <si>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</si>
  <si>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</si>
  <si>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</si>
  <si>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</si>
  <si>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</si>
  <si>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</si>
  <si>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</si>
  <si>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</si>
  <si>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</si>
  <si>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</si>
  <si>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</si>
  <si>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</si>
  <si>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</si>
  <si>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</si>
  <si>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</si>
  <si>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</si>
  <si>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</si>
  <si>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</si>
  <si>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</si>
  <si>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</si>
  <si>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</si>
  <si>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</si>
  <si>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</si>
  <si>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</si>
  <si>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</si>
  <si>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</si>
  <si>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</si>
  <si>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</si>
  <si>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</si>
  <si>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</si>
  <si>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</si>
  <si>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</si>
  <si>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</si>
  <si>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</si>
  <si>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</si>
  <si>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</si>
  <si>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</si>
  <si>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</si>
  <si>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</si>
  <si>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</si>
  <si>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</si>
  <si>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</si>
  <si>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</si>
  <si>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</si>
  <si>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</si>
  <si>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</si>
  <si>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</si>
  <si>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</si>
  <si>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</si>
  <si>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</si>
  <si>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</si>
  <si>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</si>
  <si>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</si>
  <si>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</si>
  <si>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</si>
  <si>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</si>
  <si>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</si>
  <si>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</si>
  <si>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</si>
  <si>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</si>
  <si>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</si>
  <si>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</si>
  <si>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</si>
  <si>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</si>
  <si>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</si>
  <si>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</si>
  <si>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</si>
  <si>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</si>
  <si>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</si>
  <si>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</si>
  <si>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</si>
  <si>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</si>
  <si>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</si>
  <si>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</si>
  <si>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</si>
  <si>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</si>
  <si>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</si>
  <si>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</si>
  <si>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</si>
  <si>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</si>
  <si>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</si>
  <si>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</si>
  <si>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</si>
  <si>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</si>
  <si>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</si>
  <si>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</si>
  <si>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</si>
  <si>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</si>
  <si>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</si>
  <si>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</si>
  <si>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</si>
  <si>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</si>
  <si>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</si>
  <si>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</si>
  <si>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</si>
  <si>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</si>
  <si>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</si>
  <si>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</si>
  <si>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</si>
  <si>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</si>
  <si>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</si>
  <si>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</si>
  <si>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</si>
  <si>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</si>
  <si>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</si>
  <si>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</si>
  <si>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</si>
  <si>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</si>
  <si>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</si>
  <si>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</si>
  <si>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</si>
  <si>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</si>
  <si>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</si>
  <si>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</si>
  <si>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</si>
  <si>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</si>
  <si>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</si>
  <si>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</si>
  <si>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</si>
  <si>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</si>
  <si>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</si>
  <si>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</si>
  <si>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</si>
  <si>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</si>
  <si>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</si>
  <si>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</si>
  <si>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</si>
  <si>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</si>
  <si>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</si>
  <si>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</si>
  <si>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</si>
  <si>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</si>
  <si>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</si>
  <si>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</si>
  <si>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</si>
  <si>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</si>
  <si>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</si>
  <si>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</si>
  <si>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</si>
  <si>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</si>
  <si>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</si>
  <si>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</si>
  <si>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</si>
  <si>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</si>
  <si>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</si>
  <si>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</si>
  <si>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</si>
  <si>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</si>
  <si>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</si>
  <si>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</si>
  <si>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</si>
  <si>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</si>
  <si>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</si>
  <si>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</si>
  <si>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</si>
  <si>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</si>
  <si>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</si>
  <si>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</si>
  <si>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</si>
  <si>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</si>
  <si>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</si>
  <si>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</si>
  <si>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</si>
  <si>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</si>
  <si>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</si>
  <si>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</si>
  <si>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</si>
  <si>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</si>
  <si>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</si>
  <si>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</si>
  <si>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</si>
  <si>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</si>
  <si>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</si>
  <si>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</si>
  <si>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</si>
  <si>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</si>
  <si>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</si>
  <si>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</si>
  <si>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</si>
  <si>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</si>
  <si>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</si>
  <si>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</si>
  <si>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</si>
  <si>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</si>
  <si>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</si>
  <si>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</si>
  <si>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</si>
  <si>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</si>
  <si>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</si>
  <si>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</si>
  <si>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</si>
  <si>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</si>
  <si>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</si>
  <si>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</si>
  <si>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</si>
  <si>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</si>
  <si>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</si>
  <si>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</si>
  <si>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</si>
  <si>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</si>
  <si>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</si>
  <si>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</si>
  <si>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</si>
  <si>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</si>
  <si>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</si>
  <si>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</si>
  <si>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</si>
  <si>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</si>
  <si>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</si>
  <si>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</si>
  <si>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</si>
  <si>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</si>
  <si>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</si>
  <si>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</si>
  <si>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</si>
  <si>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</si>
  <si>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</si>
  <si>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</si>
  <si>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</si>
  <si>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</si>
  <si>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</si>
  <si>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</si>
  <si>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</si>
  <si>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</si>
  <si>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</si>
  <si>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</si>
  <si>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</si>
  <si>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</si>
  <si>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</si>
  <si>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</si>
  <si>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</si>
  <si>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</si>
  <si>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</si>
  <si>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</si>
  <si>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</si>
  <si>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</si>
  <si>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</si>
  <si>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</si>
  <si>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</si>
  <si>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</si>
  <si>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</si>
  <si>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</si>
  <si>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</si>
  <si>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</si>
  <si>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</si>
  <si>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</si>
  <si>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</si>
  <si>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</si>
  <si>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</si>
  <si>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</si>
  <si>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</si>
  <si>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</si>
  <si>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</si>
  <si>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</si>
  <si>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</si>
  <si>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</si>
  <si>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</si>
  <si>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</si>
  <si>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</si>
  <si>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</si>
  <si>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</si>
  <si>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</si>
  <si>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</si>
  <si>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</si>
  <si>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</si>
  <si>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</si>
  <si>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</si>
  <si>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</si>
  <si>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</si>
  <si>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</si>
  <si>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</si>
  <si>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</si>
  <si>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</si>
  <si>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</si>
  <si>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</si>
  <si>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</si>
  <si>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</si>
  <si>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</si>
  <si>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</si>
  <si>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</si>
  <si>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</si>
  <si>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</si>
  <si>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</si>
  <si>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</si>
  <si>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</si>
  <si>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</si>
  <si>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</si>
  <si>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</si>
  <si>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</si>
  <si>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</si>
  <si>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</si>
  <si>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</si>
  <si>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</si>
  <si>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</si>
  <si>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</si>
  <si>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</si>
  <si>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</si>
  <si>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</si>
  <si>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</si>
  <si>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</si>
  <si>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</si>
  <si>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</si>
  <si>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</si>
  <si>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</si>
  <si>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</si>
  <si>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</si>
  <si>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</si>
  <si>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</si>
  <si>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</si>
  <si>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</si>
  <si>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</si>
  <si>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</si>
  <si>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</si>
  <si>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</si>
  <si>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</si>
  <si>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</si>
  <si>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</si>
  <si>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</si>
  <si>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</si>
  <si>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</si>
  <si>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</si>
  <si>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</si>
  <si>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</si>
  <si>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</si>
  <si>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</si>
  <si>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</si>
  <si>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</si>
  <si>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</si>
  <si>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</si>
  <si>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</si>
  <si>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</si>
  <si>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</si>
  <si>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</si>
  <si>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</si>
  <si>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</si>
  <si>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</si>
  <si>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</si>
  <si>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</si>
  <si>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</si>
  <si>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</si>
  <si>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</si>
  <si>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</si>
  <si>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</si>
  <si>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</si>
  <si>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</si>
  <si>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</si>
  <si>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</si>
  <si>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</si>
  <si>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</si>
  <si>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</si>
  <si>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</si>
  <si>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</si>
  <si>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</si>
  <si>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</si>
  <si>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</si>
  <si>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</si>
  <si>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</si>
  <si>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</si>
  <si>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</si>
  <si>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</si>
  <si>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</si>
  <si>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</si>
  <si>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VAR. MATRIZ. SETUP</t>
  </si>
  <si>
    <t>GEOMETRIA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</si>
  <si>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</si>
  <si>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</si>
  <si>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</si>
  <si>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</si>
  <si>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</si>
  <si>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</si>
  <si>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</si>
  <si>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</si>
  <si>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</si>
  <si>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</si>
  <si>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</si>
  <si>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</si>
  <si>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</si>
  <si>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</si>
  <si>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</si>
  <si>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</si>
  <si>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</si>
  <si>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</si>
  <si>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</si>
  <si>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</si>
  <si>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</si>
  <si>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</si>
  <si>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</si>
  <si>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</si>
  <si>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</si>
  <si>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</si>
  <si>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</si>
  <si>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</si>
  <si>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</si>
  <si>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</si>
  <si>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</si>
  <si>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</si>
  <si>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</si>
  <si>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</si>
  <si>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</si>
  <si>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</si>
  <si>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</si>
  <si>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</si>
  <si>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</si>
  <si>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</si>
  <si>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</si>
  <si>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</si>
  <si>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</si>
  <si>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</si>
  <si>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</si>
  <si>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</si>
  <si>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</si>
  <si>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</si>
  <si>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</si>
  <si>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</si>
  <si>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</si>
  <si>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</si>
  <si>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</si>
  <si>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</si>
  <si>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</si>
  <si>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</si>
  <si>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</si>
  <si>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</si>
  <si>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</si>
  <si>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</si>
  <si>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</si>
  <si>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</si>
  <si>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</si>
  <si>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</si>
  <si>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</si>
  <si>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</si>
  <si>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</si>
  <si>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</si>
  <si>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</si>
  <si>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</si>
  <si>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</si>
  <si>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</si>
  <si>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</si>
  <si>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</si>
  <si>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</si>
  <si>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</si>
  <si>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</si>
  <si>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</si>
  <si>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</si>
  <si>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</si>
  <si>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</si>
  <si>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</si>
  <si>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</si>
  <si>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</si>
  <si>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</si>
  <si>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</si>
  <si>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</si>
  <si>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</si>
  <si>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</si>
  <si>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</si>
  <si>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</si>
  <si>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</si>
  <si>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</si>
  <si>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</si>
  <si>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</si>
  <si>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</si>
  <si>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</si>
  <si>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</si>
  <si>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</si>
  <si>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</si>
  <si>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</si>
  <si>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</si>
  <si>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</si>
  <si>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</si>
  <si>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</si>
  <si>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</si>
  <si>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</si>
  <si>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</si>
  <si>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</si>
  <si>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</si>
  <si>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</si>
  <si>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</si>
  <si>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</si>
  <si>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</si>
  <si>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</si>
  <si>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</si>
  <si>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</si>
  <si>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</si>
  <si>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</si>
  <si>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</si>
  <si>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RASPAGEM INTERNA (RIR)</t>
  </si>
  <si>
    <t>PESO POR METRO</t>
  </si>
  <si>
    <t>ESPESSURA [CHAR]</t>
  </si>
  <si>
    <t>ctxtRCTMS-MWERT[1,10]-GERAL</t>
  </si>
  <si>
    <t>ctxtRCTMS-MWERT[1,18]-GERAL</t>
  </si>
  <si>
    <t>ctxtRCTMS-MWERT[1,1]-COMMON</t>
  </si>
  <si>
    <t>ctxtRCTMS-MWERT[1,3]-COMMON</t>
  </si>
  <si>
    <t>ctxtRCTMS-MWERT[1,7]-COMMON</t>
  </si>
  <si>
    <t>ctxtRCTMS-MWERT[1,9]-COMMON</t>
  </si>
  <si>
    <t>ctxtRCTMS-MWERT[1,10]-COMMON</t>
  </si>
  <si>
    <t>ctxtRCTMS-MWERT[1,16]-COMMON</t>
  </si>
  <si>
    <t>ctxtRCTMS-MWERT[1,17]-COMMON</t>
  </si>
  <si>
    <t>ctxtRCTMS-MWERT[1,0]-CONFIG</t>
  </si>
  <si>
    <t>ctxtRCTMS-MWERT[1,7]-CONFIG</t>
  </si>
  <si>
    <t>ctxtRCTMS-MWERT[1,18]-OTHERS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</si>
  <si>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</si>
  <si>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</si>
  <si>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</si>
  <si>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</si>
  <si>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</si>
  <si>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</si>
  <si>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</si>
  <si>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</si>
  <si>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</si>
  <si>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</si>
  <si>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</si>
  <si>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</si>
  <si>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</si>
  <si>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</si>
  <si>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</si>
  <si>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</si>
  <si>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</si>
  <si>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</si>
  <si>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</si>
  <si>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</si>
  <si>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</si>
  <si>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</si>
  <si>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</si>
  <si>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</si>
  <si>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</si>
  <si>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</si>
  <si>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</si>
  <si>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</si>
  <si>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</si>
  <si>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</si>
  <si>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</si>
  <si>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</si>
  <si>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</si>
  <si>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</si>
  <si>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</si>
  <si>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</si>
  <si>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</si>
  <si>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</si>
  <si>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</si>
  <si>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</si>
  <si>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</si>
  <si>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</si>
  <si>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</si>
  <si>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</si>
  <si>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</si>
  <si>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</si>
  <si>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</si>
  <si>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</si>
  <si>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</si>
  <si>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</si>
  <si>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</si>
  <si>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</si>
  <si>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</si>
  <si>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</si>
  <si>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</si>
  <si>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</si>
  <si>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</si>
  <si>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</si>
  <si>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</si>
  <si>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</si>
  <si>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</si>
  <si>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</si>
  <si>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</si>
  <si>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</si>
  <si>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</si>
  <si>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</si>
  <si>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</si>
  <si>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</si>
  <si>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</si>
  <si>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</si>
  <si>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</si>
  <si>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</si>
  <si>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</si>
  <si>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</si>
  <si>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</si>
  <si>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</si>
  <si>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</si>
  <si>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</si>
  <si>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</si>
  <si>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</si>
  <si>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</si>
  <si>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</si>
  <si>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</si>
  <si>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</si>
  <si>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</si>
  <si>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</si>
  <si>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</si>
  <si>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</si>
  <si>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</si>
  <si>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</si>
  <si>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</si>
  <si>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</si>
  <si>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</si>
  <si>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</si>
  <si>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</si>
  <si>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</si>
  <si>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</si>
  <si>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</si>
  <si>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</si>
  <si>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</si>
  <si>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</si>
  <si>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</si>
  <si>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</si>
  <si>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</si>
  <si>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</si>
  <si>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</si>
  <si>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</si>
  <si>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</si>
  <si>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</si>
  <si>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</si>
  <si>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</si>
  <si>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</si>
  <si>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</si>
  <si>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</si>
  <si>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</si>
  <si>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</si>
  <si>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</si>
  <si>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</si>
  <si>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</si>
  <si>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</si>
  <si>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</si>
  <si>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</si>
  <si>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</si>
  <si>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</si>
  <si>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</si>
  <si>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</si>
  <si>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</si>
  <si>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</si>
  <si>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</si>
  <si>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</si>
  <si>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</si>
  <si>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</si>
  <si>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</si>
  <si>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</si>
  <si>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</si>
  <si>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</si>
  <si>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</si>
  <si>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</si>
  <si>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</si>
  <si>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</si>
  <si>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</si>
  <si>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</si>
  <si>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</si>
  <si>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</si>
  <si>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</si>
  <si>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</si>
  <si>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</si>
  <si>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</si>
  <si>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</si>
  <si>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</si>
  <si>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</si>
  <si>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</si>
  <si>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</si>
  <si>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</si>
  <si>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</si>
  <si>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</si>
  <si>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</si>
  <si>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</si>
  <si>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</si>
  <si>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</si>
  <si>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</si>
  <si>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</si>
  <si>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</si>
  <si>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</si>
  <si>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</si>
  <si>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</si>
  <si>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</si>
  <si>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</si>
  <si>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</si>
  <si>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</si>
  <si>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</si>
  <si>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</si>
  <si>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</si>
  <si>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</si>
  <si>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</si>
  <si>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</si>
  <si>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</si>
  <si>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</si>
  <si>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</si>
  <si>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</si>
  <si>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</si>
  <si>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</si>
  <si>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</si>
  <si>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</si>
  <si>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</si>
  <si>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</si>
  <si>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</si>
  <si>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</si>
  <si>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</si>
  <si>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</si>
  <si>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</si>
  <si>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</si>
  <si>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</si>
  <si>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</si>
  <si>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</si>
  <si>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</si>
  <si>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</si>
  <si>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K00_P_0581</t>
  </si>
  <si>
    <t>CHAVE</t>
  </si>
  <si>
    <t>K00_P_0582</t>
  </si>
  <si>
    <t>MAX BOL &amp; BOM</t>
  </si>
  <si>
    <t>ctxtMAPL-MATNR</t>
  </si>
  <si>
    <t>ctxtMAPL-WERKS</t>
  </si>
  <si>
    <t>K00_P_TRIM_0581</t>
  </si>
  <si>
    <t>K00_P_TRIM_0582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</si>
  <si>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</si>
  <si>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</si>
  <si>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</si>
  <si>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</si>
  <si>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</si>
  <si>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</si>
  <si>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</si>
  <si>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</si>
  <si>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</si>
  <si>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</si>
  <si>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</si>
  <si>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</si>
  <si>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</si>
  <si>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</si>
  <si>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</si>
  <si>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</si>
  <si>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</si>
  <si>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</si>
  <si>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</si>
  <si>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</si>
  <si>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</si>
  <si>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</si>
  <si>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</si>
  <si>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</si>
  <si>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</si>
  <si>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</si>
  <si>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</si>
  <si>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</si>
  <si>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</si>
  <si>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</si>
  <si>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</si>
  <si>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</si>
  <si>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</si>
  <si>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</si>
  <si>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</si>
  <si>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</si>
  <si>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</si>
  <si>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</si>
  <si>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</si>
  <si>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</si>
  <si>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</si>
  <si>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</si>
  <si>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</si>
  <si>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</si>
  <si>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</si>
  <si>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</si>
  <si>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</si>
  <si>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</si>
  <si>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</si>
  <si>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</si>
  <si>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</si>
  <si>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</si>
  <si>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</si>
  <si>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</si>
  <si>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</si>
  <si>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</si>
  <si>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</si>
  <si>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</si>
  <si>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</si>
  <si>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</si>
  <si>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</si>
  <si>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</si>
  <si>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</si>
  <si>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</si>
  <si>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</si>
  <si>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</si>
  <si>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</si>
  <si>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</si>
  <si>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</si>
  <si>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</si>
  <si>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</si>
  <si>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</si>
  <si>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</si>
  <si>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</si>
  <si>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</si>
  <si>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</si>
  <si>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</si>
  <si>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</si>
  <si>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</si>
  <si>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</si>
  <si>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</si>
  <si>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</si>
  <si>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</si>
  <si>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</si>
  <si>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</si>
  <si>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</si>
  <si>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</si>
  <si>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</si>
  <si>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</si>
  <si>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</si>
  <si>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</si>
  <si>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</si>
  <si>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</si>
  <si>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</si>
  <si>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</si>
  <si>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</si>
  <si>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</si>
  <si>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</si>
  <si>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</si>
  <si>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</si>
  <si>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</si>
  <si>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</si>
  <si>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</si>
  <si>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</si>
  <si>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</si>
  <si>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</si>
  <si>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</si>
  <si>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</si>
  <si>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</si>
  <si>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</si>
  <si>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50736338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</si>
  <si>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</si>
  <si>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</si>
  <si>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</si>
  <si>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</si>
  <si>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</si>
  <si>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</si>
  <si>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</si>
  <si>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</si>
  <si>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</si>
  <si>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</si>
  <si>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</si>
  <si>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</si>
  <si>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</si>
  <si>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</si>
  <si>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</si>
  <si>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</si>
  <si>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</si>
  <si>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</si>
  <si>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</si>
  <si>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</si>
  <si>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</si>
  <si>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</si>
  <si>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</si>
  <si>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</si>
  <si>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</si>
  <si>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</si>
  <si>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</si>
  <si>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</si>
  <si>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</si>
  <si>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7306.30.00</t>
  </si>
  <si>
    <t>F03_MM03</t>
  </si>
  <si>
    <t>NAVE B</t>
  </si>
  <si>
    <t>1,4</t>
  </si>
  <si>
    <t>42</t>
  </si>
  <si>
    <t>I</t>
  </si>
  <si>
    <t>Meincol 1</t>
  </si>
  <si>
    <t>Produto Acabado</t>
  </si>
  <si>
    <t>Industria</t>
  </si>
  <si>
    <t>Comum</t>
  </si>
  <si>
    <t>OLD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</si>
  <si>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</si>
  <si>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</si>
  <si>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</si>
  <si>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</si>
  <si>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</si>
  <si>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</si>
  <si>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GRP.CLASS.CONT</t>
  </si>
  <si>
    <t>I:\Projetos\PROJETOS ESPECIAIS\PJT 2474 (METAL GONDOLAS)\Estrutura\2022-04-12_AB_Estrutura P01 (PJT 2474 METALGONDOLAS).xlsm</t>
  </si>
  <si>
    <t>M058110000547</t>
  </si>
  <si>
    <t>TUBO CORT ESP 40X60X20X1,50X1830 BQ</t>
  </si>
  <si>
    <t>4,18</t>
  </si>
  <si>
    <t>520101000101</t>
  </si>
  <si>
    <t>TUBO 60,30</t>
  </si>
  <si>
    <t>130</t>
  </si>
  <si>
    <t>M094274007370</t>
  </si>
  <si>
    <t>28,55-</t>
  </si>
  <si>
    <t>1870,1379999999999</t>
  </si>
  <si>
    <t>1015</t>
  </si>
  <si>
    <t>2474.1</t>
  </si>
  <si>
    <t>TUBO ESP 40X60X20X1,50X7370 BQ</t>
  </si>
  <si>
    <t>16,832999999999998</t>
  </si>
  <si>
    <t>5201010001</t>
  </si>
  <si>
    <t>L094274</t>
  </si>
  <si>
    <t>BQ</t>
  </si>
  <si>
    <t>1,32</t>
  </si>
  <si>
    <t>1,68</t>
  </si>
  <si>
    <t>1172</t>
  </si>
  <si>
    <t>621</t>
  </si>
  <si>
    <t>888</t>
  </si>
  <si>
    <t>755</t>
  </si>
  <si>
    <t>Semi-Fini. Goods</t>
  </si>
  <si>
    <t>V104366</t>
  </si>
  <si>
    <t>BOBINA 1,50 BQ AMT TUB 260</t>
  </si>
  <si>
    <t>K094274</t>
  </si>
  <si>
    <t>TUBO ESP 40X60X20X1,50 BQ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</si>
</sst>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10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1" fillId="11" borderId="9">
      <alignment horizontal="center" vertical="center"/>
      <protection locked="0"/>
    </xf>
    <xf numFmtId="0" fontId="1" fillId="8" borderId="9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6" borderId="9">
      <alignment horizontal="center" vertical="center"/>
    </xf>
    <xf numFmtId="0" fontId="1" fillId="9" borderId="9">
      <alignment horizontal="center" vertical="center"/>
      <protection locked="0"/>
    </xf>
    <xf numFmtId="0" fontId="3" fillId="4" borderId="2">
      <alignment horizontal="center" vertical="center"/>
    </xf>
    <xf numFmtId="0" fontId="11" fillId="12" borderId="0">
      <alignment horizontal="center" vertical="center"/>
    </xf>
  </cellStyleXfs>
  <cellXfs count="8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1" fillId="6" borderId="9" xfId="7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3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315"/>
      <tableStyleElement type="headerRow" dxfId="314"/>
    </tableStyle>
  </tableStyles>
  <colors>
    <mruColors>
      <color rgb="FF464646"/>
      <color rgb="FFA9A9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81"/>
      <queryTableField id="2" name="STS" tableColumnId="82"/>
      <queryTableField id="3" name="Código P01" tableColumnId="83"/>
      <queryTableField id="4" name="Descrição P01" tableColumnId="84"/>
      <queryTableField id="5" name="Modelo" tableColumnId="85"/>
      <queryTableField id="6" name="Descrição do Modelo" tableColumnId="86"/>
      <queryTableField id="7" name="Centro" tableColumnId="87"/>
      <queryTableField id="8" name="Comprimento_x000a_Final" tableColumnId="88"/>
      <queryTableField id="9" name="Peso Kg/m" tableColumnId="89"/>
      <queryTableField id="10" name="KG/PC" tableColumnId="90"/>
      <queryTableField id="11" name="Hierarquia 1" tableColumnId="91"/>
      <queryTableField id="12" name="Hierarquia 2" tableColumnId="92"/>
      <queryTableField id="13" name="Hierarquia 3" tableColumnId="93"/>
      <queryTableField id="14" name="Hierarquia 4" tableColumnId="94"/>
      <queryTableField id="15" name="Hierarquia 5" tableColumnId="95"/>
      <queryTableField id="16" name="Hierarquia Final" tableColumnId="96"/>
      <queryTableField id="17" name="GrPMerc." tableColumnId="97"/>
      <queryTableField id="18" name="Bitola de Produção_x000a_          Descrição" tableColumnId="98"/>
      <queryTableField id="19" name="N° SAP da Bitola" tableColumnId="99"/>
      <queryTableField id="20" name="Unidade de Venda" tableColumnId="100"/>
      <queryTableField id="21" name="NCM" tableColumnId="101"/>
      <queryTableField id="22" name="Peças por _x000a_Amarrado" tableColumnId="102"/>
      <queryTableField id="23" name="Centro de trabalho" tableColumnId="103"/>
      <queryTableField id="24" name="Tempo_x000a_Setup" tableColumnId="104"/>
      <queryTableField id="25" name="Tempo de_x000a_Operação" tableColumnId="105"/>
      <queryTableField id="26" name="Perda de _x000a_Processo" tableColumnId="106"/>
      <queryTableField id="27" name="Código do componente" tableColumnId="107"/>
      <queryTableField id="28" name="Comprimento _x000a_do Multiplo" tableColumnId="108"/>
      <queryTableField id="29" name="Perda em Kg para fabricar 1000 peças do tubo cortado (perda inerente)" tableColumnId="109"/>
      <queryTableField id="30" name="Quantidade em metros para fabricar 1000 peças + perda de processo" tableColumnId="110"/>
      <queryTableField id="31" name="Quantidade em peças para fabricar 1000 peças + perda de processo" tableColumnId="111"/>
      <queryTableField id="32" name="DADOS AO" tableColumnId="112"/>
      <queryTableField id="33" name="Chave LNTR" tableColumnId="113"/>
      <queryTableField id="34" name="Espessura nominal" tableColumnId="114"/>
      <queryTableField id="35" name="Laminação" tableColumnId="115"/>
      <queryTableField id="36" name="MTH?_x000a_MTL?" tableColumnId="116"/>
      <queryTableField id="37" name="Espessura Mínima" tableColumnId="117"/>
      <queryTableField id="38" name="Espessura Máxima" tableColumnId="118"/>
      <queryTableField id="39" name="Máquina" tableColumnId="119"/>
      <queryTableField id="40" name="Mapa/Plano de montagem" tableColumnId="120"/>
      <queryTableField id="41" name="Velocidade_x000a_(m/hr)" tableColumnId="121"/>
      <queryTableField id="42" name="Nave" tableColumnId="122"/>
      <queryTableField id="43" name="Tempo de _x000a_pré-instalação" tableColumnId="123"/>
      <queryTableField id="44" name="Sucata (m)" tableColumnId="124"/>
      <queryTableField id="45" name="Perda (%)" tableColumnId="125"/>
      <queryTableField id="46" name="Largura da tira" tableColumnId="126"/>
      <queryTableField id="47" name="Bobina_x000a_ configuravel?" tableColumnId="127"/>
      <queryTableField id="48" name="Largura ideal" tableColumnId="128"/>
      <queryTableField id="49" name="Velocidade_x000a_3000 até 4999" tableColumnId="129"/>
      <queryTableField id="50" name="Velocidade_x000a_5000 até 8000" tableColumnId="130"/>
      <queryTableField id="51" name="Velocidade_x000a_8001 até 14000" tableColumnId="131"/>
      <queryTableField id="52" name="DADOS LNP" tableColumnId="132"/>
      <queryTableField id="53" name="Cliente" tableColumnId="133"/>
      <queryTableField id="54" name="Preço de terceirização " tableColumnId="134"/>
      <queryTableField id="55" name="Centro de Produção" tableColumnId="135"/>
      <queryTableField id="56" name="Column56" tableColumnId="136"/>
      <queryTableField id="57" name="Depósito de produção" tableColumnId="137"/>
      <queryTableField id="58" name="Column58" tableColumnId="138"/>
      <queryTableField id="59" name="Canal de Distribuição" tableColumnId="139"/>
      <queryTableField id="60" name="Column60" tableColumnId="140"/>
      <queryTableField id="61" name="Setor de Atividade" tableColumnId="141"/>
      <queryTableField id="62" name="Column62" tableColumnId="142"/>
      <queryTableField id="63" name="Níveis Organizacionais SAP" tableColumnId="143"/>
      <queryTableField id="64" name="Tipo de Material PROF" tableColumnId="144"/>
      <queryTableField id="65" name="Geometria CHAR" tableColumnId="145"/>
      <queryTableField id="66" name="Espessura CHAR" tableColumnId="146"/>
      <queryTableField id="67" name="Raspagem Interna?" tableColumnId="147"/>
      <queryTableField id="68" name="Metalização?" tableColumnId="148"/>
      <queryTableField id="69" name="DADOS VARIANT" tableColumnId="149"/>
      <queryTableField id="70" name="Descrição CAM" tableColumnId="150"/>
      <queryTableField id="71" name="Enrijecedor Superior (mm)" tableColumnId="151"/>
      <queryTableField id="72" name="Enrijecedor Inferior (mm)" tableColumnId="152"/>
      <queryTableField id="73" name="Aba Superior (mm)" tableColumnId="153"/>
      <queryTableField id="74" name="Aba Inferior (mm)" tableColumnId="154"/>
      <queryTableField id="75" name="DIM 1 (mm)" tableColumnId="155"/>
      <queryTableField id="76" name="DIM 2 (mm)" tableColumnId="156"/>
      <queryTableField id="77" name="DIM 3 (mm)" tableColumnId="157"/>
      <queryTableField id="78" name="Alavanca 1 (mm)" tableColumnId="158"/>
      <queryTableField id="79" name="Alavanca 2 (mm)" tableColumnId="159"/>
      <queryTableField id="80" name="DADOS PURLINS" tableColumnId="16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3" tableType="queryTable" totalsRowCount="1">
  <autoFilter ref="A1:CB12">
    <filterColumn colId="1">
      <filters>
        <filter val="NEW"/>
      </filters>
    </filterColumn>
  </autoFilter>
  <tableColumns count="80">
    <tableColumn id="81" uniqueName="81" name="PJT" totalsRowLabel="Total" queryTableFieldId="1" dataDxfId="79"/>
    <tableColumn id="82" uniqueName="82" name="STS" queryTableFieldId="2" dataDxfId="78"/>
    <tableColumn id="83" uniqueName="83" name="Código P01" queryTableFieldId="3" dataDxfId="77"/>
    <tableColumn id="84" uniqueName="84" name="Descrição P01" queryTableFieldId="4" dataDxfId="76"/>
    <tableColumn id="85" uniqueName="85" name="Modelo" queryTableFieldId="5" dataDxfId="75"/>
    <tableColumn id="86" uniqueName="86" name="Descrição do Modelo" queryTableFieldId="6" dataDxfId="74"/>
    <tableColumn id="87" uniqueName="87" name="Centro" queryTableFieldId="7" dataDxfId="73"/>
    <tableColumn id="88" uniqueName="88" name="Comprimento_x000a_Final" queryTableFieldId="8" dataDxfId="72"/>
    <tableColumn id="89" uniqueName="89" name="Peso Kg/m" queryTableFieldId="9" dataDxfId="71"/>
    <tableColumn id="90" uniqueName="90" name="KG/PC" queryTableFieldId="10" dataDxfId="70"/>
    <tableColumn id="91" uniqueName="91" name="Hierarquia 1" queryTableFieldId="11" dataDxfId="69"/>
    <tableColumn id="92" uniqueName="92" name="Hierarquia 2" queryTableFieldId="12" dataDxfId="68"/>
    <tableColumn id="93" uniqueName="93" name="Hierarquia 3" queryTableFieldId="13" dataDxfId="67"/>
    <tableColumn id="94" uniqueName="94" name="Hierarquia 4" queryTableFieldId="14" dataDxfId="66"/>
    <tableColumn id="95" uniqueName="95" name="Hierarquia 5" queryTableFieldId="15" dataDxfId="65"/>
    <tableColumn id="96" uniqueName="96" name="Hierarquia Final" queryTableFieldId="16" dataDxfId="64"/>
    <tableColumn id="97" uniqueName="97" name="GrPMerc." queryTableFieldId="17" dataDxfId="63"/>
    <tableColumn id="98" uniqueName="98" name="Bitola de Produção_x000a_          Descrição" queryTableFieldId="18" dataDxfId="62"/>
    <tableColumn id="99" uniqueName="99" name="N° SAP da Bitola" queryTableFieldId="19" dataDxfId="61"/>
    <tableColumn id="100" uniqueName="100" name="Unidade de Venda" queryTableFieldId="20" dataDxfId="60"/>
    <tableColumn id="101" uniqueName="101" name="NCM" queryTableFieldId="21" dataDxfId="59"/>
    <tableColumn id="102" uniqueName="102" name="Peças por _x000a_Amarrado" queryTableFieldId="22" dataDxfId="58"/>
    <tableColumn id="103" uniqueName="103" name="Centro de trabalho" queryTableFieldId="23" dataDxfId="57"/>
    <tableColumn id="104" uniqueName="104" name="Tempo_x000a_Setup" queryTableFieldId="24" dataDxfId="56"/>
    <tableColumn id="105" uniqueName="105" name="Tempo de_x000a_Operação" queryTableFieldId="25" dataDxfId="55"/>
    <tableColumn id="106" uniqueName="106" name="Perda de _x000a_Processo" queryTableFieldId="26" dataDxfId="54"/>
    <tableColumn id="107" uniqueName="107" name="Código do componente" queryTableFieldId="27" dataDxfId="53"/>
    <tableColumn id="108" uniqueName="108" name="Comprimento _x000a_do Multiplo" queryTableFieldId="28" dataDxfId="52"/>
    <tableColumn id="109" uniqueName="109" name="Perda em Kg para fabricar 1000 peças do tubo cortado (perda inerente)" queryTableFieldId="29" dataDxfId="51"/>
    <tableColumn id="110" uniqueName="110" name="Quantidade em metros para fabricar 1000 peças + perda de processo" queryTableFieldId="30" dataDxfId="50"/>
    <tableColumn id="111" uniqueName="111" name="Quantidade em peças para fabricar 1000 peças + perda de processo" queryTableFieldId="31" dataDxfId="49"/>
    <tableColumn id="112" uniqueName="112" name="DADOS AO" queryTableFieldId="32" dataDxfId="48"/>
    <tableColumn id="113" uniqueName="113" name="Chave LNTR" queryTableFieldId="33" dataDxfId="47"/>
    <tableColumn id="114" uniqueName="114" name="Espessura nominal" queryTableFieldId="34" dataDxfId="46"/>
    <tableColumn id="115" uniqueName="115" name="Laminação" queryTableFieldId="35" dataDxfId="45"/>
    <tableColumn id="116" uniqueName="116" name="MTH?_x000a_MTL?" queryTableFieldId="36" dataDxfId="44"/>
    <tableColumn id="117" uniqueName="117" name="Espessura Mínima" queryTableFieldId="37" dataDxfId="43"/>
    <tableColumn id="118" uniqueName="118" name="Espessura Máxima" queryTableFieldId="38" dataDxfId="42"/>
    <tableColumn id="119" uniqueName="119" name="Máquina" queryTableFieldId="39" dataDxfId="41"/>
    <tableColumn id="120" uniqueName="120" name="Mapa/Plano de montagem" queryTableFieldId="40" dataDxfId="40"/>
    <tableColumn id="121" uniqueName="121" name="Velocidade_x000a_(m/hr)" queryTableFieldId="41" dataDxfId="39"/>
    <tableColumn id="122" uniqueName="122" name="Nave" queryTableFieldId="42" dataDxfId="38"/>
    <tableColumn id="123" uniqueName="123" name="Tempo de _x000a_pré-instalação" queryTableFieldId="43" dataDxfId="37"/>
    <tableColumn id="124" uniqueName="124" name="Sucata (m)" queryTableFieldId="44" dataDxfId="36"/>
    <tableColumn id="125" uniqueName="125" name="Perda (%)" queryTableFieldId="45" dataDxfId="35"/>
    <tableColumn id="126" uniqueName="126" name="Largura da tira" queryTableFieldId="46" dataDxfId="34"/>
    <tableColumn id="127" uniqueName="127" name="Bobina_x000a_ configuravel?" queryTableFieldId="47" dataDxfId="33"/>
    <tableColumn id="128" uniqueName="128" name="Largura ideal" queryTableFieldId="48" dataDxfId="32"/>
    <tableColumn id="129" uniqueName="129" name="Velocidade_x000a_3000 até 4999" queryTableFieldId="49" dataDxfId="31"/>
    <tableColumn id="130" uniqueName="130" name="Velocidade_x000a_5000 até 8000" queryTableFieldId="50" dataDxfId="30"/>
    <tableColumn id="131" uniqueName="131" name="Velocidade_x000a_8001 até 14000" queryTableFieldId="51" dataDxfId="29"/>
    <tableColumn id="132" uniqueName="132" name="DADOS LNP" queryTableFieldId="52" dataDxfId="28"/>
    <tableColumn id="133" uniqueName="133" name="Cliente" queryTableFieldId="53" dataDxfId="27"/>
    <tableColumn id="134" uniqueName="134" name="Preço de terceirização " queryTableFieldId="54" dataDxfId="26"/>
    <tableColumn id="135" uniqueName="135" name="Centro de Produção" queryTableFieldId="55" dataDxfId="25"/>
    <tableColumn id="136" uniqueName="136" name="Column56" queryTableFieldId="56" dataDxfId="24"/>
    <tableColumn id="137" uniqueName="137" name="Depósito de produção" queryTableFieldId="57" dataDxfId="23"/>
    <tableColumn id="138" uniqueName="138" name="Column58" queryTableFieldId="58" dataDxfId="22"/>
    <tableColumn id="139" uniqueName="139" name="Canal de Distribuição" queryTableFieldId="59" dataDxfId="21"/>
    <tableColumn id="140" uniqueName="140" name="Column60" queryTableFieldId="60" dataDxfId="20"/>
    <tableColumn id="141" uniqueName="141" name="Setor de Atividade" queryTableFieldId="61" dataDxfId="19"/>
    <tableColumn id="142" uniqueName="142" name="Column62" queryTableFieldId="62" dataDxfId="18"/>
    <tableColumn id="143" uniqueName="143" name="Níveis Organizacionais SAP" queryTableFieldId="63" dataDxfId="17"/>
    <tableColumn id="144" uniqueName="144" name="Tipo de Material PROF" queryTableFieldId="64" dataDxfId="16"/>
    <tableColumn id="145" uniqueName="145" name="Geometria CHAR" queryTableFieldId="65" dataDxfId="15"/>
    <tableColumn id="146" uniqueName="146" name="Espessura CHAR" queryTableFieldId="66" dataDxfId="14"/>
    <tableColumn id="147" uniqueName="147" name="Raspagem Interna?" queryTableFieldId="67" dataDxfId="13"/>
    <tableColumn id="148" uniqueName="148" name="Metalização?" queryTableFieldId="68" dataDxfId="12"/>
    <tableColumn id="149" uniqueName="149" name="DADOS VARIANT" queryTableFieldId="69" dataDxfId="11"/>
    <tableColumn id="150" uniqueName="150" name="Descrição CAM" queryTableFieldId="70" dataDxfId="10"/>
    <tableColumn id="151" uniqueName="151" name="Enrijecedor Superior (mm)" queryTableFieldId="71" dataDxfId="9"/>
    <tableColumn id="152" uniqueName="152" name="Enrijecedor Inferior (mm)" queryTableFieldId="72" dataDxfId="8"/>
    <tableColumn id="153" uniqueName="153" name="Aba Superior (mm)" queryTableFieldId="73" dataDxfId="7"/>
    <tableColumn id="154" uniqueName="154" name="Aba Inferior (mm)" queryTableFieldId="74" dataDxfId="6"/>
    <tableColumn id="155" uniqueName="155" name="DIM 1 (mm)" queryTableFieldId="75" dataDxfId="5"/>
    <tableColumn id="156" uniqueName="156" name="DIM 2 (mm)" queryTableFieldId="76" dataDxfId="4"/>
    <tableColumn id="157" uniqueName="157" name="DIM 3 (mm)" queryTableFieldId="77" dataDxfId="3"/>
    <tableColumn id="158" uniqueName="158" name="Alavanca 1 (mm)" queryTableFieldId="78" dataDxfId="2"/>
    <tableColumn id="159" uniqueName="159" name="Alavanca 2 (mm)" queryTableFieldId="79" dataDxfId="1"/>
    <tableColumn id="160" uniqueName="160" name="DADOS PURLINS" totalsRowFunction="count" queryTableFieldId="80" dataDxfId="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313" dataDxfId="312">
  <autoFilter ref="A6:A7"/>
  <tableColumns count="1">
    <tableColumn id="1" name="DIRETORIO DA CONSULTA (POWER QUERY)" dataDxfId="3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table" Target="../tables/table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K154"/>
  <sheetViews>
    <sheetView showGridLines="0" showRowColHeaders="0" zoomScaleNormal="10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hidden="1" customWidth="1"/>
    <col min="87" max="87" width="18.7109375" style="6" hidden="1" customWidth="1"/>
    <col min="88" max="88" width="17.7109375" style="6" hidden="1" customWidth="1"/>
    <col min="89" max="89" width="18.85546875" style="6" customWidth="1"/>
    <col min="90" max="90" width="15.85546875" style="6" hidden="1" customWidth="1"/>
    <col min="91" max="91" width="17.7109375" style="6" hidden="1" customWidth="1"/>
    <col min="92" max="92" width="16.140625" style="6" hidden="1" customWidth="1"/>
    <col min="93" max="93" width="18.140625" style="6" hidden="1" customWidth="1"/>
    <col min="94" max="94" width="19.140625" style="6" hidden="1" customWidth="1"/>
    <col min="95" max="95" width="20.7109375" style="6" hidden="1" customWidth="1"/>
    <col min="96" max="96" width="19.7109375" style="6" hidden="1" customWidth="1"/>
    <col min="97" max="97" width="29.7109375" style="6" customWidth="1"/>
    <col min="98" max="98" width="11.42578125" style="6" hidden="1" customWidth="1" outlineLevel="1"/>
    <col min="99" max="99" width="31.140625" style="6" hidden="1" customWidth="1" outlineLevel="1"/>
    <col min="100" max="101" width="30" style="6" hidden="1" customWidth="1" outlineLevel="1"/>
    <col min="102" max="102" width="29.7109375" style="6" customWidth="1" collapsed="1"/>
    <col min="103" max="104" width="31.85546875" style="6" hidden="1" customWidth="1"/>
    <col min="105" max="105" width="31.85546875" style="6" customWidth="1"/>
    <col min="106" max="106" width="31.85546875" style="6" hidden="1" customWidth="1"/>
    <col min="107" max="109" width="33" style="6" customWidth="1"/>
    <col min="110" max="110" width="31.140625" style="6" hidden="1" customWidth="1"/>
    <col min="111" max="111" width="20.5703125" style="6" hidden="1" customWidth="1" outlineLevel="1"/>
    <col min="112" max="112" width="18.5703125" style="6" hidden="1" customWidth="1" outlineLevel="1"/>
    <col min="113" max="113" width="20.7109375" style="6" hidden="1" customWidth="1" outlineLevel="1"/>
    <col min="114" max="114" width="20.5703125" style="6" hidden="1" customWidth="1" outlineLevel="1"/>
    <col min="115" max="115" width="21" style="6" hidden="1" customWidth="1" outlineLevel="1"/>
    <col min="116" max="116" width="18.5703125" style="6" hidden="1" customWidth="1" outlineLevel="1"/>
    <col min="117" max="117" width="20.7109375" style="6" hidden="1" customWidth="1" outlineLevel="1"/>
    <col min="118" max="118" width="20.5703125" style="6" hidden="1" customWidth="1" outlineLevel="1"/>
    <col min="119" max="119" width="21" style="6" hidden="1" customWidth="1" outlineLevel="1"/>
    <col min="120" max="120" width="18.5703125" style="6" hidden="1" customWidth="1" outlineLevel="1"/>
    <col min="121" max="121" width="20.7109375" style="6" hidden="1" customWidth="1" outlineLevel="1"/>
    <col min="122" max="123" width="20.5703125" style="6" hidden="1" customWidth="1" outlineLevel="1"/>
    <col min="124" max="124" width="18.5703125" style="6" hidden="1" customWidth="1" outlineLevel="1"/>
    <col min="125" max="125" width="20.7109375" style="6" hidden="1" customWidth="1" outlineLevel="1"/>
    <col min="126" max="126" width="20.5703125" style="6" hidden="1" customWidth="1" outlineLevel="1"/>
    <col min="127" max="127" width="23.42578125" style="6" customWidth="1" collapsed="1"/>
    <col min="128" max="128" width="15.85546875" style="6" hidden="1" customWidth="1"/>
    <col min="129" max="129" width="20.5703125" style="6" hidden="1" customWidth="1"/>
    <col min="130" max="130" width="17.85546875" style="6" hidden="1" customWidth="1"/>
    <col min="131" max="131" width="16.7109375" style="6" hidden="1" customWidth="1"/>
    <col min="132" max="132" width="17.42578125" style="6" customWidth="1"/>
    <col min="133" max="133" width="28.5703125" style="6" hidden="1" customWidth="1"/>
    <col min="134" max="134" width="17.42578125" style="6" hidden="1" customWidth="1"/>
    <col min="135" max="135" width="18.5703125" style="6" hidden="1" customWidth="1"/>
    <col min="136" max="136" width="16.7109375" style="6" hidden="1" customWidth="1"/>
    <col min="137" max="138" width="17.7109375" style="6" hidden="1" customWidth="1"/>
    <col min="139" max="139" width="23" style="6" customWidth="1"/>
    <col min="140" max="140" width="20.85546875" style="6" hidden="1" customWidth="1"/>
    <col min="141" max="141" width="75.7109375" style="1" customWidth="1"/>
    <col min="142" max="142" width="22" style="1" customWidth="1"/>
    <col min="143" max="16384" width="9.140625" style="1"/>
  </cols>
  <sheetData>
    <row r="1" spans="1:141" s="34" customFormat="1" x14ac:dyDescent="0.2">
      <c r="A1" s="7" t="s">
        <v>28</v>
      </c>
      <c r="L1" s="81" t="s">
        <v>170</v>
      </c>
      <c r="AN1" s="81" t="s">
        <v>127</v>
      </c>
      <c r="AZ1" s="34" t="s">
        <v>319</v>
      </c>
      <c r="BJ1" s="80" t="s">
        <v>320</v>
      </c>
      <c r="BK1" s="81"/>
      <c r="DW1" s="80" t="s">
        <v>760</v>
      </c>
      <c r="EG1" s="65"/>
      <c r="EK1" s="58"/>
    </row>
    <row r="2" spans="1:141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81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81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80"/>
      <c r="BK2" s="81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>
        <v>65</v>
      </c>
      <c r="CU2" s="34">
        <v>66</v>
      </c>
      <c r="CV2" s="34">
        <v>67</v>
      </c>
      <c r="CW2" s="34">
        <v>68</v>
      </c>
      <c r="CX2" s="34"/>
      <c r="CY2" s="34"/>
      <c r="CZ2" s="34"/>
      <c r="DA2" s="34">
        <v>33</v>
      </c>
      <c r="DB2" s="34"/>
      <c r="DC2" s="34">
        <v>22</v>
      </c>
      <c r="DD2" s="34"/>
      <c r="DE2" s="34"/>
      <c r="DF2" s="34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80"/>
      <c r="DX2" s="34"/>
      <c r="DY2" s="34"/>
      <c r="DZ2" s="34"/>
      <c r="EA2" s="34"/>
      <c r="EB2" s="34">
        <v>61</v>
      </c>
      <c r="EC2" s="34"/>
      <c r="ED2" s="34"/>
      <c r="EE2" s="34"/>
      <c r="EF2" s="34"/>
      <c r="EG2" s="65"/>
      <c r="EH2" s="34"/>
      <c r="EI2" s="34"/>
      <c r="EJ2" s="34"/>
    </row>
    <row r="3" spans="1:141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82" t="s">
        <v>155</v>
      </c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796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793</v>
      </c>
      <c r="BT3" s="21" t="s">
        <v>367</v>
      </c>
      <c r="BU3" s="21" t="s">
        <v>369</v>
      </c>
      <c r="BV3" s="21" t="s">
        <v>383</v>
      </c>
      <c r="BW3" s="21" t="s">
        <v>385</v>
      </c>
      <c r="BX3" s="21" t="s">
        <v>387</v>
      </c>
      <c r="BY3" s="21" t="s">
        <v>389</v>
      </c>
      <c r="BZ3" s="21" t="s">
        <v>392</v>
      </c>
      <c r="CA3" s="21" t="s">
        <v>394</v>
      </c>
      <c r="CB3" s="21" t="s">
        <v>410</v>
      </c>
      <c r="CC3" s="21" t="s">
        <v>411</v>
      </c>
      <c r="CD3" s="21" t="s">
        <v>426</v>
      </c>
      <c r="CE3" s="21" t="s">
        <v>489</v>
      </c>
      <c r="CF3" s="21" t="s">
        <v>491</v>
      </c>
      <c r="CG3" s="21" t="s">
        <v>499</v>
      </c>
      <c r="CH3" s="21" t="s">
        <v>493</v>
      </c>
      <c r="CI3" s="21" t="s">
        <v>504</v>
      </c>
      <c r="CJ3" s="21" t="s">
        <v>505</v>
      </c>
      <c r="CK3" s="21" t="s">
        <v>508</v>
      </c>
      <c r="CL3" s="21" t="s">
        <v>510</v>
      </c>
      <c r="CM3" s="21" t="s">
        <v>512</v>
      </c>
      <c r="CN3" s="21" t="s">
        <v>515</v>
      </c>
      <c r="CO3" s="21" t="s">
        <v>517</v>
      </c>
      <c r="CP3" s="21" t="s">
        <v>519</v>
      </c>
      <c r="CQ3" s="21" t="s">
        <v>521</v>
      </c>
      <c r="CR3" s="21" t="s">
        <v>523</v>
      </c>
      <c r="CS3" s="24" t="s">
        <v>650</v>
      </c>
      <c r="CT3" s="24"/>
      <c r="CU3" s="24" t="s">
        <v>661</v>
      </c>
      <c r="CV3" s="24" t="s">
        <v>659</v>
      </c>
      <c r="CW3" s="24" t="s">
        <v>660</v>
      </c>
      <c r="CX3" s="24" t="s">
        <v>651</v>
      </c>
      <c r="CY3" s="24" t="s">
        <v>652</v>
      </c>
      <c r="CZ3" s="24" t="s">
        <v>653</v>
      </c>
      <c r="DA3" s="24" t="s">
        <v>654</v>
      </c>
      <c r="DB3" s="24" t="s">
        <v>655</v>
      </c>
      <c r="DC3" s="24" t="s">
        <v>656</v>
      </c>
      <c r="DD3" s="24" t="s">
        <v>657</v>
      </c>
      <c r="DE3" s="24" t="s">
        <v>658</v>
      </c>
      <c r="DF3" s="24" t="s">
        <v>662</v>
      </c>
      <c r="DG3" s="27" t="s">
        <v>665</v>
      </c>
      <c r="DH3" s="27" t="s">
        <v>669</v>
      </c>
      <c r="DI3" s="27" t="s">
        <v>761</v>
      </c>
      <c r="DJ3" s="27" t="s">
        <v>762</v>
      </c>
      <c r="DK3" s="27" t="s">
        <v>666</v>
      </c>
      <c r="DL3" s="27" t="s">
        <v>670</v>
      </c>
      <c r="DM3" s="27" t="s">
        <v>763</v>
      </c>
      <c r="DN3" s="27" t="s">
        <v>764</v>
      </c>
      <c r="DO3" s="27" t="s">
        <v>667</v>
      </c>
      <c r="DP3" s="27" t="s">
        <v>671</v>
      </c>
      <c r="DQ3" s="27" t="s">
        <v>765</v>
      </c>
      <c r="DR3" s="27" t="s">
        <v>766</v>
      </c>
      <c r="DS3" s="27" t="s">
        <v>668</v>
      </c>
      <c r="DT3" s="27" t="s">
        <v>672</v>
      </c>
      <c r="DU3" s="27" t="s">
        <v>767</v>
      </c>
      <c r="DV3" s="27" t="s">
        <v>768</v>
      </c>
      <c r="DW3" s="33"/>
      <c r="DX3" s="27" t="s">
        <v>769</v>
      </c>
      <c r="DY3" s="27" t="s">
        <v>771</v>
      </c>
      <c r="DZ3" s="27" t="s">
        <v>774</v>
      </c>
      <c r="EA3" s="27" t="s">
        <v>776</v>
      </c>
      <c r="EB3" s="27" t="s">
        <v>778</v>
      </c>
      <c r="EC3" s="27" t="s">
        <v>780</v>
      </c>
      <c r="ED3" s="61" t="s">
        <v>782</v>
      </c>
      <c r="EE3" s="27" t="s">
        <v>784</v>
      </c>
      <c r="EF3" s="27" t="s">
        <v>785</v>
      </c>
      <c r="EG3" s="66" t="s">
        <v>787</v>
      </c>
      <c r="EH3" s="66" t="s">
        <v>957</v>
      </c>
      <c r="EI3" s="27" t="s">
        <v>789</v>
      </c>
      <c r="EJ3" s="27" t="s">
        <v>791</v>
      </c>
      <c r="EK3" s="58" t="s">
        <v>32</v>
      </c>
    </row>
    <row r="4" spans="1:1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797</v>
      </c>
      <c r="AW4" s="14" t="s">
        <v>798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1024</v>
      </c>
      <c r="BS4" s="14" t="s">
        <v>794</v>
      </c>
      <c r="BT4" s="14" t="s">
        <v>368</v>
      </c>
      <c r="BU4" s="14" t="s">
        <v>370</v>
      </c>
      <c r="BV4" s="14" t="s">
        <v>384</v>
      </c>
      <c r="BW4" s="14" t="s">
        <v>386</v>
      </c>
      <c r="BX4" s="14" t="s">
        <v>388</v>
      </c>
      <c r="BY4" s="14" t="s">
        <v>390</v>
      </c>
      <c r="BZ4" s="14" t="s">
        <v>393</v>
      </c>
      <c r="CA4" s="14" t="s">
        <v>395</v>
      </c>
      <c r="CB4" s="14" t="s">
        <v>33</v>
      </c>
      <c r="CC4" s="14" t="s">
        <v>412</v>
      </c>
      <c r="CD4" s="14" t="s">
        <v>427</v>
      </c>
      <c r="CE4" s="14" t="s">
        <v>490</v>
      </c>
      <c r="CF4" s="14" t="s">
        <v>492</v>
      </c>
      <c r="CG4" s="14" t="s">
        <v>500</v>
      </c>
      <c r="CH4" s="14" t="s">
        <v>494</v>
      </c>
      <c r="CI4" s="14" t="s">
        <v>507</v>
      </c>
      <c r="CJ4" s="14" t="s">
        <v>506</v>
      </c>
      <c r="CK4" s="14" t="s">
        <v>509</v>
      </c>
      <c r="CL4" s="14" t="s">
        <v>511</v>
      </c>
      <c r="CM4" s="14" t="s">
        <v>513</v>
      </c>
      <c r="CN4" s="14" t="s">
        <v>516</v>
      </c>
      <c r="CO4" s="14" t="s">
        <v>518</v>
      </c>
      <c r="CP4" s="14" t="s">
        <v>520</v>
      </c>
      <c r="CQ4" s="14" t="s">
        <v>522</v>
      </c>
      <c r="CR4" s="14" t="s">
        <v>524</v>
      </c>
      <c r="CS4" s="14" t="s">
        <v>646</v>
      </c>
      <c r="CT4" s="14" t="s">
        <v>526</v>
      </c>
      <c r="CU4" s="14" t="s">
        <v>649</v>
      </c>
      <c r="CV4" s="14" t="s">
        <v>647</v>
      </c>
      <c r="CW4" s="14" t="s">
        <v>528</v>
      </c>
      <c r="CX4" s="14" t="s">
        <v>525</v>
      </c>
      <c r="CY4" s="14" t="s">
        <v>639</v>
      </c>
      <c r="CZ4" s="14" t="s">
        <v>640</v>
      </c>
      <c r="DA4" s="14" t="s">
        <v>641</v>
      </c>
      <c r="DB4" s="14" t="s">
        <v>645</v>
      </c>
      <c r="DC4" s="14" t="s">
        <v>642</v>
      </c>
      <c r="DD4" s="14" t="s">
        <v>643</v>
      </c>
      <c r="DE4" s="14" t="s">
        <v>644</v>
      </c>
      <c r="DF4" s="14" t="s">
        <v>648</v>
      </c>
      <c r="DG4" s="14" t="s">
        <v>674</v>
      </c>
      <c r="DH4" s="14" t="s">
        <v>673</v>
      </c>
      <c r="DI4" s="14" t="s">
        <v>663</v>
      </c>
      <c r="DJ4" s="14" t="s">
        <v>664</v>
      </c>
      <c r="DK4" s="14" t="s">
        <v>675</v>
      </c>
      <c r="DL4" s="14" t="s">
        <v>678</v>
      </c>
      <c r="DM4" s="14" t="s">
        <v>663</v>
      </c>
      <c r="DN4" s="14" t="s">
        <v>664</v>
      </c>
      <c r="DO4" s="14" t="s">
        <v>676</v>
      </c>
      <c r="DP4" s="14" t="s">
        <v>679</v>
      </c>
      <c r="DQ4" s="14" t="s">
        <v>663</v>
      </c>
      <c r="DR4" s="14" t="s">
        <v>664</v>
      </c>
      <c r="DS4" s="14" t="s">
        <v>677</v>
      </c>
      <c r="DT4" s="14" t="s">
        <v>680</v>
      </c>
      <c r="DU4" s="14" t="s">
        <v>663</v>
      </c>
      <c r="DV4" s="14" t="s">
        <v>664</v>
      </c>
      <c r="DW4" s="14"/>
      <c r="DX4" s="14" t="s">
        <v>770</v>
      </c>
      <c r="DY4" s="14" t="s">
        <v>772</v>
      </c>
      <c r="DZ4" s="14" t="s">
        <v>775</v>
      </c>
      <c r="EA4" s="14" t="s">
        <v>777</v>
      </c>
      <c r="EB4" s="14" t="s">
        <v>779</v>
      </c>
      <c r="EC4" s="14" t="s">
        <v>781</v>
      </c>
      <c r="ED4" s="14" t="s">
        <v>783</v>
      </c>
      <c r="EE4" s="14" t="s">
        <v>781</v>
      </c>
      <c r="EF4" s="14" t="s">
        <v>786</v>
      </c>
      <c r="EG4" s="14" t="s">
        <v>788</v>
      </c>
      <c r="EH4" s="14" t="s">
        <v>958</v>
      </c>
      <c r="EI4" s="14" t="s">
        <v>790</v>
      </c>
      <c r="EJ4" s="14" t="s">
        <v>792</v>
      </c>
      <c r="EK4" s="5" t="s">
        <v>956</v>
      </c>
    </row>
    <row r="5" spans="1:141" x14ac:dyDescent="0.2">
      <c r="A5" s="7" t="str">
        <f>"Execução "&amp;ROW()-4</f>
        <v>Execução 1</v>
      </c>
      <c r="B5" s="42"/>
      <c r="C5" s="43" t="str">
        <f>IF(IFERROR(INDEX(Consulta!$A:$DP,MATCH('MM01'!$B5,Consulta!$C:$C,0),'MM01'!C$2),"")=0,"",IFERROR(INDEX(Consulta!$A:$DP,MATCH('MM01'!$B5,Consulta!$C:$C,0),'MM01'!C$2),""))</f>
        <v/>
      </c>
      <c r="D5" s="43" t="str">
        <f>IF(IFERROR(INDEX(Consulta!$A:$DP,MATCH('MM01'!$B5,Consulta!$C:$C,0),'MM01'!D$2),"")=0,"",IFERROR(INDEX(Consulta!$A:$DP,MATCH('MM01'!$B5,Consulta!$C:$C,0),'MM01'!D$2),""))</f>
        <v/>
      </c>
      <c r="E5" s="43" t="str">
        <f>IF(IFERROR(INDEX(Consulta!$A:$DP,MATCH('MM01'!$B5,Consulta!$C:$C,0),'MM01'!E$2),"")=0,"",IFERROR(INDEX(Consulta!$A:$DP,MATCH('MM01'!$B5,Consulta!$C:$C,0),'MM01'!E$2),""))</f>
        <v/>
      </c>
      <c r="F5" s="44" t="s">
        <v>100</v>
      </c>
      <c r="G5" s="49" t="str">
        <f>IF(IFERROR(INDEX(Consulta!$A:$DP,MATCH('MM01'!$B5,Consulta!$C:$C,0),'MM01'!G$2),"")=0,"",IFERROR(INDEX(Consulta!$A:$DP,MATCH('MM01'!$B5,Consulta!$C:$C,0),'MM01'!G$2),""))</f>
        <v/>
      </c>
      <c r="H5" s="49" t="str">
        <f>IF(IFERROR(INDEX(Consulta!$A:$DP,MATCH('MM01'!$B5,Consulta!$C:$C,0),'MM01'!H$2),"")=0,"",IFERROR(INDEX(Consulta!$A:$DP,MATCH('MM01'!$B5,Consulta!$C:$C,0),'MM01'!H$2),""))</f>
        <v/>
      </c>
      <c r="I5" s="49" t="str">
        <f>G5</f>
        <v/>
      </c>
      <c r="J5" s="49" t="str">
        <f>IF(IFERROR(INDEX(Consulta!$A:$DP,MATCH('MM01'!$B5,Consulta!$C:$C,0),'MM01'!J$2),"")=0,"",IFERROR(INDEX(Consulta!$A:$DP,MATCH('MM01'!$B5,Consulta!$C:$C,0),'MM01'!J$2),""))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IF(IFERROR(INDEX(Consulta!$A:$DP,MATCH('MM01'!$B5,Consulta!$C:$C,0),'MM01'!AP$2),"")=0,"",IFERROR(INDEX(Consulta!$A:$DP,MATCH('MM01'!$B5,Consulta!$C:$C,0),'MM01'!AP$2),""))</f>
        <v/>
      </c>
      <c r="AQ5" s="45"/>
      <c r="AR5" s="43" t="str">
        <f>IF(IFERROR(INDEX(Consulta!$A:$DP,MATCH('MM01'!$B5,Consulta!$C:$C,0),'MM01'!AR$2),"")=0,"",IFERROR(INDEX(Consulta!$A:$DP,MATCH('MM01'!$B5,Consulta!$C:$C,0),'MM01'!AR$2),""))</f>
        <v/>
      </c>
      <c r="AS5" s="43" t="str">
        <f>IF(IFERROR(INDEX(Consulta!$A:$DP,MATCH('MM01'!$B5,Consulta!$C:$C,0),'MM01'!AS$2),"")=0,"",IF(AR5="68",5102,IFERROR(INDEX(Consulta!$A:$DP,MATCH('MM01'!$B5,Consulta!$C:$C,0),'MM01'!AS$2),"")))</f>
        <v/>
      </c>
      <c r="AT5" s="45"/>
      <c r="AU5" s="46" t="str">
        <f ca="1">IF(AT5&lt;&gt;0,TEXT(TODAY(),"DD.MM.AAAA"),"")</f>
        <v/>
      </c>
      <c r="AV5" s="47" t="s">
        <v>795</v>
      </c>
      <c r="AW5" s="43" t="str">
        <f>IF(IFERROR(INDEX(Consulta!$A:$DP,MATCH('MM01'!$B5,Consulta!$C:$C,0),'MM01'!AW$2),"")=0,"",IFERROR(ROUND(INDEX(Consulta!$A:$DP,MATCH('MM01'!$B5,Consulta!$C:$C,0),'MM01'!AW$2),3),""))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IF(IFERROR(INDEX(Consulta!$A:$DP,MATCH('MM01'!$B5,Consulta!$C:$C,0),'MM01'!BA$2),"")=0,"",IFERROR(INDEX(Consulta!$A:$DP,MATCH('MM01'!$B5,Consulta!$C:$C,0),'MM01'!BA$2),""))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324</v>
      </c>
      <c r="BL5" s="43" t="str">
        <f>IF(IFERROR(INDEX(Consulta!$A:$DP,MATCH('MM01'!$B5,Consulta!$C:$C,0),'MM01'!BL$2),"")=0,"",IFERROR(INDEX(Consulta!$A:$DP,MATCH('MM01'!$B5,Consulta!$C:$C,0),'MM01'!BL$2),""))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79" t="str">
        <f>IF(AR5=68,20,"01")</f>
        <v>01</v>
      </c>
      <c r="BS5" s="50" t="s">
        <v>795</v>
      </c>
      <c r="BT5" s="44">
        <v>1</v>
      </c>
      <c r="BU5" s="44" t="s">
        <v>371</v>
      </c>
      <c r="BV5" s="50" t="s">
        <v>197</v>
      </c>
      <c r="BW5" s="50" t="s">
        <v>197</v>
      </c>
      <c r="BX5" s="43" t="str">
        <f>IF(IFERROR(INDEX(Consulta!$A:$DP,MATCH('MM01'!$B5,Consulta!$C:$C,0),'MM01'!BX$2),"")=0,"",IFERROR(INDEX(Consulta!$A:$DP,MATCH('MM01'!$B5,Consulta!$C:$C,0),'MM01'!BX$2),""))</f>
        <v/>
      </c>
      <c r="BY5" s="44" t="s">
        <v>391</v>
      </c>
      <c r="BZ5" s="50">
        <v>0</v>
      </c>
      <c r="CA5" s="45" t="s">
        <v>402</v>
      </c>
      <c r="CB5" s="45" t="s">
        <v>84</v>
      </c>
      <c r="CC5" s="43" t="str">
        <f>RIGHT(G5,3)</f>
        <v/>
      </c>
      <c r="CD5" s="45" t="s">
        <v>38</v>
      </c>
      <c r="CE5" s="45">
        <v>1</v>
      </c>
      <c r="CF5" s="45" t="s">
        <v>495</v>
      </c>
      <c r="CG5" s="45"/>
      <c r="CH5" s="44">
        <v>2</v>
      </c>
      <c r="CI5" s="49" t="str">
        <f>H5</f>
        <v/>
      </c>
      <c r="CJ5" s="49" t="str">
        <f>H5</f>
        <v/>
      </c>
      <c r="CK5" s="45"/>
      <c r="CL5" s="44">
        <v>1</v>
      </c>
      <c r="CM5" s="50" t="s">
        <v>514</v>
      </c>
      <c r="CN5" s="44" t="s">
        <v>371</v>
      </c>
      <c r="CO5" s="44">
        <v>2</v>
      </c>
      <c r="CP5" s="44">
        <v>42</v>
      </c>
      <c r="CQ5" s="44">
        <v>10</v>
      </c>
      <c r="CR5" s="43" t="str">
        <f>"K00_P_"&amp;G5</f>
        <v>K00_P_</v>
      </c>
      <c r="CS5" s="45">
        <v>5000</v>
      </c>
      <c r="CT5" s="43" t="str">
        <f>IF(IFERROR(INDEX(Consulta!$A:$DP,MATCH('MM01'!$B5,Consulta!$C:$C,0),'MM01'!CT$2),"")=0,"",IFERROR(INDEX(Consulta!$A:$DP,MATCH('MM01'!$B5,Consulta!$C:$C,0),'MM01'!CT$2),""))</f>
        <v/>
      </c>
      <c r="CU5" s="43" t="str">
        <f>IF(IFERROR(INDEX(Consulta!$A:$DP,MATCH('MM01'!$B5,Consulta!$C:$C,0),'MM01'!CU$2),"")=0,"",IFERROR(INDEX(Consulta!$A:$DP,MATCH('MM01'!$B5,Consulta!$C:$C,0),'MM01'!CU$2),""))</f>
        <v/>
      </c>
      <c r="CV5" s="43" t="str">
        <f>IF(IFERROR(INDEX(Consulta!$A:$DP,MATCH('MM01'!$B5,Consulta!$C:$C,0),'MM01'!CV$2),"")=0,"",IFERROR(INDEX(Consulta!$A:$DP,MATCH('MM01'!$B5,Consulta!$C:$C,0),'MM01'!CV$2),""))</f>
        <v/>
      </c>
      <c r="CW5" s="43" t="str">
        <f>IF(IFERROR(INDEX(Consulta!$A:$DP,MATCH('MM01'!$B5,Consulta!$C:$C,0),'MM01'!CW$2),"")=0,"",IFERROR(INDEX(Consulta!$A:$DP,MATCH('MM01'!$B5,Consulta!$C:$C,0),'MM01'!CW$2),""))</f>
        <v/>
      </c>
      <c r="CX5" s="43" t="str">
        <f>IF(OR(CT5="",CU5="",CV5="",CW5=""),"",CT5&amp;" / "&amp;CU5&amp;" / "&amp;CV5&amp;" / "&amp;CW5)</f>
        <v/>
      </c>
      <c r="CY5" s="43" t="str">
        <f>IF(OR(D5="MFER",D5="KMAT"),"INITIAL",IF(OR(D5="FERT",D5="HAWZ"),"0000999999",""))</f>
        <v/>
      </c>
      <c r="CZ5" s="43" t="str">
        <f>IF(OR(D5="MFER",D5="KMAT"),"INIT",IF(OR(D5="FERT",D5="HAWZ"),"999999",""))</f>
        <v/>
      </c>
      <c r="DA5" s="43" t="str">
        <f>IF(IFERROR(INDEX(Consulta!$A:$DP,MATCH('MM01'!$B5,Consulta!$C:$C,0),'MM01'!DA$2),"")=0,"",IFERROR(INDEX(Consulta!$A:$DP,MATCH('MM01'!$B5,Consulta!$C:$C,0),'MM01'!DA$2),""))</f>
        <v/>
      </c>
      <c r="DB5" s="43" t="str">
        <f>IF(E5=0,"",E5)</f>
        <v/>
      </c>
      <c r="DC5" s="43" t="str">
        <f>IF(IFERROR(INDEX(Consulta!$A:$DP,MATCH('MM01'!$B5,Consulta!$C:$C,0),'MM01'!DC$2),"")=0,"",IFERROR(INDEX(Consulta!$A:$DP,MATCH('MM01'!$B5,Consulta!$C:$C,0),'MM01'!DC$2),""))</f>
        <v/>
      </c>
      <c r="DD5" s="45">
        <v>0</v>
      </c>
      <c r="DE5" s="45">
        <v>0</v>
      </c>
      <c r="DF5" s="43" t="str">
        <f>IFERROR(ROUND(AW5,2),"")</f>
        <v/>
      </c>
      <c r="DG5" s="43">
        <f>IF(DH5&lt;&gt;0,1,"")</f>
        <v>1</v>
      </c>
      <c r="DH5" s="57" t="s">
        <v>697</v>
      </c>
      <c r="DI5" s="43" t="str">
        <f ca="1">IF(DH5&lt;&gt;0,TEXT(TODAY(),"dd.mm.aaaa"),"")</f>
        <v>27.04.2022</v>
      </c>
      <c r="DJ5" s="43" t="str">
        <f>IF(DH5&lt;&gt;0,"31.12.9999","")</f>
        <v>31.12.9999</v>
      </c>
      <c r="DK5" s="43" t="str">
        <f>IF(DL5&lt;&gt;0,2,"")</f>
        <v/>
      </c>
      <c r="DL5" s="57"/>
      <c r="DM5" s="43" t="str">
        <f ca="1">IF(DL5&lt;&gt;0,TEXT(TODAY(),"dd.mm.aaaa"),"")</f>
        <v/>
      </c>
      <c r="DN5" s="43" t="str">
        <f>IF(DL5&lt;&gt;0,"31.12.9999","")</f>
        <v/>
      </c>
      <c r="DO5" s="43" t="str">
        <f>IF(DP5&lt;&gt;0,3,"")</f>
        <v/>
      </c>
      <c r="DP5" s="57"/>
      <c r="DQ5" s="43" t="str">
        <f ca="1">IF(DP5&lt;&gt;0,TEXT(TODAY(),"dd.mm.aaaa"),"")</f>
        <v/>
      </c>
      <c r="DR5" s="43" t="str">
        <f>IF(DP5&lt;&gt;0,"31.12.9999","")</f>
        <v/>
      </c>
      <c r="DS5" s="43" t="str">
        <f>IF(DT5&lt;&gt;0,4,"")</f>
        <v/>
      </c>
      <c r="DT5" s="57"/>
      <c r="DU5" s="43" t="str">
        <f ca="1">IF(DT5&lt;&gt;0,TEXT(TODAY(),"dd.mm.aaaa"),"")</f>
        <v/>
      </c>
      <c r="DV5" s="43" t="str">
        <f>IF(DT5&lt;&gt;0,"31.12.9999","")</f>
        <v/>
      </c>
      <c r="DX5" s="44">
        <v>1</v>
      </c>
      <c r="DY5" s="44" t="s">
        <v>773</v>
      </c>
      <c r="DZ5" s="43">
        <f>IF(OR(AO5="M",AO5="KG"),0.01,1)</f>
        <v>0.01</v>
      </c>
      <c r="EA5" s="43" t="str">
        <f>AO5</f>
        <v>M</v>
      </c>
      <c r="EB5" s="43" t="str">
        <f>IF(IFERROR(INDEX(Consulta!$A:$DP,MATCH('MM01'!$B5,Consulta!$C:$C,0),'MM01'!EB$2),"")=0,"7925",IF(IFERROR(INDEX(Consulta!$A:$DP,MATCH('MM01'!$B5,Consulta!$C:$C,0),'MM01'!EB$2),"")="68","7910","7925"))</f>
        <v>7925</v>
      </c>
      <c r="EC5" s="44">
        <v>100</v>
      </c>
      <c r="ED5" s="62">
        <v>1</v>
      </c>
      <c r="EE5" s="43">
        <f>EC5</f>
        <v>100</v>
      </c>
      <c r="EF5" s="44">
        <v>1</v>
      </c>
      <c r="EG5" s="44">
        <v>0</v>
      </c>
      <c r="EH5" s="44" t="s">
        <v>875</v>
      </c>
      <c r="EI5" s="45">
        <v>0</v>
      </c>
      <c r="EJ5" s="43">
        <f>CS5</f>
        <v>5000</v>
      </c>
      <c r="EK5" s="68"/>
    </row>
    <row r="6" spans="1:141" x14ac:dyDescent="0.2">
      <c r="A6" s="7" t="str">
        <f t="shared" ref="A6:A69" si="0">"Execução "&amp;ROW()-4</f>
        <v>Execução 2</v>
      </c>
      <c r="B6" s="42"/>
      <c r="C6" s="43" t="str">
        <f>IF(IFERROR(INDEX(Consulta!$A:$DP,MATCH('MM01'!$B6,Consulta!$C:$C,0),'MM01'!C$2),"")=0,"",IFERROR(INDEX(Consulta!$A:$DP,MATCH('MM01'!$B6,Consulta!$C:$C,0),'MM01'!C$2),""))</f>
        <v/>
      </c>
      <c r="D6" s="43" t="str">
        <f>IF(IFERROR(INDEX(Consulta!$A:$DP,MATCH('MM01'!$B6,Consulta!$C:$C,0),'MM01'!D$2),"")=0,"",IFERROR(INDEX(Consulta!$A:$DP,MATCH('MM01'!$B6,Consulta!$C:$C,0),'MM01'!D$2),""))</f>
        <v/>
      </c>
      <c r="E6" s="43" t="str">
        <f>IF(IFERROR(INDEX(Consulta!$A:$DP,MATCH('MM01'!$B6,Consulta!$C:$C,0),'MM01'!E$2),"")=0,"",IFERROR(INDEX(Consulta!$A:$DP,MATCH('MM01'!$B6,Consulta!$C:$C,0),'MM01'!E$2),""))</f>
        <v/>
      </c>
      <c r="F6" s="44" t="s">
        <v>100</v>
      </c>
      <c r="G6" s="49" t="str">
        <f>IF(IFERROR(INDEX(Consulta!$A:$DP,MATCH('MM01'!$B6,Consulta!$C:$C,0),'MM01'!G$2),"")=0,"",IFERROR(INDEX(Consulta!$A:$DP,MATCH('MM01'!$B6,Consulta!$C:$C,0),'MM01'!G$2),""))</f>
        <v/>
      </c>
      <c r="H6" s="49" t="str">
        <f>IF(IFERROR(INDEX(Consulta!$A:$DP,MATCH('MM01'!$B6,Consulta!$C:$C,0),'MM01'!H$2),"")=0,"",IFERROR(INDEX(Consulta!$A:$DP,MATCH('MM01'!$B6,Consulta!$C:$C,0),'MM01'!H$2),""))</f>
        <v/>
      </c>
      <c r="I6" s="49" t="str">
        <f t="shared" ref="I6:I54" si="1">G6</f>
        <v/>
      </c>
      <c r="J6" s="49" t="str">
        <f>IF(IFERROR(INDEX(Consulta!$A:$DP,MATCH('MM01'!$B6,Consulta!$C:$C,0),'MM01'!J$2),"")=0,"",IFERROR(INDEX(Consulta!$A:$DP,MATCH('MM01'!$B6,Consulta!$C:$C,0),'MM01'!J$2),""))</f>
        <v/>
      </c>
      <c r="K6" s="49" t="str">
        <f t="shared" ref="K6:K54" si="2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IF(IFERROR(INDEX(Consulta!$A:$DP,MATCH('MM01'!$B6,Consulta!$C:$C,0),'MM01'!AP$2),"")=0,"",IFERROR(INDEX(Consulta!$A:$DP,MATCH('MM01'!$B6,Consulta!$C:$C,0),'MM01'!AP$2),""))</f>
        <v/>
      </c>
      <c r="AQ6" s="45"/>
      <c r="AR6" s="43" t="str">
        <f>IF(IFERROR(INDEX(Consulta!$A:$DP,MATCH('MM01'!$B6,Consulta!$C:$C,0),'MM01'!AR$2),"")=0,"",IFERROR(INDEX(Consulta!$A:$DP,MATCH('MM01'!$B6,Consulta!$C:$C,0),'MM01'!AR$2),""))</f>
        <v/>
      </c>
      <c r="AS6" s="43" t="str">
        <f>IF(IFERROR(INDEX(Consulta!$A:$DP,MATCH('MM01'!$B6,Consulta!$C:$C,0),'MM01'!AS$2),"")=0,"",IF(AR6="68",5102,IFERROR(INDEX(Consulta!$A:$DP,MATCH('MM01'!$B6,Consulta!$C:$C,0),'MM01'!AS$2),"")))</f>
        <v/>
      </c>
      <c r="AT6" s="45"/>
      <c r="AU6" s="46" t="str">
        <f t="shared" ref="AU6:AU54" ca="1" si="3">IF(AT6&lt;&gt;0,TEXT(TODAY(),"DD.MM.AAAA"),"")</f>
        <v/>
      </c>
      <c r="AV6" s="47" t="s">
        <v>795</v>
      </c>
      <c r="AW6" s="43" t="str">
        <f>IF(IFERROR(INDEX(Consulta!$A:$DP,MATCH('MM01'!$B6,Consulta!$C:$C,0),'MM01'!AW$2),"")=0,"",IFERROR(ROUND(INDEX(Consulta!$A:$DP,MATCH('MM01'!$B6,Consulta!$C:$C,0),'MM01'!AW$2),3),""))</f>
        <v/>
      </c>
      <c r="AX6" s="43" t="str">
        <f t="shared" ref="AX6:AX54" si="4">IFERROR(IF(AW6&lt;&gt;0,ROUND(AW6,3),""),"")</f>
        <v/>
      </c>
      <c r="AY6" s="48" t="s">
        <v>299</v>
      </c>
      <c r="AZ6" s="48"/>
      <c r="BA6" s="43" t="str">
        <f>IF(IFERROR(INDEX(Consulta!$A:$DP,MATCH('MM01'!$B6,Consulta!$C:$C,0),'MM01'!BA$2),"")=0,"",IFERROR(INDEX(Consulta!$A:$DP,MATCH('MM01'!$B6,Consulta!$C:$C,0),'MM01'!BA$2),""))</f>
        <v/>
      </c>
      <c r="BB6" s="43" t="str">
        <f t="shared" ref="BB6:BB54" si="5">IFERROR(ROUND(AW6,3)*1000,"")</f>
        <v/>
      </c>
      <c r="BC6" s="43" t="str">
        <f t="shared" ref="BC6:BC54" si="6">IF(BB6="","",AY6)</f>
        <v/>
      </c>
      <c r="BD6" s="43" t="str">
        <f t="shared" ref="BD6:BD54" si="7">IF(BB6="","",IF(BB6&lt;100000,1000,100))</f>
        <v/>
      </c>
      <c r="BE6" s="43" t="str">
        <f t="shared" ref="BE6:BE54" si="8">AO6</f>
        <v>M</v>
      </c>
      <c r="BF6" s="43" t="str">
        <f t="shared" ref="BF6:BF54" si="9">IF(BH6="","",IF(D6&lt;&gt;"KMAT",IF(BH6&lt;100000,1000,100),""))</f>
        <v/>
      </c>
      <c r="BG6" s="43" t="str">
        <f t="shared" ref="BG6:BG54" si="10">IF(BF6="","",IF(D6&lt;&gt;"KMAT","PC",""))</f>
        <v/>
      </c>
      <c r="BH6" s="43" t="str">
        <f t="shared" ref="BH6:BH54" si="11">IF(D6&lt;&gt;"KMAT",E6,"")</f>
        <v/>
      </c>
      <c r="BI6" s="43" t="str">
        <f t="shared" ref="BI6:BI54" si="12">AO6</f>
        <v>M</v>
      </c>
      <c r="BK6" s="45" t="s">
        <v>324</v>
      </c>
      <c r="BL6" s="43" t="str">
        <f>IF(IFERROR(INDEX(Consulta!$A:$DP,MATCH('MM01'!$B6,Consulta!$C:$C,0),'MM01'!BL$2),"")=0,"",IFERROR(INDEX(Consulta!$A:$DP,MATCH('MM01'!$B6,Consulta!$C:$C,0),'MM01'!BL$2),""))</f>
        <v/>
      </c>
      <c r="BM6" s="45"/>
      <c r="BN6" s="46" t="str">
        <f t="shared" ref="BN6:BN54" ca="1" si="13">IF(BM6&lt;&gt;0,TEXT(TODAY(),"DD.MM.AAAA"),"")</f>
        <v/>
      </c>
      <c r="BO6" s="49" t="str">
        <f t="shared" ref="BO6:BO54" si="14">G6</f>
        <v/>
      </c>
      <c r="BP6" s="50">
        <v>1</v>
      </c>
      <c r="BQ6" s="50" t="s">
        <v>194</v>
      </c>
      <c r="BR6" s="79" t="str">
        <f t="shared" ref="BR6:BR69" si="15">IF(AR6=68,20,"01")</f>
        <v>01</v>
      </c>
      <c r="BS6" s="50" t="s">
        <v>795</v>
      </c>
      <c r="BT6" s="44">
        <v>1</v>
      </c>
      <c r="BU6" s="44" t="s">
        <v>371</v>
      </c>
      <c r="BV6" s="50" t="s">
        <v>197</v>
      </c>
      <c r="BW6" s="50" t="s">
        <v>197</v>
      </c>
      <c r="BX6" s="43" t="str">
        <f>IF(IFERROR(INDEX(Consulta!$A:$DP,MATCH('MM01'!$B6,Consulta!$C:$C,0),'MM01'!BX$2),"")=0,"",IFERROR(INDEX(Consulta!$A:$DP,MATCH('MM01'!$B6,Consulta!$C:$C,0),'MM01'!BX$2),""))</f>
        <v/>
      </c>
      <c r="BY6" s="44" t="s">
        <v>391</v>
      </c>
      <c r="BZ6" s="50">
        <v>0</v>
      </c>
      <c r="CA6" s="45" t="s">
        <v>402</v>
      </c>
      <c r="CB6" s="45" t="s">
        <v>84</v>
      </c>
      <c r="CC6" s="43" t="str">
        <f t="shared" ref="CC6:CC54" si="16">RIGHT(G6,3)</f>
        <v/>
      </c>
      <c r="CD6" s="45" t="s">
        <v>38</v>
      </c>
      <c r="CE6" s="45">
        <v>1</v>
      </c>
      <c r="CF6" s="45" t="s">
        <v>495</v>
      </c>
      <c r="CG6" s="45"/>
      <c r="CH6" s="44">
        <v>2</v>
      </c>
      <c r="CI6" s="49" t="str">
        <f t="shared" ref="CI6:CI54" si="17">H6</f>
        <v/>
      </c>
      <c r="CJ6" s="49" t="str">
        <f t="shared" ref="CJ6:CJ54" si="18">H6</f>
        <v/>
      </c>
      <c r="CK6" s="45"/>
      <c r="CL6" s="44">
        <v>1</v>
      </c>
      <c r="CM6" s="50" t="s">
        <v>514</v>
      </c>
      <c r="CN6" s="44" t="s">
        <v>371</v>
      </c>
      <c r="CO6" s="44">
        <v>2</v>
      </c>
      <c r="CP6" s="44">
        <v>42</v>
      </c>
      <c r="CQ6" s="44">
        <v>10</v>
      </c>
      <c r="CR6" s="43" t="str">
        <f t="shared" ref="CR6:CR54" si="19">"K00_P_"&amp;G6</f>
        <v>K00_P_</v>
      </c>
      <c r="CS6" s="45">
        <v>5000</v>
      </c>
      <c r="CT6" s="43" t="str">
        <f>IF(IFERROR(INDEX(Consulta!$A:$DP,MATCH('MM01'!$B6,Consulta!$C:$C,0),'MM01'!CT$2),"")=0,"",IFERROR(INDEX(Consulta!$A:$DP,MATCH('MM01'!$B6,Consulta!$C:$C,0),'MM01'!CT$2),""))</f>
        <v/>
      </c>
      <c r="CU6" s="43" t="str">
        <f>IF(IFERROR(INDEX(Consulta!$A:$DP,MATCH('MM01'!$B6,Consulta!$C:$C,0),'MM01'!CU$2),"")=0,"",IFERROR(INDEX(Consulta!$A:$DP,MATCH('MM01'!$B6,Consulta!$C:$C,0),'MM01'!CU$2),""))</f>
        <v/>
      </c>
      <c r="CV6" s="43" t="str">
        <f>IF(IFERROR(INDEX(Consulta!$A:$DP,MATCH('MM01'!$B6,Consulta!$C:$C,0),'MM01'!CV$2),"")=0,"",IFERROR(INDEX(Consulta!$A:$DP,MATCH('MM01'!$B6,Consulta!$C:$C,0),'MM01'!CV$2),""))</f>
        <v/>
      </c>
      <c r="CW6" s="43" t="str">
        <f>IF(IFERROR(INDEX(Consulta!$A:$DP,MATCH('MM01'!$B6,Consulta!$C:$C,0),'MM01'!CW$2),"")=0,"",IFERROR(INDEX(Consulta!$A:$DP,MATCH('MM01'!$B6,Consulta!$C:$C,0),'MM01'!CW$2),""))</f>
        <v/>
      </c>
      <c r="CX6" s="43" t="str">
        <f t="shared" ref="CX6:CX54" si="20">IF(OR(CT6="",CU6="",CV6="",CW6=""),"",CT6&amp;" / "&amp;CU6&amp;" / "&amp;CV6&amp;" / "&amp;CW6)</f>
        <v/>
      </c>
      <c r="CY6" s="43" t="str">
        <f t="shared" ref="CY6:CY54" si="21">IF(OR(D6="MFER",D6="KMAT"),"INITIAL",IF(OR(D6="FERT",D6="HAWZ"),"0000999999",""))</f>
        <v/>
      </c>
      <c r="CZ6" s="43" t="str">
        <f t="shared" ref="CZ6:CZ54" si="22">IF(OR(D6="MFER",D6="KMAT"),"INIT",IF(OR(D6="FERT",D6="HAWZ"),"999999",""))</f>
        <v/>
      </c>
      <c r="DA6" s="43" t="str">
        <f>IF(IFERROR(INDEX(Consulta!$A:$DP,MATCH('MM01'!$B6,Consulta!$C:$C,0),'MM01'!DA$2),"")=0,"",IFERROR(INDEX(Consulta!$A:$DP,MATCH('MM01'!$B6,Consulta!$C:$C,0),'MM01'!DA$2),""))</f>
        <v/>
      </c>
      <c r="DB6" s="43" t="str">
        <f t="shared" ref="DB6:DB54" si="23">IF(E6=0,"",E6)</f>
        <v/>
      </c>
      <c r="DC6" s="43" t="str">
        <f>IF(IFERROR(INDEX(Consulta!$A:$DP,MATCH('MM01'!$B6,Consulta!$C:$C,0),'MM01'!DC$2),"")=0,"",IFERROR(INDEX(Consulta!$A:$DP,MATCH('MM01'!$B6,Consulta!$C:$C,0),'MM01'!DC$2),""))</f>
        <v/>
      </c>
      <c r="DD6" s="45">
        <v>0</v>
      </c>
      <c r="DE6" s="45">
        <v>0</v>
      </c>
      <c r="DF6" s="43" t="str">
        <f t="shared" ref="DF6:DF54" si="24">IFERROR(ROUND(AW6,2),"")</f>
        <v/>
      </c>
      <c r="DG6" s="43">
        <f t="shared" ref="DG6:DG54" si="25">IF(DH6&lt;&gt;0,1,"")</f>
        <v>1</v>
      </c>
      <c r="DH6" s="57" t="s">
        <v>746</v>
      </c>
      <c r="DI6" s="43" t="str">
        <f t="shared" ref="DI6:DI54" ca="1" si="26">IF(DH6&lt;&gt;0,TEXT(TODAY(),"dd.mm.aaaa"),"")</f>
        <v>27.04.2022</v>
      </c>
      <c r="DJ6" s="43" t="str">
        <f t="shared" ref="DJ6:DJ54" si="27">IF(DH6&lt;&gt;0,"31.12.9999","")</f>
        <v>31.12.9999</v>
      </c>
      <c r="DK6" s="43" t="str">
        <f t="shared" ref="DK6:DK54" si="28">IF(DL6&lt;&gt;0,2,"")</f>
        <v/>
      </c>
      <c r="DL6" s="57"/>
      <c r="DM6" s="43" t="str">
        <f t="shared" ref="DM6:DM54" ca="1" si="29">IF(DL6&lt;&gt;0,TEXT(TODAY(),"dd.mm.aaaa"),"")</f>
        <v/>
      </c>
      <c r="DN6" s="43" t="str">
        <f t="shared" ref="DN6:DN54" si="30">IF(DL6&lt;&gt;0,"31.12.9999","")</f>
        <v/>
      </c>
      <c r="DO6" s="43" t="str">
        <f t="shared" ref="DO6:DO54" si="31">IF(DP6&lt;&gt;0,3,"")</f>
        <v/>
      </c>
      <c r="DP6" s="57"/>
      <c r="DQ6" s="43" t="str">
        <f t="shared" ref="DQ6:DQ54" ca="1" si="32">IF(DP6&lt;&gt;0,TEXT(TODAY(),"dd.mm.aaaa"),"")</f>
        <v/>
      </c>
      <c r="DR6" s="43" t="str">
        <f t="shared" ref="DR6:DR54" si="33">IF(DP6&lt;&gt;0,"31.12.9999","")</f>
        <v/>
      </c>
      <c r="DS6" s="43" t="str">
        <f t="shared" ref="DS6:DS54" si="34">IF(DT6&lt;&gt;0,4,"")</f>
        <v/>
      </c>
      <c r="DT6" s="57"/>
      <c r="DU6" s="43" t="str">
        <f t="shared" ref="DU6:DU54" ca="1" si="35">IF(DT6&lt;&gt;0,TEXT(TODAY(),"dd.mm.aaaa"),"")</f>
        <v/>
      </c>
      <c r="DV6" s="43" t="str">
        <f t="shared" ref="DV6:DV54" si="36">IF(DT6&lt;&gt;0,"31.12.9999","")</f>
        <v/>
      </c>
      <c r="DX6" s="44">
        <v>1</v>
      </c>
      <c r="DY6" s="44" t="s">
        <v>773</v>
      </c>
      <c r="DZ6" s="43">
        <f t="shared" ref="DZ6:DZ54" si="37">IF(OR(AO6="M",AO6="KG"),0.01,1)</f>
        <v>0.01</v>
      </c>
      <c r="EA6" s="43" t="str">
        <f t="shared" ref="EA6:EA54" si="38">AO6</f>
        <v>M</v>
      </c>
      <c r="EB6" s="43" t="str">
        <f>IF(IFERROR(INDEX(Consulta!$A:$DP,MATCH('MM01'!$B6,Consulta!$C:$C,0),'MM01'!EB$2),"")=0,"7925",IF(IFERROR(INDEX(Consulta!$A:$DP,MATCH('MM01'!$B6,Consulta!$C:$C,0),'MM01'!EB$2),"")="68","7910","7925"))</f>
        <v>7925</v>
      </c>
      <c r="EC6" s="44">
        <v>100</v>
      </c>
      <c r="ED6" s="62">
        <v>1</v>
      </c>
      <c r="EE6" s="43">
        <f t="shared" ref="EE6:EE54" si="39">EC6</f>
        <v>100</v>
      </c>
      <c r="EF6" s="44">
        <v>1</v>
      </c>
      <c r="EG6" s="44">
        <v>0</v>
      </c>
      <c r="EH6" s="44" t="s">
        <v>875</v>
      </c>
      <c r="EI6" s="45">
        <v>0</v>
      </c>
      <c r="EJ6" s="43">
        <f t="shared" ref="EJ6:EJ54" si="40">CS6</f>
        <v>5000</v>
      </c>
      <c r="EK6" s="69"/>
    </row>
    <row r="7" spans="1:141" x14ac:dyDescent="0.2">
      <c r="A7" s="7" t="str">
        <f t="shared" si="0"/>
        <v>Execução 3</v>
      </c>
      <c r="B7" s="42"/>
      <c r="C7" s="43" t="str">
        <f>IF(IFERROR(INDEX(Consulta!$A:$DP,MATCH('MM01'!$B7,Consulta!$C:$C,0),'MM01'!C$2),"")=0,"",IFERROR(INDEX(Consulta!$A:$DP,MATCH('MM01'!$B7,Consulta!$C:$C,0),'MM01'!C$2),""))</f>
        <v/>
      </c>
      <c r="D7" s="43" t="str">
        <f>IF(IFERROR(INDEX(Consulta!$A:$DP,MATCH('MM01'!$B7,Consulta!$C:$C,0),'MM01'!D$2),"")=0,"",IFERROR(INDEX(Consulta!$A:$DP,MATCH('MM01'!$B7,Consulta!$C:$C,0),'MM01'!D$2),""))</f>
        <v/>
      </c>
      <c r="E7" s="43" t="str">
        <f>IF(IFERROR(INDEX(Consulta!$A:$DP,MATCH('MM01'!$B7,Consulta!$C:$C,0),'MM01'!E$2),"")=0,"",IFERROR(INDEX(Consulta!$A:$DP,MATCH('MM01'!$B7,Consulta!$C:$C,0),'MM01'!E$2),""))</f>
        <v/>
      </c>
      <c r="F7" s="44" t="s">
        <v>100</v>
      </c>
      <c r="G7" s="49" t="str">
        <f>IF(IFERROR(INDEX(Consulta!$A:$DP,MATCH('MM01'!$B7,Consulta!$C:$C,0),'MM01'!G$2),"")=0,"",IFERROR(INDEX(Consulta!$A:$DP,MATCH('MM01'!$B7,Consulta!$C:$C,0),'MM01'!G$2),""))</f>
        <v/>
      </c>
      <c r="H7" s="49" t="str">
        <f>IF(IFERROR(INDEX(Consulta!$A:$DP,MATCH('MM01'!$B7,Consulta!$C:$C,0),'MM01'!H$2),"")=0,"",IFERROR(INDEX(Consulta!$A:$DP,MATCH('MM01'!$B7,Consulta!$C:$C,0),'MM01'!H$2),""))</f>
        <v/>
      </c>
      <c r="I7" s="49" t="str">
        <f t="shared" si="1"/>
        <v/>
      </c>
      <c r="J7" s="49" t="str">
        <f>IF(IFERROR(INDEX(Consulta!$A:$DP,MATCH('MM01'!$B7,Consulta!$C:$C,0),'MM01'!J$2),"")=0,"",IFERROR(INDEX(Consulta!$A:$DP,MATCH('MM01'!$B7,Consulta!$C:$C,0),'MM01'!J$2),""))</f>
        <v/>
      </c>
      <c r="K7" s="49" t="str">
        <f t="shared" si="2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IF(IFERROR(INDEX(Consulta!$A:$DP,MATCH('MM01'!$B7,Consulta!$C:$C,0),'MM01'!AP$2),"")=0,"",IFERROR(INDEX(Consulta!$A:$DP,MATCH('MM01'!$B7,Consulta!$C:$C,0),'MM01'!AP$2),""))</f>
        <v/>
      </c>
      <c r="AQ7" s="45"/>
      <c r="AR7" s="43" t="str">
        <f>IF(IFERROR(INDEX(Consulta!$A:$DP,MATCH('MM01'!$B7,Consulta!$C:$C,0),'MM01'!AR$2),"")=0,"",IFERROR(INDEX(Consulta!$A:$DP,MATCH('MM01'!$B7,Consulta!$C:$C,0),'MM01'!AR$2),""))</f>
        <v/>
      </c>
      <c r="AS7" s="43" t="str">
        <f>IF(IFERROR(INDEX(Consulta!$A:$DP,MATCH('MM01'!$B7,Consulta!$C:$C,0),'MM01'!AS$2),"")=0,"",IF(AR7="68",5102,IFERROR(INDEX(Consulta!$A:$DP,MATCH('MM01'!$B7,Consulta!$C:$C,0),'MM01'!AS$2),"")))</f>
        <v/>
      </c>
      <c r="AT7" s="45"/>
      <c r="AU7" s="46" t="str">
        <f t="shared" ca="1" si="3"/>
        <v/>
      </c>
      <c r="AV7" s="47" t="s">
        <v>795</v>
      </c>
      <c r="AW7" s="43" t="str">
        <f>IF(IFERROR(INDEX(Consulta!$A:$DP,MATCH('MM01'!$B7,Consulta!$C:$C,0),'MM01'!AW$2),"")=0,"",IFERROR(ROUND(INDEX(Consulta!$A:$DP,MATCH('MM01'!$B7,Consulta!$C:$C,0),'MM01'!AW$2),3),""))</f>
        <v/>
      </c>
      <c r="AX7" s="43" t="str">
        <f t="shared" si="4"/>
        <v/>
      </c>
      <c r="AY7" s="48" t="s">
        <v>299</v>
      </c>
      <c r="AZ7" s="48"/>
      <c r="BA7" s="43" t="str">
        <f>IF(IFERROR(INDEX(Consulta!$A:$DP,MATCH('MM01'!$B7,Consulta!$C:$C,0),'MM01'!BA$2),"")=0,"",IFERROR(INDEX(Consulta!$A:$DP,MATCH('MM01'!$B7,Consulta!$C:$C,0),'MM01'!BA$2),""))</f>
        <v/>
      </c>
      <c r="BB7" s="43" t="str">
        <f t="shared" si="5"/>
        <v/>
      </c>
      <c r="BC7" s="43" t="str">
        <f t="shared" si="6"/>
        <v/>
      </c>
      <c r="BD7" s="43" t="str">
        <f t="shared" si="7"/>
        <v/>
      </c>
      <c r="BE7" s="43" t="str">
        <f t="shared" si="8"/>
        <v>M</v>
      </c>
      <c r="BF7" s="43" t="str">
        <f t="shared" si="9"/>
        <v/>
      </c>
      <c r="BG7" s="43" t="str">
        <f t="shared" si="10"/>
        <v/>
      </c>
      <c r="BH7" s="43" t="str">
        <f t="shared" si="11"/>
        <v/>
      </c>
      <c r="BI7" s="43" t="str">
        <f t="shared" si="12"/>
        <v>M</v>
      </c>
      <c r="BK7" s="45" t="s">
        <v>324</v>
      </c>
      <c r="BL7" s="43" t="str">
        <f>IF(IFERROR(INDEX(Consulta!$A:$DP,MATCH('MM01'!$B7,Consulta!$C:$C,0),'MM01'!BL$2),"")=0,"",IFERROR(INDEX(Consulta!$A:$DP,MATCH('MM01'!$B7,Consulta!$C:$C,0),'MM01'!BL$2),""))</f>
        <v/>
      </c>
      <c r="BM7" s="45"/>
      <c r="BN7" s="46" t="str">
        <f t="shared" ca="1" si="13"/>
        <v/>
      </c>
      <c r="BO7" s="49" t="str">
        <f t="shared" si="14"/>
        <v/>
      </c>
      <c r="BP7" s="50">
        <v>1</v>
      </c>
      <c r="BQ7" s="50" t="s">
        <v>194</v>
      </c>
      <c r="BR7" s="79" t="str">
        <f t="shared" si="15"/>
        <v>01</v>
      </c>
      <c r="BS7" s="50" t="s">
        <v>795</v>
      </c>
      <c r="BT7" s="44">
        <v>1</v>
      </c>
      <c r="BU7" s="44" t="s">
        <v>371</v>
      </c>
      <c r="BV7" s="50" t="s">
        <v>197</v>
      </c>
      <c r="BW7" s="50" t="s">
        <v>197</v>
      </c>
      <c r="BX7" s="43" t="str">
        <f>IF(IFERROR(INDEX(Consulta!$A:$DP,MATCH('MM01'!$B7,Consulta!$C:$C,0),'MM01'!BX$2),"")=0,"",IFERROR(INDEX(Consulta!$A:$DP,MATCH('MM01'!$B7,Consulta!$C:$C,0),'MM01'!BX$2),""))</f>
        <v/>
      </c>
      <c r="BY7" s="44" t="s">
        <v>391</v>
      </c>
      <c r="BZ7" s="50">
        <v>0</v>
      </c>
      <c r="CA7" s="45" t="s">
        <v>402</v>
      </c>
      <c r="CB7" s="45" t="s">
        <v>84</v>
      </c>
      <c r="CC7" s="43" t="str">
        <f t="shared" si="16"/>
        <v/>
      </c>
      <c r="CD7" s="45" t="s">
        <v>38</v>
      </c>
      <c r="CE7" s="45">
        <v>1</v>
      </c>
      <c r="CF7" s="45" t="s">
        <v>495</v>
      </c>
      <c r="CG7" s="45"/>
      <c r="CH7" s="44">
        <v>2</v>
      </c>
      <c r="CI7" s="49" t="str">
        <f t="shared" si="17"/>
        <v/>
      </c>
      <c r="CJ7" s="49" t="str">
        <f t="shared" si="18"/>
        <v/>
      </c>
      <c r="CK7" s="45"/>
      <c r="CL7" s="44">
        <v>1</v>
      </c>
      <c r="CM7" s="50" t="s">
        <v>514</v>
      </c>
      <c r="CN7" s="44" t="s">
        <v>371</v>
      </c>
      <c r="CO7" s="44">
        <v>2</v>
      </c>
      <c r="CP7" s="44">
        <v>42</v>
      </c>
      <c r="CQ7" s="44">
        <v>10</v>
      </c>
      <c r="CR7" s="43" t="str">
        <f t="shared" si="19"/>
        <v>K00_P_</v>
      </c>
      <c r="CS7" s="45">
        <v>5000</v>
      </c>
      <c r="CT7" s="43" t="str">
        <f>IF(IFERROR(INDEX(Consulta!$A:$DP,MATCH('MM01'!$B7,Consulta!$C:$C,0),'MM01'!CT$2),"")=0,"",IFERROR(INDEX(Consulta!$A:$DP,MATCH('MM01'!$B7,Consulta!$C:$C,0),'MM01'!CT$2),""))</f>
        <v/>
      </c>
      <c r="CU7" s="43" t="str">
        <f>IF(IFERROR(INDEX(Consulta!$A:$DP,MATCH('MM01'!$B7,Consulta!$C:$C,0),'MM01'!CU$2),"")=0,"",IFERROR(INDEX(Consulta!$A:$DP,MATCH('MM01'!$B7,Consulta!$C:$C,0),'MM01'!CU$2),""))</f>
        <v/>
      </c>
      <c r="CV7" s="43" t="str">
        <f>IF(IFERROR(INDEX(Consulta!$A:$DP,MATCH('MM01'!$B7,Consulta!$C:$C,0),'MM01'!CV$2),"")=0,"",IFERROR(INDEX(Consulta!$A:$DP,MATCH('MM01'!$B7,Consulta!$C:$C,0),'MM01'!CV$2),""))</f>
        <v/>
      </c>
      <c r="CW7" s="43" t="str">
        <f>IF(IFERROR(INDEX(Consulta!$A:$DP,MATCH('MM01'!$B7,Consulta!$C:$C,0),'MM01'!CW$2),"")=0,"",IFERROR(INDEX(Consulta!$A:$DP,MATCH('MM01'!$B7,Consulta!$C:$C,0),'MM01'!CW$2),""))</f>
        <v/>
      </c>
      <c r="CX7" s="43" t="str">
        <f t="shared" si="20"/>
        <v/>
      </c>
      <c r="CY7" s="43" t="str">
        <f t="shared" si="21"/>
        <v/>
      </c>
      <c r="CZ7" s="43" t="str">
        <f t="shared" si="22"/>
        <v/>
      </c>
      <c r="DA7" s="43" t="str">
        <f>IF(IFERROR(INDEX(Consulta!$A:$DP,MATCH('MM01'!$B7,Consulta!$C:$C,0),'MM01'!DA$2),"")=0,"",IFERROR(INDEX(Consulta!$A:$DP,MATCH('MM01'!$B7,Consulta!$C:$C,0),'MM01'!DA$2),""))</f>
        <v/>
      </c>
      <c r="DB7" s="43" t="str">
        <f t="shared" si="23"/>
        <v/>
      </c>
      <c r="DC7" s="43" t="str">
        <f>IF(IFERROR(INDEX(Consulta!$A:$DP,MATCH('MM01'!$B7,Consulta!$C:$C,0),'MM01'!DC$2),"")=0,"",IFERROR(INDEX(Consulta!$A:$DP,MATCH('MM01'!$B7,Consulta!$C:$C,0),'MM01'!DC$2),""))</f>
        <v/>
      </c>
      <c r="DD7" s="45">
        <v>0</v>
      </c>
      <c r="DE7" s="45">
        <v>0</v>
      </c>
      <c r="DF7" s="43" t="str">
        <f t="shared" si="24"/>
        <v/>
      </c>
      <c r="DG7" s="43" t="str">
        <f t="shared" si="25"/>
        <v/>
      </c>
      <c r="DH7" s="57"/>
      <c r="DI7" s="43" t="str">
        <f t="shared" ca="1" si="26"/>
        <v/>
      </c>
      <c r="DJ7" s="43" t="str">
        <f t="shared" si="27"/>
        <v/>
      </c>
      <c r="DK7" s="43" t="str">
        <f t="shared" si="28"/>
        <v/>
      </c>
      <c r="DL7" s="57"/>
      <c r="DM7" s="43" t="str">
        <f t="shared" ca="1" si="29"/>
        <v/>
      </c>
      <c r="DN7" s="43" t="str">
        <f t="shared" si="30"/>
        <v/>
      </c>
      <c r="DO7" s="43" t="str">
        <f t="shared" si="31"/>
        <v/>
      </c>
      <c r="DP7" s="57"/>
      <c r="DQ7" s="43" t="str">
        <f t="shared" ca="1" si="32"/>
        <v/>
      </c>
      <c r="DR7" s="43" t="str">
        <f t="shared" si="33"/>
        <v/>
      </c>
      <c r="DS7" s="43" t="str">
        <f t="shared" si="34"/>
        <v/>
      </c>
      <c r="DT7" s="57"/>
      <c r="DU7" s="43" t="str">
        <f t="shared" ca="1" si="35"/>
        <v/>
      </c>
      <c r="DV7" s="43" t="str">
        <f t="shared" si="36"/>
        <v/>
      </c>
      <c r="DX7" s="44">
        <v>1</v>
      </c>
      <c r="DY7" s="44" t="s">
        <v>773</v>
      </c>
      <c r="DZ7" s="43">
        <f t="shared" si="37"/>
        <v>0.01</v>
      </c>
      <c r="EA7" s="43" t="str">
        <f t="shared" si="38"/>
        <v>M</v>
      </c>
      <c r="EB7" s="43" t="str">
        <f>IF(IFERROR(INDEX(Consulta!$A:$DP,MATCH('MM01'!$B7,Consulta!$C:$C,0),'MM01'!EB$2),"")=0,"7925",IF(IFERROR(INDEX(Consulta!$A:$DP,MATCH('MM01'!$B7,Consulta!$C:$C,0),'MM01'!EB$2),"")="68","7910","7925"))</f>
        <v>7925</v>
      </c>
      <c r="EC7" s="44">
        <v>100</v>
      </c>
      <c r="ED7" s="62">
        <v>1</v>
      </c>
      <c r="EE7" s="43">
        <f t="shared" si="39"/>
        <v>100</v>
      </c>
      <c r="EF7" s="44">
        <v>1</v>
      </c>
      <c r="EG7" s="44">
        <v>0</v>
      </c>
      <c r="EH7" s="44" t="s">
        <v>875</v>
      </c>
      <c r="EI7" s="45">
        <v>0</v>
      </c>
      <c r="EJ7" s="43">
        <f t="shared" si="40"/>
        <v>5000</v>
      </c>
      <c r="EK7" s="69"/>
    </row>
    <row r="8" spans="1:141" x14ac:dyDescent="0.2">
      <c r="A8" s="7" t="str">
        <f t="shared" si="0"/>
        <v>Execução 4</v>
      </c>
      <c r="B8" s="42"/>
      <c r="C8" s="43" t="str">
        <f>IF(IFERROR(INDEX(Consulta!$A:$DP,MATCH('MM01'!$B8,Consulta!$C:$C,0),'MM01'!C$2),"")=0,"",IFERROR(INDEX(Consulta!$A:$DP,MATCH('MM01'!$B8,Consulta!$C:$C,0),'MM01'!C$2),""))</f>
        <v/>
      </c>
      <c r="D8" s="43" t="str">
        <f>IF(IFERROR(INDEX(Consulta!$A:$DP,MATCH('MM01'!$B8,Consulta!$C:$C,0),'MM01'!D$2),"")=0,"",IFERROR(INDEX(Consulta!$A:$DP,MATCH('MM01'!$B8,Consulta!$C:$C,0),'MM01'!D$2),""))</f>
        <v/>
      </c>
      <c r="E8" s="43" t="str">
        <f>IF(IFERROR(INDEX(Consulta!$A:$DP,MATCH('MM01'!$B8,Consulta!$C:$C,0),'MM01'!E$2),"")=0,"",IFERROR(INDEX(Consulta!$A:$DP,MATCH('MM01'!$B8,Consulta!$C:$C,0),'MM01'!E$2),""))</f>
        <v/>
      </c>
      <c r="F8" s="44" t="s">
        <v>100</v>
      </c>
      <c r="G8" s="49" t="str">
        <f>IF(IFERROR(INDEX(Consulta!$A:$DP,MATCH('MM01'!$B8,Consulta!$C:$C,0),'MM01'!G$2),"")=0,"",IFERROR(INDEX(Consulta!$A:$DP,MATCH('MM01'!$B8,Consulta!$C:$C,0),'MM01'!G$2),""))</f>
        <v/>
      </c>
      <c r="H8" s="49" t="str">
        <f>IF(IFERROR(INDEX(Consulta!$A:$DP,MATCH('MM01'!$B8,Consulta!$C:$C,0),'MM01'!H$2),"")=0,"",IFERROR(INDEX(Consulta!$A:$DP,MATCH('MM01'!$B8,Consulta!$C:$C,0),'MM01'!H$2),""))</f>
        <v/>
      </c>
      <c r="I8" s="49" t="str">
        <f t="shared" si="1"/>
        <v/>
      </c>
      <c r="J8" s="49" t="str">
        <f>IF(IFERROR(INDEX(Consulta!$A:$DP,MATCH('MM01'!$B8,Consulta!$C:$C,0),'MM01'!J$2),"")=0,"",IFERROR(INDEX(Consulta!$A:$DP,MATCH('MM01'!$B8,Consulta!$C:$C,0),'MM01'!J$2),""))</f>
        <v/>
      </c>
      <c r="K8" s="49" t="str">
        <f t="shared" si="2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IF(IFERROR(INDEX(Consulta!$A:$DP,MATCH('MM01'!$B8,Consulta!$C:$C,0),'MM01'!AP$2),"")=0,"",IFERROR(INDEX(Consulta!$A:$DP,MATCH('MM01'!$B8,Consulta!$C:$C,0),'MM01'!AP$2),""))</f>
        <v/>
      </c>
      <c r="AQ8" s="45"/>
      <c r="AR8" s="43" t="str">
        <f>IF(IFERROR(INDEX(Consulta!$A:$DP,MATCH('MM01'!$B8,Consulta!$C:$C,0),'MM01'!AR$2),"")=0,"",IFERROR(INDEX(Consulta!$A:$DP,MATCH('MM01'!$B8,Consulta!$C:$C,0),'MM01'!AR$2),""))</f>
        <v/>
      </c>
      <c r="AS8" s="43" t="str">
        <f>IF(IFERROR(INDEX(Consulta!$A:$DP,MATCH('MM01'!$B8,Consulta!$C:$C,0),'MM01'!AS$2),"")=0,"",IF(AR8="68",5102,IFERROR(INDEX(Consulta!$A:$DP,MATCH('MM01'!$B8,Consulta!$C:$C,0),'MM01'!AS$2),"")))</f>
        <v/>
      </c>
      <c r="AT8" s="45"/>
      <c r="AU8" s="46" t="str">
        <f t="shared" ca="1" si="3"/>
        <v/>
      </c>
      <c r="AV8" s="47" t="s">
        <v>795</v>
      </c>
      <c r="AW8" s="43" t="str">
        <f>IF(IFERROR(INDEX(Consulta!$A:$DP,MATCH('MM01'!$B8,Consulta!$C:$C,0),'MM01'!AW$2),"")=0,"",IFERROR(ROUND(INDEX(Consulta!$A:$DP,MATCH('MM01'!$B8,Consulta!$C:$C,0),'MM01'!AW$2),3),""))</f>
        <v/>
      </c>
      <c r="AX8" s="43" t="str">
        <f t="shared" si="4"/>
        <v/>
      </c>
      <c r="AY8" s="48" t="s">
        <v>299</v>
      </c>
      <c r="AZ8" s="48"/>
      <c r="BA8" s="43" t="str">
        <f>IF(IFERROR(INDEX(Consulta!$A:$DP,MATCH('MM01'!$B8,Consulta!$C:$C,0),'MM01'!BA$2),"")=0,"",IFERROR(INDEX(Consulta!$A:$DP,MATCH('MM01'!$B8,Consulta!$C:$C,0),'MM01'!BA$2),""))</f>
        <v/>
      </c>
      <c r="BB8" s="43" t="str">
        <f t="shared" si="5"/>
        <v/>
      </c>
      <c r="BC8" s="43" t="str">
        <f t="shared" si="6"/>
        <v/>
      </c>
      <c r="BD8" s="43" t="str">
        <f t="shared" si="7"/>
        <v/>
      </c>
      <c r="BE8" s="43" t="str">
        <f t="shared" si="8"/>
        <v>M</v>
      </c>
      <c r="BF8" s="43" t="str">
        <f t="shared" si="9"/>
        <v/>
      </c>
      <c r="BG8" s="43" t="str">
        <f t="shared" si="10"/>
        <v/>
      </c>
      <c r="BH8" s="43" t="str">
        <f t="shared" si="11"/>
        <v/>
      </c>
      <c r="BI8" s="43" t="str">
        <f t="shared" si="12"/>
        <v>M</v>
      </c>
      <c r="BK8" s="45" t="s">
        <v>324</v>
      </c>
      <c r="BL8" s="43" t="str">
        <f>IF(IFERROR(INDEX(Consulta!$A:$DP,MATCH('MM01'!$B8,Consulta!$C:$C,0),'MM01'!BL$2),"")=0,"",IFERROR(INDEX(Consulta!$A:$DP,MATCH('MM01'!$B8,Consulta!$C:$C,0),'MM01'!BL$2),""))</f>
        <v/>
      </c>
      <c r="BM8" s="45"/>
      <c r="BN8" s="46" t="str">
        <f t="shared" ca="1" si="13"/>
        <v/>
      </c>
      <c r="BO8" s="49" t="str">
        <f t="shared" si="14"/>
        <v/>
      </c>
      <c r="BP8" s="50">
        <v>1</v>
      </c>
      <c r="BQ8" s="50" t="s">
        <v>194</v>
      </c>
      <c r="BR8" s="79" t="str">
        <f t="shared" si="15"/>
        <v>01</v>
      </c>
      <c r="BS8" s="50" t="s">
        <v>795</v>
      </c>
      <c r="BT8" s="44">
        <v>1</v>
      </c>
      <c r="BU8" s="44" t="s">
        <v>371</v>
      </c>
      <c r="BV8" s="50" t="s">
        <v>197</v>
      </c>
      <c r="BW8" s="50" t="s">
        <v>197</v>
      </c>
      <c r="BX8" s="43" t="str">
        <f>IF(IFERROR(INDEX(Consulta!$A:$DP,MATCH('MM01'!$B8,Consulta!$C:$C,0),'MM01'!BX$2),"")=0,"",IFERROR(INDEX(Consulta!$A:$DP,MATCH('MM01'!$B8,Consulta!$C:$C,0),'MM01'!BX$2),""))</f>
        <v/>
      </c>
      <c r="BY8" s="44" t="s">
        <v>391</v>
      </c>
      <c r="BZ8" s="50">
        <v>0</v>
      </c>
      <c r="CA8" s="45" t="s">
        <v>402</v>
      </c>
      <c r="CB8" s="45" t="s">
        <v>84</v>
      </c>
      <c r="CC8" s="43" t="str">
        <f t="shared" si="16"/>
        <v/>
      </c>
      <c r="CD8" s="45" t="s">
        <v>38</v>
      </c>
      <c r="CE8" s="45">
        <v>1</v>
      </c>
      <c r="CF8" s="45" t="s">
        <v>495</v>
      </c>
      <c r="CG8" s="45"/>
      <c r="CH8" s="44">
        <v>2</v>
      </c>
      <c r="CI8" s="49" t="str">
        <f t="shared" si="17"/>
        <v/>
      </c>
      <c r="CJ8" s="49" t="str">
        <f t="shared" si="18"/>
        <v/>
      </c>
      <c r="CK8" s="45"/>
      <c r="CL8" s="44">
        <v>1</v>
      </c>
      <c r="CM8" s="50" t="s">
        <v>514</v>
      </c>
      <c r="CN8" s="44" t="s">
        <v>371</v>
      </c>
      <c r="CO8" s="44">
        <v>2</v>
      </c>
      <c r="CP8" s="44">
        <v>42</v>
      </c>
      <c r="CQ8" s="44">
        <v>10</v>
      </c>
      <c r="CR8" s="43" t="str">
        <f t="shared" si="19"/>
        <v>K00_P_</v>
      </c>
      <c r="CS8" s="45">
        <v>5000</v>
      </c>
      <c r="CT8" s="43" t="str">
        <f>IF(IFERROR(INDEX(Consulta!$A:$DP,MATCH('MM01'!$B8,Consulta!$C:$C,0),'MM01'!CT$2),"")=0,"",IFERROR(INDEX(Consulta!$A:$DP,MATCH('MM01'!$B8,Consulta!$C:$C,0),'MM01'!CT$2),""))</f>
        <v/>
      </c>
      <c r="CU8" s="43" t="str">
        <f>IF(IFERROR(INDEX(Consulta!$A:$DP,MATCH('MM01'!$B8,Consulta!$C:$C,0),'MM01'!CU$2),"")=0,"",IFERROR(INDEX(Consulta!$A:$DP,MATCH('MM01'!$B8,Consulta!$C:$C,0),'MM01'!CU$2),""))</f>
        <v/>
      </c>
      <c r="CV8" s="43" t="str">
        <f>IF(IFERROR(INDEX(Consulta!$A:$DP,MATCH('MM01'!$B8,Consulta!$C:$C,0),'MM01'!CV$2),"")=0,"",IFERROR(INDEX(Consulta!$A:$DP,MATCH('MM01'!$B8,Consulta!$C:$C,0),'MM01'!CV$2),""))</f>
        <v/>
      </c>
      <c r="CW8" s="43" t="str">
        <f>IF(IFERROR(INDEX(Consulta!$A:$DP,MATCH('MM01'!$B8,Consulta!$C:$C,0),'MM01'!CW$2),"")=0,"",IFERROR(INDEX(Consulta!$A:$DP,MATCH('MM01'!$B8,Consulta!$C:$C,0),'MM01'!CW$2),""))</f>
        <v/>
      </c>
      <c r="CX8" s="43" t="str">
        <f t="shared" si="20"/>
        <v/>
      </c>
      <c r="CY8" s="43" t="str">
        <f t="shared" si="21"/>
        <v/>
      </c>
      <c r="CZ8" s="43" t="str">
        <f t="shared" si="22"/>
        <v/>
      </c>
      <c r="DA8" s="43" t="str">
        <f>IF(IFERROR(INDEX(Consulta!$A:$DP,MATCH('MM01'!$B8,Consulta!$C:$C,0),'MM01'!DA$2),"")=0,"",IFERROR(INDEX(Consulta!$A:$DP,MATCH('MM01'!$B8,Consulta!$C:$C,0),'MM01'!DA$2),""))</f>
        <v/>
      </c>
      <c r="DB8" s="43" t="str">
        <f t="shared" si="23"/>
        <v/>
      </c>
      <c r="DC8" s="43" t="str">
        <f>IF(IFERROR(INDEX(Consulta!$A:$DP,MATCH('MM01'!$B8,Consulta!$C:$C,0),'MM01'!DC$2),"")=0,"",IFERROR(INDEX(Consulta!$A:$DP,MATCH('MM01'!$B8,Consulta!$C:$C,0),'MM01'!DC$2),""))</f>
        <v/>
      </c>
      <c r="DD8" s="45">
        <v>0</v>
      </c>
      <c r="DE8" s="45">
        <v>0</v>
      </c>
      <c r="DF8" s="43" t="str">
        <f t="shared" si="24"/>
        <v/>
      </c>
      <c r="DG8" s="43" t="str">
        <f t="shared" si="25"/>
        <v/>
      </c>
      <c r="DH8" s="57"/>
      <c r="DI8" s="43" t="str">
        <f t="shared" ca="1" si="26"/>
        <v/>
      </c>
      <c r="DJ8" s="43" t="str">
        <f t="shared" si="27"/>
        <v/>
      </c>
      <c r="DK8" s="43" t="str">
        <f t="shared" si="28"/>
        <v/>
      </c>
      <c r="DL8" s="57"/>
      <c r="DM8" s="43" t="str">
        <f t="shared" ca="1" si="29"/>
        <v/>
      </c>
      <c r="DN8" s="43" t="str">
        <f t="shared" si="30"/>
        <v/>
      </c>
      <c r="DO8" s="43" t="str">
        <f t="shared" si="31"/>
        <v/>
      </c>
      <c r="DP8" s="57"/>
      <c r="DQ8" s="43" t="str">
        <f t="shared" ca="1" si="32"/>
        <v/>
      </c>
      <c r="DR8" s="43" t="str">
        <f t="shared" si="33"/>
        <v/>
      </c>
      <c r="DS8" s="43" t="str">
        <f t="shared" si="34"/>
        <v/>
      </c>
      <c r="DT8" s="57"/>
      <c r="DU8" s="43" t="str">
        <f t="shared" ca="1" si="35"/>
        <v/>
      </c>
      <c r="DV8" s="43" t="str">
        <f t="shared" si="36"/>
        <v/>
      </c>
      <c r="DX8" s="44">
        <v>1</v>
      </c>
      <c r="DY8" s="44" t="s">
        <v>773</v>
      </c>
      <c r="DZ8" s="43">
        <f t="shared" si="37"/>
        <v>0.01</v>
      </c>
      <c r="EA8" s="43" t="str">
        <f t="shared" si="38"/>
        <v>M</v>
      </c>
      <c r="EB8" s="43" t="str">
        <f>IF(IFERROR(INDEX(Consulta!$A:$DP,MATCH('MM01'!$B8,Consulta!$C:$C,0),'MM01'!EB$2),"")=0,"7925",IF(IFERROR(INDEX(Consulta!$A:$DP,MATCH('MM01'!$B8,Consulta!$C:$C,0),'MM01'!EB$2),"")="68","7910","7925"))</f>
        <v>7925</v>
      </c>
      <c r="EC8" s="44">
        <v>100</v>
      </c>
      <c r="ED8" s="62">
        <v>1</v>
      </c>
      <c r="EE8" s="43">
        <f t="shared" si="39"/>
        <v>100</v>
      </c>
      <c r="EF8" s="44">
        <v>1</v>
      </c>
      <c r="EG8" s="44">
        <v>0</v>
      </c>
      <c r="EH8" s="44" t="s">
        <v>875</v>
      </c>
      <c r="EI8" s="45">
        <v>0</v>
      </c>
      <c r="EJ8" s="43">
        <f t="shared" si="40"/>
        <v>5000</v>
      </c>
      <c r="EK8" s="69"/>
    </row>
    <row r="9" spans="1:141" x14ac:dyDescent="0.2">
      <c r="A9" s="7" t="str">
        <f t="shared" si="0"/>
        <v>Execução 5</v>
      </c>
      <c r="B9" s="42"/>
      <c r="C9" s="43" t="str">
        <f>IF(IFERROR(INDEX(Consulta!$A:$DP,MATCH('MM01'!$B9,Consulta!$C:$C,0),'MM01'!C$2),"")=0,"",IFERROR(INDEX(Consulta!$A:$DP,MATCH('MM01'!$B9,Consulta!$C:$C,0),'MM01'!C$2),""))</f>
        <v/>
      </c>
      <c r="D9" s="43" t="str">
        <f>IF(IFERROR(INDEX(Consulta!$A:$DP,MATCH('MM01'!$B9,Consulta!$C:$C,0),'MM01'!D$2),"")=0,"",IFERROR(INDEX(Consulta!$A:$DP,MATCH('MM01'!$B9,Consulta!$C:$C,0),'MM01'!D$2),""))</f>
        <v/>
      </c>
      <c r="E9" s="43" t="str">
        <f>IF(IFERROR(INDEX(Consulta!$A:$DP,MATCH('MM01'!$B9,Consulta!$C:$C,0),'MM01'!E$2),"")=0,"",IFERROR(INDEX(Consulta!$A:$DP,MATCH('MM01'!$B9,Consulta!$C:$C,0),'MM01'!E$2),""))</f>
        <v/>
      </c>
      <c r="F9" s="44" t="s">
        <v>100</v>
      </c>
      <c r="G9" s="49" t="str">
        <f>IF(IFERROR(INDEX(Consulta!$A:$DP,MATCH('MM01'!$B9,Consulta!$C:$C,0),'MM01'!G$2),"")=0,"",IFERROR(INDEX(Consulta!$A:$DP,MATCH('MM01'!$B9,Consulta!$C:$C,0),'MM01'!G$2),""))</f>
        <v/>
      </c>
      <c r="H9" s="49" t="str">
        <f>IF(IFERROR(INDEX(Consulta!$A:$DP,MATCH('MM01'!$B9,Consulta!$C:$C,0),'MM01'!H$2),"")=0,"",IFERROR(INDEX(Consulta!$A:$DP,MATCH('MM01'!$B9,Consulta!$C:$C,0),'MM01'!H$2),""))</f>
        <v/>
      </c>
      <c r="I9" s="49" t="str">
        <f t="shared" si="1"/>
        <v/>
      </c>
      <c r="J9" s="49" t="str">
        <f>IF(IFERROR(INDEX(Consulta!$A:$DP,MATCH('MM01'!$B9,Consulta!$C:$C,0),'MM01'!J$2),"")=0,"",IFERROR(INDEX(Consulta!$A:$DP,MATCH('MM01'!$B9,Consulta!$C:$C,0),'MM01'!J$2),""))</f>
        <v/>
      </c>
      <c r="K9" s="49" t="str">
        <f t="shared" si="2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IF(IFERROR(INDEX(Consulta!$A:$DP,MATCH('MM01'!$B9,Consulta!$C:$C,0),'MM01'!AP$2),"")=0,"",IFERROR(INDEX(Consulta!$A:$DP,MATCH('MM01'!$B9,Consulta!$C:$C,0),'MM01'!AP$2),""))</f>
        <v/>
      </c>
      <c r="AQ9" s="45"/>
      <c r="AR9" s="43" t="str">
        <f>IF(IFERROR(INDEX(Consulta!$A:$DP,MATCH('MM01'!$B9,Consulta!$C:$C,0),'MM01'!AR$2),"")=0,"",IFERROR(INDEX(Consulta!$A:$DP,MATCH('MM01'!$B9,Consulta!$C:$C,0),'MM01'!AR$2),""))</f>
        <v/>
      </c>
      <c r="AS9" s="43" t="str">
        <f>IF(IFERROR(INDEX(Consulta!$A:$DP,MATCH('MM01'!$B9,Consulta!$C:$C,0),'MM01'!AS$2),"")=0,"",IF(AR9="68",5102,IFERROR(INDEX(Consulta!$A:$DP,MATCH('MM01'!$B9,Consulta!$C:$C,0),'MM01'!AS$2),"")))</f>
        <v/>
      </c>
      <c r="AT9" s="45"/>
      <c r="AU9" s="46" t="str">
        <f t="shared" ca="1" si="3"/>
        <v/>
      </c>
      <c r="AV9" s="47" t="s">
        <v>795</v>
      </c>
      <c r="AW9" s="43" t="str">
        <f>IF(IFERROR(INDEX(Consulta!$A:$DP,MATCH('MM01'!$B9,Consulta!$C:$C,0),'MM01'!AW$2),"")=0,"",IFERROR(ROUND(INDEX(Consulta!$A:$DP,MATCH('MM01'!$B9,Consulta!$C:$C,0),'MM01'!AW$2),3),""))</f>
        <v/>
      </c>
      <c r="AX9" s="43" t="str">
        <f t="shared" si="4"/>
        <v/>
      </c>
      <c r="AY9" s="48" t="s">
        <v>299</v>
      </c>
      <c r="AZ9" s="48"/>
      <c r="BA9" s="43" t="str">
        <f>IF(IFERROR(INDEX(Consulta!$A:$DP,MATCH('MM01'!$B9,Consulta!$C:$C,0),'MM01'!BA$2),"")=0,"",IFERROR(INDEX(Consulta!$A:$DP,MATCH('MM01'!$B9,Consulta!$C:$C,0),'MM01'!BA$2),""))</f>
        <v/>
      </c>
      <c r="BB9" s="43" t="str">
        <f t="shared" si="5"/>
        <v/>
      </c>
      <c r="BC9" s="43" t="str">
        <f t="shared" si="6"/>
        <v/>
      </c>
      <c r="BD9" s="43" t="str">
        <f t="shared" si="7"/>
        <v/>
      </c>
      <c r="BE9" s="43" t="str">
        <f t="shared" si="8"/>
        <v>M</v>
      </c>
      <c r="BF9" s="43" t="str">
        <f t="shared" si="9"/>
        <v/>
      </c>
      <c r="BG9" s="43" t="str">
        <f t="shared" si="10"/>
        <v/>
      </c>
      <c r="BH9" s="43" t="str">
        <f t="shared" si="11"/>
        <v/>
      </c>
      <c r="BI9" s="43" t="str">
        <f t="shared" si="12"/>
        <v>M</v>
      </c>
      <c r="BK9" s="45" t="s">
        <v>324</v>
      </c>
      <c r="BL9" s="43" t="str">
        <f>IF(IFERROR(INDEX(Consulta!$A:$DP,MATCH('MM01'!$B9,Consulta!$C:$C,0),'MM01'!BL$2),"")=0,"",IFERROR(INDEX(Consulta!$A:$DP,MATCH('MM01'!$B9,Consulta!$C:$C,0),'MM01'!BL$2),""))</f>
        <v/>
      </c>
      <c r="BM9" s="45"/>
      <c r="BN9" s="46" t="str">
        <f t="shared" ca="1" si="13"/>
        <v/>
      </c>
      <c r="BO9" s="49" t="str">
        <f t="shared" si="14"/>
        <v/>
      </c>
      <c r="BP9" s="50">
        <v>1</v>
      </c>
      <c r="BQ9" s="50" t="s">
        <v>194</v>
      </c>
      <c r="BR9" s="79" t="str">
        <f t="shared" si="15"/>
        <v>01</v>
      </c>
      <c r="BS9" s="50" t="s">
        <v>795</v>
      </c>
      <c r="BT9" s="44">
        <v>1</v>
      </c>
      <c r="BU9" s="44" t="s">
        <v>371</v>
      </c>
      <c r="BV9" s="50" t="s">
        <v>197</v>
      </c>
      <c r="BW9" s="50" t="s">
        <v>197</v>
      </c>
      <c r="BX9" s="43" t="str">
        <f>IF(IFERROR(INDEX(Consulta!$A:$DP,MATCH('MM01'!$B9,Consulta!$C:$C,0),'MM01'!BX$2),"")=0,"",IFERROR(INDEX(Consulta!$A:$DP,MATCH('MM01'!$B9,Consulta!$C:$C,0),'MM01'!BX$2),""))</f>
        <v/>
      </c>
      <c r="BY9" s="44" t="s">
        <v>391</v>
      </c>
      <c r="BZ9" s="50">
        <v>0</v>
      </c>
      <c r="CA9" s="45" t="s">
        <v>402</v>
      </c>
      <c r="CB9" s="45" t="s">
        <v>84</v>
      </c>
      <c r="CC9" s="43" t="str">
        <f t="shared" si="16"/>
        <v/>
      </c>
      <c r="CD9" s="45" t="s">
        <v>38</v>
      </c>
      <c r="CE9" s="45">
        <v>1</v>
      </c>
      <c r="CF9" s="45" t="s">
        <v>495</v>
      </c>
      <c r="CG9" s="45"/>
      <c r="CH9" s="44">
        <v>2</v>
      </c>
      <c r="CI9" s="49" t="str">
        <f t="shared" si="17"/>
        <v/>
      </c>
      <c r="CJ9" s="49" t="str">
        <f t="shared" si="18"/>
        <v/>
      </c>
      <c r="CK9" s="45"/>
      <c r="CL9" s="44">
        <v>1</v>
      </c>
      <c r="CM9" s="50" t="s">
        <v>514</v>
      </c>
      <c r="CN9" s="44" t="s">
        <v>371</v>
      </c>
      <c r="CO9" s="44">
        <v>2</v>
      </c>
      <c r="CP9" s="44">
        <v>42</v>
      </c>
      <c r="CQ9" s="44">
        <v>10</v>
      </c>
      <c r="CR9" s="43" t="str">
        <f t="shared" si="19"/>
        <v>K00_P_</v>
      </c>
      <c r="CS9" s="45">
        <v>5000</v>
      </c>
      <c r="CT9" s="43" t="str">
        <f>IF(IFERROR(INDEX(Consulta!$A:$DP,MATCH('MM01'!$B9,Consulta!$C:$C,0),'MM01'!CT$2),"")=0,"",IFERROR(INDEX(Consulta!$A:$DP,MATCH('MM01'!$B9,Consulta!$C:$C,0),'MM01'!CT$2),""))</f>
        <v/>
      </c>
      <c r="CU9" s="43" t="str">
        <f>IF(IFERROR(INDEX(Consulta!$A:$DP,MATCH('MM01'!$B9,Consulta!$C:$C,0),'MM01'!CU$2),"")=0,"",IFERROR(INDEX(Consulta!$A:$DP,MATCH('MM01'!$B9,Consulta!$C:$C,0),'MM01'!CU$2),""))</f>
        <v/>
      </c>
      <c r="CV9" s="43" t="str">
        <f>IF(IFERROR(INDEX(Consulta!$A:$DP,MATCH('MM01'!$B9,Consulta!$C:$C,0),'MM01'!CV$2),"")=0,"",IFERROR(INDEX(Consulta!$A:$DP,MATCH('MM01'!$B9,Consulta!$C:$C,0),'MM01'!CV$2),""))</f>
        <v/>
      </c>
      <c r="CW9" s="43" t="str">
        <f>IF(IFERROR(INDEX(Consulta!$A:$DP,MATCH('MM01'!$B9,Consulta!$C:$C,0),'MM01'!CW$2),"")=0,"",IFERROR(INDEX(Consulta!$A:$DP,MATCH('MM01'!$B9,Consulta!$C:$C,0),'MM01'!CW$2),""))</f>
        <v/>
      </c>
      <c r="CX9" s="43" t="str">
        <f t="shared" si="20"/>
        <v/>
      </c>
      <c r="CY9" s="43" t="str">
        <f t="shared" si="21"/>
        <v/>
      </c>
      <c r="CZ9" s="43" t="str">
        <f t="shared" si="22"/>
        <v/>
      </c>
      <c r="DA9" s="43" t="str">
        <f>IF(IFERROR(INDEX(Consulta!$A:$DP,MATCH('MM01'!$B9,Consulta!$C:$C,0),'MM01'!DA$2),"")=0,"",IFERROR(INDEX(Consulta!$A:$DP,MATCH('MM01'!$B9,Consulta!$C:$C,0),'MM01'!DA$2),""))</f>
        <v/>
      </c>
      <c r="DB9" s="43" t="str">
        <f t="shared" si="23"/>
        <v/>
      </c>
      <c r="DC9" s="43" t="str">
        <f>IF(IFERROR(INDEX(Consulta!$A:$DP,MATCH('MM01'!$B9,Consulta!$C:$C,0),'MM01'!DC$2),"")=0,"",IFERROR(INDEX(Consulta!$A:$DP,MATCH('MM01'!$B9,Consulta!$C:$C,0),'MM01'!DC$2),""))</f>
        <v/>
      </c>
      <c r="DD9" s="45">
        <v>0</v>
      </c>
      <c r="DE9" s="45">
        <v>0</v>
      </c>
      <c r="DF9" s="43" t="str">
        <f t="shared" si="24"/>
        <v/>
      </c>
      <c r="DG9" s="43" t="str">
        <f t="shared" si="25"/>
        <v/>
      </c>
      <c r="DH9" s="57"/>
      <c r="DI9" s="43" t="str">
        <f t="shared" ca="1" si="26"/>
        <v/>
      </c>
      <c r="DJ9" s="43" t="str">
        <f t="shared" si="27"/>
        <v/>
      </c>
      <c r="DK9" s="43" t="str">
        <f t="shared" si="28"/>
        <v/>
      </c>
      <c r="DL9" s="57"/>
      <c r="DM9" s="43" t="str">
        <f t="shared" ca="1" si="29"/>
        <v/>
      </c>
      <c r="DN9" s="43" t="str">
        <f t="shared" si="30"/>
        <v/>
      </c>
      <c r="DO9" s="43" t="str">
        <f t="shared" si="31"/>
        <v/>
      </c>
      <c r="DP9" s="57"/>
      <c r="DQ9" s="43" t="str">
        <f t="shared" ca="1" si="32"/>
        <v/>
      </c>
      <c r="DR9" s="43" t="str">
        <f t="shared" si="33"/>
        <v/>
      </c>
      <c r="DS9" s="43" t="str">
        <f t="shared" si="34"/>
        <v/>
      </c>
      <c r="DT9" s="57"/>
      <c r="DU9" s="43" t="str">
        <f t="shared" ca="1" si="35"/>
        <v/>
      </c>
      <c r="DV9" s="43" t="str">
        <f t="shared" si="36"/>
        <v/>
      </c>
      <c r="DX9" s="44">
        <v>1</v>
      </c>
      <c r="DY9" s="44" t="s">
        <v>773</v>
      </c>
      <c r="DZ9" s="43">
        <f t="shared" si="37"/>
        <v>0.01</v>
      </c>
      <c r="EA9" s="43" t="str">
        <f t="shared" si="38"/>
        <v>M</v>
      </c>
      <c r="EB9" s="43" t="str">
        <f>IF(IFERROR(INDEX(Consulta!$A:$DP,MATCH('MM01'!$B9,Consulta!$C:$C,0),'MM01'!EB$2),"")=0,"7925",IF(IFERROR(INDEX(Consulta!$A:$DP,MATCH('MM01'!$B9,Consulta!$C:$C,0),'MM01'!EB$2),"")="68","7910","7925"))</f>
        <v>7925</v>
      </c>
      <c r="EC9" s="44">
        <v>100</v>
      </c>
      <c r="ED9" s="62">
        <v>1</v>
      </c>
      <c r="EE9" s="43">
        <f t="shared" si="39"/>
        <v>100</v>
      </c>
      <c r="EF9" s="44">
        <v>1</v>
      </c>
      <c r="EG9" s="44">
        <v>0</v>
      </c>
      <c r="EH9" s="44" t="s">
        <v>875</v>
      </c>
      <c r="EI9" s="45">
        <v>0</v>
      </c>
      <c r="EJ9" s="43">
        <f t="shared" si="40"/>
        <v>5000</v>
      </c>
      <c r="EK9" s="69"/>
    </row>
    <row r="10" spans="1:141" x14ac:dyDescent="0.2">
      <c r="A10" s="7" t="str">
        <f t="shared" si="0"/>
        <v>Execução 6</v>
      </c>
      <c r="B10" s="42"/>
      <c r="C10" s="43" t="str">
        <f>IF(IFERROR(INDEX(Consulta!$A:$DP,MATCH('MM01'!$B10,Consulta!$C:$C,0),'MM01'!C$2),"")=0,"",IFERROR(INDEX(Consulta!$A:$DP,MATCH('MM01'!$B10,Consulta!$C:$C,0),'MM01'!C$2),""))</f>
        <v/>
      </c>
      <c r="D10" s="43" t="str">
        <f>IF(IFERROR(INDEX(Consulta!$A:$DP,MATCH('MM01'!$B10,Consulta!$C:$C,0),'MM01'!D$2),"")=0,"",IFERROR(INDEX(Consulta!$A:$DP,MATCH('MM01'!$B10,Consulta!$C:$C,0),'MM01'!D$2),""))</f>
        <v/>
      </c>
      <c r="E10" s="43" t="str">
        <f>IF(IFERROR(INDEX(Consulta!$A:$DP,MATCH('MM01'!$B10,Consulta!$C:$C,0),'MM01'!E$2),"")=0,"",IFERROR(INDEX(Consulta!$A:$DP,MATCH('MM01'!$B10,Consulta!$C:$C,0),'MM01'!E$2),""))</f>
        <v/>
      </c>
      <c r="F10" s="44" t="s">
        <v>100</v>
      </c>
      <c r="G10" s="49" t="str">
        <f>IF(IFERROR(INDEX(Consulta!$A:$DP,MATCH('MM01'!$B10,Consulta!$C:$C,0),'MM01'!G$2),"")=0,"",IFERROR(INDEX(Consulta!$A:$DP,MATCH('MM01'!$B10,Consulta!$C:$C,0),'MM01'!G$2),""))</f>
        <v/>
      </c>
      <c r="H10" s="49" t="str">
        <f>IF(IFERROR(INDEX(Consulta!$A:$DP,MATCH('MM01'!$B10,Consulta!$C:$C,0),'MM01'!H$2),"")=0,"",IFERROR(INDEX(Consulta!$A:$DP,MATCH('MM01'!$B10,Consulta!$C:$C,0),'MM01'!H$2),""))</f>
        <v/>
      </c>
      <c r="I10" s="49" t="str">
        <f t="shared" si="1"/>
        <v/>
      </c>
      <c r="J10" s="49" t="str">
        <f>IF(IFERROR(INDEX(Consulta!$A:$DP,MATCH('MM01'!$B10,Consulta!$C:$C,0),'MM01'!J$2),"")=0,"",IFERROR(INDEX(Consulta!$A:$DP,MATCH('MM01'!$B10,Consulta!$C:$C,0),'MM01'!J$2),""))</f>
        <v/>
      </c>
      <c r="K10" s="49" t="str">
        <f t="shared" si="2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IF(IFERROR(INDEX(Consulta!$A:$DP,MATCH('MM01'!$B10,Consulta!$C:$C,0),'MM01'!AP$2),"")=0,"",IFERROR(INDEX(Consulta!$A:$DP,MATCH('MM01'!$B10,Consulta!$C:$C,0),'MM01'!AP$2),""))</f>
        <v/>
      </c>
      <c r="AQ10" s="45"/>
      <c r="AR10" s="43" t="str">
        <f>IF(IFERROR(INDEX(Consulta!$A:$DP,MATCH('MM01'!$B10,Consulta!$C:$C,0),'MM01'!AR$2),"")=0,"",IFERROR(INDEX(Consulta!$A:$DP,MATCH('MM01'!$B10,Consulta!$C:$C,0),'MM01'!AR$2),""))</f>
        <v/>
      </c>
      <c r="AS10" s="43" t="str">
        <f>IF(IFERROR(INDEX(Consulta!$A:$DP,MATCH('MM01'!$B10,Consulta!$C:$C,0),'MM01'!AS$2),"")=0,"",IF(AR10="68",5102,IFERROR(INDEX(Consulta!$A:$DP,MATCH('MM01'!$B10,Consulta!$C:$C,0),'MM01'!AS$2),"")))</f>
        <v/>
      </c>
      <c r="AT10" s="45"/>
      <c r="AU10" s="46" t="str">
        <f t="shared" ca="1" si="3"/>
        <v/>
      </c>
      <c r="AV10" s="47" t="s">
        <v>795</v>
      </c>
      <c r="AW10" s="43" t="str">
        <f>IF(IFERROR(INDEX(Consulta!$A:$DP,MATCH('MM01'!$B10,Consulta!$C:$C,0),'MM01'!AW$2),"")=0,"",IFERROR(ROUND(INDEX(Consulta!$A:$DP,MATCH('MM01'!$B10,Consulta!$C:$C,0),'MM01'!AW$2),3),""))</f>
        <v/>
      </c>
      <c r="AX10" s="43" t="str">
        <f t="shared" si="4"/>
        <v/>
      </c>
      <c r="AY10" s="48" t="s">
        <v>299</v>
      </c>
      <c r="AZ10" s="48"/>
      <c r="BA10" s="43" t="str">
        <f>IF(IFERROR(INDEX(Consulta!$A:$DP,MATCH('MM01'!$B10,Consulta!$C:$C,0),'MM01'!BA$2),"")=0,"",IFERROR(INDEX(Consulta!$A:$DP,MATCH('MM01'!$B10,Consulta!$C:$C,0),'MM01'!BA$2),""))</f>
        <v/>
      </c>
      <c r="BB10" s="43" t="str">
        <f t="shared" si="5"/>
        <v/>
      </c>
      <c r="BC10" s="43" t="str">
        <f t="shared" si="6"/>
        <v/>
      </c>
      <c r="BD10" s="43" t="str">
        <f t="shared" si="7"/>
        <v/>
      </c>
      <c r="BE10" s="43" t="str">
        <f t="shared" si="8"/>
        <v>M</v>
      </c>
      <c r="BF10" s="43" t="str">
        <f t="shared" si="9"/>
        <v/>
      </c>
      <c r="BG10" s="43" t="str">
        <f t="shared" si="10"/>
        <v/>
      </c>
      <c r="BH10" s="43" t="str">
        <f t="shared" si="11"/>
        <v/>
      </c>
      <c r="BI10" s="43" t="str">
        <f t="shared" si="12"/>
        <v>M</v>
      </c>
      <c r="BK10" s="45" t="s">
        <v>324</v>
      </c>
      <c r="BL10" s="43" t="str">
        <f>IF(IFERROR(INDEX(Consulta!$A:$DP,MATCH('MM01'!$B10,Consulta!$C:$C,0),'MM01'!BL$2),"")=0,"",IFERROR(INDEX(Consulta!$A:$DP,MATCH('MM01'!$B10,Consulta!$C:$C,0),'MM01'!BL$2),""))</f>
        <v/>
      </c>
      <c r="BM10" s="45"/>
      <c r="BN10" s="46" t="str">
        <f t="shared" ca="1" si="13"/>
        <v/>
      </c>
      <c r="BO10" s="49" t="str">
        <f t="shared" si="14"/>
        <v/>
      </c>
      <c r="BP10" s="50">
        <v>1</v>
      </c>
      <c r="BQ10" s="50" t="s">
        <v>194</v>
      </c>
      <c r="BR10" s="79" t="str">
        <f t="shared" si="15"/>
        <v>01</v>
      </c>
      <c r="BS10" s="50" t="s">
        <v>795</v>
      </c>
      <c r="BT10" s="44">
        <v>1</v>
      </c>
      <c r="BU10" s="44" t="s">
        <v>371</v>
      </c>
      <c r="BV10" s="50" t="s">
        <v>197</v>
      </c>
      <c r="BW10" s="50" t="s">
        <v>197</v>
      </c>
      <c r="BX10" s="43" t="str">
        <f>IF(IFERROR(INDEX(Consulta!$A:$DP,MATCH('MM01'!$B10,Consulta!$C:$C,0),'MM01'!BX$2),"")=0,"",IFERROR(INDEX(Consulta!$A:$DP,MATCH('MM01'!$B10,Consulta!$C:$C,0),'MM01'!BX$2),""))</f>
        <v/>
      </c>
      <c r="BY10" s="44" t="s">
        <v>391</v>
      </c>
      <c r="BZ10" s="50">
        <v>0</v>
      </c>
      <c r="CA10" s="45" t="s">
        <v>402</v>
      </c>
      <c r="CB10" s="45" t="s">
        <v>84</v>
      </c>
      <c r="CC10" s="43" t="str">
        <f t="shared" si="16"/>
        <v/>
      </c>
      <c r="CD10" s="45" t="s">
        <v>38</v>
      </c>
      <c r="CE10" s="45">
        <v>1</v>
      </c>
      <c r="CF10" s="45" t="s">
        <v>495</v>
      </c>
      <c r="CG10" s="45"/>
      <c r="CH10" s="44">
        <v>2</v>
      </c>
      <c r="CI10" s="49" t="str">
        <f t="shared" si="17"/>
        <v/>
      </c>
      <c r="CJ10" s="49" t="str">
        <f t="shared" si="18"/>
        <v/>
      </c>
      <c r="CK10" s="45"/>
      <c r="CL10" s="44">
        <v>1</v>
      </c>
      <c r="CM10" s="50" t="s">
        <v>514</v>
      </c>
      <c r="CN10" s="44" t="s">
        <v>371</v>
      </c>
      <c r="CO10" s="44">
        <v>2</v>
      </c>
      <c r="CP10" s="44">
        <v>42</v>
      </c>
      <c r="CQ10" s="44">
        <v>10</v>
      </c>
      <c r="CR10" s="43" t="str">
        <f t="shared" si="19"/>
        <v>K00_P_</v>
      </c>
      <c r="CS10" s="45">
        <v>5000</v>
      </c>
      <c r="CT10" s="43" t="str">
        <f>IF(IFERROR(INDEX(Consulta!$A:$DP,MATCH('MM01'!$B10,Consulta!$C:$C,0),'MM01'!CT$2),"")=0,"",IFERROR(INDEX(Consulta!$A:$DP,MATCH('MM01'!$B10,Consulta!$C:$C,0),'MM01'!CT$2),""))</f>
        <v/>
      </c>
      <c r="CU10" s="43" t="str">
        <f>IF(IFERROR(INDEX(Consulta!$A:$DP,MATCH('MM01'!$B10,Consulta!$C:$C,0),'MM01'!CU$2),"")=0,"",IFERROR(INDEX(Consulta!$A:$DP,MATCH('MM01'!$B10,Consulta!$C:$C,0),'MM01'!CU$2),""))</f>
        <v/>
      </c>
      <c r="CV10" s="43" t="str">
        <f>IF(IFERROR(INDEX(Consulta!$A:$DP,MATCH('MM01'!$B10,Consulta!$C:$C,0),'MM01'!CV$2),"")=0,"",IFERROR(INDEX(Consulta!$A:$DP,MATCH('MM01'!$B10,Consulta!$C:$C,0),'MM01'!CV$2),""))</f>
        <v/>
      </c>
      <c r="CW10" s="43" t="str">
        <f>IF(IFERROR(INDEX(Consulta!$A:$DP,MATCH('MM01'!$B10,Consulta!$C:$C,0),'MM01'!CW$2),"")=0,"",IFERROR(INDEX(Consulta!$A:$DP,MATCH('MM01'!$B10,Consulta!$C:$C,0),'MM01'!CW$2),""))</f>
        <v/>
      </c>
      <c r="CX10" s="43" t="str">
        <f t="shared" si="20"/>
        <v/>
      </c>
      <c r="CY10" s="43" t="str">
        <f t="shared" si="21"/>
        <v/>
      </c>
      <c r="CZ10" s="43" t="str">
        <f t="shared" si="22"/>
        <v/>
      </c>
      <c r="DA10" s="43" t="str">
        <f>IF(IFERROR(INDEX(Consulta!$A:$DP,MATCH('MM01'!$B10,Consulta!$C:$C,0),'MM01'!DA$2),"")=0,"",IFERROR(INDEX(Consulta!$A:$DP,MATCH('MM01'!$B10,Consulta!$C:$C,0),'MM01'!DA$2),""))</f>
        <v/>
      </c>
      <c r="DB10" s="43" t="str">
        <f t="shared" si="23"/>
        <v/>
      </c>
      <c r="DC10" s="43" t="str">
        <f>IF(IFERROR(INDEX(Consulta!$A:$DP,MATCH('MM01'!$B10,Consulta!$C:$C,0),'MM01'!DC$2),"")=0,"",IFERROR(INDEX(Consulta!$A:$DP,MATCH('MM01'!$B10,Consulta!$C:$C,0),'MM01'!DC$2),""))</f>
        <v/>
      </c>
      <c r="DD10" s="45">
        <v>0</v>
      </c>
      <c r="DE10" s="45">
        <v>0</v>
      </c>
      <c r="DF10" s="43" t="str">
        <f t="shared" si="24"/>
        <v/>
      </c>
      <c r="DG10" s="43" t="str">
        <f t="shared" si="25"/>
        <v/>
      </c>
      <c r="DH10" s="57"/>
      <c r="DI10" s="43" t="str">
        <f t="shared" ca="1" si="26"/>
        <v/>
      </c>
      <c r="DJ10" s="43" t="str">
        <f t="shared" si="27"/>
        <v/>
      </c>
      <c r="DK10" s="43" t="str">
        <f t="shared" si="28"/>
        <v/>
      </c>
      <c r="DL10" s="57"/>
      <c r="DM10" s="43" t="str">
        <f t="shared" ca="1" si="29"/>
        <v/>
      </c>
      <c r="DN10" s="43" t="str">
        <f t="shared" si="30"/>
        <v/>
      </c>
      <c r="DO10" s="43" t="str">
        <f t="shared" si="31"/>
        <v/>
      </c>
      <c r="DP10" s="57"/>
      <c r="DQ10" s="43" t="str">
        <f t="shared" ca="1" si="32"/>
        <v/>
      </c>
      <c r="DR10" s="43" t="str">
        <f t="shared" si="33"/>
        <v/>
      </c>
      <c r="DS10" s="43" t="str">
        <f t="shared" si="34"/>
        <v/>
      </c>
      <c r="DT10" s="57"/>
      <c r="DU10" s="43" t="str">
        <f t="shared" ca="1" si="35"/>
        <v/>
      </c>
      <c r="DV10" s="43" t="str">
        <f t="shared" si="36"/>
        <v/>
      </c>
      <c r="DX10" s="44">
        <v>1</v>
      </c>
      <c r="DY10" s="44" t="s">
        <v>773</v>
      </c>
      <c r="DZ10" s="43">
        <f t="shared" si="37"/>
        <v>0.01</v>
      </c>
      <c r="EA10" s="43" t="str">
        <f t="shared" si="38"/>
        <v>M</v>
      </c>
      <c r="EB10" s="43" t="str">
        <f>IF(IFERROR(INDEX(Consulta!$A:$DP,MATCH('MM01'!$B10,Consulta!$C:$C,0),'MM01'!EB$2),"")=0,"7925",IF(IFERROR(INDEX(Consulta!$A:$DP,MATCH('MM01'!$B10,Consulta!$C:$C,0),'MM01'!EB$2),"")="68","7910","7925"))</f>
        <v>7925</v>
      </c>
      <c r="EC10" s="44">
        <v>100</v>
      </c>
      <c r="ED10" s="62">
        <v>1</v>
      </c>
      <c r="EE10" s="43">
        <f t="shared" si="39"/>
        <v>100</v>
      </c>
      <c r="EF10" s="44">
        <v>1</v>
      </c>
      <c r="EG10" s="44">
        <v>0</v>
      </c>
      <c r="EH10" s="44" t="s">
        <v>875</v>
      </c>
      <c r="EI10" s="45">
        <v>0</v>
      </c>
      <c r="EJ10" s="43">
        <f t="shared" si="40"/>
        <v>5000</v>
      </c>
      <c r="EK10" s="69"/>
    </row>
    <row r="11" spans="1:141" x14ac:dyDescent="0.2">
      <c r="A11" s="7" t="str">
        <f t="shared" si="0"/>
        <v>Execução 7</v>
      </c>
      <c r="B11" s="42"/>
      <c r="C11" s="43" t="str">
        <f>IF(IFERROR(INDEX(Consulta!$A:$DP,MATCH('MM01'!$B11,Consulta!$C:$C,0),'MM01'!C$2),"")=0,"",IFERROR(INDEX(Consulta!$A:$DP,MATCH('MM01'!$B11,Consulta!$C:$C,0),'MM01'!C$2),""))</f>
        <v/>
      </c>
      <c r="D11" s="43" t="str">
        <f>IF(IFERROR(INDEX(Consulta!$A:$DP,MATCH('MM01'!$B11,Consulta!$C:$C,0),'MM01'!D$2),"")=0,"",IFERROR(INDEX(Consulta!$A:$DP,MATCH('MM01'!$B11,Consulta!$C:$C,0),'MM01'!D$2),""))</f>
        <v/>
      </c>
      <c r="E11" s="43" t="str">
        <f>IF(IFERROR(INDEX(Consulta!$A:$DP,MATCH('MM01'!$B11,Consulta!$C:$C,0),'MM01'!E$2),"")=0,"",IFERROR(INDEX(Consulta!$A:$DP,MATCH('MM01'!$B11,Consulta!$C:$C,0),'MM01'!E$2),""))</f>
        <v/>
      </c>
      <c r="F11" s="44" t="s">
        <v>100</v>
      </c>
      <c r="G11" s="49" t="str">
        <f>IF(IFERROR(INDEX(Consulta!$A:$DP,MATCH('MM01'!$B11,Consulta!$C:$C,0),'MM01'!G$2),"")=0,"",IFERROR(INDEX(Consulta!$A:$DP,MATCH('MM01'!$B11,Consulta!$C:$C,0),'MM01'!G$2),""))</f>
        <v/>
      </c>
      <c r="H11" s="49" t="str">
        <f>IF(IFERROR(INDEX(Consulta!$A:$DP,MATCH('MM01'!$B11,Consulta!$C:$C,0),'MM01'!H$2),"")=0,"",IFERROR(INDEX(Consulta!$A:$DP,MATCH('MM01'!$B11,Consulta!$C:$C,0),'MM01'!H$2),""))</f>
        <v/>
      </c>
      <c r="I11" s="49" t="str">
        <f t="shared" si="1"/>
        <v/>
      </c>
      <c r="J11" s="49" t="str">
        <f>IF(IFERROR(INDEX(Consulta!$A:$DP,MATCH('MM01'!$B11,Consulta!$C:$C,0),'MM01'!J$2),"")=0,"",IFERROR(INDEX(Consulta!$A:$DP,MATCH('MM01'!$B11,Consulta!$C:$C,0),'MM01'!J$2),""))</f>
        <v/>
      </c>
      <c r="K11" s="49" t="str">
        <f t="shared" si="2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IF(IFERROR(INDEX(Consulta!$A:$DP,MATCH('MM01'!$B11,Consulta!$C:$C,0),'MM01'!AP$2),"")=0,"",IFERROR(INDEX(Consulta!$A:$DP,MATCH('MM01'!$B11,Consulta!$C:$C,0),'MM01'!AP$2),""))</f>
        <v/>
      </c>
      <c r="AQ11" s="45"/>
      <c r="AR11" s="43" t="str">
        <f>IF(IFERROR(INDEX(Consulta!$A:$DP,MATCH('MM01'!$B11,Consulta!$C:$C,0),'MM01'!AR$2),"")=0,"",IFERROR(INDEX(Consulta!$A:$DP,MATCH('MM01'!$B11,Consulta!$C:$C,0),'MM01'!AR$2),""))</f>
        <v/>
      </c>
      <c r="AS11" s="43" t="str">
        <f>IF(IFERROR(INDEX(Consulta!$A:$DP,MATCH('MM01'!$B11,Consulta!$C:$C,0),'MM01'!AS$2),"")=0,"",IF(AR11="68",5102,IFERROR(INDEX(Consulta!$A:$DP,MATCH('MM01'!$B11,Consulta!$C:$C,0),'MM01'!AS$2),"")))</f>
        <v/>
      </c>
      <c r="AT11" s="45"/>
      <c r="AU11" s="46" t="str">
        <f t="shared" ca="1" si="3"/>
        <v/>
      </c>
      <c r="AV11" s="47" t="s">
        <v>795</v>
      </c>
      <c r="AW11" s="43" t="str">
        <f>IF(IFERROR(INDEX(Consulta!$A:$DP,MATCH('MM01'!$B11,Consulta!$C:$C,0),'MM01'!AW$2),"")=0,"",IFERROR(ROUND(INDEX(Consulta!$A:$DP,MATCH('MM01'!$B11,Consulta!$C:$C,0),'MM01'!AW$2),3),""))</f>
        <v/>
      </c>
      <c r="AX11" s="43" t="str">
        <f t="shared" si="4"/>
        <v/>
      </c>
      <c r="AY11" s="48" t="s">
        <v>299</v>
      </c>
      <c r="AZ11" s="48"/>
      <c r="BA11" s="43" t="str">
        <f>IF(IFERROR(INDEX(Consulta!$A:$DP,MATCH('MM01'!$B11,Consulta!$C:$C,0),'MM01'!BA$2),"")=0,"",IFERROR(INDEX(Consulta!$A:$DP,MATCH('MM01'!$B11,Consulta!$C:$C,0),'MM01'!BA$2),""))</f>
        <v/>
      </c>
      <c r="BB11" s="43" t="str">
        <f t="shared" si="5"/>
        <v/>
      </c>
      <c r="BC11" s="43" t="str">
        <f t="shared" si="6"/>
        <v/>
      </c>
      <c r="BD11" s="43" t="str">
        <f t="shared" si="7"/>
        <v/>
      </c>
      <c r="BE11" s="43" t="str">
        <f t="shared" si="8"/>
        <v>M</v>
      </c>
      <c r="BF11" s="43" t="str">
        <f t="shared" si="9"/>
        <v/>
      </c>
      <c r="BG11" s="43" t="str">
        <f t="shared" si="10"/>
        <v/>
      </c>
      <c r="BH11" s="43" t="str">
        <f t="shared" si="11"/>
        <v/>
      </c>
      <c r="BI11" s="43" t="str">
        <f t="shared" si="12"/>
        <v>M</v>
      </c>
      <c r="BK11" s="45" t="s">
        <v>324</v>
      </c>
      <c r="BL11" s="43" t="str">
        <f>IF(IFERROR(INDEX(Consulta!$A:$DP,MATCH('MM01'!$B11,Consulta!$C:$C,0),'MM01'!BL$2),"")=0,"",IFERROR(INDEX(Consulta!$A:$DP,MATCH('MM01'!$B11,Consulta!$C:$C,0),'MM01'!BL$2),""))</f>
        <v/>
      </c>
      <c r="BM11" s="45"/>
      <c r="BN11" s="46" t="str">
        <f t="shared" ca="1" si="13"/>
        <v/>
      </c>
      <c r="BO11" s="49" t="str">
        <f t="shared" si="14"/>
        <v/>
      </c>
      <c r="BP11" s="50">
        <v>1</v>
      </c>
      <c r="BQ11" s="50" t="s">
        <v>194</v>
      </c>
      <c r="BR11" s="79" t="str">
        <f t="shared" si="15"/>
        <v>01</v>
      </c>
      <c r="BS11" s="50" t="s">
        <v>795</v>
      </c>
      <c r="BT11" s="44">
        <v>1</v>
      </c>
      <c r="BU11" s="44" t="s">
        <v>371</v>
      </c>
      <c r="BV11" s="50" t="s">
        <v>197</v>
      </c>
      <c r="BW11" s="50" t="s">
        <v>197</v>
      </c>
      <c r="BX11" s="43" t="str">
        <f>IF(IFERROR(INDEX(Consulta!$A:$DP,MATCH('MM01'!$B11,Consulta!$C:$C,0),'MM01'!BX$2),"")=0,"",IFERROR(INDEX(Consulta!$A:$DP,MATCH('MM01'!$B11,Consulta!$C:$C,0),'MM01'!BX$2),""))</f>
        <v/>
      </c>
      <c r="BY11" s="44" t="s">
        <v>391</v>
      </c>
      <c r="BZ11" s="50">
        <v>0</v>
      </c>
      <c r="CA11" s="45" t="s">
        <v>402</v>
      </c>
      <c r="CB11" s="45" t="s">
        <v>84</v>
      </c>
      <c r="CC11" s="43" t="str">
        <f t="shared" si="16"/>
        <v/>
      </c>
      <c r="CD11" s="45" t="s">
        <v>38</v>
      </c>
      <c r="CE11" s="45">
        <v>1</v>
      </c>
      <c r="CF11" s="45" t="s">
        <v>495</v>
      </c>
      <c r="CG11" s="45"/>
      <c r="CH11" s="44">
        <v>2</v>
      </c>
      <c r="CI11" s="49" t="str">
        <f t="shared" si="17"/>
        <v/>
      </c>
      <c r="CJ11" s="49" t="str">
        <f t="shared" si="18"/>
        <v/>
      </c>
      <c r="CK11" s="45"/>
      <c r="CL11" s="44">
        <v>1</v>
      </c>
      <c r="CM11" s="50" t="s">
        <v>514</v>
      </c>
      <c r="CN11" s="44" t="s">
        <v>371</v>
      </c>
      <c r="CO11" s="44">
        <v>2</v>
      </c>
      <c r="CP11" s="44">
        <v>42</v>
      </c>
      <c r="CQ11" s="44">
        <v>10</v>
      </c>
      <c r="CR11" s="43" t="str">
        <f t="shared" si="19"/>
        <v>K00_P_</v>
      </c>
      <c r="CS11" s="45">
        <v>5000</v>
      </c>
      <c r="CT11" s="43" t="str">
        <f>IF(IFERROR(INDEX(Consulta!$A:$DP,MATCH('MM01'!$B11,Consulta!$C:$C,0),'MM01'!CT$2),"")=0,"",IFERROR(INDEX(Consulta!$A:$DP,MATCH('MM01'!$B11,Consulta!$C:$C,0),'MM01'!CT$2),""))</f>
        <v/>
      </c>
      <c r="CU11" s="43" t="str">
        <f>IF(IFERROR(INDEX(Consulta!$A:$DP,MATCH('MM01'!$B11,Consulta!$C:$C,0),'MM01'!CU$2),"")=0,"",IFERROR(INDEX(Consulta!$A:$DP,MATCH('MM01'!$B11,Consulta!$C:$C,0),'MM01'!CU$2),""))</f>
        <v/>
      </c>
      <c r="CV11" s="43" t="str">
        <f>IF(IFERROR(INDEX(Consulta!$A:$DP,MATCH('MM01'!$B11,Consulta!$C:$C,0),'MM01'!CV$2),"")=0,"",IFERROR(INDEX(Consulta!$A:$DP,MATCH('MM01'!$B11,Consulta!$C:$C,0),'MM01'!CV$2),""))</f>
        <v/>
      </c>
      <c r="CW11" s="43" t="str">
        <f>IF(IFERROR(INDEX(Consulta!$A:$DP,MATCH('MM01'!$B11,Consulta!$C:$C,0),'MM01'!CW$2),"")=0,"",IFERROR(INDEX(Consulta!$A:$DP,MATCH('MM01'!$B11,Consulta!$C:$C,0),'MM01'!CW$2),""))</f>
        <v/>
      </c>
      <c r="CX11" s="43" t="str">
        <f t="shared" si="20"/>
        <v/>
      </c>
      <c r="CY11" s="43" t="str">
        <f t="shared" si="21"/>
        <v/>
      </c>
      <c r="CZ11" s="43" t="str">
        <f t="shared" si="22"/>
        <v/>
      </c>
      <c r="DA11" s="43" t="str">
        <f>IF(IFERROR(INDEX(Consulta!$A:$DP,MATCH('MM01'!$B11,Consulta!$C:$C,0),'MM01'!DA$2),"")=0,"",IFERROR(INDEX(Consulta!$A:$DP,MATCH('MM01'!$B11,Consulta!$C:$C,0),'MM01'!DA$2),""))</f>
        <v/>
      </c>
      <c r="DB11" s="43" t="str">
        <f t="shared" si="23"/>
        <v/>
      </c>
      <c r="DC11" s="43" t="str">
        <f>IF(IFERROR(INDEX(Consulta!$A:$DP,MATCH('MM01'!$B11,Consulta!$C:$C,0),'MM01'!DC$2),"")=0,"",IFERROR(INDEX(Consulta!$A:$DP,MATCH('MM01'!$B11,Consulta!$C:$C,0),'MM01'!DC$2),""))</f>
        <v/>
      </c>
      <c r="DD11" s="45">
        <v>0</v>
      </c>
      <c r="DE11" s="45">
        <v>0</v>
      </c>
      <c r="DF11" s="43" t="str">
        <f t="shared" si="24"/>
        <v/>
      </c>
      <c r="DG11" s="43" t="str">
        <f t="shared" si="25"/>
        <v/>
      </c>
      <c r="DH11" s="57"/>
      <c r="DI11" s="43" t="str">
        <f t="shared" ca="1" si="26"/>
        <v/>
      </c>
      <c r="DJ11" s="43" t="str">
        <f t="shared" si="27"/>
        <v/>
      </c>
      <c r="DK11" s="43" t="str">
        <f t="shared" si="28"/>
        <v/>
      </c>
      <c r="DL11" s="57"/>
      <c r="DM11" s="43" t="str">
        <f t="shared" ca="1" si="29"/>
        <v/>
      </c>
      <c r="DN11" s="43" t="str">
        <f t="shared" si="30"/>
        <v/>
      </c>
      <c r="DO11" s="43" t="str">
        <f t="shared" si="31"/>
        <v/>
      </c>
      <c r="DP11" s="57"/>
      <c r="DQ11" s="43" t="str">
        <f t="shared" ca="1" si="32"/>
        <v/>
      </c>
      <c r="DR11" s="43" t="str">
        <f t="shared" si="33"/>
        <v/>
      </c>
      <c r="DS11" s="43" t="str">
        <f t="shared" si="34"/>
        <v/>
      </c>
      <c r="DT11" s="57"/>
      <c r="DU11" s="43" t="str">
        <f t="shared" ca="1" si="35"/>
        <v/>
      </c>
      <c r="DV11" s="43" t="str">
        <f t="shared" si="36"/>
        <v/>
      </c>
      <c r="DX11" s="44">
        <v>1</v>
      </c>
      <c r="DY11" s="44" t="s">
        <v>773</v>
      </c>
      <c r="DZ11" s="43">
        <f t="shared" si="37"/>
        <v>0.01</v>
      </c>
      <c r="EA11" s="43" t="str">
        <f t="shared" si="38"/>
        <v>M</v>
      </c>
      <c r="EB11" s="43" t="str">
        <f>IF(IFERROR(INDEX(Consulta!$A:$DP,MATCH('MM01'!$B11,Consulta!$C:$C,0),'MM01'!EB$2),"")=0,"7925",IF(IFERROR(INDEX(Consulta!$A:$DP,MATCH('MM01'!$B11,Consulta!$C:$C,0),'MM01'!EB$2),"")="68","7910","7925"))</f>
        <v>7925</v>
      </c>
      <c r="EC11" s="44">
        <v>100</v>
      </c>
      <c r="ED11" s="62">
        <v>1</v>
      </c>
      <c r="EE11" s="43">
        <f t="shared" si="39"/>
        <v>100</v>
      </c>
      <c r="EF11" s="44">
        <v>1</v>
      </c>
      <c r="EG11" s="44">
        <v>0</v>
      </c>
      <c r="EH11" s="44" t="s">
        <v>875</v>
      </c>
      <c r="EI11" s="45">
        <v>0</v>
      </c>
      <c r="EJ11" s="43">
        <f t="shared" si="40"/>
        <v>5000</v>
      </c>
      <c r="EK11" s="69"/>
    </row>
    <row r="12" spans="1:141" x14ac:dyDescent="0.2">
      <c r="A12" s="7" t="str">
        <f t="shared" si="0"/>
        <v>Execução 8</v>
      </c>
      <c r="B12" s="42"/>
      <c r="C12" s="43" t="str">
        <f>IF(IFERROR(INDEX(Consulta!$A:$DP,MATCH('MM01'!$B12,Consulta!$C:$C,0),'MM01'!C$2),"")=0,"",IFERROR(INDEX(Consulta!$A:$DP,MATCH('MM01'!$B12,Consulta!$C:$C,0),'MM01'!C$2),""))</f>
        <v/>
      </c>
      <c r="D12" s="43" t="str">
        <f>IF(IFERROR(INDEX(Consulta!$A:$DP,MATCH('MM01'!$B12,Consulta!$C:$C,0),'MM01'!D$2),"")=0,"",IFERROR(INDEX(Consulta!$A:$DP,MATCH('MM01'!$B12,Consulta!$C:$C,0),'MM01'!D$2),""))</f>
        <v/>
      </c>
      <c r="E12" s="43" t="str">
        <f>IF(IFERROR(INDEX(Consulta!$A:$DP,MATCH('MM01'!$B12,Consulta!$C:$C,0),'MM01'!E$2),"")=0,"",IFERROR(INDEX(Consulta!$A:$DP,MATCH('MM01'!$B12,Consulta!$C:$C,0),'MM01'!E$2),""))</f>
        <v/>
      </c>
      <c r="F12" s="44" t="s">
        <v>100</v>
      </c>
      <c r="G12" s="49" t="str">
        <f>IF(IFERROR(INDEX(Consulta!$A:$DP,MATCH('MM01'!$B12,Consulta!$C:$C,0),'MM01'!G$2),"")=0,"",IFERROR(INDEX(Consulta!$A:$DP,MATCH('MM01'!$B12,Consulta!$C:$C,0),'MM01'!G$2),""))</f>
        <v/>
      </c>
      <c r="H12" s="49" t="str">
        <f>IF(IFERROR(INDEX(Consulta!$A:$DP,MATCH('MM01'!$B12,Consulta!$C:$C,0),'MM01'!H$2),"")=0,"",IFERROR(INDEX(Consulta!$A:$DP,MATCH('MM01'!$B12,Consulta!$C:$C,0),'MM01'!H$2),""))</f>
        <v/>
      </c>
      <c r="I12" s="49" t="str">
        <f t="shared" si="1"/>
        <v/>
      </c>
      <c r="J12" s="49" t="str">
        <f>IF(IFERROR(INDEX(Consulta!$A:$DP,MATCH('MM01'!$B12,Consulta!$C:$C,0),'MM01'!J$2),"")=0,"",IFERROR(INDEX(Consulta!$A:$DP,MATCH('MM01'!$B12,Consulta!$C:$C,0),'MM01'!J$2),""))</f>
        <v/>
      </c>
      <c r="K12" s="49" t="str">
        <f t="shared" si="2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IF(IFERROR(INDEX(Consulta!$A:$DP,MATCH('MM01'!$B12,Consulta!$C:$C,0),'MM01'!AP$2),"")=0,"",IFERROR(INDEX(Consulta!$A:$DP,MATCH('MM01'!$B12,Consulta!$C:$C,0),'MM01'!AP$2),""))</f>
        <v/>
      </c>
      <c r="AQ12" s="45"/>
      <c r="AR12" s="43" t="str">
        <f>IF(IFERROR(INDEX(Consulta!$A:$DP,MATCH('MM01'!$B12,Consulta!$C:$C,0),'MM01'!AR$2),"")=0,"",IFERROR(INDEX(Consulta!$A:$DP,MATCH('MM01'!$B12,Consulta!$C:$C,0),'MM01'!AR$2),""))</f>
        <v/>
      </c>
      <c r="AS12" s="43" t="str">
        <f>IF(IFERROR(INDEX(Consulta!$A:$DP,MATCH('MM01'!$B12,Consulta!$C:$C,0),'MM01'!AS$2),"")=0,"",IF(AR12="68",5102,IFERROR(INDEX(Consulta!$A:$DP,MATCH('MM01'!$B12,Consulta!$C:$C,0),'MM01'!AS$2),"")))</f>
        <v/>
      </c>
      <c r="AT12" s="45"/>
      <c r="AU12" s="46" t="str">
        <f t="shared" ca="1" si="3"/>
        <v/>
      </c>
      <c r="AV12" s="47" t="s">
        <v>795</v>
      </c>
      <c r="AW12" s="43" t="str">
        <f>IF(IFERROR(INDEX(Consulta!$A:$DP,MATCH('MM01'!$B12,Consulta!$C:$C,0),'MM01'!AW$2),"")=0,"",IFERROR(ROUND(INDEX(Consulta!$A:$DP,MATCH('MM01'!$B12,Consulta!$C:$C,0),'MM01'!AW$2),3),""))</f>
        <v/>
      </c>
      <c r="AX12" s="43" t="str">
        <f t="shared" si="4"/>
        <v/>
      </c>
      <c r="AY12" s="48" t="s">
        <v>299</v>
      </c>
      <c r="AZ12" s="48"/>
      <c r="BA12" s="43" t="str">
        <f>IF(IFERROR(INDEX(Consulta!$A:$DP,MATCH('MM01'!$B12,Consulta!$C:$C,0),'MM01'!BA$2),"")=0,"",IFERROR(INDEX(Consulta!$A:$DP,MATCH('MM01'!$B12,Consulta!$C:$C,0),'MM01'!BA$2),""))</f>
        <v/>
      </c>
      <c r="BB12" s="43" t="str">
        <f t="shared" si="5"/>
        <v/>
      </c>
      <c r="BC12" s="43" t="str">
        <f t="shared" si="6"/>
        <v/>
      </c>
      <c r="BD12" s="43" t="str">
        <f t="shared" si="7"/>
        <v/>
      </c>
      <c r="BE12" s="43" t="str">
        <f t="shared" si="8"/>
        <v>M</v>
      </c>
      <c r="BF12" s="43" t="str">
        <f t="shared" si="9"/>
        <v/>
      </c>
      <c r="BG12" s="43" t="str">
        <f t="shared" si="10"/>
        <v/>
      </c>
      <c r="BH12" s="43" t="str">
        <f t="shared" si="11"/>
        <v/>
      </c>
      <c r="BI12" s="43" t="str">
        <f t="shared" si="12"/>
        <v>M</v>
      </c>
      <c r="BK12" s="45" t="s">
        <v>324</v>
      </c>
      <c r="BL12" s="43" t="str">
        <f>IF(IFERROR(INDEX(Consulta!$A:$DP,MATCH('MM01'!$B12,Consulta!$C:$C,0),'MM01'!BL$2),"")=0,"",IFERROR(INDEX(Consulta!$A:$DP,MATCH('MM01'!$B12,Consulta!$C:$C,0),'MM01'!BL$2),""))</f>
        <v/>
      </c>
      <c r="BM12" s="45"/>
      <c r="BN12" s="46" t="str">
        <f t="shared" ca="1" si="13"/>
        <v/>
      </c>
      <c r="BO12" s="49" t="str">
        <f t="shared" si="14"/>
        <v/>
      </c>
      <c r="BP12" s="50">
        <v>1</v>
      </c>
      <c r="BQ12" s="50" t="s">
        <v>194</v>
      </c>
      <c r="BR12" s="79" t="str">
        <f t="shared" si="15"/>
        <v>01</v>
      </c>
      <c r="BS12" s="50" t="s">
        <v>795</v>
      </c>
      <c r="BT12" s="44">
        <v>1</v>
      </c>
      <c r="BU12" s="44" t="s">
        <v>371</v>
      </c>
      <c r="BV12" s="50" t="s">
        <v>197</v>
      </c>
      <c r="BW12" s="50" t="s">
        <v>197</v>
      </c>
      <c r="BX12" s="43" t="str">
        <f>IF(IFERROR(INDEX(Consulta!$A:$DP,MATCH('MM01'!$B12,Consulta!$C:$C,0),'MM01'!BX$2),"")=0,"",IFERROR(INDEX(Consulta!$A:$DP,MATCH('MM01'!$B12,Consulta!$C:$C,0),'MM01'!BX$2),""))</f>
        <v/>
      </c>
      <c r="BY12" s="44" t="s">
        <v>391</v>
      </c>
      <c r="BZ12" s="50">
        <v>0</v>
      </c>
      <c r="CA12" s="45" t="s">
        <v>402</v>
      </c>
      <c r="CB12" s="45" t="s">
        <v>84</v>
      </c>
      <c r="CC12" s="43" t="str">
        <f t="shared" si="16"/>
        <v/>
      </c>
      <c r="CD12" s="45" t="s">
        <v>38</v>
      </c>
      <c r="CE12" s="45">
        <v>1</v>
      </c>
      <c r="CF12" s="45" t="s">
        <v>495</v>
      </c>
      <c r="CG12" s="45"/>
      <c r="CH12" s="44">
        <v>2</v>
      </c>
      <c r="CI12" s="49" t="str">
        <f t="shared" si="17"/>
        <v/>
      </c>
      <c r="CJ12" s="49" t="str">
        <f t="shared" si="18"/>
        <v/>
      </c>
      <c r="CK12" s="45"/>
      <c r="CL12" s="44">
        <v>1</v>
      </c>
      <c r="CM12" s="50" t="s">
        <v>514</v>
      </c>
      <c r="CN12" s="44" t="s">
        <v>371</v>
      </c>
      <c r="CO12" s="44">
        <v>2</v>
      </c>
      <c r="CP12" s="44">
        <v>42</v>
      </c>
      <c r="CQ12" s="44">
        <v>10</v>
      </c>
      <c r="CR12" s="43" t="str">
        <f t="shared" si="19"/>
        <v>K00_P_</v>
      </c>
      <c r="CS12" s="45">
        <v>5000</v>
      </c>
      <c r="CT12" s="43" t="str">
        <f>IF(IFERROR(INDEX(Consulta!$A:$DP,MATCH('MM01'!$B12,Consulta!$C:$C,0),'MM01'!CT$2),"")=0,"",IFERROR(INDEX(Consulta!$A:$DP,MATCH('MM01'!$B12,Consulta!$C:$C,0),'MM01'!CT$2),""))</f>
        <v/>
      </c>
      <c r="CU12" s="43" t="str">
        <f>IF(IFERROR(INDEX(Consulta!$A:$DP,MATCH('MM01'!$B12,Consulta!$C:$C,0),'MM01'!CU$2),"")=0,"",IFERROR(INDEX(Consulta!$A:$DP,MATCH('MM01'!$B12,Consulta!$C:$C,0),'MM01'!CU$2),""))</f>
        <v/>
      </c>
      <c r="CV12" s="43" t="str">
        <f>IF(IFERROR(INDEX(Consulta!$A:$DP,MATCH('MM01'!$B12,Consulta!$C:$C,0),'MM01'!CV$2),"")=0,"",IFERROR(INDEX(Consulta!$A:$DP,MATCH('MM01'!$B12,Consulta!$C:$C,0),'MM01'!CV$2),""))</f>
        <v/>
      </c>
      <c r="CW12" s="43" t="str">
        <f>IF(IFERROR(INDEX(Consulta!$A:$DP,MATCH('MM01'!$B12,Consulta!$C:$C,0),'MM01'!CW$2),"")=0,"",IFERROR(INDEX(Consulta!$A:$DP,MATCH('MM01'!$B12,Consulta!$C:$C,0),'MM01'!CW$2),""))</f>
        <v/>
      </c>
      <c r="CX12" s="43" t="str">
        <f t="shared" si="20"/>
        <v/>
      </c>
      <c r="CY12" s="43" t="str">
        <f t="shared" si="21"/>
        <v/>
      </c>
      <c r="CZ12" s="43" t="str">
        <f t="shared" si="22"/>
        <v/>
      </c>
      <c r="DA12" s="43" t="str">
        <f>IF(IFERROR(INDEX(Consulta!$A:$DP,MATCH('MM01'!$B12,Consulta!$C:$C,0),'MM01'!DA$2),"")=0,"",IFERROR(INDEX(Consulta!$A:$DP,MATCH('MM01'!$B12,Consulta!$C:$C,0),'MM01'!DA$2),""))</f>
        <v/>
      </c>
      <c r="DB12" s="43" t="str">
        <f t="shared" si="23"/>
        <v/>
      </c>
      <c r="DC12" s="43" t="str">
        <f>IF(IFERROR(INDEX(Consulta!$A:$DP,MATCH('MM01'!$B12,Consulta!$C:$C,0),'MM01'!DC$2),"")=0,"",IFERROR(INDEX(Consulta!$A:$DP,MATCH('MM01'!$B12,Consulta!$C:$C,0),'MM01'!DC$2),""))</f>
        <v/>
      </c>
      <c r="DD12" s="45">
        <v>0</v>
      </c>
      <c r="DE12" s="45">
        <v>0</v>
      </c>
      <c r="DF12" s="43" t="str">
        <f t="shared" si="24"/>
        <v/>
      </c>
      <c r="DG12" s="43" t="str">
        <f t="shared" si="25"/>
        <v/>
      </c>
      <c r="DH12" s="57"/>
      <c r="DI12" s="43" t="str">
        <f t="shared" ca="1" si="26"/>
        <v/>
      </c>
      <c r="DJ12" s="43" t="str">
        <f t="shared" si="27"/>
        <v/>
      </c>
      <c r="DK12" s="43" t="str">
        <f t="shared" si="28"/>
        <v/>
      </c>
      <c r="DL12" s="57"/>
      <c r="DM12" s="43" t="str">
        <f t="shared" ca="1" si="29"/>
        <v/>
      </c>
      <c r="DN12" s="43" t="str">
        <f t="shared" si="30"/>
        <v/>
      </c>
      <c r="DO12" s="43" t="str">
        <f t="shared" si="31"/>
        <v/>
      </c>
      <c r="DP12" s="57"/>
      <c r="DQ12" s="43" t="str">
        <f t="shared" ca="1" si="32"/>
        <v/>
      </c>
      <c r="DR12" s="43" t="str">
        <f t="shared" si="33"/>
        <v/>
      </c>
      <c r="DS12" s="43" t="str">
        <f t="shared" si="34"/>
        <v/>
      </c>
      <c r="DT12" s="57"/>
      <c r="DU12" s="43" t="str">
        <f t="shared" ca="1" si="35"/>
        <v/>
      </c>
      <c r="DV12" s="43" t="str">
        <f t="shared" si="36"/>
        <v/>
      </c>
      <c r="DX12" s="44">
        <v>1</v>
      </c>
      <c r="DY12" s="44" t="s">
        <v>773</v>
      </c>
      <c r="DZ12" s="43">
        <f t="shared" si="37"/>
        <v>0.01</v>
      </c>
      <c r="EA12" s="43" t="str">
        <f t="shared" si="38"/>
        <v>M</v>
      </c>
      <c r="EB12" s="43" t="str">
        <f>IF(IFERROR(INDEX(Consulta!$A:$DP,MATCH('MM01'!$B12,Consulta!$C:$C,0),'MM01'!EB$2),"")=0,"7925",IF(IFERROR(INDEX(Consulta!$A:$DP,MATCH('MM01'!$B12,Consulta!$C:$C,0),'MM01'!EB$2),"")="68","7910","7925"))</f>
        <v>7925</v>
      </c>
      <c r="EC12" s="44">
        <v>100</v>
      </c>
      <c r="ED12" s="62">
        <v>1</v>
      </c>
      <c r="EE12" s="43">
        <f t="shared" si="39"/>
        <v>100</v>
      </c>
      <c r="EF12" s="44">
        <v>1</v>
      </c>
      <c r="EG12" s="44">
        <v>0</v>
      </c>
      <c r="EH12" s="44" t="s">
        <v>875</v>
      </c>
      <c r="EI12" s="45">
        <v>0</v>
      </c>
      <c r="EJ12" s="43">
        <f t="shared" si="40"/>
        <v>5000</v>
      </c>
      <c r="EK12" s="69"/>
    </row>
    <row r="13" spans="1:141" x14ac:dyDescent="0.2">
      <c r="A13" s="7" t="str">
        <f t="shared" si="0"/>
        <v>Execução 9</v>
      </c>
      <c r="B13" s="42"/>
      <c r="C13" s="43" t="str">
        <f>IF(IFERROR(INDEX(Consulta!$A:$DP,MATCH('MM01'!$B13,Consulta!$C:$C,0),'MM01'!C$2),"")=0,"",IFERROR(INDEX(Consulta!$A:$DP,MATCH('MM01'!$B13,Consulta!$C:$C,0),'MM01'!C$2),""))</f>
        <v/>
      </c>
      <c r="D13" s="43" t="str">
        <f>IF(IFERROR(INDEX(Consulta!$A:$DP,MATCH('MM01'!$B13,Consulta!$C:$C,0),'MM01'!D$2),"")=0,"",IFERROR(INDEX(Consulta!$A:$DP,MATCH('MM01'!$B13,Consulta!$C:$C,0),'MM01'!D$2),""))</f>
        <v/>
      </c>
      <c r="E13" s="43" t="str">
        <f>IF(IFERROR(INDEX(Consulta!$A:$DP,MATCH('MM01'!$B13,Consulta!$C:$C,0),'MM01'!E$2),"")=0,"",IFERROR(INDEX(Consulta!$A:$DP,MATCH('MM01'!$B13,Consulta!$C:$C,0),'MM01'!E$2),""))</f>
        <v/>
      </c>
      <c r="F13" s="44" t="s">
        <v>100</v>
      </c>
      <c r="G13" s="49" t="str">
        <f>IF(IFERROR(INDEX(Consulta!$A:$DP,MATCH('MM01'!$B13,Consulta!$C:$C,0),'MM01'!G$2),"")=0,"",IFERROR(INDEX(Consulta!$A:$DP,MATCH('MM01'!$B13,Consulta!$C:$C,0),'MM01'!G$2),""))</f>
        <v/>
      </c>
      <c r="H13" s="49" t="str">
        <f>IF(IFERROR(INDEX(Consulta!$A:$DP,MATCH('MM01'!$B13,Consulta!$C:$C,0),'MM01'!H$2),"")=0,"",IFERROR(INDEX(Consulta!$A:$DP,MATCH('MM01'!$B13,Consulta!$C:$C,0),'MM01'!H$2),""))</f>
        <v/>
      </c>
      <c r="I13" s="49" t="str">
        <f t="shared" si="1"/>
        <v/>
      </c>
      <c r="J13" s="49" t="str">
        <f>IF(IFERROR(INDEX(Consulta!$A:$DP,MATCH('MM01'!$B13,Consulta!$C:$C,0),'MM01'!J$2),"")=0,"",IFERROR(INDEX(Consulta!$A:$DP,MATCH('MM01'!$B13,Consulta!$C:$C,0),'MM01'!J$2),""))</f>
        <v/>
      </c>
      <c r="K13" s="49" t="str">
        <f t="shared" si="2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IF(IFERROR(INDEX(Consulta!$A:$DP,MATCH('MM01'!$B13,Consulta!$C:$C,0),'MM01'!AP$2),"")=0,"",IFERROR(INDEX(Consulta!$A:$DP,MATCH('MM01'!$B13,Consulta!$C:$C,0),'MM01'!AP$2),""))</f>
        <v/>
      </c>
      <c r="AQ13" s="45"/>
      <c r="AR13" s="43" t="str">
        <f>IF(IFERROR(INDEX(Consulta!$A:$DP,MATCH('MM01'!$B13,Consulta!$C:$C,0),'MM01'!AR$2),"")=0,"",IFERROR(INDEX(Consulta!$A:$DP,MATCH('MM01'!$B13,Consulta!$C:$C,0),'MM01'!AR$2),""))</f>
        <v/>
      </c>
      <c r="AS13" s="43" t="str">
        <f>IF(IFERROR(INDEX(Consulta!$A:$DP,MATCH('MM01'!$B13,Consulta!$C:$C,0),'MM01'!AS$2),"")=0,"",IF(AR13="68",5102,IFERROR(INDEX(Consulta!$A:$DP,MATCH('MM01'!$B13,Consulta!$C:$C,0),'MM01'!AS$2),"")))</f>
        <v/>
      </c>
      <c r="AT13" s="45"/>
      <c r="AU13" s="46" t="str">
        <f t="shared" ca="1" si="3"/>
        <v/>
      </c>
      <c r="AV13" s="47" t="s">
        <v>795</v>
      </c>
      <c r="AW13" s="43" t="str">
        <f>IF(IFERROR(INDEX(Consulta!$A:$DP,MATCH('MM01'!$B13,Consulta!$C:$C,0),'MM01'!AW$2),"")=0,"",IFERROR(ROUND(INDEX(Consulta!$A:$DP,MATCH('MM01'!$B13,Consulta!$C:$C,0),'MM01'!AW$2),3),""))</f>
        <v/>
      </c>
      <c r="AX13" s="43" t="str">
        <f t="shared" si="4"/>
        <v/>
      </c>
      <c r="AY13" s="48" t="s">
        <v>299</v>
      </c>
      <c r="AZ13" s="48"/>
      <c r="BA13" s="43" t="str">
        <f>IF(IFERROR(INDEX(Consulta!$A:$DP,MATCH('MM01'!$B13,Consulta!$C:$C,0),'MM01'!BA$2),"")=0,"",IFERROR(INDEX(Consulta!$A:$DP,MATCH('MM01'!$B13,Consulta!$C:$C,0),'MM01'!BA$2),""))</f>
        <v/>
      </c>
      <c r="BB13" s="43" t="str">
        <f t="shared" si="5"/>
        <v/>
      </c>
      <c r="BC13" s="43" t="str">
        <f t="shared" si="6"/>
        <v/>
      </c>
      <c r="BD13" s="43" t="str">
        <f t="shared" si="7"/>
        <v/>
      </c>
      <c r="BE13" s="43" t="str">
        <f t="shared" si="8"/>
        <v>M</v>
      </c>
      <c r="BF13" s="43" t="str">
        <f t="shared" si="9"/>
        <v/>
      </c>
      <c r="BG13" s="43" t="str">
        <f t="shared" si="10"/>
        <v/>
      </c>
      <c r="BH13" s="43" t="str">
        <f t="shared" si="11"/>
        <v/>
      </c>
      <c r="BI13" s="43" t="str">
        <f t="shared" si="12"/>
        <v>M</v>
      </c>
      <c r="BK13" s="45" t="s">
        <v>324</v>
      </c>
      <c r="BL13" s="43" t="str">
        <f>IF(IFERROR(INDEX(Consulta!$A:$DP,MATCH('MM01'!$B13,Consulta!$C:$C,0),'MM01'!BL$2),"")=0,"",IFERROR(INDEX(Consulta!$A:$DP,MATCH('MM01'!$B13,Consulta!$C:$C,0),'MM01'!BL$2),""))</f>
        <v/>
      </c>
      <c r="BM13" s="45"/>
      <c r="BN13" s="46" t="str">
        <f t="shared" ca="1" si="13"/>
        <v/>
      </c>
      <c r="BO13" s="49" t="str">
        <f t="shared" si="14"/>
        <v/>
      </c>
      <c r="BP13" s="50">
        <v>1</v>
      </c>
      <c r="BQ13" s="50" t="s">
        <v>194</v>
      </c>
      <c r="BR13" s="79" t="str">
        <f t="shared" si="15"/>
        <v>01</v>
      </c>
      <c r="BS13" s="50" t="s">
        <v>795</v>
      </c>
      <c r="BT13" s="44">
        <v>1</v>
      </c>
      <c r="BU13" s="44" t="s">
        <v>371</v>
      </c>
      <c r="BV13" s="50" t="s">
        <v>197</v>
      </c>
      <c r="BW13" s="50" t="s">
        <v>197</v>
      </c>
      <c r="BX13" s="43" t="str">
        <f>IF(IFERROR(INDEX(Consulta!$A:$DP,MATCH('MM01'!$B13,Consulta!$C:$C,0),'MM01'!BX$2),"")=0,"",IFERROR(INDEX(Consulta!$A:$DP,MATCH('MM01'!$B13,Consulta!$C:$C,0),'MM01'!BX$2),""))</f>
        <v/>
      </c>
      <c r="BY13" s="44" t="s">
        <v>391</v>
      </c>
      <c r="BZ13" s="50">
        <v>0</v>
      </c>
      <c r="CA13" s="45" t="s">
        <v>402</v>
      </c>
      <c r="CB13" s="45" t="s">
        <v>84</v>
      </c>
      <c r="CC13" s="43" t="str">
        <f t="shared" si="16"/>
        <v/>
      </c>
      <c r="CD13" s="45" t="s">
        <v>38</v>
      </c>
      <c r="CE13" s="45">
        <v>1</v>
      </c>
      <c r="CF13" s="45" t="s">
        <v>495</v>
      </c>
      <c r="CG13" s="45"/>
      <c r="CH13" s="44">
        <v>2</v>
      </c>
      <c r="CI13" s="49" t="str">
        <f t="shared" si="17"/>
        <v/>
      </c>
      <c r="CJ13" s="49" t="str">
        <f t="shared" si="18"/>
        <v/>
      </c>
      <c r="CK13" s="45"/>
      <c r="CL13" s="44">
        <v>1</v>
      </c>
      <c r="CM13" s="50" t="s">
        <v>514</v>
      </c>
      <c r="CN13" s="44" t="s">
        <v>371</v>
      </c>
      <c r="CO13" s="44">
        <v>2</v>
      </c>
      <c r="CP13" s="44">
        <v>42</v>
      </c>
      <c r="CQ13" s="44">
        <v>10</v>
      </c>
      <c r="CR13" s="43" t="str">
        <f t="shared" si="19"/>
        <v>K00_P_</v>
      </c>
      <c r="CS13" s="45">
        <v>5000</v>
      </c>
      <c r="CT13" s="43" t="str">
        <f>IF(IFERROR(INDEX(Consulta!$A:$DP,MATCH('MM01'!$B13,Consulta!$C:$C,0),'MM01'!CT$2),"")=0,"",IFERROR(INDEX(Consulta!$A:$DP,MATCH('MM01'!$B13,Consulta!$C:$C,0),'MM01'!CT$2),""))</f>
        <v/>
      </c>
      <c r="CU13" s="43" t="str">
        <f>IF(IFERROR(INDEX(Consulta!$A:$DP,MATCH('MM01'!$B13,Consulta!$C:$C,0),'MM01'!CU$2),"")=0,"",IFERROR(INDEX(Consulta!$A:$DP,MATCH('MM01'!$B13,Consulta!$C:$C,0),'MM01'!CU$2),""))</f>
        <v/>
      </c>
      <c r="CV13" s="43" t="str">
        <f>IF(IFERROR(INDEX(Consulta!$A:$DP,MATCH('MM01'!$B13,Consulta!$C:$C,0),'MM01'!CV$2),"")=0,"",IFERROR(INDEX(Consulta!$A:$DP,MATCH('MM01'!$B13,Consulta!$C:$C,0),'MM01'!CV$2),""))</f>
        <v/>
      </c>
      <c r="CW13" s="43" t="str">
        <f>IF(IFERROR(INDEX(Consulta!$A:$DP,MATCH('MM01'!$B13,Consulta!$C:$C,0),'MM01'!CW$2),"")=0,"",IFERROR(INDEX(Consulta!$A:$DP,MATCH('MM01'!$B13,Consulta!$C:$C,0),'MM01'!CW$2),""))</f>
        <v/>
      </c>
      <c r="CX13" s="43" t="str">
        <f t="shared" si="20"/>
        <v/>
      </c>
      <c r="CY13" s="43" t="str">
        <f t="shared" si="21"/>
        <v/>
      </c>
      <c r="CZ13" s="43" t="str">
        <f t="shared" si="22"/>
        <v/>
      </c>
      <c r="DA13" s="43" t="str">
        <f>IF(IFERROR(INDEX(Consulta!$A:$DP,MATCH('MM01'!$B13,Consulta!$C:$C,0),'MM01'!DA$2),"")=0,"",IFERROR(INDEX(Consulta!$A:$DP,MATCH('MM01'!$B13,Consulta!$C:$C,0),'MM01'!DA$2),""))</f>
        <v/>
      </c>
      <c r="DB13" s="43" t="str">
        <f t="shared" si="23"/>
        <v/>
      </c>
      <c r="DC13" s="43" t="str">
        <f>IF(IFERROR(INDEX(Consulta!$A:$DP,MATCH('MM01'!$B13,Consulta!$C:$C,0),'MM01'!DC$2),"")=0,"",IFERROR(INDEX(Consulta!$A:$DP,MATCH('MM01'!$B13,Consulta!$C:$C,0),'MM01'!DC$2),""))</f>
        <v/>
      </c>
      <c r="DD13" s="45">
        <v>0</v>
      </c>
      <c r="DE13" s="45">
        <v>0</v>
      </c>
      <c r="DF13" s="43" t="str">
        <f t="shared" si="24"/>
        <v/>
      </c>
      <c r="DG13" s="43" t="str">
        <f t="shared" si="25"/>
        <v/>
      </c>
      <c r="DH13" s="57"/>
      <c r="DI13" s="43" t="str">
        <f t="shared" ca="1" si="26"/>
        <v/>
      </c>
      <c r="DJ13" s="43" t="str">
        <f t="shared" si="27"/>
        <v/>
      </c>
      <c r="DK13" s="43" t="str">
        <f t="shared" si="28"/>
        <v/>
      </c>
      <c r="DL13" s="57"/>
      <c r="DM13" s="43" t="str">
        <f t="shared" ca="1" si="29"/>
        <v/>
      </c>
      <c r="DN13" s="43" t="str">
        <f t="shared" si="30"/>
        <v/>
      </c>
      <c r="DO13" s="43" t="str">
        <f t="shared" si="31"/>
        <v/>
      </c>
      <c r="DP13" s="57"/>
      <c r="DQ13" s="43" t="str">
        <f t="shared" ca="1" si="32"/>
        <v/>
      </c>
      <c r="DR13" s="43" t="str">
        <f t="shared" si="33"/>
        <v/>
      </c>
      <c r="DS13" s="43" t="str">
        <f t="shared" si="34"/>
        <v/>
      </c>
      <c r="DT13" s="57"/>
      <c r="DU13" s="43" t="str">
        <f t="shared" ca="1" si="35"/>
        <v/>
      </c>
      <c r="DV13" s="43" t="str">
        <f t="shared" si="36"/>
        <v/>
      </c>
      <c r="DX13" s="44">
        <v>1</v>
      </c>
      <c r="DY13" s="44" t="s">
        <v>773</v>
      </c>
      <c r="DZ13" s="43">
        <f t="shared" si="37"/>
        <v>0.01</v>
      </c>
      <c r="EA13" s="43" t="str">
        <f t="shared" si="38"/>
        <v>M</v>
      </c>
      <c r="EB13" s="43" t="str">
        <f>IF(IFERROR(INDEX(Consulta!$A:$DP,MATCH('MM01'!$B13,Consulta!$C:$C,0),'MM01'!EB$2),"")=0,"7925",IF(IFERROR(INDEX(Consulta!$A:$DP,MATCH('MM01'!$B13,Consulta!$C:$C,0),'MM01'!EB$2),"")="68","7910","7925"))</f>
        <v>7925</v>
      </c>
      <c r="EC13" s="44">
        <v>100</v>
      </c>
      <c r="ED13" s="62">
        <v>1</v>
      </c>
      <c r="EE13" s="43">
        <f t="shared" si="39"/>
        <v>100</v>
      </c>
      <c r="EF13" s="44">
        <v>1</v>
      </c>
      <c r="EG13" s="44">
        <v>0</v>
      </c>
      <c r="EH13" s="44" t="s">
        <v>875</v>
      </c>
      <c r="EI13" s="45">
        <v>0</v>
      </c>
      <c r="EJ13" s="43">
        <f t="shared" si="40"/>
        <v>5000</v>
      </c>
      <c r="EK13" s="69"/>
    </row>
    <row r="14" spans="1:141" x14ac:dyDescent="0.2">
      <c r="A14" s="7" t="str">
        <f t="shared" si="0"/>
        <v>Execução 10</v>
      </c>
      <c r="B14" s="42"/>
      <c r="C14" s="43" t="str">
        <f>IF(IFERROR(INDEX(Consulta!$A:$DP,MATCH('MM01'!$B14,Consulta!$C:$C,0),'MM01'!C$2),"")=0,"",IFERROR(INDEX(Consulta!$A:$DP,MATCH('MM01'!$B14,Consulta!$C:$C,0),'MM01'!C$2),""))</f>
        <v/>
      </c>
      <c r="D14" s="43" t="str">
        <f>IF(IFERROR(INDEX(Consulta!$A:$DP,MATCH('MM01'!$B14,Consulta!$C:$C,0),'MM01'!D$2),"")=0,"",IFERROR(INDEX(Consulta!$A:$DP,MATCH('MM01'!$B14,Consulta!$C:$C,0),'MM01'!D$2),""))</f>
        <v/>
      </c>
      <c r="E14" s="43" t="str">
        <f>IF(IFERROR(INDEX(Consulta!$A:$DP,MATCH('MM01'!$B14,Consulta!$C:$C,0),'MM01'!E$2),"")=0,"",IFERROR(INDEX(Consulta!$A:$DP,MATCH('MM01'!$B14,Consulta!$C:$C,0),'MM01'!E$2),""))</f>
        <v/>
      </c>
      <c r="F14" s="44" t="s">
        <v>100</v>
      </c>
      <c r="G14" s="49" t="str">
        <f>IF(IFERROR(INDEX(Consulta!$A:$DP,MATCH('MM01'!$B14,Consulta!$C:$C,0),'MM01'!G$2),"")=0,"",IFERROR(INDEX(Consulta!$A:$DP,MATCH('MM01'!$B14,Consulta!$C:$C,0),'MM01'!G$2),""))</f>
        <v/>
      </c>
      <c r="H14" s="49" t="str">
        <f>IF(IFERROR(INDEX(Consulta!$A:$DP,MATCH('MM01'!$B14,Consulta!$C:$C,0),'MM01'!H$2),"")=0,"",IFERROR(INDEX(Consulta!$A:$DP,MATCH('MM01'!$B14,Consulta!$C:$C,0),'MM01'!H$2),""))</f>
        <v/>
      </c>
      <c r="I14" s="49" t="str">
        <f t="shared" si="1"/>
        <v/>
      </c>
      <c r="J14" s="49" t="str">
        <f>IF(IFERROR(INDEX(Consulta!$A:$DP,MATCH('MM01'!$B14,Consulta!$C:$C,0),'MM01'!J$2),"")=0,"",IFERROR(INDEX(Consulta!$A:$DP,MATCH('MM01'!$B14,Consulta!$C:$C,0),'MM01'!J$2),""))</f>
        <v/>
      </c>
      <c r="K14" s="49" t="str">
        <f t="shared" si="2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IF(IFERROR(INDEX(Consulta!$A:$DP,MATCH('MM01'!$B14,Consulta!$C:$C,0),'MM01'!AP$2),"")=0,"",IFERROR(INDEX(Consulta!$A:$DP,MATCH('MM01'!$B14,Consulta!$C:$C,0),'MM01'!AP$2),""))</f>
        <v/>
      </c>
      <c r="AQ14" s="45"/>
      <c r="AR14" s="43" t="str">
        <f>IF(IFERROR(INDEX(Consulta!$A:$DP,MATCH('MM01'!$B14,Consulta!$C:$C,0),'MM01'!AR$2),"")=0,"",IFERROR(INDEX(Consulta!$A:$DP,MATCH('MM01'!$B14,Consulta!$C:$C,0),'MM01'!AR$2),""))</f>
        <v/>
      </c>
      <c r="AS14" s="43" t="str">
        <f>IF(IFERROR(INDEX(Consulta!$A:$DP,MATCH('MM01'!$B14,Consulta!$C:$C,0),'MM01'!AS$2),"")=0,"",IF(AR14="68",5102,IFERROR(INDEX(Consulta!$A:$DP,MATCH('MM01'!$B14,Consulta!$C:$C,0),'MM01'!AS$2),"")))</f>
        <v/>
      </c>
      <c r="AT14" s="45"/>
      <c r="AU14" s="46" t="str">
        <f t="shared" ca="1" si="3"/>
        <v/>
      </c>
      <c r="AV14" s="47" t="s">
        <v>795</v>
      </c>
      <c r="AW14" s="43" t="str">
        <f>IF(IFERROR(INDEX(Consulta!$A:$DP,MATCH('MM01'!$B14,Consulta!$C:$C,0),'MM01'!AW$2),"")=0,"",IFERROR(ROUND(INDEX(Consulta!$A:$DP,MATCH('MM01'!$B14,Consulta!$C:$C,0),'MM01'!AW$2),3),""))</f>
        <v/>
      </c>
      <c r="AX14" s="43" t="str">
        <f t="shared" si="4"/>
        <v/>
      </c>
      <c r="AY14" s="48" t="s">
        <v>299</v>
      </c>
      <c r="AZ14" s="48"/>
      <c r="BA14" s="43" t="str">
        <f>IF(IFERROR(INDEX(Consulta!$A:$DP,MATCH('MM01'!$B14,Consulta!$C:$C,0),'MM01'!BA$2),"")=0,"",IFERROR(INDEX(Consulta!$A:$DP,MATCH('MM01'!$B14,Consulta!$C:$C,0),'MM01'!BA$2),""))</f>
        <v/>
      </c>
      <c r="BB14" s="43" t="str">
        <f t="shared" si="5"/>
        <v/>
      </c>
      <c r="BC14" s="43" t="str">
        <f t="shared" si="6"/>
        <v/>
      </c>
      <c r="BD14" s="43" t="str">
        <f t="shared" si="7"/>
        <v/>
      </c>
      <c r="BE14" s="43" t="str">
        <f t="shared" si="8"/>
        <v>M</v>
      </c>
      <c r="BF14" s="43" t="str">
        <f t="shared" si="9"/>
        <v/>
      </c>
      <c r="BG14" s="43" t="str">
        <f t="shared" si="10"/>
        <v/>
      </c>
      <c r="BH14" s="43" t="str">
        <f t="shared" si="11"/>
        <v/>
      </c>
      <c r="BI14" s="43" t="str">
        <f t="shared" si="12"/>
        <v>M</v>
      </c>
      <c r="BK14" s="45" t="s">
        <v>324</v>
      </c>
      <c r="BL14" s="43" t="str">
        <f>IF(IFERROR(INDEX(Consulta!$A:$DP,MATCH('MM01'!$B14,Consulta!$C:$C,0),'MM01'!BL$2),"")=0,"",IFERROR(INDEX(Consulta!$A:$DP,MATCH('MM01'!$B14,Consulta!$C:$C,0),'MM01'!BL$2),""))</f>
        <v/>
      </c>
      <c r="BM14" s="45"/>
      <c r="BN14" s="46" t="str">
        <f t="shared" ca="1" si="13"/>
        <v/>
      </c>
      <c r="BO14" s="49" t="str">
        <f t="shared" si="14"/>
        <v/>
      </c>
      <c r="BP14" s="50">
        <v>1</v>
      </c>
      <c r="BQ14" s="50" t="s">
        <v>194</v>
      </c>
      <c r="BR14" s="79" t="str">
        <f t="shared" si="15"/>
        <v>01</v>
      </c>
      <c r="BS14" s="50" t="s">
        <v>795</v>
      </c>
      <c r="BT14" s="44">
        <v>1</v>
      </c>
      <c r="BU14" s="44" t="s">
        <v>371</v>
      </c>
      <c r="BV14" s="50" t="s">
        <v>197</v>
      </c>
      <c r="BW14" s="50" t="s">
        <v>197</v>
      </c>
      <c r="BX14" s="43" t="str">
        <f>IF(IFERROR(INDEX(Consulta!$A:$DP,MATCH('MM01'!$B14,Consulta!$C:$C,0),'MM01'!BX$2),"")=0,"",IFERROR(INDEX(Consulta!$A:$DP,MATCH('MM01'!$B14,Consulta!$C:$C,0),'MM01'!BX$2),""))</f>
        <v/>
      </c>
      <c r="BY14" s="44" t="s">
        <v>391</v>
      </c>
      <c r="BZ14" s="50">
        <v>0</v>
      </c>
      <c r="CA14" s="45" t="s">
        <v>402</v>
      </c>
      <c r="CB14" s="45" t="s">
        <v>84</v>
      </c>
      <c r="CC14" s="43" t="str">
        <f t="shared" si="16"/>
        <v/>
      </c>
      <c r="CD14" s="45" t="s">
        <v>38</v>
      </c>
      <c r="CE14" s="45">
        <v>1</v>
      </c>
      <c r="CF14" s="45" t="s">
        <v>495</v>
      </c>
      <c r="CG14" s="45"/>
      <c r="CH14" s="44">
        <v>2</v>
      </c>
      <c r="CI14" s="49" t="str">
        <f t="shared" si="17"/>
        <v/>
      </c>
      <c r="CJ14" s="49" t="str">
        <f t="shared" si="18"/>
        <v/>
      </c>
      <c r="CK14" s="45"/>
      <c r="CL14" s="44">
        <v>1</v>
      </c>
      <c r="CM14" s="50" t="s">
        <v>514</v>
      </c>
      <c r="CN14" s="44" t="s">
        <v>371</v>
      </c>
      <c r="CO14" s="44">
        <v>2</v>
      </c>
      <c r="CP14" s="44">
        <v>42</v>
      </c>
      <c r="CQ14" s="44">
        <v>10</v>
      </c>
      <c r="CR14" s="43" t="str">
        <f t="shared" si="19"/>
        <v>K00_P_</v>
      </c>
      <c r="CS14" s="45">
        <v>5000</v>
      </c>
      <c r="CT14" s="43" t="str">
        <f>IF(IFERROR(INDEX(Consulta!$A:$DP,MATCH('MM01'!$B14,Consulta!$C:$C,0),'MM01'!CT$2),"")=0,"",IFERROR(INDEX(Consulta!$A:$DP,MATCH('MM01'!$B14,Consulta!$C:$C,0),'MM01'!CT$2),""))</f>
        <v/>
      </c>
      <c r="CU14" s="43" t="str">
        <f>IF(IFERROR(INDEX(Consulta!$A:$DP,MATCH('MM01'!$B14,Consulta!$C:$C,0),'MM01'!CU$2),"")=0,"",IFERROR(INDEX(Consulta!$A:$DP,MATCH('MM01'!$B14,Consulta!$C:$C,0),'MM01'!CU$2),""))</f>
        <v/>
      </c>
      <c r="CV14" s="43" t="str">
        <f>IF(IFERROR(INDEX(Consulta!$A:$DP,MATCH('MM01'!$B14,Consulta!$C:$C,0),'MM01'!CV$2),"")=0,"",IFERROR(INDEX(Consulta!$A:$DP,MATCH('MM01'!$B14,Consulta!$C:$C,0),'MM01'!CV$2),""))</f>
        <v/>
      </c>
      <c r="CW14" s="43" t="str">
        <f>IF(IFERROR(INDEX(Consulta!$A:$DP,MATCH('MM01'!$B14,Consulta!$C:$C,0),'MM01'!CW$2),"")=0,"",IFERROR(INDEX(Consulta!$A:$DP,MATCH('MM01'!$B14,Consulta!$C:$C,0),'MM01'!CW$2),""))</f>
        <v/>
      </c>
      <c r="CX14" s="43" t="str">
        <f t="shared" si="20"/>
        <v/>
      </c>
      <c r="CY14" s="43" t="str">
        <f t="shared" si="21"/>
        <v/>
      </c>
      <c r="CZ14" s="43" t="str">
        <f t="shared" si="22"/>
        <v/>
      </c>
      <c r="DA14" s="43" t="str">
        <f>IF(IFERROR(INDEX(Consulta!$A:$DP,MATCH('MM01'!$B14,Consulta!$C:$C,0),'MM01'!DA$2),"")=0,"",IFERROR(INDEX(Consulta!$A:$DP,MATCH('MM01'!$B14,Consulta!$C:$C,0),'MM01'!DA$2),""))</f>
        <v/>
      </c>
      <c r="DB14" s="43" t="str">
        <f t="shared" si="23"/>
        <v/>
      </c>
      <c r="DC14" s="43" t="str">
        <f>IF(IFERROR(INDEX(Consulta!$A:$DP,MATCH('MM01'!$B14,Consulta!$C:$C,0),'MM01'!DC$2),"")=0,"",IFERROR(INDEX(Consulta!$A:$DP,MATCH('MM01'!$B14,Consulta!$C:$C,0),'MM01'!DC$2),""))</f>
        <v/>
      </c>
      <c r="DD14" s="45">
        <v>0</v>
      </c>
      <c r="DE14" s="45">
        <v>0</v>
      </c>
      <c r="DF14" s="43" t="str">
        <f t="shared" si="24"/>
        <v/>
      </c>
      <c r="DG14" s="43" t="str">
        <f t="shared" si="25"/>
        <v/>
      </c>
      <c r="DH14" s="57"/>
      <c r="DI14" s="43" t="str">
        <f t="shared" ca="1" si="26"/>
        <v/>
      </c>
      <c r="DJ14" s="43" t="str">
        <f t="shared" si="27"/>
        <v/>
      </c>
      <c r="DK14" s="43" t="str">
        <f t="shared" si="28"/>
        <v/>
      </c>
      <c r="DL14" s="57"/>
      <c r="DM14" s="43" t="str">
        <f t="shared" ca="1" si="29"/>
        <v/>
      </c>
      <c r="DN14" s="43" t="str">
        <f t="shared" si="30"/>
        <v/>
      </c>
      <c r="DO14" s="43" t="str">
        <f t="shared" si="31"/>
        <v/>
      </c>
      <c r="DP14" s="57"/>
      <c r="DQ14" s="43" t="str">
        <f t="shared" ca="1" si="32"/>
        <v/>
      </c>
      <c r="DR14" s="43" t="str">
        <f t="shared" si="33"/>
        <v/>
      </c>
      <c r="DS14" s="43" t="str">
        <f t="shared" si="34"/>
        <v/>
      </c>
      <c r="DT14" s="57"/>
      <c r="DU14" s="43" t="str">
        <f t="shared" ca="1" si="35"/>
        <v/>
      </c>
      <c r="DV14" s="43" t="str">
        <f t="shared" si="36"/>
        <v/>
      </c>
      <c r="DX14" s="44">
        <v>1</v>
      </c>
      <c r="DY14" s="44" t="s">
        <v>773</v>
      </c>
      <c r="DZ14" s="43">
        <f t="shared" si="37"/>
        <v>0.01</v>
      </c>
      <c r="EA14" s="43" t="str">
        <f t="shared" si="38"/>
        <v>M</v>
      </c>
      <c r="EB14" s="43" t="str">
        <f>IF(IFERROR(INDEX(Consulta!$A:$DP,MATCH('MM01'!$B14,Consulta!$C:$C,0),'MM01'!EB$2),"")=0,"7925",IF(IFERROR(INDEX(Consulta!$A:$DP,MATCH('MM01'!$B14,Consulta!$C:$C,0),'MM01'!EB$2),"")="68","7910","7925"))</f>
        <v>7925</v>
      </c>
      <c r="EC14" s="44">
        <v>100</v>
      </c>
      <c r="ED14" s="62">
        <v>1</v>
      </c>
      <c r="EE14" s="43">
        <f t="shared" si="39"/>
        <v>100</v>
      </c>
      <c r="EF14" s="44">
        <v>1</v>
      </c>
      <c r="EG14" s="44">
        <v>0</v>
      </c>
      <c r="EH14" s="44" t="s">
        <v>875</v>
      </c>
      <c r="EI14" s="45">
        <v>0</v>
      </c>
      <c r="EJ14" s="43">
        <f t="shared" si="40"/>
        <v>5000</v>
      </c>
      <c r="EK14" s="69"/>
    </row>
    <row r="15" spans="1:141" x14ac:dyDescent="0.2">
      <c r="A15" s="7" t="str">
        <f t="shared" si="0"/>
        <v>Execução 11</v>
      </c>
      <c r="B15" s="42"/>
      <c r="C15" s="43" t="str">
        <f>IF(IFERROR(INDEX(Consulta!$A:$DP,MATCH('MM01'!$B15,Consulta!$C:$C,0),'MM01'!C$2),"")=0,"",IFERROR(INDEX(Consulta!$A:$DP,MATCH('MM01'!$B15,Consulta!$C:$C,0),'MM01'!C$2),""))</f>
        <v/>
      </c>
      <c r="D15" s="43" t="str">
        <f>IF(IFERROR(INDEX(Consulta!$A:$DP,MATCH('MM01'!$B15,Consulta!$C:$C,0),'MM01'!D$2),"")=0,"",IFERROR(INDEX(Consulta!$A:$DP,MATCH('MM01'!$B15,Consulta!$C:$C,0),'MM01'!D$2),""))</f>
        <v/>
      </c>
      <c r="E15" s="43" t="str">
        <f>IF(IFERROR(INDEX(Consulta!$A:$DP,MATCH('MM01'!$B15,Consulta!$C:$C,0),'MM01'!E$2),"")=0,"",IFERROR(INDEX(Consulta!$A:$DP,MATCH('MM01'!$B15,Consulta!$C:$C,0),'MM01'!E$2),""))</f>
        <v/>
      </c>
      <c r="F15" s="44" t="s">
        <v>100</v>
      </c>
      <c r="G15" s="49" t="str">
        <f>IF(IFERROR(INDEX(Consulta!$A:$DP,MATCH('MM01'!$B15,Consulta!$C:$C,0),'MM01'!G$2),"")=0,"",IFERROR(INDEX(Consulta!$A:$DP,MATCH('MM01'!$B15,Consulta!$C:$C,0),'MM01'!G$2),""))</f>
        <v/>
      </c>
      <c r="H15" s="49" t="str">
        <f>IF(IFERROR(INDEX(Consulta!$A:$DP,MATCH('MM01'!$B15,Consulta!$C:$C,0),'MM01'!H$2),"")=0,"",IFERROR(INDEX(Consulta!$A:$DP,MATCH('MM01'!$B15,Consulta!$C:$C,0),'MM01'!H$2),""))</f>
        <v/>
      </c>
      <c r="I15" s="49" t="str">
        <f t="shared" si="1"/>
        <v/>
      </c>
      <c r="J15" s="49" t="str">
        <f>IF(IFERROR(INDEX(Consulta!$A:$DP,MATCH('MM01'!$B15,Consulta!$C:$C,0),'MM01'!J$2),"")=0,"",IFERROR(INDEX(Consulta!$A:$DP,MATCH('MM01'!$B15,Consulta!$C:$C,0),'MM01'!J$2),""))</f>
        <v/>
      </c>
      <c r="K15" s="49" t="str">
        <f t="shared" si="2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IF(IFERROR(INDEX(Consulta!$A:$DP,MATCH('MM01'!$B15,Consulta!$C:$C,0),'MM01'!AP$2),"")=0,"",IFERROR(INDEX(Consulta!$A:$DP,MATCH('MM01'!$B15,Consulta!$C:$C,0),'MM01'!AP$2),""))</f>
        <v/>
      </c>
      <c r="AQ15" s="45"/>
      <c r="AR15" s="43" t="str">
        <f>IF(IFERROR(INDEX(Consulta!$A:$DP,MATCH('MM01'!$B15,Consulta!$C:$C,0),'MM01'!AR$2),"")=0,"",IFERROR(INDEX(Consulta!$A:$DP,MATCH('MM01'!$B15,Consulta!$C:$C,0),'MM01'!AR$2),""))</f>
        <v/>
      </c>
      <c r="AS15" s="43" t="str">
        <f>IF(IFERROR(INDEX(Consulta!$A:$DP,MATCH('MM01'!$B15,Consulta!$C:$C,0),'MM01'!AS$2),"")=0,"",IF(AR15="68",5102,IFERROR(INDEX(Consulta!$A:$DP,MATCH('MM01'!$B15,Consulta!$C:$C,0),'MM01'!AS$2),"")))</f>
        <v/>
      </c>
      <c r="AT15" s="45"/>
      <c r="AU15" s="46" t="str">
        <f t="shared" ca="1" si="3"/>
        <v/>
      </c>
      <c r="AV15" s="47" t="s">
        <v>795</v>
      </c>
      <c r="AW15" s="43" t="str">
        <f>IF(IFERROR(INDEX(Consulta!$A:$DP,MATCH('MM01'!$B15,Consulta!$C:$C,0),'MM01'!AW$2),"")=0,"",IFERROR(ROUND(INDEX(Consulta!$A:$DP,MATCH('MM01'!$B15,Consulta!$C:$C,0),'MM01'!AW$2),3),""))</f>
        <v/>
      </c>
      <c r="AX15" s="43" t="str">
        <f t="shared" si="4"/>
        <v/>
      </c>
      <c r="AY15" s="48" t="s">
        <v>299</v>
      </c>
      <c r="AZ15" s="48"/>
      <c r="BA15" s="43" t="str">
        <f>IF(IFERROR(INDEX(Consulta!$A:$DP,MATCH('MM01'!$B15,Consulta!$C:$C,0),'MM01'!BA$2),"")=0,"",IFERROR(INDEX(Consulta!$A:$DP,MATCH('MM01'!$B15,Consulta!$C:$C,0),'MM01'!BA$2),""))</f>
        <v/>
      </c>
      <c r="BB15" s="43" t="str">
        <f t="shared" si="5"/>
        <v/>
      </c>
      <c r="BC15" s="43" t="str">
        <f t="shared" si="6"/>
        <v/>
      </c>
      <c r="BD15" s="43" t="str">
        <f t="shared" si="7"/>
        <v/>
      </c>
      <c r="BE15" s="43" t="str">
        <f t="shared" si="8"/>
        <v>M</v>
      </c>
      <c r="BF15" s="43" t="str">
        <f t="shared" si="9"/>
        <v/>
      </c>
      <c r="BG15" s="43" t="str">
        <f t="shared" si="10"/>
        <v/>
      </c>
      <c r="BH15" s="43" t="str">
        <f t="shared" si="11"/>
        <v/>
      </c>
      <c r="BI15" s="43" t="str">
        <f t="shared" si="12"/>
        <v>M</v>
      </c>
      <c r="BK15" s="45" t="s">
        <v>324</v>
      </c>
      <c r="BL15" s="43" t="str">
        <f>IF(IFERROR(INDEX(Consulta!$A:$DP,MATCH('MM01'!$B15,Consulta!$C:$C,0),'MM01'!BL$2),"")=0,"",IFERROR(INDEX(Consulta!$A:$DP,MATCH('MM01'!$B15,Consulta!$C:$C,0),'MM01'!BL$2),""))</f>
        <v/>
      </c>
      <c r="BM15" s="45"/>
      <c r="BN15" s="46" t="str">
        <f t="shared" ca="1" si="13"/>
        <v/>
      </c>
      <c r="BO15" s="49" t="str">
        <f t="shared" si="14"/>
        <v/>
      </c>
      <c r="BP15" s="50">
        <v>1</v>
      </c>
      <c r="BQ15" s="50" t="s">
        <v>194</v>
      </c>
      <c r="BR15" s="79" t="str">
        <f t="shared" si="15"/>
        <v>01</v>
      </c>
      <c r="BS15" s="50" t="s">
        <v>795</v>
      </c>
      <c r="BT15" s="44">
        <v>1</v>
      </c>
      <c r="BU15" s="44" t="s">
        <v>371</v>
      </c>
      <c r="BV15" s="50" t="s">
        <v>197</v>
      </c>
      <c r="BW15" s="50" t="s">
        <v>197</v>
      </c>
      <c r="BX15" s="43" t="str">
        <f>IF(IFERROR(INDEX(Consulta!$A:$DP,MATCH('MM01'!$B15,Consulta!$C:$C,0),'MM01'!BX$2),"")=0,"",IFERROR(INDEX(Consulta!$A:$DP,MATCH('MM01'!$B15,Consulta!$C:$C,0),'MM01'!BX$2),""))</f>
        <v/>
      </c>
      <c r="BY15" s="44" t="s">
        <v>391</v>
      </c>
      <c r="BZ15" s="50">
        <v>0</v>
      </c>
      <c r="CA15" s="45" t="s">
        <v>402</v>
      </c>
      <c r="CB15" s="45" t="s">
        <v>84</v>
      </c>
      <c r="CC15" s="43" t="str">
        <f t="shared" si="16"/>
        <v/>
      </c>
      <c r="CD15" s="45" t="s">
        <v>38</v>
      </c>
      <c r="CE15" s="45">
        <v>1</v>
      </c>
      <c r="CF15" s="45" t="s">
        <v>495</v>
      </c>
      <c r="CG15" s="45"/>
      <c r="CH15" s="44">
        <v>2</v>
      </c>
      <c r="CI15" s="49" t="str">
        <f t="shared" si="17"/>
        <v/>
      </c>
      <c r="CJ15" s="49" t="str">
        <f t="shared" si="18"/>
        <v/>
      </c>
      <c r="CK15" s="45"/>
      <c r="CL15" s="44">
        <v>1</v>
      </c>
      <c r="CM15" s="50" t="s">
        <v>514</v>
      </c>
      <c r="CN15" s="44" t="s">
        <v>371</v>
      </c>
      <c r="CO15" s="44">
        <v>2</v>
      </c>
      <c r="CP15" s="44">
        <v>42</v>
      </c>
      <c r="CQ15" s="44">
        <v>10</v>
      </c>
      <c r="CR15" s="43" t="str">
        <f t="shared" si="19"/>
        <v>K00_P_</v>
      </c>
      <c r="CS15" s="45">
        <v>5000</v>
      </c>
      <c r="CT15" s="43" t="str">
        <f>IF(IFERROR(INDEX(Consulta!$A:$DP,MATCH('MM01'!$B15,Consulta!$C:$C,0),'MM01'!CT$2),"")=0,"",IFERROR(INDEX(Consulta!$A:$DP,MATCH('MM01'!$B15,Consulta!$C:$C,0),'MM01'!CT$2),""))</f>
        <v/>
      </c>
      <c r="CU15" s="43" t="str">
        <f>IF(IFERROR(INDEX(Consulta!$A:$DP,MATCH('MM01'!$B15,Consulta!$C:$C,0),'MM01'!CU$2),"")=0,"",IFERROR(INDEX(Consulta!$A:$DP,MATCH('MM01'!$B15,Consulta!$C:$C,0),'MM01'!CU$2),""))</f>
        <v/>
      </c>
      <c r="CV15" s="43" t="str">
        <f>IF(IFERROR(INDEX(Consulta!$A:$DP,MATCH('MM01'!$B15,Consulta!$C:$C,0),'MM01'!CV$2),"")=0,"",IFERROR(INDEX(Consulta!$A:$DP,MATCH('MM01'!$B15,Consulta!$C:$C,0),'MM01'!CV$2),""))</f>
        <v/>
      </c>
      <c r="CW15" s="43" t="str">
        <f>IF(IFERROR(INDEX(Consulta!$A:$DP,MATCH('MM01'!$B15,Consulta!$C:$C,0),'MM01'!CW$2),"")=0,"",IFERROR(INDEX(Consulta!$A:$DP,MATCH('MM01'!$B15,Consulta!$C:$C,0),'MM01'!CW$2),""))</f>
        <v/>
      </c>
      <c r="CX15" s="43" t="str">
        <f t="shared" si="20"/>
        <v/>
      </c>
      <c r="CY15" s="43" t="str">
        <f t="shared" si="21"/>
        <v/>
      </c>
      <c r="CZ15" s="43" t="str">
        <f t="shared" si="22"/>
        <v/>
      </c>
      <c r="DA15" s="43" t="str">
        <f>IF(IFERROR(INDEX(Consulta!$A:$DP,MATCH('MM01'!$B15,Consulta!$C:$C,0),'MM01'!DA$2),"")=0,"",IFERROR(INDEX(Consulta!$A:$DP,MATCH('MM01'!$B15,Consulta!$C:$C,0),'MM01'!DA$2),""))</f>
        <v/>
      </c>
      <c r="DB15" s="43" t="str">
        <f t="shared" si="23"/>
        <v/>
      </c>
      <c r="DC15" s="43" t="str">
        <f>IF(IFERROR(INDEX(Consulta!$A:$DP,MATCH('MM01'!$B15,Consulta!$C:$C,0),'MM01'!DC$2),"")=0,"",IFERROR(INDEX(Consulta!$A:$DP,MATCH('MM01'!$B15,Consulta!$C:$C,0),'MM01'!DC$2),""))</f>
        <v/>
      </c>
      <c r="DD15" s="45">
        <v>0</v>
      </c>
      <c r="DE15" s="45">
        <v>0</v>
      </c>
      <c r="DF15" s="43" t="str">
        <f t="shared" si="24"/>
        <v/>
      </c>
      <c r="DG15" s="43" t="str">
        <f t="shared" si="25"/>
        <v/>
      </c>
      <c r="DH15" s="57"/>
      <c r="DI15" s="43" t="str">
        <f t="shared" ca="1" si="26"/>
        <v/>
      </c>
      <c r="DJ15" s="43" t="str">
        <f t="shared" si="27"/>
        <v/>
      </c>
      <c r="DK15" s="43" t="str">
        <f t="shared" si="28"/>
        <v/>
      </c>
      <c r="DL15" s="57"/>
      <c r="DM15" s="43" t="str">
        <f t="shared" ca="1" si="29"/>
        <v/>
      </c>
      <c r="DN15" s="43" t="str">
        <f t="shared" si="30"/>
        <v/>
      </c>
      <c r="DO15" s="43" t="str">
        <f t="shared" si="31"/>
        <v/>
      </c>
      <c r="DP15" s="57"/>
      <c r="DQ15" s="43" t="str">
        <f t="shared" ca="1" si="32"/>
        <v/>
      </c>
      <c r="DR15" s="43" t="str">
        <f t="shared" si="33"/>
        <v/>
      </c>
      <c r="DS15" s="43" t="str">
        <f t="shared" si="34"/>
        <v/>
      </c>
      <c r="DT15" s="57"/>
      <c r="DU15" s="43" t="str">
        <f t="shared" ca="1" si="35"/>
        <v/>
      </c>
      <c r="DV15" s="43" t="str">
        <f t="shared" si="36"/>
        <v/>
      </c>
      <c r="DX15" s="44">
        <v>1</v>
      </c>
      <c r="DY15" s="44" t="s">
        <v>773</v>
      </c>
      <c r="DZ15" s="43">
        <f t="shared" si="37"/>
        <v>0.01</v>
      </c>
      <c r="EA15" s="43" t="str">
        <f t="shared" si="38"/>
        <v>M</v>
      </c>
      <c r="EB15" s="43" t="str">
        <f>IF(IFERROR(INDEX(Consulta!$A:$DP,MATCH('MM01'!$B15,Consulta!$C:$C,0),'MM01'!EB$2),"")=0,"7925",IF(IFERROR(INDEX(Consulta!$A:$DP,MATCH('MM01'!$B15,Consulta!$C:$C,0),'MM01'!EB$2),"")="68","7910","7925"))</f>
        <v>7925</v>
      </c>
      <c r="EC15" s="44">
        <v>100</v>
      </c>
      <c r="ED15" s="62">
        <v>1</v>
      </c>
      <c r="EE15" s="43">
        <f t="shared" si="39"/>
        <v>100</v>
      </c>
      <c r="EF15" s="44">
        <v>1</v>
      </c>
      <c r="EG15" s="44">
        <v>0</v>
      </c>
      <c r="EH15" s="44" t="s">
        <v>875</v>
      </c>
      <c r="EI15" s="45">
        <v>0</v>
      </c>
      <c r="EJ15" s="43">
        <f t="shared" si="40"/>
        <v>5000</v>
      </c>
      <c r="EK15" s="69"/>
    </row>
    <row r="16" spans="1:141" x14ac:dyDescent="0.2">
      <c r="A16" s="7" t="str">
        <f t="shared" si="0"/>
        <v>Execução 12</v>
      </c>
      <c r="B16" s="42"/>
      <c r="C16" s="43" t="str">
        <f>IF(IFERROR(INDEX(Consulta!$A:$DP,MATCH('MM01'!$B16,Consulta!$C:$C,0),'MM01'!C$2),"")=0,"",IFERROR(INDEX(Consulta!$A:$DP,MATCH('MM01'!$B16,Consulta!$C:$C,0),'MM01'!C$2),""))</f>
        <v/>
      </c>
      <c r="D16" s="43" t="str">
        <f>IF(IFERROR(INDEX(Consulta!$A:$DP,MATCH('MM01'!$B16,Consulta!$C:$C,0),'MM01'!D$2),"")=0,"",IFERROR(INDEX(Consulta!$A:$DP,MATCH('MM01'!$B16,Consulta!$C:$C,0),'MM01'!D$2),""))</f>
        <v/>
      </c>
      <c r="E16" s="43" t="str">
        <f>IF(IFERROR(INDEX(Consulta!$A:$DP,MATCH('MM01'!$B16,Consulta!$C:$C,0),'MM01'!E$2),"")=0,"",IFERROR(INDEX(Consulta!$A:$DP,MATCH('MM01'!$B16,Consulta!$C:$C,0),'MM01'!E$2),""))</f>
        <v/>
      </c>
      <c r="F16" s="44" t="s">
        <v>100</v>
      </c>
      <c r="G16" s="49" t="str">
        <f>IF(IFERROR(INDEX(Consulta!$A:$DP,MATCH('MM01'!$B16,Consulta!$C:$C,0),'MM01'!G$2),"")=0,"",IFERROR(INDEX(Consulta!$A:$DP,MATCH('MM01'!$B16,Consulta!$C:$C,0),'MM01'!G$2),""))</f>
        <v/>
      </c>
      <c r="H16" s="49" t="str">
        <f>IF(IFERROR(INDEX(Consulta!$A:$DP,MATCH('MM01'!$B16,Consulta!$C:$C,0),'MM01'!H$2),"")=0,"",IFERROR(INDEX(Consulta!$A:$DP,MATCH('MM01'!$B16,Consulta!$C:$C,0),'MM01'!H$2),""))</f>
        <v/>
      </c>
      <c r="I16" s="49" t="str">
        <f t="shared" si="1"/>
        <v/>
      </c>
      <c r="J16" s="49" t="str">
        <f>IF(IFERROR(INDEX(Consulta!$A:$DP,MATCH('MM01'!$B16,Consulta!$C:$C,0),'MM01'!J$2),"")=0,"",IFERROR(INDEX(Consulta!$A:$DP,MATCH('MM01'!$B16,Consulta!$C:$C,0),'MM01'!J$2),""))</f>
        <v/>
      </c>
      <c r="K16" s="49" t="str">
        <f t="shared" si="2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IF(IFERROR(INDEX(Consulta!$A:$DP,MATCH('MM01'!$B16,Consulta!$C:$C,0),'MM01'!AP$2),"")=0,"",IFERROR(INDEX(Consulta!$A:$DP,MATCH('MM01'!$B16,Consulta!$C:$C,0),'MM01'!AP$2),""))</f>
        <v/>
      </c>
      <c r="AQ16" s="45"/>
      <c r="AR16" s="43" t="str">
        <f>IF(IFERROR(INDEX(Consulta!$A:$DP,MATCH('MM01'!$B16,Consulta!$C:$C,0),'MM01'!AR$2),"")=0,"",IFERROR(INDEX(Consulta!$A:$DP,MATCH('MM01'!$B16,Consulta!$C:$C,0),'MM01'!AR$2),""))</f>
        <v/>
      </c>
      <c r="AS16" s="43" t="str">
        <f>IF(IFERROR(INDEX(Consulta!$A:$DP,MATCH('MM01'!$B16,Consulta!$C:$C,0),'MM01'!AS$2),"")=0,"",IF(AR16="68",5102,IFERROR(INDEX(Consulta!$A:$DP,MATCH('MM01'!$B16,Consulta!$C:$C,0),'MM01'!AS$2),"")))</f>
        <v/>
      </c>
      <c r="AT16" s="45"/>
      <c r="AU16" s="46" t="str">
        <f t="shared" ca="1" si="3"/>
        <v/>
      </c>
      <c r="AV16" s="47" t="s">
        <v>795</v>
      </c>
      <c r="AW16" s="43" t="str">
        <f>IF(IFERROR(INDEX(Consulta!$A:$DP,MATCH('MM01'!$B16,Consulta!$C:$C,0),'MM01'!AW$2),"")=0,"",IFERROR(ROUND(INDEX(Consulta!$A:$DP,MATCH('MM01'!$B16,Consulta!$C:$C,0),'MM01'!AW$2),3),""))</f>
        <v/>
      </c>
      <c r="AX16" s="43" t="str">
        <f t="shared" si="4"/>
        <v/>
      </c>
      <c r="AY16" s="48" t="s">
        <v>299</v>
      </c>
      <c r="AZ16" s="48"/>
      <c r="BA16" s="43" t="str">
        <f>IF(IFERROR(INDEX(Consulta!$A:$DP,MATCH('MM01'!$B16,Consulta!$C:$C,0),'MM01'!BA$2),"")=0,"",IFERROR(INDEX(Consulta!$A:$DP,MATCH('MM01'!$B16,Consulta!$C:$C,0),'MM01'!BA$2),""))</f>
        <v/>
      </c>
      <c r="BB16" s="43" t="str">
        <f t="shared" si="5"/>
        <v/>
      </c>
      <c r="BC16" s="43" t="str">
        <f t="shared" si="6"/>
        <v/>
      </c>
      <c r="BD16" s="43" t="str">
        <f t="shared" si="7"/>
        <v/>
      </c>
      <c r="BE16" s="43" t="str">
        <f t="shared" si="8"/>
        <v>M</v>
      </c>
      <c r="BF16" s="43" t="str">
        <f t="shared" si="9"/>
        <v/>
      </c>
      <c r="BG16" s="43" t="str">
        <f t="shared" si="10"/>
        <v/>
      </c>
      <c r="BH16" s="43" t="str">
        <f t="shared" si="11"/>
        <v/>
      </c>
      <c r="BI16" s="43" t="str">
        <f t="shared" si="12"/>
        <v>M</v>
      </c>
      <c r="BK16" s="45" t="s">
        <v>324</v>
      </c>
      <c r="BL16" s="43" t="str">
        <f>IF(IFERROR(INDEX(Consulta!$A:$DP,MATCH('MM01'!$B16,Consulta!$C:$C,0),'MM01'!BL$2),"")=0,"",IFERROR(INDEX(Consulta!$A:$DP,MATCH('MM01'!$B16,Consulta!$C:$C,0),'MM01'!BL$2),""))</f>
        <v/>
      </c>
      <c r="BM16" s="45"/>
      <c r="BN16" s="46" t="str">
        <f t="shared" ca="1" si="13"/>
        <v/>
      </c>
      <c r="BO16" s="49" t="str">
        <f t="shared" si="14"/>
        <v/>
      </c>
      <c r="BP16" s="50">
        <v>1</v>
      </c>
      <c r="BQ16" s="50" t="s">
        <v>194</v>
      </c>
      <c r="BR16" s="79" t="str">
        <f t="shared" si="15"/>
        <v>01</v>
      </c>
      <c r="BS16" s="50" t="s">
        <v>795</v>
      </c>
      <c r="BT16" s="44">
        <v>1</v>
      </c>
      <c r="BU16" s="44" t="s">
        <v>371</v>
      </c>
      <c r="BV16" s="50" t="s">
        <v>197</v>
      </c>
      <c r="BW16" s="50" t="s">
        <v>197</v>
      </c>
      <c r="BX16" s="43" t="str">
        <f>IF(IFERROR(INDEX(Consulta!$A:$DP,MATCH('MM01'!$B16,Consulta!$C:$C,0),'MM01'!BX$2),"")=0,"",IFERROR(INDEX(Consulta!$A:$DP,MATCH('MM01'!$B16,Consulta!$C:$C,0),'MM01'!BX$2),""))</f>
        <v/>
      </c>
      <c r="BY16" s="44" t="s">
        <v>391</v>
      </c>
      <c r="BZ16" s="50">
        <v>0</v>
      </c>
      <c r="CA16" s="45" t="s">
        <v>402</v>
      </c>
      <c r="CB16" s="45" t="s">
        <v>84</v>
      </c>
      <c r="CC16" s="43" t="str">
        <f t="shared" si="16"/>
        <v/>
      </c>
      <c r="CD16" s="45" t="s">
        <v>38</v>
      </c>
      <c r="CE16" s="45">
        <v>1</v>
      </c>
      <c r="CF16" s="45" t="s">
        <v>495</v>
      </c>
      <c r="CG16" s="45"/>
      <c r="CH16" s="44">
        <v>2</v>
      </c>
      <c r="CI16" s="49" t="str">
        <f t="shared" si="17"/>
        <v/>
      </c>
      <c r="CJ16" s="49" t="str">
        <f t="shared" si="18"/>
        <v/>
      </c>
      <c r="CK16" s="45"/>
      <c r="CL16" s="44">
        <v>1</v>
      </c>
      <c r="CM16" s="50" t="s">
        <v>514</v>
      </c>
      <c r="CN16" s="44" t="s">
        <v>371</v>
      </c>
      <c r="CO16" s="44">
        <v>2</v>
      </c>
      <c r="CP16" s="44">
        <v>42</v>
      </c>
      <c r="CQ16" s="44">
        <v>10</v>
      </c>
      <c r="CR16" s="43" t="str">
        <f t="shared" si="19"/>
        <v>K00_P_</v>
      </c>
      <c r="CS16" s="45">
        <v>5000</v>
      </c>
      <c r="CT16" s="43" t="str">
        <f>IF(IFERROR(INDEX(Consulta!$A:$DP,MATCH('MM01'!$B16,Consulta!$C:$C,0),'MM01'!CT$2),"")=0,"",IFERROR(INDEX(Consulta!$A:$DP,MATCH('MM01'!$B16,Consulta!$C:$C,0),'MM01'!CT$2),""))</f>
        <v/>
      </c>
      <c r="CU16" s="43" t="str">
        <f>IF(IFERROR(INDEX(Consulta!$A:$DP,MATCH('MM01'!$B16,Consulta!$C:$C,0),'MM01'!CU$2),"")=0,"",IFERROR(INDEX(Consulta!$A:$DP,MATCH('MM01'!$B16,Consulta!$C:$C,0),'MM01'!CU$2),""))</f>
        <v/>
      </c>
      <c r="CV16" s="43" t="str">
        <f>IF(IFERROR(INDEX(Consulta!$A:$DP,MATCH('MM01'!$B16,Consulta!$C:$C,0),'MM01'!CV$2),"")=0,"",IFERROR(INDEX(Consulta!$A:$DP,MATCH('MM01'!$B16,Consulta!$C:$C,0),'MM01'!CV$2),""))</f>
        <v/>
      </c>
      <c r="CW16" s="43" t="str">
        <f>IF(IFERROR(INDEX(Consulta!$A:$DP,MATCH('MM01'!$B16,Consulta!$C:$C,0),'MM01'!CW$2),"")=0,"",IFERROR(INDEX(Consulta!$A:$DP,MATCH('MM01'!$B16,Consulta!$C:$C,0),'MM01'!CW$2),""))</f>
        <v/>
      </c>
      <c r="CX16" s="43" t="str">
        <f t="shared" si="20"/>
        <v/>
      </c>
      <c r="CY16" s="43" t="str">
        <f t="shared" si="21"/>
        <v/>
      </c>
      <c r="CZ16" s="43" t="str">
        <f t="shared" si="22"/>
        <v/>
      </c>
      <c r="DA16" s="43" t="str">
        <f>IF(IFERROR(INDEX(Consulta!$A:$DP,MATCH('MM01'!$B16,Consulta!$C:$C,0),'MM01'!DA$2),"")=0,"",IFERROR(INDEX(Consulta!$A:$DP,MATCH('MM01'!$B16,Consulta!$C:$C,0),'MM01'!DA$2),""))</f>
        <v/>
      </c>
      <c r="DB16" s="43" t="str">
        <f t="shared" si="23"/>
        <v/>
      </c>
      <c r="DC16" s="43" t="str">
        <f>IF(IFERROR(INDEX(Consulta!$A:$DP,MATCH('MM01'!$B16,Consulta!$C:$C,0),'MM01'!DC$2),"")=0,"",IFERROR(INDEX(Consulta!$A:$DP,MATCH('MM01'!$B16,Consulta!$C:$C,0),'MM01'!DC$2),""))</f>
        <v/>
      </c>
      <c r="DD16" s="45">
        <v>0</v>
      </c>
      <c r="DE16" s="45">
        <v>0</v>
      </c>
      <c r="DF16" s="43" t="str">
        <f t="shared" si="24"/>
        <v/>
      </c>
      <c r="DG16" s="43" t="str">
        <f t="shared" si="25"/>
        <v/>
      </c>
      <c r="DH16" s="57"/>
      <c r="DI16" s="43" t="str">
        <f t="shared" ca="1" si="26"/>
        <v/>
      </c>
      <c r="DJ16" s="43" t="str">
        <f t="shared" si="27"/>
        <v/>
      </c>
      <c r="DK16" s="43" t="str">
        <f t="shared" si="28"/>
        <v/>
      </c>
      <c r="DL16" s="57"/>
      <c r="DM16" s="43" t="str">
        <f t="shared" ca="1" si="29"/>
        <v/>
      </c>
      <c r="DN16" s="43" t="str">
        <f t="shared" si="30"/>
        <v/>
      </c>
      <c r="DO16" s="43" t="str">
        <f t="shared" si="31"/>
        <v/>
      </c>
      <c r="DP16" s="57"/>
      <c r="DQ16" s="43" t="str">
        <f t="shared" ca="1" si="32"/>
        <v/>
      </c>
      <c r="DR16" s="43" t="str">
        <f t="shared" si="33"/>
        <v/>
      </c>
      <c r="DS16" s="43" t="str">
        <f t="shared" si="34"/>
        <v/>
      </c>
      <c r="DT16" s="57"/>
      <c r="DU16" s="43" t="str">
        <f t="shared" ca="1" si="35"/>
        <v/>
      </c>
      <c r="DV16" s="43" t="str">
        <f t="shared" si="36"/>
        <v/>
      </c>
      <c r="DX16" s="44">
        <v>1</v>
      </c>
      <c r="DY16" s="44" t="s">
        <v>773</v>
      </c>
      <c r="DZ16" s="43">
        <f t="shared" si="37"/>
        <v>0.01</v>
      </c>
      <c r="EA16" s="43" t="str">
        <f t="shared" si="38"/>
        <v>M</v>
      </c>
      <c r="EB16" s="43" t="str">
        <f>IF(IFERROR(INDEX(Consulta!$A:$DP,MATCH('MM01'!$B16,Consulta!$C:$C,0),'MM01'!EB$2),"")=0,"7925",IF(IFERROR(INDEX(Consulta!$A:$DP,MATCH('MM01'!$B16,Consulta!$C:$C,0),'MM01'!EB$2),"")="68","7910","7925"))</f>
        <v>7925</v>
      </c>
      <c r="EC16" s="44">
        <v>100</v>
      </c>
      <c r="ED16" s="62">
        <v>1</v>
      </c>
      <c r="EE16" s="43">
        <f t="shared" si="39"/>
        <v>100</v>
      </c>
      <c r="EF16" s="44">
        <v>1</v>
      </c>
      <c r="EG16" s="44">
        <v>0</v>
      </c>
      <c r="EH16" s="44" t="s">
        <v>875</v>
      </c>
      <c r="EI16" s="45">
        <v>0</v>
      </c>
      <c r="EJ16" s="43">
        <f t="shared" si="40"/>
        <v>5000</v>
      </c>
      <c r="EK16" s="69"/>
    </row>
    <row r="17" spans="1:141" x14ac:dyDescent="0.2">
      <c r="A17" s="7" t="str">
        <f t="shared" si="0"/>
        <v>Execução 13</v>
      </c>
      <c r="B17" s="42"/>
      <c r="C17" s="43" t="str">
        <f>IF(IFERROR(INDEX(Consulta!$A:$DP,MATCH('MM01'!$B17,Consulta!$C:$C,0),'MM01'!C$2),"")=0,"",IFERROR(INDEX(Consulta!$A:$DP,MATCH('MM01'!$B17,Consulta!$C:$C,0),'MM01'!C$2),""))</f>
        <v/>
      </c>
      <c r="D17" s="43" t="str">
        <f>IF(IFERROR(INDEX(Consulta!$A:$DP,MATCH('MM01'!$B17,Consulta!$C:$C,0),'MM01'!D$2),"")=0,"",IFERROR(INDEX(Consulta!$A:$DP,MATCH('MM01'!$B17,Consulta!$C:$C,0),'MM01'!D$2),""))</f>
        <v/>
      </c>
      <c r="E17" s="43" t="str">
        <f>IF(IFERROR(INDEX(Consulta!$A:$DP,MATCH('MM01'!$B17,Consulta!$C:$C,0),'MM01'!E$2),"")=0,"",IFERROR(INDEX(Consulta!$A:$DP,MATCH('MM01'!$B17,Consulta!$C:$C,0),'MM01'!E$2),""))</f>
        <v/>
      </c>
      <c r="F17" s="44" t="s">
        <v>100</v>
      </c>
      <c r="G17" s="49" t="str">
        <f>IF(IFERROR(INDEX(Consulta!$A:$DP,MATCH('MM01'!$B17,Consulta!$C:$C,0),'MM01'!G$2),"")=0,"",IFERROR(INDEX(Consulta!$A:$DP,MATCH('MM01'!$B17,Consulta!$C:$C,0),'MM01'!G$2),""))</f>
        <v/>
      </c>
      <c r="H17" s="49" t="str">
        <f>IF(IFERROR(INDEX(Consulta!$A:$DP,MATCH('MM01'!$B17,Consulta!$C:$C,0),'MM01'!H$2),"")=0,"",IFERROR(INDEX(Consulta!$A:$DP,MATCH('MM01'!$B17,Consulta!$C:$C,0),'MM01'!H$2),""))</f>
        <v/>
      </c>
      <c r="I17" s="49" t="str">
        <f t="shared" si="1"/>
        <v/>
      </c>
      <c r="J17" s="49" t="str">
        <f>IF(IFERROR(INDEX(Consulta!$A:$DP,MATCH('MM01'!$B17,Consulta!$C:$C,0),'MM01'!J$2),"")=0,"",IFERROR(INDEX(Consulta!$A:$DP,MATCH('MM01'!$B17,Consulta!$C:$C,0),'MM01'!J$2),""))</f>
        <v/>
      </c>
      <c r="K17" s="49" t="str">
        <f t="shared" si="2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IF(IFERROR(INDEX(Consulta!$A:$DP,MATCH('MM01'!$B17,Consulta!$C:$C,0),'MM01'!AP$2),"")=0,"",IFERROR(INDEX(Consulta!$A:$DP,MATCH('MM01'!$B17,Consulta!$C:$C,0),'MM01'!AP$2),""))</f>
        <v/>
      </c>
      <c r="AQ17" s="45"/>
      <c r="AR17" s="43" t="str">
        <f>IF(IFERROR(INDEX(Consulta!$A:$DP,MATCH('MM01'!$B17,Consulta!$C:$C,0),'MM01'!AR$2),"")=0,"",IFERROR(INDEX(Consulta!$A:$DP,MATCH('MM01'!$B17,Consulta!$C:$C,0),'MM01'!AR$2),""))</f>
        <v/>
      </c>
      <c r="AS17" s="43" t="str">
        <f>IF(IFERROR(INDEX(Consulta!$A:$DP,MATCH('MM01'!$B17,Consulta!$C:$C,0),'MM01'!AS$2),"")=0,"",IF(AR17="68",5102,IFERROR(INDEX(Consulta!$A:$DP,MATCH('MM01'!$B17,Consulta!$C:$C,0),'MM01'!AS$2),"")))</f>
        <v/>
      </c>
      <c r="AT17" s="45"/>
      <c r="AU17" s="46" t="str">
        <f t="shared" ca="1" si="3"/>
        <v/>
      </c>
      <c r="AV17" s="47" t="s">
        <v>795</v>
      </c>
      <c r="AW17" s="43" t="str">
        <f>IF(IFERROR(INDEX(Consulta!$A:$DP,MATCH('MM01'!$B17,Consulta!$C:$C,0),'MM01'!AW$2),"")=0,"",IFERROR(ROUND(INDEX(Consulta!$A:$DP,MATCH('MM01'!$B17,Consulta!$C:$C,0),'MM01'!AW$2),3),""))</f>
        <v/>
      </c>
      <c r="AX17" s="43" t="str">
        <f t="shared" si="4"/>
        <v/>
      </c>
      <c r="AY17" s="48" t="s">
        <v>299</v>
      </c>
      <c r="AZ17" s="48"/>
      <c r="BA17" s="43" t="str">
        <f>IF(IFERROR(INDEX(Consulta!$A:$DP,MATCH('MM01'!$B17,Consulta!$C:$C,0),'MM01'!BA$2),"")=0,"",IFERROR(INDEX(Consulta!$A:$DP,MATCH('MM01'!$B17,Consulta!$C:$C,0),'MM01'!BA$2),""))</f>
        <v/>
      </c>
      <c r="BB17" s="43" t="str">
        <f t="shared" si="5"/>
        <v/>
      </c>
      <c r="BC17" s="43" t="str">
        <f t="shared" si="6"/>
        <v/>
      </c>
      <c r="BD17" s="43" t="str">
        <f t="shared" si="7"/>
        <v/>
      </c>
      <c r="BE17" s="43" t="str">
        <f t="shared" si="8"/>
        <v>M</v>
      </c>
      <c r="BF17" s="43" t="str">
        <f t="shared" si="9"/>
        <v/>
      </c>
      <c r="BG17" s="43" t="str">
        <f t="shared" si="10"/>
        <v/>
      </c>
      <c r="BH17" s="43" t="str">
        <f t="shared" si="11"/>
        <v/>
      </c>
      <c r="BI17" s="43" t="str">
        <f t="shared" si="12"/>
        <v>M</v>
      </c>
      <c r="BK17" s="45" t="s">
        <v>324</v>
      </c>
      <c r="BL17" s="43" t="str">
        <f>IF(IFERROR(INDEX(Consulta!$A:$DP,MATCH('MM01'!$B17,Consulta!$C:$C,0),'MM01'!BL$2),"")=0,"",IFERROR(INDEX(Consulta!$A:$DP,MATCH('MM01'!$B17,Consulta!$C:$C,0),'MM01'!BL$2),""))</f>
        <v/>
      </c>
      <c r="BM17" s="45"/>
      <c r="BN17" s="46" t="str">
        <f t="shared" ca="1" si="13"/>
        <v/>
      </c>
      <c r="BO17" s="49" t="str">
        <f t="shared" si="14"/>
        <v/>
      </c>
      <c r="BP17" s="50">
        <v>1</v>
      </c>
      <c r="BQ17" s="50" t="s">
        <v>194</v>
      </c>
      <c r="BR17" s="79" t="str">
        <f t="shared" si="15"/>
        <v>01</v>
      </c>
      <c r="BS17" s="50" t="s">
        <v>795</v>
      </c>
      <c r="BT17" s="44">
        <v>1</v>
      </c>
      <c r="BU17" s="44" t="s">
        <v>371</v>
      </c>
      <c r="BV17" s="50" t="s">
        <v>197</v>
      </c>
      <c r="BW17" s="50" t="s">
        <v>197</v>
      </c>
      <c r="BX17" s="43" t="str">
        <f>IF(IFERROR(INDEX(Consulta!$A:$DP,MATCH('MM01'!$B17,Consulta!$C:$C,0),'MM01'!BX$2),"")=0,"",IFERROR(INDEX(Consulta!$A:$DP,MATCH('MM01'!$B17,Consulta!$C:$C,0),'MM01'!BX$2),""))</f>
        <v/>
      </c>
      <c r="BY17" s="44" t="s">
        <v>391</v>
      </c>
      <c r="BZ17" s="50">
        <v>0</v>
      </c>
      <c r="CA17" s="45" t="s">
        <v>402</v>
      </c>
      <c r="CB17" s="45" t="s">
        <v>84</v>
      </c>
      <c r="CC17" s="43" t="str">
        <f t="shared" si="16"/>
        <v/>
      </c>
      <c r="CD17" s="45" t="s">
        <v>38</v>
      </c>
      <c r="CE17" s="45">
        <v>1</v>
      </c>
      <c r="CF17" s="45" t="s">
        <v>495</v>
      </c>
      <c r="CG17" s="45"/>
      <c r="CH17" s="44">
        <v>2</v>
      </c>
      <c r="CI17" s="49" t="str">
        <f t="shared" si="17"/>
        <v/>
      </c>
      <c r="CJ17" s="49" t="str">
        <f t="shared" si="18"/>
        <v/>
      </c>
      <c r="CK17" s="45"/>
      <c r="CL17" s="44">
        <v>1</v>
      </c>
      <c r="CM17" s="50" t="s">
        <v>514</v>
      </c>
      <c r="CN17" s="44" t="s">
        <v>371</v>
      </c>
      <c r="CO17" s="44">
        <v>2</v>
      </c>
      <c r="CP17" s="44">
        <v>42</v>
      </c>
      <c r="CQ17" s="44">
        <v>10</v>
      </c>
      <c r="CR17" s="43" t="str">
        <f t="shared" si="19"/>
        <v>K00_P_</v>
      </c>
      <c r="CS17" s="45">
        <v>5000</v>
      </c>
      <c r="CT17" s="43" t="str">
        <f>IF(IFERROR(INDEX(Consulta!$A:$DP,MATCH('MM01'!$B17,Consulta!$C:$C,0),'MM01'!CT$2),"")=0,"",IFERROR(INDEX(Consulta!$A:$DP,MATCH('MM01'!$B17,Consulta!$C:$C,0),'MM01'!CT$2),""))</f>
        <v/>
      </c>
      <c r="CU17" s="43" t="str">
        <f>IF(IFERROR(INDEX(Consulta!$A:$DP,MATCH('MM01'!$B17,Consulta!$C:$C,0),'MM01'!CU$2),"")=0,"",IFERROR(INDEX(Consulta!$A:$DP,MATCH('MM01'!$B17,Consulta!$C:$C,0),'MM01'!CU$2),""))</f>
        <v/>
      </c>
      <c r="CV17" s="43" t="str">
        <f>IF(IFERROR(INDEX(Consulta!$A:$DP,MATCH('MM01'!$B17,Consulta!$C:$C,0),'MM01'!CV$2),"")=0,"",IFERROR(INDEX(Consulta!$A:$DP,MATCH('MM01'!$B17,Consulta!$C:$C,0),'MM01'!CV$2),""))</f>
        <v/>
      </c>
      <c r="CW17" s="43" t="str">
        <f>IF(IFERROR(INDEX(Consulta!$A:$DP,MATCH('MM01'!$B17,Consulta!$C:$C,0),'MM01'!CW$2),"")=0,"",IFERROR(INDEX(Consulta!$A:$DP,MATCH('MM01'!$B17,Consulta!$C:$C,0),'MM01'!CW$2),""))</f>
        <v/>
      </c>
      <c r="CX17" s="43" t="str">
        <f t="shared" si="20"/>
        <v/>
      </c>
      <c r="CY17" s="43" t="str">
        <f t="shared" si="21"/>
        <v/>
      </c>
      <c r="CZ17" s="43" t="str">
        <f t="shared" si="22"/>
        <v/>
      </c>
      <c r="DA17" s="43" t="str">
        <f>IF(IFERROR(INDEX(Consulta!$A:$DP,MATCH('MM01'!$B17,Consulta!$C:$C,0),'MM01'!DA$2),"")=0,"",IFERROR(INDEX(Consulta!$A:$DP,MATCH('MM01'!$B17,Consulta!$C:$C,0),'MM01'!DA$2),""))</f>
        <v/>
      </c>
      <c r="DB17" s="43" t="str">
        <f t="shared" si="23"/>
        <v/>
      </c>
      <c r="DC17" s="43" t="str">
        <f>IF(IFERROR(INDEX(Consulta!$A:$DP,MATCH('MM01'!$B17,Consulta!$C:$C,0),'MM01'!DC$2),"")=0,"",IFERROR(INDEX(Consulta!$A:$DP,MATCH('MM01'!$B17,Consulta!$C:$C,0),'MM01'!DC$2),""))</f>
        <v/>
      </c>
      <c r="DD17" s="45">
        <v>0</v>
      </c>
      <c r="DE17" s="45">
        <v>0</v>
      </c>
      <c r="DF17" s="43" t="str">
        <f t="shared" si="24"/>
        <v/>
      </c>
      <c r="DG17" s="43" t="str">
        <f t="shared" si="25"/>
        <v/>
      </c>
      <c r="DH17" s="57"/>
      <c r="DI17" s="43" t="str">
        <f t="shared" ca="1" si="26"/>
        <v/>
      </c>
      <c r="DJ17" s="43" t="str">
        <f t="shared" si="27"/>
        <v/>
      </c>
      <c r="DK17" s="43" t="str">
        <f t="shared" si="28"/>
        <v/>
      </c>
      <c r="DL17" s="57"/>
      <c r="DM17" s="43" t="str">
        <f t="shared" ca="1" si="29"/>
        <v/>
      </c>
      <c r="DN17" s="43" t="str">
        <f t="shared" si="30"/>
        <v/>
      </c>
      <c r="DO17" s="43" t="str">
        <f t="shared" si="31"/>
        <v/>
      </c>
      <c r="DP17" s="57"/>
      <c r="DQ17" s="43" t="str">
        <f t="shared" ca="1" si="32"/>
        <v/>
      </c>
      <c r="DR17" s="43" t="str">
        <f t="shared" si="33"/>
        <v/>
      </c>
      <c r="DS17" s="43" t="str">
        <f t="shared" si="34"/>
        <v/>
      </c>
      <c r="DT17" s="57"/>
      <c r="DU17" s="43" t="str">
        <f t="shared" ca="1" si="35"/>
        <v/>
      </c>
      <c r="DV17" s="43" t="str">
        <f t="shared" si="36"/>
        <v/>
      </c>
      <c r="DX17" s="44">
        <v>1</v>
      </c>
      <c r="DY17" s="44" t="s">
        <v>773</v>
      </c>
      <c r="DZ17" s="43">
        <f t="shared" si="37"/>
        <v>0.01</v>
      </c>
      <c r="EA17" s="43" t="str">
        <f t="shared" si="38"/>
        <v>M</v>
      </c>
      <c r="EB17" s="43" t="str">
        <f>IF(IFERROR(INDEX(Consulta!$A:$DP,MATCH('MM01'!$B17,Consulta!$C:$C,0),'MM01'!EB$2),"")=0,"7925",IF(IFERROR(INDEX(Consulta!$A:$DP,MATCH('MM01'!$B17,Consulta!$C:$C,0),'MM01'!EB$2),"")="68","7910","7925"))</f>
        <v>7925</v>
      </c>
      <c r="EC17" s="44">
        <v>100</v>
      </c>
      <c r="ED17" s="62">
        <v>1</v>
      </c>
      <c r="EE17" s="43">
        <f t="shared" si="39"/>
        <v>100</v>
      </c>
      <c r="EF17" s="44">
        <v>1</v>
      </c>
      <c r="EG17" s="44">
        <v>0</v>
      </c>
      <c r="EH17" s="44" t="s">
        <v>875</v>
      </c>
      <c r="EI17" s="45">
        <v>0</v>
      </c>
      <c r="EJ17" s="43">
        <f t="shared" si="40"/>
        <v>5000</v>
      </c>
      <c r="EK17" s="69"/>
    </row>
    <row r="18" spans="1:141" x14ac:dyDescent="0.2">
      <c r="A18" s="7" t="str">
        <f t="shared" si="0"/>
        <v>Execução 14</v>
      </c>
      <c r="B18" s="42"/>
      <c r="C18" s="43" t="str">
        <f>IF(IFERROR(INDEX(Consulta!$A:$DP,MATCH('MM01'!$B18,Consulta!$C:$C,0),'MM01'!C$2),"")=0,"",IFERROR(INDEX(Consulta!$A:$DP,MATCH('MM01'!$B18,Consulta!$C:$C,0),'MM01'!C$2),""))</f>
        <v/>
      </c>
      <c r="D18" s="43" t="str">
        <f>IF(IFERROR(INDEX(Consulta!$A:$DP,MATCH('MM01'!$B18,Consulta!$C:$C,0),'MM01'!D$2),"")=0,"",IFERROR(INDEX(Consulta!$A:$DP,MATCH('MM01'!$B18,Consulta!$C:$C,0),'MM01'!D$2),""))</f>
        <v/>
      </c>
      <c r="E18" s="43" t="str">
        <f>IF(IFERROR(INDEX(Consulta!$A:$DP,MATCH('MM01'!$B18,Consulta!$C:$C,0),'MM01'!E$2),"")=0,"",IFERROR(INDEX(Consulta!$A:$DP,MATCH('MM01'!$B18,Consulta!$C:$C,0),'MM01'!E$2),""))</f>
        <v/>
      </c>
      <c r="F18" s="44" t="s">
        <v>100</v>
      </c>
      <c r="G18" s="49" t="str">
        <f>IF(IFERROR(INDEX(Consulta!$A:$DP,MATCH('MM01'!$B18,Consulta!$C:$C,0),'MM01'!G$2),"")=0,"",IFERROR(INDEX(Consulta!$A:$DP,MATCH('MM01'!$B18,Consulta!$C:$C,0),'MM01'!G$2),""))</f>
        <v/>
      </c>
      <c r="H18" s="49" t="str">
        <f>IF(IFERROR(INDEX(Consulta!$A:$DP,MATCH('MM01'!$B18,Consulta!$C:$C,0),'MM01'!H$2),"")=0,"",IFERROR(INDEX(Consulta!$A:$DP,MATCH('MM01'!$B18,Consulta!$C:$C,0),'MM01'!H$2),""))</f>
        <v/>
      </c>
      <c r="I18" s="49" t="str">
        <f t="shared" si="1"/>
        <v/>
      </c>
      <c r="J18" s="49" t="str">
        <f>IF(IFERROR(INDEX(Consulta!$A:$DP,MATCH('MM01'!$B18,Consulta!$C:$C,0),'MM01'!J$2),"")=0,"",IFERROR(INDEX(Consulta!$A:$DP,MATCH('MM01'!$B18,Consulta!$C:$C,0),'MM01'!J$2),""))</f>
        <v/>
      </c>
      <c r="K18" s="49" t="str">
        <f t="shared" si="2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IF(IFERROR(INDEX(Consulta!$A:$DP,MATCH('MM01'!$B18,Consulta!$C:$C,0),'MM01'!AP$2),"")=0,"",IFERROR(INDEX(Consulta!$A:$DP,MATCH('MM01'!$B18,Consulta!$C:$C,0),'MM01'!AP$2),""))</f>
        <v/>
      </c>
      <c r="AQ18" s="45"/>
      <c r="AR18" s="43" t="str">
        <f>IF(IFERROR(INDEX(Consulta!$A:$DP,MATCH('MM01'!$B18,Consulta!$C:$C,0),'MM01'!AR$2),"")=0,"",IFERROR(INDEX(Consulta!$A:$DP,MATCH('MM01'!$B18,Consulta!$C:$C,0),'MM01'!AR$2),""))</f>
        <v/>
      </c>
      <c r="AS18" s="43" t="str">
        <f>IF(IFERROR(INDEX(Consulta!$A:$DP,MATCH('MM01'!$B18,Consulta!$C:$C,0),'MM01'!AS$2),"")=0,"",IF(AR18="68",5102,IFERROR(INDEX(Consulta!$A:$DP,MATCH('MM01'!$B18,Consulta!$C:$C,0),'MM01'!AS$2),"")))</f>
        <v/>
      </c>
      <c r="AT18" s="45"/>
      <c r="AU18" s="46" t="str">
        <f t="shared" ca="1" si="3"/>
        <v/>
      </c>
      <c r="AV18" s="47" t="s">
        <v>795</v>
      </c>
      <c r="AW18" s="43" t="str">
        <f>IF(IFERROR(INDEX(Consulta!$A:$DP,MATCH('MM01'!$B18,Consulta!$C:$C,0),'MM01'!AW$2),"")=0,"",IFERROR(ROUND(INDEX(Consulta!$A:$DP,MATCH('MM01'!$B18,Consulta!$C:$C,0),'MM01'!AW$2),3),""))</f>
        <v/>
      </c>
      <c r="AX18" s="43" t="str">
        <f t="shared" si="4"/>
        <v/>
      </c>
      <c r="AY18" s="48" t="s">
        <v>299</v>
      </c>
      <c r="AZ18" s="48"/>
      <c r="BA18" s="43" t="str">
        <f>IF(IFERROR(INDEX(Consulta!$A:$DP,MATCH('MM01'!$B18,Consulta!$C:$C,0),'MM01'!BA$2),"")=0,"",IFERROR(INDEX(Consulta!$A:$DP,MATCH('MM01'!$B18,Consulta!$C:$C,0),'MM01'!BA$2),""))</f>
        <v/>
      </c>
      <c r="BB18" s="43" t="str">
        <f t="shared" si="5"/>
        <v/>
      </c>
      <c r="BC18" s="43" t="str">
        <f t="shared" si="6"/>
        <v/>
      </c>
      <c r="BD18" s="43" t="str">
        <f t="shared" si="7"/>
        <v/>
      </c>
      <c r="BE18" s="43" t="str">
        <f t="shared" si="8"/>
        <v>M</v>
      </c>
      <c r="BF18" s="43" t="str">
        <f t="shared" si="9"/>
        <v/>
      </c>
      <c r="BG18" s="43" t="str">
        <f t="shared" si="10"/>
        <v/>
      </c>
      <c r="BH18" s="43" t="str">
        <f t="shared" si="11"/>
        <v/>
      </c>
      <c r="BI18" s="43" t="str">
        <f t="shared" si="12"/>
        <v>M</v>
      </c>
      <c r="BK18" s="45" t="s">
        <v>324</v>
      </c>
      <c r="BL18" s="43" t="str">
        <f>IF(IFERROR(INDEX(Consulta!$A:$DP,MATCH('MM01'!$B18,Consulta!$C:$C,0),'MM01'!BL$2),"")=0,"",IFERROR(INDEX(Consulta!$A:$DP,MATCH('MM01'!$B18,Consulta!$C:$C,0),'MM01'!BL$2),""))</f>
        <v/>
      </c>
      <c r="BM18" s="45"/>
      <c r="BN18" s="46" t="str">
        <f t="shared" ca="1" si="13"/>
        <v/>
      </c>
      <c r="BO18" s="49" t="str">
        <f t="shared" si="14"/>
        <v/>
      </c>
      <c r="BP18" s="50">
        <v>1</v>
      </c>
      <c r="BQ18" s="50" t="s">
        <v>194</v>
      </c>
      <c r="BR18" s="79" t="str">
        <f t="shared" si="15"/>
        <v>01</v>
      </c>
      <c r="BS18" s="50" t="s">
        <v>795</v>
      </c>
      <c r="BT18" s="44">
        <v>1</v>
      </c>
      <c r="BU18" s="44" t="s">
        <v>371</v>
      </c>
      <c r="BV18" s="50" t="s">
        <v>197</v>
      </c>
      <c r="BW18" s="50" t="s">
        <v>197</v>
      </c>
      <c r="BX18" s="43" t="str">
        <f>IF(IFERROR(INDEX(Consulta!$A:$DP,MATCH('MM01'!$B18,Consulta!$C:$C,0),'MM01'!BX$2),"")=0,"",IFERROR(INDEX(Consulta!$A:$DP,MATCH('MM01'!$B18,Consulta!$C:$C,0),'MM01'!BX$2),""))</f>
        <v/>
      </c>
      <c r="BY18" s="44" t="s">
        <v>391</v>
      </c>
      <c r="BZ18" s="50">
        <v>0</v>
      </c>
      <c r="CA18" s="45" t="s">
        <v>402</v>
      </c>
      <c r="CB18" s="45" t="s">
        <v>84</v>
      </c>
      <c r="CC18" s="43" t="str">
        <f t="shared" si="16"/>
        <v/>
      </c>
      <c r="CD18" s="45" t="s">
        <v>38</v>
      </c>
      <c r="CE18" s="45">
        <v>1</v>
      </c>
      <c r="CF18" s="45" t="s">
        <v>495</v>
      </c>
      <c r="CG18" s="45"/>
      <c r="CH18" s="44">
        <v>2</v>
      </c>
      <c r="CI18" s="49" t="str">
        <f t="shared" si="17"/>
        <v/>
      </c>
      <c r="CJ18" s="49" t="str">
        <f t="shared" si="18"/>
        <v/>
      </c>
      <c r="CK18" s="45"/>
      <c r="CL18" s="44">
        <v>1</v>
      </c>
      <c r="CM18" s="50" t="s">
        <v>514</v>
      </c>
      <c r="CN18" s="44" t="s">
        <v>371</v>
      </c>
      <c r="CO18" s="44">
        <v>2</v>
      </c>
      <c r="CP18" s="44">
        <v>42</v>
      </c>
      <c r="CQ18" s="44">
        <v>10</v>
      </c>
      <c r="CR18" s="43" t="str">
        <f t="shared" si="19"/>
        <v>K00_P_</v>
      </c>
      <c r="CS18" s="45">
        <v>5000</v>
      </c>
      <c r="CT18" s="43" t="str">
        <f>IF(IFERROR(INDEX(Consulta!$A:$DP,MATCH('MM01'!$B18,Consulta!$C:$C,0),'MM01'!CT$2),"")=0,"",IFERROR(INDEX(Consulta!$A:$DP,MATCH('MM01'!$B18,Consulta!$C:$C,0),'MM01'!CT$2),""))</f>
        <v/>
      </c>
      <c r="CU18" s="43" t="str">
        <f>IF(IFERROR(INDEX(Consulta!$A:$DP,MATCH('MM01'!$B18,Consulta!$C:$C,0),'MM01'!CU$2),"")=0,"",IFERROR(INDEX(Consulta!$A:$DP,MATCH('MM01'!$B18,Consulta!$C:$C,0),'MM01'!CU$2),""))</f>
        <v/>
      </c>
      <c r="CV18" s="43" t="str">
        <f>IF(IFERROR(INDEX(Consulta!$A:$DP,MATCH('MM01'!$B18,Consulta!$C:$C,0),'MM01'!CV$2),"")=0,"",IFERROR(INDEX(Consulta!$A:$DP,MATCH('MM01'!$B18,Consulta!$C:$C,0),'MM01'!CV$2),""))</f>
        <v/>
      </c>
      <c r="CW18" s="43" t="str">
        <f>IF(IFERROR(INDEX(Consulta!$A:$DP,MATCH('MM01'!$B18,Consulta!$C:$C,0),'MM01'!CW$2),"")=0,"",IFERROR(INDEX(Consulta!$A:$DP,MATCH('MM01'!$B18,Consulta!$C:$C,0),'MM01'!CW$2),""))</f>
        <v/>
      </c>
      <c r="CX18" s="43" t="str">
        <f t="shared" si="20"/>
        <v/>
      </c>
      <c r="CY18" s="43" t="str">
        <f t="shared" si="21"/>
        <v/>
      </c>
      <c r="CZ18" s="43" t="str">
        <f t="shared" si="22"/>
        <v/>
      </c>
      <c r="DA18" s="43" t="str">
        <f>IF(IFERROR(INDEX(Consulta!$A:$DP,MATCH('MM01'!$B18,Consulta!$C:$C,0),'MM01'!DA$2),"")=0,"",IFERROR(INDEX(Consulta!$A:$DP,MATCH('MM01'!$B18,Consulta!$C:$C,0),'MM01'!DA$2),""))</f>
        <v/>
      </c>
      <c r="DB18" s="43" t="str">
        <f t="shared" si="23"/>
        <v/>
      </c>
      <c r="DC18" s="43" t="str">
        <f>IF(IFERROR(INDEX(Consulta!$A:$DP,MATCH('MM01'!$B18,Consulta!$C:$C,0),'MM01'!DC$2),"")=0,"",IFERROR(INDEX(Consulta!$A:$DP,MATCH('MM01'!$B18,Consulta!$C:$C,0),'MM01'!DC$2),""))</f>
        <v/>
      </c>
      <c r="DD18" s="45">
        <v>0</v>
      </c>
      <c r="DE18" s="45">
        <v>0</v>
      </c>
      <c r="DF18" s="43" t="str">
        <f t="shared" si="24"/>
        <v/>
      </c>
      <c r="DG18" s="43" t="str">
        <f t="shared" si="25"/>
        <v/>
      </c>
      <c r="DH18" s="57"/>
      <c r="DI18" s="43" t="str">
        <f t="shared" ca="1" si="26"/>
        <v/>
      </c>
      <c r="DJ18" s="43" t="str">
        <f t="shared" si="27"/>
        <v/>
      </c>
      <c r="DK18" s="43" t="str">
        <f t="shared" si="28"/>
        <v/>
      </c>
      <c r="DL18" s="57"/>
      <c r="DM18" s="43" t="str">
        <f t="shared" ca="1" si="29"/>
        <v/>
      </c>
      <c r="DN18" s="43" t="str">
        <f t="shared" si="30"/>
        <v/>
      </c>
      <c r="DO18" s="43" t="str">
        <f t="shared" si="31"/>
        <v/>
      </c>
      <c r="DP18" s="57"/>
      <c r="DQ18" s="43" t="str">
        <f t="shared" ca="1" si="32"/>
        <v/>
      </c>
      <c r="DR18" s="43" t="str">
        <f t="shared" si="33"/>
        <v/>
      </c>
      <c r="DS18" s="43" t="str">
        <f t="shared" si="34"/>
        <v/>
      </c>
      <c r="DT18" s="57"/>
      <c r="DU18" s="43" t="str">
        <f t="shared" ca="1" si="35"/>
        <v/>
      </c>
      <c r="DV18" s="43" t="str">
        <f t="shared" si="36"/>
        <v/>
      </c>
      <c r="DX18" s="44">
        <v>1</v>
      </c>
      <c r="DY18" s="44" t="s">
        <v>773</v>
      </c>
      <c r="DZ18" s="43">
        <f t="shared" si="37"/>
        <v>0.01</v>
      </c>
      <c r="EA18" s="43" t="str">
        <f t="shared" si="38"/>
        <v>M</v>
      </c>
      <c r="EB18" s="43" t="str">
        <f>IF(IFERROR(INDEX(Consulta!$A:$DP,MATCH('MM01'!$B18,Consulta!$C:$C,0),'MM01'!EB$2),"")=0,"7925",IF(IFERROR(INDEX(Consulta!$A:$DP,MATCH('MM01'!$B18,Consulta!$C:$C,0),'MM01'!EB$2),"")="68","7910","7925"))</f>
        <v>7925</v>
      </c>
      <c r="EC18" s="44">
        <v>100</v>
      </c>
      <c r="ED18" s="62">
        <v>1</v>
      </c>
      <c r="EE18" s="43">
        <f t="shared" si="39"/>
        <v>100</v>
      </c>
      <c r="EF18" s="44">
        <v>1</v>
      </c>
      <c r="EG18" s="44">
        <v>0</v>
      </c>
      <c r="EH18" s="44" t="s">
        <v>875</v>
      </c>
      <c r="EI18" s="45">
        <v>0</v>
      </c>
      <c r="EJ18" s="43">
        <f t="shared" si="40"/>
        <v>5000</v>
      </c>
      <c r="EK18" s="69"/>
    </row>
    <row r="19" spans="1:141" x14ac:dyDescent="0.2">
      <c r="A19" s="7" t="str">
        <f t="shared" si="0"/>
        <v>Execução 15</v>
      </c>
      <c r="B19" s="42"/>
      <c r="C19" s="43" t="str">
        <f>IF(IFERROR(INDEX(Consulta!$A:$DP,MATCH('MM01'!$B19,Consulta!$C:$C,0),'MM01'!C$2),"")=0,"",IFERROR(INDEX(Consulta!$A:$DP,MATCH('MM01'!$B19,Consulta!$C:$C,0),'MM01'!C$2),""))</f>
        <v/>
      </c>
      <c r="D19" s="43" t="str">
        <f>IF(IFERROR(INDEX(Consulta!$A:$DP,MATCH('MM01'!$B19,Consulta!$C:$C,0),'MM01'!D$2),"")=0,"",IFERROR(INDEX(Consulta!$A:$DP,MATCH('MM01'!$B19,Consulta!$C:$C,0),'MM01'!D$2),""))</f>
        <v/>
      </c>
      <c r="E19" s="43" t="str">
        <f>IF(IFERROR(INDEX(Consulta!$A:$DP,MATCH('MM01'!$B19,Consulta!$C:$C,0),'MM01'!E$2),"")=0,"",IFERROR(INDEX(Consulta!$A:$DP,MATCH('MM01'!$B19,Consulta!$C:$C,0),'MM01'!E$2),""))</f>
        <v/>
      </c>
      <c r="F19" s="44" t="s">
        <v>100</v>
      </c>
      <c r="G19" s="49" t="str">
        <f>IF(IFERROR(INDEX(Consulta!$A:$DP,MATCH('MM01'!$B19,Consulta!$C:$C,0),'MM01'!G$2),"")=0,"",IFERROR(INDEX(Consulta!$A:$DP,MATCH('MM01'!$B19,Consulta!$C:$C,0),'MM01'!G$2),""))</f>
        <v/>
      </c>
      <c r="H19" s="49" t="str">
        <f>IF(IFERROR(INDEX(Consulta!$A:$DP,MATCH('MM01'!$B19,Consulta!$C:$C,0),'MM01'!H$2),"")=0,"",IFERROR(INDEX(Consulta!$A:$DP,MATCH('MM01'!$B19,Consulta!$C:$C,0),'MM01'!H$2),""))</f>
        <v/>
      </c>
      <c r="I19" s="49" t="str">
        <f t="shared" si="1"/>
        <v/>
      </c>
      <c r="J19" s="49" t="str">
        <f>IF(IFERROR(INDEX(Consulta!$A:$DP,MATCH('MM01'!$B19,Consulta!$C:$C,0),'MM01'!J$2),"")=0,"",IFERROR(INDEX(Consulta!$A:$DP,MATCH('MM01'!$B19,Consulta!$C:$C,0),'MM01'!J$2),""))</f>
        <v/>
      </c>
      <c r="K19" s="49" t="str">
        <f t="shared" si="2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IF(IFERROR(INDEX(Consulta!$A:$DP,MATCH('MM01'!$B19,Consulta!$C:$C,0),'MM01'!AP$2),"")=0,"",IFERROR(INDEX(Consulta!$A:$DP,MATCH('MM01'!$B19,Consulta!$C:$C,0),'MM01'!AP$2),""))</f>
        <v/>
      </c>
      <c r="AQ19" s="45"/>
      <c r="AR19" s="43" t="str">
        <f>IF(IFERROR(INDEX(Consulta!$A:$DP,MATCH('MM01'!$B19,Consulta!$C:$C,0),'MM01'!AR$2),"")=0,"",IFERROR(INDEX(Consulta!$A:$DP,MATCH('MM01'!$B19,Consulta!$C:$C,0),'MM01'!AR$2),""))</f>
        <v/>
      </c>
      <c r="AS19" s="43" t="str">
        <f>IF(IFERROR(INDEX(Consulta!$A:$DP,MATCH('MM01'!$B19,Consulta!$C:$C,0),'MM01'!AS$2),"")=0,"",IF(AR19="68",5102,IFERROR(INDEX(Consulta!$A:$DP,MATCH('MM01'!$B19,Consulta!$C:$C,0),'MM01'!AS$2),"")))</f>
        <v/>
      </c>
      <c r="AT19" s="45"/>
      <c r="AU19" s="46" t="str">
        <f t="shared" ca="1" si="3"/>
        <v/>
      </c>
      <c r="AV19" s="47" t="s">
        <v>795</v>
      </c>
      <c r="AW19" s="43" t="str">
        <f>IF(IFERROR(INDEX(Consulta!$A:$DP,MATCH('MM01'!$B19,Consulta!$C:$C,0),'MM01'!AW$2),"")=0,"",IFERROR(ROUND(INDEX(Consulta!$A:$DP,MATCH('MM01'!$B19,Consulta!$C:$C,0),'MM01'!AW$2),3),""))</f>
        <v/>
      </c>
      <c r="AX19" s="43" t="str">
        <f t="shared" si="4"/>
        <v/>
      </c>
      <c r="AY19" s="48" t="s">
        <v>299</v>
      </c>
      <c r="AZ19" s="48"/>
      <c r="BA19" s="43" t="str">
        <f>IF(IFERROR(INDEX(Consulta!$A:$DP,MATCH('MM01'!$B19,Consulta!$C:$C,0),'MM01'!BA$2),"")=0,"",IFERROR(INDEX(Consulta!$A:$DP,MATCH('MM01'!$B19,Consulta!$C:$C,0),'MM01'!BA$2),""))</f>
        <v/>
      </c>
      <c r="BB19" s="43" t="str">
        <f t="shared" si="5"/>
        <v/>
      </c>
      <c r="BC19" s="43" t="str">
        <f t="shared" si="6"/>
        <v/>
      </c>
      <c r="BD19" s="43" t="str">
        <f t="shared" si="7"/>
        <v/>
      </c>
      <c r="BE19" s="43" t="str">
        <f t="shared" si="8"/>
        <v>M</v>
      </c>
      <c r="BF19" s="43" t="str">
        <f t="shared" si="9"/>
        <v/>
      </c>
      <c r="BG19" s="43" t="str">
        <f t="shared" si="10"/>
        <v/>
      </c>
      <c r="BH19" s="43" t="str">
        <f t="shared" si="11"/>
        <v/>
      </c>
      <c r="BI19" s="43" t="str">
        <f t="shared" si="12"/>
        <v>M</v>
      </c>
      <c r="BK19" s="45" t="s">
        <v>324</v>
      </c>
      <c r="BL19" s="43" t="str">
        <f>IF(IFERROR(INDEX(Consulta!$A:$DP,MATCH('MM01'!$B19,Consulta!$C:$C,0),'MM01'!BL$2),"")=0,"",IFERROR(INDEX(Consulta!$A:$DP,MATCH('MM01'!$B19,Consulta!$C:$C,0),'MM01'!BL$2),""))</f>
        <v/>
      </c>
      <c r="BM19" s="45"/>
      <c r="BN19" s="46" t="str">
        <f t="shared" ca="1" si="13"/>
        <v/>
      </c>
      <c r="BO19" s="49" t="str">
        <f t="shared" si="14"/>
        <v/>
      </c>
      <c r="BP19" s="50">
        <v>1</v>
      </c>
      <c r="BQ19" s="50" t="s">
        <v>194</v>
      </c>
      <c r="BR19" s="79" t="str">
        <f t="shared" si="15"/>
        <v>01</v>
      </c>
      <c r="BS19" s="50" t="s">
        <v>795</v>
      </c>
      <c r="BT19" s="44">
        <v>1</v>
      </c>
      <c r="BU19" s="44" t="s">
        <v>371</v>
      </c>
      <c r="BV19" s="50" t="s">
        <v>197</v>
      </c>
      <c r="BW19" s="50" t="s">
        <v>197</v>
      </c>
      <c r="BX19" s="43" t="str">
        <f>IF(IFERROR(INDEX(Consulta!$A:$DP,MATCH('MM01'!$B19,Consulta!$C:$C,0),'MM01'!BX$2),"")=0,"",IFERROR(INDEX(Consulta!$A:$DP,MATCH('MM01'!$B19,Consulta!$C:$C,0),'MM01'!BX$2),""))</f>
        <v/>
      </c>
      <c r="BY19" s="44" t="s">
        <v>391</v>
      </c>
      <c r="BZ19" s="50">
        <v>0</v>
      </c>
      <c r="CA19" s="45" t="s">
        <v>402</v>
      </c>
      <c r="CB19" s="45" t="s">
        <v>84</v>
      </c>
      <c r="CC19" s="43" t="str">
        <f t="shared" si="16"/>
        <v/>
      </c>
      <c r="CD19" s="45" t="s">
        <v>38</v>
      </c>
      <c r="CE19" s="45">
        <v>1</v>
      </c>
      <c r="CF19" s="45" t="s">
        <v>495</v>
      </c>
      <c r="CG19" s="45"/>
      <c r="CH19" s="44">
        <v>2</v>
      </c>
      <c r="CI19" s="49" t="str">
        <f t="shared" si="17"/>
        <v/>
      </c>
      <c r="CJ19" s="49" t="str">
        <f t="shared" si="18"/>
        <v/>
      </c>
      <c r="CK19" s="45"/>
      <c r="CL19" s="44">
        <v>1</v>
      </c>
      <c r="CM19" s="50" t="s">
        <v>514</v>
      </c>
      <c r="CN19" s="44" t="s">
        <v>371</v>
      </c>
      <c r="CO19" s="44">
        <v>2</v>
      </c>
      <c r="CP19" s="44">
        <v>42</v>
      </c>
      <c r="CQ19" s="44">
        <v>10</v>
      </c>
      <c r="CR19" s="43" t="str">
        <f t="shared" si="19"/>
        <v>K00_P_</v>
      </c>
      <c r="CS19" s="45">
        <v>5000</v>
      </c>
      <c r="CT19" s="43" t="str">
        <f>IF(IFERROR(INDEX(Consulta!$A:$DP,MATCH('MM01'!$B19,Consulta!$C:$C,0),'MM01'!CT$2),"")=0,"",IFERROR(INDEX(Consulta!$A:$DP,MATCH('MM01'!$B19,Consulta!$C:$C,0),'MM01'!CT$2),""))</f>
        <v/>
      </c>
      <c r="CU19" s="43" t="str">
        <f>IF(IFERROR(INDEX(Consulta!$A:$DP,MATCH('MM01'!$B19,Consulta!$C:$C,0),'MM01'!CU$2),"")=0,"",IFERROR(INDEX(Consulta!$A:$DP,MATCH('MM01'!$B19,Consulta!$C:$C,0),'MM01'!CU$2),""))</f>
        <v/>
      </c>
      <c r="CV19" s="43" t="str">
        <f>IF(IFERROR(INDEX(Consulta!$A:$DP,MATCH('MM01'!$B19,Consulta!$C:$C,0),'MM01'!CV$2),"")=0,"",IFERROR(INDEX(Consulta!$A:$DP,MATCH('MM01'!$B19,Consulta!$C:$C,0),'MM01'!CV$2),""))</f>
        <v/>
      </c>
      <c r="CW19" s="43" t="str">
        <f>IF(IFERROR(INDEX(Consulta!$A:$DP,MATCH('MM01'!$B19,Consulta!$C:$C,0),'MM01'!CW$2),"")=0,"",IFERROR(INDEX(Consulta!$A:$DP,MATCH('MM01'!$B19,Consulta!$C:$C,0),'MM01'!CW$2),""))</f>
        <v/>
      </c>
      <c r="CX19" s="43" t="str">
        <f t="shared" si="20"/>
        <v/>
      </c>
      <c r="CY19" s="43" t="str">
        <f t="shared" si="21"/>
        <v/>
      </c>
      <c r="CZ19" s="43" t="str">
        <f t="shared" si="22"/>
        <v/>
      </c>
      <c r="DA19" s="43" t="str">
        <f>IF(IFERROR(INDEX(Consulta!$A:$DP,MATCH('MM01'!$B19,Consulta!$C:$C,0),'MM01'!DA$2),"")=0,"",IFERROR(INDEX(Consulta!$A:$DP,MATCH('MM01'!$B19,Consulta!$C:$C,0),'MM01'!DA$2),""))</f>
        <v/>
      </c>
      <c r="DB19" s="43" t="str">
        <f t="shared" si="23"/>
        <v/>
      </c>
      <c r="DC19" s="43" t="str">
        <f>IF(IFERROR(INDEX(Consulta!$A:$DP,MATCH('MM01'!$B19,Consulta!$C:$C,0),'MM01'!DC$2),"")=0,"",IFERROR(INDEX(Consulta!$A:$DP,MATCH('MM01'!$B19,Consulta!$C:$C,0),'MM01'!DC$2),""))</f>
        <v/>
      </c>
      <c r="DD19" s="45">
        <v>0</v>
      </c>
      <c r="DE19" s="45">
        <v>0</v>
      </c>
      <c r="DF19" s="43" t="str">
        <f t="shared" si="24"/>
        <v/>
      </c>
      <c r="DG19" s="43" t="str">
        <f t="shared" si="25"/>
        <v/>
      </c>
      <c r="DH19" s="57"/>
      <c r="DI19" s="43" t="str">
        <f t="shared" ca="1" si="26"/>
        <v/>
      </c>
      <c r="DJ19" s="43" t="str">
        <f t="shared" si="27"/>
        <v/>
      </c>
      <c r="DK19" s="43" t="str">
        <f t="shared" si="28"/>
        <v/>
      </c>
      <c r="DL19" s="57"/>
      <c r="DM19" s="43" t="str">
        <f t="shared" ca="1" si="29"/>
        <v/>
      </c>
      <c r="DN19" s="43" t="str">
        <f t="shared" si="30"/>
        <v/>
      </c>
      <c r="DO19" s="43" t="str">
        <f t="shared" si="31"/>
        <v/>
      </c>
      <c r="DP19" s="57"/>
      <c r="DQ19" s="43" t="str">
        <f t="shared" ca="1" si="32"/>
        <v/>
      </c>
      <c r="DR19" s="43" t="str">
        <f t="shared" si="33"/>
        <v/>
      </c>
      <c r="DS19" s="43" t="str">
        <f t="shared" si="34"/>
        <v/>
      </c>
      <c r="DT19" s="57"/>
      <c r="DU19" s="43" t="str">
        <f t="shared" ca="1" si="35"/>
        <v/>
      </c>
      <c r="DV19" s="43" t="str">
        <f t="shared" si="36"/>
        <v/>
      </c>
      <c r="DX19" s="44">
        <v>1</v>
      </c>
      <c r="DY19" s="44" t="s">
        <v>773</v>
      </c>
      <c r="DZ19" s="43">
        <f t="shared" si="37"/>
        <v>0.01</v>
      </c>
      <c r="EA19" s="43" t="str">
        <f t="shared" si="38"/>
        <v>M</v>
      </c>
      <c r="EB19" s="43" t="str">
        <f>IF(IFERROR(INDEX(Consulta!$A:$DP,MATCH('MM01'!$B19,Consulta!$C:$C,0),'MM01'!EB$2),"")=0,"7925",IF(IFERROR(INDEX(Consulta!$A:$DP,MATCH('MM01'!$B19,Consulta!$C:$C,0),'MM01'!EB$2),"")="68","7910","7925"))</f>
        <v>7925</v>
      </c>
      <c r="EC19" s="44">
        <v>100</v>
      </c>
      <c r="ED19" s="62">
        <v>1</v>
      </c>
      <c r="EE19" s="43">
        <f t="shared" si="39"/>
        <v>100</v>
      </c>
      <c r="EF19" s="44">
        <v>1</v>
      </c>
      <c r="EG19" s="44">
        <v>0</v>
      </c>
      <c r="EH19" s="44" t="s">
        <v>875</v>
      </c>
      <c r="EI19" s="45">
        <v>0</v>
      </c>
      <c r="EJ19" s="43">
        <f t="shared" si="40"/>
        <v>5000</v>
      </c>
      <c r="EK19" s="69"/>
    </row>
    <row r="20" spans="1:141" x14ac:dyDescent="0.2">
      <c r="A20" s="7" t="str">
        <f t="shared" si="0"/>
        <v>Execução 16</v>
      </c>
      <c r="B20" s="42"/>
      <c r="C20" s="43" t="str">
        <f>IF(IFERROR(INDEX(Consulta!$A:$DP,MATCH('MM01'!$B20,Consulta!$C:$C,0),'MM01'!C$2),"")=0,"",IFERROR(INDEX(Consulta!$A:$DP,MATCH('MM01'!$B20,Consulta!$C:$C,0),'MM01'!C$2),""))</f>
        <v/>
      </c>
      <c r="D20" s="43" t="str">
        <f>IF(IFERROR(INDEX(Consulta!$A:$DP,MATCH('MM01'!$B20,Consulta!$C:$C,0),'MM01'!D$2),"")=0,"",IFERROR(INDEX(Consulta!$A:$DP,MATCH('MM01'!$B20,Consulta!$C:$C,0),'MM01'!D$2),""))</f>
        <v/>
      </c>
      <c r="E20" s="43" t="str">
        <f>IF(IFERROR(INDEX(Consulta!$A:$DP,MATCH('MM01'!$B20,Consulta!$C:$C,0),'MM01'!E$2),"")=0,"",IFERROR(INDEX(Consulta!$A:$DP,MATCH('MM01'!$B20,Consulta!$C:$C,0),'MM01'!E$2),""))</f>
        <v/>
      </c>
      <c r="F20" s="44" t="s">
        <v>100</v>
      </c>
      <c r="G20" s="49" t="str">
        <f>IF(IFERROR(INDEX(Consulta!$A:$DP,MATCH('MM01'!$B20,Consulta!$C:$C,0),'MM01'!G$2),"")=0,"",IFERROR(INDEX(Consulta!$A:$DP,MATCH('MM01'!$B20,Consulta!$C:$C,0),'MM01'!G$2),""))</f>
        <v/>
      </c>
      <c r="H20" s="49" t="str">
        <f>IF(IFERROR(INDEX(Consulta!$A:$DP,MATCH('MM01'!$B20,Consulta!$C:$C,0),'MM01'!H$2),"")=0,"",IFERROR(INDEX(Consulta!$A:$DP,MATCH('MM01'!$B20,Consulta!$C:$C,0),'MM01'!H$2),""))</f>
        <v/>
      </c>
      <c r="I20" s="49" t="str">
        <f t="shared" si="1"/>
        <v/>
      </c>
      <c r="J20" s="49" t="str">
        <f>IF(IFERROR(INDEX(Consulta!$A:$DP,MATCH('MM01'!$B20,Consulta!$C:$C,0),'MM01'!J$2),"")=0,"",IFERROR(INDEX(Consulta!$A:$DP,MATCH('MM01'!$B20,Consulta!$C:$C,0),'MM01'!J$2),""))</f>
        <v/>
      </c>
      <c r="K20" s="49" t="str">
        <f t="shared" si="2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IF(IFERROR(INDEX(Consulta!$A:$DP,MATCH('MM01'!$B20,Consulta!$C:$C,0),'MM01'!AP$2),"")=0,"",IFERROR(INDEX(Consulta!$A:$DP,MATCH('MM01'!$B20,Consulta!$C:$C,0),'MM01'!AP$2),""))</f>
        <v/>
      </c>
      <c r="AQ20" s="45"/>
      <c r="AR20" s="43" t="str">
        <f>IF(IFERROR(INDEX(Consulta!$A:$DP,MATCH('MM01'!$B20,Consulta!$C:$C,0),'MM01'!AR$2),"")=0,"",IFERROR(INDEX(Consulta!$A:$DP,MATCH('MM01'!$B20,Consulta!$C:$C,0),'MM01'!AR$2),""))</f>
        <v/>
      </c>
      <c r="AS20" s="43" t="str">
        <f>IF(IFERROR(INDEX(Consulta!$A:$DP,MATCH('MM01'!$B20,Consulta!$C:$C,0),'MM01'!AS$2),"")=0,"",IF(AR20="68",5102,IFERROR(INDEX(Consulta!$A:$DP,MATCH('MM01'!$B20,Consulta!$C:$C,0),'MM01'!AS$2),"")))</f>
        <v/>
      </c>
      <c r="AT20" s="45"/>
      <c r="AU20" s="46" t="str">
        <f t="shared" ca="1" si="3"/>
        <v/>
      </c>
      <c r="AV20" s="47" t="s">
        <v>795</v>
      </c>
      <c r="AW20" s="43" t="str">
        <f>IF(IFERROR(INDEX(Consulta!$A:$DP,MATCH('MM01'!$B20,Consulta!$C:$C,0),'MM01'!AW$2),"")=0,"",IFERROR(ROUND(INDEX(Consulta!$A:$DP,MATCH('MM01'!$B20,Consulta!$C:$C,0),'MM01'!AW$2),3),""))</f>
        <v/>
      </c>
      <c r="AX20" s="43" t="str">
        <f t="shared" si="4"/>
        <v/>
      </c>
      <c r="AY20" s="48" t="s">
        <v>299</v>
      </c>
      <c r="AZ20" s="48"/>
      <c r="BA20" s="43" t="str">
        <f>IF(IFERROR(INDEX(Consulta!$A:$DP,MATCH('MM01'!$B20,Consulta!$C:$C,0),'MM01'!BA$2),"")=0,"",IFERROR(INDEX(Consulta!$A:$DP,MATCH('MM01'!$B20,Consulta!$C:$C,0),'MM01'!BA$2),""))</f>
        <v/>
      </c>
      <c r="BB20" s="43" t="str">
        <f t="shared" si="5"/>
        <v/>
      </c>
      <c r="BC20" s="43" t="str">
        <f t="shared" si="6"/>
        <v/>
      </c>
      <c r="BD20" s="43" t="str">
        <f t="shared" si="7"/>
        <v/>
      </c>
      <c r="BE20" s="43" t="str">
        <f t="shared" si="8"/>
        <v>M</v>
      </c>
      <c r="BF20" s="43" t="str">
        <f t="shared" si="9"/>
        <v/>
      </c>
      <c r="BG20" s="43" t="str">
        <f t="shared" si="10"/>
        <v/>
      </c>
      <c r="BH20" s="43" t="str">
        <f t="shared" si="11"/>
        <v/>
      </c>
      <c r="BI20" s="43" t="str">
        <f t="shared" si="12"/>
        <v>M</v>
      </c>
      <c r="BK20" s="45" t="s">
        <v>324</v>
      </c>
      <c r="BL20" s="43" t="str">
        <f>IF(IFERROR(INDEX(Consulta!$A:$DP,MATCH('MM01'!$B20,Consulta!$C:$C,0),'MM01'!BL$2),"")=0,"",IFERROR(INDEX(Consulta!$A:$DP,MATCH('MM01'!$B20,Consulta!$C:$C,0),'MM01'!BL$2),""))</f>
        <v/>
      </c>
      <c r="BM20" s="45"/>
      <c r="BN20" s="46" t="str">
        <f t="shared" ca="1" si="13"/>
        <v/>
      </c>
      <c r="BO20" s="49" t="str">
        <f t="shared" si="14"/>
        <v/>
      </c>
      <c r="BP20" s="50">
        <v>1</v>
      </c>
      <c r="BQ20" s="50" t="s">
        <v>194</v>
      </c>
      <c r="BR20" s="79" t="str">
        <f t="shared" si="15"/>
        <v>01</v>
      </c>
      <c r="BS20" s="50" t="s">
        <v>795</v>
      </c>
      <c r="BT20" s="44">
        <v>1</v>
      </c>
      <c r="BU20" s="44" t="s">
        <v>371</v>
      </c>
      <c r="BV20" s="50" t="s">
        <v>197</v>
      </c>
      <c r="BW20" s="50" t="s">
        <v>197</v>
      </c>
      <c r="BX20" s="43" t="str">
        <f>IF(IFERROR(INDEX(Consulta!$A:$DP,MATCH('MM01'!$B20,Consulta!$C:$C,0),'MM01'!BX$2),"")=0,"",IFERROR(INDEX(Consulta!$A:$DP,MATCH('MM01'!$B20,Consulta!$C:$C,0),'MM01'!BX$2),""))</f>
        <v/>
      </c>
      <c r="BY20" s="44" t="s">
        <v>391</v>
      </c>
      <c r="BZ20" s="50">
        <v>0</v>
      </c>
      <c r="CA20" s="45" t="s">
        <v>402</v>
      </c>
      <c r="CB20" s="45" t="s">
        <v>84</v>
      </c>
      <c r="CC20" s="43" t="str">
        <f t="shared" si="16"/>
        <v/>
      </c>
      <c r="CD20" s="45" t="s">
        <v>38</v>
      </c>
      <c r="CE20" s="45">
        <v>1</v>
      </c>
      <c r="CF20" s="45" t="s">
        <v>495</v>
      </c>
      <c r="CG20" s="45"/>
      <c r="CH20" s="44">
        <v>2</v>
      </c>
      <c r="CI20" s="49" t="str">
        <f t="shared" si="17"/>
        <v/>
      </c>
      <c r="CJ20" s="49" t="str">
        <f t="shared" si="18"/>
        <v/>
      </c>
      <c r="CK20" s="45"/>
      <c r="CL20" s="44">
        <v>1</v>
      </c>
      <c r="CM20" s="50" t="s">
        <v>514</v>
      </c>
      <c r="CN20" s="44" t="s">
        <v>371</v>
      </c>
      <c r="CO20" s="44">
        <v>2</v>
      </c>
      <c r="CP20" s="44">
        <v>42</v>
      </c>
      <c r="CQ20" s="44">
        <v>10</v>
      </c>
      <c r="CR20" s="43" t="str">
        <f t="shared" si="19"/>
        <v>K00_P_</v>
      </c>
      <c r="CS20" s="45">
        <v>5000</v>
      </c>
      <c r="CT20" s="43" t="str">
        <f>IF(IFERROR(INDEX(Consulta!$A:$DP,MATCH('MM01'!$B20,Consulta!$C:$C,0),'MM01'!CT$2),"")=0,"",IFERROR(INDEX(Consulta!$A:$DP,MATCH('MM01'!$B20,Consulta!$C:$C,0),'MM01'!CT$2),""))</f>
        <v/>
      </c>
      <c r="CU20" s="43" t="str">
        <f>IF(IFERROR(INDEX(Consulta!$A:$DP,MATCH('MM01'!$B20,Consulta!$C:$C,0),'MM01'!CU$2),"")=0,"",IFERROR(INDEX(Consulta!$A:$DP,MATCH('MM01'!$B20,Consulta!$C:$C,0),'MM01'!CU$2),""))</f>
        <v/>
      </c>
      <c r="CV20" s="43" t="str">
        <f>IF(IFERROR(INDEX(Consulta!$A:$DP,MATCH('MM01'!$B20,Consulta!$C:$C,0),'MM01'!CV$2),"")=0,"",IFERROR(INDEX(Consulta!$A:$DP,MATCH('MM01'!$B20,Consulta!$C:$C,0),'MM01'!CV$2),""))</f>
        <v/>
      </c>
      <c r="CW20" s="43" t="str">
        <f>IF(IFERROR(INDEX(Consulta!$A:$DP,MATCH('MM01'!$B20,Consulta!$C:$C,0),'MM01'!CW$2),"")=0,"",IFERROR(INDEX(Consulta!$A:$DP,MATCH('MM01'!$B20,Consulta!$C:$C,0),'MM01'!CW$2),""))</f>
        <v/>
      </c>
      <c r="CX20" s="43" t="str">
        <f t="shared" si="20"/>
        <v/>
      </c>
      <c r="CY20" s="43" t="str">
        <f t="shared" si="21"/>
        <v/>
      </c>
      <c r="CZ20" s="43" t="str">
        <f t="shared" si="22"/>
        <v/>
      </c>
      <c r="DA20" s="43" t="str">
        <f>IF(IFERROR(INDEX(Consulta!$A:$DP,MATCH('MM01'!$B20,Consulta!$C:$C,0),'MM01'!DA$2),"")=0,"",IFERROR(INDEX(Consulta!$A:$DP,MATCH('MM01'!$B20,Consulta!$C:$C,0),'MM01'!DA$2),""))</f>
        <v/>
      </c>
      <c r="DB20" s="43" t="str">
        <f t="shared" si="23"/>
        <v/>
      </c>
      <c r="DC20" s="43" t="str">
        <f>IF(IFERROR(INDEX(Consulta!$A:$DP,MATCH('MM01'!$B20,Consulta!$C:$C,0),'MM01'!DC$2),"")=0,"",IFERROR(INDEX(Consulta!$A:$DP,MATCH('MM01'!$B20,Consulta!$C:$C,0),'MM01'!DC$2),""))</f>
        <v/>
      </c>
      <c r="DD20" s="45">
        <v>0</v>
      </c>
      <c r="DE20" s="45">
        <v>0</v>
      </c>
      <c r="DF20" s="43" t="str">
        <f t="shared" si="24"/>
        <v/>
      </c>
      <c r="DG20" s="43" t="str">
        <f t="shared" si="25"/>
        <v/>
      </c>
      <c r="DH20" s="57"/>
      <c r="DI20" s="43" t="str">
        <f t="shared" ca="1" si="26"/>
        <v/>
      </c>
      <c r="DJ20" s="43" t="str">
        <f t="shared" si="27"/>
        <v/>
      </c>
      <c r="DK20" s="43" t="str">
        <f t="shared" si="28"/>
        <v/>
      </c>
      <c r="DL20" s="57"/>
      <c r="DM20" s="43" t="str">
        <f t="shared" ca="1" si="29"/>
        <v/>
      </c>
      <c r="DN20" s="43" t="str">
        <f t="shared" si="30"/>
        <v/>
      </c>
      <c r="DO20" s="43" t="str">
        <f t="shared" si="31"/>
        <v/>
      </c>
      <c r="DP20" s="57"/>
      <c r="DQ20" s="43" t="str">
        <f t="shared" ca="1" si="32"/>
        <v/>
      </c>
      <c r="DR20" s="43" t="str">
        <f t="shared" si="33"/>
        <v/>
      </c>
      <c r="DS20" s="43" t="str">
        <f t="shared" si="34"/>
        <v/>
      </c>
      <c r="DT20" s="57"/>
      <c r="DU20" s="43" t="str">
        <f t="shared" ca="1" si="35"/>
        <v/>
      </c>
      <c r="DV20" s="43" t="str">
        <f t="shared" si="36"/>
        <v/>
      </c>
      <c r="DX20" s="44">
        <v>1</v>
      </c>
      <c r="DY20" s="44" t="s">
        <v>773</v>
      </c>
      <c r="DZ20" s="43">
        <f t="shared" si="37"/>
        <v>0.01</v>
      </c>
      <c r="EA20" s="43" t="str">
        <f t="shared" si="38"/>
        <v>M</v>
      </c>
      <c r="EB20" s="43" t="str">
        <f>IF(IFERROR(INDEX(Consulta!$A:$DP,MATCH('MM01'!$B20,Consulta!$C:$C,0),'MM01'!EB$2),"")=0,"7925",IF(IFERROR(INDEX(Consulta!$A:$DP,MATCH('MM01'!$B20,Consulta!$C:$C,0),'MM01'!EB$2),"")="68","7910","7925"))</f>
        <v>7925</v>
      </c>
      <c r="EC20" s="44">
        <v>100</v>
      </c>
      <c r="ED20" s="62">
        <v>1</v>
      </c>
      <c r="EE20" s="43">
        <f t="shared" si="39"/>
        <v>100</v>
      </c>
      <c r="EF20" s="44">
        <v>1</v>
      </c>
      <c r="EG20" s="44">
        <v>0</v>
      </c>
      <c r="EH20" s="44" t="s">
        <v>875</v>
      </c>
      <c r="EI20" s="45">
        <v>0</v>
      </c>
      <c r="EJ20" s="43">
        <f t="shared" si="40"/>
        <v>5000</v>
      </c>
      <c r="EK20" s="69"/>
    </row>
    <row r="21" spans="1:141" x14ac:dyDescent="0.2">
      <c r="A21" s="7" t="str">
        <f t="shared" si="0"/>
        <v>Execução 17</v>
      </c>
      <c r="B21" s="42"/>
      <c r="C21" s="43" t="str">
        <f>IF(IFERROR(INDEX(Consulta!$A:$DP,MATCH('MM01'!$B21,Consulta!$C:$C,0),'MM01'!C$2),"")=0,"",IFERROR(INDEX(Consulta!$A:$DP,MATCH('MM01'!$B21,Consulta!$C:$C,0),'MM01'!C$2),""))</f>
        <v/>
      </c>
      <c r="D21" s="43" t="str">
        <f>IF(IFERROR(INDEX(Consulta!$A:$DP,MATCH('MM01'!$B21,Consulta!$C:$C,0),'MM01'!D$2),"")=0,"",IFERROR(INDEX(Consulta!$A:$DP,MATCH('MM01'!$B21,Consulta!$C:$C,0),'MM01'!D$2),""))</f>
        <v/>
      </c>
      <c r="E21" s="43" t="str">
        <f>IF(IFERROR(INDEX(Consulta!$A:$DP,MATCH('MM01'!$B21,Consulta!$C:$C,0),'MM01'!E$2),"")=0,"",IFERROR(INDEX(Consulta!$A:$DP,MATCH('MM01'!$B21,Consulta!$C:$C,0),'MM01'!E$2),""))</f>
        <v/>
      </c>
      <c r="F21" s="44" t="s">
        <v>100</v>
      </c>
      <c r="G21" s="49" t="str">
        <f>IF(IFERROR(INDEX(Consulta!$A:$DP,MATCH('MM01'!$B21,Consulta!$C:$C,0),'MM01'!G$2),"")=0,"",IFERROR(INDEX(Consulta!$A:$DP,MATCH('MM01'!$B21,Consulta!$C:$C,0),'MM01'!G$2),""))</f>
        <v/>
      </c>
      <c r="H21" s="49" t="str">
        <f>IF(IFERROR(INDEX(Consulta!$A:$DP,MATCH('MM01'!$B21,Consulta!$C:$C,0),'MM01'!H$2),"")=0,"",IFERROR(INDEX(Consulta!$A:$DP,MATCH('MM01'!$B21,Consulta!$C:$C,0),'MM01'!H$2),""))</f>
        <v/>
      </c>
      <c r="I21" s="49" t="str">
        <f t="shared" si="1"/>
        <v/>
      </c>
      <c r="J21" s="49" t="str">
        <f>IF(IFERROR(INDEX(Consulta!$A:$DP,MATCH('MM01'!$B21,Consulta!$C:$C,0),'MM01'!J$2),"")=0,"",IFERROR(INDEX(Consulta!$A:$DP,MATCH('MM01'!$B21,Consulta!$C:$C,0),'MM01'!J$2),""))</f>
        <v/>
      </c>
      <c r="K21" s="49" t="str">
        <f t="shared" si="2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IF(IFERROR(INDEX(Consulta!$A:$DP,MATCH('MM01'!$B21,Consulta!$C:$C,0),'MM01'!AP$2),"")=0,"",IFERROR(INDEX(Consulta!$A:$DP,MATCH('MM01'!$B21,Consulta!$C:$C,0),'MM01'!AP$2),""))</f>
        <v/>
      </c>
      <c r="AQ21" s="45"/>
      <c r="AR21" s="43" t="str">
        <f>IF(IFERROR(INDEX(Consulta!$A:$DP,MATCH('MM01'!$B21,Consulta!$C:$C,0),'MM01'!AR$2),"")=0,"",IFERROR(INDEX(Consulta!$A:$DP,MATCH('MM01'!$B21,Consulta!$C:$C,0),'MM01'!AR$2),""))</f>
        <v/>
      </c>
      <c r="AS21" s="43" t="str">
        <f>IF(IFERROR(INDEX(Consulta!$A:$DP,MATCH('MM01'!$B21,Consulta!$C:$C,0),'MM01'!AS$2),"")=0,"",IF(AR21="68",5102,IFERROR(INDEX(Consulta!$A:$DP,MATCH('MM01'!$B21,Consulta!$C:$C,0),'MM01'!AS$2),"")))</f>
        <v/>
      </c>
      <c r="AT21" s="45"/>
      <c r="AU21" s="46" t="str">
        <f t="shared" ca="1" si="3"/>
        <v/>
      </c>
      <c r="AV21" s="47" t="s">
        <v>795</v>
      </c>
      <c r="AW21" s="43" t="str">
        <f>IF(IFERROR(INDEX(Consulta!$A:$DP,MATCH('MM01'!$B21,Consulta!$C:$C,0),'MM01'!AW$2),"")=0,"",IFERROR(ROUND(INDEX(Consulta!$A:$DP,MATCH('MM01'!$B21,Consulta!$C:$C,0),'MM01'!AW$2),3),""))</f>
        <v/>
      </c>
      <c r="AX21" s="43" t="str">
        <f t="shared" si="4"/>
        <v/>
      </c>
      <c r="AY21" s="48" t="s">
        <v>299</v>
      </c>
      <c r="AZ21" s="48"/>
      <c r="BA21" s="43" t="str">
        <f>IF(IFERROR(INDEX(Consulta!$A:$DP,MATCH('MM01'!$B21,Consulta!$C:$C,0),'MM01'!BA$2),"")=0,"",IFERROR(INDEX(Consulta!$A:$DP,MATCH('MM01'!$B21,Consulta!$C:$C,0),'MM01'!BA$2),""))</f>
        <v/>
      </c>
      <c r="BB21" s="43" t="str">
        <f t="shared" si="5"/>
        <v/>
      </c>
      <c r="BC21" s="43" t="str">
        <f t="shared" si="6"/>
        <v/>
      </c>
      <c r="BD21" s="43" t="str">
        <f t="shared" si="7"/>
        <v/>
      </c>
      <c r="BE21" s="43" t="str">
        <f t="shared" si="8"/>
        <v>M</v>
      </c>
      <c r="BF21" s="43" t="str">
        <f t="shared" si="9"/>
        <v/>
      </c>
      <c r="BG21" s="43" t="str">
        <f t="shared" si="10"/>
        <v/>
      </c>
      <c r="BH21" s="43" t="str">
        <f t="shared" si="11"/>
        <v/>
      </c>
      <c r="BI21" s="43" t="str">
        <f t="shared" si="12"/>
        <v>M</v>
      </c>
      <c r="BK21" s="45" t="s">
        <v>324</v>
      </c>
      <c r="BL21" s="43" t="str">
        <f>IF(IFERROR(INDEX(Consulta!$A:$DP,MATCH('MM01'!$B21,Consulta!$C:$C,0),'MM01'!BL$2),"")=0,"",IFERROR(INDEX(Consulta!$A:$DP,MATCH('MM01'!$B21,Consulta!$C:$C,0),'MM01'!BL$2),""))</f>
        <v/>
      </c>
      <c r="BM21" s="45"/>
      <c r="BN21" s="46" t="str">
        <f t="shared" ca="1" si="13"/>
        <v/>
      </c>
      <c r="BO21" s="49" t="str">
        <f t="shared" si="14"/>
        <v/>
      </c>
      <c r="BP21" s="50">
        <v>1</v>
      </c>
      <c r="BQ21" s="50" t="s">
        <v>194</v>
      </c>
      <c r="BR21" s="79" t="str">
        <f t="shared" si="15"/>
        <v>01</v>
      </c>
      <c r="BS21" s="50" t="s">
        <v>795</v>
      </c>
      <c r="BT21" s="44">
        <v>1</v>
      </c>
      <c r="BU21" s="44" t="s">
        <v>371</v>
      </c>
      <c r="BV21" s="50" t="s">
        <v>197</v>
      </c>
      <c r="BW21" s="50" t="s">
        <v>197</v>
      </c>
      <c r="BX21" s="43" t="str">
        <f>IF(IFERROR(INDEX(Consulta!$A:$DP,MATCH('MM01'!$B21,Consulta!$C:$C,0),'MM01'!BX$2),"")=0,"",IFERROR(INDEX(Consulta!$A:$DP,MATCH('MM01'!$B21,Consulta!$C:$C,0),'MM01'!BX$2),""))</f>
        <v/>
      </c>
      <c r="BY21" s="44" t="s">
        <v>391</v>
      </c>
      <c r="BZ21" s="50">
        <v>0</v>
      </c>
      <c r="CA21" s="45" t="s">
        <v>402</v>
      </c>
      <c r="CB21" s="45" t="s">
        <v>84</v>
      </c>
      <c r="CC21" s="43" t="str">
        <f t="shared" si="16"/>
        <v/>
      </c>
      <c r="CD21" s="45" t="s">
        <v>38</v>
      </c>
      <c r="CE21" s="45">
        <v>1</v>
      </c>
      <c r="CF21" s="45" t="s">
        <v>495</v>
      </c>
      <c r="CG21" s="45"/>
      <c r="CH21" s="44">
        <v>2</v>
      </c>
      <c r="CI21" s="49" t="str">
        <f t="shared" si="17"/>
        <v/>
      </c>
      <c r="CJ21" s="49" t="str">
        <f t="shared" si="18"/>
        <v/>
      </c>
      <c r="CK21" s="45"/>
      <c r="CL21" s="44">
        <v>1</v>
      </c>
      <c r="CM21" s="50" t="s">
        <v>514</v>
      </c>
      <c r="CN21" s="44" t="s">
        <v>371</v>
      </c>
      <c r="CO21" s="44">
        <v>2</v>
      </c>
      <c r="CP21" s="44">
        <v>42</v>
      </c>
      <c r="CQ21" s="44">
        <v>10</v>
      </c>
      <c r="CR21" s="43" t="str">
        <f t="shared" si="19"/>
        <v>K00_P_</v>
      </c>
      <c r="CS21" s="45">
        <v>5000</v>
      </c>
      <c r="CT21" s="43" t="str">
        <f>IF(IFERROR(INDEX(Consulta!$A:$DP,MATCH('MM01'!$B21,Consulta!$C:$C,0),'MM01'!CT$2),"")=0,"",IFERROR(INDEX(Consulta!$A:$DP,MATCH('MM01'!$B21,Consulta!$C:$C,0),'MM01'!CT$2),""))</f>
        <v/>
      </c>
      <c r="CU21" s="43" t="str">
        <f>IF(IFERROR(INDEX(Consulta!$A:$DP,MATCH('MM01'!$B21,Consulta!$C:$C,0),'MM01'!CU$2),"")=0,"",IFERROR(INDEX(Consulta!$A:$DP,MATCH('MM01'!$B21,Consulta!$C:$C,0),'MM01'!CU$2),""))</f>
        <v/>
      </c>
      <c r="CV21" s="43" t="str">
        <f>IF(IFERROR(INDEX(Consulta!$A:$DP,MATCH('MM01'!$B21,Consulta!$C:$C,0),'MM01'!CV$2),"")=0,"",IFERROR(INDEX(Consulta!$A:$DP,MATCH('MM01'!$B21,Consulta!$C:$C,0),'MM01'!CV$2),""))</f>
        <v/>
      </c>
      <c r="CW21" s="43" t="str">
        <f>IF(IFERROR(INDEX(Consulta!$A:$DP,MATCH('MM01'!$B21,Consulta!$C:$C,0),'MM01'!CW$2),"")=0,"",IFERROR(INDEX(Consulta!$A:$DP,MATCH('MM01'!$B21,Consulta!$C:$C,0),'MM01'!CW$2),""))</f>
        <v/>
      </c>
      <c r="CX21" s="43" t="str">
        <f t="shared" si="20"/>
        <v/>
      </c>
      <c r="CY21" s="43" t="str">
        <f t="shared" si="21"/>
        <v/>
      </c>
      <c r="CZ21" s="43" t="str">
        <f t="shared" si="22"/>
        <v/>
      </c>
      <c r="DA21" s="43" t="str">
        <f>IF(IFERROR(INDEX(Consulta!$A:$DP,MATCH('MM01'!$B21,Consulta!$C:$C,0),'MM01'!DA$2),"")=0,"",IFERROR(INDEX(Consulta!$A:$DP,MATCH('MM01'!$B21,Consulta!$C:$C,0),'MM01'!DA$2),""))</f>
        <v/>
      </c>
      <c r="DB21" s="43" t="str">
        <f t="shared" si="23"/>
        <v/>
      </c>
      <c r="DC21" s="43" t="str">
        <f>IF(IFERROR(INDEX(Consulta!$A:$DP,MATCH('MM01'!$B21,Consulta!$C:$C,0),'MM01'!DC$2),"")=0,"",IFERROR(INDEX(Consulta!$A:$DP,MATCH('MM01'!$B21,Consulta!$C:$C,0),'MM01'!DC$2),""))</f>
        <v/>
      </c>
      <c r="DD21" s="45">
        <v>0</v>
      </c>
      <c r="DE21" s="45">
        <v>0</v>
      </c>
      <c r="DF21" s="43" t="str">
        <f t="shared" si="24"/>
        <v/>
      </c>
      <c r="DG21" s="43" t="str">
        <f t="shared" si="25"/>
        <v/>
      </c>
      <c r="DH21" s="57"/>
      <c r="DI21" s="43" t="str">
        <f t="shared" ca="1" si="26"/>
        <v/>
      </c>
      <c r="DJ21" s="43" t="str">
        <f t="shared" si="27"/>
        <v/>
      </c>
      <c r="DK21" s="43" t="str">
        <f t="shared" si="28"/>
        <v/>
      </c>
      <c r="DL21" s="57"/>
      <c r="DM21" s="43" t="str">
        <f t="shared" ca="1" si="29"/>
        <v/>
      </c>
      <c r="DN21" s="43" t="str">
        <f t="shared" si="30"/>
        <v/>
      </c>
      <c r="DO21" s="43" t="str">
        <f t="shared" si="31"/>
        <v/>
      </c>
      <c r="DP21" s="57"/>
      <c r="DQ21" s="43" t="str">
        <f t="shared" ca="1" si="32"/>
        <v/>
      </c>
      <c r="DR21" s="43" t="str">
        <f t="shared" si="33"/>
        <v/>
      </c>
      <c r="DS21" s="43" t="str">
        <f t="shared" si="34"/>
        <v/>
      </c>
      <c r="DT21" s="57"/>
      <c r="DU21" s="43" t="str">
        <f t="shared" ca="1" si="35"/>
        <v/>
      </c>
      <c r="DV21" s="43" t="str">
        <f t="shared" si="36"/>
        <v/>
      </c>
      <c r="DX21" s="44">
        <v>1</v>
      </c>
      <c r="DY21" s="44" t="s">
        <v>773</v>
      </c>
      <c r="DZ21" s="43">
        <f t="shared" si="37"/>
        <v>0.01</v>
      </c>
      <c r="EA21" s="43" t="str">
        <f t="shared" si="38"/>
        <v>M</v>
      </c>
      <c r="EB21" s="43" t="str">
        <f>IF(IFERROR(INDEX(Consulta!$A:$DP,MATCH('MM01'!$B21,Consulta!$C:$C,0),'MM01'!EB$2),"")=0,"7925",IF(IFERROR(INDEX(Consulta!$A:$DP,MATCH('MM01'!$B21,Consulta!$C:$C,0),'MM01'!EB$2),"")="68","7910","7925"))</f>
        <v>7925</v>
      </c>
      <c r="EC21" s="44">
        <v>100</v>
      </c>
      <c r="ED21" s="62">
        <v>1</v>
      </c>
      <c r="EE21" s="43">
        <f t="shared" si="39"/>
        <v>100</v>
      </c>
      <c r="EF21" s="44">
        <v>1</v>
      </c>
      <c r="EG21" s="44">
        <v>0</v>
      </c>
      <c r="EH21" s="44" t="s">
        <v>875</v>
      </c>
      <c r="EI21" s="45">
        <v>0</v>
      </c>
      <c r="EJ21" s="43">
        <f t="shared" si="40"/>
        <v>5000</v>
      </c>
      <c r="EK21" s="69"/>
    </row>
    <row r="22" spans="1:141" x14ac:dyDescent="0.2">
      <c r="A22" s="7" t="str">
        <f t="shared" si="0"/>
        <v>Execução 18</v>
      </c>
      <c r="B22" s="42"/>
      <c r="C22" s="43" t="str">
        <f>IF(IFERROR(INDEX(Consulta!$A:$DP,MATCH('MM01'!$B22,Consulta!$C:$C,0),'MM01'!C$2),"")=0,"",IFERROR(INDEX(Consulta!$A:$DP,MATCH('MM01'!$B22,Consulta!$C:$C,0),'MM01'!C$2),""))</f>
        <v/>
      </c>
      <c r="D22" s="43" t="str">
        <f>IF(IFERROR(INDEX(Consulta!$A:$DP,MATCH('MM01'!$B22,Consulta!$C:$C,0),'MM01'!D$2),"")=0,"",IFERROR(INDEX(Consulta!$A:$DP,MATCH('MM01'!$B22,Consulta!$C:$C,0),'MM01'!D$2),""))</f>
        <v/>
      </c>
      <c r="E22" s="43" t="str">
        <f>IF(IFERROR(INDEX(Consulta!$A:$DP,MATCH('MM01'!$B22,Consulta!$C:$C,0),'MM01'!E$2),"")=0,"",IFERROR(INDEX(Consulta!$A:$DP,MATCH('MM01'!$B22,Consulta!$C:$C,0),'MM01'!E$2),""))</f>
        <v/>
      </c>
      <c r="F22" s="44" t="s">
        <v>100</v>
      </c>
      <c r="G22" s="49" t="str">
        <f>IF(IFERROR(INDEX(Consulta!$A:$DP,MATCH('MM01'!$B22,Consulta!$C:$C,0),'MM01'!G$2),"")=0,"",IFERROR(INDEX(Consulta!$A:$DP,MATCH('MM01'!$B22,Consulta!$C:$C,0),'MM01'!G$2),""))</f>
        <v/>
      </c>
      <c r="H22" s="49" t="str">
        <f>IF(IFERROR(INDEX(Consulta!$A:$DP,MATCH('MM01'!$B22,Consulta!$C:$C,0),'MM01'!H$2),"")=0,"",IFERROR(INDEX(Consulta!$A:$DP,MATCH('MM01'!$B22,Consulta!$C:$C,0),'MM01'!H$2),""))</f>
        <v/>
      </c>
      <c r="I22" s="49" t="str">
        <f t="shared" si="1"/>
        <v/>
      </c>
      <c r="J22" s="49" t="str">
        <f>IF(IFERROR(INDEX(Consulta!$A:$DP,MATCH('MM01'!$B22,Consulta!$C:$C,0),'MM01'!J$2),"")=0,"",IFERROR(INDEX(Consulta!$A:$DP,MATCH('MM01'!$B22,Consulta!$C:$C,0),'MM01'!J$2),""))</f>
        <v/>
      </c>
      <c r="K22" s="49" t="str">
        <f t="shared" si="2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IF(IFERROR(INDEX(Consulta!$A:$DP,MATCH('MM01'!$B22,Consulta!$C:$C,0),'MM01'!AP$2),"")=0,"",IFERROR(INDEX(Consulta!$A:$DP,MATCH('MM01'!$B22,Consulta!$C:$C,0),'MM01'!AP$2),""))</f>
        <v/>
      </c>
      <c r="AQ22" s="45"/>
      <c r="AR22" s="43" t="str">
        <f>IF(IFERROR(INDEX(Consulta!$A:$DP,MATCH('MM01'!$B22,Consulta!$C:$C,0),'MM01'!AR$2),"")=0,"",IFERROR(INDEX(Consulta!$A:$DP,MATCH('MM01'!$B22,Consulta!$C:$C,0),'MM01'!AR$2),""))</f>
        <v/>
      </c>
      <c r="AS22" s="43" t="str">
        <f>IF(IFERROR(INDEX(Consulta!$A:$DP,MATCH('MM01'!$B22,Consulta!$C:$C,0),'MM01'!AS$2),"")=0,"",IF(AR22="68",5102,IFERROR(INDEX(Consulta!$A:$DP,MATCH('MM01'!$B22,Consulta!$C:$C,0),'MM01'!AS$2),"")))</f>
        <v/>
      </c>
      <c r="AT22" s="45"/>
      <c r="AU22" s="46" t="str">
        <f t="shared" ca="1" si="3"/>
        <v/>
      </c>
      <c r="AV22" s="47" t="s">
        <v>795</v>
      </c>
      <c r="AW22" s="43" t="str">
        <f>IF(IFERROR(INDEX(Consulta!$A:$DP,MATCH('MM01'!$B22,Consulta!$C:$C,0),'MM01'!AW$2),"")=0,"",IFERROR(ROUND(INDEX(Consulta!$A:$DP,MATCH('MM01'!$B22,Consulta!$C:$C,0),'MM01'!AW$2),3),""))</f>
        <v/>
      </c>
      <c r="AX22" s="43" t="str">
        <f t="shared" si="4"/>
        <v/>
      </c>
      <c r="AY22" s="48" t="s">
        <v>299</v>
      </c>
      <c r="AZ22" s="48"/>
      <c r="BA22" s="43" t="str">
        <f>IF(IFERROR(INDEX(Consulta!$A:$DP,MATCH('MM01'!$B22,Consulta!$C:$C,0),'MM01'!BA$2),"")=0,"",IFERROR(INDEX(Consulta!$A:$DP,MATCH('MM01'!$B22,Consulta!$C:$C,0),'MM01'!BA$2),""))</f>
        <v/>
      </c>
      <c r="BB22" s="43" t="str">
        <f t="shared" si="5"/>
        <v/>
      </c>
      <c r="BC22" s="43" t="str">
        <f t="shared" si="6"/>
        <v/>
      </c>
      <c r="BD22" s="43" t="str">
        <f t="shared" si="7"/>
        <v/>
      </c>
      <c r="BE22" s="43" t="str">
        <f t="shared" si="8"/>
        <v>M</v>
      </c>
      <c r="BF22" s="43" t="str">
        <f t="shared" si="9"/>
        <v/>
      </c>
      <c r="BG22" s="43" t="str">
        <f t="shared" si="10"/>
        <v/>
      </c>
      <c r="BH22" s="43" t="str">
        <f t="shared" si="11"/>
        <v/>
      </c>
      <c r="BI22" s="43" t="str">
        <f t="shared" si="12"/>
        <v>M</v>
      </c>
      <c r="BK22" s="45" t="s">
        <v>324</v>
      </c>
      <c r="BL22" s="43" t="str">
        <f>IF(IFERROR(INDEX(Consulta!$A:$DP,MATCH('MM01'!$B22,Consulta!$C:$C,0),'MM01'!BL$2),"")=0,"",IFERROR(INDEX(Consulta!$A:$DP,MATCH('MM01'!$B22,Consulta!$C:$C,0),'MM01'!BL$2),""))</f>
        <v/>
      </c>
      <c r="BM22" s="45"/>
      <c r="BN22" s="46" t="str">
        <f t="shared" ca="1" si="13"/>
        <v/>
      </c>
      <c r="BO22" s="49" t="str">
        <f t="shared" si="14"/>
        <v/>
      </c>
      <c r="BP22" s="50">
        <v>1</v>
      </c>
      <c r="BQ22" s="50" t="s">
        <v>194</v>
      </c>
      <c r="BR22" s="79" t="str">
        <f t="shared" si="15"/>
        <v>01</v>
      </c>
      <c r="BS22" s="50" t="s">
        <v>795</v>
      </c>
      <c r="BT22" s="44">
        <v>1</v>
      </c>
      <c r="BU22" s="44" t="s">
        <v>371</v>
      </c>
      <c r="BV22" s="50" t="s">
        <v>197</v>
      </c>
      <c r="BW22" s="50" t="s">
        <v>197</v>
      </c>
      <c r="BX22" s="43" t="str">
        <f>IF(IFERROR(INDEX(Consulta!$A:$DP,MATCH('MM01'!$B22,Consulta!$C:$C,0),'MM01'!BX$2),"")=0,"",IFERROR(INDEX(Consulta!$A:$DP,MATCH('MM01'!$B22,Consulta!$C:$C,0),'MM01'!BX$2),""))</f>
        <v/>
      </c>
      <c r="BY22" s="44" t="s">
        <v>391</v>
      </c>
      <c r="BZ22" s="50">
        <v>0</v>
      </c>
      <c r="CA22" s="45" t="s">
        <v>402</v>
      </c>
      <c r="CB22" s="45" t="s">
        <v>84</v>
      </c>
      <c r="CC22" s="43" t="str">
        <f t="shared" si="16"/>
        <v/>
      </c>
      <c r="CD22" s="45" t="s">
        <v>38</v>
      </c>
      <c r="CE22" s="45">
        <v>1</v>
      </c>
      <c r="CF22" s="45" t="s">
        <v>495</v>
      </c>
      <c r="CG22" s="45"/>
      <c r="CH22" s="44">
        <v>2</v>
      </c>
      <c r="CI22" s="49" t="str">
        <f t="shared" si="17"/>
        <v/>
      </c>
      <c r="CJ22" s="49" t="str">
        <f t="shared" si="18"/>
        <v/>
      </c>
      <c r="CK22" s="45"/>
      <c r="CL22" s="44">
        <v>1</v>
      </c>
      <c r="CM22" s="50" t="s">
        <v>514</v>
      </c>
      <c r="CN22" s="44" t="s">
        <v>371</v>
      </c>
      <c r="CO22" s="44">
        <v>2</v>
      </c>
      <c r="CP22" s="44">
        <v>42</v>
      </c>
      <c r="CQ22" s="44">
        <v>10</v>
      </c>
      <c r="CR22" s="43" t="str">
        <f t="shared" si="19"/>
        <v>K00_P_</v>
      </c>
      <c r="CS22" s="45">
        <v>5000</v>
      </c>
      <c r="CT22" s="43" t="str">
        <f>IF(IFERROR(INDEX(Consulta!$A:$DP,MATCH('MM01'!$B22,Consulta!$C:$C,0),'MM01'!CT$2),"")=0,"",IFERROR(INDEX(Consulta!$A:$DP,MATCH('MM01'!$B22,Consulta!$C:$C,0),'MM01'!CT$2),""))</f>
        <v/>
      </c>
      <c r="CU22" s="43" t="str">
        <f>IF(IFERROR(INDEX(Consulta!$A:$DP,MATCH('MM01'!$B22,Consulta!$C:$C,0),'MM01'!CU$2),"")=0,"",IFERROR(INDEX(Consulta!$A:$DP,MATCH('MM01'!$B22,Consulta!$C:$C,0),'MM01'!CU$2),""))</f>
        <v/>
      </c>
      <c r="CV22" s="43" t="str">
        <f>IF(IFERROR(INDEX(Consulta!$A:$DP,MATCH('MM01'!$B22,Consulta!$C:$C,0),'MM01'!CV$2),"")=0,"",IFERROR(INDEX(Consulta!$A:$DP,MATCH('MM01'!$B22,Consulta!$C:$C,0),'MM01'!CV$2),""))</f>
        <v/>
      </c>
      <c r="CW22" s="43" t="str">
        <f>IF(IFERROR(INDEX(Consulta!$A:$DP,MATCH('MM01'!$B22,Consulta!$C:$C,0),'MM01'!CW$2),"")=0,"",IFERROR(INDEX(Consulta!$A:$DP,MATCH('MM01'!$B22,Consulta!$C:$C,0),'MM01'!CW$2),""))</f>
        <v/>
      </c>
      <c r="CX22" s="43" t="str">
        <f t="shared" si="20"/>
        <v/>
      </c>
      <c r="CY22" s="43" t="str">
        <f t="shared" si="21"/>
        <v/>
      </c>
      <c r="CZ22" s="43" t="str">
        <f t="shared" si="22"/>
        <v/>
      </c>
      <c r="DA22" s="43" t="str">
        <f>IF(IFERROR(INDEX(Consulta!$A:$DP,MATCH('MM01'!$B22,Consulta!$C:$C,0),'MM01'!DA$2),"")=0,"",IFERROR(INDEX(Consulta!$A:$DP,MATCH('MM01'!$B22,Consulta!$C:$C,0),'MM01'!DA$2),""))</f>
        <v/>
      </c>
      <c r="DB22" s="43" t="str">
        <f t="shared" si="23"/>
        <v/>
      </c>
      <c r="DC22" s="43" t="str">
        <f>IF(IFERROR(INDEX(Consulta!$A:$DP,MATCH('MM01'!$B22,Consulta!$C:$C,0),'MM01'!DC$2),"")=0,"",IFERROR(INDEX(Consulta!$A:$DP,MATCH('MM01'!$B22,Consulta!$C:$C,0),'MM01'!DC$2),""))</f>
        <v/>
      </c>
      <c r="DD22" s="45">
        <v>0</v>
      </c>
      <c r="DE22" s="45">
        <v>0</v>
      </c>
      <c r="DF22" s="43" t="str">
        <f t="shared" si="24"/>
        <v/>
      </c>
      <c r="DG22" s="43" t="str">
        <f t="shared" si="25"/>
        <v/>
      </c>
      <c r="DH22" s="57"/>
      <c r="DI22" s="43" t="str">
        <f t="shared" ca="1" si="26"/>
        <v/>
      </c>
      <c r="DJ22" s="43" t="str">
        <f t="shared" si="27"/>
        <v/>
      </c>
      <c r="DK22" s="43" t="str">
        <f t="shared" si="28"/>
        <v/>
      </c>
      <c r="DL22" s="57"/>
      <c r="DM22" s="43" t="str">
        <f t="shared" ca="1" si="29"/>
        <v/>
      </c>
      <c r="DN22" s="43" t="str">
        <f t="shared" si="30"/>
        <v/>
      </c>
      <c r="DO22" s="43" t="str">
        <f t="shared" si="31"/>
        <v/>
      </c>
      <c r="DP22" s="57"/>
      <c r="DQ22" s="43" t="str">
        <f t="shared" ca="1" si="32"/>
        <v/>
      </c>
      <c r="DR22" s="43" t="str">
        <f t="shared" si="33"/>
        <v/>
      </c>
      <c r="DS22" s="43" t="str">
        <f t="shared" si="34"/>
        <v/>
      </c>
      <c r="DT22" s="57"/>
      <c r="DU22" s="43" t="str">
        <f t="shared" ca="1" si="35"/>
        <v/>
      </c>
      <c r="DV22" s="43" t="str">
        <f t="shared" si="36"/>
        <v/>
      </c>
      <c r="DX22" s="44">
        <v>1</v>
      </c>
      <c r="DY22" s="44" t="s">
        <v>773</v>
      </c>
      <c r="DZ22" s="43">
        <f t="shared" si="37"/>
        <v>0.01</v>
      </c>
      <c r="EA22" s="43" t="str">
        <f t="shared" si="38"/>
        <v>M</v>
      </c>
      <c r="EB22" s="43" t="str">
        <f>IF(IFERROR(INDEX(Consulta!$A:$DP,MATCH('MM01'!$B22,Consulta!$C:$C,0),'MM01'!EB$2),"")=0,"7925",IF(IFERROR(INDEX(Consulta!$A:$DP,MATCH('MM01'!$B22,Consulta!$C:$C,0),'MM01'!EB$2),"")="68","7910","7925"))</f>
        <v>7925</v>
      </c>
      <c r="EC22" s="44">
        <v>100</v>
      </c>
      <c r="ED22" s="62">
        <v>1</v>
      </c>
      <c r="EE22" s="43">
        <f t="shared" si="39"/>
        <v>100</v>
      </c>
      <c r="EF22" s="44">
        <v>1</v>
      </c>
      <c r="EG22" s="44">
        <v>0</v>
      </c>
      <c r="EH22" s="44" t="s">
        <v>875</v>
      </c>
      <c r="EI22" s="45">
        <v>0</v>
      </c>
      <c r="EJ22" s="43">
        <f t="shared" si="40"/>
        <v>5000</v>
      </c>
      <c r="EK22" s="69"/>
    </row>
    <row r="23" spans="1:141" x14ac:dyDescent="0.2">
      <c r="A23" s="7" t="str">
        <f t="shared" si="0"/>
        <v>Execução 19</v>
      </c>
      <c r="B23" s="42"/>
      <c r="C23" s="43" t="str">
        <f>IF(IFERROR(INDEX(Consulta!$A:$DP,MATCH('MM01'!$B23,Consulta!$C:$C,0),'MM01'!C$2),"")=0,"",IFERROR(INDEX(Consulta!$A:$DP,MATCH('MM01'!$B23,Consulta!$C:$C,0),'MM01'!C$2),""))</f>
        <v/>
      </c>
      <c r="D23" s="43" t="str">
        <f>IF(IFERROR(INDEX(Consulta!$A:$DP,MATCH('MM01'!$B23,Consulta!$C:$C,0),'MM01'!D$2),"")=0,"",IFERROR(INDEX(Consulta!$A:$DP,MATCH('MM01'!$B23,Consulta!$C:$C,0),'MM01'!D$2),""))</f>
        <v/>
      </c>
      <c r="E23" s="43" t="str">
        <f>IF(IFERROR(INDEX(Consulta!$A:$DP,MATCH('MM01'!$B23,Consulta!$C:$C,0),'MM01'!E$2),"")=0,"",IFERROR(INDEX(Consulta!$A:$DP,MATCH('MM01'!$B23,Consulta!$C:$C,0),'MM01'!E$2),""))</f>
        <v/>
      </c>
      <c r="F23" s="44" t="s">
        <v>100</v>
      </c>
      <c r="G23" s="49" t="str">
        <f>IF(IFERROR(INDEX(Consulta!$A:$DP,MATCH('MM01'!$B23,Consulta!$C:$C,0),'MM01'!G$2),"")=0,"",IFERROR(INDEX(Consulta!$A:$DP,MATCH('MM01'!$B23,Consulta!$C:$C,0),'MM01'!G$2),""))</f>
        <v/>
      </c>
      <c r="H23" s="49" t="str">
        <f>IF(IFERROR(INDEX(Consulta!$A:$DP,MATCH('MM01'!$B23,Consulta!$C:$C,0),'MM01'!H$2),"")=0,"",IFERROR(INDEX(Consulta!$A:$DP,MATCH('MM01'!$B23,Consulta!$C:$C,0),'MM01'!H$2),""))</f>
        <v/>
      </c>
      <c r="I23" s="49" t="str">
        <f t="shared" si="1"/>
        <v/>
      </c>
      <c r="J23" s="49" t="str">
        <f>IF(IFERROR(INDEX(Consulta!$A:$DP,MATCH('MM01'!$B23,Consulta!$C:$C,0),'MM01'!J$2),"")=0,"",IFERROR(INDEX(Consulta!$A:$DP,MATCH('MM01'!$B23,Consulta!$C:$C,0),'MM01'!J$2),""))</f>
        <v/>
      </c>
      <c r="K23" s="49" t="str">
        <f t="shared" si="2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IF(IFERROR(INDEX(Consulta!$A:$DP,MATCH('MM01'!$B23,Consulta!$C:$C,0),'MM01'!AP$2),"")=0,"",IFERROR(INDEX(Consulta!$A:$DP,MATCH('MM01'!$B23,Consulta!$C:$C,0),'MM01'!AP$2),""))</f>
        <v/>
      </c>
      <c r="AQ23" s="45"/>
      <c r="AR23" s="43" t="str">
        <f>IF(IFERROR(INDEX(Consulta!$A:$DP,MATCH('MM01'!$B23,Consulta!$C:$C,0),'MM01'!AR$2),"")=0,"",IFERROR(INDEX(Consulta!$A:$DP,MATCH('MM01'!$B23,Consulta!$C:$C,0),'MM01'!AR$2),""))</f>
        <v/>
      </c>
      <c r="AS23" s="43" t="str">
        <f>IF(IFERROR(INDEX(Consulta!$A:$DP,MATCH('MM01'!$B23,Consulta!$C:$C,0),'MM01'!AS$2),"")=0,"",IF(AR23="68",5102,IFERROR(INDEX(Consulta!$A:$DP,MATCH('MM01'!$B23,Consulta!$C:$C,0),'MM01'!AS$2),"")))</f>
        <v/>
      </c>
      <c r="AT23" s="45"/>
      <c r="AU23" s="46" t="str">
        <f t="shared" ca="1" si="3"/>
        <v/>
      </c>
      <c r="AV23" s="47" t="s">
        <v>795</v>
      </c>
      <c r="AW23" s="43" t="str">
        <f>IF(IFERROR(INDEX(Consulta!$A:$DP,MATCH('MM01'!$B23,Consulta!$C:$C,0),'MM01'!AW$2),"")=0,"",IFERROR(ROUND(INDEX(Consulta!$A:$DP,MATCH('MM01'!$B23,Consulta!$C:$C,0),'MM01'!AW$2),3),""))</f>
        <v/>
      </c>
      <c r="AX23" s="43" t="str">
        <f t="shared" si="4"/>
        <v/>
      </c>
      <c r="AY23" s="48" t="s">
        <v>299</v>
      </c>
      <c r="AZ23" s="48"/>
      <c r="BA23" s="43" t="str">
        <f>IF(IFERROR(INDEX(Consulta!$A:$DP,MATCH('MM01'!$B23,Consulta!$C:$C,0),'MM01'!BA$2),"")=0,"",IFERROR(INDEX(Consulta!$A:$DP,MATCH('MM01'!$B23,Consulta!$C:$C,0),'MM01'!BA$2),""))</f>
        <v/>
      </c>
      <c r="BB23" s="43" t="str">
        <f t="shared" si="5"/>
        <v/>
      </c>
      <c r="BC23" s="43" t="str">
        <f t="shared" si="6"/>
        <v/>
      </c>
      <c r="BD23" s="43" t="str">
        <f t="shared" si="7"/>
        <v/>
      </c>
      <c r="BE23" s="43" t="str">
        <f t="shared" si="8"/>
        <v>M</v>
      </c>
      <c r="BF23" s="43" t="str">
        <f t="shared" si="9"/>
        <v/>
      </c>
      <c r="BG23" s="43" t="str">
        <f t="shared" si="10"/>
        <v/>
      </c>
      <c r="BH23" s="43" t="str">
        <f t="shared" si="11"/>
        <v/>
      </c>
      <c r="BI23" s="43" t="str">
        <f t="shared" si="12"/>
        <v>M</v>
      </c>
      <c r="BK23" s="45" t="s">
        <v>324</v>
      </c>
      <c r="BL23" s="43" t="str">
        <f>IF(IFERROR(INDEX(Consulta!$A:$DP,MATCH('MM01'!$B23,Consulta!$C:$C,0),'MM01'!BL$2),"")=0,"",IFERROR(INDEX(Consulta!$A:$DP,MATCH('MM01'!$B23,Consulta!$C:$C,0),'MM01'!BL$2),""))</f>
        <v/>
      </c>
      <c r="BM23" s="45"/>
      <c r="BN23" s="46" t="str">
        <f t="shared" ca="1" si="13"/>
        <v/>
      </c>
      <c r="BO23" s="49" t="str">
        <f t="shared" si="14"/>
        <v/>
      </c>
      <c r="BP23" s="50">
        <v>1</v>
      </c>
      <c r="BQ23" s="50" t="s">
        <v>194</v>
      </c>
      <c r="BR23" s="79" t="str">
        <f t="shared" si="15"/>
        <v>01</v>
      </c>
      <c r="BS23" s="50" t="s">
        <v>795</v>
      </c>
      <c r="BT23" s="44">
        <v>1</v>
      </c>
      <c r="BU23" s="44" t="s">
        <v>371</v>
      </c>
      <c r="BV23" s="50" t="s">
        <v>197</v>
      </c>
      <c r="BW23" s="50" t="s">
        <v>197</v>
      </c>
      <c r="BX23" s="43" t="str">
        <f>IF(IFERROR(INDEX(Consulta!$A:$DP,MATCH('MM01'!$B23,Consulta!$C:$C,0),'MM01'!BX$2),"")=0,"",IFERROR(INDEX(Consulta!$A:$DP,MATCH('MM01'!$B23,Consulta!$C:$C,0),'MM01'!BX$2),""))</f>
        <v/>
      </c>
      <c r="BY23" s="44" t="s">
        <v>391</v>
      </c>
      <c r="BZ23" s="50">
        <v>0</v>
      </c>
      <c r="CA23" s="45" t="s">
        <v>402</v>
      </c>
      <c r="CB23" s="45" t="s">
        <v>84</v>
      </c>
      <c r="CC23" s="43" t="str">
        <f t="shared" si="16"/>
        <v/>
      </c>
      <c r="CD23" s="45" t="s">
        <v>38</v>
      </c>
      <c r="CE23" s="45">
        <v>1</v>
      </c>
      <c r="CF23" s="45" t="s">
        <v>495</v>
      </c>
      <c r="CG23" s="45"/>
      <c r="CH23" s="44">
        <v>2</v>
      </c>
      <c r="CI23" s="49" t="str">
        <f t="shared" si="17"/>
        <v/>
      </c>
      <c r="CJ23" s="49" t="str">
        <f t="shared" si="18"/>
        <v/>
      </c>
      <c r="CK23" s="45"/>
      <c r="CL23" s="44">
        <v>1</v>
      </c>
      <c r="CM23" s="50" t="s">
        <v>514</v>
      </c>
      <c r="CN23" s="44" t="s">
        <v>371</v>
      </c>
      <c r="CO23" s="44">
        <v>2</v>
      </c>
      <c r="CP23" s="44">
        <v>42</v>
      </c>
      <c r="CQ23" s="44">
        <v>10</v>
      </c>
      <c r="CR23" s="43" t="str">
        <f t="shared" si="19"/>
        <v>K00_P_</v>
      </c>
      <c r="CS23" s="45">
        <v>5000</v>
      </c>
      <c r="CT23" s="43" t="str">
        <f>IF(IFERROR(INDEX(Consulta!$A:$DP,MATCH('MM01'!$B23,Consulta!$C:$C,0),'MM01'!CT$2),"")=0,"",IFERROR(INDEX(Consulta!$A:$DP,MATCH('MM01'!$B23,Consulta!$C:$C,0),'MM01'!CT$2),""))</f>
        <v/>
      </c>
      <c r="CU23" s="43" t="str">
        <f>IF(IFERROR(INDEX(Consulta!$A:$DP,MATCH('MM01'!$B23,Consulta!$C:$C,0),'MM01'!CU$2),"")=0,"",IFERROR(INDEX(Consulta!$A:$DP,MATCH('MM01'!$B23,Consulta!$C:$C,0),'MM01'!CU$2),""))</f>
        <v/>
      </c>
      <c r="CV23" s="43" t="str">
        <f>IF(IFERROR(INDEX(Consulta!$A:$DP,MATCH('MM01'!$B23,Consulta!$C:$C,0),'MM01'!CV$2),"")=0,"",IFERROR(INDEX(Consulta!$A:$DP,MATCH('MM01'!$B23,Consulta!$C:$C,0),'MM01'!CV$2),""))</f>
        <v/>
      </c>
      <c r="CW23" s="43" t="str">
        <f>IF(IFERROR(INDEX(Consulta!$A:$DP,MATCH('MM01'!$B23,Consulta!$C:$C,0),'MM01'!CW$2),"")=0,"",IFERROR(INDEX(Consulta!$A:$DP,MATCH('MM01'!$B23,Consulta!$C:$C,0),'MM01'!CW$2),""))</f>
        <v/>
      </c>
      <c r="CX23" s="43" t="str">
        <f t="shared" si="20"/>
        <v/>
      </c>
      <c r="CY23" s="43" t="str">
        <f t="shared" si="21"/>
        <v/>
      </c>
      <c r="CZ23" s="43" t="str">
        <f t="shared" si="22"/>
        <v/>
      </c>
      <c r="DA23" s="43" t="str">
        <f>IF(IFERROR(INDEX(Consulta!$A:$DP,MATCH('MM01'!$B23,Consulta!$C:$C,0),'MM01'!DA$2),"")=0,"",IFERROR(INDEX(Consulta!$A:$DP,MATCH('MM01'!$B23,Consulta!$C:$C,0),'MM01'!DA$2),""))</f>
        <v/>
      </c>
      <c r="DB23" s="43" t="str">
        <f t="shared" si="23"/>
        <v/>
      </c>
      <c r="DC23" s="43" t="str">
        <f>IF(IFERROR(INDEX(Consulta!$A:$DP,MATCH('MM01'!$B23,Consulta!$C:$C,0),'MM01'!DC$2),"")=0,"",IFERROR(INDEX(Consulta!$A:$DP,MATCH('MM01'!$B23,Consulta!$C:$C,0),'MM01'!DC$2),""))</f>
        <v/>
      </c>
      <c r="DD23" s="45">
        <v>0</v>
      </c>
      <c r="DE23" s="45">
        <v>0</v>
      </c>
      <c r="DF23" s="43" t="str">
        <f t="shared" si="24"/>
        <v/>
      </c>
      <c r="DG23" s="43" t="str">
        <f t="shared" si="25"/>
        <v/>
      </c>
      <c r="DH23" s="57"/>
      <c r="DI23" s="43" t="str">
        <f t="shared" ca="1" si="26"/>
        <v/>
      </c>
      <c r="DJ23" s="43" t="str">
        <f t="shared" si="27"/>
        <v/>
      </c>
      <c r="DK23" s="43" t="str">
        <f t="shared" si="28"/>
        <v/>
      </c>
      <c r="DL23" s="57"/>
      <c r="DM23" s="43" t="str">
        <f t="shared" ca="1" si="29"/>
        <v/>
      </c>
      <c r="DN23" s="43" t="str">
        <f t="shared" si="30"/>
        <v/>
      </c>
      <c r="DO23" s="43" t="str">
        <f t="shared" si="31"/>
        <v/>
      </c>
      <c r="DP23" s="57"/>
      <c r="DQ23" s="43" t="str">
        <f t="shared" ca="1" si="32"/>
        <v/>
      </c>
      <c r="DR23" s="43" t="str">
        <f t="shared" si="33"/>
        <v/>
      </c>
      <c r="DS23" s="43" t="str">
        <f t="shared" si="34"/>
        <v/>
      </c>
      <c r="DT23" s="57"/>
      <c r="DU23" s="43" t="str">
        <f t="shared" ca="1" si="35"/>
        <v/>
      </c>
      <c r="DV23" s="43" t="str">
        <f t="shared" si="36"/>
        <v/>
      </c>
      <c r="DX23" s="44">
        <v>1</v>
      </c>
      <c r="DY23" s="44" t="s">
        <v>773</v>
      </c>
      <c r="DZ23" s="43">
        <f t="shared" si="37"/>
        <v>0.01</v>
      </c>
      <c r="EA23" s="43" t="str">
        <f t="shared" si="38"/>
        <v>M</v>
      </c>
      <c r="EB23" s="43" t="str">
        <f>IF(IFERROR(INDEX(Consulta!$A:$DP,MATCH('MM01'!$B23,Consulta!$C:$C,0),'MM01'!EB$2),"")=0,"7925",IF(IFERROR(INDEX(Consulta!$A:$DP,MATCH('MM01'!$B23,Consulta!$C:$C,0),'MM01'!EB$2),"")="68","7910","7925"))</f>
        <v>7925</v>
      </c>
      <c r="EC23" s="44">
        <v>100</v>
      </c>
      <c r="ED23" s="62">
        <v>1</v>
      </c>
      <c r="EE23" s="43">
        <f t="shared" si="39"/>
        <v>100</v>
      </c>
      <c r="EF23" s="44">
        <v>1</v>
      </c>
      <c r="EG23" s="44">
        <v>0</v>
      </c>
      <c r="EH23" s="44" t="s">
        <v>875</v>
      </c>
      <c r="EI23" s="45">
        <v>0</v>
      </c>
      <c r="EJ23" s="43">
        <f t="shared" si="40"/>
        <v>5000</v>
      </c>
      <c r="EK23" s="69"/>
    </row>
    <row r="24" spans="1:141" x14ac:dyDescent="0.2">
      <c r="A24" s="7" t="str">
        <f t="shared" si="0"/>
        <v>Execução 20</v>
      </c>
      <c r="B24" s="42"/>
      <c r="C24" s="43" t="str">
        <f>IF(IFERROR(INDEX(Consulta!$A:$DP,MATCH('MM01'!$B24,Consulta!$C:$C,0),'MM01'!C$2),"")=0,"",IFERROR(INDEX(Consulta!$A:$DP,MATCH('MM01'!$B24,Consulta!$C:$C,0),'MM01'!C$2),""))</f>
        <v/>
      </c>
      <c r="D24" s="43" t="str">
        <f>IF(IFERROR(INDEX(Consulta!$A:$DP,MATCH('MM01'!$B24,Consulta!$C:$C,0),'MM01'!D$2),"")=0,"",IFERROR(INDEX(Consulta!$A:$DP,MATCH('MM01'!$B24,Consulta!$C:$C,0),'MM01'!D$2),""))</f>
        <v/>
      </c>
      <c r="E24" s="43" t="str">
        <f>IF(IFERROR(INDEX(Consulta!$A:$DP,MATCH('MM01'!$B24,Consulta!$C:$C,0),'MM01'!E$2),"")=0,"",IFERROR(INDEX(Consulta!$A:$DP,MATCH('MM01'!$B24,Consulta!$C:$C,0),'MM01'!E$2),""))</f>
        <v/>
      </c>
      <c r="F24" s="44" t="s">
        <v>100</v>
      </c>
      <c r="G24" s="49" t="str">
        <f>IF(IFERROR(INDEX(Consulta!$A:$DP,MATCH('MM01'!$B24,Consulta!$C:$C,0),'MM01'!G$2),"")=0,"",IFERROR(INDEX(Consulta!$A:$DP,MATCH('MM01'!$B24,Consulta!$C:$C,0),'MM01'!G$2),""))</f>
        <v/>
      </c>
      <c r="H24" s="49" t="str">
        <f>IF(IFERROR(INDEX(Consulta!$A:$DP,MATCH('MM01'!$B24,Consulta!$C:$C,0),'MM01'!H$2),"")=0,"",IFERROR(INDEX(Consulta!$A:$DP,MATCH('MM01'!$B24,Consulta!$C:$C,0),'MM01'!H$2),""))</f>
        <v/>
      </c>
      <c r="I24" s="49" t="str">
        <f t="shared" si="1"/>
        <v/>
      </c>
      <c r="J24" s="49" t="str">
        <f>IF(IFERROR(INDEX(Consulta!$A:$DP,MATCH('MM01'!$B24,Consulta!$C:$C,0),'MM01'!J$2),"")=0,"",IFERROR(INDEX(Consulta!$A:$DP,MATCH('MM01'!$B24,Consulta!$C:$C,0),'MM01'!J$2),""))</f>
        <v/>
      </c>
      <c r="K24" s="49" t="str">
        <f t="shared" si="2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IF(IFERROR(INDEX(Consulta!$A:$DP,MATCH('MM01'!$B24,Consulta!$C:$C,0),'MM01'!AP$2),"")=0,"",IFERROR(INDEX(Consulta!$A:$DP,MATCH('MM01'!$B24,Consulta!$C:$C,0),'MM01'!AP$2),""))</f>
        <v/>
      </c>
      <c r="AQ24" s="45"/>
      <c r="AR24" s="43" t="str">
        <f>IF(IFERROR(INDEX(Consulta!$A:$DP,MATCH('MM01'!$B24,Consulta!$C:$C,0),'MM01'!AR$2),"")=0,"",IFERROR(INDEX(Consulta!$A:$DP,MATCH('MM01'!$B24,Consulta!$C:$C,0),'MM01'!AR$2),""))</f>
        <v/>
      </c>
      <c r="AS24" s="43" t="str">
        <f>IF(IFERROR(INDEX(Consulta!$A:$DP,MATCH('MM01'!$B24,Consulta!$C:$C,0),'MM01'!AS$2),"")=0,"",IF(AR24="68",5102,IFERROR(INDEX(Consulta!$A:$DP,MATCH('MM01'!$B24,Consulta!$C:$C,0),'MM01'!AS$2),"")))</f>
        <v/>
      </c>
      <c r="AT24" s="45"/>
      <c r="AU24" s="46" t="str">
        <f t="shared" ca="1" si="3"/>
        <v/>
      </c>
      <c r="AV24" s="47" t="s">
        <v>795</v>
      </c>
      <c r="AW24" s="43" t="str">
        <f>IF(IFERROR(INDEX(Consulta!$A:$DP,MATCH('MM01'!$B24,Consulta!$C:$C,0),'MM01'!AW$2),"")=0,"",IFERROR(ROUND(INDEX(Consulta!$A:$DP,MATCH('MM01'!$B24,Consulta!$C:$C,0),'MM01'!AW$2),3),""))</f>
        <v/>
      </c>
      <c r="AX24" s="43" t="str">
        <f t="shared" si="4"/>
        <v/>
      </c>
      <c r="AY24" s="48" t="s">
        <v>299</v>
      </c>
      <c r="AZ24" s="48"/>
      <c r="BA24" s="43" t="str">
        <f>IF(IFERROR(INDEX(Consulta!$A:$DP,MATCH('MM01'!$B24,Consulta!$C:$C,0),'MM01'!BA$2),"")=0,"",IFERROR(INDEX(Consulta!$A:$DP,MATCH('MM01'!$B24,Consulta!$C:$C,0),'MM01'!BA$2),""))</f>
        <v/>
      </c>
      <c r="BB24" s="43" t="str">
        <f t="shared" si="5"/>
        <v/>
      </c>
      <c r="BC24" s="43" t="str">
        <f t="shared" si="6"/>
        <v/>
      </c>
      <c r="BD24" s="43" t="str">
        <f t="shared" si="7"/>
        <v/>
      </c>
      <c r="BE24" s="43" t="str">
        <f t="shared" si="8"/>
        <v>M</v>
      </c>
      <c r="BF24" s="43" t="str">
        <f t="shared" si="9"/>
        <v/>
      </c>
      <c r="BG24" s="43" t="str">
        <f t="shared" si="10"/>
        <v/>
      </c>
      <c r="BH24" s="43" t="str">
        <f t="shared" si="11"/>
        <v/>
      </c>
      <c r="BI24" s="43" t="str">
        <f t="shared" si="12"/>
        <v>M</v>
      </c>
      <c r="BK24" s="45" t="s">
        <v>324</v>
      </c>
      <c r="BL24" s="43" t="str">
        <f>IF(IFERROR(INDEX(Consulta!$A:$DP,MATCH('MM01'!$B24,Consulta!$C:$C,0),'MM01'!BL$2),"")=0,"",IFERROR(INDEX(Consulta!$A:$DP,MATCH('MM01'!$B24,Consulta!$C:$C,0),'MM01'!BL$2),""))</f>
        <v/>
      </c>
      <c r="BM24" s="45"/>
      <c r="BN24" s="46" t="str">
        <f t="shared" ca="1" si="13"/>
        <v/>
      </c>
      <c r="BO24" s="49" t="str">
        <f t="shared" si="14"/>
        <v/>
      </c>
      <c r="BP24" s="50">
        <v>1</v>
      </c>
      <c r="BQ24" s="50" t="s">
        <v>194</v>
      </c>
      <c r="BR24" s="79" t="str">
        <f t="shared" si="15"/>
        <v>01</v>
      </c>
      <c r="BS24" s="50" t="s">
        <v>795</v>
      </c>
      <c r="BT24" s="44">
        <v>1</v>
      </c>
      <c r="BU24" s="44" t="s">
        <v>371</v>
      </c>
      <c r="BV24" s="50" t="s">
        <v>197</v>
      </c>
      <c r="BW24" s="50" t="s">
        <v>197</v>
      </c>
      <c r="BX24" s="43" t="str">
        <f>IF(IFERROR(INDEX(Consulta!$A:$DP,MATCH('MM01'!$B24,Consulta!$C:$C,0),'MM01'!BX$2),"")=0,"",IFERROR(INDEX(Consulta!$A:$DP,MATCH('MM01'!$B24,Consulta!$C:$C,0),'MM01'!BX$2),""))</f>
        <v/>
      </c>
      <c r="BY24" s="44" t="s">
        <v>391</v>
      </c>
      <c r="BZ24" s="50">
        <v>0</v>
      </c>
      <c r="CA24" s="45" t="s">
        <v>402</v>
      </c>
      <c r="CB24" s="45" t="s">
        <v>84</v>
      </c>
      <c r="CC24" s="43" t="str">
        <f t="shared" si="16"/>
        <v/>
      </c>
      <c r="CD24" s="45" t="s">
        <v>38</v>
      </c>
      <c r="CE24" s="45">
        <v>1</v>
      </c>
      <c r="CF24" s="45" t="s">
        <v>495</v>
      </c>
      <c r="CG24" s="45"/>
      <c r="CH24" s="44">
        <v>2</v>
      </c>
      <c r="CI24" s="49" t="str">
        <f t="shared" si="17"/>
        <v/>
      </c>
      <c r="CJ24" s="49" t="str">
        <f t="shared" si="18"/>
        <v/>
      </c>
      <c r="CK24" s="45"/>
      <c r="CL24" s="44">
        <v>1</v>
      </c>
      <c r="CM24" s="50" t="s">
        <v>514</v>
      </c>
      <c r="CN24" s="44" t="s">
        <v>371</v>
      </c>
      <c r="CO24" s="44">
        <v>2</v>
      </c>
      <c r="CP24" s="44">
        <v>42</v>
      </c>
      <c r="CQ24" s="44">
        <v>10</v>
      </c>
      <c r="CR24" s="43" t="str">
        <f t="shared" si="19"/>
        <v>K00_P_</v>
      </c>
      <c r="CS24" s="45">
        <v>5000</v>
      </c>
      <c r="CT24" s="43" t="str">
        <f>IF(IFERROR(INDEX(Consulta!$A:$DP,MATCH('MM01'!$B24,Consulta!$C:$C,0),'MM01'!CT$2),"")=0,"",IFERROR(INDEX(Consulta!$A:$DP,MATCH('MM01'!$B24,Consulta!$C:$C,0),'MM01'!CT$2),""))</f>
        <v/>
      </c>
      <c r="CU24" s="43" t="str">
        <f>IF(IFERROR(INDEX(Consulta!$A:$DP,MATCH('MM01'!$B24,Consulta!$C:$C,0),'MM01'!CU$2),"")=0,"",IFERROR(INDEX(Consulta!$A:$DP,MATCH('MM01'!$B24,Consulta!$C:$C,0),'MM01'!CU$2),""))</f>
        <v/>
      </c>
      <c r="CV24" s="43" t="str">
        <f>IF(IFERROR(INDEX(Consulta!$A:$DP,MATCH('MM01'!$B24,Consulta!$C:$C,0),'MM01'!CV$2),"")=0,"",IFERROR(INDEX(Consulta!$A:$DP,MATCH('MM01'!$B24,Consulta!$C:$C,0),'MM01'!CV$2),""))</f>
        <v/>
      </c>
      <c r="CW24" s="43" t="str">
        <f>IF(IFERROR(INDEX(Consulta!$A:$DP,MATCH('MM01'!$B24,Consulta!$C:$C,0),'MM01'!CW$2),"")=0,"",IFERROR(INDEX(Consulta!$A:$DP,MATCH('MM01'!$B24,Consulta!$C:$C,0),'MM01'!CW$2),""))</f>
        <v/>
      </c>
      <c r="CX24" s="43" t="str">
        <f t="shared" si="20"/>
        <v/>
      </c>
      <c r="CY24" s="43" t="str">
        <f t="shared" si="21"/>
        <v/>
      </c>
      <c r="CZ24" s="43" t="str">
        <f t="shared" si="22"/>
        <v/>
      </c>
      <c r="DA24" s="43" t="str">
        <f>IF(IFERROR(INDEX(Consulta!$A:$DP,MATCH('MM01'!$B24,Consulta!$C:$C,0),'MM01'!DA$2),"")=0,"",IFERROR(INDEX(Consulta!$A:$DP,MATCH('MM01'!$B24,Consulta!$C:$C,0),'MM01'!DA$2),""))</f>
        <v/>
      </c>
      <c r="DB24" s="43" t="str">
        <f t="shared" si="23"/>
        <v/>
      </c>
      <c r="DC24" s="43" t="str">
        <f>IF(IFERROR(INDEX(Consulta!$A:$DP,MATCH('MM01'!$B24,Consulta!$C:$C,0),'MM01'!DC$2),"")=0,"",IFERROR(INDEX(Consulta!$A:$DP,MATCH('MM01'!$B24,Consulta!$C:$C,0),'MM01'!DC$2),""))</f>
        <v/>
      </c>
      <c r="DD24" s="45">
        <v>0</v>
      </c>
      <c r="DE24" s="45">
        <v>0</v>
      </c>
      <c r="DF24" s="43" t="str">
        <f t="shared" si="24"/>
        <v/>
      </c>
      <c r="DG24" s="43" t="str">
        <f t="shared" si="25"/>
        <v/>
      </c>
      <c r="DH24" s="57"/>
      <c r="DI24" s="43" t="str">
        <f t="shared" ca="1" si="26"/>
        <v/>
      </c>
      <c r="DJ24" s="43" t="str">
        <f t="shared" si="27"/>
        <v/>
      </c>
      <c r="DK24" s="43" t="str">
        <f t="shared" si="28"/>
        <v/>
      </c>
      <c r="DL24" s="57"/>
      <c r="DM24" s="43" t="str">
        <f t="shared" ca="1" si="29"/>
        <v/>
      </c>
      <c r="DN24" s="43" t="str">
        <f t="shared" si="30"/>
        <v/>
      </c>
      <c r="DO24" s="43" t="str">
        <f t="shared" si="31"/>
        <v/>
      </c>
      <c r="DP24" s="57"/>
      <c r="DQ24" s="43" t="str">
        <f t="shared" ca="1" si="32"/>
        <v/>
      </c>
      <c r="DR24" s="43" t="str">
        <f t="shared" si="33"/>
        <v/>
      </c>
      <c r="DS24" s="43" t="str">
        <f t="shared" si="34"/>
        <v/>
      </c>
      <c r="DT24" s="57"/>
      <c r="DU24" s="43" t="str">
        <f t="shared" ca="1" si="35"/>
        <v/>
      </c>
      <c r="DV24" s="43" t="str">
        <f t="shared" si="36"/>
        <v/>
      </c>
      <c r="DX24" s="44">
        <v>1</v>
      </c>
      <c r="DY24" s="44" t="s">
        <v>773</v>
      </c>
      <c r="DZ24" s="43">
        <f t="shared" si="37"/>
        <v>0.01</v>
      </c>
      <c r="EA24" s="43" t="str">
        <f t="shared" si="38"/>
        <v>M</v>
      </c>
      <c r="EB24" s="43" t="str">
        <f>IF(IFERROR(INDEX(Consulta!$A:$DP,MATCH('MM01'!$B24,Consulta!$C:$C,0),'MM01'!EB$2),"")=0,"7925",IF(IFERROR(INDEX(Consulta!$A:$DP,MATCH('MM01'!$B24,Consulta!$C:$C,0),'MM01'!EB$2),"")="68","7910","7925"))</f>
        <v>7925</v>
      </c>
      <c r="EC24" s="44">
        <v>100</v>
      </c>
      <c r="ED24" s="62">
        <v>1</v>
      </c>
      <c r="EE24" s="43">
        <f t="shared" si="39"/>
        <v>100</v>
      </c>
      <c r="EF24" s="44">
        <v>1</v>
      </c>
      <c r="EG24" s="44">
        <v>0</v>
      </c>
      <c r="EH24" s="44" t="s">
        <v>875</v>
      </c>
      <c r="EI24" s="45">
        <v>0</v>
      </c>
      <c r="EJ24" s="43">
        <f t="shared" si="40"/>
        <v>5000</v>
      </c>
      <c r="EK24" s="69"/>
    </row>
    <row r="25" spans="1:141" x14ac:dyDescent="0.2">
      <c r="A25" s="7" t="str">
        <f t="shared" si="0"/>
        <v>Execução 21</v>
      </c>
      <c r="B25" s="42"/>
      <c r="C25" s="43" t="str">
        <f>IF(IFERROR(INDEX(Consulta!$A:$DP,MATCH('MM01'!$B25,Consulta!$C:$C,0),'MM01'!C$2),"")=0,"",IFERROR(INDEX(Consulta!$A:$DP,MATCH('MM01'!$B25,Consulta!$C:$C,0),'MM01'!C$2),""))</f>
        <v/>
      </c>
      <c r="D25" s="43" t="str">
        <f>IF(IFERROR(INDEX(Consulta!$A:$DP,MATCH('MM01'!$B25,Consulta!$C:$C,0),'MM01'!D$2),"")=0,"",IFERROR(INDEX(Consulta!$A:$DP,MATCH('MM01'!$B25,Consulta!$C:$C,0),'MM01'!D$2),""))</f>
        <v/>
      </c>
      <c r="E25" s="43" t="str">
        <f>IF(IFERROR(INDEX(Consulta!$A:$DP,MATCH('MM01'!$B25,Consulta!$C:$C,0),'MM01'!E$2),"")=0,"",IFERROR(INDEX(Consulta!$A:$DP,MATCH('MM01'!$B25,Consulta!$C:$C,0),'MM01'!E$2),""))</f>
        <v/>
      </c>
      <c r="F25" s="44" t="s">
        <v>100</v>
      </c>
      <c r="G25" s="49" t="str">
        <f>IF(IFERROR(INDEX(Consulta!$A:$DP,MATCH('MM01'!$B25,Consulta!$C:$C,0),'MM01'!G$2),"")=0,"",IFERROR(INDEX(Consulta!$A:$DP,MATCH('MM01'!$B25,Consulta!$C:$C,0),'MM01'!G$2),""))</f>
        <v/>
      </c>
      <c r="H25" s="49" t="str">
        <f>IF(IFERROR(INDEX(Consulta!$A:$DP,MATCH('MM01'!$B25,Consulta!$C:$C,0),'MM01'!H$2),"")=0,"",IFERROR(INDEX(Consulta!$A:$DP,MATCH('MM01'!$B25,Consulta!$C:$C,0),'MM01'!H$2),""))</f>
        <v/>
      </c>
      <c r="I25" s="49" t="str">
        <f t="shared" si="1"/>
        <v/>
      </c>
      <c r="J25" s="49" t="str">
        <f>IF(IFERROR(INDEX(Consulta!$A:$DP,MATCH('MM01'!$B25,Consulta!$C:$C,0),'MM01'!J$2),"")=0,"",IFERROR(INDEX(Consulta!$A:$DP,MATCH('MM01'!$B25,Consulta!$C:$C,0),'MM01'!J$2),""))</f>
        <v/>
      </c>
      <c r="K25" s="49" t="str">
        <f t="shared" si="2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IF(IFERROR(INDEX(Consulta!$A:$DP,MATCH('MM01'!$B25,Consulta!$C:$C,0),'MM01'!AP$2),"")=0,"",IFERROR(INDEX(Consulta!$A:$DP,MATCH('MM01'!$B25,Consulta!$C:$C,0),'MM01'!AP$2),""))</f>
        <v/>
      </c>
      <c r="AQ25" s="45"/>
      <c r="AR25" s="43" t="str">
        <f>IF(IFERROR(INDEX(Consulta!$A:$DP,MATCH('MM01'!$B25,Consulta!$C:$C,0),'MM01'!AR$2),"")=0,"",IFERROR(INDEX(Consulta!$A:$DP,MATCH('MM01'!$B25,Consulta!$C:$C,0),'MM01'!AR$2),""))</f>
        <v/>
      </c>
      <c r="AS25" s="43" t="str">
        <f>IF(IFERROR(INDEX(Consulta!$A:$DP,MATCH('MM01'!$B25,Consulta!$C:$C,0),'MM01'!AS$2),"")=0,"",IF(AR25="68",5102,IFERROR(INDEX(Consulta!$A:$DP,MATCH('MM01'!$B25,Consulta!$C:$C,0),'MM01'!AS$2),"")))</f>
        <v/>
      </c>
      <c r="AT25" s="45"/>
      <c r="AU25" s="46" t="str">
        <f t="shared" ca="1" si="3"/>
        <v/>
      </c>
      <c r="AV25" s="47" t="s">
        <v>795</v>
      </c>
      <c r="AW25" s="43" t="str">
        <f>IF(IFERROR(INDEX(Consulta!$A:$DP,MATCH('MM01'!$B25,Consulta!$C:$C,0),'MM01'!AW$2),"")=0,"",IFERROR(ROUND(INDEX(Consulta!$A:$DP,MATCH('MM01'!$B25,Consulta!$C:$C,0),'MM01'!AW$2),3),""))</f>
        <v/>
      </c>
      <c r="AX25" s="43" t="str">
        <f t="shared" si="4"/>
        <v/>
      </c>
      <c r="AY25" s="48" t="s">
        <v>299</v>
      </c>
      <c r="AZ25" s="48"/>
      <c r="BA25" s="43" t="str">
        <f>IF(IFERROR(INDEX(Consulta!$A:$DP,MATCH('MM01'!$B25,Consulta!$C:$C,0),'MM01'!BA$2),"")=0,"",IFERROR(INDEX(Consulta!$A:$DP,MATCH('MM01'!$B25,Consulta!$C:$C,0),'MM01'!BA$2),""))</f>
        <v/>
      </c>
      <c r="BB25" s="43" t="str">
        <f t="shared" si="5"/>
        <v/>
      </c>
      <c r="BC25" s="43" t="str">
        <f t="shared" si="6"/>
        <v/>
      </c>
      <c r="BD25" s="43" t="str">
        <f t="shared" si="7"/>
        <v/>
      </c>
      <c r="BE25" s="43" t="str">
        <f t="shared" si="8"/>
        <v>M</v>
      </c>
      <c r="BF25" s="43" t="str">
        <f t="shared" si="9"/>
        <v/>
      </c>
      <c r="BG25" s="43" t="str">
        <f t="shared" si="10"/>
        <v/>
      </c>
      <c r="BH25" s="43" t="str">
        <f t="shared" si="11"/>
        <v/>
      </c>
      <c r="BI25" s="43" t="str">
        <f t="shared" si="12"/>
        <v>M</v>
      </c>
      <c r="BK25" s="45" t="s">
        <v>324</v>
      </c>
      <c r="BL25" s="43" t="str">
        <f>IF(IFERROR(INDEX(Consulta!$A:$DP,MATCH('MM01'!$B25,Consulta!$C:$C,0),'MM01'!BL$2),"")=0,"",IFERROR(INDEX(Consulta!$A:$DP,MATCH('MM01'!$B25,Consulta!$C:$C,0),'MM01'!BL$2),""))</f>
        <v/>
      </c>
      <c r="BM25" s="45"/>
      <c r="BN25" s="46" t="str">
        <f t="shared" ca="1" si="13"/>
        <v/>
      </c>
      <c r="BO25" s="49" t="str">
        <f t="shared" si="14"/>
        <v/>
      </c>
      <c r="BP25" s="50">
        <v>1</v>
      </c>
      <c r="BQ25" s="50" t="s">
        <v>194</v>
      </c>
      <c r="BR25" s="79" t="str">
        <f t="shared" si="15"/>
        <v>01</v>
      </c>
      <c r="BS25" s="50" t="s">
        <v>795</v>
      </c>
      <c r="BT25" s="44">
        <v>1</v>
      </c>
      <c r="BU25" s="44" t="s">
        <v>371</v>
      </c>
      <c r="BV25" s="50" t="s">
        <v>197</v>
      </c>
      <c r="BW25" s="50" t="s">
        <v>197</v>
      </c>
      <c r="BX25" s="43" t="str">
        <f>IF(IFERROR(INDEX(Consulta!$A:$DP,MATCH('MM01'!$B25,Consulta!$C:$C,0),'MM01'!BX$2),"")=0,"",IFERROR(INDEX(Consulta!$A:$DP,MATCH('MM01'!$B25,Consulta!$C:$C,0),'MM01'!BX$2),""))</f>
        <v/>
      </c>
      <c r="BY25" s="44" t="s">
        <v>391</v>
      </c>
      <c r="BZ25" s="50">
        <v>0</v>
      </c>
      <c r="CA25" s="45" t="s">
        <v>402</v>
      </c>
      <c r="CB25" s="45" t="s">
        <v>84</v>
      </c>
      <c r="CC25" s="43" t="str">
        <f t="shared" si="16"/>
        <v/>
      </c>
      <c r="CD25" s="45" t="s">
        <v>38</v>
      </c>
      <c r="CE25" s="45">
        <v>1</v>
      </c>
      <c r="CF25" s="45" t="s">
        <v>495</v>
      </c>
      <c r="CG25" s="45"/>
      <c r="CH25" s="44">
        <v>2</v>
      </c>
      <c r="CI25" s="49" t="str">
        <f t="shared" si="17"/>
        <v/>
      </c>
      <c r="CJ25" s="49" t="str">
        <f t="shared" si="18"/>
        <v/>
      </c>
      <c r="CK25" s="45"/>
      <c r="CL25" s="44">
        <v>1</v>
      </c>
      <c r="CM25" s="50" t="s">
        <v>514</v>
      </c>
      <c r="CN25" s="44" t="s">
        <v>371</v>
      </c>
      <c r="CO25" s="44">
        <v>2</v>
      </c>
      <c r="CP25" s="44">
        <v>42</v>
      </c>
      <c r="CQ25" s="44">
        <v>10</v>
      </c>
      <c r="CR25" s="43" t="str">
        <f t="shared" si="19"/>
        <v>K00_P_</v>
      </c>
      <c r="CS25" s="45">
        <v>5000</v>
      </c>
      <c r="CT25" s="43" t="str">
        <f>IF(IFERROR(INDEX(Consulta!$A:$DP,MATCH('MM01'!$B25,Consulta!$C:$C,0),'MM01'!CT$2),"")=0,"",IFERROR(INDEX(Consulta!$A:$DP,MATCH('MM01'!$B25,Consulta!$C:$C,0),'MM01'!CT$2),""))</f>
        <v/>
      </c>
      <c r="CU25" s="43" t="str">
        <f>IF(IFERROR(INDEX(Consulta!$A:$DP,MATCH('MM01'!$B25,Consulta!$C:$C,0),'MM01'!CU$2),"")=0,"",IFERROR(INDEX(Consulta!$A:$DP,MATCH('MM01'!$B25,Consulta!$C:$C,0),'MM01'!CU$2),""))</f>
        <v/>
      </c>
      <c r="CV25" s="43" t="str">
        <f>IF(IFERROR(INDEX(Consulta!$A:$DP,MATCH('MM01'!$B25,Consulta!$C:$C,0),'MM01'!CV$2),"")=0,"",IFERROR(INDEX(Consulta!$A:$DP,MATCH('MM01'!$B25,Consulta!$C:$C,0),'MM01'!CV$2),""))</f>
        <v/>
      </c>
      <c r="CW25" s="43" t="str">
        <f>IF(IFERROR(INDEX(Consulta!$A:$DP,MATCH('MM01'!$B25,Consulta!$C:$C,0),'MM01'!CW$2),"")=0,"",IFERROR(INDEX(Consulta!$A:$DP,MATCH('MM01'!$B25,Consulta!$C:$C,0),'MM01'!CW$2),""))</f>
        <v/>
      </c>
      <c r="CX25" s="43" t="str">
        <f t="shared" si="20"/>
        <v/>
      </c>
      <c r="CY25" s="43" t="str">
        <f t="shared" si="21"/>
        <v/>
      </c>
      <c r="CZ25" s="43" t="str">
        <f t="shared" si="22"/>
        <v/>
      </c>
      <c r="DA25" s="43" t="str">
        <f>IF(IFERROR(INDEX(Consulta!$A:$DP,MATCH('MM01'!$B25,Consulta!$C:$C,0),'MM01'!DA$2),"")=0,"",IFERROR(INDEX(Consulta!$A:$DP,MATCH('MM01'!$B25,Consulta!$C:$C,0),'MM01'!DA$2),""))</f>
        <v/>
      </c>
      <c r="DB25" s="43" t="str">
        <f t="shared" si="23"/>
        <v/>
      </c>
      <c r="DC25" s="43" t="str">
        <f>IF(IFERROR(INDEX(Consulta!$A:$DP,MATCH('MM01'!$B25,Consulta!$C:$C,0),'MM01'!DC$2),"")=0,"",IFERROR(INDEX(Consulta!$A:$DP,MATCH('MM01'!$B25,Consulta!$C:$C,0),'MM01'!DC$2),""))</f>
        <v/>
      </c>
      <c r="DD25" s="45">
        <v>0</v>
      </c>
      <c r="DE25" s="45">
        <v>0</v>
      </c>
      <c r="DF25" s="43" t="str">
        <f t="shared" si="24"/>
        <v/>
      </c>
      <c r="DG25" s="43" t="str">
        <f t="shared" si="25"/>
        <v/>
      </c>
      <c r="DH25" s="57"/>
      <c r="DI25" s="43" t="str">
        <f t="shared" ca="1" si="26"/>
        <v/>
      </c>
      <c r="DJ25" s="43" t="str">
        <f t="shared" si="27"/>
        <v/>
      </c>
      <c r="DK25" s="43" t="str">
        <f t="shared" si="28"/>
        <v/>
      </c>
      <c r="DL25" s="57"/>
      <c r="DM25" s="43" t="str">
        <f t="shared" ca="1" si="29"/>
        <v/>
      </c>
      <c r="DN25" s="43" t="str">
        <f t="shared" si="30"/>
        <v/>
      </c>
      <c r="DO25" s="43" t="str">
        <f t="shared" si="31"/>
        <v/>
      </c>
      <c r="DP25" s="57"/>
      <c r="DQ25" s="43" t="str">
        <f t="shared" ca="1" si="32"/>
        <v/>
      </c>
      <c r="DR25" s="43" t="str">
        <f t="shared" si="33"/>
        <v/>
      </c>
      <c r="DS25" s="43" t="str">
        <f t="shared" si="34"/>
        <v/>
      </c>
      <c r="DT25" s="57"/>
      <c r="DU25" s="43" t="str">
        <f t="shared" ca="1" si="35"/>
        <v/>
      </c>
      <c r="DV25" s="43" t="str">
        <f t="shared" si="36"/>
        <v/>
      </c>
      <c r="DX25" s="44">
        <v>1</v>
      </c>
      <c r="DY25" s="44" t="s">
        <v>773</v>
      </c>
      <c r="DZ25" s="43">
        <f t="shared" si="37"/>
        <v>0.01</v>
      </c>
      <c r="EA25" s="43" t="str">
        <f t="shared" si="38"/>
        <v>M</v>
      </c>
      <c r="EB25" s="43" t="str">
        <f>IF(IFERROR(INDEX(Consulta!$A:$DP,MATCH('MM01'!$B25,Consulta!$C:$C,0),'MM01'!EB$2),"")=0,"7925",IF(IFERROR(INDEX(Consulta!$A:$DP,MATCH('MM01'!$B25,Consulta!$C:$C,0),'MM01'!EB$2),"")="68","7910","7925"))</f>
        <v>7925</v>
      </c>
      <c r="EC25" s="44">
        <v>100</v>
      </c>
      <c r="ED25" s="62">
        <v>1</v>
      </c>
      <c r="EE25" s="43">
        <f t="shared" si="39"/>
        <v>100</v>
      </c>
      <c r="EF25" s="44">
        <v>1</v>
      </c>
      <c r="EG25" s="44">
        <v>0</v>
      </c>
      <c r="EH25" s="44" t="s">
        <v>875</v>
      </c>
      <c r="EI25" s="45">
        <v>0</v>
      </c>
      <c r="EJ25" s="43">
        <f t="shared" si="40"/>
        <v>5000</v>
      </c>
      <c r="EK25" s="69"/>
    </row>
    <row r="26" spans="1:141" x14ac:dyDescent="0.2">
      <c r="A26" s="7" t="str">
        <f t="shared" si="0"/>
        <v>Execução 22</v>
      </c>
      <c r="B26" s="42"/>
      <c r="C26" s="43" t="str">
        <f>IF(IFERROR(INDEX(Consulta!$A:$DP,MATCH('MM01'!$B26,Consulta!$C:$C,0),'MM01'!C$2),"")=0,"",IFERROR(INDEX(Consulta!$A:$DP,MATCH('MM01'!$B26,Consulta!$C:$C,0),'MM01'!C$2),""))</f>
        <v/>
      </c>
      <c r="D26" s="43" t="str">
        <f>IF(IFERROR(INDEX(Consulta!$A:$DP,MATCH('MM01'!$B26,Consulta!$C:$C,0),'MM01'!D$2),"")=0,"",IFERROR(INDEX(Consulta!$A:$DP,MATCH('MM01'!$B26,Consulta!$C:$C,0),'MM01'!D$2),""))</f>
        <v/>
      </c>
      <c r="E26" s="43" t="str">
        <f>IF(IFERROR(INDEX(Consulta!$A:$DP,MATCH('MM01'!$B26,Consulta!$C:$C,0),'MM01'!E$2),"")=0,"",IFERROR(INDEX(Consulta!$A:$DP,MATCH('MM01'!$B26,Consulta!$C:$C,0),'MM01'!E$2),""))</f>
        <v/>
      </c>
      <c r="F26" s="44" t="s">
        <v>100</v>
      </c>
      <c r="G26" s="49" t="str">
        <f>IF(IFERROR(INDEX(Consulta!$A:$DP,MATCH('MM01'!$B26,Consulta!$C:$C,0),'MM01'!G$2),"")=0,"",IFERROR(INDEX(Consulta!$A:$DP,MATCH('MM01'!$B26,Consulta!$C:$C,0),'MM01'!G$2),""))</f>
        <v/>
      </c>
      <c r="H26" s="49" t="str">
        <f>IF(IFERROR(INDEX(Consulta!$A:$DP,MATCH('MM01'!$B26,Consulta!$C:$C,0),'MM01'!H$2),"")=0,"",IFERROR(INDEX(Consulta!$A:$DP,MATCH('MM01'!$B26,Consulta!$C:$C,0),'MM01'!H$2),""))</f>
        <v/>
      </c>
      <c r="I26" s="49" t="str">
        <f t="shared" si="1"/>
        <v/>
      </c>
      <c r="J26" s="49" t="str">
        <f>IF(IFERROR(INDEX(Consulta!$A:$DP,MATCH('MM01'!$B26,Consulta!$C:$C,0),'MM01'!J$2),"")=0,"",IFERROR(INDEX(Consulta!$A:$DP,MATCH('MM01'!$B26,Consulta!$C:$C,0),'MM01'!J$2),""))</f>
        <v/>
      </c>
      <c r="K26" s="49" t="str">
        <f t="shared" si="2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IF(IFERROR(INDEX(Consulta!$A:$DP,MATCH('MM01'!$B26,Consulta!$C:$C,0),'MM01'!AP$2),"")=0,"",IFERROR(INDEX(Consulta!$A:$DP,MATCH('MM01'!$B26,Consulta!$C:$C,0),'MM01'!AP$2),""))</f>
        <v/>
      </c>
      <c r="AQ26" s="45"/>
      <c r="AR26" s="43" t="str">
        <f>IF(IFERROR(INDEX(Consulta!$A:$DP,MATCH('MM01'!$B26,Consulta!$C:$C,0),'MM01'!AR$2),"")=0,"",IFERROR(INDEX(Consulta!$A:$DP,MATCH('MM01'!$B26,Consulta!$C:$C,0),'MM01'!AR$2),""))</f>
        <v/>
      </c>
      <c r="AS26" s="43" t="str">
        <f>IF(IFERROR(INDEX(Consulta!$A:$DP,MATCH('MM01'!$B26,Consulta!$C:$C,0),'MM01'!AS$2),"")=0,"",IF(AR26="68",5102,IFERROR(INDEX(Consulta!$A:$DP,MATCH('MM01'!$B26,Consulta!$C:$C,0),'MM01'!AS$2),"")))</f>
        <v/>
      </c>
      <c r="AT26" s="45"/>
      <c r="AU26" s="46" t="str">
        <f t="shared" ca="1" si="3"/>
        <v/>
      </c>
      <c r="AV26" s="47" t="s">
        <v>795</v>
      </c>
      <c r="AW26" s="43" t="str">
        <f>IF(IFERROR(INDEX(Consulta!$A:$DP,MATCH('MM01'!$B26,Consulta!$C:$C,0),'MM01'!AW$2),"")=0,"",IFERROR(ROUND(INDEX(Consulta!$A:$DP,MATCH('MM01'!$B26,Consulta!$C:$C,0),'MM01'!AW$2),3),""))</f>
        <v/>
      </c>
      <c r="AX26" s="43" t="str">
        <f t="shared" si="4"/>
        <v/>
      </c>
      <c r="AY26" s="48" t="s">
        <v>299</v>
      </c>
      <c r="AZ26" s="48"/>
      <c r="BA26" s="43" t="str">
        <f>IF(IFERROR(INDEX(Consulta!$A:$DP,MATCH('MM01'!$B26,Consulta!$C:$C,0),'MM01'!BA$2),"")=0,"",IFERROR(INDEX(Consulta!$A:$DP,MATCH('MM01'!$B26,Consulta!$C:$C,0),'MM01'!BA$2),""))</f>
        <v/>
      </c>
      <c r="BB26" s="43" t="str">
        <f t="shared" si="5"/>
        <v/>
      </c>
      <c r="BC26" s="43" t="str">
        <f t="shared" si="6"/>
        <v/>
      </c>
      <c r="BD26" s="43" t="str">
        <f t="shared" si="7"/>
        <v/>
      </c>
      <c r="BE26" s="43" t="str">
        <f t="shared" si="8"/>
        <v>M</v>
      </c>
      <c r="BF26" s="43" t="str">
        <f t="shared" si="9"/>
        <v/>
      </c>
      <c r="BG26" s="43" t="str">
        <f t="shared" si="10"/>
        <v/>
      </c>
      <c r="BH26" s="43" t="str">
        <f t="shared" si="11"/>
        <v/>
      </c>
      <c r="BI26" s="43" t="str">
        <f t="shared" si="12"/>
        <v>M</v>
      </c>
      <c r="BK26" s="45" t="s">
        <v>324</v>
      </c>
      <c r="BL26" s="43" t="str">
        <f>IF(IFERROR(INDEX(Consulta!$A:$DP,MATCH('MM01'!$B26,Consulta!$C:$C,0),'MM01'!BL$2),"")=0,"",IFERROR(INDEX(Consulta!$A:$DP,MATCH('MM01'!$B26,Consulta!$C:$C,0),'MM01'!BL$2),""))</f>
        <v/>
      </c>
      <c r="BM26" s="45"/>
      <c r="BN26" s="46" t="str">
        <f t="shared" ca="1" si="13"/>
        <v/>
      </c>
      <c r="BO26" s="49" t="str">
        <f t="shared" si="14"/>
        <v/>
      </c>
      <c r="BP26" s="50">
        <v>1</v>
      </c>
      <c r="BQ26" s="50" t="s">
        <v>194</v>
      </c>
      <c r="BR26" s="79" t="str">
        <f t="shared" si="15"/>
        <v>01</v>
      </c>
      <c r="BS26" s="50" t="s">
        <v>795</v>
      </c>
      <c r="BT26" s="44">
        <v>1</v>
      </c>
      <c r="BU26" s="44" t="s">
        <v>371</v>
      </c>
      <c r="BV26" s="50" t="s">
        <v>197</v>
      </c>
      <c r="BW26" s="50" t="s">
        <v>197</v>
      </c>
      <c r="BX26" s="43" t="str">
        <f>IF(IFERROR(INDEX(Consulta!$A:$DP,MATCH('MM01'!$B26,Consulta!$C:$C,0),'MM01'!BX$2),"")=0,"",IFERROR(INDEX(Consulta!$A:$DP,MATCH('MM01'!$B26,Consulta!$C:$C,0),'MM01'!BX$2),""))</f>
        <v/>
      </c>
      <c r="BY26" s="44" t="s">
        <v>391</v>
      </c>
      <c r="BZ26" s="50">
        <v>0</v>
      </c>
      <c r="CA26" s="45" t="s">
        <v>402</v>
      </c>
      <c r="CB26" s="45" t="s">
        <v>84</v>
      </c>
      <c r="CC26" s="43" t="str">
        <f t="shared" si="16"/>
        <v/>
      </c>
      <c r="CD26" s="45" t="s">
        <v>38</v>
      </c>
      <c r="CE26" s="45">
        <v>1</v>
      </c>
      <c r="CF26" s="45" t="s">
        <v>495</v>
      </c>
      <c r="CG26" s="45"/>
      <c r="CH26" s="44">
        <v>2</v>
      </c>
      <c r="CI26" s="49" t="str">
        <f t="shared" si="17"/>
        <v/>
      </c>
      <c r="CJ26" s="49" t="str">
        <f t="shared" si="18"/>
        <v/>
      </c>
      <c r="CK26" s="45"/>
      <c r="CL26" s="44">
        <v>1</v>
      </c>
      <c r="CM26" s="50" t="s">
        <v>514</v>
      </c>
      <c r="CN26" s="44" t="s">
        <v>371</v>
      </c>
      <c r="CO26" s="44">
        <v>2</v>
      </c>
      <c r="CP26" s="44">
        <v>42</v>
      </c>
      <c r="CQ26" s="44">
        <v>10</v>
      </c>
      <c r="CR26" s="43" t="str">
        <f t="shared" si="19"/>
        <v>K00_P_</v>
      </c>
      <c r="CS26" s="45">
        <v>5000</v>
      </c>
      <c r="CT26" s="43" t="str">
        <f>IF(IFERROR(INDEX(Consulta!$A:$DP,MATCH('MM01'!$B26,Consulta!$C:$C,0),'MM01'!CT$2),"")=0,"",IFERROR(INDEX(Consulta!$A:$DP,MATCH('MM01'!$B26,Consulta!$C:$C,0),'MM01'!CT$2),""))</f>
        <v/>
      </c>
      <c r="CU26" s="43" t="str">
        <f>IF(IFERROR(INDEX(Consulta!$A:$DP,MATCH('MM01'!$B26,Consulta!$C:$C,0),'MM01'!CU$2),"")=0,"",IFERROR(INDEX(Consulta!$A:$DP,MATCH('MM01'!$B26,Consulta!$C:$C,0),'MM01'!CU$2),""))</f>
        <v/>
      </c>
      <c r="CV26" s="43" t="str">
        <f>IF(IFERROR(INDEX(Consulta!$A:$DP,MATCH('MM01'!$B26,Consulta!$C:$C,0),'MM01'!CV$2),"")=0,"",IFERROR(INDEX(Consulta!$A:$DP,MATCH('MM01'!$B26,Consulta!$C:$C,0),'MM01'!CV$2),""))</f>
        <v/>
      </c>
      <c r="CW26" s="43" t="str">
        <f>IF(IFERROR(INDEX(Consulta!$A:$DP,MATCH('MM01'!$B26,Consulta!$C:$C,0),'MM01'!CW$2),"")=0,"",IFERROR(INDEX(Consulta!$A:$DP,MATCH('MM01'!$B26,Consulta!$C:$C,0),'MM01'!CW$2),""))</f>
        <v/>
      </c>
      <c r="CX26" s="43" t="str">
        <f t="shared" si="20"/>
        <v/>
      </c>
      <c r="CY26" s="43" t="str">
        <f t="shared" si="21"/>
        <v/>
      </c>
      <c r="CZ26" s="43" t="str">
        <f t="shared" si="22"/>
        <v/>
      </c>
      <c r="DA26" s="43" t="str">
        <f>IF(IFERROR(INDEX(Consulta!$A:$DP,MATCH('MM01'!$B26,Consulta!$C:$C,0),'MM01'!DA$2),"")=0,"",IFERROR(INDEX(Consulta!$A:$DP,MATCH('MM01'!$B26,Consulta!$C:$C,0),'MM01'!DA$2),""))</f>
        <v/>
      </c>
      <c r="DB26" s="43" t="str">
        <f t="shared" si="23"/>
        <v/>
      </c>
      <c r="DC26" s="43" t="str">
        <f>IF(IFERROR(INDEX(Consulta!$A:$DP,MATCH('MM01'!$B26,Consulta!$C:$C,0),'MM01'!DC$2),"")=0,"",IFERROR(INDEX(Consulta!$A:$DP,MATCH('MM01'!$B26,Consulta!$C:$C,0),'MM01'!DC$2),""))</f>
        <v/>
      </c>
      <c r="DD26" s="45">
        <v>0</v>
      </c>
      <c r="DE26" s="45">
        <v>0</v>
      </c>
      <c r="DF26" s="43" t="str">
        <f t="shared" si="24"/>
        <v/>
      </c>
      <c r="DG26" s="43" t="str">
        <f t="shared" si="25"/>
        <v/>
      </c>
      <c r="DH26" s="57"/>
      <c r="DI26" s="43" t="str">
        <f t="shared" ca="1" si="26"/>
        <v/>
      </c>
      <c r="DJ26" s="43" t="str">
        <f t="shared" si="27"/>
        <v/>
      </c>
      <c r="DK26" s="43" t="str">
        <f t="shared" si="28"/>
        <v/>
      </c>
      <c r="DL26" s="57"/>
      <c r="DM26" s="43" t="str">
        <f t="shared" ca="1" si="29"/>
        <v/>
      </c>
      <c r="DN26" s="43" t="str">
        <f t="shared" si="30"/>
        <v/>
      </c>
      <c r="DO26" s="43" t="str">
        <f t="shared" si="31"/>
        <v/>
      </c>
      <c r="DP26" s="57"/>
      <c r="DQ26" s="43" t="str">
        <f t="shared" ca="1" si="32"/>
        <v/>
      </c>
      <c r="DR26" s="43" t="str">
        <f t="shared" si="33"/>
        <v/>
      </c>
      <c r="DS26" s="43" t="str">
        <f t="shared" si="34"/>
        <v/>
      </c>
      <c r="DT26" s="57"/>
      <c r="DU26" s="43" t="str">
        <f t="shared" ca="1" si="35"/>
        <v/>
      </c>
      <c r="DV26" s="43" t="str">
        <f t="shared" si="36"/>
        <v/>
      </c>
      <c r="DX26" s="44">
        <v>1</v>
      </c>
      <c r="DY26" s="44" t="s">
        <v>773</v>
      </c>
      <c r="DZ26" s="43">
        <f t="shared" si="37"/>
        <v>0.01</v>
      </c>
      <c r="EA26" s="43" t="str">
        <f t="shared" si="38"/>
        <v>M</v>
      </c>
      <c r="EB26" s="43" t="str">
        <f>IF(IFERROR(INDEX(Consulta!$A:$DP,MATCH('MM01'!$B26,Consulta!$C:$C,0),'MM01'!EB$2),"")=0,"7925",IF(IFERROR(INDEX(Consulta!$A:$DP,MATCH('MM01'!$B26,Consulta!$C:$C,0),'MM01'!EB$2),"")="68","7910","7925"))</f>
        <v>7925</v>
      </c>
      <c r="EC26" s="44">
        <v>100</v>
      </c>
      <c r="ED26" s="62">
        <v>1</v>
      </c>
      <c r="EE26" s="43">
        <f t="shared" si="39"/>
        <v>100</v>
      </c>
      <c r="EF26" s="44">
        <v>1</v>
      </c>
      <c r="EG26" s="44">
        <v>0</v>
      </c>
      <c r="EH26" s="44" t="s">
        <v>875</v>
      </c>
      <c r="EI26" s="45">
        <v>0</v>
      </c>
      <c r="EJ26" s="43">
        <f t="shared" si="40"/>
        <v>5000</v>
      </c>
      <c r="EK26" s="69"/>
    </row>
    <row r="27" spans="1:141" x14ac:dyDescent="0.2">
      <c r="A27" s="7" t="str">
        <f t="shared" si="0"/>
        <v>Execução 23</v>
      </c>
      <c r="B27" s="42"/>
      <c r="C27" s="43" t="str">
        <f>IF(IFERROR(INDEX(Consulta!$A:$DP,MATCH('MM01'!$B27,Consulta!$C:$C,0),'MM01'!C$2),"")=0,"",IFERROR(INDEX(Consulta!$A:$DP,MATCH('MM01'!$B27,Consulta!$C:$C,0),'MM01'!C$2),""))</f>
        <v/>
      </c>
      <c r="D27" s="43" t="str">
        <f>IF(IFERROR(INDEX(Consulta!$A:$DP,MATCH('MM01'!$B27,Consulta!$C:$C,0),'MM01'!D$2),"")=0,"",IFERROR(INDEX(Consulta!$A:$DP,MATCH('MM01'!$B27,Consulta!$C:$C,0),'MM01'!D$2),""))</f>
        <v/>
      </c>
      <c r="E27" s="43" t="str">
        <f>IF(IFERROR(INDEX(Consulta!$A:$DP,MATCH('MM01'!$B27,Consulta!$C:$C,0),'MM01'!E$2),"")=0,"",IFERROR(INDEX(Consulta!$A:$DP,MATCH('MM01'!$B27,Consulta!$C:$C,0),'MM01'!E$2),""))</f>
        <v/>
      </c>
      <c r="F27" s="44" t="s">
        <v>100</v>
      </c>
      <c r="G27" s="49" t="str">
        <f>IF(IFERROR(INDEX(Consulta!$A:$DP,MATCH('MM01'!$B27,Consulta!$C:$C,0),'MM01'!G$2),"")=0,"",IFERROR(INDEX(Consulta!$A:$DP,MATCH('MM01'!$B27,Consulta!$C:$C,0),'MM01'!G$2),""))</f>
        <v/>
      </c>
      <c r="H27" s="49" t="str">
        <f>IF(IFERROR(INDEX(Consulta!$A:$DP,MATCH('MM01'!$B27,Consulta!$C:$C,0),'MM01'!H$2),"")=0,"",IFERROR(INDEX(Consulta!$A:$DP,MATCH('MM01'!$B27,Consulta!$C:$C,0),'MM01'!H$2),""))</f>
        <v/>
      </c>
      <c r="I27" s="49" t="str">
        <f t="shared" si="1"/>
        <v/>
      </c>
      <c r="J27" s="49" t="str">
        <f>IF(IFERROR(INDEX(Consulta!$A:$DP,MATCH('MM01'!$B27,Consulta!$C:$C,0),'MM01'!J$2),"")=0,"",IFERROR(INDEX(Consulta!$A:$DP,MATCH('MM01'!$B27,Consulta!$C:$C,0),'MM01'!J$2),""))</f>
        <v/>
      </c>
      <c r="K27" s="49" t="str">
        <f t="shared" si="2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IF(IFERROR(INDEX(Consulta!$A:$DP,MATCH('MM01'!$B27,Consulta!$C:$C,0),'MM01'!AP$2),"")=0,"",IFERROR(INDEX(Consulta!$A:$DP,MATCH('MM01'!$B27,Consulta!$C:$C,0),'MM01'!AP$2),""))</f>
        <v/>
      </c>
      <c r="AQ27" s="45"/>
      <c r="AR27" s="43" t="str">
        <f>IF(IFERROR(INDEX(Consulta!$A:$DP,MATCH('MM01'!$B27,Consulta!$C:$C,0),'MM01'!AR$2),"")=0,"",IFERROR(INDEX(Consulta!$A:$DP,MATCH('MM01'!$B27,Consulta!$C:$C,0),'MM01'!AR$2),""))</f>
        <v/>
      </c>
      <c r="AS27" s="43" t="str">
        <f>IF(IFERROR(INDEX(Consulta!$A:$DP,MATCH('MM01'!$B27,Consulta!$C:$C,0),'MM01'!AS$2),"")=0,"",IF(AR27="68",5102,IFERROR(INDEX(Consulta!$A:$DP,MATCH('MM01'!$B27,Consulta!$C:$C,0),'MM01'!AS$2),"")))</f>
        <v/>
      </c>
      <c r="AT27" s="45"/>
      <c r="AU27" s="46" t="str">
        <f t="shared" ca="1" si="3"/>
        <v/>
      </c>
      <c r="AV27" s="47" t="s">
        <v>795</v>
      </c>
      <c r="AW27" s="43" t="str">
        <f>IF(IFERROR(INDEX(Consulta!$A:$DP,MATCH('MM01'!$B27,Consulta!$C:$C,0),'MM01'!AW$2),"")=0,"",IFERROR(ROUND(INDEX(Consulta!$A:$DP,MATCH('MM01'!$B27,Consulta!$C:$C,0),'MM01'!AW$2),3),""))</f>
        <v/>
      </c>
      <c r="AX27" s="43" t="str">
        <f t="shared" si="4"/>
        <v/>
      </c>
      <c r="AY27" s="48" t="s">
        <v>299</v>
      </c>
      <c r="AZ27" s="48"/>
      <c r="BA27" s="43" t="str">
        <f>IF(IFERROR(INDEX(Consulta!$A:$DP,MATCH('MM01'!$B27,Consulta!$C:$C,0),'MM01'!BA$2),"")=0,"",IFERROR(INDEX(Consulta!$A:$DP,MATCH('MM01'!$B27,Consulta!$C:$C,0),'MM01'!BA$2),""))</f>
        <v/>
      </c>
      <c r="BB27" s="43" t="str">
        <f t="shared" si="5"/>
        <v/>
      </c>
      <c r="BC27" s="43" t="str">
        <f t="shared" si="6"/>
        <v/>
      </c>
      <c r="BD27" s="43" t="str">
        <f t="shared" si="7"/>
        <v/>
      </c>
      <c r="BE27" s="43" t="str">
        <f t="shared" si="8"/>
        <v>M</v>
      </c>
      <c r="BF27" s="43" t="str">
        <f t="shared" si="9"/>
        <v/>
      </c>
      <c r="BG27" s="43" t="str">
        <f t="shared" si="10"/>
        <v/>
      </c>
      <c r="BH27" s="43" t="str">
        <f t="shared" si="11"/>
        <v/>
      </c>
      <c r="BI27" s="43" t="str">
        <f t="shared" si="12"/>
        <v>M</v>
      </c>
      <c r="BK27" s="45" t="s">
        <v>324</v>
      </c>
      <c r="BL27" s="43" t="str">
        <f>IF(IFERROR(INDEX(Consulta!$A:$DP,MATCH('MM01'!$B27,Consulta!$C:$C,0),'MM01'!BL$2),"")=0,"",IFERROR(INDEX(Consulta!$A:$DP,MATCH('MM01'!$B27,Consulta!$C:$C,0),'MM01'!BL$2),""))</f>
        <v/>
      </c>
      <c r="BM27" s="45"/>
      <c r="BN27" s="46" t="str">
        <f t="shared" ca="1" si="13"/>
        <v/>
      </c>
      <c r="BO27" s="49" t="str">
        <f t="shared" si="14"/>
        <v/>
      </c>
      <c r="BP27" s="50">
        <v>1</v>
      </c>
      <c r="BQ27" s="50" t="s">
        <v>194</v>
      </c>
      <c r="BR27" s="79" t="str">
        <f t="shared" si="15"/>
        <v>01</v>
      </c>
      <c r="BS27" s="50" t="s">
        <v>795</v>
      </c>
      <c r="BT27" s="44">
        <v>1</v>
      </c>
      <c r="BU27" s="44" t="s">
        <v>371</v>
      </c>
      <c r="BV27" s="50" t="s">
        <v>197</v>
      </c>
      <c r="BW27" s="50" t="s">
        <v>197</v>
      </c>
      <c r="BX27" s="43" t="str">
        <f>IF(IFERROR(INDEX(Consulta!$A:$DP,MATCH('MM01'!$B27,Consulta!$C:$C,0),'MM01'!BX$2),"")=0,"",IFERROR(INDEX(Consulta!$A:$DP,MATCH('MM01'!$B27,Consulta!$C:$C,0),'MM01'!BX$2),""))</f>
        <v/>
      </c>
      <c r="BY27" s="44" t="s">
        <v>391</v>
      </c>
      <c r="BZ27" s="50">
        <v>0</v>
      </c>
      <c r="CA27" s="45" t="s">
        <v>402</v>
      </c>
      <c r="CB27" s="45" t="s">
        <v>84</v>
      </c>
      <c r="CC27" s="43" t="str">
        <f t="shared" si="16"/>
        <v/>
      </c>
      <c r="CD27" s="45" t="s">
        <v>38</v>
      </c>
      <c r="CE27" s="45">
        <v>1</v>
      </c>
      <c r="CF27" s="45" t="s">
        <v>495</v>
      </c>
      <c r="CG27" s="45"/>
      <c r="CH27" s="44">
        <v>2</v>
      </c>
      <c r="CI27" s="49" t="str">
        <f t="shared" si="17"/>
        <v/>
      </c>
      <c r="CJ27" s="49" t="str">
        <f t="shared" si="18"/>
        <v/>
      </c>
      <c r="CK27" s="45"/>
      <c r="CL27" s="44">
        <v>1</v>
      </c>
      <c r="CM27" s="50" t="s">
        <v>514</v>
      </c>
      <c r="CN27" s="44" t="s">
        <v>371</v>
      </c>
      <c r="CO27" s="44">
        <v>2</v>
      </c>
      <c r="CP27" s="44">
        <v>42</v>
      </c>
      <c r="CQ27" s="44">
        <v>10</v>
      </c>
      <c r="CR27" s="43" t="str">
        <f t="shared" si="19"/>
        <v>K00_P_</v>
      </c>
      <c r="CS27" s="45">
        <v>5000</v>
      </c>
      <c r="CT27" s="43" t="str">
        <f>IF(IFERROR(INDEX(Consulta!$A:$DP,MATCH('MM01'!$B27,Consulta!$C:$C,0),'MM01'!CT$2),"")=0,"",IFERROR(INDEX(Consulta!$A:$DP,MATCH('MM01'!$B27,Consulta!$C:$C,0),'MM01'!CT$2),""))</f>
        <v/>
      </c>
      <c r="CU27" s="43" t="str">
        <f>IF(IFERROR(INDEX(Consulta!$A:$DP,MATCH('MM01'!$B27,Consulta!$C:$C,0),'MM01'!CU$2),"")=0,"",IFERROR(INDEX(Consulta!$A:$DP,MATCH('MM01'!$B27,Consulta!$C:$C,0),'MM01'!CU$2),""))</f>
        <v/>
      </c>
      <c r="CV27" s="43" t="str">
        <f>IF(IFERROR(INDEX(Consulta!$A:$DP,MATCH('MM01'!$B27,Consulta!$C:$C,0),'MM01'!CV$2),"")=0,"",IFERROR(INDEX(Consulta!$A:$DP,MATCH('MM01'!$B27,Consulta!$C:$C,0),'MM01'!CV$2),""))</f>
        <v/>
      </c>
      <c r="CW27" s="43" t="str">
        <f>IF(IFERROR(INDEX(Consulta!$A:$DP,MATCH('MM01'!$B27,Consulta!$C:$C,0),'MM01'!CW$2),"")=0,"",IFERROR(INDEX(Consulta!$A:$DP,MATCH('MM01'!$B27,Consulta!$C:$C,0),'MM01'!CW$2),""))</f>
        <v/>
      </c>
      <c r="CX27" s="43" t="str">
        <f t="shared" si="20"/>
        <v/>
      </c>
      <c r="CY27" s="43" t="str">
        <f t="shared" si="21"/>
        <v/>
      </c>
      <c r="CZ27" s="43" t="str">
        <f t="shared" si="22"/>
        <v/>
      </c>
      <c r="DA27" s="43" t="str">
        <f>IF(IFERROR(INDEX(Consulta!$A:$DP,MATCH('MM01'!$B27,Consulta!$C:$C,0),'MM01'!DA$2),"")=0,"",IFERROR(INDEX(Consulta!$A:$DP,MATCH('MM01'!$B27,Consulta!$C:$C,0),'MM01'!DA$2),""))</f>
        <v/>
      </c>
      <c r="DB27" s="43" t="str">
        <f t="shared" si="23"/>
        <v/>
      </c>
      <c r="DC27" s="43" t="str">
        <f>IF(IFERROR(INDEX(Consulta!$A:$DP,MATCH('MM01'!$B27,Consulta!$C:$C,0),'MM01'!DC$2),"")=0,"",IFERROR(INDEX(Consulta!$A:$DP,MATCH('MM01'!$B27,Consulta!$C:$C,0),'MM01'!DC$2),""))</f>
        <v/>
      </c>
      <c r="DD27" s="45">
        <v>0</v>
      </c>
      <c r="DE27" s="45">
        <v>0</v>
      </c>
      <c r="DF27" s="43" t="str">
        <f t="shared" si="24"/>
        <v/>
      </c>
      <c r="DG27" s="43" t="str">
        <f t="shared" si="25"/>
        <v/>
      </c>
      <c r="DH27" s="57"/>
      <c r="DI27" s="43" t="str">
        <f t="shared" ca="1" si="26"/>
        <v/>
      </c>
      <c r="DJ27" s="43" t="str">
        <f t="shared" si="27"/>
        <v/>
      </c>
      <c r="DK27" s="43" t="str">
        <f t="shared" si="28"/>
        <v/>
      </c>
      <c r="DL27" s="57"/>
      <c r="DM27" s="43" t="str">
        <f t="shared" ca="1" si="29"/>
        <v/>
      </c>
      <c r="DN27" s="43" t="str">
        <f t="shared" si="30"/>
        <v/>
      </c>
      <c r="DO27" s="43" t="str">
        <f t="shared" si="31"/>
        <v/>
      </c>
      <c r="DP27" s="57"/>
      <c r="DQ27" s="43" t="str">
        <f t="shared" ca="1" si="32"/>
        <v/>
      </c>
      <c r="DR27" s="43" t="str">
        <f t="shared" si="33"/>
        <v/>
      </c>
      <c r="DS27" s="43" t="str">
        <f t="shared" si="34"/>
        <v/>
      </c>
      <c r="DT27" s="57"/>
      <c r="DU27" s="43" t="str">
        <f t="shared" ca="1" si="35"/>
        <v/>
      </c>
      <c r="DV27" s="43" t="str">
        <f t="shared" si="36"/>
        <v/>
      </c>
      <c r="DX27" s="44">
        <v>1</v>
      </c>
      <c r="DY27" s="44" t="s">
        <v>773</v>
      </c>
      <c r="DZ27" s="43">
        <f t="shared" si="37"/>
        <v>0.01</v>
      </c>
      <c r="EA27" s="43" t="str">
        <f t="shared" si="38"/>
        <v>M</v>
      </c>
      <c r="EB27" s="43" t="str">
        <f>IF(IFERROR(INDEX(Consulta!$A:$DP,MATCH('MM01'!$B27,Consulta!$C:$C,0),'MM01'!EB$2),"")=0,"7925",IF(IFERROR(INDEX(Consulta!$A:$DP,MATCH('MM01'!$B27,Consulta!$C:$C,0),'MM01'!EB$2),"")="68","7910","7925"))</f>
        <v>7925</v>
      </c>
      <c r="EC27" s="44">
        <v>100</v>
      </c>
      <c r="ED27" s="62">
        <v>1</v>
      </c>
      <c r="EE27" s="43">
        <f t="shared" si="39"/>
        <v>100</v>
      </c>
      <c r="EF27" s="44">
        <v>1</v>
      </c>
      <c r="EG27" s="44">
        <v>0</v>
      </c>
      <c r="EH27" s="44" t="s">
        <v>875</v>
      </c>
      <c r="EI27" s="45">
        <v>0</v>
      </c>
      <c r="EJ27" s="43">
        <f t="shared" si="40"/>
        <v>5000</v>
      </c>
      <c r="EK27" s="69"/>
    </row>
    <row r="28" spans="1:141" x14ac:dyDescent="0.2">
      <c r="A28" s="7" t="str">
        <f t="shared" si="0"/>
        <v>Execução 24</v>
      </c>
      <c r="B28" s="42"/>
      <c r="C28" s="43" t="str">
        <f>IF(IFERROR(INDEX(Consulta!$A:$DP,MATCH('MM01'!$B28,Consulta!$C:$C,0),'MM01'!C$2),"")=0,"",IFERROR(INDEX(Consulta!$A:$DP,MATCH('MM01'!$B28,Consulta!$C:$C,0),'MM01'!C$2),""))</f>
        <v/>
      </c>
      <c r="D28" s="43" t="str">
        <f>IF(IFERROR(INDEX(Consulta!$A:$DP,MATCH('MM01'!$B28,Consulta!$C:$C,0),'MM01'!D$2),"")=0,"",IFERROR(INDEX(Consulta!$A:$DP,MATCH('MM01'!$B28,Consulta!$C:$C,0),'MM01'!D$2),""))</f>
        <v/>
      </c>
      <c r="E28" s="43" t="str">
        <f>IF(IFERROR(INDEX(Consulta!$A:$DP,MATCH('MM01'!$B28,Consulta!$C:$C,0),'MM01'!E$2),"")=0,"",IFERROR(INDEX(Consulta!$A:$DP,MATCH('MM01'!$B28,Consulta!$C:$C,0),'MM01'!E$2),""))</f>
        <v/>
      </c>
      <c r="F28" s="44" t="s">
        <v>100</v>
      </c>
      <c r="G28" s="49" t="str">
        <f>IF(IFERROR(INDEX(Consulta!$A:$DP,MATCH('MM01'!$B28,Consulta!$C:$C,0),'MM01'!G$2),"")=0,"",IFERROR(INDEX(Consulta!$A:$DP,MATCH('MM01'!$B28,Consulta!$C:$C,0),'MM01'!G$2),""))</f>
        <v/>
      </c>
      <c r="H28" s="49" t="str">
        <f>IF(IFERROR(INDEX(Consulta!$A:$DP,MATCH('MM01'!$B28,Consulta!$C:$C,0),'MM01'!H$2),"")=0,"",IFERROR(INDEX(Consulta!$A:$DP,MATCH('MM01'!$B28,Consulta!$C:$C,0),'MM01'!H$2),""))</f>
        <v/>
      </c>
      <c r="I28" s="49" t="str">
        <f t="shared" si="1"/>
        <v/>
      </c>
      <c r="J28" s="49" t="str">
        <f>IF(IFERROR(INDEX(Consulta!$A:$DP,MATCH('MM01'!$B28,Consulta!$C:$C,0),'MM01'!J$2),"")=0,"",IFERROR(INDEX(Consulta!$A:$DP,MATCH('MM01'!$B28,Consulta!$C:$C,0),'MM01'!J$2),""))</f>
        <v/>
      </c>
      <c r="K28" s="49" t="str">
        <f t="shared" si="2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IF(IFERROR(INDEX(Consulta!$A:$DP,MATCH('MM01'!$B28,Consulta!$C:$C,0),'MM01'!AP$2),"")=0,"",IFERROR(INDEX(Consulta!$A:$DP,MATCH('MM01'!$B28,Consulta!$C:$C,0),'MM01'!AP$2),""))</f>
        <v/>
      </c>
      <c r="AQ28" s="45"/>
      <c r="AR28" s="43" t="str">
        <f>IF(IFERROR(INDEX(Consulta!$A:$DP,MATCH('MM01'!$B28,Consulta!$C:$C,0),'MM01'!AR$2),"")=0,"",IFERROR(INDEX(Consulta!$A:$DP,MATCH('MM01'!$B28,Consulta!$C:$C,0),'MM01'!AR$2),""))</f>
        <v/>
      </c>
      <c r="AS28" s="43" t="str">
        <f>IF(IFERROR(INDEX(Consulta!$A:$DP,MATCH('MM01'!$B28,Consulta!$C:$C,0),'MM01'!AS$2),"")=0,"",IF(AR28="68",5102,IFERROR(INDEX(Consulta!$A:$DP,MATCH('MM01'!$B28,Consulta!$C:$C,0),'MM01'!AS$2),"")))</f>
        <v/>
      </c>
      <c r="AT28" s="45"/>
      <c r="AU28" s="46" t="str">
        <f t="shared" ca="1" si="3"/>
        <v/>
      </c>
      <c r="AV28" s="47" t="s">
        <v>795</v>
      </c>
      <c r="AW28" s="43" t="str">
        <f>IF(IFERROR(INDEX(Consulta!$A:$DP,MATCH('MM01'!$B28,Consulta!$C:$C,0),'MM01'!AW$2),"")=0,"",IFERROR(ROUND(INDEX(Consulta!$A:$DP,MATCH('MM01'!$B28,Consulta!$C:$C,0),'MM01'!AW$2),3),""))</f>
        <v/>
      </c>
      <c r="AX28" s="43" t="str">
        <f t="shared" si="4"/>
        <v/>
      </c>
      <c r="AY28" s="48" t="s">
        <v>299</v>
      </c>
      <c r="AZ28" s="48"/>
      <c r="BA28" s="43" t="str">
        <f>IF(IFERROR(INDEX(Consulta!$A:$DP,MATCH('MM01'!$B28,Consulta!$C:$C,0),'MM01'!BA$2),"")=0,"",IFERROR(INDEX(Consulta!$A:$DP,MATCH('MM01'!$B28,Consulta!$C:$C,0),'MM01'!BA$2),""))</f>
        <v/>
      </c>
      <c r="BB28" s="43" t="str">
        <f t="shared" si="5"/>
        <v/>
      </c>
      <c r="BC28" s="43" t="str">
        <f t="shared" si="6"/>
        <v/>
      </c>
      <c r="BD28" s="43" t="str">
        <f t="shared" si="7"/>
        <v/>
      </c>
      <c r="BE28" s="43" t="str">
        <f t="shared" si="8"/>
        <v>M</v>
      </c>
      <c r="BF28" s="43" t="str">
        <f t="shared" si="9"/>
        <v/>
      </c>
      <c r="BG28" s="43" t="str">
        <f t="shared" si="10"/>
        <v/>
      </c>
      <c r="BH28" s="43" t="str">
        <f t="shared" si="11"/>
        <v/>
      </c>
      <c r="BI28" s="43" t="str">
        <f t="shared" si="12"/>
        <v>M</v>
      </c>
      <c r="BK28" s="45" t="s">
        <v>324</v>
      </c>
      <c r="BL28" s="43" t="str">
        <f>IF(IFERROR(INDEX(Consulta!$A:$DP,MATCH('MM01'!$B28,Consulta!$C:$C,0),'MM01'!BL$2),"")=0,"",IFERROR(INDEX(Consulta!$A:$DP,MATCH('MM01'!$B28,Consulta!$C:$C,0),'MM01'!BL$2),""))</f>
        <v/>
      </c>
      <c r="BM28" s="45"/>
      <c r="BN28" s="46" t="str">
        <f t="shared" ca="1" si="13"/>
        <v/>
      </c>
      <c r="BO28" s="49" t="str">
        <f t="shared" si="14"/>
        <v/>
      </c>
      <c r="BP28" s="50">
        <v>1</v>
      </c>
      <c r="BQ28" s="50" t="s">
        <v>194</v>
      </c>
      <c r="BR28" s="79" t="str">
        <f t="shared" si="15"/>
        <v>01</v>
      </c>
      <c r="BS28" s="50" t="s">
        <v>795</v>
      </c>
      <c r="BT28" s="44">
        <v>1</v>
      </c>
      <c r="BU28" s="44" t="s">
        <v>371</v>
      </c>
      <c r="BV28" s="50" t="s">
        <v>197</v>
      </c>
      <c r="BW28" s="50" t="s">
        <v>197</v>
      </c>
      <c r="BX28" s="43" t="str">
        <f>IF(IFERROR(INDEX(Consulta!$A:$DP,MATCH('MM01'!$B28,Consulta!$C:$C,0),'MM01'!BX$2),"")=0,"",IFERROR(INDEX(Consulta!$A:$DP,MATCH('MM01'!$B28,Consulta!$C:$C,0),'MM01'!BX$2),""))</f>
        <v/>
      </c>
      <c r="BY28" s="44" t="s">
        <v>391</v>
      </c>
      <c r="BZ28" s="50">
        <v>0</v>
      </c>
      <c r="CA28" s="45" t="s">
        <v>402</v>
      </c>
      <c r="CB28" s="45" t="s">
        <v>84</v>
      </c>
      <c r="CC28" s="43" t="str">
        <f t="shared" si="16"/>
        <v/>
      </c>
      <c r="CD28" s="45" t="s">
        <v>38</v>
      </c>
      <c r="CE28" s="45">
        <v>1</v>
      </c>
      <c r="CF28" s="45" t="s">
        <v>495</v>
      </c>
      <c r="CG28" s="45"/>
      <c r="CH28" s="44">
        <v>2</v>
      </c>
      <c r="CI28" s="49" t="str">
        <f t="shared" si="17"/>
        <v/>
      </c>
      <c r="CJ28" s="49" t="str">
        <f t="shared" si="18"/>
        <v/>
      </c>
      <c r="CK28" s="45"/>
      <c r="CL28" s="44">
        <v>1</v>
      </c>
      <c r="CM28" s="50" t="s">
        <v>514</v>
      </c>
      <c r="CN28" s="44" t="s">
        <v>371</v>
      </c>
      <c r="CO28" s="44">
        <v>2</v>
      </c>
      <c r="CP28" s="44">
        <v>42</v>
      </c>
      <c r="CQ28" s="44">
        <v>10</v>
      </c>
      <c r="CR28" s="43" t="str">
        <f t="shared" si="19"/>
        <v>K00_P_</v>
      </c>
      <c r="CS28" s="45">
        <v>5000</v>
      </c>
      <c r="CT28" s="43" t="str">
        <f>IF(IFERROR(INDEX(Consulta!$A:$DP,MATCH('MM01'!$B28,Consulta!$C:$C,0),'MM01'!CT$2),"")=0,"",IFERROR(INDEX(Consulta!$A:$DP,MATCH('MM01'!$B28,Consulta!$C:$C,0),'MM01'!CT$2),""))</f>
        <v/>
      </c>
      <c r="CU28" s="43" t="str">
        <f>IF(IFERROR(INDEX(Consulta!$A:$DP,MATCH('MM01'!$B28,Consulta!$C:$C,0),'MM01'!CU$2),"")=0,"",IFERROR(INDEX(Consulta!$A:$DP,MATCH('MM01'!$B28,Consulta!$C:$C,0),'MM01'!CU$2),""))</f>
        <v/>
      </c>
      <c r="CV28" s="43" t="str">
        <f>IF(IFERROR(INDEX(Consulta!$A:$DP,MATCH('MM01'!$B28,Consulta!$C:$C,0),'MM01'!CV$2),"")=0,"",IFERROR(INDEX(Consulta!$A:$DP,MATCH('MM01'!$B28,Consulta!$C:$C,0),'MM01'!CV$2),""))</f>
        <v/>
      </c>
      <c r="CW28" s="43" t="str">
        <f>IF(IFERROR(INDEX(Consulta!$A:$DP,MATCH('MM01'!$B28,Consulta!$C:$C,0),'MM01'!CW$2),"")=0,"",IFERROR(INDEX(Consulta!$A:$DP,MATCH('MM01'!$B28,Consulta!$C:$C,0),'MM01'!CW$2),""))</f>
        <v/>
      </c>
      <c r="CX28" s="43" t="str">
        <f t="shared" si="20"/>
        <v/>
      </c>
      <c r="CY28" s="43" t="str">
        <f t="shared" si="21"/>
        <v/>
      </c>
      <c r="CZ28" s="43" t="str">
        <f t="shared" si="22"/>
        <v/>
      </c>
      <c r="DA28" s="43" t="str">
        <f>IF(IFERROR(INDEX(Consulta!$A:$DP,MATCH('MM01'!$B28,Consulta!$C:$C,0),'MM01'!DA$2),"")=0,"",IFERROR(INDEX(Consulta!$A:$DP,MATCH('MM01'!$B28,Consulta!$C:$C,0),'MM01'!DA$2),""))</f>
        <v/>
      </c>
      <c r="DB28" s="43" t="str">
        <f t="shared" si="23"/>
        <v/>
      </c>
      <c r="DC28" s="43" t="str">
        <f>IF(IFERROR(INDEX(Consulta!$A:$DP,MATCH('MM01'!$B28,Consulta!$C:$C,0),'MM01'!DC$2),"")=0,"",IFERROR(INDEX(Consulta!$A:$DP,MATCH('MM01'!$B28,Consulta!$C:$C,0),'MM01'!DC$2),""))</f>
        <v/>
      </c>
      <c r="DD28" s="45">
        <v>0</v>
      </c>
      <c r="DE28" s="45">
        <v>0</v>
      </c>
      <c r="DF28" s="43" t="str">
        <f t="shared" si="24"/>
        <v/>
      </c>
      <c r="DG28" s="43" t="str">
        <f t="shared" si="25"/>
        <v/>
      </c>
      <c r="DH28" s="57"/>
      <c r="DI28" s="43" t="str">
        <f t="shared" ca="1" si="26"/>
        <v/>
      </c>
      <c r="DJ28" s="43" t="str">
        <f t="shared" si="27"/>
        <v/>
      </c>
      <c r="DK28" s="43" t="str">
        <f t="shared" si="28"/>
        <v/>
      </c>
      <c r="DL28" s="57"/>
      <c r="DM28" s="43" t="str">
        <f t="shared" ca="1" si="29"/>
        <v/>
      </c>
      <c r="DN28" s="43" t="str">
        <f t="shared" si="30"/>
        <v/>
      </c>
      <c r="DO28" s="43" t="str">
        <f t="shared" si="31"/>
        <v/>
      </c>
      <c r="DP28" s="57"/>
      <c r="DQ28" s="43" t="str">
        <f t="shared" ca="1" si="32"/>
        <v/>
      </c>
      <c r="DR28" s="43" t="str">
        <f t="shared" si="33"/>
        <v/>
      </c>
      <c r="DS28" s="43" t="str">
        <f t="shared" si="34"/>
        <v/>
      </c>
      <c r="DT28" s="57"/>
      <c r="DU28" s="43" t="str">
        <f t="shared" ca="1" si="35"/>
        <v/>
      </c>
      <c r="DV28" s="43" t="str">
        <f t="shared" si="36"/>
        <v/>
      </c>
      <c r="DX28" s="44">
        <v>1</v>
      </c>
      <c r="DY28" s="44" t="s">
        <v>773</v>
      </c>
      <c r="DZ28" s="43">
        <f t="shared" si="37"/>
        <v>0.01</v>
      </c>
      <c r="EA28" s="43" t="str">
        <f t="shared" si="38"/>
        <v>M</v>
      </c>
      <c r="EB28" s="43" t="str">
        <f>IF(IFERROR(INDEX(Consulta!$A:$DP,MATCH('MM01'!$B28,Consulta!$C:$C,0),'MM01'!EB$2),"")=0,"7925",IF(IFERROR(INDEX(Consulta!$A:$DP,MATCH('MM01'!$B28,Consulta!$C:$C,0),'MM01'!EB$2),"")="68","7910","7925"))</f>
        <v>7925</v>
      </c>
      <c r="EC28" s="44">
        <v>100</v>
      </c>
      <c r="ED28" s="62">
        <v>1</v>
      </c>
      <c r="EE28" s="43">
        <f t="shared" si="39"/>
        <v>100</v>
      </c>
      <c r="EF28" s="44">
        <v>1</v>
      </c>
      <c r="EG28" s="44">
        <v>0</v>
      </c>
      <c r="EH28" s="44" t="s">
        <v>875</v>
      </c>
      <c r="EI28" s="45">
        <v>0</v>
      </c>
      <c r="EJ28" s="43">
        <f t="shared" si="40"/>
        <v>5000</v>
      </c>
      <c r="EK28" s="69"/>
    </row>
    <row r="29" spans="1:141" x14ac:dyDescent="0.2">
      <c r="A29" s="7" t="str">
        <f t="shared" si="0"/>
        <v>Execução 25</v>
      </c>
      <c r="B29" s="42"/>
      <c r="C29" s="43" t="str">
        <f>IF(IFERROR(INDEX(Consulta!$A:$DP,MATCH('MM01'!$B29,Consulta!$C:$C,0),'MM01'!C$2),"")=0,"",IFERROR(INDEX(Consulta!$A:$DP,MATCH('MM01'!$B29,Consulta!$C:$C,0),'MM01'!C$2),""))</f>
        <v/>
      </c>
      <c r="D29" s="43" t="str">
        <f>IF(IFERROR(INDEX(Consulta!$A:$DP,MATCH('MM01'!$B29,Consulta!$C:$C,0),'MM01'!D$2),"")=0,"",IFERROR(INDEX(Consulta!$A:$DP,MATCH('MM01'!$B29,Consulta!$C:$C,0),'MM01'!D$2),""))</f>
        <v/>
      </c>
      <c r="E29" s="43" t="str">
        <f>IF(IFERROR(INDEX(Consulta!$A:$DP,MATCH('MM01'!$B29,Consulta!$C:$C,0),'MM01'!E$2),"")=0,"",IFERROR(INDEX(Consulta!$A:$DP,MATCH('MM01'!$B29,Consulta!$C:$C,0),'MM01'!E$2),""))</f>
        <v/>
      </c>
      <c r="F29" s="44" t="s">
        <v>100</v>
      </c>
      <c r="G29" s="49" t="str">
        <f>IF(IFERROR(INDEX(Consulta!$A:$DP,MATCH('MM01'!$B29,Consulta!$C:$C,0),'MM01'!G$2),"")=0,"",IFERROR(INDEX(Consulta!$A:$DP,MATCH('MM01'!$B29,Consulta!$C:$C,0),'MM01'!G$2),""))</f>
        <v/>
      </c>
      <c r="H29" s="49" t="str">
        <f>IF(IFERROR(INDEX(Consulta!$A:$DP,MATCH('MM01'!$B29,Consulta!$C:$C,0),'MM01'!H$2),"")=0,"",IFERROR(INDEX(Consulta!$A:$DP,MATCH('MM01'!$B29,Consulta!$C:$C,0),'MM01'!H$2),""))</f>
        <v/>
      </c>
      <c r="I29" s="49" t="str">
        <f t="shared" si="1"/>
        <v/>
      </c>
      <c r="J29" s="49" t="str">
        <f>IF(IFERROR(INDEX(Consulta!$A:$DP,MATCH('MM01'!$B29,Consulta!$C:$C,0),'MM01'!J$2),"")=0,"",IFERROR(INDEX(Consulta!$A:$DP,MATCH('MM01'!$B29,Consulta!$C:$C,0),'MM01'!J$2),""))</f>
        <v/>
      </c>
      <c r="K29" s="49" t="str">
        <f t="shared" si="2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IF(IFERROR(INDEX(Consulta!$A:$DP,MATCH('MM01'!$B29,Consulta!$C:$C,0),'MM01'!AP$2),"")=0,"",IFERROR(INDEX(Consulta!$A:$DP,MATCH('MM01'!$B29,Consulta!$C:$C,0),'MM01'!AP$2),""))</f>
        <v/>
      </c>
      <c r="AQ29" s="45"/>
      <c r="AR29" s="43" t="str">
        <f>IF(IFERROR(INDEX(Consulta!$A:$DP,MATCH('MM01'!$B29,Consulta!$C:$C,0),'MM01'!AR$2),"")=0,"",IFERROR(INDEX(Consulta!$A:$DP,MATCH('MM01'!$B29,Consulta!$C:$C,0),'MM01'!AR$2),""))</f>
        <v/>
      </c>
      <c r="AS29" s="43" t="str">
        <f>IF(IFERROR(INDEX(Consulta!$A:$DP,MATCH('MM01'!$B29,Consulta!$C:$C,0),'MM01'!AS$2),"")=0,"",IF(AR29="68",5102,IFERROR(INDEX(Consulta!$A:$DP,MATCH('MM01'!$B29,Consulta!$C:$C,0),'MM01'!AS$2),"")))</f>
        <v/>
      </c>
      <c r="AT29" s="45"/>
      <c r="AU29" s="46" t="str">
        <f t="shared" ca="1" si="3"/>
        <v/>
      </c>
      <c r="AV29" s="47" t="s">
        <v>795</v>
      </c>
      <c r="AW29" s="43" t="str">
        <f>IF(IFERROR(INDEX(Consulta!$A:$DP,MATCH('MM01'!$B29,Consulta!$C:$C,0),'MM01'!AW$2),"")=0,"",IFERROR(ROUND(INDEX(Consulta!$A:$DP,MATCH('MM01'!$B29,Consulta!$C:$C,0),'MM01'!AW$2),3),""))</f>
        <v/>
      </c>
      <c r="AX29" s="43" t="str">
        <f t="shared" si="4"/>
        <v/>
      </c>
      <c r="AY29" s="48" t="s">
        <v>299</v>
      </c>
      <c r="AZ29" s="48"/>
      <c r="BA29" s="43" t="str">
        <f>IF(IFERROR(INDEX(Consulta!$A:$DP,MATCH('MM01'!$B29,Consulta!$C:$C,0),'MM01'!BA$2),"")=0,"",IFERROR(INDEX(Consulta!$A:$DP,MATCH('MM01'!$B29,Consulta!$C:$C,0),'MM01'!BA$2),""))</f>
        <v/>
      </c>
      <c r="BB29" s="43" t="str">
        <f t="shared" si="5"/>
        <v/>
      </c>
      <c r="BC29" s="43" t="str">
        <f t="shared" si="6"/>
        <v/>
      </c>
      <c r="BD29" s="43" t="str">
        <f t="shared" si="7"/>
        <v/>
      </c>
      <c r="BE29" s="43" t="str">
        <f t="shared" si="8"/>
        <v>M</v>
      </c>
      <c r="BF29" s="43" t="str">
        <f t="shared" si="9"/>
        <v/>
      </c>
      <c r="BG29" s="43" t="str">
        <f t="shared" si="10"/>
        <v/>
      </c>
      <c r="BH29" s="43" t="str">
        <f t="shared" si="11"/>
        <v/>
      </c>
      <c r="BI29" s="43" t="str">
        <f t="shared" si="12"/>
        <v>M</v>
      </c>
      <c r="BK29" s="45" t="s">
        <v>324</v>
      </c>
      <c r="BL29" s="43" t="str">
        <f>IF(IFERROR(INDEX(Consulta!$A:$DP,MATCH('MM01'!$B29,Consulta!$C:$C,0),'MM01'!BL$2),"")=0,"",IFERROR(INDEX(Consulta!$A:$DP,MATCH('MM01'!$B29,Consulta!$C:$C,0),'MM01'!BL$2),""))</f>
        <v/>
      </c>
      <c r="BM29" s="45"/>
      <c r="BN29" s="46" t="str">
        <f t="shared" ca="1" si="13"/>
        <v/>
      </c>
      <c r="BO29" s="49" t="str">
        <f t="shared" si="14"/>
        <v/>
      </c>
      <c r="BP29" s="50">
        <v>1</v>
      </c>
      <c r="BQ29" s="50" t="s">
        <v>194</v>
      </c>
      <c r="BR29" s="79" t="str">
        <f t="shared" si="15"/>
        <v>01</v>
      </c>
      <c r="BS29" s="50" t="s">
        <v>795</v>
      </c>
      <c r="BT29" s="44">
        <v>1</v>
      </c>
      <c r="BU29" s="44" t="s">
        <v>371</v>
      </c>
      <c r="BV29" s="50" t="s">
        <v>197</v>
      </c>
      <c r="BW29" s="50" t="s">
        <v>197</v>
      </c>
      <c r="BX29" s="43" t="str">
        <f>IF(IFERROR(INDEX(Consulta!$A:$DP,MATCH('MM01'!$B29,Consulta!$C:$C,0),'MM01'!BX$2),"")=0,"",IFERROR(INDEX(Consulta!$A:$DP,MATCH('MM01'!$B29,Consulta!$C:$C,0),'MM01'!BX$2),""))</f>
        <v/>
      </c>
      <c r="BY29" s="44" t="s">
        <v>391</v>
      </c>
      <c r="BZ29" s="50">
        <v>0</v>
      </c>
      <c r="CA29" s="45" t="s">
        <v>402</v>
      </c>
      <c r="CB29" s="45" t="s">
        <v>84</v>
      </c>
      <c r="CC29" s="43" t="str">
        <f t="shared" si="16"/>
        <v/>
      </c>
      <c r="CD29" s="45" t="s">
        <v>38</v>
      </c>
      <c r="CE29" s="45">
        <v>1</v>
      </c>
      <c r="CF29" s="45" t="s">
        <v>495</v>
      </c>
      <c r="CG29" s="45"/>
      <c r="CH29" s="44">
        <v>2</v>
      </c>
      <c r="CI29" s="49" t="str">
        <f t="shared" si="17"/>
        <v/>
      </c>
      <c r="CJ29" s="49" t="str">
        <f t="shared" si="18"/>
        <v/>
      </c>
      <c r="CK29" s="45"/>
      <c r="CL29" s="44">
        <v>1</v>
      </c>
      <c r="CM29" s="50" t="s">
        <v>514</v>
      </c>
      <c r="CN29" s="44" t="s">
        <v>371</v>
      </c>
      <c r="CO29" s="44">
        <v>2</v>
      </c>
      <c r="CP29" s="44">
        <v>42</v>
      </c>
      <c r="CQ29" s="44">
        <v>10</v>
      </c>
      <c r="CR29" s="43" t="str">
        <f t="shared" si="19"/>
        <v>K00_P_</v>
      </c>
      <c r="CS29" s="45">
        <v>5000</v>
      </c>
      <c r="CT29" s="43" t="str">
        <f>IF(IFERROR(INDEX(Consulta!$A:$DP,MATCH('MM01'!$B29,Consulta!$C:$C,0),'MM01'!CT$2),"")=0,"",IFERROR(INDEX(Consulta!$A:$DP,MATCH('MM01'!$B29,Consulta!$C:$C,0),'MM01'!CT$2),""))</f>
        <v/>
      </c>
      <c r="CU29" s="43" t="str">
        <f>IF(IFERROR(INDEX(Consulta!$A:$DP,MATCH('MM01'!$B29,Consulta!$C:$C,0),'MM01'!CU$2),"")=0,"",IFERROR(INDEX(Consulta!$A:$DP,MATCH('MM01'!$B29,Consulta!$C:$C,0),'MM01'!CU$2),""))</f>
        <v/>
      </c>
      <c r="CV29" s="43" t="str">
        <f>IF(IFERROR(INDEX(Consulta!$A:$DP,MATCH('MM01'!$B29,Consulta!$C:$C,0),'MM01'!CV$2),"")=0,"",IFERROR(INDEX(Consulta!$A:$DP,MATCH('MM01'!$B29,Consulta!$C:$C,0),'MM01'!CV$2),""))</f>
        <v/>
      </c>
      <c r="CW29" s="43" t="str">
        <f>IF(IFERROR(INDEX(Consulta!$A:$DP,MATCH('MM01'!$B29,Consulta!$C:$C,0),'MM01'!CW$2),"")=0,"",IFERROR(INDEX(Consulta!$A:$DP,MATCH('MM01'!$B29,Consulta!$C:$C,0),'MM01'!CW$2),""))</f>
        <v/>
      </c>
      <c r="CX29" s="43" t="str">
        <f t="shared" si="20"/>
        <v/>
      </c>
      <c r="CY29" s="43" t="str">
        <f t="shared" si="21"/>
        <v/>
      </c>
      <c r="CZ29" s="43" t="str">
        <f t="shared" si="22"/>
        <v/>
      </c>
      <c r="DA29" s="43" t="str">
        <f>IF(IFERROR(INDEX(Consulta!$A:$DP,MATCH('MM01'!$B29,Consulta!$C:$C,0),'MM01'!DA$2),"")=0,"",IFERROR(INDEX(Consulta!$A:$DP,MATCH('MM01'!$B29,Consulta!$C:$C,0),'MM01'!DA$2),""))</f>
        <v/>
      </c>
      <c r="DB29" s="43" t="str">
        <f t="shared" si="23"/>
        <v/>
      </c>
      <c r="DC29" s="43" t="str">
        <f>IF(IFERROR(INDEX(Consulta!$A:$DP,MATCH('MM01'!$B29,Consulta!$C:$C,0),'MM01'!DC$2),"")=0,"",IFERROR(INDEX(Consulta!$A:$DP,MATCH('MM01'!$B29,Consulta!$C:$C,0),'MM01'!DC$2),""))</f>
        <v/>
      </c>
      <c r="DD29" s="45">
        <v>0</v>
      </c>
      <c r="DE29" s="45">
        <v>0</v>
      </c>
      <c r="DF29" s="43" t="str">
        <f t="shared" si="24"/>
        <v/>
      </c>
      <c r="DG29" s="43" t="str">
        <f t="shared" si="25"/>
        <v/>
      </c>
      <c r="DH29" s="57"/>
      <c r="DI29" s="43" t="str">
        <f t="shared" ca="1" si="26"/>
        <v/>
      </c>
      <c r="DJ29" s="43" t="str">
        <f t="shared" si="27"/>
        <v/>
      </c>
      <c r="DK29" s="43" t="str">
        <f t="shared" si="28"/>
        <v/>
      </c>
      <c r="DL29" s="57"/>
      <c r="DM29" s="43" t="str">
        <f t="shared" ca="1" si="29"/>
        <v/>
      </c>
      <c r="DN29" s="43" t="str">
        <f t="shared" si="30"/>
        <v/>
      </c>
      <c r="DO29" s="43" t="str">
        <f t="shared" si="31"/>
        <v/>
      </c>
      <c r="DP29" s="57"/>
      <c r="DQ29" s="43" t="str">
        <f t="shared" ca="1" si="32"/>
        <v/>
      </c>
      <c r="DR29" s="43" t="str">
        <f t="shared" si="33"/>
        <v/>
      </c>
      <c r="DS29" s="43" t="str">
        <f t="shared" si="34"/>
        <v/>
      </c>
      <c r="DT29" s="57"/>
      <c r="DU29" s="43" t="str">
        <f t="shared" ca="1" si="35"/>
        <v/>
      </c>
      <c r="DV29" s="43" t="str">
        <f t="shared" si="36"/>
        <v/>
      </c>
      <c r="DX29" s="44">
        <v>1</v>
      </c>
      <c r="DY29" s="44" t="s">
        <v>773</v>
      </c>
      <c r="DZ29" s="43">
        <f t="shared" si="37"/>
        <v>0.01</v>
      </c>
      <c r="EA29" s="43" t="str">
        <f t="shared" si="38"/>
        <v>M</v>
      </c>
      <c r="EB29" s="43" t="str">
        <f>IF(IFERROR(INDEX(Consulta!$A:$DP,MATCH('MM01'!$B29,Consulta!$C:$C,0),'MM01'!EB$2),"")=0,"7925",IF(IFERROR(INDEX(Consulta!$A:$DP,MATCH('MM01'!$B29,Consulta!$C:$C,0),'MM01'!EB$2),"")="68","7910","7925"))</f>
        <v>7925</v>
      </c>
      <c r="EC29" s="44">
        <v>100</v>
      </c>
      <c r="ED29" s="62">
        <v>1</v>
      </c>
      <c r="EE29" s="43">
        <f t="shared" si="39"/>
        <v>100</v>
      </c>
      <c r="EF29" s="44">
        <v>1</v>
      </c>
      <c r="EG29" s="44">
        <v>0</v>
      </c>
      <c r="EH29" s="44" t="s">
        <v>875</v>
      </c>
      <c r="EI29" s="45">
        <v>0</v>
      </c>
      <c r="EJ29" s="43">
        <f t="shared" si="40"/>
        <v>5000</v>
      </c>
      <c r="EK29" s="69"/>
    </row>
    <row r="30" spans="1:141" x14ac:dyDescent="0.2">
      <c r="A30" s="7" t="str">
        <f t="shared" si="0"/>
        <v>Execução 26</v>
      </c>
      <c r="B30" s="42"/>
      <c r="C30" s="43" t="str">
        <f>IF(IFERROR(INDEX(Consulta!$A:$DP,MATCH('MM01'!$B30,Consulta!$C:$C,0),'MM01'!C$2),"")=0,"",IFERROR(INDEX(Consulta!$A:$DP,MATCH('MM01'!$B30,Consulta!$C:$C,0),'MM01'!C$2),""))</f>
        <v/>
      </c>
      <c r="D30" s="43" t="str">
        <f>IF(IFERROR(INDEX(Consulta!$A:$DP,MATCH('MM01'!$B30,Consulta!$C:$C,0),'MM01'!D$2),"")=0,"",IFERROR(INDEX(Consulta!$A:$DP,MATCH('MM01'!$B30,Consulta!$C:$C,0),'MM01'!D$2),""))</f>
        <v/>
      </c>
      <c r="E30" s="43" t="str">
        <f>IF(IFERROR(INDEX(Consulta!$A:$DP,MATCH('MM01'!$B30,Consulta!$C:$C,0),'MM01'!E$2),"")=0,"",IFERROR(INDEX(Consulta!$A:$DP,MATCH('MM01'!$B30,Consulta!$C:$C,0),'MM01'!E$2),""))</f>
        <v/>
      </c>
      <c r="F30" s="44" t="s">
        <v>100</v>
      </c>
      <c r="G30" s="49" t="str">
        <f>IF(IFERROR(INDEX(Consulta!$A:$DP,MATCH('MM01'!$B30,Consulta!$C:$C,0),'MM01'!G$2),"")=0,"",IFERROR(INDEX(Consulta!$A:$DP,MATCH('MM01'!$B30,Consulta!$C:$C,0),'MM01'!G$2),""))</f>
        <v/>
      </c>
      <c r="H30" s="49" t="str">
        <f>IF(IFERROR(INDEX(Consulta!$A:$DP,MATCH('MM01'!$B30,Consulta!$C:$C,0),'MM01'!H$2),"")=0,"",IFERROR(INDEX(Consulta!$A:$DP,MATCH('MM01'!$B30,Consulta!$C:$C,0),'MM01'!H$2),""))</f>
        <v/>
      </c>
      <c r="I30" s="49" t="str">
        <f t="shared" si="1"/>
        <v/>
      </c>
      <c r="J30" s="49" t="str">
        <f>IF(IFERROR(INDEX(Consulta!$A:$DP,MATCH('MM01'!$B30,Consulta!$C:$C,0),'MM01'!J$2),"")=0,"",IFERROR(INDEX(Consulta!$A:$DP,MATCH('MM01'!$B30,Consulta!$C:$C,0),'MM01'!J$2),""))</f>
        <v/>
      </c>
      <c r="K30" s="49" t="str">
        <f t="shared" si="2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IF(IFERROR(INDEX(Consulta!$A:$DP,MATCH('MM01'!$B30,Consulta!$C:$C,0),'MM01'!AP$2),"")=0,"",IFERROR(INDEX(Consulta!$A:$DP,MATCH('MM01'!$B30,Consulta!$C:$C,0),'MM01'!AP$2),""))</f>
        <v/>
      </c>
      <c r="AQ30" s="45"/>
      <c r="AR30" s="43" t="str">
        <f>IF(IFERROR(INDEX(Consulta!$A:$DP,MATCH('MM01'!$B30,Consulta!$C:$C,0),'MM01'!AR$2),"")=0,"",IFERROR(INDEX(Consulta!$A:$DP,MATCH('MM01'!$B30,Consulta!$C:$C,0),'MM01'!AR$2),""))</f>
        <v/>
      </c>
      <c r="AS30" s="43" t="str">
        <f>IF(IFERROR(INDEX(Consulta!$A:$DP,MATCH('MM01'!$B30,Consulta!$C:$C,0),'MM01'!AS$2),"")=0,"",IF(AR30="68",5102,IFERROR(INDEX(Consulta!$A:$DP,MATCH('MM01'!$B30,Consulta!$C:$C,0),'MM01'!AS$2),"")))</f>
        <v/>
      </c>
      <c r="AT30" s="45"/>
      <c r="AU30" s="46" t="str">
        <f t="shared" ca="1" si="3"/>
        <v/>
      </c>
      <c r="AV30" s="47" t="s">
        <v>795</v>
      </c>
      <c r="AW30" s="43" t="str">
        <f>IF(IFERROR(INDEX(Consulta!$A:$DP,MATCH('MM01'!$B30,Consulta!$C:$C,0),'MM01'!AW$2),"")=0,"",IFERROR(ROUND(INDEX(Consulta!$A:$DP,MATCH('MM01'!$B30,Consulta!$C:$C,0),'MM01'!AW$2),3),""))</f>
        <v/>
      </c>
      <c r="AX30" s="43" t="str">
        <f t="shared" si="4"/>
        <v/>
      </c>
      <c r="AY30" s="48" t="s">
        <v>299</v>
      </c>
      <c r="AZ30" s="48"/>
      <c r="BA30" s="43" t="str">
        <f>IF(IFERROR(INDEX(Consulta!$A:$DP,MATCH('MM01'!$B30,Consulta!$C:$C,0),'MM01'!BA$2),"")=0,"",IFERROR(INDEX(Consulta!$A:$DP,MATCH('MM01'!$B30,Consulta!$C:$C,0),'MM01'!BA$2),""))</f>
        <v/>
      </c>
      <c r="BB30" s="43" t="str">
        <f t="shared" si="5"/>
        <v/>
      </c>
      <c r="BC30" s="43" t="str">
        <f t="shared" si="6"/>
        <v/>
      </c>
      <c r="BD30" s="43" t="str">
        <f t="shared" si="7"/>
        <v/>
      </c>
      <c r="BE30" s="43" t="str">
        <f t="shared" si="8"/>
        <v>M</v>
      </c>
      <c r="BF30" s="43" t="str">
        <f t="shared" si="9"/>
        <v/>
      </c>
      <c r="BG30" s="43" t="str">
        <f t="shared" si="10"/>
        <v/>
      </c>
      <c r="BH30" s="43" t="str">
        <f t="shared" si="11"/>
        <v/>
      </c>
      <c r="BI30" s="43" t="str">
        <f t="shared" si="12"/>
        <v>M</v>
      </c>
      <c r="BK30" s="45" t="s">
        <v>324</v>
      </c>
      <c r="BL30" s="43" t="str">
        <f>IF(IFERROR(INDEX(Consulta!$A:$DP,MATCH('MM01'!$B30,Consulta!$C:$C,0),'MM01'!BL$2),"")=0,"",IFERROR(INDEX(Consulta!$A:$DP,MATCH('MM01'!$B30,Consulta!$C:$C,0),'MM01'!BL$2),""))</f>
        <v/>
      </c>
      <c r="BM30" s="45"/>
      <c r="BN30" s="46" t="str">
        <f t="shared" ca="1" si="13"/>
        <v/>
      </c>
      <c r="BO30" s="49" t="str">
        <f t="shared" si="14"/>
        <v/>
      </c>
      <c r="BP30" s="50">
        <v>1</v>
      </c>
      <c r="BQ30" s="50" t="s">
        <v>194</v>
      </c>
      <c r="BR30" s="79" t="str">
        <f t="shared" si="15"/>
        <v>01</v>
      </c>
      <c r="BS30" s="50" t="s">
        <v>795</v>
      </c>
      <c r="BT30" s="44">
        <v>1</v>
      </c>
      <c r="BU30" s="44" t="s">
        <v>371</v>
      </c>
      <c r="BV30" s="50" t="s">
        <v>197</v>
      </c>
      <c r="BW30" s="50" t="s">
        <v>197</v>
      </c>
      <c r="BX30" s="43" t="str">
        <f>IF(IFERROR(INDEX(Consulta!$A:$DP,MATCH('MM01'!$B30,Consulta!$C:$C,0),'MM01'!BX$2),"")=0,"",IFERROR(INDEX(Consulta!$A:$DP,MATCH('MM01'!$B30,Consulta!$C:$C,0),'MM01'!BX$2),""))</f>
        <v/>
      </c>
      <c r="BY30" s="44" t="s">
        <v>391</v>
      </c>
      <c r="BZ30" s="50">
        <v>0</v>
      </c>
      <c r="CA30" s="45" t="s">
        <v>402</v>
      </c>
      <c r="CB30" s="45" t="s">
        <v>84</v>
      </c>
      <c r="CC30" s="43" t="str">
        <f t="shared" si="16"/>
        <v/>
      </c>
      <c r="CD30" s="45" t="s">
        <v>38</v>
      </c>
      <c r="CE30" s="45">
        <v>1</v>
      </c>
      <c r="CF30" s="45" t="s">
        <v>495</v>
      </c>
      <c r="CG30" s="45"/>
      <c r="CH30" s="44">
        <v>2</v>
      </c>
      <c r="CI30" s="49" t="str">
        <f t="shared" si="17"/>
        <v/>
      </c>
      <c r="CJ30" s="49" t="str">
        <f t="shared" si="18"/>
        <v/>
      </c>
      <c r="CK30" s="45"/>
      <c r="CL30" s="44">
        <v>1</v>
      </c>
      <c r="CM30" s="50" t="s">
        <v>514</v>
      </c>
      <c r="CN30" s="44" t="s">
        <v>371</v>
      </c>
      <c r="CO30" s="44">
        <v>2</v>
      </c>
      <c r="CP30" s="44">
        <v>42</v>
      </c>
      <c r="CQ30" s="44">
        <v>10</v>
      </c>
      <c r="CR30" s="43" t="str">
        <f t="shared" si="19"/>
        <v>K00_P_</v>
      </c>
      <c r="CS30" s="45">
        <v>5000</v>
      </c>
      <c r="CT30" s="43" t="str">
        <f>IF(IFERROR(INDEX(Consulta!$A:$DP,MATCH('MM01'!$B30,Consulta!$C:$C,0),'MM01'!CT$2),"")=0,"",IFERROR(INDEX(Consulta!$A:$DP,MATCH('MM01'!$B30,Consulta!$C:$C,0),'MM01'!CT$2),""))</f>
        <v/>
      </c>
      <c r="CU30" s="43" t="str">
        <f>IF(IFERROR(INDEX(Consulta!$A:$DP,MATCH('MM01'!$B30,Consulta!$C:$C,0),'MM01'!CU$2),"")=0,"",IFERROR(INDEX(Consulta!$A:$DP,MATCH('MM01'!$B30,Consulta!$C:$C,0),'MM01'!CU$2),""))</f>
        <v/>
      </c>
      <c r="CV30" s="43" t="str">
        <f>IF(IFERROR(INDEX(Consulta!$A:$DP,MATCH('MM01'!$B30,Consulta!$C:$C,0),'MM01'!CV$2),"")=0,"",IFERROR(INDEX(Consulta!$A:$DP,MATCH('MM01'!$B30,Consulta!$C:$C,0),'MM01'!CV$2),""))</f>
        <v/>
      </c>
      <c r="CW30" s="43" t="str">
        <f>IF(IFERROR(INDEX(Consulta!$A:$DP,MATCH('MM01'!$B30,Consulta!$C:$C,0),'MM01'!CW$2),"")=0,"",IFERROR(INDEX(Consulta!$A:$DP,MATCH('MM01'!$B30,Consulta!$C:$C,0),'MM01'!CW$2),""))</f>
        <v/>
      </c>
      <c r="CX30" s="43" t="str">
        <f t="shared" si="20"/>
        <v/>
      </c>
      <c r="CY30" s="43" t="str">
        <f t="shared" si="21"/>
        <v/>
      </c>
      <c r="CZ30" s="43" t="str">
        <f t="shared" si="22"/>
        <v/>
      </c>
      <c r="DA30" s="43" t="str">
        <f>IF(IFERROR(INDEX(Consulta!$A:$DP,MATCH('MM01'!$B30,Consulta!$C:$C,0),'MM01'!DA$2),"")=0,"",IFERROR(INDEX(Consulta!$A:$DP,MATCH('MM01'!$B30,Consulta!$C:$C,0),'MM01'!DA$2),""))</f>
        <v/>
      </c>
      <c r="DB30" s="43" t="str">
        <f t="shared" si="23"/>
        <v/>
      </c>
      <c r="DC30" s="43" t="str">
        <f>IF(IFERROR(INDEX(Consulta!$A:$DP,MATCH('MM01'!$B30,Consulta!$C:$C,0),'MM01'!DC$2),"")=0,"",IFERROR(INDEX(Consulta!$A:$DP,MATCH('MM01'!$B30,Consulta!$C:$C,0),'MM01'!DC$2),""))</f>
        <v/>
      </c>
      <c r="DD30" s="45">
        <v>0</v>
      </c>
      <c r="DE30" s="45">
        <v>0</v>
      </c>
      <c r="DF30" s="43" t="str">
        <f t="shared" si="24"/>
        <v/>
      </c>
      <c r="DG30" s="43" t="str">
        <f t="shared" si="25"/>
        <v/>
      </c>
      <c r="DH30" s="57"/>
      <c r="DI30" s="43" t="str">
        <f t="shared" ca="1" si="26"/>
        <v/>
      </c>
      <c r="DJ30" s="43" t="str">
        <f t="shared" si="27"/>
        <v/>
      </c>
      <c r="DK30" s="43" t="str">
        <f t="shared" si="28"/>
        <v/>
      </c>
      <c r="DL30" s="57"/>
      <c r="DM30" s="43" t="str">
        <f t="shared" ca="1" si="29"/>
        <v/>
      </c>
      <c r="DN30" s="43" t="str">
        <f t="shared" si="30"/>
        <v/>
      </c>
      <c r="DO30" s="43" t="str">
        <f t="shared" si="31"/>
        <v/>
      </c>
      <c r="DP30" s="57"/>
      <c r="DQ30" s="43" t="str">
        <f t="shared" ca="1" si="32"/>
        <v/>
      </c>
      <c r="DR30" s="43" t="str">
        <f t="shared" si="33"/>
        <v/>
      </c>
      <c r="DS30" s="43" t="str">
        <f t="shared" si="34"/>
        <v/>
      </c>
      <c r="DT30" s="57"/>
      <c r="DU30" s="43" t="str">
        <f t="shared" ca="1" si="35"/>
        <v/>
      </c>
      <c r="DV30" s="43" t="str">
        <f t="shared" si="36"/>
        <v/>
      </c>
      <c r="DX30" s="44">
        <v>1</v>
      </c>
      <c r="DY30" s="44" t="s">
        <v>773</v>
      </c>
      <c r="DZ30" s="43">
        <f t="shared" si="37"/>
        <v>0.01</v>
      </c>
      <c r="EA30" s="43" t="str">
        <f t="shared" si="38"/>
        <v>M</v>
      </c>
      <c r="EB30" s="43" t="str">
        <f>IF(IFERROR(INDEX(Consulta!$A:$DP,MATCH('MM01'!$B30,Consulta!$C:$C,0),'MM01'!EB$2),"")=0,"7925",IF(IFERROR(INDEX(Consulta!$A:$DP,MATCH('MM01'!$B30,Consulta!$C:$C,0),'MM01'!EB$2),"")="68","7910","7925"))</f>
        <v>7925</v>
      </c>
      <c r="EC30" s="44">
        <v>100</v>
      </c>
      <c r="ED30" s="62">
        <v>1</v>
      </c>
      <c r="EE30" s="43">
        <f t="shared" si="39"/>
        <v>100</v>
      </c>
      <c r="EF30" s="44">
        <v>1</v>
      </c>
      <c r="EG30" s="44">
        <v>0</v>
      </c>
      <c r="EH30" s="44" t="s">
        <v>875</v>
      </c>
      <c r="EI30" s="45">
        <v>0</v>
      </c>
      <c r="EJ30" s="43">
        <f t="shared" si="40"/>
        <v>5000</v>
      </c>
      <c r="EK30" s="69"/>
    </row>
    <row r="31" spans="1:141" x14ac:dyDescent="0.2">
      <c r="A31" s="7" t="str">
        <f t="shared" si="0"/>
        <v>Execução 27</v>
      </c>
      <c r="B31" s="42"/>
      <c r="C31" s="43" t="str">
        <f>IF(IFERROR(INDEX(Consulta!$A:$DP,MATCH('MM01'!$B31,Consulta!$C:$C,0),'MM01'!C$2),"")=0,"",IFERROR(INDEX(Consulta!$A:$DP,MATCH('MM01'!$B31,Consulta!$C:$C,0),'MM01'!C$2),""))</f>
        <v/>
      </c>
      <c r="D31" s="43" t="str">
        <f>IF(IFERROR(INDEX(Consulta!$A:$DP,MATCH('MM01'!$B31,Consulta!$C:$C,0),'MM01'!D$2),"")=0,"",IFERROR(INDEX(Consulta!$A:$DP,MATCH('MM01'!$B31,Consulta!$C:$C,0),'MM01'!D$2),""))</f>
        <v/>
      </c>
      <c r="E31" s="43" t="str">
        <f>IF(IFERROR(INDEX(Consulta!$A:$DP,MATCH('MM01'!$B31,Consulta!$C:$C,0),'MM01'!E$2),"")=0,"",IFERROR(INDEX(Consulta!$A:$DP,MATCH('MM01'!$B31,Consulta!$C:$C,0),'MM01'!E$2),""))</f>
        <v/>
      </c>
      <c r="F31" s="44" t="s">
        <v>100</v>
      </c>
      <c r="G31" s="49" t="str">
        <f>IF(IFERROR(INDEX(Consulta!$A:$DP,MATCH('MM01'!$B31,Consulta!$C:$C,0),'MM01'!G$2),"")=0,"",IFERROR(INDEX(Consulta!$A:$DP,MATCH('MM01'!$B31,Consulta!$C:$C,0),'MM01'!G$2),""))</f>
        <v/>
      </c>
      <c r="H31" s="49" t="str">
        <f>IF(IFERROR(INDEX(Consulta!$A:$DP,MATCH('MM01'!$B31,Consulta!$C:$C,0),'MM01'!H$2),"")=0,"",IFERROR(INDEX(Consulta!$A:$DP,MATCH('MM01'!$B31,Consulta!$C:$C,0),'MM01'!H$2),""))</f>
        <v/>
      </c>
      <c r="I31" s="49" t="str">
        <f t="shared" si="1"/>
        <v/>
      </c>
      <c r="J31" s="49" t="str">
        <f>IF(IFERROR(INDEX(Consulta!$A:$DP,MATCH('MM01'!$B31,Consulta!$C:$C,0),'MM01'!J$2),"")=0,"",IFERROR(INDEX(Consulta!$A:$DP,MATCH('MM01'!$B31,Consulta!$C:$C,0),'MM01'!J$2),""))</f>
        <v/>
      </c>
      <c r="K31" s="49" t="str">
        <f t="shared" si="2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IF(IFERROR(INDEX(Consulta!$A:$DP,MATCH('MM01'!$B31,Consulta!$C:$C,0),'MM01'!AP$2),"")=0,"",IFERROR(INDEX(Consulta!$A:$DP,MATCH('MM01'!$B31,Consulta!$C:$C,0),'MM01'!AP$2),""))</f>
        <v/>
      </c>
      <c r="AQ31" s="45"/>
      <c r="AR31" s="43" t="str">
        <f>IF(IFERROR(INDEX(Consulta!$A:$DP,MATCH('MM01'!$B31,Consulta!$C:$C,0),'MM01'!AR$2),"")=0,"",IFERROR(INDEX(Consulta!$A:$DP,MATCH('MM01'!$B31,Consulta!$C:$C,0),'MM01'!AR$2),""))</f>
        <v/>
      </c>
      <c r="AS31" s="43" t="str">
        <f>IF(IFERROR(INDEX(Consulta!$A:$DP,MATCH('MM01'!$B31,Consulta!$C:$C,0),'MM01'!AS$2),"")=0,"",IF(AR31="68",5102,IFERROR(INDEX(Consulta!$A:$DP,MATCH('MM01'!$B31,Consulta!$C:$C,0),'MM01'!AS$2),"")))</f>
        <v/>
      </c>
      <c r="AT31" s="45"/>
      <c r="AU31" s="46" t="str">
        <f t="shared" ca="1" si="3"/>
        <v/>
      </c>
      <c r="AV31" s="47" t="s">
        <v>795</v>
      </c>
      <c r="AW31" s="43" t="str">
        <f>IF(IFERROR(INDEX(Consulta!$A:$DP,MATCH('MM01'!$B31,Consulta!$C:$C,0),'MM01'!AW$2),"")=0,"",IFERROR(ROUND(INDEX(Consulta!$A:$DP,MATCH('MM01'!$B31,Consulta!$C:$C,0),'MM01'!AW$2),3),""))</f>
        <v/>
      </c>
      <c r="AX31" s="43" t="str">
        <f t="shared" si="4"/>
        <v/>
      </c>
      <c r="AY31" s="48" t="s">
        <v>299</v>
      </c>
      <c r="AZ31" s="48"/>
      <c r="BA31" s="43" t="str">
        <f>IF(IFERROR(INDEX(Consulta!$A:$DP,MATCH('MM01'!$B31,Consulta!$C:$C,0),'MM01'!BA$2),"")=0,"",IFERROR(INDEX(Consulta!$A:$DP,MATCH('MM01'!$B31,Consulta!$C:$C,0),'MM01'!BA$2),""))</f>
        <v/>
      </c>
      <c r="BB31" s="43" t="str">
        <f t="shared" si="5"/>
        <v/>
      </c>
      <c r="BC31" s="43" t="str">
        <f t="shared" si="6"/>
        <v/>
      </c>
      <c r="BD31" s="43" t="str">
        <f t="shared" si="7"/>
        <v/>
      </c>
      <c r="BE31" s="43" t="str">
        <f t="shared" si="8"/>
        <v>M</v>
      </c>
      <c r="BF31" s="43" t="str">
        <f t="shared" si="9"/>
        <v/>
      </c>
      <c r="BG31" s="43" t="str">
        <f t="shared" si="10"/>
        <v/>
      </c>
      <c r="BH31" s="43" t="str">
        <f t="shared" si="11"/>
        <v/>
      </c>
      <c r="BI31" s="43" t="str">
        <f t="shared" si="12"/>
        <v>M</v>
      </c>
      <c r="BK31" s="45" t="s">
        <v>324</v>
      </c>
      <c r="BL31" s="43" t="str">
        <f>IF(IFERROR(INDEX(Consulta!$A:$DP,MATCH('MM01'!$B31,Consulta!$C:$C,0),'MM01'!BL$2),"")=0,"",IFERROR(INDEX(Consulta!$A:$DP,MATCH('MM01'!$B31,Consulta!$C:$C,0),'MM01'!BL$2),""))</f>
        <v/>
      </c>
      <c r="BM31" s="45"/>
      <c r="BN31" s="46" t="str">
        <f t="shared" ca="1" si="13"/>
        <v/>
      </c>
      <c r="BO31" s="49" t="str">
        <f t="shared" si="14"/>
        <v/>
      </c>
      <c r="BP31" s="50">
        <v>1</v>
      </c>
      <c r="BQ31" s="50" t="s">
        <v>194</v>
      </c>
      <c r="BR31" s="79" t="str">
        <f t="shared" si="15"/>
        <v>01</v>
      </c>
      <c r="BS31" s="50" t="s">
        <v>795</v>
      </c>
      <c r="BT31" s="44">
        <v>1</v>
      </c>
      <c r="BU31" s="44" t="s">
        <v>371</v>
      </c>
      <c r="BV31" s="50" t="s">
        <v>197</v>
      </c>
      <c r="BW31" s="50" t="s">
        <v>197</v>
      </c>
      <c r="BX31" s="43" t="str">
        <f>IF(IFERROR(INDEX(Consulta!$A:$DP,MATCH('MM01'!$B31,Consulta!$C:$C,0),'MM01'!BX$2),"")=0,"",IFERROR(INDEX(Consulta!$A:$DP,MATCH('MM01'!$B31,Consulta!$C:$C,0),'MM01'!BX$2),""))</f>
        <v/>
      </c>
      <c r="BY31" s="44" t="s">
        <v>391</v>
      </c>
      <c r="BZ31" s="50">
        <v>0</v>
      </c>
      <c r="CA31" s="45" t="s">
        <v>402</v>
      </c>
      <c r="CB31" s="45" t="s">
        <v>84</v>
      </c>
      <c r="CC31" s="43" t="str">
        <f t="shared" si="16"/>
        <v/>
      </c>
      <c r="CD31" s="45" t="s">
        <v>38</v>
      </c>
      <c r="CE31" s="45">
        <v>1</v>
      </c>
      <c r="CF31" s="45" t="s">
        <v>495</v>
      </c>
      <c r="CG31" s="45"/>
      <c r="CH31" s="44">
        <v>2</v>
      </c>
      <c r="CI31" s="49" t="str">
        <f t="shared" si="17"/>
        <v/>
      </c>
      <c r="CJ31" s="49" t="str">
        <f t="shared" si="18"/>
        <v/>
      </c>
      <c r="CK31" s="45"/>
      <c r="CL31" s="44">
        <v>1</v>
      </c>
      <c r="CM31" s="50" t="s">
        <v>514</v>
      </c>
      <c r="CN31" s="44" t="s">
        <v>371</v>
      </c>
      <c r="CO31" s="44">
        <v>2</v>
      </c>
      <c r="CP31" s="44">
        <v>42</v>
      </c>
      <c r="CQ31" s="44">
        <v>10</v>
      </c>
      <c r="CR31" s="43" t="str">
        <f t="shared" si="19"/>
        <v>K00_P_</v>
      </c>
      <c r="CS31" s="45">
        <v>5000</v>
      </c>
      <c r="CT31" s="43" t="str">
        <f>IF(IFERROR(INDEX(Consulta!$A:$DP,MATCH('MM01'!$B31,Consulta!$C:$C,0),'MM01'!CT$2),"")=0,"",IFERROR(INDEX(Consulta!$A:$DP,MATCH('MM01'!$B31,Consulta!$C:$C,0),'MM01'!CT$2),""))</f>
        <v/>
      </c>
      <c r="CU31" s="43" t="str">
        <f>IF(IFERROR(INDEX(Consulta!$A:$DP,MATCH('MM01'!$B31,Consulta!$C:$C,0),'MM01'!CU$2),"")=0,"",IFERROR(INDEX(Consulta!$A:$DP,MATCH('MM01'!$B31,Consulta!$C:$C,0),'MM01'!CU$2),""))</f>
        <v/>
      </c>
      <c r="CV31" s="43" t="str">
        <f>IF(IFERROR(INDEX(Consulta!$A:$DP,MATCH('MM01'!$B31,Consulta!$C:$C,0),'MM01'!CV$2),"")=0,"",IFERROR(INDEX(Consulta!$A:$DP,MATCH('MM01'!$B31,Consulta!$C:$C,0),'MM01'!CV$2),""))</f>
        <v/>
      </c>
      <c r="CW31" s="43" t="str">
        <f>IF(IFERROR(INDEX(Consulta!$A:$DP,MATCH('MM01'!$B31,Consulta!$C:$C,0),'MM01'!CW$2),"")=0,"",IFERROR(INDEX(Consulta!$A:$DP,MATCH('MM01'!$B31,Consulta!$C:$C,0),'MM01'!CW$2),""))</f>
        <v/>
      </c>
      <c r="CX31" s="43" t="str">
        <f t="shared" si="20"/>
        <v/>
      </c>
      <c r="CY31" s="43" t="str">
        <f t="shared" si="21"/>
        <v/>
      </c>
      <c r="CZ31" s="43" t="str">
        <f t="shared" si="22"/>
        <v/>
      </c>
      <c r="DA31" s="43" t="str">
        <f>IF(IFERROR(INDEX(Consulta!$A:$DP,MATCH('MM01'!$B31,Consulta!$C:$C,0),'MM01'!DA$2),"")=0,"",IFERROR(INDEX(Consulta!$A:$DP,MATCH('MM01'!$B31,Consulta!$C:$C,0),'MM01'!DA$2),""))</f>
        <v/>
      </c>
      <c r="DB31" s="43" t="str">
        <f t="shared" si="23"/>
        <v/>
      </c>
      <c r="DC31" s="43" t="str">
        <f>IF(IFERROR(INDEX(Consulta!$A:$DP,MATCH('MM01'!$B31,Consulta!$C:$C,0),'MM01'!DC$2),"")=0,"",IFERROR(INDEX(Consulta!$A:$DP,MATCH('MM01'!$B31,Consulta!$C:$C,0),'MM01'!DC$2),""))</f>
        <v/>
      </c>
      <c r="DD31" s="45">
        <v>0</v>
      </c>
      <c r="DE31" s="45">
        <v>0</v>
      </c>
      <c r="DF31" s="43" t="str">
        <f t="shared" si="24"/>
        <v/>
      </c>
      <c r="DG31" s="43" t="str">
        <f t="shared" si="25"/>
        <v/>
      </c>
      <c r="DH31" s="57"/>
      <c r="DI31" s="43" t="str">
        <f t="shared" ca="1" si="26"/>
        <v/>
      </c>
      <c r="DJ31" s="43" t="str">
        <f t="shared" si="27"/>
        <v/>
      </c>
      <c r="DK31" s="43" t="str">
        <f t="shared" si="28"/>
        <v/>
      </c>
      <c r="DL31" s="57"/>
      <c r="DM31" s="43" t="str">
        <f t="shared" ca="1" si="29"/>
        <v/>
      </c>
      <c r="DN31" s="43" t="str">
        <f t="shared" si="30"/>
        <v/>
      </c>
      <c r="DO31" s="43" t="str">
        <f t="shared" si="31"/>
        <v/>
      </c>
      <c r="DP31" s="57"/>
      <c r="DQ31" s="43" t="str">
        <f t="shared" ca="1" si="32"/>
        <v/>
      </c>
      <c r="DR31" s="43" t="str">
        <f t="shared" si="33"/>
        <v/>
      </c>
      <c r="DS31" s="43" t="str">
        <f t="shared" si="34"/>
        <v/>
      </c>
      <c r="DT31" s="57"/>
      <c r="DU31" s="43" t="str">
        <f t="shared" ca="1" si="35"/>
        <v/>
      </c>
      <c r="DV31" s="43" t="str">
        <f t="shared" si="36"/>
        <v/>
      </c>
      <c r="DX31" s="44">
        <v>1</v>
      </c>
      <c r="DY31" s="44" t="s">
        <v>773</v>
      </c>
      <c r="DZ31" s="43">
        <f t="shared" si="37"/>
        <v>0.01</v>
      </c>
      <c r="EA31" s="43" t="str">
        <f t="shared" si="38"/>
        <v>M</v>
      </c>
      <c r="EB31" s="43" t="str">
        <f>IF(IFERROR(INDEX(Consulta!$A:$DP,MATCH('MM01'!$B31,Consulta!$C:$C,0),'MM01'!EB$2),"")=0,"7925",IF(IFERROR(INDEX(Consulta!$A:$DP,MATCH('MM01'!$B31,Consulta!$C:$C,0),'MM01'!EB$2),"")="68","7910","7925"))</f>
        <v>7925</v>
      </c>
      <c r="EC31" s="44">
        <v>100</v>
      </c>
      <c r="ED31" s="62">
        <v>1</v>
      </c>
      <c r="EE31" s="43">
        <f t="shared" si="39"/>
        <v>100</v>
      </c>
      <c r="EF31" s="44">
        <v>1</v>
      </c>
      <c r="EG31" s="44">
        <v>0</v>
      </c>
      <c r="EH31" s="44" t="s">
        <v>875</v>
      </c>
      <c r="EI31" s="45">
        <v>0</v>
      </c>
      <c r="EJ31" s="43">
        <f t="shared" si="40"/>
        <v>5000</v>
      </c>
      <c r="EK31" s="69"/>
    </row>
    <row r="32" spans="1:141" x14ac:dyDescent="0.2">
      <c r="A32" s="7" t="str">
        <f t="shared" si="0"/>
        <v>Execução 28</v>
      </c>
      <c r="B32" s="42"/>
      <c r="C32" s="43" t="str">
        <f>IF(IFERROR(INDEX(Consulta!$A:$DP,MATCH('MM01'!$B32,Consulta!$C:$C,0),'MM01'!C$2),"")=0,"",IFERROR(INDEX(Consulta!$A:$DP,MATCH('MM01'!$B32,Consulta!$C:$C,0),'MM01'!C$2),""))</f>
        <v/>
      </c>
      <c r="D32" s="43" t="str">
        <f>IF(IFERROR(INDEX(Consulta!$A:$DP,MATCH('MM01'!$B32,Consulta!$C:$C,0),'MM01'!D$2),"")=0,"",IFERROR(INDEX(Consulta!$A:$DP,MATCH('MM01'!$B32,Consulta!$C:$C,0),'MM01'!D$2),""))</f>
        <v/>
      </c>
      <c r="E32" s="43" t="str">
        <f>IF(IFERROR(INDEX(Consulta!$A:$DP,MATCH('MM01'!$B32,Consulta!$C:$C,0),'MM01'!E$2),"")=0,"",IFERROR(INDEX(Consulta!$A:$DP,MATCH('MM01'!$B32,Consulta!$C:$C,0),'MM01'!E$2),""))</f>
        <v/>
      </c>
      <c r="F32" s="44" t="s">
        <v>100</v>
      </c>
      <c r="G32" s="49" t="str">
        <f>IF(IFERROR(INDEX(Consulta!$A:$DP,MATCH('MM01'!$B32,Consulta!$C:$C,0),'MM01'!G$2),"")=0,"",IFERROR(INDEX(Consulta!$A:$DP,MATCH('MM01'!$B32,Consulta!$C:$C,0),'MM01'!G$2),""))</f>
        <v/>
      </c>
      <c r="H32" s="49" t="str">
        <f>IF(IFERROR(INDEX(Consulta!$A:$DP,MATCH('MM01'!$B32,Consulta!$C:$C,0),'MM01'!H$2),"")=0,"",IFERROR(INDEX(Consulta!$A:$DP,MATCH('MM01'!$B32,Consulta!$C:$C,0),'MM01'!H$2),""))</f>
        <v/>
      </c>
      <c r="I32" s="49" t="str">
        <f t="shared" si="1"/>
        <v/>
      </c>
      <c r="J32" s="49" t="str">
        <f>IF(IFERROR(INDEX(Consulta!$A:$DP,MATCH('MM01'!$B32,Consulta!$C:$C,0),'MM01'!J$2),"")=0,"",IFERROR(INDEX(Consulta!$A:$DP,MATCH('MM01'!$B32,Consulta!$C:$C,0),'MM01'!J$2),""))</f>
        <v/>
      </c>
      <c r="K32" s="49" t="str">
        <f t="shared" si="2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IF(IFERROR(INDEX(Consulta!$A:$DP,MATCH('MM01'!$B32,Consulta!$C:$C,0),'MM01'!AP$2),"")=0,"",IFERROR(INDEX(Consulta!$A:$DP,MATCH('MM01'!$B32,Consulta!$C:$C,0),'MM01'!AP$2),""))</f>
        <v/>
      </c>
      <c r="AQ32" s="45"/>
      <c r="AR32" s="43" t="str">
        <f>IF(IFERROR(INDEX(Consulta!$A:$DP,MATCH('MM01'!$B32,Consulta!$C:$C,0),'MM01'!AR$2),"")=0,"",IFERROR(INDEX(Consulta!$A:$DP,MATCH('MM01'!$B32,Consulta!$C:$C,0),'MM01'!AR$2),""))</f>
        <v/>
      </c>
      <c r="AS32" s="43" t="str">
        <f>IF(IFERROR(INDEX(Consulta!$A:$DP,MATCH('MM01'!$B32,Consulta!$C:$C,0),'MM01'!AS$2),"")=0,"",IF(AR32="68",5102,IFERROR(INDEX(Consulta!$A:$DP,MATCH('MM01'!$B32,Consulta!$C:$C,0),'MM01'!AS$2),"")))</f>
        <v/>
      </c>
      <c r="AT32" s="45"/>
      <c r="AU32" s="46" t="str">
        <f t="shared" ca="1" si="3"/>
        <v/>
      </c>
      <c r="AV32" s="47" t="s">
        <v>795</v>
      </c>
      <c r="AW32" s="43" t="str">
        <f>IF(IFERROR(INDEX(Consulta!$A:$DP,MATCH('MM01'!$B32,Consulta!$C:$C,0),'MM01'!AW$2),"")=0,"",IFERROR(ROUND(INDEX(Consulta!$A:$DP,MATCH('MM01'!$B32,Consulta!$C:$C,0),'MM01'!AW$2),3),""))</f>
        <v/>
      </c>
      <c r="AX32" s="43" t="str">
        <f t="shared" si="4"/>
        <v/>
      </c>
      <c r="AY32" s="48" t="s">
        <v>299</v>
      </c>
      <c r="AZ32" s="48"/>
      <c r="BA32" s="43" t="str">
        <f>IF(IFERROR(INDEX(Consulta!$A:$DP,MATCH('MM01'!$B32,Consulta!$C:$C,0),'MM01'!BA$2),"")=0,"",IFERROR(INDEX(Consulta!$A:$DP,MATCH('MM01'!$B32,Consulta!$C:$C,0),'MM01'!BA$2),""))</f>
        <v/>
      </c>
      <c r="BB32" s="43" t="str">
        <f t="shared" si="5"/>
        <v/>
      </c>
      <c r="BC32" s="43" t="str">
        <f t="shared" si="6"/>
        <v/>
      </c>
      <c r="BD32" s="43" t="str">
        <f t="shared" si="7"/>
        <v/>
      </c>
      <c r="BE32" s="43" t="str">
        <f t="shared" si="8"/>
        <v>M</v>
      </c>
      <c r="BF32" s="43" t="str">
        <f t="shared" si="9"/>
        <v/>
      </c>
      <c r="BG32" s="43" t="str">
        <f t="shared" si="10"/>
        <v/>
      </c>
      <c r="BH32" s="43" t="str">
        <f t="shared" si="11"/>
        <v/>
      </c>
      <c r="BI32" s="43" t="str">
        <f t="shared" si="12"/>
        <v>M</v>
      </c>
      <c r="BK32" s="45" t="s">
        <v>324</v>
      </c>
      <c r="BL32" s="43" t="str">
        <f>IF(IFERROR(INDEX(Consulta!$A:$DP,MATCH('MM01'!$B32,Consulta!$C:$C,0),'MM01'!BL$2),"")=0,"",IFERROR(INDEX(Consulta!$A:$DP,MATCH('MM01'!$B32,Consulta!$C:$C,0),'MM01'!BL$2),""))</f>
        <v/>
      </c>
      <c r="BM32" s="45"/>
      <c r="BN32" s="46" t="str">
        <f t="shared" ca="1" si="13"/>
        <v/>
      </c>
      <c r="BO32" s="49" t="str">
        <f t="shared" si="14"/>
        <v/>
      </c>
      <c r="BP32" s="50">
        <v>1</v>
      </c>
      <c r="BQ32" s="50" t="s">
        <v>194</v>
      </c>
      <c r="BR32" s="79" t="str">
        <f t="shared" si="15"/>
        <v>01</v>
      </c>
      <c r="BS32" s="50" t="s">
        <v>795</v>
      </c>
      <c r="BT32" s="44">
        <v>1</v>
      </c>
      <c r="BU32" s="44" t="s">
        <v>371</v>
      </c>
      <c r="BV32" s="50" t="s">
        <v>197</v>
      </c>
      <c r="BW32" s="50" t="s">
        <v>197</v>
      </c>
      <c r="BX32" s="43" t="str">
        <f>IF(IFERROR(INDEX(Consulta!$A:$DP,MATCH('MM01'!$B32,Consulta!$C:$C,0),'MM01'!BX$2),"")=0,"",IFERROR(INDEX(Consulta!$A:$DP,MATCH('MM01'!$B32,Consulta!$C:$C,0),'MM01'!BX$2),""))</f>
        <v/>
      </c>
      <c r="BY32" s="44" t="s">
        <v>391</v>
      </c>
      <c r="BZ32" s="50">
        <v>0</v>
      </c>
      <c r="CA32" s="45" t="s">
        <v>402</v>
      </c>
      <c r="CB32" s="45" t="s">
        <v>84</v>
      </c>
      <c r="CC32" s="43" t="str">
        <f t="shared" si="16"/>
        <v/>
      </c>
      <c r="CD32" s="45" t="s">
        <v>38</v>
      </c>
      <c r="CE32" s="45">
        <v>1</v>
      </c>
      <c r="CF32" s="45" t="s">
        <v>495</v>
      </c>
      <c r="CG32" s="45"/>
      <c r="CH32" s="44">
        <v>2</v>
      </c>
      <c r="CI32" s="49" t="str">
        <f t="shared" si="17"/>
        <v/>
      </c>
      <c r="CJ32" s="49" t="str">
        <f t="shared" si="18"/>
        <v/>
      </c>
      <c r="CK32" s="45"/>
      <c r="CL32" s="44">
        <v>1</v>
      </c>
      <c r="CM32" s="50" t="s">
        <v>514</v>
      </c>
      <c r="CN32" s="44" t="s">
        <v>371</v>
      </c>
      <c r="CO32" s="44">
        <v>2</v>
      </c>
      <c r="CP32" s="44">
        <v>42</v>
      </c>
      <c r="CQ32" s="44">
        <v>10</v>
      </c>
      <c r="CR32" s="43" t="str">
        <f t="shared" si="19"/>
        <v>K00_P_</v>
      </c>
      <c r="CS32" s="45">
        <v>5000</v>
      </c>
      <c r="CT32" s="43" t="str">
        <f>IF(IFERROR(INDEX(Consulta!$A:$DP,MATCH('MM01'!$B32,Consulta!$C:$C,0),'MM01'!CT$2),"")=0,"",IFERROR(INDEX(Consulta!$A:$DP,MATCH('MM01'!$B32,Consulta!$C:$C,0),'MM01'!CT$2),""))</f>
        <v/>
      </c>
      <c r="CU32" s="43" t="str">
        <f>IF(IFERROR(INDEX(Consulta!$A:$DP,MATCH('MM01'!$B32,Consulta!$C:$C,0),'MM01'!CU$2),"")=0,"",IFERROR(INDEX(Consulta!$A:$DP,MATCH('MM01'!$B32,Consulta!$C:$C,0),'MM01'!CU$2),""))</f>
        <v/>
      </c>
      <c r="CV32" s="43" t="str">
        <f>IF(IFERROR(INDEX(Consulta!$A:$DP,MATCH('MM01'!$B32,Consulta!$C:$C,0),'MM01'!CV$2),"")=0,"",IFERROR(INDEX(Consulta!$A:$DP,MATCH('MM01'!$B32,Consulta!$C:$C,0),'MM01'!CV$2),""))</f>
        <v/>
      </c>
      <c r="CW32" s="43" t="str">
        <f>IF(IFERROR(INDEX(Consulta!$A:$DP,MATCH('MM01'!$B32,Consulta!$C:$C,0),'MM01'!CW$2),"")=0,"",IFERROR(INDEX(Consulta!$A:$DP,MATCH('MM01'!$B32,Consulta!$C:$C,0),'MM01'!CW$2),""))</f>
        <v/>
      </c>
      <c r="CX32" s="43" t="str">
        <f t="shared" si="20"/>
        <v/>
      </c>
      <c r="CY32" s="43" t="str">
        <f t="shared" si="21"/>
        <v/>
      </c>
      <c r="CZ32" s="43" t="str">
        <f t="shared" si="22"/>
        <v/>
      </c>
      <c r="DA32" s="43" t="str">
        <f>IF(IFERROR(INDEX(Consulta!$A:$DP,MATCH('MM01'!$B32,Consulta!$C:$C,0),'MM01'!DA$2),"")=0,"",IFERROR(INDEX(Consulta!$A:$DP,MATCH('MM01'!$B32,Consulta!$C:$C,0),'MM01'!DA$2),""))</f>
        <v/>
      </c>
      <c r="DB32" s="43" t="str">
        <f t="shared" si="23"/>
        <v/>
      </c>
      <c r="DC32" s="43" t="str">
        <f>IF(IFERROR(INDEX(Consulta!$A:$DP,MATCH('MM01'!$B32,Consulta!$C:$C,0),'MM01'!DC$2),"")=0,"",IFERROR(INDEX(Consulta!$A:$DP,MATCH('MM01'!$B32,Consulta!$C:$C,0),'MM01'!DC$2),""))</f>
        <v/>
      </c>
      <c r="DD32" s="45">
        <v>0</v>
      </c>
      <c r="DE32" s="45">
        <v>0</v>
      </c>
      <c r="DF32" s="43" t="str">
        <f t="shared" si="24"/>
        <v/>
      </c>
      <c r="DG32" s="43" t="str">
        <f t="shared" si="25"/>
        <v/>
      </c>
      <c r="DH32" s="57"/>
      <c r="DI32" s="43" t="str">
        <f t="shared" ca="1" si="26"/>
        <v/>
      </c>
      <c r="DJ32" s="43" t="str">
        <f t="shared" si="27"/>
        <v/>
      </c>
      <c r="DK32" s="43" t="str">
        <f t="shared" si="28"/>
        <v/>
      </c>
      <c r="DL32" s="57"/>
      <c r="DM32" s="43" t="str">
        <f t="shared" ca="1" si="29"/>
        <v/>
      </c>
      <c r="DN32" s="43" t="str">
        <f t="shared" si="30"/>
        <v/>
      </c>
      <c r="DO32" s="43" t="str">
        <f t="shared" si="31"/>
        <v/>
      </c>
      <c r="DP32" s="57"/>
      <c r="DQ32" s="43" t="str">
        <f t="shared" ca="1" si="32"/>
        <v/>
      </c>
      <c r="DR32" s="43" t="str">
        <f t="shared" si="33"/>
        <v/>
      </c>
      <c r="DS32" s="43" t="str">
        <f t="shared" si="34"/>
        <v/>
      </c>
      <c r="DT32" s="57"/>
      <c r="DU32" s="43" t="str">
        <f t="shared" ca="1" si="35"/>
        <v/>
      </c>
      <c r="DV32" s="43" t="str">
        <f t="shared" si="36"/>
        <v/>
      </c>
      <c r="DX32" s="44">
        <v>1</v>
      </c>
      <c r="DY32" s="44" t="s">
        <v>773</v>
      </c>
      <c r="DZ32" s="43">
        <f t="shared" si="37"/>
        <v>0.01</v>
      </c>
      <c r="EA32" s="43" t="str">
        <f t="shared" si="38"/>
        <v>M</v>
      </c>
      <c r="EB32" s="43" t="str">
        <f>IF(IFERROR(INDEX(Consulta!$A:$DP,MATCH('MM01'!$B32,Consulta!$C:$C,0),'MM01'!EB$2),"")=0,"7925",IF(IFERROR(INDEX(Consulta!$A:$DP,MATCH('MM01'!$B32,Consulta!$C:$C,0),'MM01'!EB$2),"")="68","7910","7925"))</f>
        <v>7925</v>
      </c>
      <c r="EC32" s="44">
        <v>100</v>
      </c>
      <c r="ED32" s="62">
        <v>1</v>
      </c>
      <c r="EE32" s="43">
        <f t="shared" si="39"/>
        <v>100</v>
      </c>
      <c r="EF32" s="44">
        <v>1</v>
      </c>
      <c r="EG32" s="44">
        <v>0</v>
      </c>
      <c r="EH32" s="44" t="s">
        <v>875</v>
      </c>
      <c r="EI32" s="45">
        <v>0</v>
      </c>
      <c r="EJ32" s="43">
        <f t="shared" si="40"/>
        <v>5000</v>
      </c>
      <c r="EK32" s="69"/>
    </row>
    <row r="33" spans="1:141" x14ac:dyDescent="0.2">
      <c r="A33" s="7" t="str">
        <f t="shared" si="0"/>
        <v>Execução 29</v>
      </c>
      <c r="B33" s="42"/>
      <c r="C33" s="43" t="str">
        <f>IF(IFERROR(INDEX(Consulta!$A:$DP,MATCH('MM01'!$B33,Consulta!$C:$C,0),'MM01'!C$2),"")=0,"",IFERROR(INDEX(Consulta!$A:$DP,MATCH('MM01'!$B33,Consulta!$C:$C,0),'MM01'!C$2),""))</f>
        <v/>
      </c>
      <c r="D33" s="43" t="str">
        <f>IF(IFERROR(INDEX(Consulta!$A:$DP,MATCH('MM01'!$B33,Consulta!$C:$C,0),'MM01'!D$2),"")=0,"",IFERROR(INDEX(Consulta!$A:$DP,MATCH('MM01'!$B33,Consulta!$C:$C,0),'MM01'!D$2),""))</f>
        <v/>
      </c>
      <c r="E33" s="43" t="str">
        <f>IF(IFERROR(INDEX(Consulta!$A:$DP,MATCH('MM01'!$B33,Consulta!$C:$C,0),'MM01'!E$2),"")=0,"",IFERROR(INDEX(Consulta!$A:$DP,MATCH('MM01'!$B33,Consulta!$C:$C,0),'MM01'!E$2),""))</f>
        <v/>
      </c>
      <c r="F33" s="44" t="s">
        <v>100</v>
      </c>
      <c r="G33" s="49" t="str">
        <f>IF(IFERROR(INDEX(Consulta!$A:$DP,MATCH('MM01'!$B33,Consulta!$C:$C,0),'MM01'!G$2),"")=0,"",IFERROR(INDEX(Consulta!$A:$DP,MATCH('MM01'!$B33,Consulta!$C:$C,0),'MM01'!G$2),""))</f>
        <v/>
      </c>
      <c r="H33" s="49" t="str">
        <f>IF(IFERROR(INDEX(Consulta!$A:$DP,MATCH('MM01'!$B33,Consulta!$C:$C,0),'MM01'!H$2),"")=0,"",IFERROR(INDEX(Consulta!$A:$DP,MATCH('MM01'!$B33,Consulta!$C:$C,0),'MM01'!H$2),""))</f>
        <v/>
      </c>
      <c r="I33" s="49" t="str">
        <f t="shared" si="1"/>
        <v/>
      </c>
      <c r="J33" s="49" t="str">
        <f>IF(IFERROR(INDEX(Consulta!$A:$DP,MATCH('MM01'!$B33,Consulta!$C:$C,0),'MM01'!J$2),"")=0,"",IFERROR(INDEX(Consulta!$A:$DP,MATCH('MM01'!$B33,Consulta!$C:$C,0),'MM01'!J$2),""))</f>
        <v/>
      </c>
      <c r="K33" s="49" t="str">
        <f t="shared" si="2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IF(IFERROR(INDEX(Consulta!$A:$DP,MATCH('MM01'!$B33,Consulta!$C:$C,0),'MM01'!AP$2),"")=0,"",IFERROR(INDEX(Consulta!$A:$DP,MATCH('MM01'!$B33,Consulta!$C:$C,0),'MM01'!AP$2),""))</f>
        <v/>
      </c>
      <c r="AQ33" s="45"/>
      <c r="AR33" s="43" t="str">
        <f>IF(IFERROR(INDEX(Consulta!$A:$DP,MATCH('MM01'!$B33,Consulta!$C:$C,0),'MM01'!AR$2),"")=0,"",IFERROR(INDEX(Consulta!$A:$DP,MATCH('MM01'!$B33,Consulta!$C:$C,0),'MM01'!AR$2),""))</f>
        <v/>
      </c>
      <c r="AS33" s="43" t="str">
        <f>IF(IFERROR(INDEX(Consulta!$A:$DP,MATCH('MM01'!$B33,Consulta!$C:$C,0),'MM01'!AS$2),"")=0,"",IF(AR33="68",5102,IFERROR(INDEX(Consulta!$A:$DP,MATCH('MM01'!$B33,Consulta!$C:$C,0),'MM01'!AS$2),"")))</f>
        <v/>
      </c>
      <c r="AT33" s="45"/>
      <c r="AU33" s="46" t="str">
        <f t="shared" ca="1" si="3"/>
        <v/>
      </c>
      <c r="AV33" s="47" t="s">
        <v>795</v>
      </c>
      <c r="AW33" s="43" t="str">
        <f>IF(IFERROR(INDEX(Consulta!$A:$DP,MATCH('MM01'!$B33,Consulta!$C:$C,0),'MM01'!AW$2),"")=0,"",IFERROR(ROUND(INDEX(Consulta!$A:$DP,MATCH('MM01'!$B33,Consulta!$C:$C,0),'MM01'!AW$2),3),""))</f>
        <v/>
      </c>
      <c r="AX33" s="43" t="str">
        <f t="shared" si="4"/>
        <v/>
      </c>
      <c r="AY33" s="48" t="s">
        <v>299</v>
      </c>
      <c r="AZ33" s="48"/>
      <c r="BA33" s="43" t="str">
        <f>IF(IFERROR(INDEX(Consulta!$A:$DP,MATCH('MM01'!$B33,Consulta!$C:$C,0),'MM01'!BA$2),"")=0,"",IFERROR(INDEX(Consulta!$A:$DP,MATCH('MM01'!$B33,Consulta!$C:$C,0),'MM01'!BA$2),""))</f>
        <v/>
      </c>
      <c r="BB33" s="43" t="str">
        <f t="shared" si="5"/>
        <v/>
      </c>
      <c r="BC33" s="43" t="str">
        <f t="shared" si="6"/>
        <v/>
      </c>
      <c r="BD33" s="43" t="str">
        <f t="shared" si="7"/>
        <v/>
      </c>
      <c r="BE33" s="43" t="str">
        <f t="shared" si="8"/>
        <v>M</v>
      </c>
      <c r="BF33" s="43" t="str">
        <f t="shared" si="9"/>
        <v/>
      </c>
      <c r="BG33" s="43" t="str">
        <f t="shared" si="10"/>
        <v/>
      </c>
      <c r="BH33" s="43" t="str">
        <f t="shared" si="11"/>
        <v/>
      </c>
      <c r="BI33" s="43" t="str">
        <f t="shared" si="12"/>
        <v>M</v>
      </c>
      <c r="BK33" s="45" t="s">
        <v>324</v>
      </c>
      <c r="BL33" s="43" t="str">
        <f>IF(IFERROR(INDEX(Consulta!$A:$DP,MATCH('MM01'!$B33,Consulta!$C:$C,0),'MM01'!BL$2),"")=0,"",IFERROR(INDEX(Consulta!$A:$DP,MATCH('MM01'!$B33,Consulta!$C:$C,0),'MM01'!BL$2),""))</f>
        <v/>
      </c>
      <c r="BM33" s="45"/>
      <c r="BN33" s="46" t="str">
        <f t="shared" ca="1" si="13"/>
        <v/>
      </c>
      <c r="BO33" s="49" t="str">
        <f t="shared" si="14"/>
        <v/>
      </c>
      <c r="BP33" s="50">
        <v>1</v>
      </c>
      <c r="BQ33" s="50" t="s">
        <v>194</v>
      </c>
      <c r="BR33" s="79" t="str">
        <f t="shared" si="15"/>
        <v>01</v>
      </c>
      <c r="BS33" s="50" t="s">
        <v>795</v>
      </c>
      <c r="BT33" s="44">
        <v>1</v>
      </c>
      <c r="BU33" s="44" t="s">
        <v>371</v>
      </c>
      <c r="BV33" s="50" t="s">
        <v>197</v>
      </c>
      <c r="BW33" s="50" t="s">
        <v>197</v>
      </c>
      <c r="BX33" s="43" t="str">
        <f>IF(IFERROR(INDEX(Consulta!$A:$DP,MATCH('MM01'!$B33,Consulta!$C:$C,0),'MM01'!BX$2),"")=0,"",IFERROR(INDEX(Consulta!$A:$DP,MATCH('MM01'!$B33,Consulta!$C:$C,0),'MM01'!BX$2),""))</f>
        <v/>
      </c>
      <c r="BY33" s="44" t="s">
        <v>391</v>
      </c>
      <c r="BZ33" s="50">
        <v>0</v>
      </c>
      <c r="CA33" s="45" t="s">
        <v>402</v>
      </c>
      <c r="CB33" s="45" t="s">
        <v>84</v>
      </c>
      <c r="CC33" s="43" t="str">
        <f t="shared" si="16"/>
        <v/>
      </c>
      <c r="CD33" s="45" t="s">
        <v>38</v>
      </c>
      <c r="CE33" s="45">
        <v>1</v>
      </c>
      <c r="CF33" s="45" t="s">
        <v>495</v>
      </c>
      <c r="CG33" s="45"/>
      <c r="CH33" s="44">
        <v>2</v>
      </c>
      <c r="CI33" s="49" t="str">
        <f t="shared" si="17"/>
        <v/>
      </c>
      <c r="CJ33" s="49" t="str">
        <f t="shared" si="18"/>
        <v/>
      </c>
      <c r="CK33" s="45"/>
      <c r="CL33" s="44">
        <v>1</v>
      </c>
      <c r="CM33" s="50" t="s">
        <v>514</v>
      </c>
      <c r="CN33" s="44" t="s">
        <v>371</v>
      </c>
      <c r="CO33" s="44">
        <v>2</v>
      </c>
      <c r="CP33" s="44">
        <v>42</v>
      </c>
      <c r="CQ33" s="44">
        <v>10</v>
      </c>
      <c r="CR33" s="43" t="str">
        <f t="shared" si="19"/>
        <v>K00_P_</v>
      </c>
      <c r="CS33" s="45">
        <v>5000</v>
      </c>
      <c r="CT33" s="43" t="str">
        <f>IF(IFERROR(INDEX(Consulta!$A:$DP,MATCH('MM01'!$B33,Consulta!$C:$C,0),'MM01'!CT$2),"")=0,"",IFERROR(INDEX(Consulta!$A:$DP,MATCH('MM01'!$B33,Consulta!$C:$C,0),'MM01'!CT$2),""))</f>
        <v/>
      </c>
      <c r="CU33" s="43" t="str">
        <f>IF(IFERROR(INDEX(Consulta!$A:$DP,MATCH('MM01'!$B33,Consulta!$C:$C,0),'MM01'!CU$2),"")=0,"",IFERROR(INDEX(Consulta!$A:$DP,MATCH('MM01'!$B33,Consulta!$C:$C,0),'MM01'!CU$2),""))</f>
        <v/>
      </c>
      <c r="CV33" s="43" t="str">
        <f>IF(IFERROR(INDEX(Consulta!$A:$DP,MATCH('MM01'!$B33,Consulta!$C:$C,0),'MM01'!CV$2),"")=0,"",IFERROR(INDEX(Consulta!$A:$DP,MATCH('MM01'!$B33,Consulta!$C:$C,0),'MM01'!CV$2),""))</f>
        <v/>
      </c>
      <c r="CW33" s="43" t="str">
        <f>IF(IFERROR(INDEX(Consulta!$A:$DP,MATCH('MM01'!$B33,Consulta!$C:$C,0),'MM01'!CW$2),"")=0,"",IFERROR(INDEX(Consulta!$A:$DP,MATCH('MM01'!$B33,Consulta!$C:$C,0),'MM01'!CW$2),""))</f>
        <v/>
      </c>
      <c r="CX33" s="43" t="str">
        <f t="shared" si="20"/>
        <v/>
      </c>
      <c r="CY33" s="43" t="str">
        <f t="shared" si="21"/>
        <v/>
      </c>
      <c r="CZ33" s="43" t="str">
        <f t="shared" si="22"/>
        <v/>
      </c>
      <c r="DA33" s="43" t="str">
        <f>IF(IFERROR(INDEX(Consulta!$A:$DP,MATCH('MM01'!$B33,Consulta!$C:$C,0),'MM01'!DA$2),"")=0,"",IFERROR(INDEX(Consulta!$A:$DP,MATCH('MM01'!$B33,Consulta!$C:$C,0),'MM01'!DA$2),""))</f>
        <v/>
      </c>
      <c r="DB33" s="43" t="str">
        <f t="shared" si="23"/>
        <v/>
      </c>
      <c r="DC33" s="43" t="str">
        <f>IF(IFERROR(INDEX(Consulta!$A:$DP,MATCH('MM01'!$B33,Consulta!$C:$C,0),'MM01'!DC$2),"")=0,"",IFERROR(INDEX(Consulta!$A:$DP,MATCH('MM01'!$B33,Consulta!$C:$C,0),'MM01'!DC$2),""))</f>
        <v/>
      </c>
      <c r="DD33" s="45">
        <v>0</v>
      </c>
      <c r="DE33" s="45">
        <v>0</v>
      </c>
      <c r="DF33" s="43" t="str">
        <f t="shared" si="24"/>
        <v/>
      </c>
      <c r="DG33" s="43" t="str">
        <f t="shared" si="25"/>
        <v/>
      </c>
      <c r="DH33" s="57"/>
      <c r="DI33" s="43" t="str">
        <f t="shared" ca="1" si="26"/>
        <v/>
      </c>
      <c r="DJ33" s="43" t="str">
        <f t="shared" si="27"/>
        <v/>
      </c>
      <c r="DK33" s="43" t="str">
        <f t="shared" si="28"/>
        <v/>
      </c>
      <c r="DL33" s="57"/>
      <c r="DM33" s="43" t="str">
        <f t="shared" ca="1" si="29"/>
        <v/>
      </c>
      <c r="DN33" s="43" t="str">
        <f t="shared" si="30"/>
        <v/>
      </c>
      <c r="DO33" s="43" t="str">
        <f t="shared" si="31"/>
        <v/>
      </c>
      <c r="DP33" s="57"/>
      <c r="DQ33" s="43" t="str">
        <f t="shared" ca="1" si="32"/>
        <v/>
      </c>
      <c r="DR33" s="43" t="str">
        <f t="shared" si="33"/>
        <v/>
      </c>
      <c r="DS33" s="43" t="str">
        <f t="shared" si="34"/>
        <v/>
      </c>
      <c r="DT33" s="57"/>
      <c r="DU33" s="43" t="str">
        <f t="shared" ca="1" si="35"/>
        <v/>
      </c>
      <c r="DV33" s="43" t="str">
        <f t="shared" si="36"/>
        <v/>
      </c>
      <c r="DX33" s="44">
        <v>1</v>
      </c>
      <c r="DY33" s="44" t="s">
        <v>773</v>
      </c>
      <c r="DZ33" s="43">
        <f t="shared" si="37"/>
        <v>0.01</v>
      </c>
      <c r="EA33" s="43" t="str">
        <f t="shared" si="38"/>
        <v>M</v>
      </c>
      <c r="EB33" s="43" t="str">
        <f>IF(IFERROR(INDEX(Consulta!$A:$DP,MATCH('MM01'!$B33,Consulta!$C:$C,0),'MM01'!EB$2),"")=0,"7925",IF(IFERROR(INDEX(Consulta!$A:$DP,MATCH('MM01'!$B33,Consulta!$C:$C,0),'MM01'!EB$2),"")="68","7910","7925"))</f>
        <v>7925</v>
      </c>
      <c r="EC33" s="44">
        <v>100</v>
      </c>
      <c r="ED33" s="62">
        <v>1</v>
      </c>
      <c r="EE33" s="43">
        <f t="shared" si="39"/>
        <v>100</v>
      </c>
      <c r="EF33" s="44">
        <v>1</v>
      </c>
      <c r="EG33" s="44">
        <v>0</v>
      </c>
      <c r="EH33" s="44" t="s">
        <v>875</v>
      </c>
      <c r="EI33" s="45">
        <v>0</v>
      </c>
      <c r="EJ33" s="43">
        <f t="shared" si="40"/>
        <v>5000</v>
      </c>
      <c r="EK33" s="69"/>
    </row>
    <row r="34" spans="1:141" x14ac:dyDescent="0.2">
      <c r="A34" s="7" t="str">
        <f t="shared" si="0"/>
        <v>Execução 30</v>
      </c>
      <c r="B34" s="42"/>
      <c r="C34" s="43" t="str">
        <f>IF(IFERROR(INDEX(Consulta!$A:$DP,MATCH('MM01'!$B34,Consulta!$C:$C,0),'MM01'!C$2),"")=0,"",IFERROR(INDEX(Consulta!$A:$DP,MATCH('MM01'!$B34,Consulta!$C:$C,0),'MM01'!C$2),""))</f>
        <v/>
      </c>
      <c r="D34" s="43" t="str">
        <f>IF(IFERROR(INDEX(Consulta!$A:$DP,MATCH('MM01'!$B34,Consulta!$C:$C,0),'MM01'!D$2),"")=0,"",IFERROR(INDEX(Consulta!$A:$DP,MATCH('MM01'!$B34,Consulta!$C:$C,0),'MM01'!D$2),""))</f>
        <v/>
      </c>
      <c r="E34" s="43" t="str">
        <f>IF(IFERROR(INDEX(Consulta!$A:$DP,MATCH('MM01'!$B34,Consulta!$C:$C,0),'MM01'!E$2),"")=0,"",IFERROR(INDEX(Consulta!$A:$DP,MATCH('MM01'!$B34,Consulta!$C:$C,0),'MM01'!E$2),""))</f>
        <v/>
      </c>
      <c r="F34" s="44" t="s">
        <v>100</v>
      </c>
      <c r="G34" s="49" t="str">
        <f>IF(IFERROR(INDEX(Consulta!$A:$DP,MATCH('MM01'!$B34,Consulta!$C:$C,0),'MM01'!G$2),"")=0,"",IFERROR(INDEX(Consulta!$A:$DP,MATCH('MM01'!$B34,Consulta!$C:$C,0),'MM01'!G$2),""))</f>
        <v/>
      </c>
      <c r="H34" s="49" t="str">
        <f>IF(IFERROR(INDEX(Consulta!$A:$DP,MATCH('MM01'!$B34,Consulta!$C:$C,0),'MM01'!H$2),"")=0,"",IFERROR(INDEX(Consulta!$A:$DP,MATCH('MM01'!$B34,Consulta!$C:$C,0),'MM01'!H$2),""))</f>
        <v/>
      </c>
      <c r="I34" s="49" t="str">
        <f t="shared" si="1"/>
        <v/>
      </c>
      <c r="J34" s="49" t="str">
        <f>IF(IFERROR(INDEX(Consulta!$A:$DP,MATCH('MM01'!$B34,Consulta!$C:$C,0),'MM01'!J$2),"")=0,"",IFERROR(INDEX(Consulta!$A:$DP,MATCH('MM01'!$B34,Consulta!$C:$C,0),'MM01'!J$2),""))</f>
        <v/>
      </c>
      <c r="K34" s="49" t="str">
        <f t="shared" si="2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IF(IFERROR(INDEX(Consulta!$A:$DP,MATCH('MM01'!$B34,Consulta!$C:$C,0),'MM01'!AP$2),"")=0,"",IFERROR(INDEX(Consulta!$A:$DP,MATCH('MM01'!$B34,Consulta!$C:$C,0),'MM01'!AP$2),""))</f>
        <v/>
      </c>
      <c r="AQ34" s="45"/>
      <c r="AR34" s="43" t="str">
        <f>IF(IFERROR(INDEX(Consulta!$A:$DP,MATCH('MM01'!$B34,Consulta!$C:$C,0),'MM01'!AR$2),"")=0,"",IFERROR(INDEX(Consulta!$A:$DP,MATCH('MM01'!$B34,Consulta!$C:$C,0),'MM01'!AR$2),""))</f>
        <v/>
      </c>
      <c r="AS34" s="43" t="str">
        <f>IF(IFERROR(INDEX(Consulta!$A:$DP,MATCH('MM01'!$B34,Consulta!$C:$C,0),'MM01'!AS$2),"")=0,"",IF(AR34="68",5102,IFERROR(INDEX(Consulta!$A:$DP,MATCH('MM01'!$B34,Consulta!$C:$C,0),'MM01'!AS$2),"")))</f>
        <v/>
      </c>
      <c r="AT34" s="45"/>
      <c r="AU34" s="46" t="str">
        <f t="shared" ca="1" si="3"/>
        <v/>
      </c>
      <c r="AV34" s="47" t="s">
        <v>795</v>
      </c>
      <c r="AW34" s="43" t="str">
        <f>IF(IFERROR(INDEX(Consulta!$A:$DP,MATCH('MM01'!$B34,Consulta!$C:$C,0),'MM01'!AW$2),"")=0,"",IFERROR(ROUND(INDEX(Consulta!$A:$DP,MATCH('MM01'!$B34,Consulta!$C:$C,0),'MM01'!AW$2),3),""))</f>
        <v/>
      </c>
      <c r="AX34" s="43" t="str">
        <f t="shared" si="4"/>
        <v/>
      </c>
      <c r="AY34" s="48" t="s">
        <v>299</v>
      </c>
      <c r="AZ34" s="48"/>
      <c r="BA34" s="43" t="str">
        <f>IF(IFERROR(INDEX(Consulta!$A:$DP,MATCH('MM01'!$B34,Consulta!$C:$C,0),'MM01'!BA$2),"")=0,"",IFERROR(INDEX(Consulta!$A:$DP,MATCH('MM01'!$B34,Consulta!$C:$C,0),'MM01'!BA$2),""))</f>
        <v/>
      </c>
      <c r="BB34" s="43" t="str">
        <f t="shared" si="5"/>
        <v/>
      </c>
      <c r="BC34" s="43" t="str">
        <f t="shared" si="6"/>
        <v/>
      </c>
      <c r="BD34" s="43" t="str">
        <f t="shared" si="7"/>
        <v/>
      </c>
      <c r="BE34" s="43" t="str">
        <f t="shared" si="8"/>
        <v>M</v>
      </c>
      <c r="BF34" s="43" t="str">
        <f t="shared" si="9"/>
        <v/>
      </c>
      <c r="BG34" s="43" t="str">
        <f t="shared" si="10"/>
        <v/>
      </c>
      <c r="BH34" s="43" t="str">
        <f t="shared" si="11"/>
        <v/>
      </c>
      <c r="BI34" s="43" t="str">
        <f t="shared" si="12"/>
        <v>M</v>
      </c>
      <c r="BK34" s="45" t="s">
        <v>324</v>
      </c>
      <c r="BL34" s="43" t="str">
        <f>IF(IFERROR(INDEX(Consulta!$A:$DP,MATCH('MM01'!$B34,Consulta!$C:$C,0),'MM01'!BL$2),"")=0,"",IFERROR(INDEX(Consulta!$A:$DP,MATCH('MM01'!$B34,Consulta!$C:$C,0),'MM01'!BL$2),""))</f>
        <v/>
      </c>
      <c r="BM34" s="45"/>
      <c r="BN34" s="46" t="str">
        <f t="shared" ca="1" si="13"/>
        <v/>
      </c>
      <c r="BO34" s="49" t="str">
        <f t="shared" si="14"/>
        <v/>
      </c>
      <c r="BP34" s="50">
        <v>1</v>
      </c>
      <c r="BQ34" s="50" t="s">
        <v>194</v>
      </c>
      <c r="BR34" s="79" t="str">
        <f t="shared" si="15"/>
        <v>01</v>
      </c>
      <c r="BS34" s="50" t="s">
        <v>795</v>
      </c>
      <c r="BT34" s="44">
        <v>1</v>
      </c>
      <c r="BU34" s="44" t="s">
        <v>371</v>
      </c>
      <c r="BV34" s="50" t="s">
        <v>197</v>
      </c>
      <c r="BW34" s="50" t="s">
        <v>197</v>
      </c>
      <c r="BX34" s="43" t="str">
        <f>IF(IFERROR(INDEX(Consulta!$A:$DP,MATCH('MM01'!$B34,Consulta!$C:$C,0),'MM01'!BX$2),"")=0,"",IFERROR(INDEX(Consulta!$A:$DP,MATCH('MM01'!$B34,Consulta!$C:$C,0),'MM01'!BX$2),""))</f>
        <v/>
      </c>
      <c r="BY34" s="44" t="s">
        <v>391</v>
      </c>
      <c r="BZ34" s="50">
        <v>0</v>
      </c>
      <c r="CA34" s="45" t="s">
        <v>402</v>
      </c>
      <c r="CB34" s="45" t="s">
        <v>84</v>
      </c>
      <c r="CC34" s="43" t="str">
        <f t="shared" si="16"/>
        <v/>
      </c>
      <c r="CD34" s="45" t="s">
        <v>38</v>
      </c>
      <c r="CE34" s="45">
        <v>1</v>
      </c>
      <c r="CF34" s="45" t="s">
        <v>495</v>
      </c>
      <c r="CG34" s="45"/>
      <c r="CH34" s="44">
        <v>2</v>
      </c>
      <c r="CI34" s="49" t="str">
        <f t="shared" si="17"/>
        <v/>
      </c>
      <c r="CJ34" s="49" t="str">
        <f t="shared" si="18"/>
        <v/>
      </c>
      <c r="CK34" s="45"/>
      <c r="CL34" s="44">
        <v>1</v>
      </c>
      <c r="CM34" s="50" t="s">
        <v>514</v>
      </c>
      <c r="CN34" s="44" t="s">
        <v>371</v>
      </c>
      <c r="CO34" s="44">
        <v>2</v>
      </c>
      <c r="CP34" s="44">
        <v>42</v>
      </c>
      <c r="CQ34" s="44">
        <v>10</v>
      </c>
      <c r="CR34" s="43" t="str">
        <f t="shared" si="19"/>
        <v>K00_P_</v>
      </c>
      <c r="CS34" s="45">
        <v>5000</v>
      </c>
      <c r="CT34" s="43" t="str">
        <f>IF(IFERROR(INDEX(Consulta!$A:$DP,MATCH('MM01'!$B34,Consulta!$C:$C,0),'MM01'!CT$2),"")=0,"",IFERROR(INDEX(Consulta!$A:$DP,MATCH('MM01'!$B34,Consulta!$C:$C,0),'MM01'!CT$2),""))</f>
        <v/>
      </c>
      <c r="CU34" s="43" t="str">
        <f>IF(IFERROR(INDEX(Consulta!$A:$DP,MATCH('MM01'!$B34,Consulta!$C:$C,0),'MM01'!CU$2),"")=0,"",IFERROR(INDEX(Consulta!$A:$DP,MATCH('MM01'!$B34,Consulta!$C:$C,0),'MM01'!CU$2),""))</f>
        <v/>
      </c>
      <c r="CV34" s="43" t="str">
        <f>IF(IFERROR(INDEX(Consulta!$A:$DP,MATCH('MM01'!$B34,Consulta!$C:$C,0),'MM01'!CV$2),"")=0,"",IFERROR(INDEX(Consulta!$A:$DP,MATCH('MM01'!$B34,Consulta!$C:$C,0),'MM01'!CV$2),""))</f>
        <v/>
      </c>
      <c r="CW34" s="43" t="str">
        <f>IF(IFERROR(INDEX(Consulta!$A:$DP,MATCH('MM01'!$B34,Consulta!$C:$C,0),'MM01'!CW$2),"")=0,"",IFERROR(INDEX(Consulta!$A:$DP,MATCH('MM01'!$B34,Consulta!$C:$C,0),'MM01'!CW$2),""))</f>
        <v/>
      </c>
      <c r="CX34" s="43" t="str">
        <f t="shared" si="20"/>
        <v/>
      </c>
      <c r="CY34" s="43" t="str">
        <f t="shared" si="21"/>
        <v/>
      </c>
      <c r="CZ34" s="43" t="str">
        <f t="shared" si="22"/>
        <v/>
      </c>
      <c r="DA34" s="43" t="str">
        <f>IF(IFERROR(INDEX(Consulta!$A:$DP,MATCH('MM01'!$B34,Consulta!$C:$C,0),'MM01'!DA$2),"")=0,"",IFERROR(INDEX(Consulta!$A:$DP,MATCH('MM01'!$B34,Consulta!$C:$C,0),'MM01'!DA$2),""))</f>
        <v/>
      </c>
      <c r="DB34" s="43" t="str">
        <f t="shared" si="23"/>
        <v/>
      </c>
      <c r="DC34" s="43" t="str">
        <f>IF(IFERROR(INDEX(Consulta!$A:$DP,MATCH('MM01'!$B34,Consulta!$C:$C,0),'MM01'!DC$2),"")=0,"",IFERROR(INDEX(Consulta!$A:$DP,MATCH('MM01'!$B34,Consulta!$C:$C,0),'MM01'!DC$2),""))</f>
        <v/>
      </c>
      <c r="DD34" s="45">
        <v>0</v>
      </c>
      <c r="DE34" s="45">
        <v>0</v>
      </c>
      <c r="DF34" s="43" t="str">
        <f t="shared" si="24"/>
        <v/>
      </c>
      <c r="DG34" s="43" t="str">
        <f t="shared" si="25"/>
        <v/>
      </c>
      <c r="DH34" s="57"/>
      <c r="DI34" s="43" t="str">
        <f t="shared" ca="1" si="26"/>
        <v/>
      </c>
      <c r="DJ34" s="43" t="str">
        <f t="shared" si="27"/>
        <v/>
      </c>
      <c r="DK34" s="43" t="str">
        <f t="shared" si="28"/>
        <v/>
      </c>
      <c r="DL34" s="57"/>
      <c r="DM34" s="43" t="str">
        <f t="shared" ca="1" si="29"/>
        <v/>
      </c>
      <c r="DN34" s="43" t="str">
        <f t="shared" si="30"/>
        <v/>
      </c>
      <c r="DO34" s="43" t="str">
        <f t="shared" si="31"/>
        <v/>
      </c>
      <c r="DP34" s="57"/>
      <c r="DQ34" s="43" t="str">
        <f t="shared" ca="1" si="32"/>
        <v/>
      </c>
      <c r="DR34" s="43" t="str">
        <f t="shared" si="33"/>
        <v/>
      </c>
      <c r="DS34" s="43" t="str">
        <f t="shared" si="34"/>
        <v/>
      </c>
      <c r="DT34" s="57"/>
      <c r="DU34" s="43" t="str">
        <f t="shared" ca="1" si="35"/>
        <v/>
      </c>
      <c r="DV34" s="43" t="str">
        <f t="shared" si="36"/>
        <v/>
      </c>
      <c r="DX34" s="44">
        <v>1</v>
      </c>
      <c r="DY34" s="44" t="s">
        <v>773</v>
      </c>
      <c r="DZ34" s="43">
        <f t="shared" si="37"/>
        <v>0.01</v>
      </c>
      <c r="EA34" s="43" t="str">
        <f t="shared" si="38"/>
        <v>M</v>
      </c>
      <c r="EB34" s="43" t="str">
        <f>IF(IFERROR(INDEX(Consulta!$A:$DP,MATCH('MM01'!$B34,Consulta!$C:$C,0),'MM01'!EB$2),"")=0,"7925",IF(IFERROR(INDEX(Consulta!$A:$DP,MATCH('MM01'!$B34,Consulta!$C:$C,0),'MM01'!EB$2),"")="68","7910","7925"))</f>
        <v>7925</v>
      </c>
      <c r="EC34" s="44">
        <v>100</v>
      </c>
      <c r="ED34" s="62">
        <v>1</v>
      </c>
      <c r="EE34" s="43">
        <f t="shared" si="39"/>
        <v>100</v>
      </c>
      <c r="EF34" s="44">
        <v>1</v>
      </c>
      <c r="EG34" s="44">
        <v>0</v>
      </c>
      <c r="EH34" s="44" t="s">
        <v>875</v>
      </c>
      <c r="EI34" s="45">
        <v>0</v>
      </c>
      <c r="EJ34" s="43">
        <f t="shared" si="40"/>
        <v>5000</v>
      </c>
      <c r="EK34" s="69"/>
    </row>
    <row r="35" spans="1:141" x14ac:dyDescent="0.2">
      <c r="A35" s="7" t="str">
        <f t="shared" si="0"/>
        <v>Execução 31</v>
      </c>
      <c r="B35" s="42"/>
      <c r="C35" s="43" t="str">
        <f>IF(IFERROR(INDEX(Consulta!$A:$DP,MATCH('MM01'!$B35,Consulta!$C:$C,0),'MM01'!C$2),"")=0,"",IFERROR(INDEX(Consulta!$A:$DP,MATCH('MM01'!$B35,Consulta!$C:$C,0),'MM01'!C$2),""))</f>
        <v/>
      </c>
      <c r="D35" s="43" t="str">
        <f>IF(IFERROR(INDEX(Consulta!$A:$DP,MATCH('MM01'!$B35,Consulta!$C:$C,0),'MM01'!D$2),"")=0,"",IFERROR(INDEX(Consulta!$A:$DP,MATCH('MM01'!$B35,Consulta!$C:$C,0),'MM01'!D$2),""))</f>
        <v/>
      </c>
      <c r="E35" s="43" t="str">
        <f>IF(IFERROR(INDEX(Consulta!$A:$DP,MATCH('MM01'!$B35,Consulta!$C:$C,0),'MM01'!E$2),"")=0,"",IFERROR(INDEX(Consulta!$A:$DP,MATCH('MM01'!$B35,Consulta!$C:$C,0),'MM01'!E$2),""))</f>
        <v/>
      </c>
      <c r="F35" s="44" t="s">
        <v>100</v>
      </c>
      <c r="G35" s="49" t="str">
        <f>IF(IFERROR(INDEX(Consulta!$A:$DP,MATCH('MM01'!$B35,Consulta!$C:$C,0),'MM01'!G$2),"")=0,"",IFERROR(INDEX(Consulta!$A:$DP,MATCH('MM01'!$B35,Consulta!$C:$C,0),'MM01'!G$2),""))</f>
        <v/>
      </c>
      <c r="H35" s="49" t="str">
        <f>IF(IFERROR(INDEX(Consulta!$A:$DP,MATCH('MM01'!$B35,Consulta!$C:$C,0),'MM01'!H$2),"")=0,"",IFERROR(INDEX(Consulta!$A:$DP,MATCH('MM01'!$B35,Consulta!$C:$C,0),'MM01'!H$2),""))</f>
        <v/>
      </c>
      <c r="I35" s="49" t="str">
        <f t="shared" si="1"/>
        <v/>
      </c>
      <c r="J35" s="49" t="str">
        <f>IF(IFERROR(INDEX(Consulta!$A:$DP,MATCH('MM01'!$B35,Consulta!$C:$C,0),'MM01'!J$2),"")=0,"",IFERROR(INDEX(Consulta!$A:$DP,MATCH('MM01'!$B35,Consulta!$C:$C,0),'MM01'!J$2),""))</f>
        <v/>
      </c>
      <c r="K35" s="49" t="str">
        <f t="shared" si="2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IF(IFERROR(INDEX(Consulta!$A:$DP,MATCH('MM01'!$B35,Consulta!$C:$C,0),'MM01'!AP$2),"")=0,"",IFERROR(INDEX(Consulta!$A:$DP,MATCH('MM01'!$B35,Consulta!$C:$C,0),'MM01'!AP$2),""))</f>
        <v/>
      </c>
      <c r="AQ35" s="45"/>
      <c r="AR35" s="43" t="str">
        <f>IF(IFERROR(INDEX(Consulta!$A:$DP,MATCH('MM01'!$B35,Consulta!$C:$C,0),'MM01'!AR$2),"")=0,"",IFERROR(INDEX(Consulta!$A:$DP,MATCH('MM01'!$B35,Consulta!$C:$C,0),'MM01'!AR$2),""))</f>
        <v/>
      </c>
      <c r="AS35" s="43" t="str">
        <f>IF(IFERROR(INDEX(Consulta!$A:$DP,MATCH('MM01'!$B35,Consulta!$C:$C,0),'MM01'!AS$2),"")=0,"",IF(AR35="68",5102,IFERROR(INDEX(Consulta!$A:$DP,MATCH('MM01'!$B35,Consulta!$C:$C,0),'MM01'!AS$2),"")))</f>
        <v/>
      </c>
      <c r="AT35" s="45"/>
      <c r="AU35" s="46" t="str">
        <f t="shared" ca="1" si="3"/>
        <v/>
      </c>
      <c r="AV35" s="47" t="s">
        <v>795</v>
      </c>
      <c r="AW35" s="43" t="str">
        <f>IF(IFERROR(INDEX(Consulta!$A:$DP,MATCH('MM01'!$B35,Consulta!$C:$C,0),'MM01'!AW$2),"")=0,"",IFERROR(ROUND(INDEX(Consulta!$A:$DP,MATCH('MM01'!$B35,Consulta!$C:$C,0),'MM01'!AW$2),3),""))</f>
        <v/>
      </c>
      <c r="AX35" s="43" t="str">
        <f t="shared" si="4"/>
        <v/>
      </c>
      <c r="AY35" s="48" t="s">
        <v>299</v>
      </c>
      <c r="AZ35" s="48"/>
      <c r="BA35" s="43" t="str">
        <f>IF(IFERROR(INDEX(Consulta!$A:$DP,MATCH('MM01'!$B35,Consulta!$C:$C,0),'MM01'!BA$2),"")=0,"",IFERROR(INDEX(Consulta!$A:$DP,MATCH('MM01'!$B35,Consulta!$C:$C,0),'MM01'!BA$2),""))</f>
        <v/>
      </c>
      <c r="BB35" s="43" t="str">
        <f t="shared" si="5"/>
        <v/>
      </c>
      <c r="BC35" s="43" t="str">
        <f t="shared" si="6"/>
        <v/>
      </c>
      <c r="BD35" s="43" t="str">
        <f t="shared" si="7"/>
        <v/>
      </c>
      <c r="BE35" s="43" t="str">
        <f t="shared" si="8"/>
        <v>M</v>
      </c>
      <c r="BF35" s="43" t="str">
        <f t="shared" si="9"/>
        <v/>
      </c>
      <c r="BG35" s="43" t="str">
        <f t="shared" si="10"/>
        <v/>
      </c>
      <c r="BH35" s="43" t="str">
        <f t="shared" si="11"/>
        <v/>
      </c>
      <c r="BI35" s="43" t="str">
        <f t="shared" si="12"/>
        <v>M</v>
      </c>
      <c r="BK35" s="45" t="s">
        <v>324</v>
      </c>
      <c r="BL35" s="43" t="str">
        <f>IF(IFERROR(INDEX(Consulta!$A:$DP,MATCH('MM01'!$B35,Consulta!$C:$C,0),'MM01'!BL$2),"")=0,"",IFERROR(INDEX(Consulta!$A:$DP,MATCH('MM01'!$B35,Consulta!$C:$C,0),'MM01'!BL$2),""))</f>
        <v/>
      </c>
      <c r="BM35" s="45"/>
      <c r="BN35" s="46" t="str">
        <f t="shared" ca="1" si="13"/>
        <v/>
      </c>
      <c r="BO35" s="49" t="str">
        <f t="shared" si="14"/>
        <v/>
      </c>
      <c r="BP35" s="50">
        <v>1</v>
      </c>
      <c r="BQ35" s="50" t="s">
        <v>194</v>
      </c>
      <c r="BR35" s="79" t="str">
        <f t="shared" si="15"/>
        <v>01</v>
      </c>
      <c r="BS35" s="50" t="s">
        <v>795</v>
      </c>
      <c r="BT35" s="44">
        <v>1</v>
      </c>
      <c r="BU35" s="44" t="s">
        <v>371</v>
      </c>
      <c r="BV35" s="50" t="s">
        <v>197</v>
      </c>
      <c r="BW35" s="50" t="s">
        <v>197</v>
      </c>
      <c r="BX35" s="43" t="str">
        <f>IF(IFERROR(INDEX(Consulta!$A:$DP,MATCH('MM01'!$B35,Consulta!$C:$C,0),'MM01'!BX$2),"")=0,"",IFERROR(INDEX(Consulta!$A:$DP,MATCH('MM01'!$B35,Consulta!$C:$C,0),'MM01'!BX$2),""))</f>
        <v/>
      </c>
      <c r="BY35" s="44" t="s">
        <v>391</v>
      </c>
      <c r="BZ35" s="50">
        <v>0</v>
      </c>
      <c r="CA35" s="45" t="s">
        <v>402</v>
      </c>
      <c r="CB35" s="45" t="s">
        <v>84</v>
      </c>
      <c r="CC35" s="43" t="str">
        <f t="shared" si="16"/>
        <v/>
      </c>
      <c r="CD35" s="45" t="s">
        <v>38</v>
      </c>
      <c r="CE35" s="45">
        <v>1</v>
      </c>
      <c r="CF35" s="45" t="s">
        <v>495</v>
      </c>
      <c r="CG35" s="45"/>
      <c r="CH35" s="44">
        <v>2</v>
      </c>
      <c r="CI35" s="49" t="str">
        <f t="shared" si="17"/>
        <v/>
      </c>
      <c r="CJ35" s="49" t="str">
        <f t="shared" si="18"/>
        <v/>
      </c>
      <c r="CK35" s="45"/>
      <c r="CL35" s="44">
        <v>1</v>
      </c>
      <c r="CM35" s="50" t="s">
        <v>514</v>
      </c>
      <c r="CN35" s="44" t="s">
        <v>371</v>
      </c>
      <c r="CO35" s="44">
        <v>2</v>
      </c>
      <c r="CP35" s="44">
        <v>42</v>
      </c>
      <c r="CQ35" s="44">
        <v>10</v>
      </c>
      <c r="CR35" s="43" t="str">
        <f t="shared" si="19"/>
        <v>K00_P_</v>
      </c>
      <c r="CS35" s="45">
        <v>5000</v>
      </c>
      <c r="CT35" s="43" t="str">
        <f>IF(IFERROR(INDEX(Consulta!$A:$DP,MATCH('MM01'!$B35,Consulta!$C:$C,0),'MM01'!CT$2),"")=0,"",IFERROR(INDEX(Consulta!$A:$DP,MATCH('MM01'!$B35,Consulta!$C:$C,0),'MM01'!CT$2),""))</f>
        <v/>
      </c>
      <c r="CU35" s="43" t="str">
        <f>IF(IFERROR(INDEX(Consulta!$A:$DP,MATCH('MM01'!$B35,Consulta!$C:$C,0),'MM01'!CU$2),"")=0,"",IFERROR(INDEX(Consulta!$A:$DP,MATCH('MM01'!$B35,Consulta!$C:$C,0),'MM01'!CU$2),""))</f>
        <v/>
      </c>
      <c r="CV35" s="43" t="str">
        <f>IF(IFERROR(INDEX(Consulta!$A:$DP,MATCH('MM01'!$B35,Consulta!$C:$C,0),'MM01'!CV$2),"")=0,"",IFERROR(INDEX(Consulta!$A:$DP,MATCH('MM01'!$B35,Consulta!$C:$C,0),'MM01'!CV$2),""))</f>
        <v/>
      </c>
      <c r="CW35" s="43" t="str">
        <f>IF(IFERROR(INDEX(Consulta!$A:$DP,MATCH('MM01'!$B35,Consulta!$C:$C,0),'MM01'!CW$2),"")=0,"",IFERROR(INDEX(Consulta!$A:$DP,MATCH('MM01'!$B35,Consulta!$C:$C,0),'MM01'!CW$2),""))</f>
        <v/>
      </c>
      <c r="CX35" s="43" t="str">
        <f t="shared" si="20"/>
        <v/>
      </c>
      <c r="CY35" s="43" t="str">
        <f t="shared" si="21"/>
        <v/>
      </c>
      <c r="CZ35" s="43" t="str">
        <f t="shared" si="22"/>
        <v/>
      </c>
      <c r="DA35" s="43" t="str">
        <f>IF(IFERROR(INDEX(Consulta!$A:$DP,MATCH('MM01'!$B35,Consulta!$C:$C,0),'MM01'!DA$2),"")=0,"",IFERROR(INDEX(Consulta!$A:$DP,MATCH('MM01'!$B35,Consulta!$C:$C,0),'MM01'!DA$2),""))</f>
        <v/>
      </c>
      <c r="DB35" s="43" t="str">
        <f t="shared" si="23"/>
        <v/>
      </c>
      <c r="DC35" s="43" t="str">
        <f>IF(IFERROR(INDEX(Consulta!$A:$DP,MATCH('MM01'!$B35,Consulta!$C:$C,0),'MM01'!DC$2),"")=0,"",IFERROR(INDEX(Consulta!$A:$DP,MATCH('MM01'!$B35,Consulta!$C:$C,0),'MM01'!DC$2),""))</f>
        <v/>
      </c>
      <c r="DD35" s="45">
        <v>0</v>
      </c>
      <c r="DE35" s="45">
        <v>0</v>
      </c>
      <c r="DF35" s="43" t="str">
        <f t="shared" si="24"/>
        <v/>
      </c>
      <c r="DG35" s="43" t="str">
        <f t="shared" si="25"/>
        <v/>
      </c>
      <c r="DH35" s="57"/>
      <c r="DI35" s="43" t="str">
        <f t="shared" ca="1" si="26"/>
        <v/>
      </c>
      <c r="DJ35" s="43" t="str">
        <f t="shared" si="27"/>
        <v/>
      </c>
      <c r="DK35" s="43" t="str">
        <f t="shared" si="28"/>
        <v/>
      </c>
      <c r="DL35" s="57"/>
      <c r="DM35" s="43" t="str">
        <f t="shared" ca="1" si="29"/>
        <v/>
      </c>
      <c r="DN35" s="43" t="str">
        <f t="shared" si="30"/>
        <v/>
      </c>
      <c r="DO35" s="43" t="str">
        <f t="shared" si="31"/>
        <v/>
      </c>
      <c r="DP35" s="57"/>
      <c r="DQ35" s="43" t="str">
        <f t="shared" ca="1" si="32"/>
        <v/>
      </c>
      <c r="DR35" s="43" t="str">
        <f t="shared" si="33"/>
        <v/>
      </c>
      <c r="DS35" s="43" t="str">
        <f t="shared" si="34"/>
        <v/>
      </c>
      <c r="DT35" s="57"/>
      <c r="DU35" s="43" t="str">
        <f t="shared" ca="1" si="35"/>
        <v/>
      </c>
      <c r="DV35" s="43" t="str">
        <f t="shared" si="36"/>
        <v/>
      </c>
      <c r="DX35" s="44">
        <v>1</v>
      </c>
      <c r="DY35" s="44" t="s">
        <v>773</v>
      </c>
      <c r="DZ35" s="43">
        <f t="shared" si="37"/>
        <v>0.01</v>
      </c>
      <c r="EA35" s="43" t="str">
        <f t="shared" si="38"/>
        <v>M</v>
      </c>
      <c r="EB35" s="43" t="str">
        <f>IF(IFERROR(INDEX(Consulta!$A:$DP,MATCH('MM01'!$B35,Consulta!$C:$C,0),'MM01'!EB$2),"")=0,"7925",IF(IFERROR(INDEX(Consulta!$A:$DP,MATCH('MM01'!$B35,Consulta!$C:$C,0),'MM01'!EB$2),"")="68","7910","7925"))</f>
        <v>7925</v>
      </c>
      <c r="EC35" s="44">
        <v>100</v>
      </c>
      <c r="ED35" s="62">
        <v>1</v>
      </c>
      <c r="EE35" s="43">
        <f t="shared" si="39"/>
        <v>100</v>
      </c>
      <c r="EF35" s="44">
        <v>1</v>
      </c>
      <c r="EG35" s="44">
        <v>0</v>
      </c>
      <c r="EH35" s="44" t="s">
        <v>875</v>
      </c>
      <c r="EI35" s="45">
        <v>0</v>
      </c>
      <c r="EJ35" s="43">
        <f t="shared" si="40"/>
        <v>5000</v>
      </c>
      <c r="EK35" s="69"/>
    </row>
    <row r="36" spans="1:141" x14ac:dyDescent="0.2">
      <c r="A36" s="7" t="str">
        <f t="shared" si="0"/>
        <v>Execução 32</v>
      </c>
      <c r="B36" s="42"/>
      <c r="C36" s="43" t="str">
        <f>IF(IFERROR(INDEX(Consulta!$A:$DP,MATCH('MM01'!$B36,Consulta!$C:$C,0),'MM01'!C$2),"")=0,"",IFERROR(INDEX(Consulta!$A:$DP,MATCH('MM01'!$B36,Consulta!$C:$C,0),'MM01'!C$2),""))</f>
        <v/>
      </c>
      <c r="D36" s="43" t="str">
        <f>IF(IFERROR(INDEX(Consulta!$A:$DP,MATCH('MM01'!$B36,Consulta!$C:$C,0),'MM01'!D$2),"")=0,"",IFERROR(INDEX(Consulta!$A:$DP,MATCH('MM01'!$B36,Consulta!$C:$C,0),'MM01'!D$2),""))</f>
        <v/>
      </c>
      <c r="E36" s="43" t="str">
        <f>IF(IFERROR(INDEX(Consulta!$A:$DP,MATCH('MM01'!$B36,Consulta!$C:$C,0),'MM01'!E$2),"")=0,"",IFERROR(INDEX(Consulta!$A:$DP,MATCH('MM01'!$B36,Consulta!$C:$C,0),'MM01'!E$2),""))</f>
        <v/>
      </c>
      <c r="F36" s="44" t="s">
        <v>100</v>
      </c>
      <c r="G36" s="49" t="str">
        <f>IF(IFERROR(INDEX(Consulta!$A:$DP,MATCH('MM01'!$B36,Consulta!$C:$C,0),'MM01'!G$2),"")=0,"",IFERROR(INDEX(Consulta!$A:$DP,MATCH('MM01'!$B36,Consulta!$C:$C,0),'MM01'!G$2),""))</f>
        <v/>
      </c>
      <c r="H36" s="49" t="str">
        <f>IF(IFERROR(INDEX(Consulta!$A:$DP,MATCH('MM01'!$B36,Consulta!$C:$C,0),'MM01'!H$2),"")=0,"",IFERROR(INDEX(Consulta!$A:$DP,MATCH('MM01'!$B36,Consulta!$C:$C,0),'MM01'!H$2),""))</f>
        <v/>
      </c>
      <c r="I36" s="49" t="str">
        <f t="shared" si="1"/>
        <v/>
      </c>
      <c r="J36" s="49" t="str">
        <f>IF(IFERROR(INDEX(Consulta!$A:$DP,MATCH('MM01'!$B36,Consulta!$C:$C,0),'MM01'!J$2),"")=0,"",IFERROR(INDEX(Consulta!$A:$DP,MATCH('MM01'!$B36,Consulta!$C:$C,0),'MM01'!J$2),""))</f>
        <v/>
      </c>
      <c r="K36" s="49" t="str">
        <f t="shared" si="2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IF(IFERROR(INDEX(Consulta!$A:$DP,MATCH('MM01'!$B36,Consulta!$C:$C,0),'MM01'!AP$2),"")=0,"",IFERROR(INDEX(Consulta!$A:$DP,MATCH('MM01'!$B36,Consulta!$C:$C,0),'MM01'!AP$2),""))</f>
        <v/>
      </c>
      <c r="AQ36" s="45"/>
      <c r="AR36" s="43" t="str">
        <f>IF(IFERROR(INDEX(Consulta!$A:$DP,MATCH('MM01'!$B36,Consulta!$C:$C,0),'MM01'!AR$2),"")=0,"",IFERROR(INDEX(Consulta!$A:$DP,MATCH('MM01'!$B36,Consulta!$C:$C,0),'MM01'!AR$2),""))</f>
        <v/>
      </c>
      <c r="AS36" s="43" t="str">
        <f>IF(IFERROR(INDEX(Consulta!$A:$DP,MATCH('MM01'!$B36,Consulta!$C:$C,0),'MM01'!AS$2),"")=0,"",IF(AR36="68",5102,IFERROR(INDEX(Consulta!$A:$DP,MATCH('MM01'!$B36,Consulta!$C:$C,0),'MM01'!AS$2),"")))</f>
        <v/>
      </c>
      <c r="AT36" s="45"/>
      <c r="AU36" s="46" t="str">
        <f t="shared" ca="1" si="3"/>
        <v/>
      </c>
      <c r="AV36" s="47" t="s">
        <v>795</v>
      </c>
      <c r="AW36" s="43" t="str">
        <f>IF(IFERROR(INDEX(Consulta!$A:$DP,MATCH('MM01'!$B36,Consulta!$C:$C,0),'MM01'!AW$2),"")=0,"",IFERROR(ROUND(INDEX(Consulta!$A:$DP,MATCH('MM01'!$B36,Consulta!$C:$C,0),'MM01'!AW$2),3),""))</f>
        <v/>
      </c>
      <c r="AX36" s="43" t="str">
        <f t="shared" si="4"/>
        <v/>
      </c>
      <c r="AY36" s="48" t="s">
        <v>299</v>
      </c>
      <c r="AZ36" s="48"/>
      <c r="BA36" s="43" t="str">
        <f>IF(IFERROR(INDEX(Consulta!$A:$DP,MATCH('MM01'!$B36,Consulta!$C:$C,0),'MM01'!BA$2),"")=0,"",IFERROR(INDEX(Consulta!$A:$DP,MATCH('MM01'!$B36,Consulta!$C:$C,0),'MM01'!BA$2),""))</f>
        <v/>
      </c>
      <c r="BB36" s="43" t="str">
        <f t="shared" si="5"/>
        <v/>
      </c>
      <c r="BC36" s="43" t="str">
        <f t="shared" si="6"/>
        <v/>
      </c>
      <c r="BD36" s="43" t="str">
        <f t="shared" si="7"/>
        <v/>
      </c>
      <c r="BE36" s="43" t="str">
        <f t="shared" si="8"/>
        <v>M</v>
      </c>
      <c r="BF36" s="43" t="str">
        <f t="shared" si="9"/>
        <v/>
      </c>
      <c r="BG36" s="43" t="str">
        <f t="shared" si="10"/>
        <v/>
      </c>
      <c r="BH36" s="43" t="str">
        <f t="shared" si="11"/>
        <v/>
      </c>
      <c r="BI36" s="43" t="str">
        <f t="shared" si="12"/>
        <v>M</v>
      </c>
      <c r="BK36" s="45" t="s">
        <v>324</v>
      </c>
      <c r="BL36" s="43" t="str">
        <f>IF(IFERROR(INDEX(Consulta!$A:$DP,MATCH('MM01'!$B36,Consulta!$C:$C,0),'MM01'!BL$2),"")=0,"",IFERROR(INDEX(Consulta!$A:$DP,MATCH('MM01'!$B36,Consulta!$C:$C,0),'MM01'!BL$2),""))</f>
        <v/>
      </c>
      <c r="BM36" s="45"/>
      <c r="BN36" s="46" t="str">
        <f t="shared" ca="1" si="13"/>
        <v/>
      </c>
      <c r="BO36" s="49" t="str">
        <f t="shared" si="14"/>
        <v/>
      </c>
      <c r="BP36" s="50">
        <v>1</v>
      </c>
      <c r="BQ36" s="50" t="s">
        <v>194</v>
      </c>
      <c r="BR36" s="79" t="str">
        <f t="shared" si="15"/>
        <v>01</v>
      </c>
      <c r="BS36" s="50" t="s">
        <v>795</v>
      </c>
      <c r="BT36" s="44">
        <v>1</v>
      </c>
      <c r="BU36" s="44" t="s">
        <v>371</v>
      </c>
      <c r="BV36" s="50" t="s">
        <v>197</v>
      </c>
      <c r="BW36" s="50" t="s">
        <v>197</v>
      </c>
      <c r="BX36" s="43" t="str">
        <f>IF(IFERROR(INDEX(Consulta!$A:$DP,MATCH('MM01'!$B36,Consulta!$C:$C,0),'MM01'!BX$2),"")=0,"",IFERROR(INDEX(Consulta!$A:$DP,MATCH('MM01'!$B36,Consulta!$C:$C,0),'MM01'!BX$2),""))</f>
        <v/>
      </c>
      <c r="BY36" s="44" t="s">
        <v>391</v>
      </c>
      <c r="BZ36" s="50">
        <v>0</v>
      </c>
      <c r="CA36" s="45" t="s">
        <v>402</v>
      </c>
      <c r="CB36" s="45" t="s">
        <v>84</v>
      </c>
      <c r="CC36" s="43" t="str">
        <f t="shared" si="16"/>
        <v/>
      </c>
      <c r="CD36" s="45" t="s">
        <v>38</v>
      </c>
      <c r="CE36" s="45">
        <v>1</v>
      </c>
      <c r="CF36" s="45" t="s">
        <v>495</v>
      </c>
      <c r="CG36" s="45"/>
      <c r="CH36" s="44">
        <v>2</v>
      </c>
      <c r="CI36" s="49" t="str">
        <f t="shared" si="17"/>
        <v/>
      </c>
      <c r="CJ36" s="49" t="str">
        <f t="shared" si="18"/>
        <v/>
      </c>
      <c r="CK36" s="45"/>
      <c r="CL36" s="44">
        <v>1</v>
      </c>
      <c r="CM36" s="50" t="s">
        <v>514</v>
      </c>
      <c r="CN36" s="44" t="s">
        <v>371</v>
      </c>
      <c r="CO36" s="44">
        <v>2</v>
      </c>
      <c r="CP36" s="44">
        <v>42</v>
      </c>
      <c r="CQ36" s="44">
        <v>10</v>
      </c>
      <c r="CR36" s="43" t="str">
        <f t="shared" si="19"/>
        <v>K00_P_</v>
      </c>
      <c r="CS36" s="45">
        <v>5000</v>
      </c>
      <c r="CT36" s="43" t="str">
        <f>IF(IFERROR(INDEX(Consulta!$A:$DP,MATCH('MM01'!$B36,Consulta!$C:$C,0),'MM01'!CT$2),"")=0,"",IFERROR(INDEX(Consulta!$A:$DP,MATCH('MM01'!$B36,Consulta!$C:$C,0),'MM01'!CT$2),""))</f>
        <v/>
      </c>
      <c r="CU36" s="43" t="str">
        <f>IF(IFERROR(INDEX(Consulta!$A:$DP,MATCH('MM01'!$B36,Consulta!$C:$C,0),'MM01'!CU$2),"")=0,"",IFERROR(INDEX(Consulta!$A:$DP,MATCH('MM01'!$B36,Consulta!$C:$C,0),'MM01'!CU$2),""))</f>
        <v/>
      </c>
      <c r="CV36" s="43" t="str">
        <f>IF(IFERROR(INDEX(Consulta!$A:$DP,MATCH('MM01'!$B36,Consulta!$C:$C,0),'MM01'!CV$2),"")=0,"",IFERROR(INDEX(Consulta!$A:$DP,MATCH('MM01'!$B36,Consulta!$C:$C,0),'MM01'!CV$2),""))</f>
        <v/>
      </c>
      <c r="CW36" s="43" t="str">
        <f>IF(IFERROR(INDEX(Consulta!$A:$DP,MATCH('MM01'!$B36,Consulta!$C:$C,0),'MM01'!CW$2),"")=0,"",IFERROR(INDEX(Consulta!$A:$DP,MATCH('MM01'!$B36,Consulta!$C:$C,0),'MM01'!CW$2),""))</f>
        <v/>
      </c>
      <c r="CX36" s="43" t="str">
        <f t="shared" si="20"/>
        <v/>
      </c>
      <c r="CY36" s="43" t="str">
        <f t="shared" si="21"/>
        <v/>
      </c>
      <c r="CZ36" s="43" t="str">
        <f t="shared" si="22"/>
        <v/>
      </c>
      <c r="DA36" s="43" t="str">
        <f>IF(IFERROR(INDEX(Consulta!$A:$DP,MATCH('MM01'!$B36,Consulta!$C:$C,0),'MM01'!DA$2),"")=0,"",IFERROR(INDEX(Consulta!$A:$DP,MATCH('MM01'!$B36,Consulta!$C:$C,0),'MM01'!DA$2),""))</f>
        <v/>
      </c>
      <c r="DB36" s="43" t="str">
        <f t="shared" si="23"/>
        <v/>
      </c>
      <c r="DC36" s="43" t="str">
        <f>IF(IFERROR(INDEX(Consulta!$A:$DP,MATCH('MM01'!$B36,Consulta!$C:$C,0),'MM01'!DC$2),"")=0,"",IFERROR(INDEX(Consulta!$A:$DP,MATCH('MM01'!$B36,Consulta!$C:$C,0),'MM01'!DC$2),""))</f>
        <v/>
      </c>
      <c r="DD36" s="45">
        <v>0</v>
      </c>
      <c r="DE36" s="45">
        <v>0</v>
      </c>
      <c r="DF36" s="43" t="str">
        <f t="shared" si="24"/>
        <v/>
      </c>
      <c r="DG36" s="43" t="str">
        <f t="shared" si="25"/>
        <v/>
      </c>
      <c r="DH36" s="57"/>
      <c r="DI36" s="43" t="str">
        <f t="shared" ca="1" si="26"/>
        <v/>
      </c>
      <c r="DJ36" s="43" t="str">
        <f t="shared" si="27"/>
        <v/>
      </c>
      <c r="DK36" s="43" t="str">
        <f t="shared" si="28"/>
        <v/>
      </c>
      <c r="DL36" s="57"/>
      <c r="DM36" s="43" t="str">
        <f t="shared" ca="1" si="29"/>
        <v/>
      </c>
      <c r="DN36" s="43" t="str">
        <f t="shared" si="30"/>
        <v/>
      </c>
      <c r="DO36" s="43" t="str">
        <f t="shared" si="31"/>
        <v/>
      </c>
      <c r="DP36" s="57"/>
      <c r="DQ36" s="43" t="str">
        <f t="shared" ca="1" si="32"/>
        <v/>
      </c>
      <c r="DR36" s="43" t="str">
        <f t="shared" si="33"/>
        <v/>
      </c>
      <c r="DS36" s="43" t="str">
        <f t="shared" si="34"/>
        <v/>
      </c>
      <c r="DT36" s="57"/>
      <c r="DU36" s="43" t="str">
        <f t="shared" ca="1" si="35"/>
        <v/>
      </c>
      <c r="DV36" s="43" t="str">
        <f t="shared" si="36"/>
        <v/>
      </c>
      <c r="DX36" s="44">
        <v>1</v>
      </c>
      <c r="DY36" s="44" t="s">
        <v>773</v>
      </c>
      <c r="DZ36" s="43">
        <f t="shared" si="37"/>
        <v>0.01</v>
      </c>
      <c r="EA36" s="43" t="str">
        <f t="shared" si="38"/>
        <v>M</v>
      </c>
      <c r="EB36" s="43" t="str">
        <f>IF(IFERROR(INDEX(Consulta!$A:$DP,MATCH('MM01'!$B36,Consulta!$C:$C,0),'MM01'!EB$2),"")=0,"7925",IF(IFERROR(INDEX(Consulta!$A:$DP,MATCH('MM01'!$B36,Consulta!$C:$C,0),'MM01'!EB$2),"")="68","7910","7925"))</f>
        <v>7925</v>
      </c>
      <c r="EC36" s="44">
        <v>100</v>
      </c>
      <c r="ED36" s="62">
        <v>1</v>
      </c>
      <c r="EE36" s="43">
        <f t="shared" si="39"/>
        <v>100</v>
      </c>
      <c r="EF36" s="44">
        <v>1</v>
      </c>
      <c r="EG36" s="44">
        <v>0</v>
      </c>
      <c r="EH36" s="44" t="s">
        <v>875</v>
      </c>
      <c r="EI36" s="45">
        <v>0</v>
      </c>
      <c r="EJ36" s="43">
        <f t="shared" si="40"/>
        <v>5000</v>
      </c>
      <c r="EK36" s="69"/>
    </row>
    <row r="37" spans="1:141" x14ac:dyDescent="0.2">
      <c r="A37" s="7" t="str">
        <f t="shared" si="0"/>
        <v>Execução 33</v>
      </c>
      <c r="B37" s="42"/>
      <c r="C37" s="43" t="str">
        <f>IF(IFERROR(INDEX(Consulta!$A:$DP,MATCH('MM01'!$B37,Consulta!$C:$C,0),'MM01'!C$2),"")=0,"",IFERROR(INDEX(Consulta!$A:$DP,MATCH('MM01'!$B37,Consulta!$C:$C,0),'MM01'!C$2),""))</f>
        <v/>
      </c>
      <c r="D37" s="43" t="str">
        <f>IF(IFERROR(INDEX(Consulta!$A:$DP,MATCH('MM01'!$B37,Consulta!$C:$C,0),'MM01'!D$2),"")=0,"",IFERROR(INDEX(Consulta!$A:$DP,MATCH('MM01'!$B37,Consulta!$C:$C,0),'MM01'!D$2),""))</f>
        <v/>
      </c>
      <c r="E37" s="43" t="str">
        <f>IF(IFERROR(INDEX(Consulta!$A:$DP,MATCH('MM01'!$B37,Consulta!$C:$C,0),'MM01'!E$2),"")=0,"",IFERROR(INDEX(Consulta!$A:$DP,MATCH('MM01'!$B37,Consulta!$C:$C,0),'MM01'!E$2),""))</f>
        <v/>
      </c>
      <c r="F37" s="44" t="s">
        <v>100</v>
      </c>
      <c r="G37" s="49" t="str">
        <f>IF(IFERROR(INDEX(Consulta!$A:$DP,MATCH('MM01'!$B37,Consulta!$C:$C,0),'MM01'!G$2),"")=0,"",IFERROR(INDEX(Consulta!$A:$DP,MATCH('MM01'!$B37,Consulta!$C:$C,0),'MM01'!G$2),""))</f>
        <v/>
      </c>
      <c r="H37" s="49" t="str">
        <f>IF(IFERROR(INDEX(Consulta!$A:$DP,MATCH('MM01'!$B37,Consulta!$C:$C,0),'MM01'!H$2),"")=0,"",IFERROR(INDEX(Consulta!$A:$DP,MATCH('MM01'!$B37,Consulta!$C:$C,0),'MM01'!H$2),""))</f>
        <v/>
      </c>
      <c r="I37" s="49" t="str">
        <f t="shared" si="1"/>
        <v/>
      </c>
      <c r="J37" s="49" t="str">
        <f>IF(IFERROR(INDEX(Consulta!$A:$DP,MATCH('MM01'!$B37,Consulta!$C:$C,0),'MM01'!J$2),"")=0,"",IFERROR(INDEX(Consulta!$A:$DP,MATCH('MM01'!$B37,Consulta!$C:$C,0),'MM01'!J$2),""))</f>
        <v/>
      </c>
      <c r="K37" s="49" t="str">
        <f t="shared" si="2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IF(IFERROR(INDEX(Consulta!$A:$DP,MATCH('MM01'!$B37,Consulta!$C:$C,0),'MM01'!AP$2),"")=0,"",IFERROR(INDEX(Consulta!$A:$DP,MATCH('MM01'!$B37,Consulta!$C:$C,0),'MM01'!AP$2),""))</f>
        <v/>
      </c>
      <c r="AQ37" s="45"/>
      <c r="AR37" s="43" t="str">
        <f>IF(IFERROR(INDEX(Consulta!$A:$DP,MATCH('MM01'!$B37,Consulta!$C:$C,0),'MM01'!AR$2),"")=0,"",IFERROR(INDEX(Consulta!$A:$DP,MATCH('MM01'!$B37,Consulta!$C:$C,0),'MM01'!AR$2),""))</f>
        <v/>
      </c>
      <c r="AS37" s="43" t="str">
        <f>IF(IFERROR(INDEX(Consulta!$A:$DP,MATCH('MM01'!$B37,Consulta!$C:$C,0),'MM01'!AS$2),"")=0,"",IF(AR37="68",5102,IFERROR(INDEX(Consulta!$A:$DP,MATCH('MM01'!$B37,Consulta!$C:$C,0),'MM01'!AS$2),"")))</f>
        <v/>
      </c>
      <c r="AT37" s="45"/>
      <c r="AU37" s="46" t="str">
        <f t="shared" ca="1" si="3"/>
        <v/>
      </c>
      <c r="AV37" s="47" t="s">
        <v>795</v>
      </c>
      <c r="AW37" s="43" t="str">
        <f>IF(IFERROR(INDEX(Consulta!$A:$DP,MATCH('MM01'!$B37,Consulta!$C:$C,0),'MM01'!AW$2),"")=0,"",IFERROR(ROUND(INDEX(Consulta!$A:$DP,MATCH('MM01'!$B37,Consulta!$C:$C,0),'MM01'!AW$2),3),""))</f>
        <v/>
      </c>
      <c r="AX37" s="43" t="str">
        <f t="shared" si="4"/>
        <v/>
      </c>
      <c r="AY37" s="48" t="s">
        <v>299</v>
      </c>
      <c r="AZ37" s="48"/>
      <c r="BA37" s="43" t="str">
        <f>IF(IFERROR(INDEX(Consulta!$A:$DP,MATCH('MM01'!$B37,Consulta!$C:$C,0),'MM01'!BA$2),"")=0,"",IFERROR(INDEX(Consulta!$A:$DP,MATCH('MM01'!$B37,Consulta!$C:$C,0),'MM01'!BA$2),""))</f>
        <v/>
      </c>
      <c r="BB37" s="43" t="str">
        <f t="shared" si="5"/>
        <v/>
      </c>
      <c r="BC37" s="43" t="str">
        <f t="shared" si="6"/>
        <v/>
      </c>
      <c r="BD37" s="43" t="str">
        <f t="shared" si="7"/>
        <v/>
      </c>
      <c r="BE37" s="43" t="str">
        <f t="shared" si="8"/>
        <v>M</v>
      </c>
      <c r="BF37" s="43" t="str">
        <f t="shared" si="9"/>
        <v/>
      </c>
      <c r="BG37" s="43" t="str">
        <f t="shared" si="10"/>
        <v/>
      </c>
      <c r="BH37" s="43" t="str">
        <f t="shared" si="11"/>
        <v/>
      </c>
      <c r="BI37" s="43" t="str">
        <f t="shared" si="12"/>
        <v>M</v>
      </c>
      <c r="BK37" s="45" t="s">
        <v>324</v>
      </c>
      <c r="BL37" s="43" t="str">
        <f>IF(IFERROR(INDEX(Consulta!$A:$DP,MATCH('MM01'!$B37,Consulta!$C:$C,0),'MM01'!BL$2),"")=0,"",IFERROR(INDEX(Consulta!$A:$DP,MATCH('MM01'!$B37,Consulta!$C:$C,0),'MM01'!BL$2),""))</f>
        <v/>
      </c>
      <c r="BM37" s="45"/>
      <c r="BN37" s="46" t="str">
        <f t="shared" ca="1" si="13"/>
        <v/>
      </c>
      <c r="BO37" s="49" t="str">
        <f t="shared" si="14"/>
        <v/>
      </c>
      <c r="BP37" s="50">
        <v>1</v>
      </c>
      <c r="BQ37" s="50" t="s">
        <v>194</v>
      </c>
      <c r="BR37" s="79" t="str">
        <f t="shared" si="15"/>
        <v>01</v>
      </c>
      <c r="BS37" s="50" t="s">
        <v>795</v>
      </c>
      <c r="BT37" s="44">
        <v>1</v>
      </c>
      <c r="BU37" s="44" t="s">
        <v>371</v>
      </c>
      <c r="BV37" s="50" t="s">
        <v>197</v>
      </c>
      <c r="BW37" s="50" t="s">
        <v>197</v>
      </c>
      <c r="BX37" s="43" t="str">
        <f>IF(IFERROR(INDEX(Consulta!$A:$DP,MATCH('MM01'!$B37,Consulta!$C:$C,0),'MM01'!BX$2),"")=0,"",IFERROR(INDEX(Consulta!$A:$DP,MATCH('MM01'!$B37,Consulta!$C:$C,0),'MM01'!BX$2),""))</f>
        <v/>
      </c>
      <c r="BY37" s="44" t="s">
        <v>391</v>
      </c>
      <c r="BZ37" s="50">
        <v>0</v>
      </c>
      <c r="CA37" s="45" t="s">
        <v>402</v>
      </c>
      <c r="CB37" s="45" t="s">
        <v>84</v>
      </c>
      <c r="CC37" s="43" t="str">
        <f t="shared" si="16"/>
        <v/>
      </c>
      <c r="CD37" s="45" t="s">
        <v>38</v>
      </c>
      <c r="CE37" s="45">
        <v>1</v>
      </c>
      <c r="CF37" s="45" t="s">
        <v>495</v>
      </c>
      <c r="CG37" s="45"/>
      <c r="CH37" s="44">
        <v>2</v>
      </c>
      <c r="CI37" s="49" t="str">
        <f t="shared" si="17"/>
        <v/>
      </c>
      <c r="CJ37" s="49" t="str">
        <f t="shared" si="18"/>
        <v/>
      </c>
      <c r="CK37" s="45"/>
      <c r="CL37" s="44">
        <v>1</v>
      </c>
      <c r="CM37" s="50" t="s">
        <v>514</v>
      </c>
      <c r="CN37" s="44" t="s">
        <v>371</v>
      </c>
      <c r="CO37" s="44">
        <v>2</v>
      </c>
      <c r="CP37" s="44">
        <v>42</v>
      </c>
      <c r="CQ37" s="44">
        <v>10</v>
      </c>
      <c r="CR37" s="43" t="str">
        <f t="shared" si="19"/>
        <v>K00_P_</v>
      </c>
      <c r="CS37" s="45">
        <v>5000</v>
      </c>
      <c r="CT37" s="43" t="str">
        <f>IF(IFERROR(INDEX(Consulta!$A:$DP,MATCH('MM01'!$B37,Consulta!$C:$C,0),'MM01'!CT$2),"")=0,"",IFERROR(INDEX(Consulta!$A:$DP,MATCH('MM01'!$B37,Consulta!$C:$C,0),'MM01'!CT$2),""))</f>
        <v/>
      </c>
      <c r="CU37" s="43" t="str">
        <f>IF(IFERROR(INDEX(Consulta!$A:$DP,MATCH('MM01'!$B37,Consulta!$C:$C,0),'MM01'!CU$2),"")=0,"",IFERROR(INDEX(Consulta!$A:$DP,MATCH('MM01'!$B37,Consulta!$C:$C,0),'MM01'!CU$2),""))</f>
        <v/>
      </c>
      <c r="CV37" s="43" t="str">
        <f>IF(IFERROR(INDEX(Consulta!$A:$DP,MATCH('MM01'!$B37,Consulta!$C:$C,0),'MM01'!CV$2),"")=0,"",IFERROR(INDEX(Consulta!$A:$DP,MATCH('MM01'!$B37,Consulta!$C:$C,0),'MM01'!CV$2),""))</f>
        <v/>
      </c>
      <c r="CW37" s="43" t="str">
        <f>IF(IFERROR(INDEX(Consulta!$A:$DP,MATCH('MM01'!$B37,Consulta!$C:$C,0),'MM01'!CW$2),"")=0,"",IFERROR(INDEX(Consulta!$A:$DP,MATCH('MM01'!$B37,Consulta!$C:$C,0),'MM01'!CW$2),""))</f>
        <v/>
      </c>
      <c r="CX37" s="43" t="str">
        <f t="shared" si="20"/>
        <v/>
      </c>
      <c r="CY37" s="43" t="str">
        <f t="shared" si="21"/>
        <v/>
      </c>
      <c r="CZ37" s="43" t="str">
        <f t="shared" si="22"/>
        <v/>
      </c>
      <c r="DA37" s="43" t="str">
        <f>IF(IFERROR(INDEX(Consulta!$A:$DP,MATCH('MM01'!$B37,Consulta!$C:$C,0),'MM01'!DA$2),"")=0,"",IFERROR(INDEX(Consulta!$A:$DP,MATCH('MM01'!$B37,Consulta!$C:$C,0),'MM01'!DA$2),""))</f>
        <v/>
      </c>
      <c r="DB37" s="43" t="str">
        <f t="shared" si="23"/>
        <v/>
      </c>
      <c r="DC37" s="43" t="str">
        <f>IF(IFERROR(INDEX(Consulta!$A:$DP,MATCH('MM01'!$B37,Consulta!$C:$C,0),'MM01'!DC$2),"")=0,"",IFERROR(INDEX(Consulta!$A:$DP,MATCH('MM01'!$B37,Consulta!$C:$C,0),'MM01'!DC$2),""))</f>
        <v/>
      </c>
      <c r="DD37" s="45">
        <v>0</v>
      </c>
      <c r="DE37" s="45">
        <v>0</v>
      </c>
      <c r="DF37" s="43" t="str">
        <f t="shared" si="24"/>
        <v/>
      </c>
      <c r="DG37" s="43" t="str">
        <f t="shared" si="25"/>
        <v/>
      </c>
      <c r="DH37" s="57"/>
      <c r="DI37" s="43" t="str">
        <f t="shared" ca="1" si="26"/>
        <v/>
      </c>
      <c r="DJ37" s="43" t="str">
        <f t="shared" si="27"/>
        <v/>
      </c>
      <c r="DK37" s="43" t="str">
        <f t="shared" si="28"/>
        <v/>
      </c>
      <c r="DL37" s="57"/>
      <c r="DM37" s="43" t="str">
        <f t="shared" ca="1" si="29"/>
        <v/>
      </c>
      <c r="DN37" s="43" t="str">
        <f t="shared" si="30"/>
        <v/>
      </c>
      <c r="DO37" s="43" t="str">
        <f t="shared" si="31"/>
        <v/>
      </c>
      <c r="DP37" s="57"/>
      <c r="DQ37" s="43" t="str">
        <f t="shared" ca="1" si="32"/>
        <v/>
      </c>
      <c r="DR37" s="43" t="str">
        <f t="shared" si="33"/>
        <v/>
      </c>
      <c r="DS37" s="43" t="str">
        <f t="shared" si="34"/>
        <v/>
      </c>
      <c r="DT37" s="57"/>
      <c r="DU37" s="43" t="str">
        <f t="shared" ca="1" si="35"/>
        <v/>
      </c>
      <c r="DV37" s="43" t="str">
        <f t="shared" si="36"/>
        <v/>
      </c>
      <c r="DX37" s="44">
        <v>1</v>
      </c>
      <c r="DY37" s="44" t="s">
        <v>773</v>
      </c>
      <c r="DZ37" s="43">
        <f t="shared" si="37"/>
        <v>0.01</v>
      </c>
      <c r="EA37" s="43" t="str">
        <f t="shared" si="38"/>
        <v>M</v>
      </c>
      <c r="EB37" s="43" t="str">
        <f>IF(IFERROR(INDEX(Consulta!$A:$DP,MATCH('MM01'!$B37,Consulta!$C:$C,0),'MM01'!EB$2),"")=0,"7925",IF(IFERROR(INDEX(Consulta!$A:$DP,MATCH('MM01'!$B37,Consulta!$C:$C,0),'MM01'!EB$2),"")="68","7910","7925"))</f>
        <v>7925</v>
      </c>
      <c r="EC37" s="44">
        <v>100</v>
      </c>
      <c r="ED37" s="62">
        <v>1</v>
      </c>
      <c r="EE37" s="43">
        <f t="shared" si="39"/>
        <v>100</v>
      </c>
      <c r="EF37" s="44">
        <v>1</v>
      </c>
      <c r="EG37" s="44">
        <v>0</v>
      </c>
      <c r="EH37" s="44" t="s">
        <v>875</v>
      </c>
      <c r="EI37" s="45">
        <v>0</v>
      </c>
      <c r="EJ37" s="43">
        <f t="shared" si="40"/>
        <v>5000</v>
      </c>
      <c r="EK37" s="69"/>
    </row>
    <row r="38" spans="1:141" x14ac:dyDescent="0.2">
      <c r="A38" s="7" t="str">
        <f t="shared" si="0"/>
        <v>Execução 34</v>
      </c>
      <c r="B38" s="42"/>
      <c r="C38" s="43" t="str">
        <f>IF(IFERROR(INDEX(Consulta!$A:$DP,MATCH('MM01'!$B38,Consulta!$C:$C,0),'MM01'!C$2),"")=0,"",IFERROR(INDEX(Consulta!$A:$DP,MATCH('MM01'!$B38,Consulta!$C:$C,0),'MM01'!C$2),""))</f>
        <v/>
      </c>
      <c r="D38" s="43" t="str">
        <f>IF(IFERROR(INDEX(Consulta!$A:$DP,MATCH('MM01'!$B38,Consulta!$C:$C,0),'MM01'!D$2),"")=0,"",IFERROR(INDEX(Consulta!$A:$DP,MATCH('MM01'!$B38,Consulta!$C:$C,0),'MM01'!D$2),""))</f>
        <v/>
      </c>
      <c r="E38" s="43" t="str">
        <f>IF(IFERROR(INDEX(Consulta!$A:$DP,MATCH('MM01'!$B38,Consulta!$C:$C,0),'MM01'!E$2),"")=0,"",IFERROR(INDEX(Consulta!$A:$DP,MATCH('MM01'!$B38,Consulta!$C:$C,0),'MM01'!E$2),""))</f>
        <v/>
      </c>
      <c r="F38" s="44" t="s">
        <v>100</v>
      </c>
      <c r="G38" s="49" t="str">
        <f>IF(IFERROR(INDEX(Consulta!$A:$DP,MATCH('MM01'!$B38,Consulta!$C:$C,0),'MM01'!G$2),"")=0,"",IFERROR(INDEX(Consulta!$A:$DP,MATCH('MM01'!$B38,Consulta!$C:$C,0),'MM01'!G$2),""))</f>
        <v/>
      </c>
      <c r="H38" s="49" t="str">
        <f>IF(IFERROR(INDEX(Consulta!$A:$DP,MATCH('MM01'!$B38,Consulta!$C:$C,0),'MM01'!H$2),"")=0,"",IFERROR(INDEX(Consulta!$A:$DP,MATCH('MM01'!$B38,Consulta!$C:$C,0),'MM01'!H$2),""))</f>
        <v/>
      </c>
      <c r="I38" s="49" t="str">
        <f t="shared" si="1"/>
        <v/>
      </c>
      <c r="J38" s="49" t="str">
        <f>IF(IFERROR(INDEX(Consulta!$A:$DP,MATCH('MM01'!$B38,Consulta!$C:$C,0),'MM01'!J$2),"")=0,"",IFERROR(INDEX(Consulta!$A:$DP,MATCH('MM01'!$B38,Consulta!$C:$C,0),'MM01'!J$2),""))</f>
        <v/>
      </c>
      <c r="K38" s="49" t="str">
        <f t="shared" si="2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IF(IFERROR(INDEX(Consulta!$A:$DP,MATCH('MM01'!$B38,Consulta!$C:$C,0),'MM01'!AP$2),"")=0,"",IFERROR(INDEX(Consulta!$A:$DP,MATCH('MM01'!$B38,Consulta!$C:$C,0),'MM01'!AP$2),""))</f>
        <v/>
      </c>
      <c r="AQ38" s="45"/>
      <c r="AR38" s="43" t="str">
        <f>IF(IFERROR(INDEX(Consulta!$A:$DP,MATCH('MM01'!$B38,Consulta!$C:$C,0),'MM01'!AR$2),"")=0,"",IFERROR(INDEX(Consulta!$A:$DP,MATCH('MM01'!$B38,Consulta!$C:$C,0),'MM01'!AR$2),""))</f>
        <v/>
      </c>
      <c r="AS38" s="43" t="str">
        <f>IF(IFERROR(INDEX(Consulta!$A:$DP,MATCH('MM01'!$B38,Consulta!$C:$C,0),'MM01'!AS$2),"")=0,"",IF(AR38="68",5102,IFERROR(INDEX(Consulta!$A:$DP,MATCH('MM01'!$B38,Consulta!$C:$C,0),'MM01'!AS$2),"")))</f>
        <v/>
      </c>
      <c r="AT38" s="45"/>
      <c r="AU38" s="46" t="str">
        <f t="shared" ca="1" si="3"/>
        <v/>
      </c>
      <c r="AV38" s="47" t="s">
        <v>795</v>
      </c>
      <c r="AW38" s="43" t="str">
        <f>IF(IFERROR(INDEX(Consulta!$A:$DP,MATCH('MM01'!$B38,Consulta!$C:$C,0),'MM01'!AW$2),"")=0,"",IFERROR(ROUND(INDEX(Consulta!$A:$DP,MATCH('MM01'!$B38,Consulta!$C:$C,0),'MM01'!AW$2),3),""))</f>
        <v/>
      </c>
      <c r="AX38" s="43" t="str">
        <f t="shared" si="4"/>
        <v/>
      </c>
      <c r="AY38" s="48" t="s">
        <v>299</v>
      </c>
      <c r="AZ38" s="48"/>
      <c r="BA38" s="43" t="str">
        <f>IF(IFERROR(INDEX(Consulta!$A:$DP,MATCH('MM01'!$B38,Consulta!$C:$C,0),'MM01'!BA$2),"")=0,"",IFERROR(INDEX(Consulta!$A:$DP,MATCH('MM01'!$B38,Consulta!$C:$C,0),'MM01'!BA$2),""))</f>
        <v/>
      </c>
      <c r="BB38" s="43" t="str">
        <f t="shared" si="5"/>
        <v/>
      </c>
      <c r="BC38" s="43" t="str">
        <f t="shared" si="6"/>
        <v/>
      </c>
      <c r="BD38" s="43" t="str">
        <f t="shared" si="7"/>
        <v/>
      </c>
      <c r="BE38" s="43" t="str">
        <f t="shared" si="8"/>
        <v>M</v>
      </c>
      <c r="BF38" s="43" t="str">
        <f t="shared" si="9"/>
        <v/>
      </c>
      <c r="BG38" s="43" t="str">
        <f t="shared" si="10"/>
        <v/>
      </c>
      <c r="BH38" s="43" t="str">
        <f t="shared" si="11"/>
        <v/>
      </c>
      <c r="BI38" s="43" t="str">
        <f t="shared" si="12"/>
        <v>M</v>
      </c>
      <c r="BK38" s="45" t="s">
        <v>324</v>
      </c>
      <c r="BL38" s="43" t="str">
        <f>IF(IFERROR(INDEX(Consulta!$A:$DP,MATCH('MM01'!$B38,Consulta!$C:$C,0),'MM01'!BL$2),"")=0,"",IFERROR(INDEX(Consulta!$A:$DP,MATCH('MM01'!$B38,Consulta!$C:$C,0),'MM01'!BL$2),""))</f>
        <v/>
      </c>
      <c r="BM38" s="45"/>
      <c r="BN38" s="46" t="str">
        <f t="shared" ca="1" si="13"/>
        <v/>
      </c>
      <c r="BO38" s="49" t="str">
        <f t="shared" si="14"/>
        <v/>
      </c>
      <c r="BP38" s="50">
        <v>1</v>
      </c>
      <c r="BQ38" s="50" t="s">
        <v>194</v>
      </c>
      <c r="BR38" s="79" t="str">
        <f t="shared" si="15"/>
        <v>01</v>
      </c>
      <c r="BS38" s="50" t="s">
        <v>795</v>
      </c>
      <c r="BT38" s="44">
        <v>1</v>
      </c>
      <c r="BU38" s="44" t="s">
        <v>371</v>
      </c>
      <c r="BV38" s="50" t="s">
        <v>197</v>
      </c>
      <c r="BW38" s="50" t="s">
        <v>197</v>
      </c>
      <c r="BX38" s="43" t="str">
        <f>IF(IFERROR(INDEX(Consulta!$A:$DP,MATCH('MM01'!$B38,Consulta!$C:$C,0),'MM01'!BX$2),"")=0,"",IFERROR(INDEX(Consulta!$A:$DP,MATCH('MM01'!$B38,Consulta!$C:$C,0),'MM01'!BX$2),""))</f>
        <v/>
      </c>
      <c r="BY38" s="44" t="s">
        <v>391</v>
      </c>
      <c r="BZ38" s="50">
        <v>0</v>
      </c>
      <c r="CA38" s="45" t="s">
        <v>402</v>
      </c>
      <c r="CB38" s="45" t="s">
        <v>84</v>
      </c>
      <c r="CC38" s="43" t="str">
        <f t="shared" si="16"/>
        <v/>
      </c>
      <c r="CD38" s="45" t="s">
        <v>38</v>
      </c>
      <c r="CE38" s="45">
        <v>1</v>
      </c>
      <c r="CF38" s="45" t="s">
        <v>495</v>
      </c>
      <c r="CG38" s="45"/>
      <c r="CH38" s="44">
        <v>2</v>
      </c>
      <c r="CI38" s="49" t="str">
        <f t="shared" si="17"/>
        <v/>
      </c>
      <c r="CJ38" s="49" t="str">
        <f t="shared" si="18"/>
        <v/>
      </c>
      <c r="CK38" s="45"/>
      <c r="CL38" s="44">
        <v>1</v>
      </c>
      <c r="CM38" s="50" t="s">
        <v>514</v>
      </c>
      <c r="CN38" s="44" t="s">
        <v>371</v>
      </c>
      <c r="CO38" s="44">
        <v>2</v>
      </c>
      <c r="CP38" s="44">
        <v>42</v>
      </c>
      <c r="CQ38" s="44">
        <v>10</v>
      </c>
      <c r="CR38" s="43" t="str">
        <f t="shared" si="19"/>
        <v>K00_P_</v>
      </c>
      <c r="CS38" s="45">
        <v>5000</v>
      </c>
      <c r="CT38" s="43" t="str">
        <f>IF(IFERROR(INDEX(Consulta!$A:$DP,MATCH('MM01'!$B38,Consulta!$C:$C,0),'MM01'!CT$2),"")=0,"",IFERROR(INDEX(Consulta!$A:$DP,MATCH('MM01'!$B38,Consulta!$C:$C,0),'MM01'!CT$2),""))</f>
        <v/>
      </c>
      <c r="CU38" s="43" t="str">
        <f>IF(IFERROR(INDEX(Consulta!$A:$DP,MATCH('MM01'!$B38,Consulta!$C:$C,0),'MM01'!CU$2),"")=0,"",IFERROR(INDEX(Consulta!$A:$DP,MATCH('MM01'!$B38,Consulta!$C:$C,0),'MM01'!CU$2),""))</f>
        <v/>
      </c>
      <c r="CV38" s="43" t="str">
        <f>IF(IFERROR(INDEX(Consulta!$A:$DP,MATCH('MM01'!$B38,Consulta!$C:$C,0),'MM01'!CV$2),"")=0,"",IFERROR(INDEX(Consulta!$A:$DP,MATCH('MM01'!$B38,Consulta!$C:$C,0),'MM01'!CV$2),""))</f>
        <v/>
      </c>
      <c r="CW38" s="43" t="str">
        <f>IF(IFERROR(INDEX(Consulta!$A:$DP,MATCH('MM01'!$B38,Consulta!$C:$C,0),'MM01'!CW$2),"")=0,"",IFERROR(INDEX(Consulta!$A:$DP,MATCH('MM01'!$B38,Consulta!$C:$C,0),'MM01'!CW$2),""))</f>
        <v/>
      </c>
      <c r="CX38" s="43" t="str">
        <f t="shared" si="20"/>
        <v/>
      </c>
      <c r="CY38" s="43" t="str">
        <f t="shared" si="21"/>
        <v/>
      </c>
      <c r="CZ38" s="43" t="str">
        <f t="shared" si="22"/>
        <v/>
      </c>
      <c r="DA38" s="43" t="str">
        <f>IF(IFERROR(INDEX(Consulta!$A:$DP,MATCH('MM01'!$B38,Consulta!$C:$C,0),'MM01'!DA$2),"")=0,"",IFERROR(INDEX(Consulta!$A:$DP,MATCH('MM01'!$B38,Consulta!$C:$C,0),'MM01'!DA$2),""))</f>
        <v/>
      </c>
      <c r="DB38" s="43" t="str">
        <f t="shared" si="23"/>
        <v/>
      </c>
      <c r="DC38" s="43" t="str">
        <f>IF(IFERROR(INDEX(Consulta!$A:$DP,MATCH('MM01'!$B38,Consulta!$C:$C,0),'MM01'!DC$2),"")=0,"",IFERROR(INDEX(Consulta!$A:$DP,MATCH('MM01'!$B38,Consulta!$C:$C,0),'MM01'!DC$2),""))</f>
        <v/>
      </c>
      <c r="DD38" s="45">
        <v>0</v>
      </c>
      <c r="DE38" s="45">
        <v>0</v>
      </c>
      <c r="DF38" s="43" t="str">
        <f t="shared" si="24"/>
        <v/>
      </c>
      <c r="DG38" s="43" t="str">
        <f t="shared" si="25"/>
        <v/>
      </c>
      <c r="DH38" s="57"/>
      <c r="DI38" s="43" t="str">
        <f t="shared" ca="1" si="26"/>
        <v/>
      </c>
      <c r="DJ38" s="43" t="str">
        <f t="shared" si="27"/>
        <v/>
      </c>
      <c r="DK38" s="43" t="str">
        <f t="shared" si="28"/>
        <v/>
      </c>
      <c r="DL38" s="57"/>
      <c r="DM38" s="43" t="str">
        <f t="shared" ca="1" si="29"/>
        <v/>
      </c>
      <c r="DN38" s="43" t="str">
        <f t="shared" si="30"/>
        <v/>
      </c>
      <c r="DO38" s="43" t="str">
        <f t="shared" si="31"/>
        <v/>
      </c>
      <c r="DP38" s="57"/>
      <c r="DQ38" s="43" t="str">
        <f t="shared" ca="1" si="32"/>
        <v/>
      </c>
      <c r="DR38" s="43" t="str">
        <f t="shared" si="33"/>
        <v/>
      </c>
      <c r="DS38" s="43" t="str">
        <f t="shared" si="34"/>
        <v/>
      </c>
      <c r="DT38" s="57"/>
      <c r="DU38" s="43" t="str">
        <f t="shared" ca="1" si="35"/>
        <v/>
      </c>
      <c r="DV38" s="43" t="str">
        <f t="shared" si="36"/>
        <v/>
      </c>
      <c r="DX38" s="44">
        <v>1</v>
      </c>
      <c r="DY38" s="44" t="s">
        <v>773</v>
      </c>
      <c r="DZ38" s="43">
        <f t="shared" si="37"/>
        <v>0.01</v>
      </c>
      <c r="EA38" s="43" t="str">
        <f t="shared" si="38"/>
        <v>M</v>
      </c>
      <c r="EB38" s="43" t="str">
        <f>IF(IFERROR(INDEX(Consulta!$A:$DP,MATCH('MM01'!$B38,Consulta!$C:$C,0),'MM01'!EB$2),"")=0,"7925",IF(IFERROR(INDEX(Consulta!$A:$DP,MATCH('MM01'!$B38,Consulta!$C:$C,0),'MM01'!EB$2),"")="68","7910","7925"))</f>
        <v>7925</v>
      </c>
      <c r="EC38" s="44">
        <v>100</v>
      </c>
      <c r="ED38" s="62">
        <v>1</v>
      </c>
      <c r="EE38" s="43">
        <f t="shared" si="39"/>
        <v>100</v>
      </c>
      <c r="EF38" s="44">
        <v>1</v>
      </c>
      <c r="EG38" s="44">
        <v>0</v>
      </c>
      <c r="EH38" s="44" t="s">
        <v>875</v>
      </c>
      <c r="EI38" s="45">
        <v>0</v>
      </c>
      <c r="EJ38" s="43">
        <f t="shared" si="40"/>
        <v>5000</v>
      </c>
      <c r="EK38" s="69"/>
    </row>
    <row r="39" spans="1:141" x14ac:dyDescent="0.2">
      <c r="A39" s="7" t="str">
        <f t="shared" si="0"/>
        <v>Execução 35</v>
      </c>
      <c r="B39" s="42"/>
      <c r="C39" s="43" t="str">
        <f>IF(IFERROR(INDEX(Consulta!$A:$DP,MATCH('MM01'!$B39,Consulta!$C:$C,0),'MM01'!C$2),"")=0,"",IFERROR(INDEX(Consulta!$A:$DP,MATCH('MM01'!$B39,Consulta!$C:$C,0),'MM01'!C$2),""))</f>
        <v/>
      </c>
      <c r="D39" s="43" t="str">
        <f>IF(IFERROR(INDEX(Consulta!$A:$DP,MATCH('MM01'!$B39,Consulta!$C:$C,0),'MM01'!D$2),"")=0,"",IFERROR(INDEX(Consulta!$A:$DP,MATCH('MM01'!$B39,Consulta!$C:$C,0),'MM01'!D$2),""))</f>
        <v/>
      </c>
      <c r="E39" s="43" t="str">
        <f>IF(IFERROR(INDEX(Consulta!$A:$DP,MATCH('MM01'!$B39,Consulta!$C:$C,0),'MM01'!E$2),"")=0,"",IFERROR(INDEX(Consulta!$A:$DP,MATCH('MM01'!$B39,Consulta!$C:$C,0),'MM01'!E$2),""))</f>
        <v/>
      </c>
      <c r="F39" s="44" t="s">
        <v>100</v>
      </c>
      <c r="G39" s="49" t="str">
        <f>IF(IFERROR(INDEX(Consulta!$A:$DP,MATCH('MM01'!$B39,Consulta!$C:$C,0),'MM01'!G$2),"")=0,"",IFERROR(INDEX(Consulta!$A:$DP,MATCH('MM01'!$B39,Consulta!$C:$C,0),'MM01'!G$2),""))</f>
        <v/>
      </c>
      <c r="H39" s="49" t="str">
        <f>IF(IFERROR(INDEX(Consulta!$A:$DP,MATCH('MM01'!$B39,Consulta!$C:$C,0),'MM01'!H$2),"")=0,"",IFERROR(INDEX(Consulta!$A:$DP,MATCH('MM01'!$B39,Consulta!$C:$C,0),'MM01'!H$2),""))</f>
        <v/>
      </c>
      <c r="I39" s="49" t="str">
        <f t="shared" si="1"/>
        <v/>
      </c>
      <c r="J39" s="49" t="str">
        <f>IF(IFERROR(INDEX(Consulta!$A:$DP,MATCH('MM01'!$B39,Consulta!$C:$C,0),'MM01'!J$2),"")=0,"",IFERROR(INDEX(Consulta!$A:$DP,MATCH('MM01'!$B39,Consulta!$C:$C,0),'MM01'!J$2),""))</f>
        <v/>
      </c>
      <c r="K39" s="49" t="str">
        <f t="shared" si="2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IF(IFERROR(INDEX(Consulta!$A:$DP,MATCH('MM01'!$B39,Consulta!$C:$C,0),'MM01'!AP$2),"")=0,"",IFERROR(INDEX(Consulta!$A:$DP,MATCH('MM01'!$B39,Consulta!$C:$C,0),'MM01'!AP$2),""))</f>
        <v/>
      </c>
      <c r="AQ39" s="45"/>
      <c r="AR39" s="43" t="str">
        <f>IF(IFERROR(INDEX(Consulta!$A:$DP,MATCH('MM01'!$B39,Consulta!$C:$C,0),'MM01'!AR$2),"")=0,"",IFERROR(INDEX(Consulta!$A:$DP,MATCH('MM01'!$B39,Consulta!$C:$C,0),'MM01'!AR$2),""))</f>
        <v/>
      </c>
      <c r="AS39" s="43" t="str">
        <f>IF(IFERROR(INDEX(Consulta!$A:$DP,MATCH('MM01'!$B39,Consulta!$C:$C,0),'MM01'!AS$2),"")=0,"",IF(AR39="68",5102,IFERROR(INDEX(Consulta!$A:$DP,MATCH('MM01'!$B39,Consulta!$C:$C,0),'MM01'!AS$2),"")))</f>
        <v/>
      </c>
      <c r="AT39" s="45"/>
      <c r="AU39" s="46" t="str">
        <f t="shared" ca="1" si="3"/>
        <v/>
      </c>
      <c r="AV39" s="47" t="s">
        <v>795</v>
      </c>
      <c r="AW39" s="43" t="str">
        <f>IF(IFERROR(INDEX(Consulta!$A:$DP,MATCH('MM01'!$B39,Consulta!$C:$C,0),'MM01'!AW$2),"")=0,"",IFERROR(ROUND(INDEX(Consulta!$A:$DP,MATCH('MM01'!$B39,Consulta!$C:$C,0),'MM01'!AW$2),3),""))</f>
        <v/>
      </c>
      <c r="AX39" s="43" t="str">
        <f t="shared" si="4"/>
        <v/>
      </c>
      <c r="AY39" s="48" t="s">
        <v>299</v>
      </c>
      <c r="AZ39" s="48"/>
      <c r="BA39" s="43" t="str">
        <f>IF(IFERROR(INDEX(Consulta!$A:$DP,MATCH('MM01'!$B39,Consulta!$C:$C,0),'MM01'!BA$2),"")=0,"",IFERROR(INDEX(Consulta!$A:$DP,MATCH('MM01'!$B39,Consulta!$C:$C,0),'MM01'!BA$2),""))</f>
        <v/>
      </c>
      <c r="BB39" s="43" t="str">
        <f t="shared" si="5"/>
        <v/>
      </c>
      <c r="BC39" s="43" t="str">
        <f t="shared" si="6"/>
        <v/>
      </c>
      <c r="BD39" s="43" t="str">
        <f t="shared" si="7"/>
        <v/>
      </c>
      <c r="BE39" s="43" t="str">
        <f t="shared" si="8"/>
        <v>M</v>
      </c>
      <c r="BF39" s="43" t="str">
        <f t="shared" si="9"/>
        <v/>
      </c>
      <c r="BG39" s="43" t="str">
        <f t="shared" si="10"/>
        <v/>
      </c>
      <c r="BH39" s="43" t="str">
        <f t="shared" si="11"/>
        <v/>
      </c>
      <c r="BI39" s="43" t="str">
        <f t="shared" si="12"/>
        <v>M</v>
      </c>
      <c r="BK39" s="45" t="s">
        <v>324</v>
      </c>
      <c r="BL39" s="43" t="str">
        <f>IF(IFERROR(INDEX(Consulta!$A:$DP,MATCH('MM01'!$B39,Consulta!$C:$C,0),'MM01'!BL$2),"")=0,"",IFERROR(INDEX(Consulta!$A:$DP,MATCH('MM01'!$B39,Consulta!$C:$C,0),'MM01'!BL$2),""))</f>
        <v/>
      </c>
      <c r="BM39" s="45"/>
      <c r="BN39" s="46" t="str">
        <f t="shared" ca="1" si="13"/>
        <v/>
      </c>
      <c r="BO39" s="49" t="str">
        <f t="shared" si="14"/>
        <v/>
      </c>
      <c r="BP39" s="50">
        <v>1</v>
      </c>
      <c r="BQ39" s="50" t="s">
        <v>194</v>
      </c>
      <c r="BR39" s="79" t="str">
        <f t="shared" si="15"/>
        <v>01</v>
      </c>
      <c r="BS39" s="50" t="s">
        <v>795</v>
      </c>
      <c r="BT39" s="44">
        <v>1</v>
      </c>
      <c r="BU39" s="44" t="s">
        <v>371</v>
      </c>
      <c r="BV39" s="50" t="s">
        <v>197</v>
      </c>
      <c r="BW39" s="50" t="s">
        <v>197</v>
      </c>
      <c r="BX39" s="43" t="str">
        <f>IF(IFERROR(INDEX(Consulta!$A:$DP,MATCH('MM01'!$B39,Consulta!$C:$C,0),'MM01'!BX$2),"")=0,"",IFERROR(INDEX(Consulta!$A:$DP,MATCH('MM01'!$B39,Consulta!$C:$C,0),'MM01'!BX$2),""))</f>
        <v/>
      </c>
      <c r="BY39" s="44" t="s">
        <v>391</v>
      </c>
      <c r="BZ39" s="50">
        <v>0</v>
      </c>
      <c r="CA39" s="45" t="s">
        <v>402</v>
      </c>
      <c r="CB39" s="45" t="s">
        <v>84</v>
      </c>
      <c r="CC39" s="43" t="str">
        <f t="shared" si="16"/>
        <v/>
      </c>
      <c r="CD39" s="45" t="s">
        <v>38</v>
      </c>
      <c r="CE39" s="45">
        <v>1</v>
      </c>
      <c r="CF39" s="45" t="s">
        <v>495</v>
      </c>
      <c r="CG39" s="45"/>
      <c r="CH39" s="44">
        <v>2</v>
      </c>
      <c r="CI39" s="49" t="str">
        <f t="shared" si="17"/>
        <v/>
      </c>
      <c r="CJ39" s="49" t="str">
        <f t="shared" si="18"/>
        <v/>
      </c>
      <c r="CK39" s="45"/>
      <c r="CL39" s="44">
        <v>1</v>
      </c>
      <c r="CM39" s="50" t="s">
        <v>514</v>
      </c>
      <c r="CN39" s="44" t="s">
        <v>371</v>
      </c>
      <c r="CO39" s="44">
        <v>2</v>
      </c>
      <c r="CP39" s="44">
        <v>42</v>
      </c>
      <c r="CQ39" s="44">
        <v>10</v>
      </c>
      <c r="CR39" s="43" t="str">
        <f t="shared" si="19"/>
        <v>K00_P_</v>
      </c>
      <c r="CS39" s="45">
        <v>5000</v>
      </c>
      <c r="CT39" s="43" t="str">
        <f>IF(IFERROR(INDEX(Consulta!$A:$DP,MATCH('MM01'!$B39,Consulta!$C:$C,0),'MM01'!CT$2),"")=0,"",IFERROR(INDEX(Consulta!$A:$DP,MATCH('MM01'!$B39,Consulta!$C:$C,0),'MM01'!CT$2),""))</f>
        <v/>
      </c>
      <c r="CU39" s="43" t="str">
        <f>IF(IFERROR(INDEX(Consulta!$A:$DP,MATCH('MM01'!$B39,Consulta!$C:$C,0),'MM01'!CU$2),"")=0,"",IFERROR(INDEX(Consulta!$A:$DP,MATCH('MM01'!$B39,Consulta!$C:$C,0),'MM01'!CU$2),""))</f>
        <v/>
      </c>
      <c r="CV39" s="43" t="str">
        <f>IF(IFERROR(INDEX(Consulta!$A:$DP,MATCH('MM01'!$B39,Consulta!$C:$C,0),'MM01'!CV$2),"")=0,"",IFERROR(INDEX(Consulta!$A:$DP,MATCH('MM01'!$B39,Consulta!$C:$C,0),'MM01'!CV$2),""))</f>
        <v/>
      </c>
      <c r="CW39" s="43" t="str">
        <f>IF(IFERROR(INDEX(Consulta!$A:$DP,MATCH('MM01'!$B39,Consulta!$C:$C,0),'MM01'!CW$2),"")=0,"",IFERROR(INDEX(Consulta!$A:$DP,MATCH('MM01'!$B39,Consulta!$C:$C,0),'MM01'!CW$2),""))</f>
        <v/>
      </c>
      <c r="CX39" s="43" t="str">
        <f t="shared" si="20"/>
        <v/>
      </c>
      <c r="CY39" s="43" t="str">
        <f t="shared" si="21"/>
        <v/>
      </c>
      <c r="CZ39" s="43" t="str">
        <f t="shared" si="22"/>
        <v/>
      </c>
      <c r="DA39" s="43" t="str">
        <f>IF(IFERROR(INDEX(Consulta!$A:$DP,MATCH('MM01'!$B39,Consulta!$C:$C,0),'MM01'!DA$2),"")=0,"",IFERROR(INDEX(Consulta!$A:$DP,MATCH('MM01'!$B39,Consulta!$C:$C,0),'MM01'!DA$2),""))</f>
        <v/>
      </c>
      <c r="DB39" s="43" t="str">
        <f t="shared" si="23"/>
        <v/>
      </c>
      <c r="DC39" s="43" t="str">
        <f>IF(IFERROR(INDEX(Consulta!$A:$DP,MATCH('MM01'!$B39,Consulta!$C:$C,0),'MM01'!DC$2),"")=0,"",IFERROR(INDEX(Consulta!$A:$DP,MATCH('MM01'!$B39,Consulta!$C:$C,0),'MM01'!DC$2),""))</f>
        <v/>
      </c>
      <c r="DD39" s="45">
        <v>0</v>
      </c>
      <c r="DE39" s="45">
        <v>0</v>
      </c>
      <c r="DF39" s="43" t="str">
        <f t="shared" si="24"/>
        <v/>
      </c>
      <c r="DG39" s="43" t="str">
        <f t="shared" si="25"/>
        <v/>
      </c>
      <c r="DH39" s="57"/>
      <c r="DI39" s="43" t="str">
        <f t="shared" ca="1" si="26"/>
        <v/>
      </c>
      <c r="DJ39" s="43" t="str">
        <f t="shared" si="27"/>
        <v/>
      </c>
      <c r="DK39" s="43" t="str">
        <f t="shared" si="28"/>
        <v/>
      </c>
      <c r="DL39" s="57"/>
      <c r="DM39" s="43" t="str">
        <f t="shared" ca="1" si="29"/>
        <v/>
      </c>
      <c r="DN39" s="43" t="str">
        <f t="shared" si="30"/>
        <v/>
      </c>
      <c r="DO39" s="43" t="str">
        <f t="shared" si="31"/>
        <v/>
      </c>
      <c r="DP39" s="57"/>
      <c r="DQ39" s="43" t="str">
        <f t="shared" ca="1" si="32"/>
        <v/>
      </c>
      <c r="DR39" s="43" t="str">
        <f t="shared" si="33"/>
        <v/>
      </c>
      <c r="DS39" s="43" t="str">
        <f t="shared" si="34"/>
        <v/>
      </c>
      <c r="DT39" s="57"/>
      <c r="DU39" s="43" t="str">
        <f t="shared" ca="1" si="35"/>
        <v/>
      </c>
      <c r="DV39" s="43" t="str">
        <f t="shared" si="36"/>
        <v/>
      </c>
      <c r="DX39" s="44">
        <v>1</v>
      </c>
      <c r="DY39" s="44" t="s">
        <v>773</v>
      </c>
      <c r="DZ39" s="43">
        <f t="shared" si="37"/>
        <v>0.01</v>
      </c>
      <c r="EA39" s="43" t="str">
        <f t="shared" si="38"/>
        <v>M</v>
      </c>
      <c r="EB39" s="43" t="str">
        <f>IF(IFERROR(INDEX(Consulta!$A:$DP,MATCH('MM01'!$B39,Consulta!$C:$C,0),'MM01'!EB$2),"")=0,"7925",IF(IFERROR(INDEX(Consulta!$A:$DP,MATCH('MM01'!$B39,Consulta!$C:$C,0),'MM01'!EB$2),"")="68","7910","7925"))</f>
        <v>7925</v>
      </c>
      <c r="EC39" s="44">
        <v>100</v>
      </c>
      <c r="ED39" s="62">
        <v>1</v>
      </c>
      <c r="EE39" s="43">
        <f t="shared" si="39"/>
        <v>100</v>
      </c>
      <c r="EF39" s="44">
        <v>1</v>
      </c>
      <c r="EG39" s="44">
        <v>0</v>
      </c>
      <c r="EH39" s="44" t="s">
        <v>875</v>
      </c>
      <c r="EI39" s="45">
        <v>0</v>
      </c>
      <c r="EJ39" s="43">
        <f t="shared" si="40"/>
        <v>5000</v>
      </c>
      <c r="EK39" s="69"/>
    </row>
    <row r="40" spans="1:141" x14ac:dyDescent="0.2">
      <c r="A40" s="7" t="str">
        <f t="shared" si="0"/>
        <v>Execução 36</v>
      </c>
      <c r="B40" s="42"/>
      <c r="C40" s="43" t="str">
        <f>IF(IFERROR(INDEX(Consulta!$A:$DP,MATCH('MM01'!$B40,Consulta!$C:$C,0),'MM01'!C$2),"")=0,"",IFERROR(INDEX(Consulta!$A:$DP,MATCH('MM01'!$B40,Consulta!$C:$C,0),'MM01'!C$2),""))</f>
        <v/>
      </c>
      <c r="D40" s="43" t="str">
        <f>IF(IFERROR(INDEX(Consulta!$A:$DP,MATCH('MM01'!$B40,Consulta!$C:$C,0),'MM01'!D$2),"")=0,"",IFERROR(INDEX(Consulta!$A:$DP,MATCH('MM01'!$B40,Consulta!$C:$C,0),'MM01'!D$2),""))</f>
        <v/>
      </c>
      <c r="E40" s="43" t="str">
        <f>IF(IFERROR(INDEX(Consulta!$A:$DP,MATCH('MM01'!$B40,Consulta!$C:$C,0),'MM01'!E$2),"")=0,"",IFERROR(INDEX(Consulta!$A:$DP,MATCH('MM01'!$B40,Consulta!$C:$C,0),'MM01'!E$2),""))</f>
        <v/>
      </c>
      <c r="F40" s="44" t="s">
        <v>100</v>
      </c>
      <c r="G40" s="49" t="str">
        <f>IF(IFERROR(INDEX(Consulta!$A:$DP,MATCH('MM01'!$B40,Consulta!$C:$C,0),'MM01'!G$2),"")=0,"",IFERROR(INDEX(Consulta!$A:$DP,MATCH('MM01'!$B40,Consulta!$C:$C,0),'MM01'!G$2),""))</f>
        <v/>
      </c>
      <c r="H40" s="49" t="str">
        <f>IF(IFERROR(INDEX(Consulta!$A:$DP,MATCH('MM01'!$B40,Consulta!$C:$C,0),'MM01'!H$2),"")=0,"",IFERROR(INDEX(Consulta!$A:$DP,MATCH('MM01'!$B40,Consulta!$C:$C,0),'MM01'!H$2),""))</f>
        <v/>
      </c>
      <c r="I40" s="49" t="str">
        <f t="shared" si="1"/>
        <v/>
      </c>
      <c r="J40" s="49" t="str">
        <f>IF(IFERROR(INDEX(Consulta!$A:$DP,MATCH('MM01'!$B40,Consulta!$C:$C,0),'MM01'!J$2),"")=0,"",IFERROR(INDEX(Consulta!$A:$DP,MATCH('MM01'!$B40,Consulta!$C:$C,0),'MM01'!J$2),""))</f>
        <v/>
      </c>
      <c r="K40" s="49" t="str">
        <f t="shared" si="2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IF(IFERROR(INDEX(Consulta!$A:$DP,MATCH('MM01'!$B40,Consulta!$C:$C,0),'MM01'!AP$2),"")=0,"",IFERROR(INDEX(Consulta!$A:$DP,MATCH('MM01'!$B40,Consulta!$C:$C,0),'MM01'!AP$2),""))</f>
        <v/>
      </c>
      <c r="AQ40" s="45"/>
      <c r="AR40" s="43" t="str">
        <f>IF(IFERROR(INDEX(Consulta!$A:$DP,MATCH('MM01'!$B40,Consulta!$C:$C,0),'MM01'!AR$2),"")=0,"",IFERROR(INDEX(Consulta!$A:$DP,MATCH('MM01'!$B40,Consulta!$C:$C,0),'MM01'!AR$2),""))</f>
        <v/>
      </c>
      <c r="AS40" s="43" t="str">
        <f>IF(IFERROR(INDEX(Consulta!$A:$DP,MATCH('MM01'!$B40,Consulta!$C:$C,0),'MM01'!AS$2),"")=0,"",IF(AR40="68",5102,IFERROR(INDEX(Consulta!$A:$DP,MATCH('MM01'!$B40,Consulta!$C:$C,0),'MM01'!AS$2),"")))</f>
        <v/>
      </c>
      <c r="AT40" s="45"/>
      <c r="AU40" s="46" t="str">
        <f t="shared" ca="1" si="3"/>
        <v/>
      </c>
      <c r="AV40" s="47" t="s">
        <v>795</v>
      </c>
      <c r="AW40" s="43" t="str">
        <f>IF(IFERROR(INDEX(Consulta!$A:$DP,MATCH('MM01'!$B40,Consulta!$C:$C,0),'MM01'!AW$2),"")=0,"",IFERROR(ROUND(INDEX(Consulta!$A:$DP,MATCH('MM01'!$B40,Consulta!$C:$C,0),'MM01'!AW$2),3),""))</f>
        <v/>
      </c>
      <c r="AX40" s="43" t="str">
        <f t="shared" si="4"/>
        <v/>
      </c>
      <c r="AY40" s="48" t="s">
        <v>299</v>
      </c>
      <c r="AZ40" s="48"/>
      <c r="BA40" s="43" t="str">
        <f>IF(IFERROR(INDEX(Consulta!$A:$DP,MATCH('MM01'!$B40,Consulta!$C:$C,0),'MM01'!BA$2),"")=0,"",IFERROR(INDEX(Consulta!$A:$DP,MATCH('MM01'!$B40,Consulta!$C:$C,0),'MM01'!BA$2),""))</f>
        <v/>
      </c>
      <c r="BB40" s="43" t="str">
        <f t="shared" si="5"/>
        <v/>
      </c>
      <c r="BC40" s="43" t="str">
        <f t="shared" si="6"/>
        <v/>
      </c>
      <c r="BD40" s="43" t="str">
        <f t="shared" si="7"/>
        <v/>
      </c>
      <c r="BE40" s="43" t="str">
        <f t="shared" si="8"/>
        <v>M</v>
      </c>
      <c r="BF40" s="43" t="str">
        <f t="shared" si="9"/>
        <v/>
      </c>
      <c r="BG40" s="43" t="str">
        <f t="shared" si="10"/>
        <v/>
      </c>
      <c r="BH40" s="43" t="str">
        <f t="shared" si="11"/>
        <v/>
      </c>
      <c r="BI40" s="43" t="str">
        <f t="shared" si="12"/>
        <v>M</v>
      </c>
      <c r="BK40" s="45" t="s">
        <v>324</v>
      </c>
      <c r="BL40" s="43" t="str">
        <f>IF(IFERROR(INDEX(Consulta!$A:$DP,MATCH('MM01'!$B40,Consulta!$C:$C,0),'MM01'!BL$2),"")=0,"",IFERROR(INDEX(Consulta!$A:$DP,MATCH('MM01'!$B40,Consulta!$C:$C,0),'MM01'!BL$2),""))</f>
        <v/>
      </c>
      <c r="BM40" s="45"/>
      <c r="BN40" s="46" t="str">
        <f t="shared" ca="1" si="13"/>
        <v/>
      </c>
      <c r="BO40" s="49" t="str">
        <f t="shared" si="14"/>
        <v/>
      </c>
      <c r="BP40" s="50">
        <v>1</v>
      </c>
      <c r="BQ40" s="50" t="s">
        <v>194</v>
      </c>
      <c r="BR40" s="79" t="str">
        <f t="shared" si="15"/>
        <v>01</v>
      </c>
      <c r="BS40" s="50" t="s">
        <v>795</v>
      </c>
      <c r="BT40" s="44">
        <v>1</v>
      </c>
      <c r="BU40" s="44" t="s">
        <v>371</v>
      </c>
      <c r="BV40" s="50" t="s">
        <v>197</v>
      </c>
      <c r="BW40" s="50" t="s">
        <v>197</v>
      </c>
      <c r="BX40" s="43" t="str">
        <f>IF(IFERROR(INDEX(Consulta!$A:$DP,MATCH('MM01'!$B40,Consulta!$C:$C,0),'MM01'!BX$2),"")=0,"",IFERROR(INDEX(Consulta!$A:$DP,MATCH('MM01'!$B40,Consulta!$C:$C,0),'MM01'!BX$2),""))</f>
        <v/>
      </c>
      <c r="BY40" s="44" t="s">
        <v>391</v>
      </c>
      <c r="BZ40" s="50">
        <v>0</v>
      </c>
      <c r="CA40" s="45" t="s">
        <v>402</v>
      </c>
      <c r="CB40" s="45" t="s">
        <v>84</v>
      </c>
      <c r="CC40" s="43" t="str">
        <f t="shared" si="16"/>
        <v/>
      </c>
      <c r="CD40" s="45" t="s">
        <v>38</v>
      </c>
      <c r="CE40" s="45">
        <v>1</v>
      </c>
      <c r="CF40" s="45" t="s">
        <v>495</v>
      </c>
      <c r="CG40" s="45"/>
      <c r="CH40" s="44">
        <v>2</v>
      </c>
      <c r="CI40" s="49" t="str">
        <f t="shared" si="17"/>
        <v/>
      </c>
      <c r="CJ40" s="49" t="str">
        <f t="shared" si="18"/>
        <v/>
      </c>
      <c r="CK40" s="45"/>
      <c r="CL40" s="44">
        <v>1</v>
      </c>
      <c r="CM40" s="50" t="s">
        <v>514</v>
      </c>
      <c r="CN40" s="44" t="s">
        <v>371</v>
      </c>
      <c r="CO40" s="44">
        <v>2</v>
      </c>
      <c r="CP40" s="44">
        <v>42</v>
      </c>
      <c r="CQ40" s="44">
        <v>10</v>
      </c>
      <c r="CR40" s="43" t="str">
        <f t="shared" si="19"/>
        <v>K00_P_</v>
      </c>
      <c r="CS40" s="45">
        <v>5000</v>
      </c>
      <c r="CT40" s="43" t="str">
        <f>IF(IFERROR(INDEX(Consulta!$A:$DP,MATCH('MM01'!$B40,Consulta!$C:$C,0),'MM01'!CT$2),"")=0,"",IFERROR(INDEX(Consulta!$A:$DP,MATCH('MM01'!$B40,Consulta!$C:$C,0),'MM01'!CT$2),""))</f>
        <v/>
      </c>
      <c r="CU40" s="43" t="str">
        <f>IF(IFERROR(INDEX(Consulta!$A:$DP,MATCH('MM01'!$B40,Consulta!$C:$C,0),'MM01'!CU$2),"")=0,"",IFERROR(INDEX(Consulta!$A:$DP,MATCH('MM01'!$B40,Consulta!$C:$C,0),'MM01'!CU$2),""))</f>
        <v/>
      </c>
      <c r="CV40" s="43" t="str">
        <f>IF(IFERROR(INDEX(Consulta!$A:$DP,MATCH('MM01'!$B40,Consulta!$C:$C,0),'MM01'!CV$2),"")=0,"",IFERROR(INDEX(Consulta!$A:$DP,MATCH('MM01'!$B40,Consulta!$C:$C,0),'MM01'!CV$2),""))</f>
        <v/>
      </c>
      <c r="CW40" s="43" t="str">
        <f>IF(IFERROR(INDEX(Consulta!$A:$DP,MATCH('MM01'!$B40,Consulta!$C:$C,0),'MM01'!CW$2),"")=0,"",IFERROR(INDEX(Consulta!$A:$DP,MATCH('MM01'!$B40,Consulta!$C:$C,0),'MM01'!CW$2),""))</f>
        <v/>
      </c>
      <c r="CX40" s="43" t="str">
        <f t="shared" si="20"/>
        <v/>
      </c>
      <c r="CY40" s="43" t="str">
        <f t="shared" si="21"/>
        <v/>
      </c>
      <c r="CZ40" s="43" t="str">
        <f t="shared" si="22"/>
        <v/>
      </c>
      <c r="DA40" s="43" t="str">
        <f>IF(IFERROR(INDEX(Consulta!$A:$DP,MATCH('MM01'!$B40,Consulta!$C:$C,0),'MM01'!DA$2),"")=0,"",IFERROR(INDEX(Consulta!$A:$DP,MATCH('MM01'!$B40,Consulta!$C:$C,0),'MM01'!DA$2),""))</f>
        <v/>
      </c>
      <c r="DB40" s="43" t="str">
        <f t="shared" si="23"/>
        <v/>
      </c>
      <c r="DC40" s="43" t="str">
        <f>IF(IFERROR(INDEX(Consulta!$A:$DP,MATCH('MM01'!$B40,Consulta!$C:$C,0),'MM01'!DC$2),"")=0,"",IFERROR(INDEX(Consulta!$A:$DP,MATCH('MM01'!$B40,Consulta!$C:$C,0),'MM01'!DC$2),""))</f>
        <v/>
      </c>
      <c r="DD40" s="45">
        <v>0</v>
      </c>
      <c r="DE40" s="45">
        <v>0</v>
      </c>
      <c r="DF40" s="43" t="str">
        <f t="shared" si="24"/>
        <v/>
      </c>
      <c r="DG40" s="43" t="str">
        <f t="shared" si="25"/>
        <v/>
      </c>
      <c r="DH40" s="57"/>
      <c r="DI40" s="43" t="str">
        <f t="shared" ca="1" si="26"/>
        <v/>
      </c>
      <c r="DJ40" s="43" t="str">
        <f t="shared" si="27"/>
        <v/>
      </c>
      <c r="DK40" s="43" t="str">
        <f t="shared" si="28"/>
        <v/>
      </c>
      <c r="DL40" s="57"/>
      <c r="DM40" s="43" t="str">
        <f t="shared" ca="1" si="29"/>
        <v/>
      </c>
      <c r="DN40" s="43" t="str">
        <f t="shared" si="30"/>
        <v/>
      </c>
      <c r="DO40" s="43" t="str">
        <f t="shared" si="31"/>
        <v/>
      </c>
      <c r="DP40" s="57"/>
      <c r="DQ40" s="43" t="str">
        <f t="shared" ca="1" si="32"/>
        <v/>
      </c>
      <c r="DR40" s="43" t="str">
        <f t="shared" si="33"/>
        <v/>
      </c>
      <c r="DS40" s="43" t="str">
        <f t="shared" si="34"/>
        <v/>
      </c>
      <c r="DT40" s="57"/>
      <c r="DU40" s="43" t="str">
        <f t="shared" ca="1" si="35"/>
        <v/>
      </c>
      <c r="DV40" s="43" t="str">
        <f t="shared" si="36"/>
        <v/>
      </c>
      <c r="DX40" s="44">
        <v>1</v>
      </c>
      <c r="DY40" s="44" t="s">
        <v>773</v>
      </c>
      <c r="DZ40" s="43">
        <f t="shared" si="37"/>
        <v>0.01</v>
      </c>
      <c r="EA40" s="43" t="str">
        <f t="shared" si="38"/>
        <v>M</v>
      </c>
      <c r="EB40" s="43" t="str">
        <f>IF(IFERROR(INDEX(Consulta!$A:$DP,MATCH('MM01'!$B40,Consulta!$C:$C,0),'MM01'!EB$2),"")=0,"7925",IF(IFERROR(INDEX(Consulta!$A:$DP,MATCH('MM01'!$B40,Consulta!$C:$C,0),'MM01'!EB$2),"")="68","7910","7925"))</f>
        <v>7925</v>
      </c>
      <c r="EC40" s="44">
        <v>100</v>
      </c>
      <c r="ED40" s="62">
        <v>1</v>
      </c>
      <c r="EE40" s="43">
        <f t="shared" si="39"/>
        <v>100</v>
      </c>
      <c r="EF40" s="44">
        <v>1</v>
      </c>
      <c r="EG40" s="44">
        <v>0</v>
      </c>
      <c r="EH40" s="44" t="s">
        <v>875</v>
      </c>
      <c r="EI40" s="45">
        <v>0</v>
      </c>
      <c r="EJ40" s="43">
        <f t="shared" si="40"/>
        <v>5000</v>
      </c>
      <c r="EK40" s="69"/>
    </row>
    <row r="41" spans="1:141" x14ac:dyDescent="0.2">
      <c r="A41" s="7" t="str">
        <f t="shared" si="0"/>
        <v>Execução 37</v>
      </c>
      <c r="B41" s="42"/>
      <c r="C41" s="43" t="str">
        <f>IF(IFERROR(INDEX(Consulta!$A:$DP,MATCH('MM01'!$B41,Consulta!$C:$C,0),'MM01'!C$2),"")=0,"",IFERROR(INDEX(Consulta!$A:$DP,MATCH('MM01'!$B41,Consulta!$C:$C,0),'MM01'!C$2),""))</f>
        <v/>
      </c>
      <c r="D41" s="43" t="str">
        <f>IF(IFERROR(INDEX(Consulta!$A:$DP,MATCH('MM01'!$B41,Consulta!$C:$C,0),'MM01'!D$2),"")=0,"",IFERROR(INDEX(Consulta!$A:$DP,MATCH('MM01'!$B41,Consulta!$C:$C,0),'MM01'!D$2),""))</f>
        <v/>
      </c>
      <c r="E41" s="43" t="str">
        <f>IF(IFERROR(INDEX(Consulta!$A:$DP,MATCH('MM01'!$B41,Consulta!$C:$C,0),'MM01'!E$2),"")=0,"",IFERROR(INDEX(Consulta!$A:$DP,MATCH('MM01'!$B41,Consulta!$C:$C,0),'MM01'!E$2),""))</f>
        <v/>
      </c>
      <c r="F41" s="44" t="s">
        <v>100</v>
      </c>
      <c r="G41" s="49" t="str">
        <f>IF(IFERROR(INDEX(Consulta!$A:$DP,MATCH('MM01'!$B41,Consulta!$C:$C,0),'MM01'!G$2),"")=0,"",IFERROR(INDEX(Consulta!$A:$DP,MATCH('MM01'!$B41,Consulta!$C:$C,0),'MM01'!G$2),""))</f>
        <v/>
      </c>
      <c r="H41" s="49" t="str">
        <f>IF(IFERROR(INDEX(Consulta!$A:$DP,MATCH('MM01'!$B41,Consulta!$C:$C,0),'MM01'!H$2),"")=0,"",IFERROR(INDEX(Consulta!$A:$DP,MATCH('MM01'!$B41,Consulta!$C:$C,0),'MM01'!H$2),""))</f>
        <v/>
      </c>
      <c r="I41" s="49" t="str">
        <f t="shared" si="1"/>
        <v/>
      </c>
      <c r="J41" s="49" t="str">
        <f>IF(IFERROR(INDEX(Consulta!$A:$DP,MATCH('MM01'!$B41,Consulta!$C:$C,0),'MM01'!J$2),"")=0,"",IFERROR(INDEX(Consulta!$A:$DP,MATCH('MM01'!$B41,Consulta!$C:$C,0),'MM01'!J$2),""))</f>
        <v/>
      </c>
      <c r="K41" s="49" t="str">
        <f t="shared" si="2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IF(IFERROR(INDEX(Consulta!$A:$DP,MATCH('MM01'!$B41,Consulta!$C:$C,0),'MM01'!AP$2),"")=0,"",IFERROR(INDEX(Consulta!$A:$DP,MATCH('MM01'!$B41,Consulta!$C:$C,0),'MM01'!AP$2),""))</f>
        <v/>
      </c>
      <c r="AQ41" s="45"/>
      <c r="AR41" s="43" t="str">
        <f>IF(IFERROR(INDEX(Consulta!$A:$DP,MATCH('MM01'!$B41,Consulta!$C:$C,0),'MM01'!AR$2),"")=0,"",IFERROR(INDEX(Consulta!$A:$DP,MATCH('MM01'!$B41,Consulta!$C:$C,0),'MM01'!AR$2),""))</f>
        <v/>
      </c>
      <c r="AS41" s="43" t="str">
        <f>IF(IFERROR(INDEX(Consulta!$A:$DP,MATCH('MM01'!$B41,Consulta!$C:$C,0),'MM01'!AS$2),"")=0,"",IF(AR41="68",5102,IFERROR(INDEX(Consulta!$A:$DP,MATCH('MM01'!$B41,Consulta!$C:$C,0),'MM01'!AS$2),"")))</f>
        <v/>
      </c>
      <c r="AT41" s="45"/>
      <c r="AU41" s="46" t="str">
        <f t="shared" ca="1" si="3"/>
        <v/>
      </c>
      <c r="AV41" s="47" t="s">
        <v>795</v>
      </c>
      <c r="AW41" s="43" t="str">
        <f>IF(IFERROR(INDEX(Consulta!$A:$DP,MATCH('MM01'!$B41,Consulta!$C:$C,0),'MM01'!AW$2),"")=0,"",IFERROR(ROUND(INDEX(Consulta!$A:$DP,MATCH('MM01'!$B41,Consulta!$C:$C,0),'MM01'!AW$2),3),""))</f>
        <v/>
      </c>
      <c r="AX41" s="43" t="str">
        <f t="shared" si="4"/>
        <v/>
      </c>
      <c r="AY41" s="48" t="s">
        <v>299</v>
      </c>
      <c r="AZ41" s="48"/>
      <c r="BA41" s="43" t="str">
        <f>IF(IFERROR(INDEX(Consulta!$A:$DP,MATCH('MM01'!$B41,Consulta!$C:$C,0),'MM01'!BA$2),"")=0,"",IFERROR(INDEX(Consulta!$A:$DP,MATCH('MM01'!$B41,Consulta!$C:$C,0),'MM01'!BA$2),""))</f>
        <v/>
      </c>
      <c r="BB41" s="43" t="str">
        <f t="shared" si="5"/>
        <v/>
      </c>
      <c r="BC41" s="43" t="str">
        <f t="shared" si="6"/>
        <v/>
      </c>
      <c r="BD41" s="43" t="str">
        <f t="shared" si="7"/>
        <v/>
      </c>
      <c r="BE41" s="43" t="str">
        <f t="shared" si="8"/>
        <v>M</v>
      </c>
      <c r="BF41" s="43" t="str">
        <f t="shared" si="9"/>
        <v/>
      </c>
      <c r="BG41" s="43" t="str">
        <f t="shared" si="10"/>
        <v/>
      </c>
      <c r="BH41" s="43" t="str">
        <f t="shared" si="11"/>
        <v/>
      </c>
      <c r="BI41" s="43" t="str">
        <f t="shared" si="12"/>
        <v>M</v>
      </c>
      <c r="BK41" s="45" t="s">
        <v>324</v>
      </c>
      <c r="BL41" s="43" t="str">
        <f>IF(IFERROR(INDEX(Consulta!$A:$DP,MATCH('MM01'!$B41,Consulta!$C:$C,0),'MM01'!BL$2),"")=0,"",IFERROR(INDEX(Consulta!$A:$DP,MATCH('MM01'!$B41,Consulta!$C:$C,0),'MM01'!BL$2),""))</f>
        <v/>
      </c>
      <c r="BM41" s="45"/>
      <c r="BN41" s="46" t="str">
        <f t="shared" ca="1" si="13"/>
        <v/>
      </c>
      <c r="BO41" s="49" t="str">
        <f t="shared" si="14"/>
        <v/>
      </c>
      <c r="BP41" s="50">
        <v>1</v>
      </c>
      <c r="BQ41" s="50" t="s">
        <v>194</v>
      </c>
      <c r="BR41" s="79" t="str">
        <f t="shared" si="15"/>
        <v>01</v>
      </c>
      <c r="BS41" s="50" t="s">
        <v>795</v>
      </c>
      <c r="BT41" s="44">
        <v>1</v>
      </c>
      <c r="BU41" s="44" t="s">
        <v>371</v>
      </c>
      <c r="BV41" s="50" t="s">
        <v>197</v>
      </c>
      <c r="BW41" s="50" t="s">
        <v>197</v>
      </c>
      <c r="BX41" s="43" t="str">
        <f>IF(IFERROR(INDEX(Consulta!$A:$DP,MATCH('MM01'!$B41,Consulta!$C:$C,0),'MM01'!BX$2),"")=0,"",IFERROR(INDEX(Consulta!$A:$DP,MATCH('MM01'!$B41,Consulta!$C:$C,0),'MM01'!BX$2),""))</f>
        <v/>
      </c>
      <c r="BY41" s="44" t="s">
        <v>391</v>
      </c>
      <c r="BZ41" s="50">
        <v>0</v>
      </c>
      <c r="CA41" s="45" t="s">
        <v>402</v>
      </c>
      <c r="CB41" s="45" t="s">
        <v>84</v>
      </c>
      <c r="CC41" s="43" t="str">
        <f t="shared" si="16"/>
        <v/>
      </c>
      <c r="CD41" s="45" t="s">
        <v>38</v>
      </c>
      <c r="CE41" s="45">
        <v>1</v>
      </c>
      <c r="CF41" s="45" t="s">
        <v>495</v>
      </c>
      <c r="CG41" s="45"/>
      <c r="CH41" s="44">
        <v>2</v>
      </c>
      <c r="CI41" s="49" t="str">
        <f t="shared" si="17"/>
        <v/>
      </c>
      <c r="CJ41" s="49" t="str">
        <f t="shared" si="18"/>
        <v/>
      </c>
      <c r="CK41" s="45"/>
      <c r="CL41" s="44">
        <v>1</v>
      </c>
      <c r="CM41" s="50" t="s">
        <v>514</v>
      </c>
      <c r="CN41" s="44" t="s">
        <v>371</v>
      </c>
      <c r="CO41" s="44">
        <v>2</v>
      </c>
      <c r="CP41" s="44">
        <v>42</v>
      </c>
      <c r="CQ41" s="44">
        <v>10</v>
      </c>
      <c r="CR41" s="43" t="str">
        <f t="shared" si="19"/>
        <v>K00_P_</v>
      </c>
      <c r="CS41" s="45">
        <v>5000</v>
      </c>
      <c r="CT41" s="43" t="str">
        <f>IF(IFERROR(INDEX(Consulta!$A:$DP,MATCH('MM01'!$B41,Consulta!$C:$C,0),'MM01'!CT$2),"")=0,"",IFERROR(INDEX(Consulta!$A:$DP,MATCH('MM01'!$B41,Consulta!$C:$C,0),'MM01'!CT$2),""))</f>
        <v/>
      </c>
      <c r="CU41" s="43" t="str">
        <f>IF(IFERROR(INDEX(Consulta!$A:$DP,MATCH('MM01'!$B41,Consulta!$C:$C,0),'MM01'!CU$2),"")=0,"",IFERROR(INDEX(Consulta!$A:$DP,MATCH('MM01'!$B41,Consulta!$C:$C,0),'MM01'!CU$2),""))</f>
        <v/>
      </c>
      <c r="CV41" s="43" t="str">
        <f>IF(IFERROR(INDEX(Consulta!$A:$DP,MATCH('MM01'!$B41,Consulta!$C:$C,0),'MM01'!CV$2),"")=0,"",IFERROR(INDEX(Consulta!$A:$DP,MATCH('MM01'!$B41,Consulta!$C:$C,0),'MM01'!CV$2),""))</f>
        <v/>
      </c>
      <c r="CW41" s="43" t="str">
        <f>IF(IFERROR(INDEX(Consulta!$A:$DP,MATCH('MM01'!$B41,Consulta!$C:$C,0),'MM01'!CW$2),"")=0,"",IFERROR(INDEX(Consulta!$A:$DP,MATCH('MM01'!$B41,Consulta!$C:$C,0),'MM01'!CW$2),""))</f>
        <v/>
      </c>
      <c r="CX41" s="43" t="str">
        <f t="shared" si="20"/>
        <v/>
      </c>
      <c r="CY41" s="43" t="str">
        <f t="shared" si="21"/>
        <v/>
      </c>
      <c r="CZ41" s="43" t="str">
        <f t="shared" si="22"/>
        <v/>
      </c>
      <c r="DA41" s="43" t="str">
        <f>IF(IFERROR(INDEX(Consulta!$A:$DP,MATCH('MM01'!$B41,Consulta!$C:$C,0),'MM01'!DA$2),"")=0,"",IFERROR(INDEX(Consulta!$A:$DP,MATCH('MM01'!$B41,Consulta!$C:$C,0),'MM01'!DA$2),""))</f>
        <v/>
      </c>
      <c r="DB41" s="43" t="str">
        <f t="shared" si="23"/>
        <v/>
      </c>
      <c r="DC41" s="43" t="str">
        <f>IF(IFERROR(INDEX(Consulta!$A:$DP,MATCH('MM01'!$B41,Consulta!$C:$C,0),'MM01'!DC$2),"")=0,"",IFERROR(INDEX(Consulta!$A:$DP,MATCH('MM01'!$B41,Consulta!$C:$C,0),'MM01'!DC$2),""))</f>
        <v/>
      </c>
      <c r="DD41" s="45">
        <v>0</v>
      </c>
      <c r="DE41" s="45">
        <v>0</v>
      </c>
      <c r="DF41" s="43" t="str">
        <f t="shared" si="24"/>
        <v/>
      </c>
      <c r="DG41" s="43" t="str">
        <f t="shared" si="25"/>
        <v/>
      </c>
      <c r="DH41" s="57"/>
      <c r="DI41" s="43" t="str">
        <f t="shared" ca="1" si="26"/>
        <v/>
      </c>
      <c r="DJ41" s="43" t="str">
        <f t="shared" si="27"/>
        <v/>
      </c>
      <c r="DK41" s="43" t="str">
        <f t="shared" si="28"/>
        <v/>
      </c>
      <c r="DL41" s="57"/>
      <c r="DM41" s="43" t="str">
        <f t="shared" ca="1" si="29"/>
        <v/>
      </c>
      <c r="DN41" s="43" t="str">
        <f t="shared" si="30"/>
        <v/>
      </c>
      <c r="DO41" s="43" t="str">
        <f t="shared" si="31"/>
        <v/>
      </c>
      <c r="DP41" s="57"/>
      <c r="DQ41" s="43" t="str">
        <f t="shared" ca="1" si="32"/>
        <v/>
      </c>
      <c r="DR41" s="43" t="str">
        <f t="shared" si="33"/>
        <v/>
      </c>
      <c r="DS41" s="43" t="str">
        <f t="shared" si="34"/>
        <v/>
      </c>
      <c r="DT41" s="57"/>
      <c r="DU41" s="43" t="str">
        <f t="shared" ca="1" si="35"/>
        <v/>
      </c>
      <c r="DV41" s="43" t="str">
        <f t="shared" si="36"/>
        <v/>
      </c>
      <c r="DX41" s="44">
        <v>1</v>
      </c>
      <c r="DY41" s="44" t="s">
        <v>773</v>
      </c>
      <c r="DZ41" s="43">
        <f t="shared" si="37"/>
        <v>0.01</v>
      </c>
      <c r="EA41" s="43" t="str">
        <f t="shared" si="38"/>
        <v>M</v>
      </c>
      <c r="EB41" s="43" t="str">
        <f>IF(IFERROR(INDEX(Consulta!$A:$DP,MATCH('MM01'!$B41,Consulta!$C:$C,0),'MM01'!EB$2),"")=0,"7925",IF(IFERROR(INDEX(Consulta!$A:$DP,MATCH('MM01'!$B41,Consulta!$C:$C,0),'MM01'!EB$2),"")="68","7910","7925"))</f>
        <v>7925</v>
      </c>
      <c r="EC41" s="44">
        <v>100</v>
      </c>
      <c r="ED41" s="62">
        <v>1</v>
      </c>
      <c r="EE41" s="43">
        <f t="shared" si="39"/>
        <v>100</v>
      </c>
      <c r="EF41" s="44">
        <v>1</v>
      </c>
      <c r="EG41" s="44">
        <v>0</v>
      </c>
      <c r="EH41" s="44" t="s">
        <v>875</v>
      </c>
      <c r="EI41" s="45">
        <v>0</v>
      </c>
      <c r="EJ41" s="43">
        <f t="shared" si="40"/>
        <v>5000</v>
      </c>
      <c r="EK41" s="69"/>
    </row>
    <row r="42" spans="1:141" x14ac:dyDescent="0.2">
      <c r="A42" s="7" t="str">
        <f t="shared" si="0"/>
        <v>Execução 38</v>
      </c>
      <c r="B42" s="42"/>
      <c r="C42" s="43" t="str">
        <f>IF(IFERROR(INDEX(Consulta!$A:$DP,MATCH('MM01'!$B42,Consulta!$C:$C,0),'MM01'!C$2),"")=0,"",IFERROR(INDEX(Consulta!$A:$DP,MATCH('MM01'!$B42,Consulta!$C:$C,0),'MM01'!C$2),""))</f>
        <v/>
      </c>
      <c r="D42" s="43" t="str">
        <f>IF(IFERROR(INDEX(Consulta!$A:$DP,MATCH('MM01'!$B42,Consulta!$C:$C,0),'MM01'!D$2),"")=0,"",IFERROR(INDEX(Consulta!$A:$DP,MATCH('MM01'!$B42,Consulta!$C:$C,0),'MM01'!D$2),""))</f>
        <v/>
      </c>
      <c r="E42" s="43" t="str">
        <f>IF(IFERROR(INDEX(Consulta!$A:$DP,MATCH('MM01'!$B42,Consulta!$C:$C,0),'MM01'!E$2),"")=0,"",IFERROR(INDEX(Consulta!$A:$DP,MATCH('MM01'!$B42,Consulta!$C:$C,0),'MM01'!E$2),""))</f>
        <v/>
      </c>
      <c r="F42" s="44" t="s">
        <v>100</v>
      </c>
      <c r="G42" s="49" t="str">
        <f>IF(IFERROR(INDEX(Consulta!$A:$DP,MATCH('MM01'!$B42,Consulta!$C:$C,0),'MM01'!G$2),"")=0,"",IFERROR(INDEX(Consulta!$A:$DP,MATCH('MM01'!$B42,Consulta!$C:$C,0),'MM01'!G$2),""))</f>
        <v/>
      </c>
      <c r="H42" s="49" t="str">
        <f>IF(IFERROR(INDEX(Consulta!$A:$DP,MATCH('MM01'!$B42,Consulta!$C:$C,0),'MM01'!H$2),"")=0,"",IFERROR(INDEX(Consulta!$A:$DP,MATCH('MM01'!$B42,Consulta!$C:$C,0),'MM01'!H$2),""))</f>
        <v/>
      </c>
      <c r="I42" s="49" t="str">
        <f t="shared" si="1"/>
        <v/>
      </c>
      <c r="J42" s="49" t="str">
        <f>IF(IFERROR(INDEX(Consulta!$A:$DP,MATCH('MM01'!$B42,Consulta!$C:$C,0),'MM01'!J$2),"")=0,"",IFERROR(INDEX(Consulta!$A:$DP,MATCH('MM01'!$B42,Consulta!$C:$C,0),'MM01'!J$2),""))</f>
        <v/>
      </c>
      <c r="K42" s="49" t="str">
        <f t="shared" si="2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IF(IFERROR(INDEX(Consulta!$A:$DP,MATCH('MM01'!$B42,Consulta!$C:$C,0),'MM01'!AP$2),"")=0,"",IFERROR(INDEX(Consulta!$A:$DP,MATCH('MM01'!$B42,Consulta!$C:$C,0),'MM01'!AP$2),""))</f>
        <v/>
      </c>
      <c r="AQ42" s="45"/>
      <c r="AR42" s="43" t="str">
        <f>IF(IFERROR(INDEX(Consulta!$A:$DP,MATCH('MM01'!$B42,Consulta!$C:$C,0),'MM01'!AR$2),"")=0,"",IFERROR(INDEX(Consulta!$A:$DP,MATCH('MM01'!$B42,Consulta!$C:$C,0),'MM01'!AR$2),""))</f>
        <v/>
      </c>
      <c r="AS42" s="43" t="str">
        <f>IF(IFERROR(INDEX(Consulta!$A:$DP,MATCH('MM01'!$B42,Consulta!$C:$C,0),'MM01'!AS$2),"")=0,"",IF(AR42="68",5102,IFERROR(INDEX(Consulta!$A:$DP,MATCH('MM01'!$B42,Consulta!$C:$C,0),'MM01'!AS$2),"")))</f>
        <v/>
      </c>
      <c r="AT42" s="45"/>
      <c r="AU42" s="46" t="str">
        <f t="shared" ca="1" si="3"/>
        <v/>
      </c>
      <c r="AV42" s="47" t="s">
        <v>795</v>
      </c>
      <c r="AW42" s="43" t="str">
        <f>IF(IFERROR(INDEX(Consulta!$A:$DP,MATCH('MM01'!$B42,Consulta!$C:$C,0),'MM01'!AW$2),"")=0,"",IFERROR(ROUND(INDEX(Consulta!$A:$DP,MATCH('MM01'!$B42,Consulta!$C:$C,0),'MM01'!AW$2),3),""))</f>
        <v/>
      </c>
      <c r="AX42" s="43" t="str">
        <f t="shared" si="4"/>
        <v/>
      </c>
      <c r="AY42" s="48" t="s">
        <v>299</v>
      </c>
      <c r="AZ42" s="48"/>
      <c r="BA42" s="43" t="str">
        <f>IF(IFERROR(INDEX(Consulta!$A:$DP,MATCH('MM01'!$B42,Consulta!$C:$C,0),'MM01'!BA$2),"")=0,"",IFERROR(INDEX(Consulta!$A:$DP,MATCH('MM01'!$B42,Consulta!$C:$C,0),'MM01'!BA$2),""))</f>
        <v/>
      </c>
      <c r="BB42" s="43" t="str">
        <f t="shared" si="5"/>
        <v/>
      </c>
      <c r="BC42" s="43" t="str">
        <f t="shared" si="6"/>
        <v/>
      </c>
      <c r="BD42" s="43" t="str">
        <f t="shared" si="7"/>
        <v/>
      </c>
      <c r="BE42" s="43" t="str">
        <f t="shared" si="8"/>
        <v>M</v>
      </c>
      <c r="BF42" s="43" t="str">
        <f t="shared" si="9"/>
        <v/>
      </c>
      <c r="BG42" s="43" t="str">
        <f t="shared" si="10"/>
        <v/>
      </c>
      <c r="BH42" s="43" t="str">
        <f t="shared" si="11"/>
        <v/>
      </c>
      <c r="BI42" s="43" t="str">
        <f t="shared" si="12"/>
        <v>M</v>
      </c>
      <c r="BK42" s="45" t="s">
        <v>324</v>
      </c>
      <c r="BL42" s="43" t="str">
        <f>IF(IFERROR(INDEX(Consulta!$A:$DP,MATCH('MM01'!$B42,Consulta!$C:$C,0),'MM01'!BL$2),"")=0,"",IFERROR(INDEX(Consulta!$A:$DP,MATCH('MM01'!$B42,Consulta!$C:$C,0),'MM01'!BL$2),""))</f>
        <v/>
      </c>
      <c r="BM42" s="45"/>
      <c r="BN42" s="46" t="str">
        <f t="shared" ca="1" si="13"/>
        <v/>
      </c>
      <c r="BO42" s="49" t="str">
        <f t="shared" si="14"/>
        <v/>
      </c>
      <c r="BP42" s="50">
        <v>1</v>
      </c>
      <c r="BQ42" s="50" t="s">
        <v>194</v>
      </c>
      <c r="BR42" s="79" t="str">
        <f t="shared" si="15"/>
        <v>01</v>
      </c>
      <c r="BS42" s="50" t="s">
        <v>795</v>
      </c>
      <c r="BT42" s="44">
        <v>1</v>
      </c>
      <c r="BU42" s="44" t="s">
        <v>371</v>
      </c>
      <c r="BV42" s="50" t="s">
        <v>197</v>
      </c>
      <c r="BW42" s="50" t="s">
        <v>197</v>
      </c>
      <c r="BX42" s="43" t="str">
        <f>IF(IFERROR(INDEX(Consulta!$A:$DP,MATCH('MM01'!$B42,Consulta!$C:$C,0),'MM01'!BX$2),"")=0,"",IFERROR(INDEX(Consulta!$A:$DP,MATCH('MM01'!$B42,Consulta!$C:$C,0),'MM01'!BX$2),""))</f>
        <v/>
      </c>
      <c r="BY42" s="44" t="s">
        <v>391</v>
      </c>
      <c r="BZ42" s="50">
        <v>0</v>
      </c>
      <c r="CA42" s="45" t="s">
        <v>402</v>
      </c>
      <c r="CB42" s="45" t="s">
        <v>84</v>
      </c>
      <c r="CC42" s="43" t="str">
        <f t="shared" si="16"/>
        <v/>
      </c>
      <c r="CD42" s="45" t="s">
        <v>38</v>
      </c>
      <c r="CE42" s="45">
        <v>1</v>
      </c>
      <c r="CF42" s="45" t="s">
        <v>495</v>
      </c>
      <c r="CG42" s="45"/>
      <c r="CH42" s="44">
        <v>2</v>
      </c>
      <c r="CI42" s="49" t="str">
        <f t="shared" si="17"/>
        <v/>
      </c>
      <c r="CJ42" s="49" t="str">
        <f t="shared" si="18"/>
        <v/>
      </c>
      <c r="CK42" s="45"/>
      <c r="CL42" s="44">
        <v>1</v>
      </c>
      <c r="CM42" s="50" t="s">
        <v>514</v>
      </c>
      <c r="CN42" s="44" t="s">
        <v>371</v>
      </c>
      <c r="CO42" s="44">
        <v>2</v>
      </c>
      <c r="CP42" s="44">
        <v>42</v>
      </c>
      <c r="CQ42" s="44">
        <v>10</v>
      </c>
      <c r="CR42" s="43" t="str">
        <f t="shared" si="19"/>
        <v>K00_P_</v>
      </c>
      <c r="CS42" s="45">
        <v>5000</v>
      </c>
      <c r="CT42" s="43" t="str">
        <f>IF(IFERROR(INDEX(Consulta!$A:$DP,MATCH('MM01'!$B42,Consulta!$C:$C,0),'MM01'!CT$2),"")=0,"",IFERROR(INDEX(Consulta!$A:$DP,MATCH('MM01'!$B42,Consulta!$C:$C,0),'MM01'!CT$2),""))</f>
        <v/>
      </c>
      <c r="CU42" s="43" t="str">
        <f>IF(IFERROR(INDEX(Consulta!$A:$DP,MATCH('MM01'!$B42,Consulta!$C:$C,0),'MM01'!CU$2),"")=0,"",IFERROR(INDEX(Consulta!$A:$DP,MATCH('MM01'!$B42,Consulta!$C:$C,0),'MM01'!CU$2),""))</f>
        <v/>
      </c>
      <c r="CV42" s="43" t="str">
        <f>IF(IFERROR(INDEX(Consulta!$A:$DP,MATCH('MM01'!$B42,Consulta!$C:$C,0),'MM01'!CV$2),"")=0,"",IFERROR(INDEX(Consulta!$A:$DP,MATCH('MM01'!$B42,Consulta!$C:$C,0),'MM01'!CV$2),""))</f>
        <v/>
      </c>
      <c r="CW42" s="43" t="str">
        <f>IF(IFERROR(INDEX(Consulta!$A:$DP,MATCH('MM01'!$B42,Consulta!$C:$C,0),'MM01'!CW$2),"")=0,"",IFERROR(INDEX(Consulta!$A:$DP,MATCH('MM01'!$B42,Consulta!$C:$C,0),'MM01'!CW$2),""))</f>
        <v/>
      </c>
      <c r="CX42" s="43" t="str">
        <f t="shared" si="20"/>
        <v/>
      </c>
      <c r="CY42" s="43" t="str">
        <f t="shared" si="21"/>
        <v/>
      </c>
      <c r="CZ42" s="43" t="str">
        <f t="shared" si="22"/>
        <v/>
      </c>
      <c r="DA42" s="43" t="str">
        <f>IF(IFERROR(INDEX(Consulta!$A:$DP,MATCH('MM01'!$B42,Consulta!$C:$C,0),'MM01'!DA$2),"")=0,"",IFERROR(INDEX(Consulta!$A:$DP,MATCH('MM01'!$B42,Consulta!$C:$C,0),'MM01'!DA$2),""))</f>
        <v/>
      </c>
      <c r="DB42" s="43" t="str">
        <f t="shared" si="23"/>
        <v/>
      </c>
      <c r="DC42" s="43" t="str">
        <f>IF(IFERROR(INDEX(Consulta!$A:$DP,MATCH('MM01'!$B42,Consulta!$C:$C,0),'MM01'!DC$2),"")=0,"",IFERROR(INDEX(Consulta!$A:$DP,MATCH('MM01'!$B42,Consulta!$C:$C,0),'MM01'!DC$2),""))</f>
        <v/>
      </c>
      <c r="DD42" s="45">
        <v>0</v>
      </c>
      <c r="DE42" s="45">
        <v>0</v>
      </c>
      <c r="DF42" s="43" t="str">
        <f t="shared" si="24"/>
        <v/>
      </c>
      <c r="DG42" s="43" t="str">
        <f t="shared" si="25"/>
        <v/>
      </c>
      <c r="DH42" s="57"/>
      <c r="DI42" s="43" t="str">
        <f t="shared" ca="1" si="26"/>
        <v/>
      </c>
      <c r="DJ42" s="43" t="str">
        <f t="shared" si="27"/>
        <v/>
      </c>
      <c r="DK42" s="43" t="str">
        <f t="shared" si="28"/>
        <v/>
      </c>
      <c r="DL42" s="57"/>
      <c r="DM42" s="43" t="str">
        <f t="shared" ca="1" si="29"/>
        <v/>
      </c>
      <c r="DN42" s="43" t="str">
        <f t="shared" si="30"/>
        <v/>
      </c>
      <c r="DO42" s="43" t="str">
        <f t="shared" si="31"/>
        <v/>
      </c>
      <c r="DP42" s="57"/>
      <c r="DQ42" s="43" t="str">
        <f t="shared" ca="1" si="32"/>
        <v/>
      </c>
      <c r="DR42" s="43" t="str">
        <f t="shared" si="33"/>
        <v/>
      </c>
      <c r="DS42" s="43" t="str">
        <f t="shared" si="34"/>
        <v/>
      </c>
      <c r="DT42" s="57"/>
      <c r="DU42" s="43" t="str">
        <f t="shared" ca="1" si="35"/>
        <v/>
      </c>
      <c r="DV42" s="43" t="str">
        <f t="shared" si="36"/>
        <v/>
      </c>
      <c r="DX42" s="44">
        <v>1</v>
      </c>
      <c r="DY42" s="44" t="s">
        <v>773</v>
      </c>
      <c r="DZ42" s="43">
        <f t="shared" si="37"/>
        <v>0.01</v>
      </c>
      <c r="EA42" s="43" t="str">
        <f t="shared" si="38"/>
        <v>M</v>
      </c>
      <c r="EB42" s="43" t="str">
        <f>IF(IFERROR(INDEX(Consulta!$A:$DP,MATCH('MM01'!$B42,Consulta!$C:$C,0),'MM01'!EB$2),"")=0,"7925",IF(IFERROR(INDEX(Consulta!$A:$DP,MATCH('MM01'!$B42,Consulta!$C:$C,0),'MM01'!EB$2),"")="68","7910","7925"))</f>
        <v>7925</v>
      </c>
      <c r="EC42" s="44">
        <v>100</v>
      </c>
      <c r="ED42" s="62">
        <v>1</v>
      </c>
      <c r="EE42" s="43">
        <f t="shared" si="39"/>
        <v>100</v>
      </c>
      <c r="EF42" s="44">
        <v>1</v>
      </c>
      <c r="EG42" s="44">
        <v>0</v>
      </c>
      <c r="EH42" s="44" t="s">
        <v>875</v>
      </c>
      <c r="EI42" s="45">
        <v>0</v>
      </c>
      <c r="EJ42" s="43">
        <f t="shared" si="40"/>
        <v>5000</v>
      </c>
      <c r="EK42" s="69"/>
    </row>
    <row r="43" spans="1:141" x14ac:dyDescent="0.2">
      <c r="A43" s="7" t="str">
        <f t="shared" si="0"/>
        <v>Execução 39</v>
      </c>
      <c r="B43" s="42"/>
      <c r="C43" s="43" t="str">
        <f>IF(IFERROR(INDEX(Consulta!$A:$DP,MATCH('MM01'!$B43,Consulta!$C:$C,0),'MM01'!C$2),"")=0,"",IFERROR(INDEX(Consulta!$A:$DP,MATCH('MM01'!$B43,Consulta!$C:$C,0),'MM01'!C$2),""))</f>
        <v/>
      </c>
      <c r="D43" s="43" t="str">
        <f>IF(IFERROR(INDEX(Consulta!$A:$DP,MATCH('MM01'!$B43,Consulta!$C:$C,0),'MM01'!D$2),"")=0,"",IFERROR(INDEX(Consulta!$A:$DP,MATCH('MM01'!$B43,Consulta!$C:$C,0),'MM01'!D$2),""))</f>
        <v/>
      </c>
      <c r="E43" s="43" t="str">
        <f>IF(IFERROR(INDEX(Consulta!$A:$DP,MATCH('MM01'!$B43,Consulta!$C:$C,0),'MM01'!E$2),"")=0,"",IFERROR(INDEX(Consulta!$A:$DP,MATCH('MM01'!$B43,Consulta!$C:$C,0),'MM01'!E$2),""))</f>
        <v/>
      </c>
      <c r="F43" s="44" t="s">
        <v>100</v>
      </c>
      <c r="G43" s="49" t="str">
        <f>IF(IFERROR(INDEX(Consulta!$A:$DP,MATCH('MM01'!$B43,Consulta!$C:$C,0),'MM01'!G$2),"")=0,"",IFERROR(INDEX(Consulta!$A:$DP,MATCH('MM01'!$B43,Consulta!$C:$C,0),'MM01'!G$2),""))</f>
        <v/>
      </c>
      <c r="H43" s="49" t="str">
        <f>IF(IFERROR(INDEX(Consulta!$A:$DP,MATCH('MM01'!$B43,Consulta!$C:$C,0),'MM01'!H$2),"")=0,"",IFERROR(INDEX(Consulta!$A:$DP,MATCH('MM01'!$B43,Consulta!$C:$C,0),'MM01'!H$2),""))</f>
        <v/>
      </c>
      <c r="I43" s="49" t="str">
        <f t="shared" si="1"/>
        <v/>
      </c>
      <c r="J43" s="49" t="str">
        <f>IF(IFERROR(INDEX(Consulta!$A:$DP,MATCH('MM01'!$B43,Consulta!$C:$C,0),'MM01'!J$2),"")=0,"",IFERROR(INDEX(Consulta!$A:$DP,MATCH('MM01'!$B43,Consulta!$C:$C,0),'MM01'!J$2),""))</f>
        <v/>
      </c>
      <c r="K43" s="49" t="str">
        <f t="shared" si="2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IF(IFERROR(INDEX(Consulta!$A:$DP,MATCH('MM01'!$B43,Consulta!$C:$C,0),'MM01'!AP$2),"")=0,"",IFERROR(INDEX(Consulta!$A:$DP,MATCH('MM01'!$B43,Consulta!$C:$C,0),'MM01'!AP$2),""))</f>
        <v/>
      </c>
      <c r="AQ43" s="45"/>
      <c r="AR43" s="43" t="str">
        <f>IF(IFERROR(INDEX(Consulta!$A:$DP,MATCH('MM01'!$B43,Consulta!$C:$C,0),'MM01'!AR$2),"")=0,"",IFERROR(INDEX(Consulta!$A:$DP,MATCH('MM01'!$B43,Consulta!$C:$C,0),'MM01'!AR$2),""))</f>
        <v/>
      </c>
      <c r="AS43" s="43" t="str">
        <f>IF(IFERROR(INDEX(Consulta!$A:$DP,MATCH('MM01'!$B43,Consulta!$C:$C,0),'MM01'!AS$2),"")=0,"",IF(AR43="68",5102,IFERROR(INDEX(Consulta!$A:$DP,MATCH('MM01'!$B43,Consulta!$C:$C,0),'MM01'!AS$2),"")))</f>
        <v/>
      </c>
      <c r="AT43" s="45"/>
      <c r="AU43" s="46" t="str">
        <f t="shared" ca="1" si="3"/>
        <v/>
      </c>
      <c r="AV43" s="47" t="s">
        <v>795</v>
      </c>
      <c r="AW43" s="43" t="str">
        <f>IF(IFERROR(INDEX(Consulta!$A:$DP,MATCH('MM01'!$B43,Consulta!$C:$C,0),'MM01'!AW$2),"")=0,"",IFERROR(ROUND(INDEX(Consulta!$A:$DP,MATCH('MM01'!$B43,Consulta!$C:$C,0),'MM01'!AW$2),3),""))</f>
        <v/>
      </c>
      <c r="AX43" s="43" t="str">
        <f t="shared" si="4"/>
        <v/>
      </c>
      <c r="AY43" s="48" t="s">
        <v>299</v>
      </c>
      <c r="AZ43" s="48"/>
      <c r="BA43" s="43" t="str">
        <f>IF(IFERROR(INDEX(Consulta!$A:$DP,MATCH('MM01'!$B43,Consulta!$C:$C,0),'MM01'!BA$2),"")=0,"",IFERROR(INDEX(Consulta!$A:$DP,MATCH('MM01'!$B43,Consulta!$C:$C,0),'MM01'!BA$2),""))</f>
        <v/>
      </c>
      <c r="BB43" s="43" t="str">
        <f t="shared" si="5"/>
        <v/>
      </c>
      <c r="BC43" s="43" t="str">
        <f t="shared" si="6"/>
        <v/>
      </c>
      <c r="BD43" s="43" t="str">
        <f t="shared" si="7"/>
        <v/>
      </c>
      <c r="BE43" s="43" t="str">
        <f t="shared" si="8"/>
        <v>M</v>
      </c>
      <c r="BF43" s="43" t="str">
        <f t="shared" si="9"/>
        <v/>
      </c>
      <c r="BG43" s="43" t="str">
        <f t="shared" si="10"/>
        <v/>
      </c>
      <c r="BH43" s="43" t="str">
        <f t="shared" si="11"/>
        <v/>
      </c>
      <c r="BI43" s="43" t="str">
        <f t="shared" si="12"/>
        <v>M</v>
      </c>
      <c r="BK43" s="45" t="s">
        <v>324</v>
      </c>
      <c r="BL43" s="43" t="str">
        <f>IF(IFERROR(INDEX(Consulta!$A:$DP,MATCH('MM01'!$B43,Consulta!$C:$C,0),'MM01'!BL$2),"")=0,"",IFERROR(INDEX(Consulta!$A:$DP,MATCH('MM01'!$B43,Consulta!$C:$C,0),'MM01'!BL$2),""))</f>
        <v/>
      </c>
      <c r="BM43" s="45"/>
      <c r="BN43" s="46" t="str">
        <f t="shared" ca="1" si="13"/>
        <v/>
      </c>
      <c r="BO43" s="49" t="str">
        <f t="shared" si="14"/>
        <v/>
      </c>
      <c r="BP43" s="50">
        <v>1</v>
      </c>
      <c r="BQ43" s="50" t="s">
        <v>194</v>
      </c>
      <c r="BR43" s="79" t="str">
        <f t="shared" si="15"/>
        <v>01</v>
      </c>
      <c r="BS43" s="50" t="s">
        <v>795</v>
      </c>
      <c r="BT43" s="44">
        <v>1</v>
      </c>
      <c r="BU43" s="44" t="s">
        <v>371</v>
      </c>
      <c r="BV43" s="50" t="s">
        <v>197</v>
      </c>
      <c r="BW43" s="50" t="s">
        <v>197</v>
      </c>
      <c r="BX43" s="43" t="str">
        <f>IF(IFERROR(INDEX(Consulta!$A:$DP,MATCH('MM01'!$B43,Consulta!$C:$C,0),'MM01'!BX$2),"")=0,"",IFERROR(INDEX(Consulta!$A:$DP,MATCH('MM01'!$B43,Consulta!$C:$C,0),'MM01'!BX$2),""))</f>
        <v/>
      </c>
      <c r="BY43" s="44" t="s">
        <v>391</v>
      </c>
      <c r="BZ43" s="50">
        <v>0</v>
      </c>
      <c r="CA43" s="45" t="s">
        <v>402</v>
      </c>
      <c r="CB43" s="45" t="s">
        <v>84</v>
      </c>
      <c r="CC43" s="43" t="str">
        <f t="shared" si="16"/>
        <v/>
      </c>
      <c r="CD43" s="45" t="s">
        <v>38</v>
      </c>
      <c r="CE43" s="45">
        <v>1</v>
      </c>
      <c r="CF43" s="45" t="s">
        <v>495</v>
      </c>
      <c r="CG43" s="45"/>
      <c r="CH43" s="44">
        <v>2</v>
      </c>
      <c r="CI43" s="49" t="str">
        <f t="shared" si="17"/>
        <v/>
      </c>
      <c r="CJ43" s="49" t="str">
        <f t="shared" si="18"/>
        <v/>
      </c>
      <c r="CK43" s="45"/>
      <c r="CL43" s="44">
        <v>1</v>
      </c>
      <c r="CM43" s="50" t="s">
        <v>514</v>
      </c>
      <c r="CN43" s="44" t="s">
        <v>371</v>
      </c>
      <c r="CO43" s="44">
        <v>2</v>
      </c>
      <c r="CP43" s="44">
        <v>42</v>
      </c>
      <c r="CQ43" s="44">
        <v>10</v>
      </c>
      <c r="CR43" s="43" t="str">
        <f t="shared" si="19"/>
        <v>K00_P_</v>
      </c>
      <c r="CS43" s="45">
        <v>5000</v>
      </c>
      <c r="CT43" s="43" t="str">
        <f>IF(IFERROR(INDEX(Consulta!$A:$DP,MATCH('MM01'!$B43,Consulta!$C:$C,0),'MM01'!CT$2),"")=0,"",IFERROR(INDEX(Consulta!$A:$DP,MATCH('MM01'!$B43,Consulta!$C:$C,0),'MM01'!CT$2),""))</f>
        <v/>
      </c>
      <c r="CU43" s="43" t="str">
        <f>IF(IFERROR(INDEX(Consulta!$A:$DP,MATCH('MM01'!$B43,Consulta!$C:$C,0),'MM01'!CU$2),"")=0,"",IFERROR(INDEX(Consulta!$A:$DP,MATCH('MM01'!$B43,Consulta!$C:$C,0),'MM01'!CU$2),""))</f>
        <v/>
      </c>
      <c r="CV43" s="43" t="str">
        <f>IF(IFERROR(INDEX(Consulta!$A:$DP,MATCH('MM01'!$B43,Consulta!$C:$C,0),'MM01'!CV$2),"")=0,"",IFERROR(INDEX(Consulta!$A:$DP,MATCH('MM01'!$B43,Consulta!$C:$C,0),'MM01'!CV$2),""))</f>
        <v/>
      </c>
      <c r="CW43" s="43" t="str">
        <f>IF(IFERROR(INDEX(Consulta!$A:$DP,MATCH('MM01'!$B43,Consulta!$C:$C,0),'MM01'!CW$2),"")=0,"",IFERROR(INDEX(Consulta!$A:$DP,MATCH('MM01'!$B43,Consulta!$C:$C,0),'MM01'!CW$2),""))</f>
        <v/>
      </c>
      <c r="CX43" s="43" t="str">
        <f t="shared" si="20"/>
        <v/>
      </c>
      <c r="CY43" s="43" t="str">
        <f t="shared" si="21"/>
        <v/>
      </c>
      <c r="CZ43" s="43" t="str">
        <f t="shared" si="22"/>
        <v/>
      </c>
      <c r="DA43" s="43" t="str">
        <f>IF(IFERROR(INDEX(Consulta!$A:$DP,MATCH('MM01'!$B43,Consulta!$C:$C,0),'MM01'!DA$2),"")=0,"",IFERROR(INDEX(Consulta!$A:$DP,MATCH('MM01'!$B43,Consulta!$C:$C,0),'MM01'!DA$2),""))</f>
        <v/>
      </c>
      <c r="DB43" s="43" t="str">
        <f t="shared" si="23"/>
        <v/>
      </c>
      <c r="DC43" s="43" t="str">
        <f>IF(IFERROR(INDEX(Consulta!$A:$DP,MATCH('MM01'!$B43,Consulta!$C:$C,0),'MM01'!DC$2),"")=0,"",IFERROR(INDEX(Consulta!$A:$DP,MATCH('MM01'!$B43,Consulta!$C:$C,0),'MM01'!DC$2),""))</f>
        <v/>
      </c>
      <c r="DD43" s="45">
        <v>0</v>
      </c>
      <c r="DE43" s="45">
        <v>0</v>
      </c>
      <c r="DF43" s="43" t="str">
        <f t="shared" si="24"/>
        <v/>
      </c>
      <c r="DG43" s="43" t="str">
        <f t="shared" si="25"/>
        <v/>
      </c>
      <c r="DH43" s="57"/>
      <c r="DI43" s="43" t="str">
        <f t="shared" ca="1" si="26"/>
        <v/>
      </c>
      <c r="DJ43" s="43" t="str">
        <f t="shared" si="27"/>
        <v/>
      </c>
      <c r="DK43" s="43" t="str">
        <f t="shared" si="28"/>
        <v/>
      </c>
      <c r="DL43" s="57"/>
      <c r="DM43" s="43" t="str">
        <f t="shared" ca="1" si="29"/>
        <v/>
      </c>
      <c r="DN43" s="43" t="str">
        <f t="shared" si="30"/>
        <v/>
      </c>
      <c r="DO43" s="43" t="str">
        <f t="shared" si="31"/>
        <v/>
      </c>
      <c r="DP43" s="57"/>
      <c r="DQ43" s="43" t="str">
        <f t="shared" ca="1" si="32"/>
        <v/>
      </c>
      <c r="DR43" s="43" t="str">
        <f t="shared" si="33"/>
        <v/>
      </c>
      <c r="DS43" s="43" t="str">
        <f t="shared" si="34"/>
        <v/>
      </c>
      <c r="DT43" s="57"/>
      <c r="DU43" s="43" t="str">
        <f t="shared" ca="1" si="35"/>
        <v/>
      </c>
      <c r="DV43" s="43" t="str">
        <f t="shared" si="36"/>
        <v/>
      </c>
      <c r="DX43" s="44">
        <v>1</v>
      </c>
      <c r="DY43" s="44" t="s">
        <v>773</v>
      </c>
      <c r="DZ43" s="43">
        <f t="shared" si="37"/>
        <v>0.01</v>
      </c>
      <c r="EA43" s="43" t="str">
        <f t="shared" si="38"/>
        <v>M</v>
      </c>
      <c r="EB43" s="43" t="str">
        <f>IF(IFERROR(INDEX(Consulta!$A:$DP,MATCH('MM01'!$B43,Consulta!$C:$C,0),'MM01'!EB$2),"")=0,"7925",IF(IFERROR(INDEX(Consulta!$A:$DP,MATCH('MM01'!$B43,Consulta!$C:$C,0),'MM01'!EB$2),"")="68","7910","7925"))</f>
        <v>7925</v>
      </c>
      <c r="EC43" s="44">
        <v>100</v>
      </c>
      <c r="ED43" s="62">
        <v>1</v>
      </c>
      <c r="EE43" s="43">
        <f t="shared" si="39"/>
        <v>100</v>
      </c>
      <c r="EF43" s="44">
        <v>1</v>
      </c>
      <c r="EG43" s="44">
        <v>0</v>
      </c>
      <c r="EH43" s="44" t="s">
        <v>875</v>
      </c>
      <c r="EI43" s="45">
        <v>0</v>
      </c>
      <c r="EJ43" s="43">
        <f t="shared" si="40"/>
        <v>5000</v>
      </c>
      <c r="EK43" s="69"/>
    </row>
    <row r="44" spans="1:141" x14ac:dyDescent="0.2">
      <c r="A44" s="7" t="str">
        <f t="shared" si="0"/>
        <v>Execução 40</v>
      </c>
      <c r="B44" s="42"/>
      <c r="C44" s="43" t="str">
        <f>IF(IFERROR(INDEX(Consulta!$A:$DP,MATCH('MM01'!$B44,Consulta!$C:$C,0),'MM01'!C$2),"")=0,"",IFERROR(INDEX(Consulta!$A:$DP,MATCH('MM01'!$B44,Consulta!$C:$C,0),'MM01'!C$2),""))</f>
        <v/>
      </c>
      <c r="D44" s="43" t="str">
        <f>IF(IFERROR(INDEX(Consulta!$A:$DP,MATCH('MM01'!$B44,Consulta!$C:$C,0),'MM01'!D$2),"")=0,"",IFERROR(INDEX(Consulta!$A:$DP,MATCH('MM01'!$B44,Consulta!$C:$C,0),'MM01'!D$2),""))</f>
        <v/>
      </c>
      <c r="E44" s="43" t="str">
        <f>IF(IFERROR(INDEX(Consulta!$A:$DP,MATCH('MM01'!$B44,Consulta!$C:$C,0),'MM01'!E$2),"")=0,"",IFERROR(INDEX(Consulta!$A:$DP,MATCH('MM01'!$B44,Consulta!$C:$C,0),'MM01'!E$2),""))</f>
        <v/>
      </c>
      <c r="F44" s="44" t="s">
        <v>100</v>
      </c>
      <c r="G44" s="49" t="str">
        <f>IF(IFERROR(INDEX(Consulta!$A:$DP,MATCH('MM01'!$B44,Consulta!$C:$C,0),'MM01'!G$2),"")=0,"",IFERROR(INDEX(Consulta!$A:$DP,MATCH('MM01'!$B44,Consulta!$C:$C,0),'MM01'!G$2),""))</f>
        <v/>
      </c>
      <c r="H44" s="49" t="str">
        <f>IF(IFERROR(INDEX(Consulta!$A:$DP,MATCH('MM01'!$B44,Consulta!$C:$C,0),'MM01'!H$2),"")=0,"",IFERROR(INDEX(Consulta!$A:$DP,MATCH('MM01'!$B44,Consulta!$C:$C,0),'MM01'!H$2),""))</f>
        <v/>
      </c>
      <c r="I44" s="49" t="str">
        <f t="shared" si="1"/>
        <v/>
      </c>
      <c r="J44" s="49" t="str">
        <f>IF(IFERROR(INDEX(Consulta!$A:$DP,MATCH('MM01'!$B44,Consulta!$C:$C,0),'MM01'!J$2),"")=0,"",IFERROR(INDEX(Consulta!$A:$DP,MATCH('MM01'!$B44,Consulta!$C:$C,0),'MM01'!J$2),""))</f>
        <v/>
      </c>
      <c r="K44" s="49" t="str">
        <f t="shared" si="2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IF(IFERROR(INDEX(Consulta!$A:$DP,MATCH('MM01'!$B44,Consulta!$C:$C,0),'MM01'!AP$2),"")=0,"",IFERROR(INDEX(Consulta!$A:$DP,MATCH('MM01'!$B44,Consulta!$C:$C,0),'MM01'!AP$2),""))</f>
        <v/>
      </c>
      <c r="AQ44" s="45"/>
      <c r="AR44" s="43" t="str">
        <f>IF(IFERROR(INDEX(Consulta!$A:$DP,MATCH('MM01'!$B44,Consulta!$C:$C,0),'MM01'!AR$2),"")=0,"",IFERROR(INDEX(Consulta!$A:$DP,MATCH('MM01'!$B44,Consulta!$C:$C,0),'MM01'!AR$2),""))</f>
        <v/>
      </c>
      <c r="AS44" s="43" t="str">
        <f>IF(IFERROR(INDEX(Consulta!$A:$DP,MATCH('MM01'!$B44,Consulta!$C:$C,0),'MM01'!AS$2),"")=0,"",IF(AR44="68",5102,IFERROR(INDEX(Consulta!$A:$DP,MATCH('MM01'!$B44,Consulta!$C:$C,0),'MM01'!AS$2),"")))</f>
        <v/>
      </c>
      <c r="AT44" s="45"/>
      <c r="AU44" s="46" t="str">
        <f t="shared" ca="1" si="3"/>
        <v/>
      </c>
      <c r="AV44" s="47" t="s">
        <v>795</v>
      </c>
      <c r="AW44" s="43" t="str">
        <f>IF(IFERROR(INDEX(Consulta!$A:$DP,MATCH('MM01'!$B44,Consulta!$C:$C,0),'MM01'!AW$2),"")=0,"",IFERROR(ROUND(INDEX(Consulta!$A:$DP,MATCH('MM01'!$B44,Consulta!$C:$C,0),'MM01'!AW$2),3),""))</f>
        <v/>
      </c>
      <c r="AX44" s="43" t="str">
        <f t="shared" si="4"/>
        <v/>
      </c>
      <c r="AY44" s="48" t="s">
        <v>299</v>
      </c>
      <c r="AZ44" s="48"/>
      <c r="BA44" s="43" t="str">
        <f>IF(IFERROR(INDEX(Consulta!$A:$DP,MATCH('MM01'!$B44,Consulta!$C:$C,0),'MM01'!BA$2),"")=0,"",IFERROR(INDEX(Consulta!$A:$DP,MATCH('MM01'!$B44,Consulta!$C:$C,0),'MM01'!BA$2),""))</f>
        <v/>
      </c>
      <c r="BB44" s="43" t="str">
        <f t="shared" si="5"/>
        <v/>
      </c>
      <c r="BC44" s="43" t="str">
        <f t="shared" si="6"/>
        <v/>
      </c>
      <c r="BD44" s="43" t="str">
        <f t="shared" si="7"/>
        <v/>
      </c>
      <c r="BE44" s="43" t="str">
        <f t="shared" si="8"/>
        <v>M</v>
      </c>
      <c r="BF44" s="43" t="str">
        <f t="shared" si="9"/>
        <v/>
      </c>
      <c r="BG44" s="43" t="str">
        <f t="shared" si="10"/>
        <v/>
      </c>
      <c r="BH44" s="43" t="str">
        <f t="shared" si="11"/>
        <v/>
      </c>
      <c r="BI44" s="43" t="str">
        <f t="shared" si="12"/>
        <v>M</v>
      </c>
      <c r="BK44" s="45" t="s">
        <v>324</v>
      </c>
      <c r="BL44" s="43" t="str">
        <f>IF(IFERROR(INDEX(Consulta!$A:$DP,MATCH('MM01'!$B44,Consulta!$C:$C,0),'MM01'!BL$2),"")=0,"",IFERROR(INDEX(Consulta!$A:$DP,MATCH('MM01'!$B44,Consulta!$C:$C,0),'MM01'!BL$2),""))</f>
        <v/>
      </c>
      <c r="BM44" s="45"/>
      <c r="BN44" s="46" t="str">
        <f t="shared" ca="1" si="13"/>
        <v/>
      </c>
      <c r="BO44" s="49" t="str">
        <f t="shared" si="14"/>
        <v/>
      </c>
      <c r="BP44" s="50">
        <v>1</v>
      </c>
      <c r="BQ44" s="50" t="s">
        <v>194</v>
      </c>
      <c r="BR44" s="79" t="str">
        <f t="shared" si="15"/>
        <v>01</v>
      </c>
      <c r="BS44" s="50" t="s">
        <v>795</v>
      </c>
      <c r="BT44" s="44">
        <v>1</v>
      </c>
      <c r="BU44" s="44" t="s">
        <v>371</v>
      </c>
      <c r="BV44" s="50" t="s">
        <v>197</v>
      </c>
      <c r="BW44" s="50" t="s">
        <v>197</v>
      </c>
      <c r="BX44" s="43" t="str">
        <f>IF(IFERROR(INDEX(Consulta!$A:$DP,MATCH('MM01'!$B44,Consulta!$C:$C,0),'MM01'!BX$2),"")=0,"",IFERROR(INDEX(Consulta!$A:$DP,MATCH('MM01'!$B44,Consulta!$C:$C,0),'MM01'!BX$2),""))</f>
        <v/>
      </c>
      <c r="BY44" s="44" t="s">
        <v>391</v>
      </c>
      <c r="BZ44" s="50">
        <v>0</v>
      </c>
      <c r="CA44" s="45" t="s">
        <v>402</v>
      </c>
      <c r="CB44" s="45" t="s">
        <v>84</v>
      </c>
      <c r="CC44" s="43" t="str">
        <f t="shared" si="16"/>
        <v/>
      </c>
      <c r="CD44" s="45" t="s">
        <v>38</v>
      </c>
      <c r="CE44" s="45">
        <v>1</v>
      </c>
      <c r="CF44" s="45" t="s">
        <v>495</v>
      </c>
      <c r="CG44" s="45"/>
      <c r="CH44" s="44">
        <v>2</v>
      </c>
      <c r="CI44" s="49" t="str">
        <f t="shared" si="17"/>
        <v/>
      </c>
      <c r="CJ44" s="49" t="str">
        <f t="shared" si="18"/>
        <v/>
      </c>
      <c r="CK44" s="45"/>
      <c r="CL44" s="44">
        <v>1</v>
      </c>
      <c r="CM44" s="50" t="s">
        <v>514</v>
      </c>
      <c r="CN44" s="44" t="s">
        <v>371</v>
      </c>
      <c r="CO44" s="44">
        <v>2</v>
      </c>
      <c r="CP44" s="44">
        <v>42</v>
      </c>
      <c r="CQ44" s="44">
        <v>10</v>
      </c>
      <c r="CR44" s="43" t="str">
        <f t="shared" si="19"/>
        <v>K00_P_</v>
      </c>
      <c r="CS44" s="45">
        <v>5000</v>
      </c>
      <c r="CT44" s="43" t="str">
        <f>IF(IFERROR(INDEX(Consulta!$A:$DP,MATCH('MM01'!$B44,Consulta!$C:$C,0),'MM01'!CT$2),"")=0,"",IFERROR(INDEX(Consulta!$A:$DP,MATCH('MM01'!$B44,Consulta!$C:$C,0),'MM01'!CT$2),""))</f>
        <v/>
      </c>
      <c r="CU44" s="43" t="str">
        <f>IF(IFERROR(INDEX(Consulta!$A:$DP,MATCH('MM01'!$B44,Consulta!$C:$C,0),'MM01'!CU$2),"")=0,"",IFERROR(INDEX(Consulta!$A:$DP,MATCH('MM01'!$B44,Consulta!$C:$C,0),'MM01'!CU$2),""))</f>
        <v/>
      </c>
      <c r="CV44" s="43" t="str">
        <f>IF(IFERROR(INDEX(Consulta!$A:$DP,MATCH('MM01'!$B44,Consulta!$C:$C,0),'MM01'!CV$2),"")=0,"",IFERROR(INDEX(Consulta!$A:$DP,MATCH('MM01'!$B44,Consulta!$C:$C,0),'MM01'!CV$2),""))</f>
        <v/>
      </c>
      <c r="CW44" s="43" t="str">
        <f>IF(IFERROR(INDEX(Consulta!$A:$DP,MATCH('MM01'!$B44,Consulta!$C:$C,0),'MM01'!CW$2),"")=0,"",IFERROR(INDEX(Consulta!$A:$DP,MATCH('MM01'!$B44,Consulta!$C:$C,0),'MM01'!CW$2),""))</f>
        <v/>
      </c>
      <c r="CX44" s="43" t="str">
        <f t="shared" si="20"/>
        <v/>
      </c>
      <c r="CY44" s="43" t="str">
        <f t="shared" si="21"/>
        <v/>
      </c>
      <c r="CZ44" s="43" t="str">
        <f t="shared" si="22"/>
        <v/>
      </c>
      <c r="DA44" s="43" t="str">
        <f>IF(IFERROR(INDEX(Consulta!$A:$DP,MATCH('MM01'!$B44,Consulta!$C:$C,0),'MM01'!DA$2),"")=0,"",IFERROR(INDEX(Consulta!$A:$DP,MATCH('MM01'!$B44,Consulta!$C:$C,0),'MM01'!DA$2),""))</f>
        <v/>
      </c>
      <c r="DB44" s="43" t="str">
        <f t="shared" si="23"/>
        <v/>
      </c>
      <c r="DC44" s="43" t="str">
        <f>IF(IFERROR(INDEX(Consulta!$A:$DP,MATCH('MM01'!$B44,Consulta!$C:$C,0),'MM01'!DC$2),"")=0,"",IFERROR(INDEX(Consulta!$A:$DP,MATCH('MM01'!$B44,Consulta!$C:$C,0),'MM01'!DC$2),""))</f>
        <v/>
      </c>
      <c r="DD44" s="45">
        <v>0</v>
      </c>
      <c r="DE44" s="45">
        <v>0</v>
      </c>
      <c r="DF44" s="43" t="str">
        <f t="shared" si="24"/>
        <v/>
      </c>
      <c r="DG44" s="43" t="str">
        <f t="shared" si="25"/>
        <v/>
      </c>
      <c r="DH44" s="57"/>
      <c r="DI44" s="43" t="str">
        <f t="shared" ca="1" si="26"/>
        <v/>
      </c>
      <c r="DJ44" s="43" t="str">
        <f t="shared" si="27"/>
        <v/>
      </c>
      <c r="DK44" s="43" t="str">
        <f t="shared" si="28"/>
        <v/>
      </c>
      <c r="DL44" s="57"/>
      <c r="DM44" s="43" t="str">
        <f t="shared" ca="1" si="29"/>
        <v/>
      </c>
      <c r="DN44" s="43" t="str">
        <f t="shared" si="30"/>
        <v/>
      </c>
      <c r="DO44" s="43" t="str">
        <f t="shared" si="31"/>
        <v/>
      </c>
      <c r="DP44" s="57"/>
      <c r="DQ44" s="43" t="str">
        <f t="shared" ca="1" si="32"/>
        <v/>
      </c>
      <c r="DR44" s="43" t="str">
        <f t="shared" si="33"/>
        <v/>
      </c>
      <c r="DS44" s="43" t="str">
        <f t="shared" si="34"/>
        <v/>
      </c>
      <c r="DT44" s="57"/>
      <c r="DU44" s="43" t="str">
        <f t="shared" ca="1" si="35"/>
        <v/>
      </c>
      <c r="DV44" s="43" t="str">
        <f t="shared" si="36"/>
        <v/>
      </c>
      <c r="DX44" s="44">
        <v>1</v>
      </c>
      <c r="DY44" s="44" t="s">
        <v>773</v>
      </c>
      <c r="DZ44" s="43">
        <f t="shared" si="37"/>
        <v>0.01</v>
      </c>
      <c r="EA44" s="43" t="str">
        <f t="shared" si="38"/>
        <v>M</v>
      </c>
      <c r="EB44" s="43" t="str">
        <f>IF(IFERROR(INDEX(Consulta!$A:$DP,MATCH('MM01'!$B44,Consulta!$C:$C,0),'MM01'!EB$2),"")=0,"7925",IF(IFERROR(INDEX(Consulta!$A:$DP,MATCH('MM01'!$B44,Consulta!$C:$C,0),'MM01'!EB$2),"")="68","7910","7925"))</f>
        <v>7925</v>
      </c>
      <c r="EC44" s="44">
        <v>100</v>
      </c>
      <c r="ED44" s="62">
        <v>1</v>
      </c>
      <c r="EE44" s="43">
        <f t="shared" si="39"/>
        <v>100</v>
      </c>
      <c r="EF44" s="44">
        <v>1</v>
      </c>
      <c r="EG44" s="44">
        <v>0</v>
      </c>
      <c r="EH44" s="44" t="s">
        <v>875</v>
      </c>
      <c r="EI44" s="45">
        <v>0</v>
      </c>
      <c r="EJ44" s="43">
        <f t="shared" si="40"/>
        <v>5000</v>
      </c>
      <c r="EK44" s="69"/>
    </row>
    <row r="45" spans="1:141" x14ac:dyDescent="0.2">
      <c r="A45" s="7" t="str">
        <f t="shared" si="0"/>
        <v>Execução 41</v>
      </c>
      <c r="B45" s="42"/>
      <c r="C45" s="43" t="str">
        <f>IF(IFERROR(INDEX(Consulta!$A:$DP,MATCH('MM01'!$B45,Consulta!$C:$C,0),'MM01'!C$2),"")=0,"",IFERROR(INDEX(Consulta!$A:$DP,MATCH('MM01'!$B45,Consulta!$C:$C,0),'MM01'!C$2),""))</f>
        <v/>
      </c>
      <c r="D45" s="43" t="str">
        <f>IF(IFERROR(INDEX(Consulta!$A:$DP,MATCH('MM01'!$B45,Consulta!$C:$C,0),'MM01'!D$2),"")=0,"",IFERROR(INDEX(Consulta!$A:$DP,MATCH('MM01'!$B45,Consulta!$C:$C,0),'MM01'!D$2),""))</f>
        <v/>
      </c>
      <c r="E45" s="43" t="str">
        <f>IF(IFERROR(INDEX(Consulta!$A:$DP,MATCH('MM01'!$B45,Consulta!$C:$C,0),'MM01'!E$2),"")=0,"",IFERROR(INDEX(Consulta!$A:$DP,MATCH('MM01'!$B45,Consulta!$C:$C,0),'MM01'!E$2),""))</f>
        <v/>
      </c>
      <c r="F45" s="44" t="s">
        <v>100</v>
      </c>
      <c r="G45" s="49" t="str">
        <f>IF(IFERROR(INDEX(Consulta!$A:$DP,MATCH('MM01'!$B45,Consulta!$C:$C,0),'MM01'!G$2),"")=0,"",IFERROR(INDEX(Consulta!$A:$DP,MATCH('MM01'!$B45,Consulta!$C:$C,0),'MM01'!G$2),""))</f>
        <v/>
      </c>
      <c r="H45" s="49" t="str">
        <f>IF(IFERROR(INDEX(Consulta!$A:$DP,MATCH('MM01'!$B45,Consulta!$C:$C,0),'MM01'!H$2),"")=0,"",IFERROR(INDEX(Consulta!$A:$DP,MATCH('MM01'!$B45,Consulta!$C:$C,0),'MM01'!H$2),""))</f>
        <v/>
      </c>
      <c r="I45" s="49" t="str">
        <f t="shared" si="1"/>
        <v/>
      </c>
      <c r="J45" s="49" t="str">
        <f>IF(IFERROR(INDEX(Consulta!$A:$DP,MATCH('MM01'!$B45,Consulta!$C:$C,0),'MM01'!J$2),"")=0,"",IFERROR(INDEX(Consulta!$A:$DP,MATCH('MM01'!$B45,Consulta!$C:$C,0),'MM01'!J$2),""))</f>
        <v/>
      </c>
      <c r="K45" s="49" t="str">
        <f t="shared" si="2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IF(IFERROR(INDEX(Consulta!$A:$DP,MATCH('MM01'!$B45,Consulta!$C:$C,0),'MM01'!AP$2),"")=0,"",IFERROR(INDEX(Consulta!$A:$DP,MATCH('MM01'!$B45,Consulta!$C:$C,0),'MM01'!AP$2),""))</f>
        <v/>
      </c>
      <c r="AQ45" s="45"/>
      <c r="AR45" s="43" t="str">
        <f>IF(IFERROR(INDEX(Consulta!$A:$DP,MATCH('MM01'!$B45,Consulta!$C:$C,0),'MM01'!AR$2),"")=0,"",IFERROR(INDEX(Consulta!$A:$DP,MATCH('MM01'!$B45,Consulta!$C:$C,0),'MM01'!AR$2),""))</f>
        <v/>
      </c>
      <c r="AS45" s="43" t="str">
        <f>IF(IFERROR(INDEX(Consulta!$A:$DP,MATCH('MM01'!$B45,Consulta!$C:$C,0),'MM01'!AS$2),"")=0,"",IF(AR45="68",5102,IFERROR(INDEX(Consulta!$A:$DP,MATCH('MM01'!$B45,Consulta!$C:$C,0),'MM01'!AS$2),"")))</f>
        <v/>
      </c>
      <c r="AT45" s="45"/>
      <c r="AU45" s="46" t="str">
        <f t="shared" ca="1" si="3"/>
        <v/>
      </c>
      <c r="AV45" s="47" t="s">
        <v>795</v>
      </c>
      <c r="AW45" s="43" t="str">
        <f>IF(IFERROR(INDEX(Consulta!$A:$DP,MATCH('MM01'!$B45,Consulta!$C:$C,0),'MM01'!AW$2),"")=0,"",IFERROR(ROUND(INDEX(Consulta!$A:$DP,MATCH('MM01'!$B45,Consulta!$C:$C,0),'MM01'!AW$2),3),""))</f>
        <v/>
      </c>
      <c r="AX45" s="43" t="str">
        <f t="shared" si="4"/>
        <v/>
      </c>
      <c r="AY45" s="48" t="s">
        <v>299</v>
      </c>
      <c r="AZ45" s="48"/>
      <c r="BA45" s="43" t="str">
        <f>IF(IFERROR(INDEX(Consulta!$A:$DP,MATCH('MM01'!$B45,Consulta!$C:$C,0),'MM01'!BA$2),"")=0,"",IFERROR(INDEX(Consulta!$A:$DP,MATCH('MM01'!$B45,Consulta!$C:$C,0),'MM01'!BA$2),""))</f>
        <v/>
      </c>
      <c r="BB45" s="43" t="str">
        <f t="shared" si="5"/>
        <v/>
      </c>
      <c r="BC45" s="43" t="str">
        <f t="shared" si="6"/>
        <v/>
      </c>
      <c r="BD45" s="43" t="str">
        <f t="shared" si="7"/>
        <v/>
      </c>
      <c r="BE45" s="43" t="str">
        <f t="shared" si="8"/>
        <v>M</v>
      </c>
      <c r="BF45" s="43" t="str">
        <f t="shared" si="9"/>
        <v/>
      </c>
      <c r="BG45" s="43" t="str">
        <f t="shared" si="10"/>
        <v/>
      </c>
      <c r="BH45" s="43" t="str">
        <f t="shared" si="11"/>
        <v/>
      </c>
      <c r="BI45" s="43" t="str">
        <f t="shared" si="12"/>
        <v>M</v>
      </c>
      <c r="BK45" s="45" t="s">
        <v>324</v>
      </c>
      <c r="BL45" s="43" t="str">
        <f>IF(IFERROR(INDEX(Consulta!$A:$DP,MATCH('MM01'!$B45,Consulta!$C:$C,0),'MM01'!BL$2),"")=0,"",IFERROR(INDEX(Consulta!$A:$DP,MATCH('MM01'!$B45,Consulta!$C:$C,0),'MM01'!BL$2),""))</f>
        <v/>
      </c>
      <c r="BM45" s="45"/>
      <c r="BN45" s="46" t="str">
        <f t="shared" ca="1" si="13"/>
        <v/>
      </c>
      <c r="BO45" s="49" t="str">
        <f t="shared" si="14"/>
        <v/>
      </c>
      <c r="BP45" s="50">
        <v>1</v>
      </c>
      <c r="BQ45" s="50" t="s">
        <v>194</v>
      </c>
      <c r="BR45" s="79" t="str">
        <f t="shared" si="15"/>
        <v>01</v>
      </c>
      <c r="BS45" s="50" t="s">
        <v>795</v>
      </c>
      <c r="BT45" s="44">
        <v>1</v>
      </c>
      <c r="BU45" s="44" t="s">
        <v>371</v>
      </c>
      <c r="BV45" s="50" t="s">
        <v>197</v>
      </c>
      <c r="BW45" s="50" t="s">
        <v>197</v>
      </c>
      <c r="BX45" s="43" t="str">
        <f>IF(IFERROR(INDEX(Consulta!$A:$DP,MATCH('MM01'!$B45,Consulta!$C:$C,0),'MM01'!BX$2),"")=0,"",IFERROR(INDEX(Consulta!$A:$DP,MATCH('MM01'!$B45,Consulta!$C:$C,0),'MM01'!BX$2),""))</f>
        <v/>
      </c>
      <c r="BY45" s="44" t="s">
        <v>391</v>
      </c>
      <c r="BZ45" s="50">
        <v>0</v>
      </c>
      <c r="CA45" s="45" t="s">
        <v>402</v>
      </c>
      <c r="CB45" s="45" t="s">
        <v>84</v>
      </c>
      <c r="CC45" s="43" t="str">
        <f t="shared" si="16"/>
        <v/>
      </c>
      <c r="CD45" s="45" t="s">
        <v>38</v>
      </c>
      <c r="CE45" s="45">
        <v>1</v>
      </c>
      <c r="CF45" s="45" t="s">
        <v>495</v>
      </c>
      <c r="CG45" s="45"/>
      <c r="CH45" s="44">
        <v>2</v>
      </c>
      <c r="CI45" s="49" t="str">
        <f t="shared" si="17"/>
        <v/>
      </c>
      <c r="CJ45" s="49" t="str">
        <f t="shared" si="18"/>
        <v/>
      </c>
      <c r="CK45" s="45"/>
      <c r="CL45" s="44">
        <v>1</v>
      </c>
      <c r="CM45" s="50" t="s">
        <v>514</v>
      </c>
      <c r="CN45" s="44" t="s">
        <v>371</v>
      </c>
      <c r="CO45" s="44">
        <v>2</v>
      </c>
      <c r="CP45" s="44">
        <v>42</v>
      </c>
      <c r="CQ45" s="44">
        <v>10</v>
      </c>
      <c r="CR45" s="43" t="str">
        <f t="shared" si="19"/>
        <v>K00_P_</v>
      </c>
      <c r="CS45" s="45">
        <v>5000</v>
      </c>
      <c r="CT45" s="43" t="str">
        <f>IF(IFERROR(INDEX(Consulta!$A:$DP,MATCH('MM01'!$B45,Consulta!$C:$C,0),'MM01'!CT$2),"")=0,"",IFERROR(INDEX(Consulta!$A:$DP,MATCH('MM01'!$B45,Consulta!$C:$C,0),'MM01'!CT$2),""))</f>
        <v/>
      </c>
      <c r="CU45" s="43" t="str">
        <f>IF(IFERROR(INDEX(Consulta!$A:$DP,MATCH('MM01'!$B45,Consulta!$C:$C,0),'MM01'!CU$2),"")=0,"",IFERROR(INDEX(Consulta!$A:$DP,MATCH('MM01'!$B45,Consulta!$C:$C,0),'MM01'!CU$2),""))</f>
        <v/>
      </c>
      <c r="CV45" s="43" t="str">
        <f>IF(IFERROR(INDEX(Consulta!$A:$DP,MATCH('MM01'!$B45,Consulta!$C:$C,0),'MM01'!CV$2),"")=0,"",IFERROR(INDEX(Consulta!$A:$DP,MATCH('MM01'!$B45,Consulta!$C:$C,0),'MM01'!CV$2),""))</f>
        <v/>
      </c>
      <c r="CW45" s="43" t="str">
        <f>IF(IFERROR(INDEX(Consulta!$A:$DP,MATCH('MM01'!$B45,Consulta!$C:$C,0),'MM01'!CW$2),"")=0,"",IFERROR(INDEX(Consulta!$A:$DP,MATCH('MM01'!$B45,Consulta!$C:$C,0),'MM01'!CW$2),""))</f>
        <v/>
      </c>
      <c r="CX45" s="43" t="str">
        <f t="shared" si="20"/>
        <v/>
      </c>
      <c r="CY45" s="43" t="str">
        <f t="shared" si="21"/>
        <v/>
      </c>
      <c r="CZ45" s="43" t="str">
        <f t="shared" si="22"/>
        <v/>
      </c>
      <c r="DA45" s="43" t="str">
        <f>IF(IFERROR(INDEX(Consulta!$A:$DP,MATCH('MM01'!$B45,Consulta!$C:$C,0),'MM01'!DA$2),"")=0,"",IFERROR(INDEX(Consulta!$A:$DP,MATCH('MM01'!$B45,Consulta!$C:$C,0),'MM01'!DA$2),""))</f>
        <v/>
      </c>
      <c r="DB45" s="43" t="str">
        <f t="shared" si="23"/>
        <v/>
      </c>
      <c r="DC45" s="43" t="str">
        <f>IF(IFERROR(INDEX(Consulta!$A:$DP,MATCH('MM01'!$B45,Consulta!$C:$C,0),'MM01'!DC$2),"")=0,"",IFERROR(INDEX(Consulta!$A:$DP,MATCH('MM01'!$B45,Consulta!$C:$C,0),'MM01'!DC$2),""))</f>
        <v/>
      </c>
      <c r="DD45" s="45">
        <v>0</v>
      </c>
      <c r="DE45" s="45">
        <v>0</v>
      </c>
      <c r="DF45" s="43" t="str">
        <f t="shared" si="24"/>
        <v/>
      </c>
      <c r="DG45" s="43" t="str">
        <f t="shared" si="25"/>
        <v/>
      </c>
      <c r="DH45" s="57"/>
      <c r="DI45" s="43" t="str">
        <f t="shared" ca="1" si="26"/>
        <v/>
      </c>
      <c r="DJ45" s="43" t="str">
        <f t="shared" si="27"/>
        <v/>
      </c>
      <c r="DK45" s="43" t="str">
        <f t="shared" si="28"/>
        <v/>
      </c>
      <c r="DL45" s="57"/>
      <c r="DM45" s="43" t="str">
        <f t="shared" ca="1" si="29"/>
        <v/>
      </c>
      <c r="DN45" s="43" t="str">
        <f t="shared" si="30"/>
        <v/>
      </c>
      <c r="DO45" s="43" t="str">
        <f t="shared" si="31"/>
        <v/>
      </c>
      <c r="DP45" s="57"/>
      <c r="DQ45" s="43" t="str">
        <f t="shared" ca="1" si="32"/>
        <v/>
      </c>
      <c r="DR45" s="43" t="str">
        <f t="shared" si="33"/>
        <v/>
      </c>
      <c r="DS45" s="43" t="str">
        <f t="shared" si="34"/>
        <v/>
      </c>
      <c r="DT45" s="57"/>
      <c r="DU45" s="43" t="str">
        <f t="shared" ca="1" si="35"/>
        <v/>
      </c>
      <c r="DV45" s="43" t="str">
        <f t="shared" si="36"/>
        <v/>
      </c>
      <c r="DX45" s="44">
        <v>1</v>
      </c>
      <c r="DY45" s="44" t="s">
        <v>773</v>
      </c>
      <c r="DZ45" s="43">
        <f t="shared" si="37"/>
        <v>0.01</v>
      </c>
      <c r="EA45" s="43" t="str">
        <f t="shared" si="38"/>
        <v>M</v>
      </c>
      <c r="EB45" s="43" t="str">
        <f>IF(IFERROR(INDEX(Consulta!$A:$DP,MATCH('MM01'!$B45,Consulta!$C:$C,0),'MM01'!EB$2),"")=0,"7925",IF(IFERROR(INDEX(Consulta!$A:$DP,MATCH('MM01'!$B45,Consulta!$C:$C,0),'MM01'!EB$2),"")="68","7910","7925"))</f>
        <v>7925</v>
      </c>
      <c r="EC45" s="44">
        <v>100</v>
      </c>
      <c r="ED45" s="62">
        <v>1</v>
      </c>
      <c r="EE45" s="43">
        <f t="shared" si="39"/>
        <v>100</v>
      </c>
      <c r="EF45" s="44">
        <v>1</v>
      </c>
      <c r="EG45" s="44">
        <v>0</v>
      </c>
      <c r="EH45" s="44" t="s">
        <v>875</v>
      </c>
      <c r="EI45" s="45">
        <v>0</v>
      </c>
      <c r="EJ45" s="43">
        <f t="shared" si="40"/>
        <v>5000</v>
      </c>
      <c r="EK45" s="69"/>
    </row>
    <row r="46" spans="1:141" x14ac:dyDescent="0.2">
      <c r="A46" s="7" t="str">
        <f t="shared" si="0"/>
        <v>Execução 42</v>
      </c>
      <c r="B46" s="42"/>
      <c r="C46" s="43" t="str">
        <f>IF(IFERROR(INDEX(Consulta!$A:$DP,MATCH('MM01'!$B46,Consulta!$C:$C,0),'MM01'!C$2),"")=0,"",IFERROR(INDEX(Consulta!$A:$DP,MATCH('MM01'!$B46,Consulta!$C:$C,0),'MM01'!C$2),""))</f>
        <v/>
      </c>
      <c r="D46" s="43" t="str">
        <f>IF(IFERROR(INDEX(Consulta!$A:$DP,MATCH('MM01'!$B46,Consulta!$C:$C,0),'MM01'!D$2),"")=0,"",IFERROR(INDEX(Consulta!$A:$DP,MATCH('MM01'!$B46,Consulta!$C:$C,0),'MM01'!D$2),""))</f>
        <v/>
      </c>
      <c r="E46" s="43" t="str">
        <f>IF(IFERROR(INDEX(Consulta!$A:$DP,MATCH('MM01'!$B46,Consulta!$C:$C,0),'MM01'!E$2),"")=0,"",IFERROR(INDEX(Consulta!$A:$DP,MATCH('MM01'!$B46,Consulta!$C:$C,0),'MM01'!E$2),""))</f>
        <v/>
      </c>
      <c r="F46" s="44" t="s">
        <v>100</v>
      </c>
      <c r="G46" s="49" t="str">
        <f>IF(IFERROR(INDEX(Consulta!$A:$DP,MATCH('MM01'!$B46,Consulta!$C:$C,0),'MM01'!G$2),"")=0,"",IFERROR(INDEX(Consulta!$A:$DP,MATCH('MM01'!$B46,Consulta!$C:$C,0),'MM01'!G$2),""))</f>
        <v/>
      </c>
      <c r="H46" s="49" t="str">
        <f>IF(IFERROR(INDEX(Consulta!$A:$DP,MATCH('MM01'!$B46,Consulta!$C:$C,0),'MM01'!H$2),"")=0,"",IFERROR(INDEX(Consulta!$A:$DP,MATCH('MM01'!$B46,Consulta!$C:$C,0),'MM01'!H$2),""))</f>
        <v/>
      </c>
      <c r="I46" s="49" t="str">
        <f t="shared" si="1"/>
        <v/>
      </c>
      <c r="J46" s="49" t="str">
        <f>IF(IFERROR(INDEX(Consulta!$A:$DP,MATCH('MM01'!$B46,Consulta!$C:$C,0),'MM01'!J$2),"")=0,"",IFERROR(INDEX(Consulta!$A:$DP,MATCH('MM01'!$B46,Consulta!$C:$C,0),'MM01'!J$2),""))</f>
        <v/>
      </c>
      <c r="K46" s="49" t="str">
        <f t="shared" si="2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IF(IFERROR(INDEX(Consulta!$A:$DP,MATCH('MM01'!$B46,Consulta!$C:$C,0),'MM01'!AP$2),"")=0,"",IFERROR(INDEX(Consulta!$A:$DP,MATCH('MM01'!$B46,Consulta!$C:$C,0),'MM01'!AP$2),""))</f>
        <v/>
      </c>
      <c r="AQ46" s="45"/>
      <c r="AR46" s="43" t="str">
        <f>IF(IFERROR(INDEX(Consulta!$A:$DP,MATCH('MM01'!$B46,Consulta!$C:$C,0),'MM01'!AR$2),"")=0,"",IFERROR(INDEX(Consulta!$A:$DP,MATCH('MM01'!$B46,Consulta!$C:$C,0),'MM01'!AR$2),""))</f>
        <v/>
      </c>
      <c r="AS46" s="43" t="str">
        <f>IF(IFERROR(INDEX(Consulta!$A:$DP,MATCH('MM01'!$B46,Consulta!$C:$C,0),'MM01'!AS$2),"")=0,"",IF(AR46="68",5102,IFERROR(INDEX(Consulta!$A:$DP,MATCH('MM01'!$B46,Consulta!$C:$C,0),'MM01'!AS$2),"")))</f>
        <v/>
      </c>
      <c r="AT46" s="45"/>
      <c r="AU46" s="46" t="str">
        <f t="shared" ca="1" si="3"/>
        <v/>
      </c>
      <c r="AV46" s="47" t="s">
        <v>795</v>
      </c>
      <c r="AW46" s="43" t="str">
        <f>IF(IFERROR(INDEX(Consulta!$A:$DP,MATCH('MM01'!$B46,Consulta!$C:$C,0),'MM01'!AW$2),"")=0,"",IFERROR(ROUND(INDEX(Consulta!$A:$DP,MATCH('MM01'!$B46,Consulta!$C:$C,0),'MM01'!AW$2),3),""))</f>
        <v/>
      </c>
      <c r="AX46" s="43" t="str">
        <f t="shared" si="4"/>
        <v/>
      </c>
      <c r="AY46" s="48" t="s">
        <v>299</v>
      </c>
      <c r="AZ46" s="48"/>
      <c r="BA46" s="43" t="str">
        <f>IF(IFERROR(INDEX(Consulta!$A:$DP,MATCH('MM01'!$B46,Consulta!$C:$C,0),'MM01'!BA$2),"")=0,"",IFERROR(INDEX(Consulta!$A:$DP,MATCH('MM01'!$B46,Consulta!$C:$C,0),'MM01'!BA$2),""))</f>
        <v/>
      </c>
      <c r="BB46" s="43" t="str">
        <f t="shared" si="5"/>
        <v/>
      </c>
      <c r="BC46" s="43" t="str">
        <f t="shared" si="6"/>
        <v/>
      </c>
      <c r="BD46" s="43" t="str">
        <f t="shared" si="7"/>
        <v/>
      </c>
      <c r="BE46" s="43" t="str">
        <f t="shared" si="8"/>
        <v>M</v>
      </c>
      <c r="BF46" s="43" t="str">
        <f t="shared" si="9"/>
        <v/>
      </c>
      <c r="BG46" s="43" t="str">
        <f t="shared" si="10"/>
        <v/>
      </c>
      <c r="BH46" s="43" t="str">
        <f t="shared" si="11"/>
        <v/>
      </c>
      <c r="BI46" s="43" t="str">
        <f t="shared" si="12"/>
        <v>M</v>
      </c>
      <c r="BK46" s="45" t="s">
        <v>324</v>
      </c>
      <c r="BL46" s="43" t="str">
        <f>IF(IFERROR(INDEX(Consulta!$A:$DP,MATCH('MM01'!$B46,Consulta!$C:$C,0),'MM01'!BL$2),"")=0,"",IFERROR(INDEX(Consulta!$A:$DP,MATCH('MM01'!$B46,Consulta!$C:$C,0),'MM01'!BL$2),""))</f>
        <v/>
      </c>
      <c r="BM46" s="45"/>
      <c r="BN46" s="46" t="str">
        <f t="shared" ca="1" si="13"/>
        <v/>
      </c>
      <c r="BO46" s="49" t="str">
        <f t="shared" si="14"/>
        <v/>
      </c>
      <c r="BP46" s="50">
        <v>1</v>
      </c>
      <c r="BQ46" s="50" t="s">
        <v>194</v>
      </c>
      <c r="BR46" s="79" t="str">
        <f t="shared" si="15"/>
        <v>01</v>
      </c>
      <c r="BS46" s="50" t="s">
        <v>795</v>
      </c>
      <c r="BT46" s="44">
        <v>1</v>
      </c>
      <c r="BU46" s="44" t="s">
        <v>371</v>
      </c>
      <c r="BV46" s="50" t="s">
        <v>197</v>
      </c>
      <c r="BW46" s="50" t="s">
        <v>197</v>
      </c>
      <c r="BX46" s="43" t="str">
        <f>IF(IFERROR(INDEX(Consulta!$A:$DP,MATCH('MM01'!$B46,Consulta!$C:$C,0),'MM01'!BX$2),"")=0,"",IFERROR(INDEX(Consulta!$A:$DP,MATCH('MM01'!$B46,Consulta!$C:$C,0),'MM01'!BX$2),""))</f>
        <v/>
      </c>
      <c r="BY46" s="44" t="s">
        <v>391</v>
      </c>
      <c r="BZ46" s="50">
        <v>0</v>
      </c>
      <c r="CA46" s="45" t="s">
        <v>402</v>
      </c>
      <c r="CB46" s="45" t="s">
        <v>84</v>
      </c>
      <c r="CC46" s="43" t="str">
        <f t="shared" si="16"/>
        <v/>
      </c>
      <c r="CD46" s="45" t="s">
        <v>38</v>
      </c>
      <c r="CE46" s="45">
        <v>1</v>
      </c>
      <c r="CF46" s="45" t="s">
        <v>495</v>
      </c>
      <c r="CG46" s="45"/>
      <c r="CH46" s="44">
        <v>2</v>
      </c>
      <c r="CI46" s="49" t="str">
        <f t="shared" si="17"/>
        <v/>
      </c>
      <c r="CJ46" s="49" t="str">
        <f t="shared" si="18"/>
        <v/>
      </c>
      <c r="CK46" s="45"/>
      <c r="CL46" s="44">
        <v>1</v>
      </c>
      <c r="CM46" s="50" t="s">
        <v>514</v>
      </c>
      <c r="CN46" s="44" t="s">
        <v>371</v>
      </c>
      <c r="CO46" s="44">
        <v>2</v>
      </c>
      <c r="CP46" s="44">
        <v>42</v>
      </c>
      <c r="CQ46" s="44">
        <v>10</v>
      </c>
      <c r="CR46" s="43" t="str">
        <f t="shared" si="19"/>
        <v>K00_P_</v>
      </c>
      <c r="CS46" s="45">
        <v>5000</v>
      </c>
      <c r="CT46" s="43" t="str">
        <f>IF(IFERROR(INDEX(Consulta!$A:$DP,MATCH('MM01'!$B46,Consulta!$C:$C,0),'MM01'!CT$2),"")=0,"",IFERROR(INDEX(Consulta!$A:$DP,MATCH('MM01'!$B46,Consulta!$C:$C,0),'MM01'!CT$2),""))</f>
        <v/>
      </c>
      <c r="CU46" s="43" t="str">
        <f>IF(IFERROR(INDEX(Consulta!$A:$DP,MATCH('MM01'!$B46,Consulta!$C:$C,0),'MM01'!CU$2),"")=0,"",IFERROR(INDEX(Consulta!$A:$DP,MATCH('MM01'!$B46,Consulta!$C:$C,0),'MM01'!CU$2),""))</f>
        <v/>
      </c>
      <c r="CV46" s="43" t="str">
        <f>IF(IFERROR(INDEX(Consulta!$A:$DP,MATCH('MM01'!$B46,Consulta!$C:$C,0),'MM01'!CV$2),"")=0,"",IFERROR(INDEX(Consulta!$A:$DP,MATCH('MM01'!$B46,Consulta!$C:$C,0),'MM01'!CV$2),""))</f>
        <v/>
      </c>
      <c r="CW46" s="43" t="str">
        <f>IF(IFERROR(INDEX(Consulta!$A:$DP,MATCH('MM01'!$B46,Consulta!$C:$C,0),'MM01'!CW$2),"")=0,"",IFERROR(INDEX(Consulta!$A:$DP,MATCH('MM01'!$B46,Consulta!$C:$C,0),'MM01'!CW$2),""))</f>
        <v/>
      </c>
      <c r="CX46" s="43" t="str">
        <f t="shared" si="20"/>
        <v/>
      </c>
      <c r="CY46" s="43" t="str">
        <f t="shared" si="21"/>
        <v/>
      </c>
      <c r="CZ46" s="43" t="str">
        <f t="shared" si="22"/>
        <v/>
      </c>
      <c r="DA46" s="43" t="str">
        <f>IF(IFERROR(INDEX(Consulta!$A:$DP,MATCH('MM01'!$B46,Consulta!$C:$C,0),'MM01'!DA$2),"")=0,"",IFERROR(INDEX(Consulta!$A:$DP,MATCH('MM01'!$B46,Consulta!$C:$C,0),'MM01'!DA$2),""))</f>
        <v/>
      </c>
      <c r="DB46" s="43" t="str">
        <f t="shared" si="23"/>
        <v/>
      </c>
      <c r="DC46" s="43" t="str">
        <f>IF(IFERROR(INDEX(Consulta!$A:$DP,MATCH('MM01'!$B46,Consulta!$C:$C,0),'MM01'!DC$2),"")=0,"",IFERROR(INDEX(Consulta!$A:$DP,MATCH('MM01'!$B46,Consulta!$C:$C,0),'MM01'!DC$2),""))</f>
        <v/>
      </c>
      <c r="DD46" s="45">
        <v>0</v>
      </c>
      <c r="DE46" s="45">
        <v>0</v>
      </c>
      <c r="DF46" s="43" t="str">
        <f t="shared" si="24"/>
        <v/>
      </c>
      <c r="DG46" s="43" t="str">
        <f t="shared" si="25"/>
        <v/>
      </c>
      <c r="DH46" s="57"/>
      <c r="DI46" s="43" t="str">
        <f t="shared" ca="1" si="26"/>
        <v/>
      </c>
      <c r="DJ46" s="43" t="str">
        <f t="shared" si="27"/>
        <v/>
      </c>
      <c r="DK46" s="43" t="str">
        <f t="shared" si="28"/>
        <v/>
      </c>
      <c r="DL46" s="57"/>
      <c r="DM46" s="43" t="str">
        <f t="shared" ca="1" si="29"/>
        <v/>
      </c>
      <c r="DN46" s="43" t="str">
        <f t="shared" si="30"/>
        <v/>
      </c>
      <c r="DO46" s="43" t="str">
        <f t="shared" si="31"/>
        <v/>
      </c>
      <c r="DP46" s="57"/>
      <c r="DQ46" s="43" t="str">
        <f t="shared" ca="1" si="32"/>
        <v/>
      </c>
      <c r="DR46" s="43" t="str">
        <f t="shared" si="33"/>
        <v/>
      </c>
      <c r="DS46" s="43" t="str">
        <f t="shared" si="34"/>
        <v/>
      </c>
      <c r="DT46" s="57"/>
      <c r="DU46" s="43" t="str">
        <f t="shared" ca="1" si="35"/>
        <v/>
      </c>
      <c r="DV46" s="43" t="str">
        <f t="shared" si="36"/>
        <v/>
      </c>
      <c r="DX46" s="44">
        <v>1</v>
      </c>
      <c r="DY46" s="44" t="s">
        <v>773</v>
      </c>
      <c r="DZ46" s="43">
        <f t="shared" si="37"/>
        <v>0.01</v>
      </c>
      <c r="EA46" s="43" t="str">
        <f t="shared" si="38"/>
        <v>M</v>
      </c>
      <c r="EB46" s="43" t="str">
        <f>IF(IFERROR(INDEX(Consulta!$A:$DP,MATCH('MM01'!$B46,Consulta!$C:$C,0),'MM01'!EB$2),"")=0,"7925",IF(IFERROR(INDEX(Consulta!$A:$DP,MATCH('MM01'!$B46,Consulta!$C:$C,0),'MM01'!EB$2),"")="68","7910","7925"))</f>
        <v>7925</v>
      </c>
      <c r="EC46" s="44">
        <v>100</v>
      </c>
      <c r="ED46" s="62">
        <v>1</v>
      </c>
      <c r="EE46" s="43">
        <f t="shared" si="39"/>
        <v>100</v>
      </c>
      <c r="EF46" s="44">
        <v>1</v>
      </c>
      <c r="EG46" s="44">
        <v>0</v>
      </c>
      <c r="EH46" s="44" t="s">
        <v>875</v>
      </c>
      <c r="EI46" s="45">
        <v>0</v>
      </c>
      <c r="EJ46" s="43">
        <f t="shared" si="40"/>
        <v>5000</v>
      </c>
      <c r="EK46" s="69"/>
    </row>
    <row r="47" spans="1:141" x14ac:dyDescent="0.2">
      <c r="A47" s="7" t="str">
        <f t="shared" si="0"/>
        <v>Execução 43</v>
      </c>
      <c r="B47" s="42"/>
      <c r="C47" s="43" t="str">
        <f>IF(IFERROR(INDEX(Consulta!$A:$DP,MATCH('MM01'!$B47,Consulta!$C:$C,0),'MM01'!C$2),"")=0,"",IFERROR(INDEX(Consulta!$A:$DP,MATCH('MM01'!$B47,Consulta!$C:$C,0),'MM01'!C$2),""))</f>
        <v/>
      </c>
      <c r="D47" s="43" t="str">
        <f>IF(IFERROR(INDEX(Consulta!$A:$DP,MATCH('MM01'!$B47,Consulta!$C:$C,0),'MM01'!D$2),"")=0,"",IFERROR(INDEX(Consulta!$A:$DP,MATCH('MM01'!$B47,Consulta!$C:$C,0),'MM01'!D$2),""))</f>
        <v/>
      </c>
      <c r="E47" s="43" t="str">
        <f>IF(IFERROR(INDEX(Consulta!$A:$DP,MATCH('MM01'!$B47,Consulta!$C:$C,0),'MM01'!E$2),"")=0,"",IFERROR(INDEX(Consulta!$A:$DP,MATCH('MM01'!$B47,Consulta!$C:$C,0),'MM01'!E$2),""))</f>
        <v/>
      </c>
      <c r="F47" s="44" t="s">
        <v>100</v>
      </c>
      <c r="G47" s="49" t="str">
        <f>IF(IFERROR(INDEX(Consulta!$A:$DP,MATCH('MM01'!$B47,Consulta!$C:$C,0),'MM01'!G$2),"")=0,"",IFERROR(INDEX(Consulta!$A:$DP,MATCH('MM01'!$B47,Consulta!$C:$C,0),'MM01'!G$2),""))</f>
        <v/>
      </c>
      <c r="H47" s="49" t="str">
        <f>IF(IFERROR(INDEX(Consulta!$A:$DP,MATCH('MM01'!$B47,Consulta!$C:$C,0),'MM01'!H$2),"")=0,"",IFERROR(INDEX(Consulta!$A:$DP,MATCH('MM01'!$B47,Consulta!$C:$C,0),'MM01'!H$2),""))</f>
        <v/>
      </c>
      <c r="I47" s="49" t="str">
        <f t="shared" si="1"/>
        <v/>
      </c>
      <c r="J47" s="49" t="str">
        <f>IF(IFERROR(INDEX(Consulta!$A:$DP,MATCH('MM01'!$B47,Consulta!$C:$C,0),'MM01'!J$2),"")=0,"",IFERROR(INDEX(Consulta!$A:$DP,MATCH('MM01'!$B47,Consulta!$C:$C,0),'MM01'!J$2),""))</f>
        <v/>
      </c>
      <c r="K47" s="49" t="str">
        <f t="shared" si="2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IF(IFERROR(INDEX(Consulta!$A:$DP,MATCH('MM01'!$B47,Consulta!$C:$C,0),'MM01'!AP$2),"")=0,"",IFERROR(INDEX(Consulta!$A:$DP,MATCH('MM01'!$B47,Consulta!$C:$C,0),'MM01'!AP$2),""))</f>
        <v/>
      </c>
      <c r="AQ47" s="45"/>
      <c r="AR47" s="43" t="str">
        <f>IF(IFERROR(INDEX(Consulta!$A:$DP,MATCH('MM01'!$B47,Consulta!$C:$C,0),'MM01'!AR$2),"")=0,"",IFERROR(INDEX(Consulta!$A:$DP,MATCH('MM01'!$B47,Consulta!$C:$C,0),'MM01'!AR$2),""))</f>
        <v/>
      </c>
      <c r="AS47" s="43" t="str">
        <f>IF(IFERROR(INDEX(Consulta!$A:$DP,MATCH('MM01'!$B47,Consulta!$C:$C,0),'MM01'!AS$2),"")=0,"",IF(AR47="68",5102,IFERROR(INDEX(Consulta!$A:$DP,MATCH('MM01'!$B47,Consulta!$C:$C,0),'MM01'!AS$2),"")))</f>
        <v/>
      </c>
      <c r="AT47" s="45"/>
      <c r="AU47" s="46" t="str">
        <f t="shared" ca="1" si="3"/>
        <v/>
      </c>
      <c r="AV47" s="47" t="s">
        <v>795</v>
      </c>
      <c r="AW47" s="43" t="str">
        <f>IF(IFERROR(INDEX(Consulta!$A:$DP,MATCH('MM01'!$B47,Consulta!$C:$C,0),'MM01'!AW$2),"")=0,"",IFERROR(ROUND(INDEX(Consulta!$A:$DP,MATCH('MM01'!$B47,Consulta!$C:$C,0),'MM01'!AW$2),3),""))</f>
        <v/>
      </c>
      <c r="AX47" s="43" t="str">
        <f t="shared" si="4"/>
        <v/>
      </c>
      <c r="AY47" s="48" t="s">
        <v>299</v>
      </c>
      <c r="AZ47" s="48"/>
      <c r="BA47" s="43" t="str">
        <f>IF(IFERROR(INDEX(Consulta!$A:$DP,MATCH('MM01'!$B47,Consulta!$C:$C,0),'MM01'!BA$2),"")=0,"",IFERROR(INDEX(Consulta!$A:$DP,MATCH('MM01'!$B47,Consulta!$C:$C,0),'MM01'!BA$2),""))</f>
        <v/>
      </c>
      <c r="BB47" s="43" t="str">
        <f t="shared" si="5"/>
        <v/>
      </c>
      <c r="BC47" s="43" t="str">
        <f t="shared" si="6"/>
        <v/>
      </c>
      <c r="BD47" s="43" t="str">
        <f t="shared" si="7"/>
        <v/>
      </c>
      <c r="BE47" s="43" t="str">
        <f t="shared" si="8"/>
        <v>M</v>
      </c>
      <c r="BF47" s="43" t="str">
        <f t="shared" si="9"/>
        <v/>
      </c>
      <c r="BG47" s="43" t="str">
        <f t="shared" si="10"/>
        <v/>
      </c>
      <c r="BH47" s="43" t="str">
        <f t="shared" si="11"/>
        <v/>
      </c>
      <c r="BI47" s="43" t="str">
        <f t="shared" si="12"/>
        <v>M</v>
      </c>
      <c r="BK47" s="45" t="s">
        <v>324</v>
      </c>
      <c r="BL47" s="43" t="str">
        <f>IF(IFERROR(INDEX(Consulta!$A:$DP,MATCH('MM01'!$B47,Consulta!$C:$C,0),'MM01'!BL$2),"")=0,"",IFERROR(INDEX(Consulta!$A:$DP,MATCH('MM01'!$B47,Consulta!$C:$C,0),'MM01'!BL$2),""))</f>
        <v/>
      </c>
      <c r="BM47" s="45"/>
      <c r="BN47" s="46" t="str">
        <f t="shared" ca="1" si="13"/>
        <v/>
      </c>
      <c r="BO47" s="49" t="str">
        <f t="shared" si="14"/>
        <v/>
      </c>
      <c r="BP47" s="50">
        <v>1</v>
      </c>
      <c r="BQ47" s="50" t="s">
        <v>194</v>
      </c>
      <c r="BR47" s="79" t="str">
        <f t="shared" si="15"/>
        <v>01</v>
      </c>
      <c r="BS47" s="50" t="s">
        <v>795</v>
      </c>
      <c r="BT47" s="44">
        <v>1</v>
      </c>
      <c r="BU47" s="44" t="s">
        <v>371</v>
      </c>
      <c r="BV47" s="50" t="s">
        <v>197</v>
      </c>
      <c r="BW47" s="50" t="s">
        <v>197</v>
      </c>
      <c r="BX47" s="43" t="str">
        <f>IF(IFERROR(INDEX(Consulta!$A:$DP,MATCH('MM01'!$B47,Consulta!$C:$C,0),'MM01'!BX$2),"")=0,"",IFERROR(INDEX(Consulta!$A:$DP,MATCH('MM01'!$B47,Consulta!$C:$C,0),'MM01'!BX$2),""))</f>
        <v/>
      </c>
      <c r="BY47" s="44" t="s">
        <v>391</v>
      </c>
      <c r="BZ47" s="50">
        <v>0</v>
      </c>
      <c r="CA47" s="45" t="s">
        <v>402</v>
      </c>
      <c r="CB47" s="45" t="s">
        <v>84</v>
      </c>
      <c r="CC47" s="43" t="str">
        <f t="shared" si="16"/>
        <v/>
      </c>
      <c r="CD47" s="45" t="s">
        <v>38</v>
      </c>
      <c r="CE47" s="45">
        <v>1</v>
      </c>
      <c r="CF47" s="45" t="s">
        <v>495</v>
      </c>
      <c r="CG47" s="45"/>
      <c r="CH47" s="44">
        <v>2</v>
      </c>
      <c r="CI47" s="49" t="str">
        <f t="shared" si="17"/>
        <v/>
      </c>
      <c r="CJ47" s="49" t="str">
        <f t="shared" si="18"/>
        <v/>
      </c>
      <c r="CK47" s="45"/>
      <c r="CL47" s="44">
        <v>1</v>
      </c>
      <c r="CM47" s="50" t="s">
        <v>514</v>
      </c>
      <c r="CN47" s="44" t="s">
        <v>371</v>
      </c>
      <c r="CO47" s="44">
        <v>2</v>
      </c>
      <c r="CP47" s="44">
        <v>42</v>
      </c>
      <c r="CQ47" s="44">
        <v>10</v>
      </c>
      <c r="CR47" s="43" t="str">
        <f t="shared" si="19"/>
        <v>K00_P_</v>
      </c>
      <c r="CS47" s="45">
        <v>5000</v>
      </c>
      <c r="CT47" s="43" t="str">
        <f>IF(IFERROR(INDEX(Consulta!$A:$DP,MATCH('MM01'!$B47,Consulta!$C:$C,0),'MM01'!CT$2),"")=0,"",IFERROR(INDEX(Consulta!$A:$DP,MATCH('MM01'!$B47,Consulta!$C:$C,0),'MM01'!CT$2),""))</f>
        <v/>
      </c>
      <c r="CU47" s="43" t="str">
        <f>IF(IFERROR(INDEX(Consulta!$A:$DP,MATCH('MM01'!$B47,Consulta!$C:$C,0),'MM01'!CU$2),"")=0,"",IFERROR(INDEX(Consulta!$A:$DP,MATCH('MM01'!$B47,Consulta!$C:$C,0),'MM01'!CU$2),""))</f>
        <v/>
      </c>
      <c r="CV47" s="43" t="str">
        <f>IF(IFERROR(INDEX(Consulta!$A:$DP,MATCH('MM01'!$B47,Consulta!$C:$C,0),'MM01'!CV$2),"")=0,"",IFERROR(INDEX(Consulta!$A:$DP,MATCH('MM01'!$B47,Consulta!$C:$C,0),'MM01'!CV$2),""))</f>
        <v/>
      </c>
      <c r="CW47" s="43" t="str">
        <f>IF(IFERROR(INDEX(Consulta!$A:$DP,MATCH('MM01'!$B47,Consulta!$C:$C,0),'MM01'!CW$2),"")=0,"",IFERROR(INDEX(Consulta!$A:$DP,MATCH('MM01'!$B47,Consulta!$C:$C,0),'MM01'!CW$2),""))</f>
        <v/>
      </c>
      <c r="CX47" s="43" t="str">
        <f t="shared" si="20"/>
        <v/>
      </c>
      <c r="CY47" s="43" t="str">
        <f t="shared" si="21"/>
        <v/>
      </c>
      <c r="CZ47" s="43" t="str">
        <f t="shared" si="22"/>
        <v/>
      </c>
      <c r="DA47" s="43" t="str">
        <f>IF(IFERROR(INDEX(Consulta!$A:$DP,MATCH('MM01'!$B47,Consulta!$C:$C,0),'MM01'!DA$2),"")=0,"",IFERROR(INDEX(Consulta!$A:$DP,MATCH('MM01'!$B47,Consulta!$C:$C,0),'MM01'!DA$2),""))</f>
        <v/>
      </c>
      <c r="DB47" s="43" t="str">
        <f t="shared" si="23"/>
        <v/>
      </c>
      <c r="DC47" s="43" t="str">
        <f>IF(IFERROR(INDEX(Consulta!$A:$DP,MATCH('MM01'!$B47,Consulta!$C:$C,0),'MM01'!DC$2),"")=0,"",IFERROR(INDEX(Consulta!$A:$DP,MATCH('MM01'!$B47,Consulta!$C:$C,0),'MM01'!DC$2),""))</f>
        <v/>
      </c>
      <c r="DD47" s="45">
        <v>0</v>
      </c>
      <c r="DE47" s="45">
        <v>0</v>
      </c>
      <c r="DF47" s="43" t="str">
        <f t="shared" si="24"/>
        <v/>
      </c>
      <c r="DG47" s="43" t="str">
        <f t="shared" si="25"/>
        <v/>
      </c>
      <c r="DH47" s="57"/>
      <c r="DI47" s="43" t="str">
        <f t="shared" ca="1" si="26"/>
        <v/>
      </c>
      <c r="DJ47" s="43" t="str">
        <f t="shared" si="27"/>
        <v/>
      </c>
      <c r="DK47" s="43" t="str">
        <f t="shared" si="28"/>
        <v/>
      </c>
      <c r="DL47" s="57"/>
      <c r="DM47" s="43" t="str">
        <f t="shared" ca="1" si="29"/>
        <v/>
      </c>
      <c r="DN47" s="43" t="str">
        <f t="shared" si="30"/>
        <v/>
      </c>
      <c r="DO47" s="43" t="str">
        <f t="shared" si="31"/>
        <v/>
      </c>
      <c r="DP47" s="57"/>
      <c r="DQ47" s="43" t="str">
        <f t="shared" ca="1" si="32"/>
        <v/>
      </c>
      <c r="DR47" s="43" t="str">
        <f t="shared" si="33"/>
        <v/>
      </c>
      <c r="DS47" s="43" t="str">
        <f t="shared" si="34"/>
        <v/>
      </c>
      <c r="DT47" s="57"/>
      <c r="DU47" s="43" t="str">
        <f t="shared" ca="1" si="35"/>
        <v/>
      </c>
      <c r="DV47" s="43" t="str">
        <f t="shared" si="36"/>
        <v/>
      </c>
      <c r="DX47" s="44">
        <v>1</v>
      </c>
      <c r="DY47" s="44" t="s">
        <v>773</v>
      </c>
      <c r="DZ47" s="43">
        <f t="shared" si="37"/>
        <v>0.01</v>
      </c>
      <c r="EA47" s="43" t="str">
        <f t="shared" si="38"/>
        <v>M</v>
      </c>
      <c r="EB47" s="43" t="str">
        <f>IF(IFERROR(INDEX(Consulta!$A:$DP,MATCH('MM01'!$B47,Consulta!$C:$C,0),'MM01'!EB$2),"")=0,"7925",IF(IFERROR(INDEX(Consulta!$A:$DP,MATCH('MM01'!$B47,Consulta!$C:$C,0),'MM01'!EB$2),"")="68","7910","7925"))</f>
        <v>7925</v>
      </c>
      <c r="EC47" s="44">
        <v>100</v>
      </c>
      <c r="ED47" s="62">
        <v>1</v>
      </c>
      <c r="EE47" s="43">
        <f t="shared" si="39"/>
        <v>100</v>
      </c>
      <c r="EF47" s="44">
        <v>1</v>
      </c>
      <c r="EG47" s="44">
        <v>0</v>
      </c>
      <c r="EH47" s="44" t="s">
        <v>875</v>
      </c>
      <c r="EI47" s="45">
        <v>0</v>
      </c>
      <c r="EJ47" s="43">
        <f t="shared" si="40"/>
        <v>5000</v>
      </c>
      <c r="EK47" s="69"/>
    </row>
    <row r="48" spans="1:141" x14ac:dyDescent="0.2">
      <c r="A48" s="7" t="str">
        <f t="shared" si="0"/>
        <v>Execução 44</v>
      </c>
      <c r="B48" s="42"/>
      <c r="C48" s="43" t="str">
        <f>IF(IFERROR(INDEX(Consulta!$A:$DP,MATCH('MM01'!$B48,Consulta!$C:$C,0),'MM01'!C$2),"")=0,"",IFERROR(INDEX(Consulta!$A:$DP,MATCH('MM01'!$B48,Consulta!$C:$C,0),'MM01'!C$2),""))</f>
        <v/>
      </c>
      <c r="D48" s="43" t="str">
        <f>IF(IFERROR(INDEX(Consulta!$A:$DP,MATCH('MM01'!$B48,Consulta!$C:$C,0),'MM01'!D$2),"")=0,"",IFERROR(INDEX(Consulta!$A:$DP,MATCH('MM01'!$B48,Consulta!$C:$C,0),'MM01'!D$2),""))</f>
        <v/>
      </c>
      <c r="E48" s="43" t="str">
        <f>IF(IFERROR(INDEX(Consulta!$A:$DP,MATCH('MM01'!$B48,Consulta!$C:$C,0),'MM01'!E$2),"")=0,"",IFERROR(INDEX(Consulta!$A:$DP,MATCH('MM01'!$B48,Consulta!$C:$C,0),'MM01'!E$2),""))</f>
        <v/>
      </c>
      <c r="F48" s="44" t="s">
        <v>100</v>
      </c>
      <c r="G48" s="49" t="str">
        <f>IF(IFERROR(INDEX(Consulta!$A:$DP,MATCH('MM01'!$B48,Consulta!$C:$C,0),'MM01'!G$2),"")=0,"",IFERROR(INDEX(Consulta!$A:$DP,MATCH('MM01'!$B48,Consulta!$C:$C,0),'MM01'!G$2),""))</f>
        <v/>
      </c>
      <c r="H48" s="49" t="str">
        <f>IF(IFERROR(INDEX(Consulta!$A:$DP,MATCH('MM01'!$B48,Consulta!$C:$C,0),'MM01'!H$2),"")=0,"",IFERROR(INDEX(Consulta!$A:$DP,MATCH('MM01'!$B48,Consulta!$C:$C,0),'MM01'!H$2),""))</f>
        <v/>
      </c>
      <c r="I48" s="49" t="str">
        <f t="shared" si="1"/>
        <v/>
      </c>
      <c r="J48" s="49" t="str">
        <f>IF(IFERROR(INDEX(Consulta!$A:$DP,MATCH('MM01'!$B48,Consulta!$C:$C,0),'MM01'!J$2),"")=0,"",IFERROR(INDEX(Consulta!$A:$DP,MATCH('MM01'!$B48,Consulta!$C:$C,0),'MM01'!J$2),""))</f>
        <v/>
      </c>
      <c r="K48" s="49" t="str">
        <f t="shared" si="2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IF(IFERROR(INDEX(Consulta!$A:$DP,MATCH('MM01'!$B48,Consulta!$C:$C,0),'MM01'!AP$2),"")=0,"",IFERROR(INDEX(Consulta!$A:$DP,MATCH('MM01'!$B48,Consulta!$C:$C,0),'MM01'!AP$2),""))</f>
        <v/>
      </c>
      <c r="AQ48" s="45"/>
      <c r="AR48" s="43" t="str">
        <f>IF(IFERROR(INDEX(Consulta!$A:$DP,MATCH('MM01'!$B48,Consulta!$C:$C,0),'MM01'!AR$2),"")=0,"",IFERROR(INDEX(Consulta!$A:$DP,MATCH('MM01'!$B48,Consulta!$C:$C,0),'MM01'!AR$2),""))</f>
        <v/>
      </c>
      <c r="AS48" s="43" t="str">
        <f>IF(IFERROR(INDEX(Consulta!$A:$DP,MATCH('MM01'!$B48,Consulta!$C:$C,0),'MM01'!AS$2),"")=0,"",IF(AR48="68",5102,IFERROR(INDEX(Consulta!$A:$DP,MATCH('MM01'!$B48,Consulta!$C:$C,0),'MM01'!AS$2),"")))</f>
        <v/>
      </c>
      <c r="AT48" s="45"/>
      <c r="AU48" s="46" t="str">
        <f t="shared" ca="1" si="3"/>
        <v/>
      </c>
      <c r="AV48" s="47" t="s">
        <v>795</v>
      </c>
      <c r="AW48" s="43" t="str">
        <f>IF(IFERROR(INDEX(Consulta!$A:$DP,MATCH('MM01'!$B48,Consulta!$C:$C,0),'MM01'!AW$2),"")=0,"",IFERROR(ROUND(INDEX(Consulta!$A:$DP,MATCH('MM01'!$B48,Consulta!$C:$C,0),'MM01'!AW$2),3),""))</f>
        <v/>
      </c>
      <c r="AX48" s="43" t="str">
        <f t="shared" si="4"/>
        <v/>
      </c>
      <c r="AY48" s="48" t="s">
        <v>299</v>
      </c>
      <c r="AZ48" s="48"/>
      <c r="BA48" s="43" t="str">
        <f>IF(IFERROR(INDEX(Consulta!$A:$DP,MATCH('MM01'!$B48,Consulta!$C:$C,0),'MM01'!BA$2),"")=0,"",IFERROR(INDEX(Consulta!$A:$DP,MATCH('MM01'!$B48,Consulta!$C:$C,0),'MM01'!BA$2),""))</f>
        <v/>
      </c>
      <c r="BB48" s="43" t="str">
        <f t="shared" si="5"/>
        <v/>
      </c>
      <c r="BC48" s="43" t="str">
        <f t="shared" si="6"/>
        <v/>
      </c>
      <c r="BD48" s="43" t="str">
        <f t="shared" si="7"/>
        <v/>
      </c>
      <c r="BE48" s="43" t="str">
        <f t="shared" si="8"/>
        <v>M</v>
      </c>
      <c r="BF48" s="43" t="str">
        <f t="shared" si="9"/>
        <v/>
      </c>
      <c r="BG48" s="43" t="str">
        <f t="shared" si="10"/>
        <v/>
      </c>
      <c r="BH48" s="43" t="str">
        <f t="shared" si="11"/>
        <v/>
      </c>
      <c r="BI48" s="43" t="str">
        <f t="shared" si="12"/>
        <v>M</v>
      </c>
      <c r="BK48" s="45" t="s">
        <v>324</v>
      </c>
      <c r="BL48" s="43" t="str">
        <f>IF(IFERROR(INDEX(Consulta!$A:$DP,MATCH('MM01'!$B48,Consulta!$C:$C,0),'MM01'!BL$2),"")=0,"",IFERROR(INDEX(Consulta!$A:$DP,MATCH('MM01'!$B48,Consulta!$C:$C,0),'MM01'!BL$2),""))</f>
        <v/>
      </c>
      <c r="BM48" s="45"/>
      <c r="BN48" s="46" t="str">
        <f t="shared" ca="1" si="13"/>
        <v/>
      </c>
      <c r="BO48" s="49" t="str">
        <f t="shared" si="14"/>
        <v/>
      </c>
      <c r="BP48" s="50">
        <v>1</v>
      </c>
      <c r="BQ48" s="50" t="s">
        <v>194</v>
      </c>
      <c r="BR48" s="79" t="str">
        <f t="shared" si="15"/>
        <v>01</v>
      </c>
      <c r="BS48" s="50" t="s">
        <v>795</v>
      </c>
      <c r="BT48" s="44">
        <v>1</v>
      </c>
      <c r="BU48" s="44" t="s">
        <v>371</v>
      </c>
      <c r="BV48" s="50" t="s">
        <v>197</v>
      </c>
      <c r="BW48" s="50" t="s">
        <v>197</v>
      </c>
      <c r="BX48" s="43" t="str">
        <f>IF(IFERROR(INDEX(Consulta!$A:$DP,MATCH('MM01'!$B48,Consulta!$C:$C,0),'MM01'!BX$2),"")=0,"",IFERROR(INDEX(Consulta!$A:$DP,MATCH('MM01'!$B48,Consulta!$C:$C,0),'MM01'!BX$2),""))</f>
        <v/>
      </c>
      <c r="BY48" s="44" t="s">
        <v>391</v>
      </c>
      <c r="BZ48" s="50">
        <v>0</v>
      </c>
      <c r="CA48" s="45" t="s">
        <v>402</v>
      </c>
      <c r="CB48" s="45" t="s">
        <v>84</v>
      </c>
      <c r="CC48" s="43" t="str">
        <f t="shared" si="16"/>
        <v/>
      </c>
      <c r="CD48" s="45" t="s">
        <v>38</v>
      </c>
      <c r="CE48" s="45">
        <v>1</v>
      </c>
      <c r="CF48" s="45" t="s">
        <v>495</v>
      </c>
      <c r="CG48" s="45"/>
      <c r="CH48" s="44">
        <v>2</v>
      </c>
      <c r="CI48" s="49" t="str">
        <f t="shared" si="17"/>
        <v/>
      </c>
      <c r="CJ48" s="49" t="str">
        <f t="shared" si="18"/>
        <v/>
      </c>
      <c r="CK48" s="45"/>
      <c r="CL48" s="44">
        <v>1</v>
      </c>
      <c r="CM48" s="50" t="s">
        <v>514</v>
      </c>
      <c r="CN48" s="44" t="s">
        <v>371</v>
      </c>
      <c r="CO48" s="44">
        <v>2</v>
      </c>
      <c r="CP48" s="44">
        <v>42</v>
      </c>
      <c r="CQ48" s="44">
        <v>10</v>
      </c>
      <c r="CR48" s="43" t="str">
        <f t="shared" si="19"/>
        <v>K00_P_</v>
      </c>
      <c r="CS48" s="45">
        <v>5000</v>
      </c>
      <c r="CT48" s="43" t="str">
        <f>IF(IFERROR(INDEX(Consulta!$A:$DP,MATCH('MM01'!$B48,Consulta!$C:$C,0),'MM01'!CT$2),"")=0,"",IFERROR(INDEX(Consulta!$A:$DP,MATCH('MM01'!$B48,Consulta!$C:$C,0),'MM01'!CT$2),""))</f>
        <v/>
      </c>
      <c r="CU48" s="43" t="str">
        <f>IF(IFERROR(INDEX(Consulta!$A:$DP,MATCH('MM01'!$B48,Consulta!$C:$C,0),'MM01'!CU$2),"")=0,"",IFERROR(INDEX(Consulta!$A:$DP,MATCH('MM01'!$B48,Consulta!$C:$C,0),'MM01'!CU$2),""))</f>
        <v/>
      </c>
      <c r="CV48" s="43" t="str">
        <f>IF(IFERROR(INDEX(Consulta!$A:$DP,MATCH('MM01'!$B48,Consulta!$C:$C,0),'MM01'!CV$2),"")=0,"",IFERROR(INDEX(Consulta!$A:$DP,MATCH('MM01'!$B48,Consulta!$C:$C,0),'MM01'!CV$2),""))</f>
        <v/>
      </c>
      <c r="CW48" s="43" t="str">
        <f>IF(IFERROR(INDEX(Consulta!$A:$DP,MATCH('MM01'!$B48,Consulta!$C:$C,0),'MM01'!CW$2),"")=0,"",IFERROR(INDEX(Consulta!$A:$DP,MATCH('MM01'!$B48,Consulta!$C:$C,0),'MM01'!CW$2),""))</f>
        <v/>
      </c>
      <c r="CX48" s="43" t="str">
        <f t="shared" si="20"/>
        <v/>
      </c>
      <c r="CY48" s="43" t="str">
        <f t="shared" si="21"/>
        <v/>
      </c>
      <c r="CZ48" s="43" t="str">
        <f t="shared" si="22"/>
        <v/>
      </c>
      <c r="DA48" s="43" t="str">
        <f>IF(IFERROR(INDEX(Consulta!$A:$DP,MATCH('MM01'!$B48,Consulta!$C:$C,0),'MM01'!DA$2),"")=0,"",IFERROR(INDEX(Consulta!$A:$DP,MATCH('MM01'!$B48,Consulta!$C:$C,0),'MM01'!DA$2),""))</f>
        <v/>
      </c>
      <c r="DB48" s="43" t="str">
        <f t="shared" si="23"/>
        <v/>
      </c>
      <c r="DC48" s="43" t="str">
        <f>IF(IFERROR(INDEX(Consulta!$A:$DP,MATCH('MM01'!$B48,Consulta!$C:$C,0),'MM01'!DC$2),"")=0,"",IFERROR(INDEX(Consulta!$A:$DP,MATCH('MM01'!$B48,Consulta!$C:$C,0),'MM01'!DC$2),""))</f>
        <v/>
      </c>
      <c r="DD48" s="45">
        <v>0</v>
      </c>
      <c r="DE48" s="45">
        <v>0</v>
      </c>
      <c r="DF48" s="43" t="str">
        <f t="shared" si="24"/>
        <v/>
      </c>
      <c r="DG48" s="43" t="str">
        <f t="shared" si="25"/>
        <v/>
      </c>
      <c r="DH48" s="57"/>
      <c r="DI48" s="43" t="str">
        <f t="shared" ca="1" si="26"/>
        <v/>
      </c>
      <c r="DJ48" s="43" t="str">
        <f t="shared" si="27"/>
        <v/>
      </c>
      <c r="DK48" s="43" t="str">
        <f t="shared" si="28"/>
        <v/>
      </c>
      <c r="DL48" s="57"/>
      <c r="DM48" s="43" t="str">
        <f t="shared" ca="1" si="29"/>
        <v/>
      </c>
      <c r="DN48" s="43" t="str">
        <f t="shared" si="30"/>
        <v/>
      </c>
      <c r="DO48" s="43" t="str">
        <f t="shared" si="31"/>
        <v/>
      </c>
      <c r="DP48" s="57"/>
      <c r="DQ48" s="43" t="str">
        <f t="shared" ca="1" si="32"/>
        <v/>
      </c>
      <c r="DR48" s="43" t="str">
        <f t="shared" si="33"/>
        <v/>
      </c>
      <c r="DS48" s="43" t="str">
        <f t="shared" si="34"/>
        <v/>
      </c>
      <c r="DT48" s="57"/>
      <c r="DU48" s="43" t="str">
        <f t="shared" ca="1" si="35"/>
        <v/>
      </c>
      <c r="DV48" s="43" t="str">
        <f t="shared" si="36"/>
        <v/>
      </c>
      <c r="DX48" s="44">
        <v>1</v>
      </c>
      <c r="DY48" s="44" t="s">
        <v>773</v>
      </c>
      <c r="DZ48" s="43">
        <f t="shared" si="37"/>
        <v>0.01</v>
      </c>
      <c r="EA48" s="43" t="str">
        <f t="shared" si="38"/>
        <v>M</v>
      </c>
      <c r="EB48" s="43" t="str">
        <f>IF(IFERROR(INDEX(Consulta!$A:$DP,MATCH('MM01'!$B48,Consulta!$C:$C,0),'MM01'!EB$2),"")=0,"7925",IF(IFERROR(INDEX(Consulta!$A:$DP,MATCH('MM01'!$B48,Consulta!$C:$C,0),'MM01'!EB$2),"")="68","7910","7925"))</f>
        <v>7925</v>
      </c>
      <c r="EC48" s="44">
        <v>100</v>
      </c>
      <c r="ED48" s="62">
        <v>1</v>
      </c>
      <c r="EE48" s="43">
        <f t="shared" si="39"/>
        <v>100</v>
      </c>
      <c r="EF48" s="44">
        <v>1</v>
      </c>
      <c r="EG48" s="44">
        <v>0</v>
      </c>
      <c r="EH48" s="44" t="s">
        <v>875</v>
      </c>
      <c r="EI48" s="45">
        <v>0</v>
      </c>
      <c r="EJ48" s="43">
        <f t="shared" si="40"/>
        <v>5000</v>
      </c>
      <c r="EK48" s="69"/>
    </row>
    <row r="49" spans="1:141" x14ac:dyDescent="0.2">
      <c r="A49" s="7" t="str">
        <f t="shared" si="0"/>
        <v>Execução 45</v>
      </c>
      <c r="B49" s="42"/>
      <c r="C49" s="43" t="str">
        <f>IF(IFERROR(INDEX(Consulta!$A:$DP,MATCH('MM01'!$B49,Consulta!$C:$C,0),'MM01'!C$2),"")=0,"",IFERROR(INDEX(Consulta!$A:$DP,MATCH('MM01'!$B49,Consulta!$C:$C,0),'MM01'!C$2),""))</f>
        <v/>
      </c>
      <c r="D49" s="43" t="str">
        <f>IF(IFERROR(INDEX(Consulta!$A:$DP,MATCH('MM01'!$B49,Consulta!$C:$C,0),'MM01'!D$2),"")=0,"",IFERROR(INDEX(Consulta!$A:$DP,MATCH('MM01'!$B49,Consulta!$C:$C,0),'MM01'!D$2),""))</f>
        <v/>
      </c>
      <c r="E49" s="43" t="str">
        <f>IF(IFERROR(INDEX(Consulta!$A:$DP,MATCH('MM01'!$B49,Consulta!$C:$C,0),'MM01'!E$2),"")=0,"",IFERROR(INDEX(Consulta!$A:$DP,MATCH('MM01'!$B49,Consulta!$C:$C,0),'MM01'!E$2),""))</f>
        <v/>
      </c>
      <c r="F49" s="44" t="s">
        <v>100</v>
      </c>
      <c r="G49" s="49" t="str">
        <f>IF(IFERROR(INDEX(Consulta!$A:$DP,MATCH('MM01'!$B49,Consulta!$C:$C,0),'MM01'!G$2),"")=0,"",IFERROR(INDEX(Consulta!$A:$DP,MATCH('MM01'!$B49,Consulta!$C:$C,0),'MM01'!G$2),""))</f>
        <v/>
      </c>
      <c r="H49" s="49" t="str">
        <f>IF(IFERROR(INDEX(Consulta!$A:$DP,MATCH('MM01'!$B49,Consulta!$C:$C,0),'MM01'!H$2),"")=0,"",IFERROR(INDEX(Consulta!$A:$DP,MATCH('MM01'!$B49,Consulta!$C:$C,0),'MM01'!H$2),""))</f>
        <v/>
      </c>
      <c r="I49" s="49" t="str">
        <f t="shared" si="1"/>
        <v/>
      </c>
      <c r="J49" s="49" t="str">
        <f>IF(IFERROR(INDEX(Consulta!$A:$DP,MATCH('MM01'!$B49,Consulta!$C:$C,0),'MM01'!J$2),"")=0,"",IFERROR(INDEX(Consulta!$A:$DP,MATCH('MM01'!$B49,Consulta!$C:$C,0),'MM01'!J$2),""))</f>
        <v/>
      </c>
      <c r="K49" s="49" t="str">
        <f t="shared" si="2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IF(IFERROR(INDEX(Consulta!$A:$DP,MATCH('MM01'!$B49,Consulta!$C:$C,0),'MM01'!AP$2),"")=0,"",IFERROR(INDEX(Consulta!$A:$DP,MATCH('MM01'!$B49,Consulta!$C:$C,0),'MM01'!AP$2),""))</f>
        <v/>
      </c>
      <c r="AQ49" s="45"/>
      <c r="AR49" s="43" t="str">
        <f>IF(IFERROR(INDEX(Consulta!$A:$DP,MATCH('MM01'!$B49,Consulta!$C:$C,0),'MM01'!AR$2),"")=0,"",IFERROR(INDEX(Consulta!$A:$DP,MATCH('MM01'!$B49,Consulta!$C:$C,0),'MM01'!AR$2),""))</f>
        <v/>
      </c>
      <c r="AS49" s="43" t="str">
        <f>IF(IFERROR(INDEX(Consulta!$A:$DP,MATCH('MM01'!$B49,Consulta!$C:$C,0),'MM01'!AS$2),"")=0,"",IF(AR49="68",5102,IFERROR(INDEX(Consulta!$A:$DP,MATCH('MM01'!$B49,Consulta!$C:$C,0),'MM01'!AS$2),"")))</f>
        <v/>
      </c>
      <c r="AT49" s="45"/>
      <c r="AU49" s="46" t="str">
        <f t="shared" ca="1" si="3"/>
        <v/>
      </c>
      <c r="AV49" s="47" t="s">
        <v>795</v>
      </c>
      <c r="AW49" s="43" t="str">
        <f>IF(IFERROR(INDEX(Consulta!$A:$DP,MATCH('MM01'!$B49,Consulta!$C:$C,0),'MM01'!AW$2),"")=0,"",IFERROR(ROUND(INDEX(Consulta!$A:$DP,MATCH('MM01'!$B49,Consulta!$C:$C,0),'MM01'!AW$2),3),""))</f>
        <v/>
      </c>
      <c r="AX49" s="43" t="str">
        <f t="shared" si="4"/>
        <v/>
      </c>
      <c r="AY49" s="48" t="s">
        <v>299</v>
      </c>
      <c r="AZ49" s="48"/>
      <c r="BA49" s="43" t="str">
        <f>IF(IFERROR(INDEX(Consulta!$A:$DP,MATCH('MM01'!$B49,Consulta!$C:$C,0),'MM01'!BA$2),"")=0,"",IFERROR(INDEX(Consulta!$A:$DP,MATCH('MM01'!$B49,Consulta!$C:$C,0),'MM01'!BA$2),""))</f>
        <v/>
      </c>
      <c r="BB49" s="43" t="str">
        <f t="shared" si="5"/>
        <v/>
      </c>
      <c r="BC49" s="43" t="str">
        <f t="shared" si="6"/>
        <v/>
      </c>
      <c r="BD49" s="43" t="str">
        <f t="shared" si="7"/>
        <v/>
      </c>
      <c r="BE49" s="43" t="str">
        <f t="shared" si="8"/>
        <v>M</v>
      </c>
      <c r="BF49" s="43" t="str">
        <f t="shared" si="9"/>
        <v/>
      </c>
      <c r="BG49" s="43" t="str">
        <f t="shared" si="10"/>
        <v/>
      </c>
      <c r="BH49" s="43" t="str">
        <f t="shared" si="11"/>
        <v/>
      </c>
      <c r="BI49" s="43" t="str">
        <f t="shared" si="12"/>
        <v>M</v>
      </c>
      <c r="BK49" s="45" t="s">
        <v>324</v>
      </c>
      <c r="BL49" s="43" t="str">
        <f>IF(IFERROR(INDEX(Consulta!$A:$DP,MATCH('MM01'!$B49,Consulta!$C:$C,0),'MM01'!BL$2),"")=0,"",IFERROR(INDEX(Consulta!$A:$DP,MATCH('MM01'!$B49,Consulta!$C:$C,0),'MM01'!BL$2),""))</f>
        <v/>
      </c>
      <c r="BM49" s="45"/>
      <c r="BN49" s="46" t="str">
        <f t="shared" ca="1" si="13"/>
        <v/>
      </c>
      <c r="BO49" s="49" t="str">
        <f t="shared" si="14"/>
        <v/>
      </c>
      <c r="BP49" s="50">
        <v>1</v>
      </c>
      <c r="BQ49" s="50" t="s">
        <v>194</v>
      </c>
      <c r="BR49" s="79" t="str">
        <f t="shared" si="15"/>
        <v>01</v>
      </c>
      <c r="BS49" s="50" t="s">
        <v>795</v>
      </c>
      <c r="BT49" s="44">
        <v>1</v>
      </c>
      <c r="BU49" s="44" t="s">
        <v>371</v>
      </c>
      <c r="BV49" s="50" t="s">
        <v>197</v>
      </c>
      <c r="BW49" s="50" t="s">
        <v>197</v>
      </c>
      <c r="BX49" s="43" t="str">
        <f>IF(IFERROR(INDEX(Consulta!$A:$DP,MATCH('MM01'!$B49,Consulta!$C:$C,0),'MM01'!BX$2),"")=0,"",IFERROR(INDEX(Consulta!$A:$DP,MATCH('MM01'!$B49,Consulta!$C:$C,0),'MM01'!BX$2),""))</f>
        <v/>
      </c>
      <c r="BY49" s="44" t="s">
        <v>391</v>
      </c>
      <c r="BZ49" s="50">
        <v>0</v>
      </c>
      <c r="CA49" s="45" t="s">
        <v>402</v>
      </c>
      <c r="CB49" s="45" t="s">
        <v>84</v>
      </c>
      <c r="CC49" s="43" t="str">
        <f t="shared" si="16"/>
        <v/>
      </c>
      <c r="CD49" s="45" t="s">
        <v>38</v>
      </c>
      <c r="CE49" s="45">
        <v>1</v>
      </c>
      <c r="CF49" s="45" t="s">
        <v>495</v>
      </c>
      <c r="CG49" s="45"/>
      <c r="CH49" s="44">
        <v>2</v>
      </c>
      <c r="CI49" s="49" t="str">
        <f t="shared" si="17"/>
        <v/>
      </c>
      <c r="CJ49" s="49" t="str">
        <f t="shared" si="18"/>
        <v/>
      </c>
      <c r="CK49" s="45"/>
      <c r="CL49" s="44">
        <v>1</v>
      </c>
      <c r="CM49" s="50" t="s">
        <v>514</v>
      </c>
      <c r="CN49" s="44" t="s">
        <v>371</v>
      </c>
      <c r="CO49" s="44">
        <v>2</v>
      </c>
      <c r="CP49" s="44">
        <v>42</v>
      </c>
      <c r="CQ49" s="44">
        <v>10</v>
      </c>
      <c r="CR49" s="43" t="str">
        <f t="shared" si="19"/>
        <v>K00_P_</v>
      </c>
      <c r="CS49" s="45">
        <v>5000</v>
      </c>
      <c r="CT49" s="43" t="str">
        <f>IF(IFERROR(INDEX(Consulta!$A:$DP,MATCH('MM01'!$B49,Consulta!$C:$C,0),'MM01'!CT$2),"")=0,"",IFERROR(INDEX(Consulta!$A:$DP,MATCH('MM01'!$B49,Consulta!$C:$C,0),'MM01'!CT$2),""))</f>
        <v/>
      </c>
      <c r="CU49" s="43" t="str">
        <f>IF(IFERROR(INDEX(Consulta!$A:$DP,MATCH('MM01'!$B49,Consulta!$C:$C,0),'MM01'!CU$2),"")=0,"",IFERROR(INDEX(Consulta!$A:$DP,MATCH('MM01'!$B49,Consulta!$C:$C,0),'MM01'!CU$2),""))</f>
        <v/>
      </c>
      <c r="CV49" s="43" t="str">
        <f>IF(IFERROR(INDEX(Consulta!$A:$DP,MATCH('MM01'!$B49,Consulta!$C:$C,0),'MM01'!CV$2),"")=0,"",IFERROR(INDEX(Consulta!$A:$DP,MATCH('MM01'!$B49,Consulta!$C:$C,0),'MM01'!CV$2),""))</f>
        <v/>
      </c>
      <c r="CW49" s="43" t="str">
        <f>IF(IFERROR(INDEX(Consulta!$A:$DP,MATCH('MM01'!$B49,Consulta!$C:$C,0),'MM01'!CW$2),"")=0,"",IFERROR(INDEX(Consulta!$A:$DP,MATCH('MM01'!$B49,Consulta!$C:$C,0),'MM01'!CW$2),""))</f>
        <v/>
      </c>
      <c r="CX49" s="43" t="str">
        <f t="shared" si="20"/>
        <v/>
      </c>
      <c r="CY49" s="43" t="str">
        <f t="shared" si="21"/>
        <v/>
      </c>
      <c r="CZ49" s="43" t="str">
        <f t="shared" si="22"/>
        <v/>
      </c>
      <c r="DA49" s="43" t="str">
        <f>IF(IFERROR(INDEX(Consulta!$A:$DP,MATCH('MM01'!$B49,Consulta!$C:$C,0),'MM01'!DA$2),"")=0,"",IFERROR(INDEX(Consulta!$A:$DP,MATCH('MM01'!$B49,Consulta!$C:$C,0),'MM01'!DA$2),""))</f>
        <v/>
      </c>
      <c r="DB49" s="43" t="str">
        <f t="shared" si="23"/>
        <v/>
      </c>
      <c r="DC49" s="43" t="str">
        <f>IF(IFERROR(INDEX(Consulta!$A:$DP,MATCH('MM01'!$B49,Consulta!$C:$C,0),'MM01'!DC$2),"")=0,"",IFERROR(INDEX(Consulta!$A:$DP,MATCH('MM01'!$B49,Consulta!$C:$C,0),'MM01'!DC$2),""))</f>
        <v/>
      </c>
      <c r="DD49" s="45">
        <v>0</v>
      </c>
      <c r="DE49" s="45">
        <v>0</v>
      </c>
      <c r="DF49" s="43" t="str">
        <f t="shared" si="24"/>
        <v/>
      </c>
      <c r="DG49" s="43" t="str">
        <f t="shared" si="25"/>
        <v/>
      </c>
      <c r="DH49" s="57"/>
      <c r="DI49" s="43" t="str">
        <f t="shared" ca="1" si="26"/>
        <v/>
      </c>
      <c r="DJ49" s="43" t="str">
        <f t="shared" si="27"/>
        <v/>
      </c>
      <c r="DK49" s="43" t="str">
        <f t="shared" si="28"/>
        <v/>
      </c>
      <c r="DL49" s="57"/>
      <c r="DM49" s="43" t="str">
        <f t="shared" ca="1" si="29"/>
        <v/>
      </c>
      <c r="DN49" s="43" t="str">
        <f t="shared" si="30"/>
        <v/>
      </c>
      <c r="DO49" s="43" t="str">
        <f t="shared" si="31"/>
        <v/>
      </c>
      <c r="DP49" s="57"/>
      <c r="DQ49" s="43" t="str">
        <f t="shared" ca="1" si="32"/>
        <v/>
      </c>
      <c r="DR49" s="43" t="str">
        <f t="shared" si="33"/>
        <v/>
      </c>
      <c r="DS49" s="43" t="str">
        <f t="shared" si="34"/>
        <v/>
      </c>
      <c r="DT49" s="57"/>
      <c r="DU49" s="43" t="str">
        <f t="shared" ca="1" si="35"/>
        <v/>
      </c>
      <c r="DV49" s="43" t="str">
        <f t="shared" si="36"/>
        <v/>
      </c>
      <c r="DX49" s="44">
        <v>1</v>
      </c>
      <c r="DY49" s="44" t="s">
        <v>773</v>
      </c>
      <c r="DZ49" s="43">
        <f t="shared" si="37"/>
        <v>0.01</v>
      </c>
      <c r="EA49" s="43" t="str">
        <f t="shared" si="38"/>
        <v>M</v>
      </c>
      <c r="EB49" s="43" t="str">
        <f>IF(IFERROR(INDEX(Consulta!$A:$DP,MATCH('MM01'!$B49,Consulta!$C:$C,0),'MM01'!EB$2),"")=0,"7925",IF(IFERROR(INDEX(Consulta!$A:$DP,MATCH('MM01'!$B49,Consulta!$C:$C,0),'MM01'!EB$2),"")="68","7910","7925"))</f>
        <v>7925</v>
      </c>
      <c r="EC49" s="44">
        <v>100</v>
      </c>
      <c r="ED49" s="62">
        <v>1</v>
      </c>
      <c r="EE49" s="43">
        <f t="shared" si="39"/>
        <v>100</v>
      </c>
      <c r="EF49" s="44">
        <v>1</v>
      </c>
      <c r="EG49" s="44">
        <v>0</v>
      </c>
      <c r="EH49" s="44" t="s">
        <v>875</v>
      </c>
      <c r="EI49" s="45">
        <v>0</v>
      </c>
      <c r="EJ49" s="43">
        <f t="shared" si="40"/>
        <v>5000</v>
      </c>
      <c r="EK49" s="69"/>
    </row>
    <row r="50" spans="1:141" x14ac:dyDescent="0.2">
      <c r="A50" s="7" t="str">
        <f t="shared" si="0"/>
        <v>Execução 46</v>
      </c>
      <c r="B50" s="42"/>
      <c r="C50" s="43" t="str">
        <f>IF(IFERROR(INDEX(Consulta!$A:$DP,MATCH('MM01'!$B50,Consulta!$C:$C,0),'MM01'!C$2),"")=0,"",IFERROR(INDEX(Consulta!$A:$DP,MATCH('MM01'!$B50,Consulta!$C:$C,0),'MM01'!C$2),""))</f>
        <v/>
      </c>
      <c r="D50" s="43" t="str">
        <f>IF(IFERROR(INDEX(Consulta!$A:$DP,MATCH('MM01'!$B50,Consulta!$C:$C,0),'MM01'!D$2),"")=0,"",IFERROR(INDEX(Consulta!$A:$DP,MATCH('MM01'!$B50,Consulta!$C:$C,0),'MM01'!D$2),""))</f>
        <v/>
      </c>
      <c r="E50" s="43" t="str">
        <f>IF(IFERROR(INDEX(Consulta!$A:$DP,MATCH('MM01'!$B50,Consulta!$C:$C,0),'MM01'!E$2),"")=0,"",IFERROR(INDEX(Consulta!$A:$DP,MATCH('MM01'!$B50,Consulta!$C:$C,0),'MM01'!E$2),""))</f>
        <v/>
      </c>
      <c r="F50" s="44" t="s">
        <v>100</v>
      </c>
      <c r="G50" s="49" t="str">
        <f>IF(IFERROR(INDEX(Consulta!$A:$DP,MATCH('MM01'!$B50,Consulta!$C:$C,0),'MM01'!G$2),"")=0,"",IFERROR(INDEX(Consulta!$A:$DP,MATCH('MM01'!$B50,Consulta!$C:$C,0),'MM01'!G$2),""))</f>
        <v/>
      </c>
      <c r="H50" s="49" t="str">
        <f>IF(IFERROR(INDEX(Consulta!$A:$DP,MATCH('MM01'!$B50,Consulta!$C:$C,0),'MM01'!H$2),"")=0,"",IFERROR(INDEX(Consulta!$A:$DP,MATCH('MM01'!$B50,Consulta!$C:$C,0),'MM01'!H$2),""))</f>
        <v/>
      </c>
      <c r="I50" s="49" t="str">
        <f t="shared" si="1"/>
        <v/>
      </c>
      <c r="J50" s="49" t="str">
        <f>IF(IFERROR(INDEX(Consulta!$A:$DP,MATCH('MM01'!$B50,Consulta!$C:$C,0),'MM01'!J$2),"")=0,"",IFERROR(INDEX(Consulta!$A:$DP,MATCH('MM01'!$B50,Consulta!$C:$C,0),'MM01'!J$2),""))</f>
        <v/>
      </c>
      <c r="K50" s="49" t="str">
        <f t="shared" si="2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IF(IFERROR(INDEX(Consulta!$A:$DP,MATCH('MM01'!$B50,Consulta!$C:$C,0),'MM01'!AP$2),"")=0,"",IFERROR(INDEX(Consulta!$A:$DP,MATCH('MM01'!$B50,Consulta!$C:$C,0),'MM01'!AP$2),""))</f>
        <v/>
      </c>
      <c r="AQ50" s="45"/>
      <c r="AR50" s="43" t="str">
        <f>IF(IFERROR(INDEX(Consulta!$A:$DP,MATCH('MM01'!$B50,Consulta!$C:$C,0),'MM01'!AR$2),"")=0,"",IFERROR(INDEX(Consulta!$A:$DP,MATCH('MM01'!$B50,Consulta!$C:$C,0),'MM01'!AR$2),""))</f>
        <v/>
      </c>
      <c r="AS50" s="43" t="str">
        <f>IF(IFERROR(INDEX(Consulta!$A:$DP,MATCH('MM01'!$B50,Consulta!$C:$C,0),'MM01'!AS$2),"")=0,"",IF(AR50="68",5102,IFERROR(INDEX(Consulta!$A:$DP,MATCH('MM01'!$B50,Consulta!$C:$C,0),'MM01'!AS$2),"")))</f>
        <v/>
      </c>
      <c r="AT50" s="45"/>
      <c r="AU50" s="46" t="str">
        <f t="shared" ca="1" si="3"/>
        <v/>
      </c>
      <c r="AV50" s="47" t="s">
        <v>795</v>
      </c>
      <c r="AW50" s="43" t="str">
        <f>IF(IFERROR(INDEX(Consulta!$A:$DP,MATCH('MM01'!$B50,Consulta!$C:$C,0),'MM01'!AW$2),"")=0,"",IFERROR(ROUND(INDEX(Consulta!$A:$DP,MATCH('MM01'!$B50,Consulta!$C:$C,0),'MM01'!AW$2),3),""))</f>
        <v/>
      </c>
      <c r="AX50" s="43" t="str">
        <f t="shared" si="4"/>
        <v/>
      </c>
      <c r="AY50" s="48" t="s">
        <v>299</v>
      </c>
      <c r="AZ50" s="48"/>
      <c r="BA50" s="43" t="str">
        <f>IF(IFERROR(INDEX(Consulta!$A:$DP,MATCH('MM01'!$B50,Consulta!$C:$C,0),'MM01'!BA$2),"")=0,"",IFERROR(INDEX(Consulta!$A:$DP,MATCH('MM01'!$B50,Consulta!$C:$C,0),'MM01'!BA$2),""))</f>
        <v/>
      </c>
      <c r="BB50" s="43" t="str">
        <f t="shared" si="5"/>
        <v/>
      </c>
      <c r="BC50" s="43" t="str">
        <f t="shared" si="6"/>
        <v/>
      </c>
      <c r="BD50" s="43" t="str">
        <f t="shared" si="7"/>
        <v/>
      </c>
      <c r="BE50" s="43" t="str">
        <f t="shared" si="8"/>
        <v>M</v>
      </c>
      <c r="BF50" s="43" t="str">
        <f t="shared" si="9"/>
        <v/>
      </c>
      <c r="BG50" s="43" t="str">
        <f t="shared" si="10"/>
        <v/>
      </c>
      <c r="BH50" s="43" t="str">
        <f t="shared" si="11"/>
        <v/>
      </c>
      <c r="BI50" s="43" t="str">
        <f t="shared" si="12"/>
        <v>M</v>
      </c>
      <c r="BK50" s="45" t="s">
        <v>324</v>
      </c>
      <c r="BL50" s="43" t="str">
        <f>IF(IFERROR(INDEX(Consulta!$A:$DP,MATCH('MM01'!$B50,Consulta!$C:$C,0),'MM01'!BL$2),"")=0,"",IFERROR(INDEX(Consulta!$A:$DP,MATCH('MM01'!$B50,Consulta!$C:$C,0),'MM01'!BL$2),""))</f>
        <v/>
      </c>
      <c r="BM50" s="45"/>
      <c r="BN50" s="46" t="str">
        <f t="shared" ca="1" si="13"/>
        <v/>
      </c>
      <c r="BO50" s="49" t="str">
        <f t="shared" si="14"/>
        <v/>
      </c>
      <c r="BP50" s="50">
        <v>1</v>
      </c>
      <c r="BQ50" s="50" t="s">
        <v>194</v>
      </c>
      <c r="BR50" s="79" t="str">
        <f t="shared" si="15"/>
        <v>01</v>
      </c>
      <c r="BS50" s="50" t="s">
        <v>795</v>
      </c>
      <c r="BT50" s="44">
        <v>1</v>
      </c>
      <c r="BU50" s="44" t="s">
        <v>371</v>
      </c>
      <c r="BV50" s="50" t="s">
        <v>197</v>
      </c>
      <c r="BW50" s="50" t="s">
        <v>197</v>
      </c>
      <c r="BX50" s="43" t="str">
        <f>IF(IFERROR(INDEX(Consulta!$A:$DP,MATCH('MM01'!$B50,Consulta!$C:$C,0),'MM01'!BX$2),"")=0,"",IFERROR(INDEX(Consulta!$A:$DP,MATCH('MM01'!$B50,Consulta!$C:$C,0),'MM01'!BX$2),""))</f>
        <v/>
      </c>
      <c r="BY50" s="44" t="s">
        <v>391</v>
      </c>
      <c r="BZ50" s="50">
        <v>0</v>
      </c>
      <c r="CA50" s="45" t="s">
        <v>402</v>
      </c>
      <c r="CB50" s="45" t="s">
        <v>84</v>
      </c>
      <c r="CC50" s="43" t="str">
        <f t="shared" si="16"/>
        <v/>
      </c>
      <c r="CD50" s="45" t="s">
        <v>38</v>
      </c>
      <c r="CE50" s="45">
        <v>1</v>
      </c>
      <c r="CF50" s="45" t="s">
        <v>495</v>
      </c>
      <c r="CG50" s="45"/>
      <c r="CH50" s="44">
        <v>2</v>
      </c>
      <c r="CI50" s="49" t="str">
        <f t="shared" si="17"/>
        <v/>
      </c>
      <c r="CJ50" s="49" t="str">
        <f t="shared" si="18"/>
        <v/>
      </c>
      <c r="CK50" s="45"/>
      <c r="CL50" s="44">
        <v>1</v>
      </c>
      <c r="CM50" s="50" t="s">
        <v>514</v>
      </c>
      <c r="CN50" s="44" t="s">
        <v>371</v>
      </c>
      <c r="CO50" s="44">
        <v>2</v>
      </c>
      <c r="CP50" s="44">
        <v>42</v>
      </c>
      <c r="CQ50" s="44">
        <v>10</v>
      </c>
      <c r="CR50" s="43" t="str">
        <f t="shared" si="19"/>
        <v>K00_P_</v>
      </c>
      <c r="CS50" s="45">
        <v>5000</v>
      </c>
      <c r="CT50" s="43" t="str">
        <f>IF(IFERROR(INDEX(Consulta!$A:$DP,MATCH('MM01'!$B50,Consulta!$C:$C,0),'MM01'!CT$2),"")=0,"",IFERROR(INDEX(Consulta!$A:$DP,MATCH('MM01'!$B50,Consulta!$C:$C,0),'MM01'!CT$2),""))</f>
        <v/>
      </c>
      <c r="CU50" s="43" t="str">
        <f>IF(IFERROR(INDEX(Consulta!$A:$DP,MATCH('MM01'!$B50,Consulta!$C:$C,0),'MM01'!CU$2),"")=0,"",IFERROR(INDEX(Consulta!$A:$DP,MATCH('MM01'!$B50,Consulta!$C:$C,0),'MM01'!CU$2),""))</f>
        <v/>
      </c>
      <c r="CV50" s="43" t="str">
        <f>IF(IFERROR(INDEX(Consulta!$A:$DP,MATCH('MM01'!$B50,Consulta!$C:$C,0),'MM01'!CV$2),"")=0,"",IFERROR(INDEX(Consulta!$A:$DP,MATCH('MM01'!$B50,Consulta!$C:$C,0),'MM01'!CV$2),""))</f>
        <v/>
      </c>
      <c r="CW50" s="43" t="str">
        <f>IF(IFERROR(INDEX(Consulta!$A:$DP,MATCH('MM01'!$B50,Consulta!$C:$C,0),'MM01'!CW$2),"")=0,"",IFERROR(INDEX(Consulta!$A:$DP,MATCH('MM01'!$B50,Consulta!$C:$C,0),'MM01'!CW$2),""))</f>
        <v/>
      </c>
      <c r="CX50" s="43" t="str">
        <f t="shared" si="20"/>
        <v/>
      </c>
      <c r="CY50" s="43" t="str">
        <f t="shared" si="21"/>
        <v/>
      </c>
      <c r="CZ50" s="43" t="str">
        <f t="shared" si="22"/>
        <v/>
      </c>
      <c r="DA50" s="43" t="str">
        <f>IF(IFERROR(INDEX(Consulta!$A:$DP,MATCH('MM01'!$B50,Consulta!$C:$C,0),'MM01'!DA$2),"")=0,"",IFERROR(INDEX(Consulta!$A:$DP,MATCH('MM01'!$B50,Consulta!$C:$C,0),'MM01'!DA$2),""))</f>
        <v/>
      </c>
      <c r="DB50" s="43" t="str">
        <f t="shared" si="23"/>
        <v/>
      </c>
      <c r="DC50" s="43" t="str">
        <f>IF(IFERROR(INDEX(Consulta!$A:$DP,MATCH('MM01'!$B50,Consulta!$C:$C,0),'MM01'!DC$2),"")=0,"",IFERROR(INDEX(Consulta!$A:$DP,MATCH('MM01'!$B50,Consulta!$C:$C,0),'MM01'!DC$2),""))</f>
        <v/>
      </c>
      <c r="DD50" s="45">
        <v>0</v>
      </c>
      <c r="DE50" s="45">
        <v>0</v>
      </c>
      <c r="DF50" s="43" t="str">
        <f t="shared" si="24"/>
        <v/>
      </c>
      <c r="DG50" s="43" t="str">
        <f t="shared" si="25"/>
        <v/>
      </c>
      <c r="DH50" s="57"/>
      <c r="DI50" s="43" t="str">
        <f t="shared" ca="1" si="26"/>
        <v/>
      </c>
      <c r="DJ50" s="43" t="str">
        <f t="shared" si="27"/>
        <v/>
      </c>
      <c r="DK50" s="43" t="str">
        <f t="shared" si="28"/>
        <v/>
      </c>
      <c r="DL50" s="57"/>
      <c r="DM50" s="43" t="str">
        <f t="shared" ca="1" si="29"/>
        <v/>
      </c>
      <c r="DN50" s="43" t="str">
        <f t="shared" si="30"/>
        <v/>
      </c>
      <c r="DO50" s="43" t="str">
        <f t="shared" si="31"/>
        <v/>
      </c>
      <c r="DP50" s="57"/>
      <c r="DQ50" s="43" t="str">
        <f t="shared" ca="1" si="32"/>
        <v/>
      </c>
      <c r="DR50" s="43" t="str">
        <f t="shared" si="33"/>
        <v/>
      </c>
      <c r="DS50" s="43" t="str">
        <f t="shared" si="34"/>
        <v/>
      </c>
      <c r="DT50" s="57"/>
      <c r="DU50" s="43" t="str">
        <f t="shared" ca="1" si="35"/>
        <v/>
      </c>
      <c r="DV50" s="43" t="str">
        <f t="shared" si="36"/>
        <v/>
      </c>
      <c r="DX50" s="44">
        <v>1</v>
      </c>
      <c r="DY50" s="44" t="s">
        <v>773</v>
      </c>
      <c r="DZ50" s="43">
        <f t="shared" si="37"/>
        <v>0.01</v>
      </c>
      <c r="EA50" s="43" t="str">
        <f t="shared" si="38"/>
        <v>M</v>
      </c>
      <c r="EB50" s="43" t="str">
        <f>IF(IFERROR(INDEX(Consulta!$A:$DP,MATCH('MM01'!$B50,Consulta!$C:$C,0),'MM01'!EB$2),"")=0,"7925",IF(IFERROR(INDEX(Consulta!$A:$DP,MATCH('MM01'!$B50,Consulta!$C:$C,0),'MM01'!EB$2),"")="68","7910","7925"))</f>
        <v>7925</v>
      </c>
      <c r="EC50" s="44">
        <v>100</v>
      </c>
      <c r="ED50" s="62">
        <v>1</v>
      </c>
      <c r="EE50" s="43">
        <f t="shared" si="39"/>
        <v>100</v>
      </c>
      <c r="EF50" s="44">
        <v>1</v>
      </c>
      <c r="EG50" s="44">
        <v>0</v>
      </c>
      <c r="EH50" s="44" t="s">
        <v>875</v>
      </c>
      <c r="EI50" s="45">
        <v>0</v>
      </c>
      <c r="EJ50" s="43">
        <f t="shared" si="40"/>
        <v>5000</v>
      </c>
      <c r="EK50" s="69"/>
    </row>
    <row r="51" spans="1:141" x14ac:dyDescent="0.2">
      <c r="A51" s="7" t="str">
        <f t="shared" si="0"/>
        <v>Execução 47</v>
      </c>
      <c r="B51" s="42"/>
      <c r="C51" s="43" t="str">
        <f>IF(IFERROR(INDEX(Consulta!$A:$DP,MATCH('MM01'!$B51,Consulta!$C:$C,0),'MM01'!C$2),"")=0,"",IFERROR(INDEX(Consulta!$A:$DP,MATCH('MM01'!$B51,Consulta!$C:$C,0),'MM01'!C$2),""))</f>
        <v/>
      </c>
      <c r="D51" s="43" t="str">
        <f>IF(IFERROR(INDEX(Consulta!$A:$DP,MATCH('MM01'!$B51,Consulta!$C:$C,0),'MM01'!D$2),"")=0,"",IFERROR(INDEX(Consulta!$A:$DP,MATCH('MM01'!$B51,Consulta!$C:$C,0),'MM01'!D$2),""))</f>
        <v/>
      </c>
      <c r="E51" s="43" t="str">
        <f>IF(IFERROR(INDEX(Consulta!$A:$DP,MATCH('MM01'!$B51,Consulta!$C:$C,0),'MM01'!E$2),"")=0,"",IFERROR(INDEX(Consulta!$A:$DP,MATCH('MM01'!$B51,Consulta!$C:$C,0),'MM01'!E$2),""))</f>
        <v/>
      </c>
      <c r="F51" s="44" t="s">
        <v>100</v>
      </c>
      <c r="G51" s="49" t="str">
        <f>IF(IFERROR(INDEX(Consulta!$A:$DP,MATCH('MM01'!$B51,Consulta!$C:$C,0),'MM01'!G$2),"")=0,"",IFERROR(INDEX(Consulta!$A:$DP,MATCH('MM01'!$B51,Consulta!$C:$C,0),'MM01'!G$2),""))</f>
        <v/>
      </c>
      <c r="H51" s="49" t="str">
        <f>IF(IFERROR(INDEX(Consulta!$A:$DP,MATCH('MM01'!$B51,Consulta!$C:$C,0),'MM01'!H$2),"")=0,"",IFERROR(INDEX(Consulta!$A:$DP,MATCH('MM01'!$B51,Consulta!$C:$C,0),'MM01'!H$2),""))</f>
        <v/>
      </c>
      <c r="I51" s="49" t="str">
        <f t="shared" si="1"/>
        <v/>
      </c>
      <c r="J51" s="49" t="str">
        <f>IF(IFERROR(INDEX(Consulta!$A:$DP,MATCH('MM01'!$B51,Consulta!$C:$C,0),'MM01'!J$2),"")=0,"",IFERROR(INDEX(Consulta!$A:$DP,MATCH('MM01'!$B51,Consulta!$C:$C,0),'MM01'!J$2),""))</f>
        <v/>
      </c>
      <c r="K51" s="49" t="str">
        <f t="shared" si="2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IF(IFERROR(INDEX(Consulta!$A:$DP,MATCH('MM01'!$B51,Consulta!$C:$C,0),'MM01'!AP$2),"")=0,"",IFERROR(INDEX(Consulta!$A:$DP,MATCH('MM01'!$B51,Consulta!$C:$C,0),'MM01'!AP$2),""))</f>
        <v/>
      </c>
      <c r="AQ51" s="45"/>
      <c r="AR51" s="43" t="str">
        <f>IF(IFERROR(INDEX(Consulta!$A:$DP,MATCH('MM01'!$B51,Consulta!$C:$C,0),'MM01'!AR$2),"")=0,"",IFERROR(INDEX(Consulta!$A:$DP,MATCH('MM01'!$B51,Consulta!$C:$C,0),'MM01'!AR$2),""))</f>
        <v/>
      </c>
      <c r="AS51" s="43" t="str">
        <f>IF(IFERROR(INDEX(Consulta!$A:$DP,MATCH('MM01'!$B51,Consulta!$C:$C,0),'MM01'!AS$2),"")=0,"",IF(AR51="68",5102,IFERROR(INDEX(Consulta!$A:$DP,MATCH('MM01'!$B51,Consulta!$C:$C,0),'MM01'!AS$2),"")))</f>
        <v/>
      </c>
      <c r="AT51" s="45"/>
      <c r="AU51" s="46" t="str">
        <f t="shared" ca="1" si="3"/>
        <v/>
      </c>
      <c r="AV51" s="47" t="s">
        <v>795</v>
      </c>
      <c r="AW51" s="43" t="str">
        <f>IF(IFERROR(INDEX(Consulta!$A:$DP,MATCH('MM01'!$B51,Consulta!$C:$C,0),'MM01'!AW$2),"")=0,"",IFERROR(ROUND(INDEX(Consulta!$A:$DP,MATCH('MM01'!$B51,Consulta!$C:$C,0),'MM01'!AW$2),3),""))</f>
        <v/>
      </c>
      <c r="AX51" s="43" t="str">
        <f t="shared" si="4"/>
        <v/>
      </c>
      <c r="AY51" s="48" t="s">
        <v>299</v>
      </c>
      <c r="AZ51" s="48"/>
      <c r="BA51" s="43" t="str">
        <f>IF(IFERROR(INDEX(Consulta!$A:$DP,MATCH('MM01'!$B51,Consulta!$C:$C,0),'MM01'!BA$2),"")=0,"",IFERROR(INDEX(Consulta!$A:$DP,MATCH('MM01'!$B51,Consulta!$C:$C,0),'MM01'!BA$2),""))</f>
        <v/>
      </c>
      <c r="BB51" s="43" t="str">
        <f t="shared" si="5"/>
        <v/>
      </c>
      <c r="BC51" s="43" t="str">
        <f t="shared" si="6"/>
        <v/>
      </c>
      <c r="BD51" s="43" t="str">
        <f t="shared" si="7"/>
        <v/>
      </c>
      <c r="BE51" s="43" t="str">
        <f t="shared" si="8"/>
        <v>M</v>
      </c>
      <c r="BF51" s="43" t="str">
        <f t="shared" si="9"/>
        <v/>
      </c>
      <c r="BG51" s="43" t="str">
        <f t="shared" si="10"/>
        <v/>
      </c>
      <c r="BH51" s="43" t="str">
        <f t="shared" si="11"/>
        <v/>
      </c>
      <c r="BI51" s="43" t="str">
        <f t="shared" si="12"/>
        <v>M</v>
      </c>
      <c r="BK51" s="45" t="s">
        <v>324</v>
      </c>
      <c r="BL51" s="43" t="str">
        <f>IF(IFERROR(INDEX(Consulta!$A:$DP,MATCH('MM01'!$B51,Consulta!$C:$C,0),'MM01'!BL$2),"")=0,"",IFERROR(INDEX(Consulta!$A:$DP,MATCH('MM01'!$B51,Consulta!$C:$C,0),'MM01'!BL$2),""))</f>
        <v/>
      </c>
      <c r="BM51" s="45"/>
      <c r="BN51" s="46" t="str">
        <f t="shared" ca="1" si="13"/>
        <v/>
      </c>
      <c r="BO51" s="49" t="str">
        <f t="shared" si="14"/>
        <v/>
      </c>
      <c r="BP51" s="50">
        <v>1</v>
      </c>
      <c r="BQ51" s="50" t="s">
        <v>194</v>
      </c>
      <c r="BR51" s="79" t="str">
        <f t="shared" si="15"/>
        <v>01</v>
      </c>
      <c r="BS51" s="50" t="s">
        <v>795</v>
      </c>
      <c r="BT51" s="44">
        <v>1</v>
      </c>
      <c r="BU51" s="44" t="s">
        <v>371</v>
      </c>
      <c r="BV51" s="50" t="s">
        <v>197</v>
      </c>
      <c r="BW51" s="50" t="s">
        <v>197</v>
      </c>
      <c r="BX51" s="43" t="str">
        <f>IF(IFERROR(INDEX(Consulta!$A:$DP,MATCH('MM01'!$B51,Consulta!$C:$C,0),'MM01'!BX$2),"")=0,"",IFERROR(INDEX(Consulta!$A:$DP,MATCH('MM01'!$B51,Consulta!$C:$C,0),'MM01'!BX$2),""))</f>
        <v/>
      </c>
      <c r="BY51" s="44" t="s">
        <v>391</v>
      </c>
      <c r="BZ51" s="50">
        <v>0</v>
      </c>
      <c r="CA51" s="45" t="s">
        <v>402</v>
      </c>
      <c r="CB51" s="45" t="s">
        <v>84</v>
      </c>
      <c r="CC51" s="43" t="str">
        <f t="shared" si="16"/>
        <v/>
      </c>
      <c r="CD51" s="45" t="s">
        <v>38</v>
      </c>
      <c r="CE51" s="45">
        <v>1</v>
      </c>
      <c r="CF51" s="45" t="s">
        <v>495</v>
      </c>
      <c r="CG51" s="45"/>
      <c r="CH51" s="44">
        <v>2</v>
      </c>
      <c r="CI51" s="49" t="str">
        <f t="shared" si="17"/>
        <v/>
      </c>
      <c r="CJ51" s="49" t="str">
        <f t="shared" si="18"/>
        <v/>
      </c>
      <c r="CK51" s="45"/>
      <c r="CL51" s="44">
        <v>1</v>
      </c>
      <c r="CM51" s="50" t="s">
        <v>514</v>
      </c>
      <c r="CN51" s="44" t="s">
        <v>371</v>
      </c>
      <c r="CO51" s="44">
        <v>2</v>
      </c>
      <c r="CP51" s="44">
        <v>42</v>
      </c>
      <c r="CQ51" s="44">
        <v>10</v>
      </c>
      <c r="CR51" s="43" t="str">
        <f t="shared" si="19"/>
        <v>K00_P_</v>
      </c>
      <c r="CS51" s="45">
        <v>5000</v>
      </c>
      <c r="CT51" s="43" t="str">
        <f>IF(IFERROR(INDEX(Consulta!$A:$DP,MATCH('MM01'!$B51,Consulta!$C:$C,0),'MM01'!CT$2),"")=0,"",IFERROR(INDEX(Consulta!$A:$DP,MATCH('MM01'!$B51,Consulta!$C:$C,0),'MM01'!CT$2),""))</f>
        <v/>
      </c>
      <c r="CU51" s="43" t="str">
        <f>IF(IFERROR(INDEX(Consulta!$A:$DP,MATCH('MM01'!$B51,Consulta!$C:$C,0),'MM01'!CU$2),"")=0,"",IFERROR(INDEX(Consulta!$A:$DP,MATCH('MM01'!$B51,Consulta!$C:$C,0),'MM01'!CU$2),""))</f>
        <v/>
      </c>
      <c r="CV51" s="43" t="str">
        <f>IF(IFERROR(INDEX(Consulta!$A:$DP,MATCH('MM01'!$B51,Consulta!$C:$C,0),'MM01'!CV$2),"")=0,"",IFERROR(INDEX(Consulta!$A:$DP,MATCH('MM01'!$B51,Consulta!$C:$C,0),'MM01'!CV$2),""))</f>
        <v/>
      </c>
      <c r="CW51" s="43" t="str">
        <f>IF(IFERROR(INDEX(Consulta!$A:$DP,MATCH('MM01'!$B51,Consulta!$C:$C,0),'MM01'!CW$2),"")=0,"",IFERROR(INDEX(Consulta!$A:$DP,MATCH('MM01'!$B51,Consulta!$C:$C,0),'MM01'!CW$2),""))</f>
        <v/>
      </c>
      <c r="CX51" s="43" t="str">
        <f t="shared" si="20"/>
        <v/>
      </c>
      <c r="CY51" s="43" t="str">
        <f t="shared" si="21"/>
        <v/>
      </c>
      <c r="CZ51" s="43" t="str">
        <f t="shared" si="22"/>
        <v/>
      </c>
      <c r="DA51" s="43" t="str">
        <f>IF(IFERROR(INDEX(Consulta!$A:$DP,MATCH('MM01'!$B51,Consulta!$C:$C,0),'MM01'!DA$2),"")=0,"",IFERROR(INDEX(Consulta!$A:$DP,MATCH('MM01'!$B51,Consulta!$C:$C,0),'MM01'!DA$2),""))</f>
        <v/>
      </c>
      <c r="DB51" s="43" t="str">
        <f t="shared" si="23"/>
        <v/>
      </c>
      <c r="DC51" s="43" t="str">
        <f>IF(IFERROR(INDEX(Consulta!$A:$DP,MATCH('MM01'!$B51,Consulta!$C:$C,0),'MM01'!DC$2),"")=0,"",IFERROR(INDEX(Consulta!$A:$DP,MATCH('MM01'!$B51,Consulta!$C:$C,0),'MM01'!DC$2),""))</f>
        <v/>
      </c>
      <c r="DD51" s="45">
        <v>0</v>
      </c>
      <c r="DE51" s="45">
        <v>0</v>
      </c>
      <c r="DF51" s="43" t="str">
        <f t="shared" si="24"/>
        <v/>
      </c>
      <c r="DG51" s="43" t="str">
        <f t="shared" si="25"/>
        <v/>
      </c>
      <c r="DH51" s="57"/>
      <c r="DI51" s="43" t="str">
        <f t="shared" ca="1" si="26"/>
        <v/>
      </c>
      <c r="DJ51" s="43" t="str">
        <f t="shared" si="27"/>
        <v/>
      </c>
      <c r="DK51" s="43" t="str">
        <f t="shared" si="28"/>
        <v/>
      </c>
      <c r="DL51" s="57"/>
      <c r="DM51" s="43" t="str">
        <f t="shared" ca="1" si="29"/>
        <v/>
      </c>
      <c r="DN51" s="43" t="str">
        <f t="shared" si="30"/>
        <v/>
      </c>
      <c r="DO51" s="43" t="str">
        <f t="shared" si="31"/>
        <v/>
      </c>
      <c r="DP51" s="57"/>
      <c r="DQ51" s="43" t="str">
        <f t="shared" ca="1" si="32"/>
        <v/>
      </c>
      <c r="DR51" s="43" t="str">
        <f t="shared" si="33"/>
        <v/>
      </c>
      <c r="DS51" s="43" t="str">
        <f t="shared" si="34"/>
        <v/>
      </c>
      <c r="DT51" s="57"/>
      <c r="DU51" s="43" t="str">
        <f t="shared" ca="1" si="35"/>
        <v/>
      </c>
      <c r="DV51" s="43" t="str">
        <f t="shared" si="36"/>
        <v/>
      </c>
      <c r="DX51" s="44">
        <v>1</v>
      </c>
      <c r="DY51" s="44" t="s">
        <v>773</v>
      </c>
      <c r="DZ51" s="43">
        <f t="shared" si="37"/>
        <v>0.01</v>
      </c>
      <c r="EA51" s="43" t="str">
        <f t="shared" si="38"/>
        <v>M</v>
      </c>
      <c r="EB51" s="43" t="str">
        <f>IF(IFERROR(INDEX(Consulta!$A:$DP,MATCH('MM01'!$B51,Consulta!$C:$C,0),'MM01'!EB$2),"")=0,"7925",IF(IFERROR(INDEX(Consulta!$A:$DP,MATCH('MM01'!$B51,Consulta!$C:$C,0),'MM01'!EB$2),"")="68","7910","7925"))</f>
        <v>7925</v>
      </c>
      <c r="EC51" s="44">
        <v>100</v>
      </c>
      <c r="ED51" s="62">
        <v>1</v>
      </c>
      <c r="EE51" s="43">
        <f t="shared" si="39"/>
        <v>100</v>
      </c>
      <c r="EF51" s="44">
        <v>1</v>
      </c>
      <c r="EG51" s="44">
        <v>0</v>
      </c>
      <c r="EH51" s="44" t="s">
        <v>875</v>
      </c>
      <c r="EI51" s="45">
        <v>0</v>
      </c>
      <c r="EJ51" s="43">
        <f t="shared" si="40"/>
        <v>5000</v>
      </c>
      <c r="EK51" s="69"/>
    </row>
    <row r="52" spans="1:141" x14ac:dyDescent="0.2">
      <c r="A52" s="7" t="str">
        <f t="shared" si="0"/>
        <v>Execução 48</v>
      </c>
      <c r="B52" s="42"/>
      <c r="C52" s="43" t="str">
        <f>IF(IFERROR(INDEX(Consulta!$A:$DP,MATCH('MM01'!$B52,Consulta!$C:$C,0),'MM01'!C$2),"")=0,"",IFERROR(INDEX(Consulta!$A:$DP,MATCH('MM01'!$B52,Consulta!$C:$C,0),'MM01'!C$2),""))</f>
        <v/>
      </c>
      <c r="D52" s="43" t="str">
        <f>IF(IFERROR(INDEX(Consulta!$A:$DP,MATCH('MM01'!$B52,Consulta!$C:$C,0),'MM01'!D$2),"")=0,"",IFERROR(INDEX(Consulta!$A:$DP,MATCH('MM01'!$B52,Consulta!$C:$C,0),'MM01'!D$2),""))</f>
        <v/>
      </c>
      <c r="E52" s="43" t="str">
        <f>IF(IFERROR(INDEX(Consulta!$A:$DP,MATCH('MM01'!$B52,Consulta!$C:$C,0),'MM01'!E$2),"")=0,"",IFERROR(INDEX(Consulta!$A:$DP,MATCH('MM01'!$B52,Consulta!$C:$C,0),'MM01'!E$2),""))</f>
        <v/>
      </c>
      <c r="F52" s="44" t="s">
        <v>100</v>
      </c>
      <c r="G52" s="49" t="str">
        <f>IF(IFERROR(INDEX(Consulta!$A:$DP,MATCH('MM01'!$B52,Consulta!$C:$C,0),'MM01'!G$2),"")=0,"",IFERROR(INDEX(Consulta!$A:$DP,MATCH('MM01'!$B52,Consulta!$C:$C,0),'MM01'!G$2),""))</f>
        <v/>
      </c>
      <c r="H52" s="49" t="str">
        <f>IF(IFERROR(INDEX(Consulta!$A:$DP,MATCH('MM01'!$B52,Consulta!$C:$C,0),'MM01'!H$2),"")=0,"",IFERROR(INDEX(Consulta!$A:$DP,MATCH('MM01'!$B52,Consulta!$C:$C,0),'MM01'!H$2),""))</f>
        <v/>
      </c>
      <c r="I52" s="49" t="str">
        <f t="shared" si="1"/>
        <v/>
      </c>
      <c r="J52" s="49" t="str">
        <f>IF(IFERROR(INDEX(Consulta!$A:$DP,MATCH('MM01'!$B52,Consulta!$C:$C,0),'MM01'!J$2),"")=0,"",IFERROR(INDEX(Consulta!$A:$DP,MATCH('MM01'!$B52,Consulta!$C:$C,0),'MM01'!J$2),""))</f>
        <v/>
      </c>
      <c r="K52" s="49" t="str">
        <f t="shared" si="2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IF(IFERROR(INDEX(Consulta!$A:$DP,MATCH('MM01'!$B52,Consulta!$C:$C,0),'MM01'!AP$2),"")=0,"",IFERROR(INDEX(Consulta!$A:$DP,MATCH('MM01'!$B52,Consulta!$C:$C,0),'MM01'!AP$2),""))</f>
        <v/>
      </c>
      <c r="AQ52" s="45"/>
      <c r="AR52" s="43" t="str">
        <f>IF(IFERROR(INDEX(Consulta!$A:$DP,MATCH('MM01'!$B52,Consulta!$C:$C,0),'MM01'!AR$2),"")=0,"",IFERROR(INDEX(Consulta!$A:$DP,MATCH('MM01'!$B52,Consulta!$C:$C,0),'MM01'!AR$2),""))</f>
        <v/>
      </c>
      <c r="AS52" s="43" t="str">
        <f>IF(IFERROR(INDEX(Consulta!$A:$DP,MATCH('MM01'!$B52,Consulta!$C:$C,0),'MM01'!AS$2),"")=0,"",IF(AR52="68",5102,IFERROR(INDEX(Consulta!$A:$DP,MATCH('MM01'!$B52,Consulta!$C:$C,0),'MM01'!AS$2),"")))</f>
        <v/>
      </c>
      <c r="AT52" s="45"/>
      <c r="AU52" s="46" t="str">
        <f t="shared" ca="1" si="3"/>
        <v/>
      </c>
      <c r="AV52" s="47" t="s">
        <v>795</v>
      </c>
      <c r="AW52" s="43" t="str">
        <f>IF(IFERROR(INDEX(Consulta!$A:$DP,MATCH('MM01'!$B52,Consulta!$C:$C,0),'MM01'!AW$2),"")=0,"",IFERROR(ROUND(INDEX(Consulta!$A:$DP,MATCH('MM01'!$B52,Consulta!$C:$C,0),'MM01'!AW$2),3),""))</f>
        <v/>
      </c>
      <c r="AX52" s="43" t="str">
        <f t="shared" si="4"/>
        <v/>
      </c>
      <c r="AY52" s="48" t="s">
        <v>299</v>
      </c>
      <c r="AZ52" s="48"/>
      <c r="BA52" s="43" t="str">
        <f>IF(IFERROR(INDEX(Consulta!$A:$DP,MATCH('MM01'!$B52,Consulta!$C:$C,0),'MM01'!BA$2),"")=0,"",IFERROR(INDEX(Consulta!$A:$DP,MATCH('MM01'!$B52,Consulta!$C:$C,0),'MM01'!BA$2),""))</f>
        <v/>
      </c>
      <c r="BB52" s="43" t="str">
        <f t="shared" si="5"/>
        <v/>
      </c>
      <c r="BC52" s="43" t="str">
        <f t="shared" si="6"/>
        <v/>
      </c>
      <c r="BD52" s="43" t="str">
        <f t="shared" si="7"/>
        <v/>
      </c>
      <c r="BE52" s="43" t="str">
        <f t="shared" si="8"/>
        <v>M</v>
      </c>
      <c r="BF52" s="43" t="str">
        <f t="shared" si="9"/>
        <v/>
      </c>
      <c r="BG52" s="43" t="str">
        <f t="shared" si="10"/>
        <v/>
      </c>
      <c r="BH52" s="43" t="str">
        <f t="shared" si="11"/>
        <v/>
      </c>
      <c r="BI52" s="43" t="str">
        <f t="shared" si="12"/>
        <v>M</v>
      </c>
      <c r="BK52" s="45" t="s">
        <v>324</v>
      </c>
      <c r="BL52" s="43" t="str">
        <f>IF(IFERROR(INDEX(Consulta!$A:$DP,MATCH('MM01'!$B52,Consulta!$C:$C,0),'MM01'!BL$2),"")=0,"",IFERROR(INDEX(Consulta!$A:$DP,MATCH('MM01'!$B52,Consulta!$C:$C,0),'MM01'!BL$2),""))</f>
        <v/>
      </c>
      <c r="BM52" s="45"/>
      <c r="BN52" s="46" t="str">
        <f t="shared" ca="1" si="13"/>
        <v/>
      </c>
      <c r="BO52" s="49" t="str">
        <f t="shared" si="14"/>
        <v/>
      </c>
      <c r="BP52" s="50">
        <v>1</v>
      </c>
      <c r="BQ52" s="50" t="s">
        <v>194</v>
      </c>
      <c r="BR52" s="79" t="str">
        <f t="shared" si="15"/>
        <v>01</v>
      </c>
      <c r="BS52" s="50" t="s">
        <v>795</v>
      </c>
      <c r="BT52" s="44">
        <v>1</v>
      </c>
      <c r="BU52" s="44" t="s">
        <v>371</v>
      </c>
      <c r="BV52" s="50" t="s">
        <v>197</v>
      </c>
      <c r="BW52" s="50" t="s">
        <v>197</v>
      </c>
      <c r="BX52" s="43" t="str">
        <f>IF(IFERROR(INDEX(Consulta!$A:$DP,MATCH('MM01'!$B52,Consulta!$C:$C,0),'MM01'!BX$2),"")=0,"",IFERROR(INDEX(Consulta!$A:$DP,MATCH('MM01'!$B52,Consulta!$C:$C,0),'MM01'!BX$2),""))</f>
        <v/>
      </c>
      <c r="BY52" s="44" t="s">
        <v>391</v>
      </c>
      <c r="BZ52" s="50">
        <v>0</v>
      </c>
      <c r="CA52" s="45" t="s">
        <v>402</v>
      </c>
      <c r="CB52" s="45" t="s">
        <v>84</v>
      </c>
      <c r="CC52" s="43" t="str">
        <f t="shared" si="16"/>
        <v/>
      </c>
      <c r="CD52" s="45" t="s">
        <v>38</v>
      </c>
      <c r="CE52" s="45">
        <v>1</v>
      </c>
      <c r="CF52" s="45" t="s">
        <v>495</v>
      </c>
      <c r="CG52" s="45"/>
      <c r="CH52" s="44">
        <v>2</v>
      </c>
      <c r="CI52" s="49" t="str">
        <f t="shared" si="17"/>
        <v/>
      </c>
      <c r="CJ52" s="49" t="str">
        <f t="shared" si="18"/>
        <v/>
      </c>
      <c r="CK52" s="45"/>
      <c r="CL52" s="44">
        <v>1</v>
      </c>
      <c r="CM52" s="50" t="s">
        <v>514</v>
      </c>
      <c r="CN52" s="44" t="s">
        <v>371</v>
      </c>
      <c r="CO52" s="44">
        <v>2</v>
      </c>
      <c r="CP52" s="44">
        <v>42</v>
      </c>
      <c r="CQ52" s="44">
        <v>10</v>
      </c>
      <c r="CR52" s="43" t="str">
        <f t="shared" si="19"/>
        <v>K00_P_</v>
      </c>
      <c r="CS52" s="45">
        <v>5000</v>
      </c>
      <c r="CT52" s="43" t="str">
        <f>IF(IFERROR(INDEX(Consulta!$A:$DP,MATCH('MM01'!$B52,Consulta!$C:$C,0),'MM01'!CT$2),"")=0,"",IFERROR(INDEX(Consulta!$A:$DP,MATCH('MM01'!$B52,Consulta!$C:$C,0),'MM01'!CT$2),""))</f>
        <v/>
      </c>
      <c r="CU52" s="43" t="str">
        <f>IF(IFERROR(INDEX(Consulta!$A:$DP,MATCH('MM01'!$B52,Consulta!$C:$C,0),'MM01'!CU$2),"")=0,"",IFERROR(INDEX(Consulta!$A:$DP,MATCH('MM01'!$B52,Consulta!$C:$C,0),'MM01'!CU$2),""))</f>
        <v/>
      </c>
      <c r="CV52" s="43" t="str">
        <f>IF(IFERROR(INDEX(Consulta!$A:$DP,MATCH('MM01'!$B52,Consulta!$C:$C,0),'MM01'!CV$2),"")=0,"",IFERROR(INDEX(Consulta!$A:$DP,MATCH('MM01'!$B52,Consulta!$C:$C,0),'MM01'!CV$2),""))</f>
        <v/>
      </c>
      <c r="CW52" s="43" t="str">
        <f>IF(IFERROR(INDEX(Consulta!$A:$DP,MATCH('MM01'!$B52,Consulta!$C:$C,0),'MM01'!CW$2),"")=0,"",IFERROR(INDEX(Consulta!$A:$DP,MATCH('MM01'!$B52,Consulta!$C:$C,0),'MM01'!CW$2),""))</f>
        <v/>
      </c>
      <c r="CX52" s="43" t="str">
        <f t="shared" si="20"/>
        <v/>
      </c>
      <c r="CY52" s="43" t="str">
        <f t="shared" si="21"/>
        <v/>
      </c>
      <c r="CZ52" s="43" t="str">
        <f t="shared" si="22"/>
        <v/>
      </c>
      <c r="DA52" s="43" t="str">
        <f>IF(IFERROR(INDEX(Consulta!$A:$DP,MATCH('MM01'!$B52,Consulta!$C:$C,0),'MM01'!DA$2),"")=0,"",IFERROR(INDEX(Consulta!$A:$DP,MATCH('MM01'!$B52,Consulta!$C:$C,0),'MM01'!DA$2),""))</f>
        <v/>
      </c>
      <c r="DB52" s="43" t="str">
        <f t="shared" si="23"/>
        <v/>
      </c>
      <c r="DC52" s="43" t="str">
        <f>IF(IFERROR(INDEX(Consulta!$A:$DP,MATCH('MM01'!$B52,Consulta!$C:$C,0),'MM01'!DC$2),"")=0,"",IFERROR(INDEX(Consulta!$A:$DP,MATCH('MM01'!$B52,Consulta!$C:$C,0),'MM01'!DC$2),""))</f>
        <v/>
      </c>
      <c r="DD52" s="45">
        <v>0</v>
      </c>
      <c r="DE52" s="45">
        <v>0</v>
      </c>
      <c r="DF52" s="43" t="str">
        <f t="shared" si="24"/>
        <v/>
      </c>
      <c r="DG52" s="43" t="str">
        <f t="shared" si="25"/>
        <v/>
      </c>
      <c r="DH52" s="57"/>
      <c r="DI52" s="43" t="str">
        <f t="shared" ca="1" si="26"/>
        <v/>
      </c>
      <c r="DJ52" s="43" t="str">
        <f t="shared" si="27"/>
        <v/>
      </c>
      <c r="DK52" s="43" t="str">
        <f t="shared" si="28"/>
        <v/>
      </c>
      <c r="DL52" s="57"/>
      <c r="DM52" s="43" t="str">
        <f t="shared" ca="1" si="29"/>
        <v/>
      </c>
      <c r="DN52" s="43" t="str">
        <f t="shared" si="30"/>
        <v/>
      </c>
      <c r="DO52" s="43" t="str">
        <f t="shared" si="31"/>
        <v/>
      </c>
      <c r="DP52" s="57"/>
      <c r="DQ52" s="43" t="str">
        <f t="shared" ca="1" si="32"/>
        <v/>
      </c>
      <c r="DR52" s="43" t="str">
        <f t="shared" si="33"/>
        <v/>
      </c>
      <c r="DS52" s="43" t="str">
        <f t="shared" si="34"/>
        <v/>
      </c>
      <c r="DT52" s="57"/>
      <c r="DU52" s="43" t="str">
        <f t="shared" ca="1" si="35"/>
        <v/>
      </c>
      <c r="DV52" s="43" t="str">
        <f t="shared" si="36"/>
        <v/>
      </c>
      <c r="DX52" s="44">
        <v>1</v>
      </c>
      <c r="DY52" s="44" t="s">
        <v>773</v>
      </c>
      <c r="DZ52" s="43">
        <f t="shared" si="37"/>
        <v>0.01</v>
      </c>
      <c r="EA52" s="43" t="str">
        <f t="shared" si="38"/>
        <v>M</v>
      </c>
      <c r="EB52" s="43" t="str">
        <f>IF(IFERROR(INDEX(Consulta!$A:$DP,MATCH('MM01'!$B52,Consulta!$C:$C,0),'MM01'!EB$2),"")=0,"7925",IF(IFERROR(INDEX(Consulta!$A:$DP,MATCH('MM01'!$B52,Consulta!$C:$C,0),'MM01'!EB$2),"")="68","7910","7925"))</f>
        <v>7925</v>
      </c>
      <c r="EC52" s="44">
        <v>100</v>
      </c>
      <c r="ED52" s="62">
        <v>1</v>
      </c>
      <c r="EE52" s="43">
        <f t="shared" si="39"/>
        <v>100</v>
      </c>
      <c r="EF52" s="44">
        <v>1</v>
      </c>
      <c r="EG52" s="44">
        <v>0</v>
      </c>
      <c r="EH52" s="44" t="s">
        <v>875</v>
      </c>
      <c r="EI52" s="45">
        <v>0</v>
      </c>
      <c r="EJ52" s="43">
        <f t="shared" si="40"/>
        <v>5000</v>
      </c>
      <c r="EK52" s="69"/>
    </row>
    <row r="53" spans="1:141" x14ac:dyDescent="0.2">
      <c r="A53" s="7" t="str">
        <f t="shared" si="0"/>
        <v>Execução 49</v>
      </c>
      <c r="B53" s="42"/>
      <c r="C53" s="43" t="str">
        <f>IF(IFERROR(INDEX(Consulta!$A:$DP,MATCH('MM01'!$B53,Consulta!$C:$C,0),'MM01'!C$2),"")=0,"",IFERROR(INDEX(Consulta!$A:$DP,MATCH('MM01'!$B53,Consulta!$C:$C,0),'MM01'!C$2),""))</f>
        <v/>
      </c>
      <c r="D53" s="43" t="str">
        <f>IF(IFERROR(INDEX(Consulta!$A:$DP,MATCH('MM01'!$B53,Consulta!$C:$C,0),'MM01'!D$2),"")=0,"",IFERROR(INDEX(Consulta!$A:$DP,MATCH('MM01'!$B53,Consulta!$C:$C,0),'MM01'!D$2),""))</f>
        <v/>
      </c>
      <c r="E53" s="43" t="str">
        <f>IF(IFERROR(INDEX(Consulta!$A:$DP,MATCH('MM01'!$B53,Consulta!$C:$C,0),'MM01'!E$2),"")=0,"",IFERROR(INDEX(Consulta!$A:$DP,MATCH('MM01'!$B53,Consulta!$C:$C,0),'MM01'!E$2),""))</f>
        <v/>
      </c>
      <c r="F53" s="44" t="s">
        <v>100</v>
      </c>
      <c r="G53" s="49" t="str">
        <f>IF(IFERROR(INDEX(Consulta!$A:$DP,MATCH('MM01'!$B53,Consulta!$C:$C,0),'MM01'!G$2),"")=0,"",IFERROR(INDEX(Consulta!$A:$DP,MATCH('MM01'!$B53,Consulta!$C:$C,0),'MM01'!G$2),""))</f>
        <v/>
      </c>
      <c r="H53" s="49" t="str">
        <f>IF(IFERROR(INDEX(Consulta!$A:$DP,MATCH('MM01'!$B53,Consulta!$C:$C,0),'MM01'!H$2),"")=0,"",IFERROR(INDEX(Consulta!$A:$DP,MATCH('MM01'!$B53,Consulta!$C:$C,0),'MM01'!H$2),""))</f>
        <v/>
      </c>
      <c r="I53" s="49" t="str">
        <f t="shared" si="1"/>
        <v/>
      </c>
      <c r="J53" s="49" t="str">
        <f>IF(IFERROR(INDEX(Consulta!$A:$DP,MATCH('MM01'!$B53,Consulta!$C:$C,0),'MM01'!J$2),"")=0,"",IFERROR(INDEX(Consulta!$A:$DP,MATCH('MM01'!$B53,Consulta!$C:$C,0),'MM01'!J$2),""))</f>
        <v/>
      </c>
      <c r="K53" s="49" t="str">
        <f t="shared" si="2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IF(IFERROR(INDEX(Consulta!$A:$DP,MATCH('MM01'!$B53,Consulta!$C:$C,0),'MM01'!AP$2),"")=0,"",IFERROR(INDEX(Consulta!$A:$DP,MATCH('MM01'!$B53,Consulta!$C:$C,0),'MM01'!AP$2),""))</f>
        <v/>
      </c>
      <c r="AQ53" s="45"/>
      <c r="AR53" s="43" t="str">
        <f>IF(IFERROR(INDEX(Consulta!$A:$DP,MATCH('MM01'!$B53,Consulta!$C:$C,0),'MM01'!AR$2),"")=0,"",IFERROR(INDEX(Consulta!$A:$DP,MATCH('MM01'!$B53,Consulta!$C:$C,0),'MM01'!AR$2),""))</f>
        <v/>
      </c>
      <c r="AS53" s="43" t="str">
        <f>IF(IFERROR(INDEX(Consulta!$A:$DP,MATCH('MM01'!$B53,Consulta!$C:$C,0),'MM01'!AS$2),"")=0,"",IF(AR53="68",5102,IFERROR(INDEX(Consulta!$A:$DP,MATCH('MM01'!$B53,Consulta!$C:$C,0),'MM01'!AS$2),"")))</f>
        <v/>
      </c>
      <c r="AT53" s="45"/>
      <c r="AU53" s="46" t="str">
        <f t="shared" ca="1" si="3"/>
        <v/>
      </c>
      <c r="AV53" s="47" t="s">
        <v>795</v>
      </c>
      <c r="AW53" s="43" t="str">
        <f>IF(IFERROR(INDEX(Consulta!$A:$DP,MATCH('MM01'!$B53,Consulta!$C:$C,0),'MM01'!AW$2),"")=0,"",IFERROR(ROUND(INDEX(Consulta!$A:$DP,MATCH('MM01'!$B53,Consulta!$C:$C,0),'MM01'!AW$2),3),""))</f>
        <v/>
      </c>
      <c r="AX53" s="43" t="str">
        <f t="shared" si="4"/>
        <v/>
      </c>
      <c r="AY53" s="48" t="s">
        <v>299</v>
      </c>
      <c r="AZ53" s="48"/>
      <c r="BA53" s="43" t="str">
        <f>IF(IFERROR(INDEX(Consulta!$A:$DP,MATCH('MM01'!$B53,Consulta!$C:$C,0),'MM01'!BA$2),"")=0,"",IFERROR(INDEX(Consulta!$A:$DP,MATCH('MM01'!$B53,Consulta!$C:$C,0),'MM01'!BA$2),""))</f>
        <v/>
      </c>
      <c r="BB53" s="43" t="str">
        <f t="shared" si="5"/>
        <v/>
      </c>
      <c r="BC53" s="43" t="str">
        <f t="shared" si="6"/>
        <v/>
      </c>
      <c r="BD53" s="43" t="str">
        <f t="shared" si="7"/>
        <v/>
      </c>
      <c r="BE53" s="43" t="str">
        <f t="shared" si="8"/>
        <v>M</v>
      </c>
      <c r="BF53" s="43" t="str">
        <f t="shared" si="9"/>
        <v/>
      </c>
      <c r="BG53" s="43" t="str">
        <f t="shared" si="10"/>
        <v/>
      </c>
      <c r="BH53" s="43" t="str">
        <f t="shared" si="11"/>
        <v/>
      </c>
      <c r="BI53" s="43" t="str">
        <f t="shared" si="12"/>
        <v>M</v>
      </c>
      <c r="BK53" s="45" t="s">
        <v>324</v>
      </c>
      <c r="BL53" s="43" t="str">
        <f>IF(IFERROR(INDEX(Consulta!$A:$DP,MATCH('MM01'!$B53,Consulta!$C:$C,0),'MM01'!BL$2),"")=0,"",IFERROR(INDEX(Consulta!$A:$DP,MATCH('MM01'!$B53,Consulta!$C:$C,0),'MM01'!BL$2),""))</f>
        <v/>
      </c>
      <c r="BM53" s="45"/>
      <c r="BN53" s="46" t="str">
        <f t="shared" ca="1" si="13"/>
        <v/>
      </c>
      <c r="BO53" s="49" t="str">
        <f t="shared" si="14"/>
        <v/>
      </c>
      <c r="BP53" s="50">
        <v>1</v>
      </c>
      <c r="BQ53" s="50" t="s">
        <v>194</v>
      </c>
      <c r="BR53" s="79" t="str">
        <f t="shared" si="15"/>
        <v>01</v>
      </c>
      <c r="BS53" s="50" t="s">
        <v>795</v>
      </c>
      <c r="BT53" s="44">
        <v>1</v>
      </c>
      <c r="BU53" s="44" t="s">
        <v>371</v>
      </c>
      <c r="BV53" s="50" t="s">
        <v>197</v>
      </c>
      <c r="BW53" s="50" t="s">
        <v>197</v>
      </c>
      <c r="BX53" s="43" t="str">
        <f>IF(IFERROR(INDEX(Consulta!$A:$DP,MATCH('MM01'!$B53,Consulta!$C:$C,0),'MM01'!BX$2),"")=0,"",IFERROR(INDEX(Consulta!$A:$DP,MATCH('MM01'!$B53,Consulta!$C:$C,0),'MM01'!BX$2),""))</f>
        <v/>
      </c>
      <c r="BY53" s="44" t="s">
        <v>391</v>
      </c>
      <c r="BZ53" s="50">
        <v>0</v>
      </c>
      <c r="CA53" s="45" t="s">
        <v>402</v>
      </c>
      <c r="CB53" s="45" t="s">
        <v>84</v>
      </c>
      <c r="CC53" s="43" t="str">
        <f t="shared" si="16"/>
        <v/>
      </c>
      <c r="CD53" s="45" t="s">
        <v>38</v>
      </c>
      <c r="CE53" s="45">
        <v>1</v>
      </c>
      <c r="CF53" s="45" t="s">
        <v>495</v>
      </c>
      <c r="CG53" s="45"/>
      <c r="CH53" s="44">
        <v>2</v>
      </c>
      <c r="CI53" s="49" t="str">
        <f t="shared" si="17"/>
        <v/>
      </c>
      <c r="CJ53" s="49" t="str">
        <f t="shared" si="18"/>
        <v/>
      </c>
      <c r="CK53" s="45"/>
      <c r="CL53" s="44">
        <v>1</v>
      </c>
      <c r="CM53" s="50" t="s">
        <v>514</v>
      </c>
      <c r="CN53" s="44" t="s">
        <v>371</v>
      </c>
      <c r="CO53" s="44">
        <v>2</v>
      </c>
      <c r="CP53" s="44">
        <v>42</v>
      </c>
      <c r="CQ53" s="44">
        <v>10</v>
      </c>
      <c r="CR53" s="43" t="str">
        <f t="shared" si="19"/>
        <v>K00_P_</v>
      </c>
      <c r="CS53" s="45">
        <v>5000</v>
      </c>
      <c r="CT53" s="43" t="str">
        <f>IF(IFERROR(INDEX(Consulta!$A:$DP,MATCH('MM01'!$B53,Consulta!$C:$C,0),'MM01'!CT$2),"")=0,"",IFERROR(INDEX(Consulta!$A:$DP,MATCH('MM01'!$B53,Consulta!$C:$C,0),'MM01'!CT$2),""))</f>
        <v/>
      </c>
      <c r="CU53" s="43" t="str">
        <f>IF(IFERROR(INDEX(Consulta!$A:$DP,MATCH('MM01'!$B53,Consulta!$C:$C,0),'MM01'!CU$2),"")=0,"",IFERROR(INDEX(Consulta!$A:$DP,MATCH('MM01'!$B53,Consulta!$C:$C,0),'MM01'!CU$2),""))</f>
        <v/>
      </c>
      <c r="CV53" s="43" t="str">
        <f>IF(IFERROR(INDEX(Consulta!$A:$DP,MATCH('MM01'!$B53,Consulta!$C:$C,0),'MM01'!CV$2),"")=0,"",IFERROR(INDEX(Consulta!$A:$DP,MATCH('MM01'!$B53,Consulta!$C:$C,0),'MM01'!CV$2),""))</f>
        <v/>
      </c>
      <c r="CW53" s="43" t="str">
        <f>IF(IFERROR(INDEX(Consulta!$A:$DP,MATCH('MM01'!$B53,Consulta!$C:$C,0),'MM01'!CW$2),"")=0,"",IFERROR(INDEX(Consulta!$A:$DP,MATCH('MM01'!$B53,Consulta!$C:$C,0),'MM01'!CW$2),""))</f>
        <v/>
      </c>
      <c r="CX53" s="43" t="str">
        <f t="shared" si="20"/>
        <v/>
      </c>
      <c r="CY53" s="43" t="str">
        <f t="shared" si="21"/>
        <v/>
      </c>
      <c r="CZ53" s="43" t="str">
        <f t="shared" si="22"/>
        <v/>
      </c>
      <c r="DA53" s="43" t="str">
        <f>IF(IFERROR(INDEX(Consulta!$A:$DP,MATCH('MM01'!$B53,Consulta!$C:$C,0),'MM01'!DA$2),"")=0,"",IFERROR(INDEX(Consulta!$A:$DP,MATCH('MM01'!$B53,Consulta!$C:$C,0),'MM01'!DA$2),""))</f>
        <v/>
      </c>
      <c r="DB53" s="43" t="str">
        <f t="shared" si="23"/>
        <v/>
      </c>
      <c r="DC53" s="43" t="str">
        <f>IF(IFERROR(INDEX(Consulta!$A:$DP,MATCH('MM01'!$B53,Consulta!$C:$C,0),'MM01'!DC$2),"")=0,"",IFERROR(INDEX(Consulta!$A:$DP,MATCH('MM01'!$B53,Consulta!$C:$C,0),'MM01'!DC$2),""))</f>
        <v/>
      </c>
      <c r="DD53" s="45">
        <v>0</v>
      </c>
      <c r="DE53" s="45">
        <v>0</v>
      </c>
      <c r="DF53" s="43" t="str">
        <f t="shared" si="24"/>
        <v/>
      </c>
      <c r="DG53" s="43" t="str">
        <f t="shared" si="25"/>
        <v/>
      </c>
      <c r="DH53" s="57"/>
      <c r="DI53" s="43" t="str">
        <f t="shared" ca="1" si="26"/>
        <v/>
      </c>
      <c r="DJ53" s="43" t="str">
        <f t="shared" si="27"/>
        <v/>
      </c>
      <c r="DK53" s="43" t="str">
        <f t="shared" si="28"/>
        <v/>
      </c>
      <c r="DL53" s="57"/>
      <c r="DM53" s="43" t="str">
        <f t="shared" ca="1" si="29"/>
        <v/>
      </c>
      <c r="DN53" s="43" t="str">
        <f t="shared" si="30"/>
        <v/>
      </c>
      <c r="DO53" s="43" t="str">
        <f t="shared" si="31"/>
        <v/>
      </c>
      <c r="DP53" s="57"/>
      <c r="DQ53" s="43" t="str">
        <f t="shared" ca="1" si="32"/>
        <v/>
      </c>
      <c r="DR53" s="43" t="str">
        <f t="shared" si="33"/>
        <v/>
      </c>
      <c r="DS53" s="43" t="str">
        <f t="shared" si="34"/>
        <v/>
      </c>
      <c r="DT53" s="57"/>
      <c r="DU53" s="43" t="str">
        <f t="shared" ca="1" si="35"/>
        <v/>
      </c>
      <c r="DV53" s="43" t="str">
        <f t="shared" si="36"/>
        <v/>
      </c>
      <c r="DX53" s="44">
        <v>1</v>
      </c>
      <c r="DY53" s="44" t="s">
        <v>773</v>
      </c>
      <c r="DZ53" s="43">
        <f t="shared" si="37"/>
        <v>0.01</v>
      </c>
      <c r="EA53" s="43" t="str">
        <f t="shared" si="38"/>
        <v>M</v>
      </c>
      <c r="EB53" s="43" t="str">
        <f>IF(IFERROR(INDEX(Consulta!$A:$DP,MATCH('MM01'!$B53,Consulta!$C:$C,0),'MM01'!EB$2),"")=0,"7925",IF(IFERROR(INDEX(Consulta!$A:$DP,MATCH('MM01'!$B53,Consulta!$C:$C,0),'MM01'!EB$2),"")="68","7910","7925"))</f>
        <v>7925</v>
      </c>
      <c r="EC53" s="44">
        <v>100</v>
      </c>
      <c r="ED53" s="62">
        <v>1</v>
      </c>
      <c r="EE53" s="43">
        <f t="shared" si="39"/>
        <v>100</v>
      </c>
      <c r="EF53" s="44">
        <v>1</v>
      </c>
      <c r="EG53" s="44">
        <v>0</v>
      </c>
      <c r="EH53" s="44" t="s">
        <v>875</v>
      </c>
      <c r="EI53" s="45">
        <v>0</v>
      </c>
      <c r="EJ53" s="43">
        <f t="shared" si="40"/>
        <v>5000</v>
      </c>
      <c r="EK53" s="69"/>
    </row>
    <row r="54" spans="1:141" x14ac:dyDescent="0.2">
      <c r="A54" s="7" t="str">
        <f t="shared" si="0"/>
        <v>Execução 50</v>
      </c>
      <c r="B54" s="42"/>
      <c r="C54" s="43" t="str">
        <f>IF(IFERROR(INDEX(Consulta!$A:$DP,MATCH('MM01'!$B54,Consulta!$C:$C,0),'MM01'!C$2),"")=0,"",IFERROR(INDEX(Consulta!$A:$DP,MATCH('MM01'!$B54,Consulta!$C:$C,0),'MM01'!C$2),""))</f>
        <v/>
      </c>
      <c r="D54" s="43" t="str">
        <f>IF(IFERROR(INDEX(Consulta!$A:$DP,MATCH('MM01'!$B54,Consulta!$C:$C,0),'MM01'!D$2),"")=0,"",IFERROR(INDEX(Consulta!$A:$DP,MATCH('MM01'!$B54,Consulta!$C:$C,0),'MM01'!D$2),""))</f>
        <v/>
      </c>
      <c r="E54" s="43" t="str">
        <f>IF(IFERROR(INDEX(Consulta!$A:$DP,MATCH('MM01'!$B54,Consulta!$C:$C,0),'MM01'!E$2),"")=0,"",IFERROR(INDEX(Consulta!$A:$DP,MATCH('MM01'!$B54,Consulta!$C:$C,0),'MM01'!E$2),""))</f>
        <v/>
      </c>
      <c r="F54" s="44" t="s">
        <v>100</v>
      </c>
      <c r="G54" s="49" t="str">
        <f>IF(IFERROR(INDEX(Consulta!$A:$DP,MATCH('MM01'!$B54,Consulta!$C:$C,0),'MM01'!G$2),"")=0,"",IFERROR(INDEX(Consulta!$A:$DP,MATCH('MM01'!$B54,Consulta!$C:$C,0),'MM01'!G$2),""))</f>
        <v/>
      </c>
      <c r="H54" s="49" t="str">
        <f>IF(IFERROR(INDEX(Consulta!$A:$DP,MATCH('MM01'!$B54,Consulta!$C:$C,0),'MM01'!H$2),"")=0,"",IFERROR(INDEX(Consulta!$A:$DP,MATCH('MM01'!$B54,Consulta!$C:$C,0),'MM01'!H$2),""))</f>
        <v/>
      </c>
      <c r="I54" s="49" t="str">
        <f t="shared" si="1"/>
        <v/>
      </c>
      <c r="J54" s="49" t="str">
        <f>IF(IFERROR(INDEX(Consulta!$A:$DP,MATCH('MM01'!$B54,Consulta!$C:$C,0),'MM01'!J$2),"")=0,"",IFERROR(INDEX(Consulta!$A:$DP,MATCH('MM01'!$B54,Consulta!$C:$C,0),'MM01'!J$2),""))</f>
        <v/>
      </c>
      <c r="K54" s="49" t="str">
        <f t="shared" si="2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IF(IFERROR(INDEX(Consulta!$A:$DP,MATCH('MM01'!$B54,Consulta!$C:$C,0),'MM01'!AP$2),"")=0,"",IFERROR(INDEX(Consulta!$A:$DP,MATCH('MM01'!$B54,Consulta!$C:$C,0),'MM01'!AP$2),""))</f>
        <v/>
      </c>
      <c r="AQ54" s="45"/>
      <c r="AR54" s="43" t="str">
        <f>IF(IFERROR(INDEX(Consulta!$A:$DP,MATCH('MM01'!$B54,Consulta!$C:$C,0),'MM01'!AR$2),"")=0,"",IFERROR(INDEX(Consulta!$A:$DP,MATCH('MM01'!$B54,Consulta!$C:$C,0),'MM01'!AR$2),""))</f>
        <v/>
      </c>
      <c r="AS54" s="43" t="str">
        <f>IF(IFERROR(INDEX(Consulta!$A:$DP,MATCH('MM01'!$B54,Consulta!$C:$C,0),'MM01'!AS$2),"")=0,"",IF(AR54="68",5102,IFERROR(INDEX(Consulta!$A:$DP,MATCH('MM01'!$B54,Consulta!$C:$C,0),'MM01'!AS$2),"")))</f>
        <v/>
      </c>
      <c r="AT54" s="45"/>
      <c r="AU54" s="46" t="str">
        <f t="shared" ca="1" si="3"/>
        <v/>
      </c>
      <c r="AV54" s="47" t="s">
        <v>795</v>
      </c>
      <c r="AW54" s="43" t="str">
        <f>IF(IFERROR(INDEX(Consulta!$A:$DP,MATCH('MM01'!$B54,Consulta!$C:$C,0),'MM01'!AW$2),"")=0,"",IFERROR(ROUND(INDEX(Consulta!$A:$DP,MATCH('MM01'!$B54,Consulta!$C:$C,0),'MM01'!AW$2),3),""))</f>
        <v/>
      </c>
      <c r="AX54" s="43" t="str">
        <f t="shared" si="4"/>
        <v/>
      </c>
      <c r="AY54" s="48" t="s">
        <v>299</v>
      </c>
      <c r="AZ54" s="48"/>
      <c r="BA54" s="43" t="str">
        <f>IF(IFERROR(INDEX(Consulta!$A:$DP,MATCH('MM01'!$B54,Consulta!$C:$C,0),'MM01'!BA$2),"")=0,"",IFERROR(INDEX(Consulta!$A:$DP,MATCH('MM01'!$B54,Consulta!$C:$C,0),'MM01'!BA$2),""))</f>
        <v/>
      </c>
      <c r="BB54" s="43" t="str">
        <f t="shared" si="5"/>
        <v/>
      </c>
      <c r="BC54" s="43" t="str">
        <f t="shared" si="6"/>
        <v/>
      </c>
      <c r="BD54" s="43" t="str">
        <f t="shared" si="7"/>
        <v/>
      </c>
      <c r="BE54" s="43" t="str">
        <f t="shared" si="8"/>
        <v>M</v>
      </c>
      <c r="BF54" s="43" t="str">
        <f t="shared" si="9"/>
        <v/>
      </c>
      <c r="BG54" s="43" t="str">
        <f t="shared" si="10"/>
        <v/>
      </c>
      <c r="BH54" s="43" t="str">
        <f t="shared" si="11"/>
        <v/>
      </c>
      <c r="BI54" s="43" t="str">
        <f t="shared" si="12"/>
        <v>M</v>
      </c>
      <c r="BK54" s="45" t="s">
        <v>324</v>
      </c>
      <c r="BL54" s="43" t="str">
        <f>IF(IFERROR(INDEX(Consulta!$A:$DP,MATCH('MM01'!$B54,Consulta!$C:$C,0),'MM01'!BL$2),"")=0,"",IFERROR(INDEX(Consulta!$A:$DP,MATCH('MM01'!$B54,Consulta!$C:$C,0),'MM01'!BL$2),""))</f>
        <v/>
      </c>
      <c r="BM54" s="45"/>
      <c r="BN54" s="46" t="str">
        <f t="shared" ca="1" si="13"/>
        <v/>
      </c>
      <c r="BO54" s="49" t="str">
        <f t="shared" si="14"/>
        <v/>
      </c>
      <c r="BP54" s="50">
        <v>1</v>
      </c>
      <c r="BQ54" s="50" t="s">
        <v>194</v>
      </c>
      <c r="BR54" s="79" t="str">
        <f t="shared" si="15"/>
        <v>01</v>
      </c>
      <c r="BS54" s="50" t="s">
        <v>795</v>
      </c>
      <c r="BT54" s="44">
        <v>1</v>
      </c>
      <c r="BU54" s="44" t="s">
        <v>371</v>
      </c>
      <c r="BV54" s="50" t="s">
        <v>197</v>
      </c>
      <c r="BW54" s="50" t="s">
        <v>197</v>
      </c>
      <c r="BX54" s="43" t="str">
        <f>IF(IFERROR(INDEX(Consulta!$A:$DP,MATCH('MM01'!$B54,Consulta!$C:$C,0),'MM01'!BX$2),"")=0,"",IFERROR(INDEX(Consulta!$A:$DP,MATCH('MM01'!$B54,Consulta!$C:$C,0),'MM01'!BX$2),""))</f>
        <v/>
      </c>
      <c r="BY54" s="44" t="s">
        <v>391</v>
      </c>
      <c r="BZ54" s="50">
        <v>0</v>
      </c>
      <c r="CA54" s="45" t="s">
        <v>402</v>
      </c>
      <c r="CB54" s="45" t="s">
        <v>84</v>
      </c>
      <c r="CC54" s="43" t="str">
        <f t="shared" si="16"/>
        <v/>
      </c>
      <c r="CD54" s="45" t="s">
        <v>38</v>
      </c>
      <c r="CE54" s="45">
        <v>1</v>
      </c>
      <c r="CF54" s="45" t="s">
        <v>495</v>
      </c>
      <c r="CG54" s="45"/>
      <c r="CH54" s="44">
        <v>2</v>
      </c>
      <c r="CI54" s="49" t="str">
        <f t="shared" si="17"/>
        <v/>
      </c>
      <c r="CJ54" s="49" t="str">
        <f t="shared" si="18"/>
        <v/>
      </c>
      <c r="CK54" s="45"/>
      <c r="CL54" s="44">
        <v>1</v>
      </c>
      <c r="CM54" s="50" t="s">
        <v>514</v>
      </c>
      <c r="CN54" s="44" t="s">
        <v>371</v>
      </c>
      <c r="CO54" s="44">
        <v>2</v>
      </c>
      <c r="CP54" s="44">
        <v>42</v>
      </c>
      <c r="CQ54" s="44">
        <v>10</v>
      </c>
      <c r="CR54" s="43" t="str">
        <f t="shared" si="19"/>
        <v>K00_P_</v>
      </c>
      <c r="CS54" s="45">
        <v>5000</v>
      </c>
      <c r="CT54" s="43" t="str">
        <f>IF(IFERROR(INDEX(Consulta!$A:$DP,MATCH('MM01'!$B54,Consulta!$C:$C,0),'MM01'!CT$2),"")=0,"",IFERROR(INDEX(Consulta!$A:$DP,MATCH('MM01'!$B54,Consulta!$C:$C,0),'MM01'!CT$2),""))</f>
        <v/>
      </c>
      <c r="CU54" s="43" t="str">
        <f>IF(IFERROR(INDEX(Consulta!$A:$DP,MATCH('MM01'!$B54,Consulta!$C:$C,0),'MM01'!CU$2),"")=0,"",IFERROR(INDEX(Consulta!$A:$DP,MATCH('MM01'!$B54,Consulta!$C:$C,0),'MM01'!CU$2),""))</f>
        <v/>
      </c>
      <c r="CV54" s="43" t="str">
        <f>IF(IFERROR(INDEX(Consulta!$A:$DP,MATCH('MM01'!$B54,Consulta!$C:$C,0),'MM01'!CV$2),"")=0,"",IFERROR(INDEX(Consulta!$A:$DP,MATCH('MM01'!$B54,Consulta!$C:$C,0),'MM01'!CV$2),""))</f>
        <v/>
      </c>
      <c r="CW54" s="43" t="str">
        <f>IF(IFERROR(INDEX(Consulta!$A:$DP,MATCH('MM01'!$B54,Consulta!$C:$C,0),'MM01'!CW$2),"")=0,"",IFERROR(INDEX(Consulta!$A:$DP,MATCH('MM01'!$B54,Consulta!$C:$C,0),'MM01'!CW$2),""))</f>
        <v/>
      </c>
      <c r="CX54" s="43" t="str">
        <f t="shared" si="20"/>
        <v/>
      </c>
      <c r="CY54" s="43" t="str">
        <f t="shared" si="21"/>
        <v/>
      </c>
      <c r="CZ54" s="43" t="str">
        <f t="shared" si="22"/>
        <v/>
      </c>
      <c r="DA54" s="43" t="str">
        <f>IF(IFERROR(INDEX(Consulta!$A:$DP,MATCH('MM01'!$B54,Consulta!$C:$C,0),'MM01'!DA$2),"")=0,"",IFERROR(INDEX(Consulta!$A:$DP,MATCH('MM01'!$B54,Consulta!$C:$C,0),'MM01'!DA$2),""))</f>
        <v/>
      </c>
      <c r="DB54" s="43" t="str">
        <f t="shared" si="23"/>
        <v/>
      </c>
      <c r="DC54" s="43" t="str">
        <f>IF(IFERROR(INDEX(Consulta!$A:$DP,MATCH('MM01'!$B54,Consulta!$C:$C,0),'MM01'!DC$2),"")=0,"",IFERROR(INDEX(Consulta!$A:$DP,MATCH('MM01'!$B54,Consulta!$C:$C,0),'MM01'!DC$2),""))</f>
        <v/>
      </c>
      <c r="DD54" s="45">
        <v>0</v>
      </c>
      <c r="DE54" s="45">
        <v>0</v>
      </c>
      <c r="DF54" s="43" t="str">
        <f t="shared" si="24"/>
        <v/>
      </c>
      <c r="DG54" s="43" t="str">
        <f t="shared" si="25"/>
        <v/>
      </c>
      <c r="DH54" s="57"/>
      <c r="DI54" s="43" t="str">
        <f t="shared" ca="1" si="26"/>
        <v/>
      </c>
      <c r="DJ54" s="43" t="str">
        <f t="shared" si="27"/>
        <v/>
      </c>
      <c r="DK54" s="43" t="str">
        <f t="shared" si="28"/>
        <v/>
      </c>
      <c r="DL54" s="57"/>
      <c r="DM54" s="43" t="str">
        <f t="shared" ca="1" si="29"/>
        <v/>
      </c>
      <c r="DN54" s="43" t="str">
        <f t="shared" si="30"/>
        <v/>
      </c>
      <c r="DO54" s="43" t="str">
        <f t="shared" si="31"/>
        <v/>
      </c>
      <c r="DP54" s="57"/>
      <c r="DQ54" s="43" t="str">
        <f t="shared" ca="1" si="32"/>
        <v/>
      </c>
      <c r="DR54" s="43" t="str">
        <f t="shared" si="33"/>
        <v/>
      </c>
      <c r="DS54" s="43" t="str">
        <f t="shared" si="34"/>
        <v/>
      </c>
      <c r="DT54" s="57"/>
      <c r="DU54" s="43" t="str">
        <f t="shared" ca="1" si="35"/>
        <v/>
      </c>
      <c r="DV54" s="43" t="str">
        <f t="shared" si="36"/>
        <v/>
      </c>
      <c r="DX54" s="44">
        <v>1</v>
      </c>
      <c r="DY54" s="44" t="s">
        <v>773</v>
      </c>
      <c r="DZ54" s="43">
        <f t="shared" si="37"/>
        <v>0.01</v>
      </c>
      <c r="EA54" s="43" t="str">
        <f t="shared" si="38"/>
        <v>M</v>
      </c>
      <c r="EB54" s="43" t="str">
        <f>IF(IFERROR(INDEX(Consulta!$A:$DP,MATCH('MM01'!$B54,Consulta!$C:$C,0),'MM01'!EB$2),"")=0,"7925",IF(IFERROR(INDEX(Consulta!$A:$DP,MATCH('MM01'!$B54,Consulta!$C:$C,0),'MM01'!EB$2),"")="68","7910","7925"))</f>
        <v>7925</v>
      </c>
      <c r="EC54" s="44">
        <v>100</v>
      </c>
      <c r="ED54" s="62">
        <v>1</v>
      </c>
      <c r="EE54" s="43">
        <f t="shared" si="39"/>
        <v>100</v>
      </c>
      <c r="EF54" s="44">
        <v>1</v>
      </c>
      <c r="EG54" s="44">
        <v>0</v>
      </c>
      <c r="EH54" s="44" t="s">
        <v>875</v>
      </c>
      <c r="EI54" s="45">
        <v>0</v>
      </c>
      <c r="EJ54" s="43">
        <f t="shared" si="40"/>
        <v>5000</v>
      </c>
      <c r="EK54" s="70"/>
    </row>
    <row r="55" spans="1:141" x14ac:dyDescent="0.2">
      <c r="A55" s="7" t="str">
        <f>"Execução "&amp;ROW()-4</f>
        <v>Execução 51</v>
      </c>
      <c r="B55" s="42"/>
      <c r="C55" s="43" t="str">
        <f>IF(IFERROR(INDEX(Consulta!$A:$DP,MATCH('MM01'!$B55,Consulta!$C:$C,0),'MM01'!C$2),"")=0,"",IFERROR(INDEX(Consulta!$A:$DP,MATCH('MM01'!$B55,Consulta!$C:$C,0),'MM01'!C$2),""))</f>
        <v/>
      </c>
      <c r="D55" s="43" t="str">
        <f>IF(IFERROR(INDEX(Consulta!$A:$DP,MATCH('MM01'!$B55,Consulta!$C:$C,0),'MM01'!D$2),"")=0,"",IFERROR(INDEX(Consulta!$A:$DP,MATCH('MM01'!$B55,Consulta!$C:$C,0),'MM01'!D$2),""))</f>
        <v/>
      </c>
      <c r="E55" s="43" t="str">
        <f>IF(IFERROR(INDEX(Consulta!$A:$DP,MATCH('MM01'!$B55,Consulta!$C:$C,0),'MM01'!E$2),"")=0,"",IFERROR(INDEX(Consulta!$A:$DP,MATCH('MM01'!$B55,Consulta!$C:$C,0),'MM01'!E$2),""))</f>
        <v/>
      </c>
      <c r="F55" s="44" t="s">
        <v>100</v>
      </c>
      <c r="G55" s="49" t="str">
        <f>IF(IFERROR(INDEX(Consulta!$A:$DP,MATCH('MM01'!$B55,Consulta!$C:$C,0),'MM01'!G$2),"")=0,"",IFERROR(INDEX(Consulta!$A:$DP,MATCH('MM01'!$B55,Consulta!$C:$C,0),'MM01'!G$2),""))</f>
        <v/>
      </c>
      <c r="H55" s="49" t="str">
        <f>IF(IFERROR(INDEX(Consulta!$A:$DP,MATCH('MM01'!$B55,Consulta!$C:$C,0),'MM01'!H$2),"")=0,"",IFERROR(INDEX(Consulta!$A:$DP,MATCH('MM01'!$B55,Consulta!$C:$C,0),'MM01'!H$2),""))</f>
        <v/>
      </c>
      <c r="I55" s="49" t="str">
        <f>G55</f>
        <v/>
      </c>
      <c r="J55" s="49" t="str">
        <f>IF(IFERROR(INDEX(Consulta!$A:$DP,MATCH('MM01'!$B55,Consulta!$C:$C,0),'MM01'!J$2),"")=0,"",IFERROR(INDEX(Consulta!$A:$DP,MATCH('MM01'!$B55,Consulta!$C:$C,0),'MM01'!J$2),""))</f>
        <v/>
      </c>
      <c r="K55" s="49" t="str">
        <f>RIGHT(G55,3)</f>
        <v/>
      </c>
      <c r="M55" s="45" t="s">
        <v>101</v>
      </c>
      <c r="N55" s="45" t="s">
        <v>102</v>
      </c>
      <c r="O55" s="45" t="s">
        <v>103</v>
      </c>
      <c r="P55" s="45" t="s">
        <v>104</v>
      </c>
      <c r="Q55" s="45" t="s">
        <v>105</v>
      </c>
      <c r="R55" s="45" t="s">
        <v>106</v>
      </c>
      <c r="S55" s="45" t="s">
        <v>107</v>
      </c>
      <c r="T55" s="45"/>
      <c r="U55" s="45"/>
      <c r="V55" s="45"/>
      <c r="W55" s="45"/>
      <c r="X55" s="45" t="s">
        <v>112</v>
      </c>
      <c r="Y55" s="45" t="s">
        <v>113</v>
      </c>
      <c r="Z55" s="45" t="s">
        <v>114</v>
      </c>
      <c r="AA55" s="45" t="s">
        <v>115</v>
      </c>
      <c r="AB55" s="45" t="s">
        <v>117</v>
      </c>
      <c r="AC55" s="45" t="s">
        <v>118</v>
      </c>
      <c r="AD55" s="45" t="s">
        <v>119</v>
      </c>
      <c r="AE55" s="45" t="s">
        <v>120</v>
      </c>
      <c r="AF55" s="45" t="s">
        <v>121</v>
      </c>
      <c r="AG55" s="45" t="s">
        <v>122</v>
      </c>
      <c r="AH55" s="45" t="s">
        <v>123</v>
      </c>
      <c r="AI55" s="45" t="s">
        <v>124</v>
      </c>
      <c r="AJ55" s="45" t="s">
        <v>125</v>
      </c>
      <c r="AK55" s="45" t="s">
        <v>126</v>
      </c>
      <c r="AL55" s="45"/>
      <c r="AM55" s="45"/>
      <c r="AO55" s="44" t="s">
        <v>100</v>
      </c>
      <c r="AP55" s="43" t="str">
        <f>IF(IFERROR(INDEX(Consulta!$A:$DP,MATCH('MM01'!$B55,Consulta!$C:$C,0),'MM01'!AP$2),"")=0,"",IFERROR(INDEX(Consulta!$A:$DP,MATCH('MM01'!$B55,Consulta!$C:$C,0),'MM01'!AP$2),""))</f>
        <v/>
      </c>
      <c r="AQ55" s="45"/>
      <c r="AR55" s="43" t="str">
        <f>IF(IFERROR(INDEX(Consulta!$A:$DP,MATCH('MM01'!$B55,Consulta!$C:$C,0),'MM01'!AR$2),"")=0,"",IFERROR(INDEX(Consulta!$A:$DP,MATCH('MM01'!$B55,Consulta!$C:$C,0),'MM01'!AR$2),""))</f>
        <v/>
      </c>
      <c r="AS55" s="43" t="str">
        <f>IF(IFERROR(INDEX(Consulta!$A:$DP,MATCH('MM01'!$B55,Consulta!$C:$C,0),'MM01'!AS$2),"")=0,"",IF(AR55="68",5102,IFERROR(INDEX(Consulta!$A:$DP,MATCH('MM01'!$B55,Consulta!$C:$C,0),'MM01'!AS$2),"")))</f>
        <v/>
      </c>
      <c r="AT55" s="45"/>
      <c r="AU55" s="46" t="str">
        <f ca="1">IF(AT55&lt;&gt;0,TEXT(TODAY(),"DD.MM.AAAA"),"")</f>
        <v/>
      </c>
      <c r="AV55" s="47" t="s">
        <v>795</v>
      </c>
      <c r="AW55" s="43" t="str">
        <f>IF(IFERROR(INDEX(Consulta!$A:$DP,MATCH('MM01'!$B55,Consulta!$C:$C,0),'MM01'!AW$2),"")=0,"",IFERROR(ROUND(INDEX(Consulta!$A:$DP,MATCH('MM01'!$B55,Consulta!$C:$C,0),'MM01'!AW$2),3),""))</f>
        <v/>
      </c>
      <c r="AX55" s="43" t="str">
        <f>IFERROR(IF(AW55&lt;&gt;0,ROUND(AW55,3),""),"")</f>
        <v/>
      </c>
      <c r="AY55" s="48" t="s">
        <v>299</v>
      </c>
      <c r="AZ55" s="48"/>
      <c r="BA55" s="43" t="str">
        <f>IF(IFERROR(INDEX(Consulta!$A:$DP,MATCH('MM01'!$B55,Consulta!$C:$C,0),'MM01'!BA$2),"")=0,"",IFERROR(INDEX(Consulta!$A:$DP,MATCH('MM01'!$B55,Consulta!$C:$C,0),'MM01'!BA$2),""))</f>
        <v/>
      </c>
      <c r="BB55" s="43" t="str">
        <f>IFERROR(ROUND(AW55,3)*1000,"")</f>
        <v/>
      </c>
      <c r="BC55" s="43" t="str">
        <f>IF(BB55="","",AY55)</f>
        <v/>
      </c>
      <c r="BD55" s="43" t="str">
        <f>IF(BB55="","",IF(BB55&lt;100000,1000,100))</f>
        <v/>
      </c>
      <c r="BE55" s="43" t="str">
        <f>AO55</f>
        <v>M</v>
      </c>
      <c r="BF55" s="43" t="str">
        <f>IF(BH55="","",IF(D55&lt;&gt;"KMAT",IF(BH55&lt;100000,1000,100),""))</f>
        <v/>
      </c>
      <c r="BG55" s="43" t="str">
        <f>IF(BF55="","",IF(D55&lt;&gt;"KMAT","PC",""))</f>
        <v/>
      </c>
      <c r="BH55" s="43" t="str">
        <f>IF(D55&lt;&gt;"KMAT",E55,"")</f>
        <v/>
      </c>
      <c r="BI55" s="43" t="str">
        <f>AO55</f>
        <v>M</v>
      </c>
      <c r="BK55" s="45" t="s">
        <v>324</v>
      </c>
      <c r="BL55" s="43" t="str">
        <f>IF(IFERROR(INDEX(Consulta!$A:$DP,MATCH('MM01'!$B55,Consulta!$C:$C,0),'MM01'!BL$2),"")=0,"",IFERROR(INDEX(Consulta!$A:$DP,MATCH('MM01'!$B55,Consulta!$C:$C,0),'MM01'!BL$2),""))</f>
        <v/>
      </c>
      <c r="BM55" s="45"/>
      <c r="BN55" s="46" t="str">
        <f ca="1">IF(BM55&lt;&gt;0,TEXT(TODAY(),"DD.MM.AAAA"),"")</f>
        <v/>
      </c>
      <c r="BO55" s="49" t="str">
        <f>G55</f>
        <v/>
      </c>
      <c r="BP55" s="50">
        <v>1</v>
      </c>
      <c r="BQ55" s="50" t="s">
        <v>194</v>
      </c>
      <c r="BR55" s="79" t="str">
        <f t="shared" si="15"/>
        <v>01</v>
      </c>
      <c r="BS55" s="50" t="s">
        <v>795</v>
      </c>
      <c r="BT55" s="44">
        <v>1</v>
      </c>
      <c r="BU55" s="44" t="s">
        <v>371</v>
      </c>
      <c r="BV55" s="50" t="s">
        <v>197</v>
      </c>
      <c r="BW55" s="50" t="s">
        <v>197</v>
      </c>
      <c r="BX55" s="43" t="str">
        <f>IF(IFERROR(INDEX(Consulta!$A:$DP,MATCH('MM01'!$B55,Consulta!$C:$C,0),'MM01'!BX$2),"")=0,"",IFERROR(INDEX(Consulta!$A:$DP,MATCH('MM01'!$B55,Consulta!$C:$C,0),'MM01'!BX$2),""))</f>
        <v/>
      </c>
      <c r="BY55" s="44" t="s">
        <v>391</v>
      </c>
      <c r="BZ55" s="50">
        <v>0</v>
      </c>
      <c r="CA55" s="45" t="s">
        <v>402</v>
      </c>
      <c r="CB55" s="45" t="s">
        <v>84</v>
      </c>
      <c r="CC55" s="43" t="str">
        <f>RIGHT(G55,3)</f>
        <v/>
      </c>
      <c r="CD55" s="45" t="s">
        <v>38</v>
      </c>
      <c r="CE55" s="45">
        <v>1</v>
      </c>
      <c r="CF55" s="45" t="s">
        <v>495</v>
      </c>
      <c r="CG55" s="45"/>
      <c r="CH55" s="44">
        <v>2</v>
      </c>
      <c r="CI55" s="49" t="str">
        <f>H55</f>
        <v/>
      </c>
      <c r="CJ55" s="49" t="str">
        <f>H55</f>
        <v/>
      </c>
      <c r="CK55" s="45"/>
      <c r="CL55" s="44">
        <v>1</v>
      </c>
      <c r="CM55" s="50" t="s">
        <v>514</v>
      </c>
      <c r="CN55" s="44" t="s">
        <v>371</v>
      </c>
      <c r="CO55" s="44">
        <v>2</v>
      </c>
      <c r="CP55" s="44">
        <v>42</v>
      </c>
      <c r="CQ55" s="44">
        <v>10</v>
      </c>
      <c r="CR55" s="43" t="str">
        <f>"K00_P_"&amp;G55</f>
        <v>K00_P_</v>
      </c>
      <c r="CS55" s="45">
        <v>5000</v>
      </c>
      <c r="CT55" s="43" t="str">
        <f>IF(IFERROR(INDEX(Consulta!$A:$DP,MATCH('MM01'!$B55,Consulta!$C:$C,0),'MM01'!CT$2),"")=0,"",IFERROR(INDEX(Consulta!$A:$DP,MATCH('MM01'!$B55,Consulta!$C:$C,0),'MM01'!CT$2),""))</f>
        <v/>
      </c>
      <c r="CU55" s="43" t="str">
        <f>IF(IFERROR(INDEX(Consulta!$A:$DP,MATCH('MM01'!$B55,Consulta!$C:$C,0),'MM01'!CU$2),"")=0,"",IFERROR(INDEX(Consulta!$A:$DP,MATCH('MM01'!$B55,Consulta!$C:$C,0),'MM01'!CU$2),""))</f>
        <v/>
      </c>
      <c r="CV55" s="43" t="str">
        <f>IF(IFERROR(INDEX(Consulta!$A:$DP,MATCH('MM01'!$B55,Consulta!$C:$C,0),'MM01'!CV$2),"")=0,"",IFERROR(INDEX(Consulta!$A:$DP,MATCH('MM01'!$B55,Consulta!$C:$C,0),'MM01'!CV$2),""))</f>
        <v/>
      </c>
      <c r="CW55" s="43" t="str">
        <f>IF(IFERROR(INDEX(Consulta!$A:$DP,MATCH('MM01'!$B55,Consulta!$C:$C,0),'MM01'!CW$2),"")=0,"",IFERROR(INDEX(Consulta!$A:$DP,MATCH('MM01'!$B55,Consulta!$C:$C,0),'MM01'!CW$2),""))</f>
        <v/>
      </c>
      <c r="CX55" s="43" t="str">
        <f>IF(OR(CT55="",CU55="",CV55="",CW55=""),"",CT55&amp;" / "&amp;CU55&amp;" / "&amp;CV55&amp;" / "&amp;CW55)</f>
        <v/>
      </c>
      <c r="CY55" s="43" t="str">
        <f>IF(OR(D55="MFER",D55="KMAT"),"INITIAL",IF(OR(D55="FERT",D55="HAWZ"),"0000999999",""))</f>
        <v/>
      </c>
      <c r="CZ55" s="43" t="str">
        <f>IF(OR(D55="MFER",D55="KMAT"),"INIT",IF(OR(D55="FERT",D55="HAWZ"),"999999",""))</f>
        <v/>
      </c>
      <c r="DA55" s="43" t="str">
        <f>IF(IFERROR(INDEX(Consulta!$A:$DP,MATCH('MM01'!$B55,Consulta!$C:$C,0),'MM01'!DA$2),"")=0,"",IFERROR(INDEX(Consulta!$A:$DP,MATCH('MM01'!$B55,Consulta!$C:$C,0),'MM01'!DA$2),""))</f>
        <v/>
      </c>
      <c r="DB55" s="43" t="str">
        <f>IF(E55=0,"",E55)</f>
        <v/>
      </c>
      <c r="DC55" s="43" t="str">
        <f>IF(IFERROR(INDEX(Consulta!$A:$DP,MATCH('MM01'!$B55,Consulta!$C:$C,0),'MM01'!DC$2),"")=0,"",IFERROR(INDEX(Consulta!$A:$DP,MATCH('MM01'!$B55,Consulta!$C:$C,0),'MM01'!DC$2),""))</f>
        <v/>
      </c>
      <c r="DD55" s="45">
        <v>0</v>
      </c>
      <c r="DE55" s="45">
        <v>0</v>
      </c>
      <c r="DF55" s="43" t="str">
        <f>IFERROR(ROUND(AW55,2),"")</f>
        <v/>
      </c>
      <c r="DG55" s="43">
        <f>IF(DH55&lt;&gt;0,1,"")</f>
        <v>1</v>
      </c>
      <c r="DH55" s="57" t="s">
        <v>746</v>
      </c>
      <c r="DI55" s="43" t="str">
        <f ca="1">IF(DH55&lt;&gt;0,TEXT(TODAY(),"dd.mm.aaaa"),"")</f>
        <v>27.04.2022</v>
      </c>
      <c r="DJ55" s="43" t="str">
        <f>IF(DH55&lt;&gt;0,"31.12.9999","")</f>
        <v>31.12.9999</v>
      </c>
      <c r="DK55" s="43" t="str">
        <f>IF(DL55&lt;&gt;0,2,"")</f>
        <v/>
      </c>
      <c r="DL55" s="57"/>
      <c r="DM55" s="43" t="str">
        <f ca="1">IF(DL55&lt;&gt;0,TEXT(TODAY(),"dd.mm.aaaa"),"")</f>
        <v/>
      </c>
      <c r="DN55" s="43" t="str">
        <f>IF(DL55&lt;&gt;0,"31.12.9999","")</f>
        <v/>
      </c>
      <c r="DO55" s="43" t="str">
        <f>IF(DP55&lt;&gt;0,3,"")</f>
        <v/>
      </c>
      <c r="DP55" s="57"/>
      <c r="DQ55" s="43" t="str">
        <f ca="1">IF(DP55&lt;&gt;0,TEXT(TODAY(),"dd.mm.aaaa"),"")</f>
        <v/>
      </c>
      <c r="DR55" s="43" t="str">
        <f>IF(DP55&lt;&gt;0,"31.12.9999","")</f>
        <v/>
      </c>
      <c r="DS55" s="43" t="str">
        <f>IF(DT55&lt;&gt;0,4,"")</f>
        <v/>
      </c>
      <c r="DT55" s="57"/>
      <c r="DU55" s="43" t="str">
        <f ca="1">IF(DT55&lt;&gt;0,TEXT(TODAY(),"dd.mm.aaaa"),"")</f>
        <v/>
      </c>
      <c r="DV55" s="43" t="str">
        <f>IF(DT55&lt;&gt;0,"31.12.9999","")</f>
        <v/>
      </c>
      <c r="DX55" s="44">
        <v>1</v>
      </c>
      <c r="DY55" s="44" t="s">
        <v>773</v>
      </c>
      <c r="DZ55" s="43">
        <f>IF(OR(AO55="M",AO55="KG"),0.01,1)</f>
        <v>0.01</v>
      </c>
      <c r="EA55" s="43" t="str">
        <f>AO55</f>
        <v>M</v>
      </c>
      <c r="EB55" s="43" t="str">
        <f>IF(IFERROR(INDEX(Consulta!$A:$DP,MATCH('MM01'!$B55,Consulta!$C:$C,0),'MM01'!EB$2),"")=0,"7925",IF(IFERROR(INDEX(Consulta!$A:$DP,MATCH('MM01'!$B55,Consulta!$C:$C,0),'MM01'!EB$2),"")="68","7910","7925"))</f>
        <v>7925</v>
      </c>
      <c r="EC55" s="44">
        <v>100</v>
      </c>
      <c r="ED55" s="62">
        <v>1</v>
      </c>
      <c r="EE55" s="43">
        <f>EC55</f>
        <v>100</v>
      </c>
      <c r="EF55" s="44">
        <v>1</v>
      </c>
      <c r="EG55" s="44">
        <v>0</v>
      </c>
      <c r="EH55" s="44" t="s">
        <v>875</v>
      </c>
      <c r="EI55" s="45">
        <v>0</v>
      </c>
      <c r="EJ55" s="43">
        <f>CS55</f>
        <v>5000</v>
      </c>
      <c r="EK55" s="68"/>
    </row>
    <row r="56" spans="1:141" x14ac:dyDescent="0.2">
      <c r="A56" s="7" t="str">
        <f t="shared" si="0"/>
        <v>Execução 52</v>
      </c>
      <c r="B56" s="42"/>
      <c r="C56" s="43" t="str">
        <f>IF(IFERROR(INDEX(Consulta!$A:$DP,MATCH('MM01'!$B56,Consulta!$C:$C,0),'MM01'!C$2),"")=0,"",IFERROR(INDEX(Consulta!$A:$DP,MATCH('MM01'!$B56,Consulta!$C:$C,0),'MM01'!C$2),""))</f>
        <v/>
      </c>
      <c r="D56" s="43" t="str">
        <f>IF(IFERROR(INDEX(Consulta!$A:$DP,MATCH('MM01'!$B56,Consulta!$C:$C,0),'MM01'!D$2),"")=0,"",IFERROR(INDEX(Consulta!$A:$DP,MATCH('MM01'!$B56,Consulta!$C:$C,0),'MM01'!D$2),""))</f>
        <v/>
      </c>
      <c r="E56" s="43" t="str">
        <f>IF(IFERROR(INDEX(Consulta!$A:$DP,MATCH('MM01'!$B56,Consulta!$C:$C,0),'MM01'!E$2),"")=0,"",IFERROR(INDEX(Consulta!$A:$DP,MATCH('MM01'!$B56,Consulta!$C:$C,0),'MM01'!E$2),""))</f>
        <v/>
      </c>
      <c r="F56" s="44" t="s">
        <v>100</v>
      </c>
      <c r="G56" s="49" t="str">
        <f>IF(IFERROR(INDEX(Consulta!$A:$DP,MATCH('MM01'!$B56,Consulta!$C:$C,0),'MM01'!G$2),"")=0,"",IFERROR(INDEX(Consulta!$A:$DP,MATCH('MM01'!$B56,Consulta!$C:$C,0),'MM01'!G$2),""))</f>
        <v/>
      </c>
      <c r="H56" s="49" t="str">
        <f>IF(IFERROR(INDEX(Consulta!$A:$DP,MATCH('MM01'!$B56,Consulta!$C:$C,0),'MM01'!H$2),"")=0,"",IFERROR(INDEX(Consulta!$A:$DP,MATCH('MM01'!$B56,Consulta!$C:$C,0),'MM01'!H$2),""))</f>
        <v/>
      </c>
      <c r="I56" s="49" t="str">
        <f t="shared" ref="I56:I104" si="41">G56</f>
        <v/>
      </c>
      <c r="J56" s="49" t="str">
        <f>IF(IFERROR(INDEX(Consulta!$A:$DP,MATCH('MM01'!$B56,Consulta!$C:$C,0),'MM01'!J$2),"")=0,"",IFERROR(INDEX(Consulta!$A:$DP,MATCH('MM01'!$B56,Consulta!$C:$C,0),'MM01'!J$2),""))</f>
        <v/>
      </c>
      <c r="K56" s="49" t="str">
        <f t="shared" ref="K56:K104" si="42">RIGHT(G56,3)</f>
        <v/>
      </c>
      <c r="M56" s="45" t="s">
        <v>101</v>
      </c>
      <c r="N56" s="45" t="s">
        <v>102</v>
      </c>
      <c r="O56" s="45" t="s">
        <v>103</v>
      </c>
      <c r="P56" s="45" t="s">
        <v>104</v>
      </c>
      <c r="Q56" s="45" t="s">
        <v>105</v>
      </c>
      <c r="R56" s="45" t="s">
        <v>106</v>
      </c>
      <c r="S56" s="45" t="s">
        <v>107</v>
      </c>
      <c r="T56" s="45"/>
      <c r="U56" s="45"/>
      <c r="V56" s="45"/>
      <c r="W56" s="45"/>
      <c r="X56" s="45" t="s">
        <v>112</v>
      </c>
      <c r="Y56" s="45" t="s">
        <v>113</v>
      </c>
      <c r="Z56" s="45" t="s">
        <v>114</v>
      </c>
      <c r="AA56" s="45" t="s">
        <v>115</v>
      </c>
      <c r="AB56" s="45" t="s">
        <v>117</v>
      </c>
      <c r="AC56" s="45" t="s">
        <v>118</v>
      </c>
      <c r="AD56" s="45" t="s">
        <v>119</v>
      </c>
      <c r="AE56" s="45" t="s">
        <v>120</v>
      </c>
      <c r="AF56" s="45" t="s">
        <v>121</v>
      </c>
      <c r="AG56" s="45" t="s">
        <v>122</v>
      </c>
      <c r="AH56" s="45" t="s">
        <v>123</v>
      </c>
      <c r="AI56" s="45" t="s">
        <v>124</v>
      </c>
      <c r="AJ56" s="45" t="s">
        <v>125</v>
      </c>
      <c r="AK56" s="45" t="s">
        <v>126</v>
      </c>
      <c r="AL56" s="45"/>
      <c r="AM56" s="45"/>
      <c r="AO56" s="44" t="s">
        <v>100</v>
      </c>
      <c r="AP56" s="43" t="str">
        <f>IF(IFERROR(INDEX(Consulta!$A:$DP,MATCH('MM01'!$B56,Consulta!$C:$C,0),'MM01'!AP$2),"")=0,"",IFERROR(INDEX(Consulta!$A:$DP,MATCH('MM01'!$B56,Consulta!$C:$C,0),'MM01'!AP$2),""))</f>
        <v/>
      </c>
      <c r="AQ56" s="45"/>
      <c r="AR56" s="43" t="str">
        <f>IF(IFERROR(INDEX(Consulta!$A:$DP,MATCH('MM01'!$B56,Consulta!$C:$C,0),'MM01'!AR$2),"")=0,"",IFERROR(INDEX(Consulta!$A:$DP,MATCH('MM01'!$B56,Consulta!$C:$C,0),'MM01'!AR$2),""))</f>
        <v/>
      </c>
      <c r="AS56" s="43" t="str">
        <f>IF(IFERROR(INDEX(Consulta!$A:$DP,MATCH('MM01'!$B56,Consulta!$C:$C,0),'MM01'!AS$2),"")=0,"",IF(AR56="68",5102,IFERROR(INDEX(Consulta!$A:$DP,MATCH('MM01'!$B56,Consulta!$C:$C,0),'MM01'!AS$2),"")))</f>
        <v/>
      </c>
      <c r="AT56" s="45"/>
      <c r="AU56" s="46" t="str">
        <f t="shared" ref="AU56:AU104" ca="1" si="43">IF(AT56&lt;&gt;0,TEXT(TODAY(),"DD.MM.AAAA"),"")</f>
        <v/>
      </c>
      <c r="AV56" s="47" t="s">
        <v>795</v>
      </c>
      <c r="AW56" s="43" t="str">
        <f>IF(IFERROR(INDEX(Consulta!$A:$DP,MATCH('MM01'!$B56,Consulta!$C:$C,0),'MM01'!AW$2),"")=0,"",IFERROR(ROUND(INDEX(Consulta!$A:$DP,MATCH('MM01'!$B56,Consulta!$C:$C,0),'MM01'!AW$2),3),""))</f>
        <v/>
      </c>
      <c r="AX56" s="43" t="str">
        <f t="shared" ref="AX56:AX104" si="44">IFERROR(IF(AW56&lt;&gt;0,ROUND(AW56,3),""),"")</f>
        <v/>
      </c>
      <c r="AY56" s="48" t="s">
        <v>299</v>
      </c>
      <c r="AZ56" s="48"/>
      <c r="BA56" s="43" t="str">
        <f>IF(IFERROR(INDEX(Consulta!$A:$DP,MATCH('MM01'!$B56,Consulta!$C:$C,0),'MM01'!BA$2),"")=0,"",IFERROR(INDEX(Consulta!$A:$DP,MATCH('MM01'!$B56,Consulta!$C:$C,0),'MM01'!BA$2),""))</f>
        <v/>
      </c>
      <c r="BB56" s="43" t="str">
        <f t="shared" ref="BB56:BB104" si="45">IFERROR(ROUND(AW56,3)*1000,"")</f>
        <v/>
      </c>
      <c r="BC56" s="43" t="str">
        <f t="shared" ref="BC56:BC104" si="46">IF(BB56="","",AY56)</f>
        <v/>
      </c>
      <c r="BD56" s="43" t="str">
        <f t="shared" ref="BD56:BD104" si="47">IF(BB56="","",IF(BB56&lt;100000,1000,100))</f>
        <v/>
      </c>
      <c r="BE56" s="43" t="str">
        <f t="shared" ref="BE56:BE104" si="48">AO56</f>
        <v>M</v>
      </c>
      <c r="BF56" s="43" t="str">
        <f t="shared" ref="BF56:BF104" si="49">IF(BH56="","",IF(D56&lt;&gt;"KMAT",IF(BH56&lt;100000,1000,100),""))</f>
        <v/>
      </c>
      <c r="BG56" s="43" t="str">
        <f t="shared" ref="BG56:BG104" si="50">IF(BF56="","",IF(D56&lt;&gt;"KMAT","PC",""))</f>
        <v/>
      </c>
      <c r="BH56" s="43" t="str">
        <f t="shared" ref="BH56:BH104" si="51">IF(D56&lt;&gt;"KMAT",E56,"")</f>
        <v/>
      </c>
      <c r="BI56" s="43" t="str">
        <f t="shared" ref="BI56:BI104" si="52">AO56</f>
        <v>M</v>
      </c>
      <c r="BK56" s="45" t="s">
        <v>324</v>
      </c>
      <c r="BL56" s="43" t="str">
        <f>IF(IFERROR(INDEX(Consulta!$A:$DP,MATCH('MM01'!$B56,Consulta!$C:$C,0),'MM01'!BL$2),"")=0,"",IFERROR(INDEX(Consulta!$A:$DP,MATCH('MM01'!$B56,Consulta!$C:$C,0),'MM01'!BL$2),""))</f>
        <v/>
      </c>
      <c r="BM56" s="45"/>
      <c r="BN56" s="46" t="str">
        <f t="shared" ref="BN56:BN104" ca="1" si="53">IF(BM56&lt;&gt;0,TEXT(TODAY(),"DD.MM.AAAA"),"")</f>
        <v/>
      </c>
      <c r="BO56" s="49" t="str">
        <f t="shared" ref="BO56:BO104" si="54">G56</f>
        <v/>
      </c>
      <c r="BP56" s="50">
        <v>1</v>
      </c>
      <c r="BQ56" s="50" t="s">
        <v>194</v>
      </c>
      <c r="BR56" s="79" t="str">
        <f t="shared" si="15"/>
        <v>01</v>
      </c>
      <c r="BS56" s="50" t="s">
        <v>795</v>
      </c>
      <c r="BT56" s="44">
        <v>1</v>
      </c>
      <c r="BU56" s="44" t="s">
        <v>371</v>
      </c>
      <c r="BV56" s="50" t="s">
        <v>197</v>
      </c>
      <c r="BW56" s="50" t="s">
        <v>197</v>
      </c>
      <c r="BX56" s="43" t="str">
        <f>IF(IFERROR(INDEX(Consulta!$A:$DP,MATCH('MM01'!$B56,Consulta!$C:$C,0),'MM01'!BX$2),"")=0,"",IFERROR(INDEX(Consulta!$A:$DP,MATCH('MM01'!$B56,Consulta!$C:$C,0),'MM01'!BX$2),""))</f>
        <v/>
      </c>
      <c r="BY56" s="44" t="s">
        <v>391</v>
      </c>
      <c r="BZ56" s="50">
        <v>0</v>
      </c>
      <c r="CA56" s="45" t="s">
        <v>402</v>
      </c>
      <c r="CB56" s="45" t="s">
        <v>84</v>
      </c>
      <c r="CC56" s="43" t="str">
        <f t="shared" ref="CC56:CC104" si="55">RIGHT(G56,3)</f>
        <v/>
      </c>
      <c r="CD56" s="45" t="s">
        <v>38</v>
      </c>
      <c r="CE56" s="45">
        <v>1</v>
      </c>
      <c r="CF56" s="45" t="s">
        <v>495</v>
      </c>
      <c r="CG56" s="45"/>
      <c r="CH56" s="44">
        <v>2</v>
      </c>
      <c r="CI56" s="49" t="str">
        <f t="shared" ref="CI56:CI104" si="56">H56</f>
        <v/>
      </c>
      <c r="CJ56" s="49" t="str">
        <f t="shared" ref="CJ56:CJ104" si="57">H56</f>
        <v/>
      </c>
      <c r="CK56" s="45"/>
      <c r="CL56" s="44">
        <v>1</v>
      </c>
      <c r="CM56" s="50" t="s">
        <v>514</v>
      </c>
      <c r="CN56" s="44" t="s">
        <v>371</v>
      </c>
      <c r="CO56" s="44">
        <v>2</v>
      </c>
      <c r="CP56" s="44">
        <v>42</v>
      </c>
      <c r="CQ56" s="44">
        <v>10</v>
      </c>
      <c r="CR56" s="43" t="str">
        <f t="shared" ref="CR56:CR104" si="58">"K00_P_"&amp;G56</f>
        <v>K00_P_</v>
      </c>
      <c r="CS56" s="45">
        <v>5000</v>
      </c>
      <c r="CT56" s="43" t="str">
        <f>IF(IFERROR(INDEX(Consulta!$A:$DP,MATCH('MM01'!$B56,Consulta!$C:$C,0),'MM01'!CT$2),"")=0,"",IFERROR(INDEX(Consulta!$A:$DP,MATCH('MM01'!$B56,Consulta!$C:$C,0),'MM01'!CT$2),""))</f>
        <v/>
      </c>
      <c r="CU56" s="43" t="str">
        <f>IF(IFERROR(INDEX(Consulta!$A:$DP,MATCH('MM01'!$B56,Consulta!$C:$C,0),'MM01'!CU$2),"")=0,"",IFERROR(INDEX(Consulta!$A:$DP,MATCH('MM01'!$B56,Consulta!$C:$C,0),'MM01'!CU$2),""))</f>
        <v/>
      </c>
      <c r="CV56" s="43" t="str">
        <f>IF(IFERROR(INDEX(Consulta!$A:$DP,MATCH('MM01'!$B56,Consulta!$C:$C,0),'MM01'!CV$2),"")=0,"",IFERROR(INDEX(Consulta!$A:$DP,MATCH('MM01'!$B56,Consulta!$C:$C,0),'MM01'!CV$2),""))</f>
        <v/>
      </c>
      <c r="CW56" s="43" t="str">
        <f>IF(IFERROR(INDEX(Consulta!$A:$DP,MATCH('MM01'!$B56,Consulta!$C:$C,0),'MM01'!CW$2),"")=0,"",IFERROR(INDEX(Consulta!$A:$DP,MATCH('MM01'!$B56,Consulta!$C:$C,0),'MM01'!CW$2),""))</f>
        <v/>
      </c>
      <c r="CX56" s="43" t="str">
        <f t="shared" ref="CX56:CX104" si="59">IF(OR(CT56="",CU56="",CV56="",CW56=""),"",CT56&amp;" / "&amp;CU56&amp;" / "&amp;CV56&amp;" / "&amp;CW56)</f>
        <v/>
      </c>
      <c r="CY56" s="43" t="str">
        <f t="shared" ref="CY56:CY104" si="60">IF(OR(D56="MFER",D56="KMAT"),"INITIAL",IF(OR(D56="FERT",D56="HAWZ"),"0000999999",""))</f>
        <v/>
      </c>
      <c r="CZ56" s="43" t="str">
        <f t="shared" ref="CZ56:CZ104" si="61">IF(OR(D56="MFER",D56="KMAT"),"INIT",IF(OR(D56="FERT",D56="HAWZ"),"999999",""))</f>
        <v/>
      </c>
      <c r="DA56" s="43" t="str">
        <f>IF(IFERROR(INDEX(Consulta!$A:$DP,MATCH('MM01'!$B56,Consulta!$C:$C,0),'MM01'!DA$2),"")=0,"",IFERROR(INDEX(Consulta!$A:$DP,MATCH('MM01'!$B56,Consulta!$C:$C,0),'MM01'!DA$2),""))</f>
        <v/>
      </c>
      <c r="DB56" s="43" t="str">
        <f t="shared" ref="DB56:DB104" si="62">IF(E56=0,"",E56)</f>
        <v/>
      </c>
      <c r="DC56" s="43" t="str">
        <f>IF(IFERROR(INDEX(Consulta!$A:$DP,MATCH('MM01'!$B56,Consulta!$C:$C,0),'MM01'!DC$2),"")=0,"",IFERROR(INDEX(Consulta!$A:$DP,MATCH('MM01'!$B56,Consulta!$C:$C,0),'MM01'!DC$2),""))</f>
        <v/>
      </c>
      <c r="DD56" s="45">
        <v>0</v>
      </c>
      <c r="DE56" s="45">
        <v>0</v>
      </c>
      <c r="DF56" s="43" t="str">
        <f t="shared" ref="DF56:DF104" si="63">IFERROR(ROUND(AW56,2),"")</f>
        <v/>
      </c>
      <c r="DG56" s="43">
        <f t="shared" ref="DG56:DG104" si="64">IF(DH56&lt;&gt;0,1,"")</f>
        <v>1</v>
      </c>
      <c r="DH56" s="57" t="s">
        <v>746</v>
      </c>
      <c r="DI56" s="43" t="str">
        <f t="shared" ref="DI56:DI104" ca="1" si="65">IF(DH56&lt;&gt;0,TEXT(TODAY(),"dd.mm.aaaa"),"")</f>
        <v>27.04.2022</v>
      </c>
      <c r="DJ56" s="43" t="str">
        <f t="shared" ref="DJ56:DJ104" si="66">IF(DH56&lt;&gt;0,"31.12.9999","")</f>
        <v>31.12.9999</v>
      </c>
      <c r="DK56" s="43" t="str">
        <f t="shared" ref="DK56:DK104" si="67">IF(DL56&lt;&gt;0,2,"")</f>
        <v/>
      </c>
      <c r="DL56" s="57"/>
      <c r="DM56" s="43" t="str">
        <f t="shared" ref="DM56:DM104" ca="1" si="68">IF(DL56&lt;&gt;0,TEXT(TODAY(),"dd.mm.aaaa"),"")</f>
        <v/>
      </c>
      <c r="DN56" s="43" t="str">
        <f t="shared" ref="DN56:DN104" si="69">IF(DL56&lt;&gt;0,"31.12.9999","")</f>
        <v/>
      </c>
      <c r="DO56" s="43" t="str">
        <f t="shared" ref="DO56:DO104" si="70">IF(DP56&lt;&gt;0,3,"")</f>
        <v/>
      </c>
      <c r="DP56" s="57"/>
      <c r="DQ56" s="43" t="str">
        <f t="shared" ref="DQ56:DQ104" ca="1" si="71">IF(DP56&lt;&gt;0,TEXT(TODAY(),"dd.mm.aaaa"),"")</f>
        <v/>
      </c>
      <c r="DR56" s="43" t="str">
        <f t="shared" ref="DR56:DR104" si="72">IF(DP56&lt;&gt;0,"31.12.9999","")</f>
        <v/>
      </c>
      <c r="DS56" s="43" t="str">
        <f t="shared" ref="DS56:DS104" si="73">IF(DT56&lt;&gt;0,4,"")</f>
        <v/>
      </c>
      <c r="DT56" s="57"/>
      <c r="DU56" s="43" t="str">
        <f t="shared" ref="DU56:DU104" ca="1" si="74">IF(DT56&lt;&gt;0,TEXT(TODAY(),"dd.mm.aaaa"),"")</f>
        <v/>
      </c>
      <c r="DV56" s="43" t="str">
        <f t="shared" ref="DV56:DV104" si="75">IF(DT56&lt;&gt;0,"31.12.9999","")</f>
        <v/>
      </c>
      <c r="DX56" s="44">
        <v>1</v>
      </c>
      <c r="DY56" s="44" t="s">
        <v>773</v>
      </c>
      <c r="DZ56" s="43">
        <f t="shared" ref="DZ56:DZ104" si="76">IF(OR(AO56="M",AO56="KG"),0.01,1)</f>
        <v>0.01</v>
      </c>
      <c r="EA56" s="43" t="str">
        <f t="shared" ref="EA56:EA104" si="77">AO56</f>
        <v>M</v>
      </c>
      <c r="EB56" s="43" t="str">
        <f>IF(IFERROR(INDEX(Consulta!$A:$DP,MATCH('MM01'!$B56,Consulta!$C:$C,0),'MM01'!EB$2),"")=0,"7925",IF(IFERROR(INDEX(Consulta!$A:$DP,MATCH('MM01'!$B56,Consulta!$C:$C,0),'MM01'!EB$2),"")="68","7910","7925"))</f>
        <v>7925</v>
      </c>
      <c r="EC56" s="44">
        <v>100</v>
      </c>
      <c r="ED56" s="62">
        <v>1</v>
      </c>
      <c r="EE56" s="43">
        <f t="shared" ref="EE56:EE104" si="78">EC56</f>
        <v>100</v>
      </c>
      <c r="EF56" s="44">
        <v>1</v>
      </c>
      <c r="EG56" s="44">
        <v>0</v>
      </c>
      <c r="EH56" s="44" t="s">
        <v>875</v>
      </c>
      <c r="EI56" s="45">
        <v>0</v>
      </c>
      <c r="EJ56" s="43">
        <f t="shared" ref="EJ56:EJ104" si="79">CS56</f>
        <v>5000</v>
      </c>
      <c r="EK56" s="69"/>
    </row>
    <row r="57" spans="1:141" x14ac:dyDescent="0.2">
      <c r="A57" s="7" t="str">
        <f t="shared" si="0"/>
        <v>Execução 53</v>
      </c>
      <c r="B57" s="42"/>
      <c r="C57" s="43" t="str">
        <f>IF(IFERROR(INDEX(Consulta!$A:$DP,MATCH('MM01'!$B57,Consulta!$C:$C,0),'MM01'!C$2),"")=0,"",IFERROR(INDEX(Consulta!$A:$DP,MATCH('MM01'!$B57,Consulta!$C:$C,0),'MM01'!C$2),""))</f>
        <v/>
      </c>
      <c r="D57" s="43" t="str">
        <f>IF(IFERROR(INDEX(Consulta!$A:$DP,MATCH('MM01'!$B57,Consulta!$C:$C,0),'MM01'!D$2),"")=0,"",IFERROR(INDEX(Consulta!$A:$DP,MATCH('MM01'!$B57,Consulta!$C:$C,0),'MM01'!D$2),""))</f>
        <v/>
      </c>
      <c r="E57" s="43" t="str">
        <f>IF(IFERROR(INDEX(Consulta!$A:$DP,MATCH('MM01'!$B57,Consulta!$C:$C,0),'MM01'!E$2),"")=0,"",IFERROR(INDEX(Consulta!$A:$DP,MATCH('MM01'!$B57,Consulta!$C:$C,0),'MM01'!E$2),""))</f>
        <v/>
      </c>
      <c r="F57" s="44" t="s">
        <v>100</v>
      </c>
      <c r="G57" s="49" t="str">
        <f>IF(IFERROR(INDEX(Consulta!$A:$DP,MATCH('MM01'!$B57,Consulta!$C:$C,0),'MM01'!G$2),"")=0,"",IFERROR(INDEX(Consulta!$A:$DP,MATCH('MM01'!$B57,Consulta!$C:$C,0),'MM01'!G$2),""))</f>
        <v/>
      </c>
      <c r="H57" s="49" t="str">
        <f>IF(IFERROR(INDEX(Consulta!$A:$DP,MATCH('MM01'!$B57,Consulta!$C:$C,0),'MM01'!H$2),"")=0,"",IFERROR(INDEX(Consulta!$A:$DP,MATCH('MM01'!$B57,Consulta!$C:$C,0),'MM01'!H$2),""))</f>
        <v/>
      </c>
      <c r="I57" s="49" t="str">
        <f t="shared" si="41"/>
        <v/>
      </c>
      <c r="J57" s="49" t="str">
        <f>IF(IFERROR(INDEX(Consulta!$A:$DP,MATCH('MM01'!$B57,Consulta!$C:$C,0),'MM01'!J$2),"")=0,"",IFERROR(INDEX(Consulta!$A:$DP,MATCH('MM01'!$B57,Consulta!$C:$C,0),'MM01'!J$2),""))</f>
        <v/>
      </c>
      <c r="K57" s="49" t="str">
        <f t="shared" si="42"/>
        <v/>
      </c>
      <c r="M57" s="45" t="s">
        <v>101</v>
      </c>
      <c r="N57" s="45" t="s">
        <v>102</v>
      </c>
      <c r="O57" s="45" t="s">
        <v>103</v>
      </c>
      <c r="P57" s="45" t="s">
        <v>104</v>
      </c>
      <c r="Q57" s="45" t="s">
        <v>105</v>
      </c>
      <c r="R57" s="45" t="s">
        <v>106</v>
      </c>
      <c r="S57" s="45" t="s">
        <v>107</v>
      </c>
      <c r="T57" s="45"/>
      <c r="U57" s="45"/>
      <c r="V57" s="45"/>
      <c r="W57" s="45"/>
      <c r="X57" s="45" t="s">
        <v>112</v>
      </c>
      <c r="Y57" s="45" t="s">
        <v>113</v>
      </c>
      <c r="Z57" s="45" t="s">
        <v>114</v>
      </c>
      <c r="AA57" s="45" t="s">
        <v>115</v>
      </c>
      <c r="AB57" s="45" t="s">
        <v>117</v>
      </c>
      <c r="AC57" s="45" t="s">
        <v>118</v>
      </c>
      <c r="AD57" s="45" t="s">
        <v>119</v>
      </c>
      <c r="AE57" s="45" t="s">
        <v>120</v>
      </c>
      <c r="AF57" s="45" t="s">
        <v>121</v>
      </c>
      <c r="AG57" s="45" t="s">
        <v>122</v>
      </c>
      <c r="AH57" s="45" t="s">
        <v>123</v>
      </c>
      <c r="AI57" s="45" t="s">
        <v>124</v>
      </c>
      <c r="AJ57" s="45" t="s">
        <v>125</v>
      </c>
      <c r="AK57" s="45" t="s">
        <v>126</v>
      </c>
      <c r="AL57" s="45"/>
      <c r="AM57" s="45"/>
      <c r="AO57" s="44" t="s">
        <v>100</v>
      </c>
      <c r="AP57" s="43" t="str">
        <f>IF(IFERROR(INDEX(Consulta!$A:$DP,MATCH('MM01'!$B57,Consulta!$C:$C,0),'MM01'!AP$2),"")=0,"",IFERROR(INDEX(Consulta!$A:$DP,MATCH('MM01'!$B57,Consulta!$C:$C,0),'MM01'!AP$2),""))</f>
        <v/>
      </c>
      <c r="AQ57" s="45"/>
      <c r="AR57" s="43" t="str">
        <f>IF(IFERROR(INDEX(Consulta!$A:$DP,MATCH('MM01'!$B57,Consulta!$C:$C,0),'MM01'!AR$2),"")=0,"",IFERROR(INDEX(Consulta!$A:$DP,MATCH('MM01'!$B57,Consulta!$C:$C,0),'MM01'!AR$2),""))</f>
        <v/>
      </c>
      <c r="AS57" s="43" t="str">
        <f>IF(IFERROR(INDEX(Consulta!$A:$DP,MATCH('MM01'!$B57,Consulta!$C:$C,0),'MM01'!AS$2),"")=0,"",IF(AR57="68",5102,IFERROR(INDEX(Consulta!$A:$DP,MATCH('MM01'!$B57,Consulta!$C:$C,0),'MM01'!AS$2),"")))</f>
        <v/>
      </c>
      <c r="AT57" s="45"/>
      <c r="AU57" s="46" t="str">
        <f t="shared" ca="1" si="43"/>
        <v/>
      </c>
      <c r="AV57" s="47" t="s">
        <v>795</v>
      </c>
      <c r="AW57" s="43" t="str">
        <f>IF(IFERROR(INDEX(Consulta!$A:$DP,MATCH('MM01'!$B57,Consulta!$C:$C,0),'MM01'!AW$2),"")=0,"",IFERROR(ROUND(INDEX(Consulta!$A:$DP,MATCH('MM01'!$B57,Consulta!$C:$C,0),'MM01'!AW$2),3),""))</f>
        <v/>
      </c>
      <c r="AX57" s="43" t="str">
        <f t="shared" si="44"/>
        <v/>
      </c>
      <c r="AY57" s="48" t="s">
        <v>299</v>
      </c>
      <c r="AZ57" s="48"/>
      <c r="BA57" s="43" t="str">
        <f>IF(IFERROR(INDEX(Consulta!$A:$DP,MATCH('MM01'!$B57,Consulta!$C:$C,0),'MM01'!BA$2),"")=0,"",IFERROR(INDEX(Consulta!$A:$DP,MATCH('MM01'!$B57,Consulta!$C:$C,0),'MM01'!BA$2),""))</f>
        <v/>
      </c>
      <c r="BB57" s="43" t="str">
        <f t="shared" si="45"/>
        <v/>
      </c>
      <c r="BC57" s="43" t="str">
        <f t="shared" si="46"/>
        <v/>
      </c>
      <c r="BD57" s="43" t="str">
        <f t="shared" si="47"/>
        <v/>
      </c>
      <c r="BE57" s="43" t="str">
        <f t="shared" si="48"/>
        <v>M</v>
      </c>
      <c r="BF57" s="43" t="str">
        <f t="shared" si="49"/>
        <v/>
      </c>
      <c r="BG57" s="43" t="str">
        <f t="shared" si="50"/>
        <v/>
      </c>
      <c r="BH57" s="43" t="str">
        <f t="shared" si="51"/>
        <v/>
      </c>
      <c r="BI57" s="43" t="str">
        <f t="shared" si="52"/>
        <v>M</v>
      </c>
      <c r="BK57" s="45" t="s">
        <v>324</v>
      </c>
      <c r="BL57" s="43" t="str">
        <f>IF(IFERROR(INDEX(Consulta!$A:$DP,MATCH('MM01'!$B57,Consulta!$C:$C,0),'MM01'!BL$2),"")=0,"",IFERROR(INDEX(Consulta!$A:$DP,MATCH('MM01'!$B57,Consulta!$C:$C,0),'MM01'!BL$2),""))</f>
        <v/>
      </c>
      <c r="BM57" s="45"/>
      <c r="BN57" s="46" t="str">
        <f t="shared" ca="1" si="53"/>
        <v/>
      </c>
      <c r="BO57" s="49" t="str">
        <f t="shared" si="54"/>
        <v/>
      </c>
      <c r="BP57" s="50">
        <v>1</v>
      </c>
      <c r="BQ57" s="50" t="s">
        <v>194</v>
      </c>
      <c r="BR57" s="79" t="str">
        <f t="shared" si="15"/>
        <v>01</v>
      </c>
      <c r="BS57" s="50" t="s">
        <v>795</v>
      </c>
      <c r="BT57" s="44">
        <v>1</v>
      </c>
      <c r="BU57" s="44" t="s">
        <v>371</v>
      </c>
      <c r="BV57" s="50" t="s">
        <v>197</v>
      </c>
      <c r="BW57" s="50" t="s">
        <v>197</v>
      </c>
      <c r="BX57" s="43" t="str">
        <f>IF(IFERROR(INDEX(Consulta!$A:$DP,MATCH('MM01'!$B57,Consulta!$C:$C,0),'MM01'!BX$2),"")=0,"",IFERROR(INDEX(Consulta!$A:$DP,MATCH('MM01'!$B57,Consulta!$C:$C,0),'MM01'!BX$2),""))</f>
        <v/>
      </c>
      <c r="BY57" s="44" t="s">
        <v>391</v>
      </c>
      <c r="BZ57" s="50">
        <v>0</v>
      </c>
      <c r="CA57" s="45" t="s">
        <v>402</v>
      </c>
      <c r="CB57" s="45" t="s">
        <v>84</v>
      </c>
      <c r="CC57" s="43" t="str">
        <f t="shared" si="55"/>
        <v/>
      </c>
      <c r="CD57" s="45" t="s">
        <v>38</v>
      </c>
      <c r="CE57" s="45">
        <v>1</v>
      </c>
      <c r="CF57" s="45" t="s">
        <v>495</v>
      </c>
      <c r="CG57" s="45"/>
      <c r="CH57" s="44">
        <v>2</v>
      </c>
      <c r="CI57" s="49" t="str">
        <f t="shared" si="56"/>
        <v/>
      </c>
      <c r="CJ57" s="49" t="str">
        <f t="shared" si="57"/>
        <v/>
      </c>
      <c r="CK57" s="45"/>
      <c r="CL57" s="44">
        <v>1</v>
      </c>
      <c r="CM57" s="50" t="s">
        <v>514</v>
      </c>
      <c r="CN57" s="44" t="s">
        <v>371</v>
      </c>
      <c r="CO57" s="44">
        <v>2</v>
      </c>
      <c r="CP57" s="44">
        <v>42</v>
      </c>
      <c r="CQ57" s="44">
        <v>10</v>
      </c>
      <c r="CR57" s="43" t="str">
        <f t="shared" si="58"/>
        <v>K00_P_</v>
      </c>
      <c r="CS57" s="45">
        <v>5000</v>
      </c>
      <c r="CT57" s="43" t="str">
        <f>IF(IFERROR(INDEX(Consulta!$A:$DP,MATCH('MM01'!$B57,Consulta!$C:$C,0),'MM01'!CT$2),"")=0,"",IFERROR(INDEX(Consulta!$A:$DP,MATCH('MM01'!$B57,Consulta!$C:$C,0),'MM01'!CT$2),""))</f>
        <v/>
      </c>
      <c r="CU57" s="43" t="str">
        <f>IF(IFERROR(INDEX(Consulta!$A:$DP,MATCH('MM01'!$B57,Consulta!$C:$C,0),'MM01'!CU$2),"")=0,"",IFERROR(INDEX(Consulta!$A:$DP,MATCH('MM01'!$B57,Consulta!$C:$C,0),'MM01'!CU$2),""))</f>
        <v/>
      </c>
      <c r="CV57" s="43" t="str">
        <f>IF(IFERROR(INDEX(Consulta!$A:$DP,MATCH('MM01'!$B57,Consulta!$C:$C,0),'MM01'!CV$2),"")=0,"",IFERROR(INDEX(Consulta!$A:$DP,MATCH('MM01'!$B57,Consulta!$C:$C,0),'MM01'!CV$2),""))</f>
        <v/>
      </c>
      <c r="CW57" s="43" t="str">
        <f>IF(IFERROR(INDEX(Consulta!$A:$DP,MATCH('MM01'!$B57,Consulta!$C:$C,0),'MM01'!CW$2),"")=0,"",IFERROR(INDEX(Consulta!$A:$DP,MATCH('MM01'!$B57,Consulta!$C:$C,0),'MM01'!CW$2),""))</f>
        <v/>
      </c>
      <c r="CX57" s="43" t="str">
        <f t="shared" si="59"/>
        <v/>
      </c>
      <c r="CY57" s="43" t="str">
        <f t="shared" si="60"/>
        <v/>
      </c>
      <c r="CZ57" s="43" t="str">
        <f t="shared" si="61"/>
        <v/>
      </c>
      <c r="DA57" s="43" t="str">
        <f>IF(IFERROR(INDEX(Consulta!$A:$DP,MATCH('MM01'!$B57,Consulta!$C:$C,0),'MM01'!DA$2),"")=0,"",IFERROR(INDEX(Consulta!$A:$DP,MATCH('MM01'!$B57,Consulta!$C:$C,0),'MM01'!DA$2),""))</f>
        <v/>
      </c>
      <c r="DB57" s="43" t="str">
        <f t="shared" si="62"/>
        <v/>
      </c>
      <c r="DC57" s="43" t="str">
        <f>IF(IFERROR(INDEX(Consulta!$A:$DP,MATCH('MM01'!$B57,Consulta!$C:$C,0),'MM01'!DC$2),"")=0,"",IFERROR(INDEX(Consulta!$A:$DP,MATCH('MM01'!$B57,Consulta!$C:$C,0),'MM01'!DC$2),""))</f>
        <v/>
      </c>
      <c r="DD57" s="45">
        <v>0</v>
      </c>
      <c r="DE57" s="45">
        <v>0</v>
      </c>
      <c r="DF57" s="43" t="str">
        <f t="shared" si="63"/>
        <v/>
      </c>
      <c r="DG57" s="43" t="str">
        <f t="shared" si="64"/>
        <v/>
      </c>
      <c r="DH57" s="57"/>
      <c r="DI57" s="43" t="str">
        <f t="shared" ca="1" si="65"/>
        <v/>
      </c>
      <c r="DJ57" s="43" t="str">
        <f t="shared" si="66"/>
        <v/>
      </c>
      <c r="DK57" s="43" t="str">
        <f t="shared" si="67"/>
        <v/>
      </c>
      <c r="DL57" s="57"/>
      <c r="DM57" s="43" t="str">
        <f t="shared" ca="1" si="68"/>
        <v/>
      </c>
      <c r="DN57" s="43" t="str">
        <f t="shared" si="69"/>
        <v/>
      </c>
      <c r="DO57" s="43" t="str">
        <f t="shared" si="70"/>
        <v/>
      </c>
      <c r="DP57" s="57"/>
      <c r="DQ57" s="43" t="str">
        <f t="shared" ca="1" si="71"/>
        <v/>
      </c>
      <c r="DR57" s="43" t="str">
        <f t="shared" si="72"/>
        <v/>
      </c>
      <c r="DS57" s="43" t="str">
        <f t="shared" si="73"/>
        <v/>
      </c>
      <c r="DT57" s="57"/>
      <c r="DU57" s="43" t="str">
        <f t="shared" ca="1" si="74"/>
        <v/>
      </c>
      <c r="DV57" s="43" t="str">
        <f t="shared" si="75"/>
        <v/>
      </c>
      <c r="DX57" s="44">
        <v>1</v>
      </c>
      <c r="DY57" s="44" t="s">
        <v>773</v>
      </c>
      <c r="DZ57" s="43">
        <f t="shared" si="76"/>
        <v>0.01</v>
      </c>
      <c r="EA57" s="43" t="str">
        <f t="shared" si="77"/>
        <v>M</v>
      </c>
      <c r="EB57" s="43" t="str">
        <f>IF(IFERROR(INDEX(Consulta!$A:$DP,MATCH('MM01'!$B57,Consulta!$C:$C,0),'MM01'!EB$2),"")=0,"7925",IF(IFERROR(INDEX(Consulta!$A:$DP,MATCH('MM01'!$B57,Consulta!$C:$C,0),'MM01'!EB$2),"")="68","7910","7925"))</f>
        <v>7925</v>
      </c>
      <c r="EC57" s="44">
        <v>100</v>
      </c>
      <c r="ED57" s="62">
        <v>1</v>
      </c>
      <c r="EE57" s="43">
        <f t="shared" si="78"/>
        <v>100</v>
      </c>
      <c r="EF57" s="44">
        <v>1</v>
      </c>
      <c r="EG57" s="44">
        <v>0</v>
      </c>
      <c r="EH57" s="44" t="s">
        <v>875</v>
      </c>
      <c r="EI57" s="45">
        <v>0</v>
      </c>
      <c r="EJ57" s="43">
        <f t="shared" si="79"/>
        <v>5000</v>
      </c>
      <c r="EK57" s="69"/>
    </row>
    <row r="58" spans="1:141" x14ac:dyDescent="0.2">
      <c r="A58" s="7" t="str">
        <f t="shared" si="0"/>
        <v>Execução 54</v>
      </c>
      <c r="B58" s="42"/>
      <c r="C58" s="43" t="str">
        <f>IF(IFERROR(INDEX(Consulta!$A:$DP,MATCH('MM01'!$B58,Consulta!$C:$C,0),'MM01'!C$2),"")=0,"",IFERROR(INDEX(Consulta!$A:$DP,MATCH('MM01'!$B58,Consulta!$C:$C,0),'MM01'!C$2),""))</f>
        <v/>
      </c>
      <c r="D58" s="43" t="str">
        <f>IF(IFERROR(INDEX(Consulta!$A:$DP,MATCH('MM01'!$B58,Consulta!$C:$C,0),'MM01'!D$2),"")=0,"",IFERROR(INDEX(Consulta!$A:$DP,MATCH('MM01'!$B58,Consulta!$C:$C,0),'MM01'!D$2),""))</f>
        <v/>
      </c>
      <c r="E58" s="43" t="str">
        <f>IF(IFERROR(INDEX(Consulta!$A:$DP,MATCH('MM01'!$B58,Consulta!$C:$C,0),'MM01'!E$2),"")=0,"",IFERROR(INDEX(Consulta!$A:$DP,MATCH('MM01'!$B58,Consulta!$C:$C,0),'MM01'!E$2),""))</f>
        <v/>
      </c>
      <c r="F58" s="44" t="s">
        <v>100</v>
      </c>
      <c r="G58" s="49" t="str">
        <f>IF(IFERROR(INDEX(Consulta!$A:$DP,MATCH('MM01'!$B58,Consulta!$C:$C,0),'MM01'!G$2),"")=0,"",IFERROR(INDEX(Consulta!$A:$DP,MATCH('MM01'!$B58,Consulta!$C:$C,0),'MM01'!G$2),""))</f>
        <v/>
      </c>
      <c r="H58" s="49" t="str">
        <f>IF(IFERROR(INDEX(Consulta!$A:$DP,MATCH('MM01'!$B58,Consulta!$C:$C,0),'MM01'!H$2),"")=0,"",IFERROR(INDEX(Consulta!$A:$DP,MATCH('MM01'!$B58,Consulta!$C:$C,0),'MM01'!H$2),""))</f>
        <v/>
      </c>
      <c r="I58" s="49" t="str">
        <f t="shared" si="41"/>
        <v/>
      </c>
      <c r="J58" s="49" t="str">
        <f>IF(IFERROR(INDEX(Consulta!$A:$DP,MATCH('MM01'!$B58,Consulta!$C:$C,0),'MM01'!J$2),"")=0,"",IFERROR(INDEX(Consulta!$A:$DP,MATCH('MM01'!$B58,Consulta!$C:$C,0),'MM01'!J$2),""))</f>
        <v/>
      </c>
      <c r="K58" s="49" t="str">
        <f t="shared" si="42"/>
        <v/>
      </c>
      <c r="M58" s="45" t="s">
        <v>101</v>
      </c>
      <c r="N58" s="45" t="s">
        <v>102</v>
      </c>
      <c r="O58" s="45" t="s">
        <v>103</v>
      </c>
      <c r="P58" s="45" t="s">
        <v>104</v>
      </c>
      <c r="Q58" s="45" t="s">
        <v>105</v>
      </c>
      <c r="R58" s="45" t="s">
        <v>106</v>
      </c>
      <c r="S58" s="45" t="s">
        <v>107</v>
      </c>
      <c r="T58" s="45"/>
      <c r="U58" s="45"/>
      <c r="V58" s="45"/>
      <c r="W58" s="45"/>
      <c r="X58" s="45" t="s">
        <v>112</v>
      </c>
      <c r="Y58" s="45" t="s">
        <v>113</v>
      </c>
      <c r="Z58" s="45" t="s">
        <v>114</v>
      </c>
      <c r="AA58" s="45" t="s">
        <v>115</v>
      </c>
      <c r="AB58" s="45" t="s">
        <v>117</v>
      </c>
      <c r="AC58" s="45" t="s">
        <v>118</v>
      </c>
      <c r="AD58" s="45" t="s">
        <v>119</v>
      </c>
      <c r="AE58" s="45" t="s">
        <v>120</v>
      </c>
      <c r="AF58" s="45" t="s">
        <v>121</v>
      </c>
      <c r="AG58" s="45" t="s">
        <v>122</v>
      </c>
      <c r="AH58" s="45" t="s">
        <v>123</v>
      </c>
      <c r="AI58" s="45" t="s">
        <v>124</v>
      </c>
      <c r="AJ58" s="45" t="s">
        <v>125</v>
      </c>
      <c r="AK58" s="45" t="s">
        <v>126</v>
      </c>
      <c r="AL58" s="45"/>
      <c r="AM58" s="45"/>
      <c r="AO58" s="44" t="s">
        <v>100</v>
      </c>
      <c r="AP58" s="43" t="str">
        <f>IF(IFERROR(INDEX(Consulta!$A:$DP,MATCH('MM01'!$B58,Consulta!$C:$C,0),'MM01'!AP$2),"")=0,"",IFERROR(INDEX(Consulta!$A:$DP,MATCH('MM01'!$B58,Consulta!$C:$C,0),'MM01'!AP$2),""))</f>
        <v/>
      </c>
      <c r="AQ58" s="45"/>
      <c r="AR58" s="43" t="str">
        <f>IF(IFERROR(INDEX(Consulta!$A:$DP,MATCH('MM01'!$B58,Consulta!$C:$C,0),'MM01'!AR$2),"")=0,"",IFERROR(INDEX(Consulta!$A:$DP,MATCH('MM01'!$B58,Consulta!$C:$C,0),'MM01'!AR$2),""))</f>
        <v/>
      </c>
      <c r="AS58" s="43" t="str">
        <f>IF(IFERROR(INDEX(Consulta!$A:$DP,MATCH('MM01'!$B58,Consulta!$C:$C,0),'MM01'!AS$2),"")=0,"",IF(AR58="68",5102,IFERROR(INDEX(Consulta!$A:$DP,MATCH('MM01'!$B58,Consulta!$C:$C,0),'MM01'!AS$2),"")))</f>
        <v/>
      </c>
      <c r="AT58" s="45"/>
      <c r="AU58" s="46" t="str">
        <f t="shared" ca="1" si="43"/>
        <v/>
      </c>
      <c r="AV58" s="47" t="s">
        <v>795</v>
      </c>
      <c r="AW58" s="43" t="str">
        <f>IF(IFERROR(INDEX(Consulta!$A:$DP,MATCH('MM01'!$B58,Consulta!$C:$C,0),'MM01'!AW$2),"")=0,"",IFERROR(ROUND(INDEX(Consulta!$A:$DP,MATCH('MM01'!$B58,Consulta!$C:$C,0),'MM01'!AW$2),3),""))</f>
        <v/>
      </c>
      <c r="AX58" s="43" t="str">
        <f t="shared" si="44"/>
        <v/>
      </c>
      <c r="AY58" s="48" t="s">
        <v>299</v>
      </c>
      <c r="AZ58" s="48"/>
      <c r="BA58" s="43" t="str">
        <f>IF(IFERROR(INDEX(Consulta!$A:$DP,MATCH('MM01'!$B58,Consulta!$C:$C,0),'MM01'!BA$2),"")=0,"",IFERROR(INDEX(Consulta!$A:$DP,MATCH('MM01'!$B58,Consulta!$C:$C,0),'MM01'!BA$2),""))</f>
        <v/>
      </c>
      <c r="BB58" s="43" t="str">
        <f t="shared" si="45"/>
        <v/>
      </c>
      <c r="BC58" s="43" t="str">
        <f t="shared" si="46"/>
        <v/>
      </c>
      <c r="BD58" s="43" t="str">
        <f t="shared" si="47"/>
        <v/>
      </c>
      <c r="BE58" s="43" t="str">
        <f t="shared" si="48"/>
        <v>M</v>
      </c>
      <c r="BF58" s="43" t="str">
        <f t="shared" si="49"/>
        <v/>
      </c>
      <c r="BG58" s="43" t="str">
        <f t="shared" si="50"/>
        <v/>
      </c>
      <c r="BH58" s="43" t="str">
        <f t="shared" si="51"/>
        <v/>
      </c>
      <c r="BI58" s="43" t="str">
        <f t="shared" si="52"/>
        <v>M</v>
      </c>
      <c r="BK58" s="45" t="s">
        <v>324</v>
      </c>
      <c r="BL58" s="43" t="str">
        <f>IF(IFERROR(INDEX(Consulta!$A:$DP,MATCH('MM01'!$B58,Consulta!$C:$C,0),'MM01'!BL$2),"")=0,"",IFERROR(INDEX(Consulta!$A:$DP,MATCH('MM01'!$B58,Consulta!$C:$C,0),'MM01'!BL$2),""))</f>
        <v/>
      </c>
      <c r="BM58" s="45"/>
      <c r="BN58" s="46" t="str">
        <f t="shared" ca="1" si="53"/>
        <v/>
      </c>
      <c r="BO58" s="49" t="str">
        <f t="shared" si="54"/>
        <v/>
      </c>
      <c r="BP58" s="50">
        <v>1</v>
      </c>
      <c r="BQ58" s="50" t="s">
        <v>194</v>
      </c>
      <c r="BR58" s="79" t="str">
        <f t="shared" si="15"/>
        <v>01</v>
      </c>
      <c r="BS58" s="50" t="s">
        <v>795</v>
      </c>
      <c r="BT58" s="44">
        <v>1</v>
      </c>
      <c r="BU58" s="44" t="s">
        <v>371</v>
      </c>
      <c r="BV58" s="50" t="s">
        <v>197</v>
      </c>
      <c r="BW58" s="50" t="s">
        <v>197</v>
      </c>
      <c r="BX58" s="43" t="str">
        <f>IF(IFERROR(INDEX(Consulta!$A:$DP,MATCH('MM01'!$B58,Consulta!$C:$C,0),'MM01'!BX$2),"")=0,"",IFERROR(INDEX(Consulta!$A:$DP,MATCH('MM01'!$B58,Consulta!$C:$C,0),'MM01'!BX$2),""))</f>
        <v/>
      </c>
      <c r="BY58" s="44" t="s">
        <v>391</v>
      </c>
      <c r="BZ58" s="50">
        <v>0</v>
      </c>
      <c r="CA58" s="45" t="s">
        <v>402</v>
      </c>
      <c r="CB58" s="45" t="s">
        <v>84</v>
      </c>
      <c r="CC58" s="43" t="str">
        <f t="shared" si="55"/>
        <v/>
      </c>
      <c r="CD58" s="45" t="s">
        <v>38</v>
      </c>
      <c r="CE58" s="45">
        <v>1</v>
      </c>
      <c r="CF58" s="45" t="s">
        <v>495</v>
      </c>
      <c r="CG58" s="45"/>
      <c r="CH58" s="44">
        <v>2</v>
      </c>
      <c r="CI58" s="49" t="str">
        <f t="shared" si="56"/>
        <v/>
      </c>
      <c r="CJ58" s="49" t="str">
        <f t="shared" si="57"/>
        <v/>
      </c>
      <c r="CK58" s="45"/>
      <c r="CL58" s="44">
        <v>1</v>
      </c>
      <c r="CM58" s="50" t="s">
        <v>514</v>
      </c>
      <c r="CN58" s="44" t="s">
        <v>371</v>
      </c>
      <c r="CO58" s="44">
        <v>2</v>
      </c>
      <c r="CP58" s="44">
        <v>42</v>
      </c>
      <c r="CQ58" s="44">
        <v>10</v>
      </c>
      <c r="CR58" s="43" t="str">
        <f t="shared" si="58"/>
        <v>K00_P_</v>
      </c>
      <c r="CS58" s="45">
        <v>5000</v>
      </c>
      <c r="CT58" s="43" t="str">
        <f>IF(IFERROR(INDEX(Consulta!$A:$DP,MATCH('MM01'!$B58,Consulta!$C:$C,0),'MM01'!CT$2),"")=0,"",IFERROR(INDEX(Consulta!$A:$DP,MATCH('MM01'!$B58,Consulta!$C:$C,0),'MM01'!CT$2),""))</f>
        <v/>
      </c>
      <c r="CU58" s="43" t="str">
        <f>IF(IFERROR(INDEX(Consulta!$A:$DP,MATCH('MM01'!$B58,Consulta!$C:$C,0),'MM01'!CU$2),"")=0,"",IFERROR(INDEX(Consulta!$A:$DP,MATCH('MM01'!$B58,Consulta!$C:$C,0),'MM01'!CU$2),""))</f>
        <v/>
      </c>
      <c r="CV58" s="43" t="str">
        <f>IF(IFERROR(INDEX(Consulta!$A:$DP,MATCH('MM01'!$B58,Consulta!$C:$C,0),'MM01'!CV$2),"")=0,"",IFERROR(INDEX(Consulta!$A:$DP,MATCH('MM01'!$B58,Consulta!$C:$C,0),'MM01'!CV$2),""))</f>
        <v/>
      </c>
      <c r="CW58" s="43" t="str">
        <f>IF(IFERROR(INDEX(Consulta!$A:$DP,MATCH('MM01'!$B58,Consulta!$C:$C,0),'MM01'!CW$2),"")=0,"",IFERROR(INDEX(Consulta!$A:$DP,MATCH('MM01'!$B58,Consulta!$C:$C,0),'MM01'!CW$2),""))</f>
        <v/>
      </c>
      <c r="CX58" s="43" t="str">
        <f t="shared" si="59"/>
        <v/>
      </c>
      <c r="CY58" s="43" t="str">
        <f t="shared" si="60"/>
        <v/>
      </c>
      <c r="CZ58" s="43" t="str">
        <f t="shared" si="61"/>
        <v/>
      </c>
      <c r="DA58" s="43" t="str">
        <f>IF(IFERROR(INDEX(Consulta!$A:$DP,MATCH('MM01'!$B58,Consulta!$C:$C,0),'MM01'!DA$2),"")=0,"",IFERROR(INDEX(Consulta!$A:$DP,MATCH('MM01'!$B58,Consulta!$C:$C,0),'MM01'!DA$2),""))</f>
        <v/>
      </c>
      <c r="DB58" s="43" t="str">
        <f t="shared" si="62"/>
        <v/>
      </c>
      <c r="DC58" s="43" t="str">
        <f>IF(IFERROR(INDEX(Consulta!$A:$DP,MATCH('MM01'!$B58,Consulta!$C:$C,0),'MM01'!DC$2),"")=0,"",IFERROR(INDEX(Consulta!$A:$DP,MATCH('MM01'!$B58,Consulta!$C:$C,0),'MM01'!DC$2),""))</f>
        <v/>
      </c>
      <c r="DD58" s="45">
        <v>0</v>
      </c>
      <c r="DE58" s="45">
        <v>0</v>
      </c>
      <c r="DF58" s="43" t="str">
        <f t="shared" si="63"/>
        <v/>
      </c>
      <c r="DG58" s="43" t="str">
        <f t="shared" si="64"/>
        <v/>
      </c>
      <c r="DH58" s="57"/>
      <c r="DI58" s="43" t="str">
        <f t="shared" ca="1" si="65"/>
        <v/>
      </c>
      <c r="DJ58" s="43" t="str">
        <f t="shared" si="66"/>
        <v/>
      </c>
      <c r="DK58" s="43" t="str">
        <f t="shared" si="67"/>
        <v/>
      </c>
      <c r="DL58" s="57"/>
      <c r="DM58" s="43" t="str">
        <f t="shared" ca="1" si="68"/>
        <v/>
      </c>
      <c r="DN58" s="43" t="str">
        <f t="shared" si="69"/>
        <v/>
      </c>
      <c r="DO58" s="43" t="str">
        <f t="shared" si="70"/>
        <v/>
      </c>
      <c r="DP58" s="57"/>
      <c r="DQ58" s="43" t="str">
        <f t="shared" ca="1" si="71"/>
        <v/>
      </c>
      <c r="DR58" s="43" t="str">
        <f t="shared" si="72"/>
        <v/>
      </c>
      <c r="DS58" s="43" t="str">
        <f t="shared" si="73"/>
        <v/>
      </c>
      <c r="DT58" s="57"/>
      <c r="DU58" s="43" t="str">
        <f t="shared" ca="1" si="74"/>
        <v/>
      </c>
      <c r="DV58" s="43" t="str">
        <f t="shared" si="75"/>
        <v/>
      </c>
      <c r="DX58" s="44">
        <v>1</v>
      </c>
      <c r="DY58" s="44" t="s">
        <v>773</v>
      </c>
      <c r="DZ58" s="43">
        <f t="shared" si="76"/>
        <v>0.01</v>
      </c>
      <c r="EA58" s="43" t="str">
        <f t="shared" si="77"/>
        <v>M</v>
      </c>
      <c r="EB58" s="43" t="str">
        <f>IF(IFERROR(INDEX(Consulta!$A:$DP,MATCH('MM01'!$B58,Consulta!$C:$C,0),'MM01'!EB$2),"")=0,"7925",IF(IFERROR(INDEX(Consulta!$A:$DP,MATCH('MM01'!$B58,Consulta!$C:$C,0),'MM01'!EB$2),"")="68","7910","7925"))</f>
        <v>7925</v>
      </c>
      <c r="EC58" s="44">
        <v>100</v>
      </c>
      <c r="ED58" s="62">
        <v>1</v>
      </c>
      <c r="EE58" s="43">
        <f t="shared" si="78"/>
        <v>100</v>
      </c>
      <c r="EF58" s="44">
        <v>1</v>
      </c>
      <c r="EG58" s="44">
        <v>0</v>
      </c>
      <c r="EH58" s="44" t="s">
        <v>875</v>
      </c>
      <c r="EI58" s="45">
        <v>0</v>
      </c>
      <c r="EJ58" s="43">
        <f t="shared" si="79"/>
        <v>5000</v>
      </c>
      <c r="EK58" s="69"/>
    </row>
    <row r="59" spans="1:141" x14ac:dyDescent="0.2">
      <c r="A59" s="7" t="str">
        <f t="shared" si="0"/>
        <v>Execução 55</v>
      </c>
      <c r="B59" s="42"/>
      <c r="C59" s="43" t="str">
        <f>IF(IFERROR(INDEX(Consulta!$A:$DP,MATCH('MM01'!$B59,Consulta!$C:$C,0),'MM01'!C$2),"")=0,"",IFERROR(INDEX(Consulta!$A:$DP,MATCH('MM01'!$B59,Consulta!$C:$C,0),'MM01'!C$2),""))</f>
        <v/>
      </c>
      <c r="D59" s="43" t="str">
        <f>IF(IFERROR(INDEX(Consulta!$A:$DP,MATCH('MM01'!$B59,Consulta!$C:$C,0),'MM01'!D$2),"")=0,"",IFERROR(INDEX(Consulta!$A:$DP,MATCH('MM01'!$B59,Consulta!$C:$C,0),'MM01'!D$2),""))</f>
        <v/>
      </c>
      <c r="E59" s="43" t="str">
        <f>IF(IFERROR(INDEX(Consulta!$A:$DP,MATCH('MM01'!$B59,Consulta!$C:$C,0),'MM01'!E$2),"")=0,"",IFERROR(INDEX(Consulta!$A:$DP,MATCH('MM01'!$B59,Consulta!$C:$C,0),'MM01'!E$2),""))</f>
        <v/>
      </c>
      <c r="F59" s="44" t="s">
        <v>100</v>
      </c>
      <c r="G59" s="49" t="str">
        <f>IF(IFERROR(INDEX(Consulta!$A:$DP,MATCH('MM01'!$B59,Consulta!$C:$C,0),'MM01'!G$2),"")=0,"",IFERROR(INDEX(Consulta!$A:$DP,MATCH('MM01'!$B59,Consulta!$C:$C,0),'MM01'!G$2),""))</f>
        <v/>
      </c>
      <c r="H59" s="49" t="str">
        <f>IF(IFERROR(INDEX(Consulta!$A:$DP,MATCH('MM01'!$B59,Consulta!$C:$C,0),'MM01'!H$2),"")=0,"",IFERROR(INDEX(Consulta!$A:$DP,MATCH('MM01'!$B59,Consulta!$C:$C,0),'MM01'!H$2),""))</f>
        <v/>
      </c>
      <c r="I59" s="49" t="str">
        <f t="shared" si="41"/>
        <v/>
      </c>
      <c r="J59" s="49" t="str">
        <f>IF(IFERROR(INDEX(Consulta!$A:$DP,MATCH('MM01'!$B59,Consulta!$C:$C,0),'MM01'!J$2),"")=0,"",IFERROR(INDEX(Consulta!$A:$DP,MATCH('MM01'!$B59,Consulta!$C:$C,0),'MM01'!J$2),""))</f>
        <v/>
      </c>
      <c r="K59" s="49" t="str">
        <f t="shared" si="42"/>
        <v/>
      </c>
      <c r="M59" s="45" t="s">
        <v>101</v>
      </c>
      <c r="N59" s="45" t="s">
        <v>102</v>
      </c>
      <c r="O59" s="45" t="s">
        <v>103</v>
      </c>
      <c r="P59" s="45" t="s">
        <v>104</v>
      </c>
      <c r="Q59" s="45" t="s">
        <v>105</v>
      </c>
      <c r="R59" s="45" t="s">
        <v>106</v>
      </c>
      <c r="S59" s="45" t="s">
        <v>107</v>
      </c>
      <c r="T59" s="45"/>
      <c r="U59" s="45"/>
      <c r="V59" s="45"/>
      <c r="W59" s="45"/>
      <c r="X59" s="45" t="s">
        <v>112</v>
      </c>
      <c r="Y59" s="45" t="s">
        <v>113</v>
      </c>
      <c r="Z59" s="45" t="s">
        <v>114</v>
      </c>
      <c r="AA59" s="45" t="s">
        <v>115</v>
      </c>
      <c r="AB59" s="45" t="s">
        <v>117</v>
      </c>
      <c r="AC59" s="45" t="s">
        <v>118</v>
      </c>
      <c r="AD59" s="45" t="s">
        <v>119</v>
      </c>
      <c r="AE59" s="45" t="s">
        <v>120</v>
      </c>
      <c r="AF59" s="45" t="s">
        <v>121</v>
      </c>
      <c r="AG59" s="45" t="s">
        <v>122</v>
      </c>
      <c r="AH59" s="45" t="s">
        <v>123</v>
      </c>
      <c r="AI59" s="45" t="s">
        <v>124</v>
      </c>
      <c r="AJ59" s="45" t="s">
        <v>125</v>
      </c>
      <c r="AK59" s="45" t="s">
        <v>126</v>
      </c>
      <c r="AL59" s="45"/>
      <c r="AM59" s="45"/>
      <c r="AO59" s="44" t="s">
        <v>100</v>
      </c>
      <c r="AP59" s="43" t="str">
        <f>IF(IFERROR(INDEX(Consulta!$A:$DP,MATCH('MM01'!$B59,Consulta!$C:$C,0),'MM01'!AP$2),"")=0,"",IFERROR(INDEX(Consulta!$A:$DP,MATCH('MM01'!$B59,Consulta!$C:$C,0),'MM01'!AP$2),""))</f>
        <v/>
      </c>
      <c r="AQ59" s="45"/>
      <c r="AR59" s="43" t="str">
        <f>IF(IFERROR(INDEX(Consulta!$A:$DP,MATCH('MM01'!$B59,Consulta!$C:$C,0),'MM01'!AR$2),"")=0,"",IFERROR(INDEX(Consulta!$A:$DP,MATCH('MM01'!$B59,Consulta!$C:$C,0),'MM01'!AR$2),""))</f>
        <v/>
      </c>
      <c r="AS59" s="43" t="str">
        <f>IF(IFERROR(INDEX(Consulta!$A:$DP,MATCH('MM01'!$B59,Consulta!$C:$C,0),'MM01'!AS$2),"")=0,"",IF(AR59="68",5102,IFERROR(INDEX(Consulta!$A:$DP,MATCH('MM01'!$B59,Consulta!$C:$C,0),'MM01'!AS$2),"")))</f>
        <v/>
      </c>
      <c r="AT59" s="45"/>
      <c r="AU59" s="46" t="str">
        <f t="shared" ca="1" si="43"/>
        <v/>
      </c>
      <c r="AV59" s="47" t="s">
        <v>795</v>
      </c>
      <c r="AW59" s="43" t="str">
        <f>IF(IFERROR(INDEX(Consulta!$A:$DP,MATCH('MM01'!$B59,Consulta!$C:$C,0),'MM01'!AW$2),"")=0,"",IFERROR(ROUND(INDEX(Consulta!$A:$DP,MATCH('MM01'!$B59,Consulta!$C:$C,0),'MM01'!AW$2),3),""))</f>
        <v/>
      </c>
      <c r="AX59" s="43" t="str">
        <f t="shared" si="44"/>
        <v/>
      </c>
      <c r="AY59" s="48" t="s">
        <v>299</v>
      </c>
      <c r="AZ59" s="48"/>
      <c r="BA59" s="43" t="str">
        <f>IF(IFERROR(INDEX(Consulta!$A:$DP,MATCH('MM01'!$B59,Consulta!$C:$C,0),'MM01'!BA$2),"")=0,"",IFERROR(INDEX(Consulta!$A:$DP,MATCH('MM01'!$B59,Consulta!$C:$C,0),'MM01'!BA$2),""))</f>
        <v/>
      </c>
      <c r="BB59" s="43" t="str">
        <f t="shared" si="45"/>
        <v/>
      </c>
      <c r="BC59" s="43" t="str">
        <f t="shared" si="46"/>
        <v/>
      </c>
      <c r="BD59" s="43" t="str">
        <f t="shared" si="47"/>
        <v/>
      </c>
      <c r="BE59" s="43" t="str">
        <f t="shared" si="48"/>
        <v>M</v>
      </c>
      <c r="BF59" s="43" t="str">
        <f t="shared" si="49"/>
        <v/>
      </c>
      <c r="BG59" s="43" t="str">
        <f t="shared" si="50"/>
        <v/>
      </c>
      <c r="BH59" s="43" t="str">
        <f t="shared" si="51"/>
        <v/>
      </c>
      <c r="BI59" s="43" t="str">
        <f t="shared" si="52"/>
        <v>M</v>
      </c>
      <c r="BK59" s="45" t="s">
        <v>324</v>
      </c>
      <c r="BL59" s="43" t="str">
        <f>IF(IFERROR(INDEX(Consulta!$A:$DP,MATCH('MM01'!$B59,Consulta!$C:$C,0),'MM01'!BL$2),"")=0,"",IFERROR(INDEX(Consulta!$A:$DP,MATCH('MM01'!$B59,Consulta!$C:$C,0),'MM01'!BL$2),""))</f>
        <v/>
      </c>
      <c r="BM59" s="45"/>
      <c r="BN59" s="46" t="str">
        <f t="shared" ca="1" si="53"/>
        <v/>
      </c>
      <c r="BO59" s="49" t="str">
        <f t="shared" si="54"/>
        <v/>
      </c>
      <c r="BP59" s="50">
        <v>1</v>
      </c>
      <c r="BQ59" s="50" t="s">
        <v>194</v>
      </c>
      <c r="BR59" s="79" t="str">
        <f t="shared" si="15"/>
        <v>01</v>
      </c>
      <c r="BS59" s="50" t="s">
        <v>795</v>
      </c>
      <c r="BT59" s="44">
        <v>1</v>
      </c>
      <c r="BU59" s="44" t="s">
        <v>371</v>
      </c>
      <c r="BV59" s="50" t="s">
        <v>197</v>
      </c>
      <c r="BW59" s="50" t="s">
        <v>197</v>
      </c>
      <c r="BX59" s="43" t="str">
        <f>IF(IFERROR(INDEX(Consulta!$A:$DP,MATCH('MM01'!$B59,Consulta!$C:$C,0),'MM01'!BX$2),"")=0,"",IFERROR(INDEX(Consulta!$A:$DP,MATCH('MM01'!$B59,Consulta!$C:$C,0),'MM01'!BX$2),""))</f>
        <v/>
      </c>
      <c r="BY59" s="44" t="s">
        <v>391</v>
      </c>
      <c r="BZ59" s="50">
        <v>0</v>
      </c>
      <c r="CA59" s="45" t="s">
        <v>402</v>
      </c>
      <c r="CB59" s="45" t="s">
        <v>84</v>
      </c>
      <c r="CC59" s="43" t="str">
        <f t="shared" si="55"/>
        <v/>
      </c>
      <c r="CD59" s="45" t="s">
        <v>38</v>
      </c>
      <c r="CE59" s="45">
        <v>1</v>
      </c>
      <c r="CF59" s="45" t="s">
        <v>495</v>
      </c>
      <c r="CG59" s="45"/>
      <c r="CH59" s="44">
        <v>2</v>
      </c>
      <c r="CI59" s="49" t="str">
        <f t="shared" si="56"/>
        <v/>
      </c>
      <c r="CJ59" s="49" t="str">
        <f t="shared" si="57"/>
        <v/>
      </c>
      <c r="CK59" s="45"/>
      <c r="CL59" s="44">
        <v>1</v>
      </c>
      <c r="CM59" s="50" t="s">
        <v>514</v>
      </c>
      <c r="CN59" s="44" t="s">
        <v>371</v>
      </c>
      <c r="CO59" s="44">
        <v>2</v>
      </c>
      <c r="CP59" s="44">
        <v>42</v>
      </c>
      <c r="CQ59" s="44">
        <v>10</v>
      </c>
      <c r="CR59" s="43" t="str">
        <f t="shared" si="58"/>
        <v>K00_P_</v>
      </c>
      <c r="CS59" s="45">
        <v>5000</v>
      </c>
      <c r="CT59" s="43" t="str">
        <f>IF(IFERROR(INDEX(Consulta!$A:$DP,MATCH('MM01'!$B59,Consulta!$C:$C,0),'MM01'!CT$2),"")=0,"",IFERROR(INDEX(Consulta!$A:$DP,MATCH('MM01'!$B59,Consulta!$C:$C,0),'MM01'!CT$2),""))</f>
        <v/>
      </c>
      <c r="CU59" s="43" t="str">
        <f>IF(IFERROR(INDEX(Consulta!$A:$DP,MATCH('MM01'!$B59,Consulta!$C:$C,0),'MM01'!CU$2),"")=0,"",IFERROR(INDEX(Consulta!$A:$DP,MATCH('MM01'!$B59,Consulta!$C:$C,0),'MM01'!CU$2),""))</f>
        <v/>
      </c>
      <c r="CV59" s="43" t="str">
        <f>IF(IFERROR(INDEX(Consulta!$A:$DP,MATCH('MM01'!$B59,Consulta!$C:$C,0),'MM01'!CV$2),"")=0,"",IFERROR(INDEX(Consulta!$A:$DP,MATCH('MM01'!$B59,Consulta!$C:$C,0),'MM01'!CV$2),""))</f>
        <v/>
      </c>
      <c r="CW59" s="43" t="str">
        <f>IF(IFERROR(INDEX(Consulta!$A:$DP,MATCH('MM01'!$B59,Consulta!$C:$C,0),'MM01'!CW$2),"")=0,"",IFERROR(INDEX(Consulta!$A:$DP,MATCH('MM01'!$B59,Consulta!$C:$C,0),'MM01'!CW$2),""))</f>
        <v/>
      </c>
      <c r="CX59" s="43" t="str">
        <f t="shared" si="59"/>
        <v/>
      </c>
      <c r="CY59" s="43" t="str">
        <f t="shared" si="60"/>
        <v/>
      </c>
      <c r="CZ59" s="43" t="str">
        <f t="shared" si="61"/>
        <v/>
      </c>
      <c r="DA59" s="43" t="str">
        <f>IF(IFERROR(INDEX(Consulta!$A:$DP,MATCH('MM01'!$B59,Consulta!$C:$C,0),'MM01'!DA$2),"")=0,"",IFERROR(INDEX(Consulta!$A:$DP,MATCH('MM01'!$B59,Consulta!$C:$C,0),'MM01'!DA$2),""))</f>
        <v/>
      </c>
      <c r="DB59" s="43" t="str">
        <f t="shared" si="62"/>
        <v/>
      </c>
      <c r="DC59" s="43" t="str">
        <f>IF(IFERROR(INDEX(Consulta!$A:$DP,MATCH('MM01'!$B59,Consulta!$C:$C,0),'MM01'!DC$2),"")=0,"",IFERROR(INDEX(Consulta!$A:$DP,MATCH('MM01'!$B59,Consulta!$C:$C,0),'MM01'!DC$2),""))</f>
        <v/>
      </c>
      <c r="DD59" s="45">
        <v>0</v>
      </c>
      <c r="DE59" s="45">
        <v>0</v>
      </c>
      <c r="DF59" s="43" t="str">
        <f t="shared" si="63"/>
        <v/>
      </c>
      <c r="DG59" s="43" t="str">
        <f t="shared" si="64"/>
        <v/>
      </c>
      <c r="DH59" s="57"/>
      <c r="DI59" s="43" t="str">
        <f t="shared" ca="1" si="65"/>
        <v/>
      </c>
      <c r="DJ59" s="43" t="str">
        <f t="shared" si="66"/>
        <v/>
      </c>
      <c r="DK59" s="43" t="str">
        <f t="shared" si="67"/>
        <v/>
      </c>
      <c r="DL59" s="57"/>
      <c r="DM59" s="43" t="str">
        <f t="shared" ca="1" si="68"/>
        <v/>
      </c>
      <c r="DN59" s="43" t="str">
        <f t="shared" si="69"/>
        <v/>
      </c>
      <c r="DO59" s="43" t="str">
        <f t="shared" si="70"/>
        <v/>
      </c>
      <c r="DP59" s="57"/>
      <c r="DQ59" s="43" t="str">
        <f t="shared" ca="1" si="71"/>
        <v/>
      </c>
      <c r="DR59" s="43" t="str">
        <f t="shared" si="72"/>
        <v/>
      </c>
      <c r="DS59" s="43" t="str">
        <f t="shared" si="73"/>
        <v/>
      </c>
      <c r="DT59" s="57"/>
      <c r="DU59" s="43" t="str">
        <f t="shared" ca="1" si="74"/>
        <v/>
      </c>
      <c r="DV59" s="43" t="str">
        <f t="shared" si="75"/>
        <v/>
      </c>
      <c r="DX59" s="44">
        <v>1</v>
      </c>
      <c r="DY59" s="44" t="s">
        <v>773</v>
      </c>
      <c r="DZ59" s="43">
        <f t="shared" si="76"/>
        <v>0.01</v>
      </c>
      <c r="EA59" s="43" t="str">
        <f t="shared" si="77"/>
        <v>M</v>
      </c>
      <c r="EB59" s="43" t="str">
        <f>IF(IFERROR(INDEX(Consulta!$A:$DP,MATCH('MM01'!$B59,Consulta!$C:$C,0),'MM01'!EB$2),"")=0,"7925",IF(IFERROR(INDEX(Consulta!$A:$DP,MATCH('MM01'!$B59,Consulta!$C:$C,0),'MM01'!EB$2),"")="68","7910","7925"))</f>
        <v>7925</v>
      </c>
      <c r="EC59" s="44">
        <v>100</v>
      </c>
      <c r="ED59" s="62">
        <v>1</v>
      </c>
      <c r="EE59" s="43">
        <f t="shared" si="78"/>
        <v>100</v>
      </c>
      <c r="EF59" s="44">
        <v>1</v>
      </c>
      <c r="EG59" s="44">
        <v>0</v>
      </c>
      <c r="EH59" s="44" t="s">
        <v>875</v>
      </c>
      <c r="EI59" s="45">
        <v>0</v>
      </c>
      <c r="EJ59" s="43">
        <f t="shared" si="79"/>
        <v>5000</v>
      </c>
      <c r="EK59" s="69"/>
    </row>
    <row r="60" spans="1:141" x14ac:dyDescent="0.2">
      <c r="A60" s="7" t="str">
        <f t="shared" si="0"/>
        <v>Execução 56</v>
      </c>
      <c r="B60" s="42"/>
      <c r="C60" s="43" t="str">
        <f>IF(IFERROR(INDEX(Consulta!$A:$DP,MATCH('MM01'!$B60,Consulta!$C:$C,0),'MM01'!C$2),"")=0,"",IFERROR(INDEX(Consulta!$A:$DP,MATCH('MM01'!$B60,Consulta!$C:$C,0),'MM01'!C$2),""))</f>
        <v/>
      </c>
      <c r="D60" s="43" t="str">
        <f>IF(IFERROR(INDEX(Consulta!$A:$DP,MATCH('MM01'!$B60,Consulta!$C:$C,0),'MM01'!D$2),"")=0,"",IFERROR(INDEX(Consulta!$A:$DP,MATCH('MM01'!$B60,Consulta!$C:$C,0),'MM01'!D$2),""))</f>
        <v/>
      </c>
      <c r="E60" s="43" t="str">
        <f>IF(IFERROR(INDEX(Consulta!$A:$DP,MATCH('MM01'!$B60,Consulta!$C:$C,0),'MM01'!E$2),"")=0,"",IFERROR(INDEX(Consulta!$A:$DP,MATCH('MM01'!$B60,Consulta!$C:$C,0),'MM01'!E$2),""))</f>
        <v/>
      </c>
      <c r="F60" s="44" t="s">
        <v>100</v>
      </c>
      <c r="G60" s="49" t="str">
        <f>IF(IFERROR(INDEX(Consulta!$A:$DP,MATCH('MM01'!$B60,Consulta!$C:$C,0),'MM01'!G$2),"")=0,"",IFERROR(INDEX(Consulta!$A:$DP,MATCH('MM01'!$B60,Consulta!$C:$C,0),'MM01'!G$2),""))</f>
        <v/>
      </c>
      <c r="H60" s="49" t="str">
        <f>IF(IFERROR(INDEX(Consulta!$A:$DP,MATCH('MM01'!$B60,Consulta!$C:$C,0),'MM01'!H$2),"")=0,"",IFERROR(INDEX(Consulta!$A:$DP,MATCH('MM01'!$B60,Consulta!$C:$C,0),'MM01'!H$2),""))</f>
        <v/>
      </c>
      <c r="I60" s="49" t="str">
        <f t="shared" si="41"/>
        <v/>
      </c>
      <c r="J60" s="49" t="str">
        <f>IF(IFERROR(INDEX(Consulta!$A:$DP,MATCH('MM01'!$B60,Consulta!$C:$C,0),'MM01'!J$2),"")=0,"",IFERROR(INDEX(Consulta!$A:$DP,MATCH('MM01'!$B60,Consulta!$C:$C,0),'MM01'!J$2),""))</f>
        <v/>
      </c>
      <c r="K60" s="49" t="str">
        <f t="shared" si="42"/>
        <v/>
      </c>
      <c r="M60" s="45" t="s">
        <v>101</v>
      </c>
      <c r="N60" s="45" t="s">
        <v>102</v>
      </c>
      <c r="O60" s="45" t="s">
        <v>103</v>
      </c>
      <c r="P60" s="45" t="s">
        <v>104</v>
      </c>
      <c r="Q60" s="45" t="s">
        <v>105</v>
      </c>
      <c r="R60" s="45" t="s">
        <v>106</v>
      </c>
      <c r="S60" s="45" t="s">
        <v>107</v>
      </c>
      <c r="T60" s="45"/>
      <c r="U60" s="45"/>
      <c r="V60" s="45"/>
      <c r="W60" s="45"/>
      <c r="X60" s="45" t="s">
        <v>112</v>
      </c>
      <c r="Y60" s="45" t="s">
        <v>113</v>
      </c>
      <c r="Z60" s="45" t="s">
        <v>114</v>
      </c>
      <c r="AA60" s="45" t="s">
        <v>115</v>
      </c>
      <c r="AB60" s="45" t="s">
        <v>117</v>
      </c>
      <c r="AC60" s="45" t="s">
        <v>118</v>
      </c>
      <c r="AD60" s="45" t="s">
        <v>119</v>
      </c>
      <c r="AE60" s="45" t="s">
        <v>120</v>
      </c>
      <c r="AF60" s="45" t="s">
        <v>121</v>
      </c>
      <c r="AG60" s="45" t="s">
        <v>122</v>
      </c>
      <c r="AH60" s="45" t="s">
        <v>123</v>
      </c>
      <c r="AI60" s="45" t="s">
        <v>124</v>
      </c>
      <c r="AJ60" s="45" t="s">
        <v>125</v>
      </c>
      <c r="AK60" s="45" t="s">
        <v>126</v>
      </c>
      <c r="AL60" s="45"/>
      <c r="AM60" s="45"/>
      <c r="AO60" s="44" t="s">
        <v>100</v>
      </c>
      <c r="AP60" s="43" t="str">
        <f>IF(IFERROR(INDEX(Consulta!$A:$DP,MATCH('MM01'!$B60,Consulta!$C:$C,0),'MM01'!AP$2),"")=0,"",IFERROR(INDEX(Consulta!$A:$DP,MATCH('MM01'!$B60,Consulta!$C:$C,0),'MM01'!AP$2),""))</f>
        <v/>
      </c>
      <c r="AQ60" s="45"/>
      <c r="AR60" s="43" t="str">
        <f>IF(IFERROR(INDEX(Consulta!$A:$DP,MATCH('MM01'!$B60,Consulta!$C:$C,0),'MM01'!AR$2),"")=0,"",IFERROR(INDEX(Consulta!$A:$DP,MATCH('MM01'!$B60,Consulta!$C:$C,0),'MM01'!AR$2),""))</f>
        <v/>
      </c>
      <c r="AS60" s="43" t="str">
        <f>IF(IFERROR(INDEX(Consulta!$A:$DP,MATCH('MM01'!$B60,Consulta!$C:$C,0),'MM01'!AS$2),"")=0,"",IF(AR60="68",5102,IFERROR(INDEX(Consulta!$A:$DP,MATCH('MM01'!$B60,Consulta!$C:$C,0),'MM01'!AS$2),"")))</f>
        <v/>
      </c>
      <c r="AT60" s="45"/>
      <c r="AU60" s="46" t="str">
        <f t="shared" ca="1" si="43"/>
        <v/>
      </c>
      <c r="AV60" s="47" t="s">
        <v>795</v>
      </c>
      <c r="AW60" s="43" t="str">
        <f>IF(IFERROR(INDEX(Consulta!$A:$DP,MATCH('MM01'!$B60,Consulta!$C:$C,0),'MM01'!AW$2),"")=0,"",IFERROR(ROUND(INDEX(Consulta!$A:$DP,MATCH('MM01'!$B60,Consulta!$C:$C,0),'MM01'!AW$2),3),""))</f>
        <v/>
      </c>
      <c r="AX60" s="43" t="str">
        <f t="shared" si="44"/>
        <v/>
      </c>
      <c r="AY60" s="48" t="s">
        <v>299</v>
      </c>
      <c r="AZ60" s="48"/>
      <c r="BA60" s="43" t="str">
        <f>IF(IFERROR(INDEX(Consulta!$A:$DP,MATCH('MM01'!$B60,Consulta!$C:$C,0),'MM01'!BA$2),"")=0,"",IFERROR(INDEX(Consulta!$A:$DP,MATCH('MM01'!$B60,Consulta!$C:$C,0),'MM01'!BA$2),""))</f>
        <v/>
      </c>
      <c r="BB60" s="43" t="str">
        <f t="shared" si="45"/>
        <v/>
      </c>
      <c r="BC60" s="43" t="str">
        <f t="shared" si="46"/>
        <v/>
      </c>
      <c r="BD60" s="43" t="str">
        <f t="shared" si="47"/>
        <v/>
      </c>
      <c r="BE60" s="43" t="str">
        <f t="shared" si="48"/>
        <v>M</v>
      </c>
      <c r="BF60" s="43" t="str">
        <f t="shared" si="49"/>
        <v/>
      </c>
      <c r="BG60" s="43" t="str">
        <f t="shared" si="50"/>
        <v/>
      </c>
      <c r="BH60" s="43" t="str">
        <f t="shared" si="51"/>
        <v/>
      </c>
      <c r="BI60" s="43" t="str">
        <f t="shared" si="52"/>
        <v>M</v>
      </c>
      <c r="BK60" s="45" t="s">
        <v>324</v>
      </c>
      <c r="BL60" s="43" t="str">
        <f>IF(IFERROR(INDEX(Consulta!$A:$DP,MATCH('MM01'!$B60,Consulta!$C:$C,0),'MM01'!BL$2),"")=0,"",IFERROR(INDEX(Consulta!$A:$DP,MATCH('MM01'!$B60,Consulta!$C:$C,0),'MM01'!BL$2),""))</f>
        <v/>
      </c>
      <c r="BM60" s="45"/>
      <c r="BN60" s="46" t="str">
        <f t="shared" ca="1" si="53"/>
        <v/>
      </c>
      <c r="BO60" s="49" t="str">
        <f t="shared" si="54"/>
        <v/>
      </c>
      <c r="BP60" s="50">
        <v>1</v>
      </c>
      <c r="BQ60" s="50" t="s">
        <v>194</v>
      </c>
      <c r="BR60" s="79" t="str">
        <f t="shared" si="15"/>
        <v>01</v>
      </c>
      <c r="BS60" s="50" t="s">
        <v>795</v>
      </c>
      <c r="BT60" s="44">
        <v>1</v>
      </c>
      <c r="BU60" s="44" t="s">
        <v>371</v>
      </c>
      <c r="BV60" s="50" t="s">
        <v>197</v>
      </c>
      <c r="BW60" s="50" t="s">
        <v>197</v>
      </c>
      <c r="BX60" s="43" t="str">
        <f>IF(IFERROR(INDEX(Consulta!$A:$DP,MATCH('MM01'!$B60,Consulta!$C:$C,0),'MM01'!BX$2),"")=0,"",IFERROR(INDEX(Consulta!$A:$DP,MATCH('MM01'!$B60,Consulta!$C:$C,0),'MM01'!BX$2),""))</f>
        <v/>
      </c>
      <c r="BY60" s="44" t="s">
        <v>391</v>
      </c>
      <c r="BZ60" s="50">
        <v>0</v>
      </c>
      <c r="CA60" s="45" t="s">
        <v>402</v>
      </c>
      <c r="CB60" s="45" t="s">
        <v>84</v>
      </c>
      <c r="CC60" s="43" t="str">
        <f t="shared" si="55"/>
        <v/>
      </c>
      <c r="CD60" s="45" t="s">
        <v>38</v>
      </c>
      <c r="CE60" s="45">
        <v>1</v>
      </c>
      <c r="CF60" s="45" t="s">
        <v>495</v>
      </c>
      <c r="CG60" s="45"/>
      <c r="CH60" s="44">
        <v>2</v>
      </c>
      <c r="CI60" s="49" t="str">
        <f t="shared" si="56"/>
        <v/>
      </c>
      <c r="CJ60" s="49" t="str">
        <f t="shared" si="57"/>
        <v/>
      </c>
      <c r="CK60" s="45"/>
      <c r="CL60" s="44">
        <v>1</v>
      </c>
      <c r="CM60" s="50" t="s">
        <v>514</v>
      </c>
      <c r="CN60" s="44" t="s">
        <v>371</v>
      </c>
      <c r="CO60" s="44">
        <v>2</v>
      </c>
      <c r="CP60" s="44">
        <v>42</v>
      </c>
      <c r="CQ60" s="44">
        <v>10</v>
      </c>
      <c r="CR60" s="43" t="str">
        <f t="shared" si="58"/>
        <v>K00_P_</v>
      </c>
      <c r="CS60" s="45">
        <v>5000</v>
      </c>
      <c r="CT60" s="43" t="str">
        <f>IF(IFERROR(INDEX(Consulta!$A:$DP,MATCH('MM01'!$B60,Consulta!$C:$C,0),'MM01'!CT$2),"")=0,"",IFERROR(INDEX(Consulta!$A:$DP,MATCH('MM01'!$B60,Consulta!$C:$C,0),'MM01'!CT$2),""))</f>
        <v/>
      </c>
      <c r="CU60" s="43" t="str">
        <f>IF(IFERROR(INDEX(Consulta!$A:$DP,MATCH('MM01'!$B60,Consulta!$C:$C,0),'MM01'!CU$2),"")=0,"",IFERROR(INDEX(Consulta!$A:$DP,MATCH('MM01'!$B60,Consulta!$C:$C,0),'MM01'!CU$2),""))</f>
        <v/>
      </c>
      <c r="CV60" s="43" t="str">
        <f>IF(IFERROR(INDEX(Consulta!$A:$DP,MATCH('MM01'!$B60,Consulta!$C:$C,0),'MM01'!CV$2),"")=0,"",IFERROR(INDEX(Consulta!$A:$DP,MATCH('MM01'!$B60,Consulta!$C:$C,0),'MM01'!CV$2),""))</f>
        <v/>
      </c>
      <c r="CW60" s="43" t="str">
        <f>IF(IFERROR(INDEX(Consulta!$A:$DP,MATCH('MM01'!$B60,Consulta!$C:$C,0),'MM01'!CW$2),"")=0,"",IFERROR(INDEX(Consulta!$A:$DP,MATCH('MM01'!$B60,Consulta!$C:$C,0),'MM01'!CW$2),""))</f>
        <v/>
      </c>
      <c r="CX60" s="43" t="str">
        <f t="shared" si="59"/>
        <v/>
      </c>
      <c r="CY60" s="43" t="str">
        <f t="shared" si="60"/>
        <v/>
      </c>
      <c r="CZ60" s="43" t="str">
        <f t="shared" si="61"/>
        <v/>
      </c>
      <c r="DA60" s="43" t="str">
        <f>IF(IFERROR(INDEX(Consulta!$A:$DP,MATCH('MM01'!$B60,Consulta!$C:$C,0),'MM01'!DA$2),"")=0,"",IFERROR(INDEX(Consulta!$A:$DP,MATCH('MM01'!$B60,Consulta!$C:$C,0),'MM01'!DA$2),""))</f>
        <v/>
      </c>
      <c r="DB60" s="43" t="str">
        <f t="shared" si="62"/>
        <v/>
      </c>
      <c r="DC60" s="43" t="str">
        <f>IF(IFERROR(INDEX(Consulta!$A:$DP,MATCH('MM01'!$B60,Consulta!$C:$C,0),'MM01'!DC$2),"")=0,"",IFERROR(INDEX(Consulta!$A:$DP,MATCH('MM01'!$B60,Consulta!$C:$C,0),'MM01'!DC$2),""))</f>
        <v/>
      </c>
      <c r="DD60" s="45">
        <v>0</v>
      </c>
      <c r="DE60" s="45">
        <v>0</v>
      </c>
      <c r="DF60" s="43" t="str">
        <f t="shared" si="63"/>
        <v/>
      </c>
      <c r="DG60" s="43" t="str">
        <f t="shared" si="64"/>
        <v/>
      </c>
      <c r="DH60" s="57"/>
      <c r="DI60" s="43" t="str">
        <f t="shared" ca="1" si="65"/>
        <v/>
      </c>
      <c r="DJ60" s="43" t="str">
        <f t="shared" si="66"/>
        <v/>
      </c>
      <c r="DK60" s="43" t="str">
        <f t="shared" si="67"/>
        <v/>
      </c>
      <c r="DL60" s="57"/>
      <c r="DM60" s="43" t="str">
        <f t="shared" ca="1" si="68"/>
        <v/>
      </c>
      <c r="DN60" s="43" t="str">
        <f t="shared" si="69"/>
        <v/>
      </c>
      <c r="DO60" s="43" t="str">
        <f t="shared" si="70"/>
        <v/>
      </c>
      <c r="DP60" s="57"/>
      <c r="DQ60" s="43" t="str">
        <f t="shared" ca="1" si="71"/>
        <v/>
      </c>
      <c r="DR60" s="43" t="str">
        <f t="shared" si="72"/>
        <v/>
      </c>
      <c r="DS60" s="43" t="str">
        <f t="shared" si="73"/>
        <v/>
      </c>
      <c r="DT60" s="57"/>
      <c r="DU60" s="43" t="str">
        <f t="shared" ca="1" si="74"/>
        <v/>
      </c>
      <c r="DV60" s="43" t="str">
        <f t="shared" si="75"/>
        <v/>
      </c>
      <c r="DX60" s="44">
        <v>1</v>
      </c>
      <c r="DY60" s="44" t="s">
        <v>773</v>
      </c>
      <c r="DZ60" s="43">
        <f t="shared" si="76"/>
        <v>0.01</v>
      </c>
      <c r="EA60" s="43" t="str">
        <f t="shared" si="77"/>
        <v>M</v>
      </c>
      <c r="EB60" s="43" t="str">
        <f>IF(IFERROR(INDEX(Consulta!$A:$DP,MATCH('MM01'!$B60,Consulta!$C:$C,0),'MM01'!EB$2),"")=0,"7925",IF(IFERROR(INDEX(Consulta!$A:$DP,MATCH('MM01'!$B60,Consulta!$C:$C,0),'MM01'!EB$2),"")="68","7910","7925"))</f>
        <v>7925</v>
      </c>
      <c r="EC60" s="44">
        <v>100</v>
      </c>
      <c r="ED60" s="62">
        <v>1</v>
      </c>
      <c r="EE60" s="43">
        <f t="shared" si="78"/>
        <v>100</v>
      </c>
      <c r="EF60" s="44">
        <v>1</v>
      </c>
      <c r="EG60" s="44">
        <v>0</v>
      </c>
      <c r="EH60" s="44" t="s">
        <v>875</v>
      </c>
      <c r="EI60" s="45">
        <v>0</v>
      </c>
      <c r="EJ60" s="43">
        <f t="shared" si="79"/>
        <v>5000</v>
      </c>
      <c r="EK60" s="69"/>
    </row>
    <row r="61" spans="1:141" x14ac:dyDescent="0.2">
      <c r="A61" s="7" t="str">
        <f t="shared" si="0"/>
        <v>Execução 57</v>
      </c>
      <c r="B61" s="42"/>
      <c r="C61" s="43" t="str">
        <f>IF(IFERROR(INDEX(Consulta!$A:$DP,MATCH('MM01'!$B61,Consulta!$C:$C,0),'MM01'!C$2),"")=0,"",IFERROR(INDEX(Consulta!$A:$DP,MATCH('MM01'!$B61,Consulta!$C:$C,0),'MM01'!C$2),""))</f>
        <v/>
      </c>
      <c r="D61" s="43" t="str">
        <f>IF(IFERROR(INDEX(Consulta!$A:$DP,MATCH('MM01'!$B61,Consulta!$C:$C,0),'MM01'!D$2),"")=0,"",IFERROR(INDEX(Consulta!$A:$DP,MATCH('MM01'!$B61,Consulta!$C:$C,0),'MM01'!D$2),""))</f>
        <v/>
      </c>
      <c r="E61" s="43" t="str">
        <f>IF(IFERROR(INDEX(Consulta!$A:$DP,MATCH('MM01'!$B61,Consulta!$C:$C,0),'MM01'!E$2),"")=0,"",IFERROR(INDEX(Consulta!$A:$DP,MATCH('MM01'!$B61,Consulta!$C:$C,0),'MM01'!E$2),""))</f>
        <v/>
      </c>
      <c r="F61" s="44" t="s">
        <v>100</v>
      </c>
      <c r="G61" s="49" t="str">
        <f>IF(IFERROR(INDEX(Consulta!$A:$DP,MATCH('MM01'!$B61,Consulta!$C:$C,0),'MM01'!G$2),"")=0,"",IFERROR(INDEX(Consulta!$A:$DP,MATCH('MM01'!$B61,Consulta!$C:$C,0),'MM01'!G$2),""))</f>
        <v/>
      </c>
      <c r="H61" s="49" t="str">
        <f>IF(IFERROR(INDEX(Consulta!$A:$DP,MATCH('MM01'!$B61,Consulta!$C:$C,0),'MM01'!H$2),"")=0,"",IFERROR(INDEX(Consulta!$A:$DP,MATCH('MM01'!$B61,Consulta!$C:$C,0),'MM01'!H$2),""))</f>
        <v/>
      </c>
      <c r="I61" s="49" t="str">
        <f t="shared" si="41"/>
        <v/>
      </c>
      <c r="J61" s="49" t="str">
        <f>IF(IFERROR(INDEX(Consulta!$A:$DP,MATCH('MM01'!$B61,Consulta!$C:$C,0),'MM01'!J$2),"")=0,"",IFERROR(INDEX(Consulta!$A:$DP,MATCH('MM01'!$B61,Consulta!$C:$C,0),'MM01'!J$2),""))</f>
        <v/>
      </c>
      <c r="K61" s="49" t="str">
        <f t="shared" si="42"/>
        <v/>
      </c>
      <c r="M61" s="45" t="s">
        <v>101</v>
      </c>
      <c r="N61" s="45" t="s">
        <v>102</v>
      </c>
      <c r="O61" s="45" t="s">
        <v>103</v>
      </c>
      <c r="P61" s="45" t="s">
        <v>104</v>
      </c>
      <c r="Q61" s="45" t="s">
        <v>105</v>
      </c>
      <c r="R61" s="45" t="s">
        <v>106</v>
      </c>
      <c r="S61" s="45" t="s">
        <v>107</v>
      </c>
      <c r="T61" s="45"/>
      <c r="U61" s="45"/>
      <c r="V61" s="45"/>
      <c r="W61" s="45"/>
      <c r="X61" s="45" t="s">
        <v>112</v>
      </c>
      <c r="Y61" s="45" t="s">
        <v>113</v>
      </c>
      <c r="Z61" s="45" t="s">
        <v>114</v>
      </c>
      <c r="AA61" s="45" t="s">
        <v>115</v>
      </c>
      <c r="AB61" s="45" t="s">
        <v>117</v>
      </c>
      <c r="AC61" s="45" t="s">
        <v>118</v>
      </c>
      <c r="AD61" s="45" t="s">
        <v>119</v>
      </c>
      <c r="AE61" s="45" t="s">
        <v>120</v>
      </c>
      <c r="AF61" s="45" t="s">
        <v>121</v>
      </c>
      <c r="AG61" s="45" t="s">
        <v>122</v>
      </c>
      <c r="AH61" s="45" t="s">
        <v>123</v>
      </c>
      <c r="AI61" s="45" t="s">
        <v>124</v>
      </c>
      <c r="AJ61" s="45" t="s">
        <v>125</v>
      </c>
      <c r="AK61" s="45" t="s">
        <v>126</v>
      </c>
      <c r="AL61" s="45"/>
      <c r="AM61" s="45"/>
      <c r="AO61" s="44" t="s">
        <v>100</v>
      </c>
      <c r="AP61" s="43" t="str">
        <f>IF(IFERROR(INDEX(Consulta!$A:$DP,MATCH('MM01'!$B61,Consulta!$C:$C,0),'MM01'!AP$2),"")=0,"",IFERROR(INDEX(Consulta!$A:$DP,MATCH('MM01'!$B61,Consulta!$C:$C,0),'MM01'!AP$2),""))</f>
        <v/>
      </c>
      <c r="AQ61" s="45"/>
      <c r="AR61" s="43" t="str">
        <f>IF(IFERROR(INDEX(Consulta!$A:$DP,MATCH('MM01'!$B61,Consulta!$C:$C,0),'MM01'!AR$2),"")=0,"",IFERROR(INDEX(Consulta!$A:$DP,MATCH('MM01'!$B61,Consulta!$C:$C,0),'MM01'!AR$2),""))</f>
        <v/>
      </c>
      <c r="AS61" s="43" t="str">
        <f>IF(IFERROR(INDEX(Consulta!$A:$DP,MATCH('MM01'!$B61,Consulta!$C:$C,0),'MM01'!AS$2),"")=0,"",IF(AR61="68",5102,IFERROR(INDEX(Consulta!$A:$DP,MATCH('MM01'!$B61,Consulta!$C:$C,0),'MM01'!AS$2),"")))</f>
        <v/>
      </c>
      <c r="AT61" s="45"/>
      <c r="AU61" s="46" t="str">
        <f t="shared" ca="1" si="43"/>
        <v/>
      </c>
      <c r="AV61" s="47" t="s">
        <v>795</v>
      </c>
      <c r="AW61" s="43" t="str">
        <f>IF(IFERROR(INDEX(Consulta!$A:$DP,MATCH('MM01'!$B61,Consulta!$C:$C,0),'MM01'!AW$2),"")=0,"",IFERROR(ROUND(INDEX(Consulta!$A:$DP,MATCH('MM01'!$B61,Consulta!$C:$C,0),'MM01'!AW$2),3),""))</f>
        <v/>
      </c>
      <c r="AX61" s="43" t="str">
        <f t="shared" si="44"/>
        <v/>
      </c>
      <c r="AY61" s="48" t="s">
        <v>299</v>
      </c>
      <c r="AZ61" s="48"/>
      <c r="BA61" s="43" t="str">
        <f>IF(IFERROR(INDEX(Consulta!$A:$DP,MATCH('MM01'!$B61,Consulta!$C:$C,0),'MM01'!BA$2),"")=0,"",IFERROR(INDEX(Consulta!$A:$DP,MATCH('MM01'!$B61,Consulta!$C:$C,0),'MM01'!BA$2),""))</f>
        <v/>
      </c>
      <c r="BB61" s="43" t="str">
        <f t="shared" si="45"/>
        <v/>
      </c>
      <c r="BC61" s="43" t="str">
        <f t="shared" si="46"/>
        <v/>
      </c>
      <c r="BD61" s="43" t="str">
        <f t="shared" si="47"/>
        <v/>
      </c>
      <c r="BE61" s="43" t="str">
        <f t="shared" si="48"/>
        <v>M</v>
      </c>
      <c r="BF61" s="43" t="str">
        <f t="shared" si="49"/>
        <v/>
      </c>
      <c r="BG61" s="43" t="str">
        <f t="shared" si="50"/>
        <v/>
      </c>
      <c r="BH61" s="43" t="str">
        <f t="shared" si="51"/>
        <v/>
      </c>
      <c r="BI61" s="43" t="str">
        <f t="shared" si="52"/>
        <v>M</v>
      </c>
      <c r="BK61" s="45" t="s">
        <v>324</v>
      </c>
      <c r="BL61" s="43" t="str">
        <f>IF(IFERROR(INDEX(Consulta!$A:$DP,MATCH('MM01'!$B61,Consulta!$C:$C,0),'MM01'!BL$2),"")=0,"",IFERROR(INDEX(Consulta!$A:$DP,MATCH('MM01'!$B61,Consulta!$C:$C,0),'MM01'!BL$2),""))</f>
        <v/>
      </c>
      <c r="BM61" s="45"/>
      <c r="BN61" s="46" t="str">
        <f t="shared" ca="1" si="53"/>
        <v/>
      </c>
      <c r="BO61" s="49" t="str">
        <f t="shared" si="54"/>
        <v/>
      </c>
      <c r="BP61" s="50">
        <v>1</v>
      </c>
      <c r="BQ61" s="50" t="s">
        <v>194</v>
      </c>
      <c r="BR61" s="79" t="str">
        <f t="shared" si="15"/>
        <v>01</v>
      </c>
      <c r="BS61" s="50" t="s">
        <v>795</v>
      </c>
      <c r="BT61" s="44">
        <v>1</v>
      </c>
      <c r="BU61" s="44" t="s">
        <v>371</v>
      </c>
      <c r="BV61" s="50" t="s">
        <v>197</v>
      </c>
      <c r="BW61" s="50" t="s">
        <v>197</v>
      </c>
      <c r="BX61" s="43" t="str">
        <f>IF(IFERROR(INDEX(Consulta!$A:$DP,MATCH('MM01'!$B61,Consulta!$C:$C,0),'MM01'!BX$2),"")=0,"",IFERROR(INDEX(Consulta!$A:$DP,MATCH('MM01'!$B61,Consulta!$C:$C,0),'MM01'!BX$2),""))</f>
        <v/>
      </c>
      <c r="BY61" s="44" t="s">
        <v>391</v>
      </c>
      <c r="BZ61" s="50">
        <v>0</v>
      </c>
      <c r="CA61" s="45" t="s">
        <v>402</v>
      </c>
      <c r="CB61" s="45" t="s">
        <v>84</v>
      </c>
      <c r="CC61" s="43" t="str">
        <f t="shared" si="55"/>
        <v/>
      </c>
      <c r="CD61" s="45" t="s">
        <v>38</v>
      </c>
      <c r="CE61" s="45">
        <v>1</v>
      </c>
      <c r="CF61" s="45" t="s">
        <v>495</v>
      </c>
      <c r="CG61" s="45"/>
      <c r="CH61" s="44">
        <v>2</v>
      </c>
      <c r="CI61" s="49" t="str">
        <f t="shared" si="56"/>
        <v/>
      </c>
      <c r="CJ61" s="49" t="str">
        <f t="shared" si="57"/>
        <v/>
      </c>
      <c r="CK61" s="45"/>
      <c r="CL61" s="44">
        <v>1</v>
      </c>
      <c r="CM61" s="50" t="s">
        <v>514</v>
      </c>
      <c r="CN61" s="44" t="s">
        <v>371</v>
      </c>
      <c r="CO61" s="44">
        <v>2</v>
      </c>
      <c r="CP61" s="44">
        <v>42</v>
      </c>
      <c r="CQ61" s="44">
        <v>10</v>
      </c>
      <c r="CR61" s="43" t="str">
        <f t="shared" si="58"/>
        <v>K00_P_</v>
      </c>
      <c r="CS61" s="45">
        <v>5000</v>
      </c>
      <c r="CT61" s="43" t="str">
        <f>IF(IFERROR(INDEX(Consulta!$A:$DP,MATCH('MM01'!$B61,Consulta!$C:$C,0),'MM01'!CT$2),"")=0,"",IFERROR(INDEX(Consulta!$A:$DP,MATCH('MM01'!$B61,Consulta!$C:$C,0),'MM01'!CT$2),""))</f>
        <v/>
      </c>
      <c r="CU61" s="43" t="str">
        <f>IF(IFERROR(INDEX(Consulta!$A:$DP,MATCH('MM01'!$B61,Consulta!$C:$C,0),'MM01'!CU$2),"")=0,"",IFERROR(INDEX(Consulta!$A:$DP,MATCH('MM01'!$B61,Consulta!$C:$C,0),'MM01'!CU$2),""))</f>
        <v/>
      </c>
      <c r="CV61" s="43" t="str">
        <f>IF(IFERROR(INDEX(Consulta!$A:$DP,MATCH('MM01'!$B61,Consulta!$C:$C,0),'MM01'!CV$2),"")=0,"",IFERROR(INDEX(Consulta!$A:$DP,MATCH('MM01'!$B61,Consulta!$C:$C,0),'MM01'!CV$2),""))</f>
        <v/>
      </c>
      <c r="CW61" s="43" t="str">
        <f>IF(IFERROR(INDEX(Consulta!$A:$DP,MATCH('MM01'!$B61,Consulta!$C:$C,0),'MM01'!CW$2),"")=0,"",IFERROR(INDEX(Consulta!$A:$DP,MATCH('MM01'!$B61,Consulta!$C:$C,0),'MM01'!CW$2),""))</f>
        <v/>
      </c>
      <c r="CX61" s="43" t="str">
        <f t="shared" si="59"/>
        <v/>
      </c>
      <c r="CY61" s="43" t="str">
        <f t="shared" si="60"/>
        <v/>
      </c>
      <c r="CZ61" s="43" t="str">
        <f t="shared" si="61"/>
        <v/>
      </c>
      <c r="DA61" s="43" t="str">
        <f>IF(IFERROR(INDEX(Consulta!$A:$DP,MATCH('MM01'!$B61,Consulta!$C:$C,0),'MM01'!DA$2),"")=0,"",IFERROR(INDEX(Consulta!$A:$DP,MATCH('MM01'!$B61,Consulta!$C:$C,0),'MM01'!DA$2),""))</f>
        <v/>
      </c>
      <c r="DB61" s="43" t="str">
        <f t="shared" si="62"/>
        <v/>
      </c>
      <c r="DC61" s="43" t="str">
        <f>IF(IFERROR(INDEX(Consulta!$A:$DP,MATCH('MM01'!$B61,Consulta!$C:$C,0),'MM01'!DC$2),"")=0,"",IFERROR(INDEX(Consulta!$A:$DP,MATCH('MM01'!$B61,Consulta!$C:$C,0),'MM01'!DC$2),""))</f>
        <v/>
      </c>
      <c r="DD61" s="45">
        <v>0</v>
      </c>
      <c r="DE61" s="45">
        <v>0</v>
      </c>
      <c r="DF61" s="43" t="str">
        <f t="shared" si="63"/>
        <v/>
      </c>
      <c r="DG61" s="43" t="str">
        <f t="shared" si="64"/>
        <v/>
      </c>
      <c r="DH61" s="57"/>
      <c r="DI61" s="43" t="str">
        <f t="shared" ca="1" si="65"/>
        <v/>
      </c>
      <c r="DJ61" s="43" t="str">
        <f t="shared" si="66"/>
        <v/>
      </c>
      <c r="DK61" s="43" t="str">
        <f t="shared" si="67"/>
        <v/>
      </c>
      <c r="DL61" s="57"/>
      <c r="DM61" s="43" t="str">
        <f t="shared" ca="1" si="68"/>
        <v/>
      </c>
      <c r="DN61" s="43" t="str">
        <f t="shared" si="69"/>
        <v/>
      </c>
      <c r="DO61" s="43" t="str">
        <f t="shared" si="70"/>
        <v/>
      </c>
      <c r="DP61" s="57"/>
      <c r="DQ61" s="43" t="str">
        <f t="shared" ca="1" si="71"/>
        <v/>
      </c>
      <c r="DR61" s="43" t="str">
        <f t="shared" si="72"/>
        <v/>
      </c>
      <c r="DS61" s="43" t="str">
        <f t="shared" si="73"/>
        <v/>
      </c>
      <c r="DT61" s="57"/>
      <c r="DU61" s="43" t="str">
        <f t="shared" ca="1" si="74"/>
        <v/>
      </c>
      <c r="DV61" s="43" t="str">
        <f t="shared" si="75"/>
        <v/>
      </c>
      <c r="DX61" s="44">
        <v>1</v>
      </c>
      <c r="DY61" s="44" t="s">
        <v>773</v>
      </c>
      <c r="DZ61" s="43">
        <f t="shared" si="76"/>
        <v>0.01</v>
      </c>
      <c r="EA61" s="43" t="str">
        <f t="shared" si="77"/>
        <v>M</v>
      </c>
      <c r="EB61" s="43" t="str">
        <f>IF(IFERROR(INDEX(Consulta!$A:$DP,MATCH('MM01'!$B61,Consulta!$C:$C,0),'MM01'!EB$2),"")=0,"7925",IF(IFERROR(INDEX(Consulta!$A:$DP,MATCH('MM01'!$B61,Consulta!$C:$C,0),'MM01'!EB$2),"")="68","7910","7925"))</f>
        <v>7925</v>
      </c>
      <c r="EC61" s="44">
        <v>100</v>
      </c>
      <c r="ED61" s="62">
        <v>1</v>
      </c>
      <c r="EE61" s="43">
        <f t="shared" si="78"/>
        <v>100</v>
      </c>
      <c r="EF61" s="44">
        <v>1</v>
      </c>
      <c r="EG61" s="44">
        <v>0</v>
      </c>
      <c r="EH61" s="44" t="s">
        <v>875</v>
      </c>
      <c r="EI61" s="45">
        <v>0</v>
      </c>
      <c r="EJ61" s="43">
        <f t="shared" si="79"/>
        <v>5000</v>
      </c>
      <c r="EK61" s="69"/>
    </row>
    <row r="62" spans="1:141" x14ac:dyDescent="0.2">
      <c r="A62" s="7" t="str">
        <f t="shared" si="0"/>
        <v>Execução 58</v>
      </c>
      <c r="B62" s="42"/>
      <c r="C62" s="43" t="str">
        <f>IF(IFERROR(INDEX(Consulta!$A:$DP,MATCH('MM01'!$B62,Consulta!$C:$C,0),'MM01'!C$2),"")=0,"",IFERROR(INDEX(Consulta!$A:$DP,MATCH('MM01'!$B62,Consulta!$C:$C,0),'MM01'!C$2),""))</f>
        <v/>
      </c>
      <c r="D62" s="43" t="str">
        <f>IF(IFERROR(INDEX(Consulta!$A:$DP,MATCH('MM01'!$B62,Consulta!$C:$C,0),'MM01'!D$2),"")=0,"",IFERROR(INDEX(Consulta!$A:$DP,MATCH('MM01'!$B62,Consulta!$C:$C,0),'MM01'!D$2),""))</f>
        <v/>
      </c>
      <c r="E62" s="43" t="str">
        <f>IF(IFERROR(INDEX(Consulta!$A:$DP,MATCH('MM01'!$B62,Consulta!$C:$C,0),'MM01'!E$2),"")=0,"",IFERROR(INDEX(Consulta!$A:$DP,MATCH('MM01'!$B62,Consulta!$C:$C,0),'MM01'!E$2),""))</f>
        <v/>
      </c>
      <c r="F62" s="44" t="s">
        <v>100</v>
      </c>
      <c r="G62" s="49" t="str">
        <f>IF(IFERROR(INDEX(Consulta!$A:$DP,MATCH('MM01'!$B62,Consulta!$C:$C,0),'MM01'!G$2),"")=0,"",IFERROR(INDEX(Consulta!$A:$DP,MATCH('MM01'!$B62,Consulta!$C:$C,0),'MM01'!G$2),""))</f>
        <v/>
      </c>
      <c r="H62" s="49" t="str">
        <f>IF(IFERROR(INDEX(Consulta!$A:$DP,MATCH('MM01'!$B62,Consulta!$C:$C,0),'MM01'!H$2),"")=0,"",IFERROR(INDEX(Consulta!$A:$DP,MATCH('MM01'!$B62,Consulta!$C:$C,0),'MM01'!H$2),""))</f>
        <v/>
      </c>
      <c r="I62" s="49" t="str">
        <f t="shared" si="41"/>
        <v/>
      </c>
      <c r="J62" s="49" t="str">
        <f>IF(IFERROR(INDEX(Consulta!$A:$DP,MATCH('MM01'!$B62,Consulta!$C:$C,0),'MM01'!J$2),"")=0,"",IFERROR(INDEX(Consulta!$A:$DP,MATCH('MM01'!$B62,Consulta!$C:$C,0),'MM01'!J$2),""))</f>
        <v/>
      </c>
      <c r="K62" s="49" t="str">
        <f t="shared" si="42"/>
        <v/>
      </c>
      <c r="M62" s="45" t="s">
        <v>101</v>
      </c>
      <c r="N62" s="45" t="s">
        <v>102</v>
      </c>
      <c r="O62" s="45" t="s">
        <v>103</v>
      </c>
      <c r="P62" s="45" t="s">
        <v>104</v>
      </c>
      <c r="Q62" s="45" t="s">
        <v>105</v>
      </c>
      <c r="R62" s="45" t="s">
        <v>106</v>
      </c>
      <c r="S62" s="45" t="s">
        <v>107</v>
      </c>
      <c r="T62" s="45"/>
      <c r="U62" s="45"/>
      <c r="V62" s="45"/>
      <c r="W62" s="45"/>
      <c r="X62" s="45" t="s">
        <v>112</v>
      </c>
      <c r="Y62" s="45" t="s">
        <v>113</v>
      </c>
      <c r="Z62" s="45" t="s">
        <v>114</v>
      </c>
      <c r="AA62" s="45" t="s">
        <v>115</v>
      </c>
      <c r="AB62" s="45" t="s">
        <v>117</v>
      </c>
      <c r="AC62" s="45" t="s">
        <v>118</v>
      </c>
      <c r="AD62" s="45" t="s">
        <v>119</v>
      </c>
      <c r="AE62" s="45" t="s">
        <v>120</v>
      </c>
      <c r="AF62" s="45" t="s">
        <v>121</v>
      </c>
      <c r="AG62" s="45" t="s">
        <v>122</v>
      </c>
      <c r="AH62" s="45" t="s">
        <v>123</v>
      </c>
      <c r="AI62" s="45" t="s">
        <v>124</v>
      </c>
      <c r="AJ62" s="45" t="s">
        <v>125</v>
      </c>
      <c r="AK62" s="45" t="s">
        <v>126</v>
      </c>
      <c r="AL62" s="45"/>
      <c r="AM62" s="45"/>
      <c r="AO62" s="44" t="s">
        <v>100</v>
      </c>
      <c r="AP62" s="43" t="str">
        <f>IF(IFERROR(INDEX(Consulta!$A:$DP,MATCH('MM01'!$B62,Consulta!$C:$C,0),'MM01'!AP$2),"")=0,"",IFERROR(INDEX(Consulta!$A:$DP,MATCH('MM01'!$B62,Consulta!$C:$C,0),'MM01'!AP$2),""))</f>
        <v/>
      </c>
      <c r="AQ62" s="45"/>
      <c r="AR62" s="43" t="str">
        <f>IF(IFERROR(INDEX(Consulta!$A:$DP,MATCH('MM01'!$B62,Consulta!$C:$C,0),'MM01'!AR$2),"")=0,"",IFERROR(INDEX(Consulta!$A:$DP,MATCH('MM01'!$B62,Consulta!$C:$C,0),'MM01'!AR$2),""))</f>
        <v/>
      </c>
      <c r="AS62" s="43" t="str">
        <f>IF(IFERROR(INDEX(Consulta!$A:$DP,MATCH('MM01'!$B62,Consulta!$C:$C,0),'MM01'!AS$2),"")=0,"",IF(AR62="68",5102,IFERROR(INDEX(Consulta!$A:$DP,MATCH('MM01'!$B62,Consulta!$C:$C,0),'MM01'!AS$2),"")))</f>
        <v/>
      </c>
      <c r="AT62" s="45"/>
      <c r="AU62" s="46" t="str">
        <f t="shared" ca="1" si="43"/>
        <v/>
      </c>
      <c r="AV62" s="47" t="s">
        <v>795</v>
      </c>
      <c r="AW62" s="43" t="str">
        <f>IF(IFERROR(INDEX(Consulta!$A:$DP,MATCH('MM01'!$B62,Consulta!$C:$C,0),'MM01'!AW$2),"")=0,"",IFERROR(ROUND(INDEX(Consulta!$A:$DP,MATCH('MM01'!$B62,Consulta!$C:$C,0),'MM01'!AW$2),3),""))</f>
        <v/>
      </c>
      <c r="AX62" s="43" t="str">
        <f t="shared" si="44"/>
        <v/>
      </c>
      <c r="AY62" s="48" t="s">
        <v>299</v>
      </c>
      <c r="AZ62" s="48"/>
      <c r="BA62" s="43" t="str">
        <f>IF(IFERROR(INDEX(Consulta!$A:$DP,MATCH('MM01'!$B62,Consulta!$C:$C,0),'MM01'!BA$2),"")=0,"",IFERROR(INDEX(Consulta!$A:$DP,MATCH('MM01'!$B62,Consulta!$C:$C,0),'MM01'!BA$2),""))</f>
        <v/>
      </c>
      <c r="BB62" s="43" t="str">
        <f t="shared" si="45"/>
        <v/>
      </c>
      <c r="BC62" s="43" t="str">
        <f t="shared" si="46"/>
        <v/>
      </c>
      <c r="BD62" s="43" t="str">
        <f t="shared" si="47"/>
        <v/>
      </c>
      <c r="BE62" s="43" t="str">
        <f t="shared" si="48"/>
        <v>M</v>
      </c>
      <c r="BF62" s="43" t="str">
        <f t="shared" si="49"/>
        <v/>
      </c>
      <c r="BG62" s="43" t="str">
        <f t="shared" si="50"/>
        <v/>
      </c>
      <c r="BH62" s="43" t="str">
        <f t="shared" si="51"/>
        <v/>
      </c>
      <c r="BI62" s="43" t="str">
        <f t="shared" si="52"/>
        <v>M</v>
      </c>
      <c r="BK62" s="45" t="s">
        <v>324</v>
      </c>
      <c r="BL62" s="43" t="str">
        <f>IF(IFERROR(INDEX(Consulta!$A:$DP,MATCH('MM01'!$B62,Consulta!$C:$C,0),'MM01'!BL$2),"")=0,"",IFERROR(INDEX(Consulta!$A:$DP,MATCH('MM01'!$B62,Consulta!$C:$C,0),'MM01'!BL$2),""))</f>
        <v/>
      </c>
      <c r="BM62" s="45"/>
      <c r="BN62" s="46" t="str">
        <f t="shared" ca="1" si="53"/>
        <v/>
      </c>
      <c r="BO62" s="49" t="str">
        <f t="shared" si="54"/>
        <v/>
      </c>
      <c r="BP62" s="50">
        <v>1</v>
      </c>
      <c r="BQ62" s="50" t="s">
        <v>194</v>
      </c>
      <c r="BR62" s="79" t="str">
        <f t="shared" si="15"/>
        <v>01</v>
      </c>
      <c r="BS62" s="50" t="s">
        <v>795</v>
      </c>
      <c r="BT62" s="44">
        <v>1</v>
      </c>
      <c r="BU62" s="44" t="s">
        <v>371</v>
      </c>
      <c r="BV62" s="50" t="s">
        <v>197</v>
      </c>
      <c r="BW62" s="50" t="s">
        <v>197</v>
      </c>
      <c r="BX62" s="43" t="str">
        <f>IF(IFERROR(INDEX(Consulta!$A:$DP,MATCH('MM01'!$B62,Consulta!$C:$C,0),'MM01'!BX$2),"")=0,"",IFERROR(INDEX(Consulta!$A:$DP,MATCH('MM01'!$B62,Consulta!$C:$C,0),'MM01'!BX$2),""))</f>
        <v/>
      </c>
      <c r="BY62" s="44" t="s">
        <v>391</v>
      </c>
      <c r="BZ62" s="50">
        <v>0</v>
      </c>
      <c r="CA62" s="45" t="s">
        <v>402</v>
      </c>
      <c r="CB62" s="45" t="s">
        <v>84</v>
      </c>
      <c r="CC62" s="43" t="str">
        <f t="shared" si="55"/>
        <v/>
      </c>
      <c r="CD62" s="45" t="s">
        <v>38</v>
      </c>
      <c r="CE62" s="45">
        <v>1</v>
      </c>
      <c r="CF62" s="45" t="s">
        <v>495</v>
      </c>
      <c r="CG62" s="45"/>
      <c r="CH62" s="44">
        <v>2</v>
      </c>
      <c r="CI62" s="49" t="str">
        <f t="shared" si="56"/>
        <v/>
      </c>
      <c r="CJ62" s="49" t="str">
        <f t="shared" si="57"/>
        <v/>
      </c>
      <c r="CK62" s="45"/>
      <c r="CL62" s="44">
        <v>1</v>
      </c>
      <c r="CM62" s="50" t="s">
        <v>514</v>
      </c>
      <c r="CN62" s="44" t="s">
        <v>371</v>
      </c>
      <c r="CO62" s="44">
        <v>2</v>
      </c>
      <c r="CP62" s="44">
        <v>42</v>
      </c>
      <c r="CQ62" s="44">
        <v>10</v>
      </c>
      <c r="CR62" s="43" t="str">
        <f t="shared" si="58"/>
        <v>K00_P_</v>
      </c>
      <c r="CS62" s="45">
        <v>5000</v>
      </c>
      <c r="CT62" s="43" t="str">
        <f>IF(IFERROR(INDEX(Consulta!$A:$DP,MATCH('MM01'!$B62,Consulta!$C:$C,0),'MM01'!CT$2),"")=0,"",IFERROR(INDEX(Consulta!$A:$DP,MATCH('MM01'!$B62,Consulta!$C:$C,0),'MM01'!CT$2),""))</f>
        <v/>
      </c>
      <c r="CU62" s="43" t="str">
        <f>IF(IFERROR(INDEX(Consulta!$A:$DP,MATCH('MM01'!$B62,Consulta!$C:$C,0),'MM01'!CU$2),"")=0,"",IFERROR(INDEX(Consulta!$A:$DP,MATCH('MM01'!$B62,Consulta!$C:$C,0),'MM01'!CU$2),""))</f>
        <v/>
      </c>
      <c r="CV62" s="43" t="str">
        <f>IF(IFERROR(INDEX(Consulta!$A:$DP,MATCH('MM01'!$B62,Consulta!$C:$C,0),'MM01'!CV$2),"")=0,"",IFERROR(INDEX(Consulta!$A:$DP,MATCH('MM01'!$B62,Consulta!$C:$C,0),'MM01'!CV$2),""))</f>
        <v/>
      </c>
      <c r="CW62" s="43" t="str">
        <f>IF(IFERROR(INDEX(Consulta!$A:$DP,MATCH('MM01'!$B62,Consulta!$C:$C,0),'MM01'!CW$2),"")=0,"",IFERROR(INDEX(Consulta!$A:$DP,MATCH('MM01'!$B62,Consulta!$C:$C,0),'MM01'!CW$2),""))</f>
        <v/>
      </c>
      <c r="CX62" s="43" t="str">
        <f t="shared" si="59"/>
        <v/>
      </c>
      <c r="CY62" s="43" t="str">
        <f t="shared" si="60"/>
        <v/>
      </c>
      <c r="CZ62" s="43" t="str">
        <f t="shared" si="61"/>
        <v/>
      </c>
      <c r="DA62" s="43" t="str">
        <f>IF(IFERROR(INDEX(Consulta!$A:$DP,MATCH('MM01'!$B62,Consulta!$C:$C,0),'MM01'!DA$2),"")=0,"",IFERROR(INDEX(Consulta!$A:$DP,MATCH('MM01'!$B62,Consulta!$C:$C,0),'MM01'!DA$2),""))</f>
        <v/>
      </c>
      <c r="DB62" s="43" t="str">
        <f t="shared" si="62"/>
        <v/>
      </c>
      <c r="DC62" s="43" t="str">
        <f>IF(IFERROR(INDEX(Consulta!$A:$DP,MATCH('MM01'!$B62,Consulta!$C:$C,0),'MM01'!DC$2),"")=0,"",IFERROR(INDEX(Consulta!$A:$DP,MATCH('MM01'!$B62,Consulta!$C:$C,0),'MM01'!DC$2),""))</f>
        <v/>
      </c>
      <c r="DD62" s="45">
        <v>0</v>
      </c>
      <c r="DE62" s="45">
        <v>0</v>
      </c>
      <c r="DF62" s="43" t="str">
        <f t="shared" si="63"/>
        <v/>
      </c>
      <c r="DG62" s="43" t="str">
        <f t="shared" si="64"/>
        <v/>
      </c>
      <c r="DH62" s="57"/>
      <c r="DI62" s="43" t="str">
        <f t="shared" ca="1" si="65"/>
        <v/>
      </c>
      <c r="DJ62" s="43" t="str">
        <f t="shared" si="66"/>
        <v/>
      </c>
      <c r="DK62" s="43" t="str">
        <f t="shared" si="67"/>
        <v/>
      </c>
      <c r="DL62" s="57"/>
      <c r="DM62" s="43" t="str">
        <f t="shared" ca="1" si="68"/>
        <v/>
      </c>
      <c r="DN62" s="43" t="str">
        <f t="shared" si="69"/>
        <v/>
      </c>
      <c r="DO62" s="43" t="str">
        <f t="shared" si="70"/>
        <v/>
      </c>
      <c r="DP62" s="57"/>
      <c r="DQ62" s="43" t="str">
        <f t="shared" ca="1" si="71"/>
        <v/>
      </c>
      <c r="DR62" s="43" t="str">
        <f t="shared" si="72"/>
        <v/>
      </c>
      <c r="DS62" s="43" t="str">
        <f t="shared" si="73"/>
        <v/>
      </c>
      <c r="DT62" s="57"/>
      <c r="DU62" s="43" t="str">
        <f t="shared" ca="1" si="74"/>
        <v/>
      </c>
      <c r="DV62" s="43" t="str">
        <f t="shared" si="75"/>
        <v/>
      </c>
      <c r="DX62" s="44">
        <v>1</v>
      </c>
      <c r="DY62" s="44" t="s">
        <v>773</v>
      </c>
      <c r="DZ62" s="43">
        <f t="shared" si="76"/>
        <v>0.01</v>
      </c>
      <c r="EA62" s="43" t="str">
        <f t="shared" si="77"/>
        <v>M</v>
      </c>
      <c r="EB62" s="43" t="str">
        <f>IF(IFERROR(INDEX(Consulta!$A:$DP,MATCH('MM01'!$B62,Consulta!$C:$C,0),'MM01'!EB$2),"")=0,"7925",IF(IFERROR(INDEX(Consulta!$A:$DP,MATCH('MM01'!$B62,Consulta!$C:$C,0),'MM01'!EB$2),"")="68","7910","7925"))</f>
        <v>7925</v>
      </c>
      <c r="EC62" s="44">
        <v>100</v>
      </c>
      <c r="ED62" s="62">
        <v>1</v>
      </c>
      <c r="EE62" s="43">
        <f t="shared" si="78"/>
        <v>100</v>
      </c>
      <c r="EF62" s="44">
        <v>1</v>
      </c>
      <c r="EG62" s="44">
        <v>0</v>
      </c>
      <c r="EH62" s="44" t="s">
        <v>875</v>
      </c>
      <c r="EI62" s="45">
        <v>0</v>
      </c>
      <c r="EJ62" s="43">
        <f t="shared" si="79"/>
        <v>5000</v>
      </c>
      <c r="EK62" s="69"/>
    </row>
    <row r="63" spans="1:141" x14ac:dyDescent="0.2">
      <c r="A63" s="7" t="str">
        <f t="shared" si="0"/>
        <v>Execução 59</v>
      </c>
      <c r="B63" s="42"/>
      <c r="C63" s="43" t="str">
        <f>IF(IFERROR(INDEX(Consulta!$A:$DP,MATCH('MM01'!$B63,Consulta!$C:$C,0),'MM01'!C$2),"")=0,"",IFERROR(INDEX(Consulta!$A:$DP,MATCH('MM01'!$B63,Consulta!$C:$C,0),'MM01'!C$2),""))</f>
        <v/>
      </c>
      <c r="D63" s="43" t="str">
        <f>IF(IFERROR(INDEX(Consulta!$A:$DP,MATCH('MM01'!$B63,Consulta!$C:$C,0),'MM01'!D$2),"")=0,"",IFERROR(INDEX(Consulta!$A:$DP,MATCH('MM01'!$B63,Consulta!$C:$C,0),'MM01'!D$2),""))</f>
        <v/>
      </c>
      <c r="E63" s="43" t="str">
        <f>IF(IFERROR(INDEX(Consulta!$A:$DP,MATCH('MM01'!$B63,Consulta!$C:$C,0),'MM01'!E$2),"")=0,"",IFERROR(INDEX(Consulta!$A:$DP,MATCH('MM01'!$B63,Consulta!$C:$C,0),'MM01'!E$2),""))</f>
        <v/>
      </c>
      <c r="F63" s="44" t="s">
        <v>100</v>
      </c>
      <c r="G63" s="49" t="str">
        <f>IF(IFERROR(INDEX(Consulta!$A:$DP,MATCH('MM01'!$B63,Consulta!$C:$C,0),'MM01'!G$2),"")=0,"",IFERROR(INDEX(Consulta!$A:$DP,MATCH('MM01'!$B63,Consulta!$C:$C,0),'MM01'!G$2),""))</f>
        <v/>
      </c>
      <c r="H63" s="49" t="str">
        <f>IF(IFERROR(INDEX(Consulta!$A:$DP,MATCH('MM01'!$B63,Consulta!$C:$C,0),'MM01'!H$2),"")=0,"",IFERROR(INDEX(Consulta!$A:$DP,MATCH('MM01'!$B63,Consulta!$C:$C,0),'MM01'!H$2),""))</f>
        <v/>
      </c>
      <c r="I63" s="49" t="str">
        <f t="shared" si="41"/>
        <v/>
      </c>
      <c r="J63" s="49" t="str">
        <f>IF(IFERROR(INDEX(Consulta!$A:$DP,MATCH('MM01'!$B63,Consulta!$C:$C,0),'MM01'!J$2),"")=0,"",IFERROR(INDEX(Consulta!$A:$DP,MATCH('MM01'!$B63,Consulta!$C:$C,0),'MM01'!J$2),""))</f>
        <v/>
      </c>
      <c r="K63" s="49" t="str">
        <f t="shared" si="42"/>
        <v/>
      </c>
      <c r="M63" s="45" t="s">
        <v>101</v>
      </c>
      <c r="N63" s="45" t="s">
        <v>102</v>
      </c>
      <c r="O63" s="45" t="s">
        <v>103</v>
      </c>
      <c r="P63" s="45" t="s">
        <v>104</v>
      </c>
      <c r="Q63" s="45" t="s">
        <v>105</v>
      </c>
      <c r="R63" s="45" t="s">
        <v>106</v>
      </c>
      <c r="S63" s="45" t="s">
        <v>107</v>
      </c>
      <c r="T63" s="45"/>
      <c r="U63" s="45"/>
      <c r="V63" s="45"/>
      <c r="W63" s="45"/>
      <c r="X63" s="45" t="s">
        <v>112</v>
      </c>
      <c r="Y63" s="45" t="s">
        <v>113</v>
      </c>
      <c r="Z63" s="45" t="s">
        <v>114</v>
      </c>
      <c r="AA63" s="45" t="s">
        <v>115</v>
      </c>
      <c r="AB63" s="45" t="s">
        <v>117</v>
      </c>
      <c r="AC63" s="45" t="s">
        <v>118</v>
      </c>
      <c r="AD63" s="45" t="s">
        <v>119</v>
      </c>
      <c r="AE63" s="45" t="s">
        <v>120</v>
      </c>
      <c r="AF63" s="45" t="s">
        <v>121</v>
      </c>
      <c r="AG63" s="45" t="s">
        <v>122</v>
      </c>
      <c r="AH63" s="45" t="s">
        <v>123</v>
      </c>
      <c r="AI63" s="45" t="s">
        <v>124</v>
      </c>
      <c r="AJ63" s="45" t="s">
        <v>125</v>
      </c>
      <c r="AK63" s="45" t="s">
        <v>126</v>
      </c>
      <c r="AL63" s="45"/>
      <c r="AM63" s="45"/>
      <c r="AO63" s="44" t="s">
        <v>100</v>
      </c>
      <c r="AP63" s="43" t="str">
        <f>IF(IFERROR(INDEX(Consulta!$A:$DP,MATCH('MM01'!$B63,Consulta!$C:$C,0),'MM01'!AP$2),"")=0,"",IFERROR(INDEX(Consulta!$A:$DP,MATCH('MM01'!$B63,Consulta!$C:$C,0),'MM01'!AP$2),""))</f>
        <v/>
      </c>
      <c r="AQ63" s="45"/>
      <c r="AR63" s="43" t="str">
        <f>IF(IFERROR(INDEX(Consulta!$A:$DP,MATCH('MM01'!$B63,Consulta!$C:$C,0),'MM01'!AR$2),"")=0,"",IFERROR(INDEX(Consulta!$A:$DP,MATCH('MM01'!$B63,Consulta!$C:$C,0),'MM01'!AR$2),""))</f>
        <v/>
      </c>
      <c r="AS63" s="43" t="str">
        <f>IF(IFERROR(INDEX(Consulta!$A:$DP,MATCH('MM01'!$B63,Consulta!$C:$C,0),'MM01'!AS$2),"")=0,"",IF(AR63="68",5102,IFERROR(INDEX(Consulta!$A:$DP,MATCH('MM01'!$B63,Consulta!$C:$C,0),'MM01'!AS$2),"")))</f>
        <v/>
      </c>
      <c r="AT63" s="45"/>
      <c r="AU63" s="46" t="str">
        <f t="shared" ca="1" si="43"/>
        <v/>
      </c>
      <c r="AV63" s="47" t="s">
        <v>795</v>
      </c>
      <c r="AW63" s="43" t="str">
        <f>IF(IFERROR(INDEX(Consulta!$A:$DP,MATCH('MM01'!$B63,Consulta!$C:$C,0),'MM01'!AW$2),"")=0,"",IFERROR(ROUND(INDEX(Consulta!$A:$DP,MATCH('MM01'!$B63,Consulta!$C:$C,0),'MM01'!AW$2),3),""))</f>
        <v/>
      </c>
      <c r="AX63" s="43" t="str">
        <f t="shared" si="44"/>
        <v/>
      </c>
      <c r="AY63" s="48" t="s">
        <v>299</v>
      </c>
      <c r="AZ63" s="48"/>
      <c r="BA63" s="43" t="str">
        <f>IF(IFERROR(INDEX(Consulta!$A:$DP,MATCH('MM01'!$B63,Consulta!$C:$C,0),'MM01'!BA$2),"")=0,"",IFERROR(INDEX(Consulta!$A:$DP,MATCH('MM01'!$B63,Consulta!$C:$C,0),'MM01'!BA$2),""))</f>
        <v/>
      </c>
      <c r="BB63" s="43" t="str">
        <f t="shared" si="45"/>
        <v/>
      </c>
      <c r="BC63" s="43" t="str">
        <f t="shared" si="46"/>
        <v/>
      </c>
      <c r="BD63" s="43" t="str">
        <f t="shared" si="47"/>
        <v/>
      </c>
      <c r="BE63" s="43" t="str">
        <f t="shared" si="48"/>
        <v>M</v>
      </c>
      <c r="BF63" s="43" t="str">
        <f t="shared" si="49"/>
        <v/>
      </c>
      <c r="BG63" s="43" t="str">
        <f t="shared" si="50"/>
        <v/>
      </c>
      <c r="BH63" s="43" t="str">
        <f t="shared" si="51"/>
        <v/>
      </c>
      <c r="BI63" s="43" t="str">
        <f t="shared" si="52"/>
        <v>M</v>
      </c>
      <c r="BK63" s="45" t="s">
        <v>324</v>
      </c>
      <c r="BL63" s="43" t="str">
        <f>IF(IFERROR(INDEX(Consulta!$A:$DP,MATCH('MM01'!$B63,Consulta!$C:$C,0),'MM01'!BL$2),"")=0,"",IFERROR(INDEX(Consulta!$A:$DP,MATCH('MM01'!$B63,Consulta!$C:$C,0),'MM01'!BL$2),""))</f>
        <v/>
      </c>
      <c r="BM63" s="45"/>
      <c r="BN63" s="46" t="str">
        <f t="shared" ca="1" si="53"/>
        <v/>
      </c>
      <c r="BO63" s="49" t="str">
        <f t="shared" si="54"/>
        <v/>
      </c>
      <c r="BP63" s="50">
        <v>1</v>
      </c>
      <c r="BQ63" s="50" t="s">
        <v>194</v>
      </c>
      <c r="BR63" s="79" t="str">
        <f t="shared" si="15"/>
        <v>01</v>
      </c>
      <c r="BS63" s="50" t="s">
        <v>795</v>
      </c>
      <c r="BT63" s="44">
        <v>1</v>
      </c>
      <c r="BU63" s="44" t="s">
        <v>371</v>
      </c>
      <c r="BV63" s="50" t="s">
        <v>197</v>
      </c>
      <c r="BW63" s="50" t="s">
        <v>197</v>
      </c>
      <c r="BX63" s="43" t="str">
        <f>IF(IFERROR(INDEX(Consulta!$A:$DP,MATCH('MM01'!$B63,Consulta!$C:$C,0),'MM01'!BX$2),"")=0,"",IFERROR(INDEX(Consulta!$A:$DP,MATCH('MM01'!$B63,Consulta!$C:$C,0),'MM01'!BX$2),""))</f>
        <v/>
      </c>
      <c r="BY63" s="44" t="s">
        <v>391</v>
      </c>
      <c r="BZ63" s="50">
        <v>0</v>
      </c>
      <c r="CA63" s="45" t="s">
        <v>402</v>
      </c>
      <c r="CB63" s="45" t="s">
        <v>84</v>
      </c>
      <c r="CC63" s="43" t="str">
        <f t="shared" si="55"/>
        <v/>
      </c>
      <c r="CD63" s="45" t="s">
        <v>38</v>
      </c>
      <c r="CE63" s="45">
        <v>1</v>
      </c>
      <c r="CF63" s="45" t="s">
        <v>495</v>
      </c>
      <c r="CG63" s="45"/>
      <c r="CH63" s="44">
        <v>2</v>
      </c>
      <c r="CI63" s="49" t="str">
        <f t="shared" si="56"/>
        <v/>
      </c>
      <c r="CJ63" s="49" t="str">
        <f t="shared" si="57"/>
        <v/>
      </c>
      <c r="CK63" s="45"/>
      <c r="CL63" s="44">
        <v>1</v>
      </c>
      <c r="CM63" s="50" t="s">
        <v>514</v>
      </c>
      <c r="CN63" s="44" t="s">
        <v>371</v>
      </c>
      <c r="CO63" s="44">
        <v>2</v>
      </c>
      <c r="CP63" s="44">
        <v>42</v>
      </c>
      <c r="CQ63" s="44">
        <v>10</v>
      </c>
      <c r="CR63" s="43" t="str">
        <f t="shared" si="58"/>
        <v>K00_P_</v>
      </c>
      <c r="CS63" s="45">
        <v>5000</v>
      </c>
      <c r="CT63" s="43" t="str">
        <f>IF(IFERROR(INDEX(Consulta!$A:$DP,MATCH('MM01'!$B63,Consulta!$C:$C,0),'MM01'!CT$2),"")=0,"",IFERROR(INDEX(Consulta!$A:$DP,MATCH('MM01'!$B63,Consulta!$C:$C,0),'MM01'!CT$2),""))</f>
        <v/>
      </c>
      <c r="CU63" s="43" t="str">
        <f>IF(IFERROR(INDEX(Consulta!$A:$DP,MATCH('MM01'!$B63,Consulta!$C:$C,0),'MM01'!CU$2),"")=0,"",IFERROR(INDEX(Consulta!$A:$DP,MATCH('MM01'!$B63,Consulta!$C:$C,0),'MM01'!CU$2),""))</f>
        <v/>
      </c>
      <c r="CV63" s="43" t="str">
        <f>IF(IFERROR(INDEX(Consulta!$A:$DP,MATCH('MM01'!$B63,Consulta!$C:$C,0),'MM01'!CV$2),"")=0,"",IFERROR(INDEX(Consulta!$A:$DP,MATCH('MM01'!$B63,Consulta!$C:$C,0),'MM01'!CV$2),""))</f>
        <v/>
      </c>
      <c r="CW63" s="43" t="str">
        <f>IF(IFERROR(INDEX(Consulta!$A:$DP,MATCH('MM01'!$B63,Consulta!$C:$C,0),'MM01'!CW$2),"")=0,"",IFERROR(INDEX(Consulta!$A:$DP,MATCH('MM01'!$B63,Consulta!$C:$C,0),'MM01'!CW$2),""))</f>
        <v/>
      </c>
      <c r="CX63" s="43" t="str">
        <f t="shared" si="59"/>
        <v/>
      </c>
      <c r="CY63" s="43" t="str">
        <f t="shared" si="60"/>
        <v/>
      </c>
      <c r="CZ63" s="43" t="str">
        <f t="shared" si="61"/>
        <v/>
      </c>
      <c r="DA63" s="43" t="str">
        <f>IF(IFERROR(INDEX(Consulta!$A:$DP,MATCH('MM01'!$B63,Consulta!$C:$C,0),'MM01'!DA$2),"")=0,"",IFERROR(INDEX(Consulta!$A:$DP,MATCH('MM01'!$B63,Consulta!$C:$C,0),'MM01'!DA$2),""))</f>
        <v/>
      </c>
      <c r="DB63" s="43" t="str">
        <f t="shared" si="62"/>
        <v/>
      </c>
      <c r="DC63" s="43" t="str">
        <f>IF(IFERROR(INDEX(Consulta!$A:$DP,MATCH('MM01'!$B63,Consulta!$C:$C,0),'MM01'!DC$2),"")=0,"",IFERROR(INDEX(Consulta!$A:$DP,MATCH('MM01'!$B63,Consulta!$C:$C,0),'MM01'!DC$2),""))</f>
        <v/>
      </c>
      <c r="DD63" s="45">
        <v>0</v>
      </c>
      <c r="DE63" s="45">
        <v>0</v>
      </c>
      <c r="DF63" s="43" t="str">
        <f t="shared" si="63"/>
        <v/>
      </c>
      <c r="DG63" s="43" t="str">
        <f t="shared" si="64"/>
        <v/>
      </c>
      <c r="DH63" s="57"/>
      <c r="DI63" s="43" t="str">
        <f t="shared" ca="1" si="65"/>
        <v/>
      </c>
      <c r="DJ63" s="43" t="str">
        <f t="shared" si="66"/>
        <v/>
      </c>
      <c r="DK63" s="43" t="str">
        <f t="shared" si="67"/>
        <v/>
      </c>
      <c r="DL63" s="57"/>
      <c r="DM63" s="43" t="str">
        <f t="shared" ca="1" si="68"/>
        <v/>
      </c>
      <c r="DN63" s="43" t="str">
        <f t="shared" si="69"/>
        <v/>
      </c>
      <c r="DO63" s="43" t="str">
        <f t="shared" si="70"/>
        <v/>
      </c>
      <c r="DP63" s="57"/>
      <c r="DQ63" s="43" t="str">
        <f t="shared" ca="1" si="71"/>
        <v/>
      </c>
      <c r="DR63" s="43" t="str">
        <f t="shared" si="72"/>
        <v/>
      </c>
      <c r="DS63" s="43" t="str">
        <f t="shared" si="73"/>
        <v/>
      </c>
      <c r="DT63" s="57"/>
      <c r="DU63" s="43" t="str">
        <f t="shared" ca="1" si="74"/>
        <v/>
      </c>
      <c r="DV63" s="43" t="str">
        <f t="shared" si="75"/>
        <v/>
      </c>
      <c r="DX63" s="44">
        <v>1</v>
      </c>
      <c r="DY63" s="44" t="s">
        <v>773</v>
      </c>
      <c r="DZ63" s="43">
        <f t="shared" si="76"/>
        <v>0.01</v>
      </c>
      <c r="EA63" s="43" t="str">
        <f t="shared" si="77"/>
        <v>M</v>
      </c>
      <c r="EB63" s="43" t="str">
        <f>IF(IFERROR(INDEX(Consulta!$A:$DP,MATCH('MM01'!$B63,Consulta!$C:$C,0),'MM01'!EB$2),"")=0,"7925",IF(IFERROR(INDEX(Consulta!$A:$DP,MATCH('MM01'!$B63,Consulta!$C:$C,0),'MM01'!EB$2),"")="68","7910","7925"))</f>
        <v>7925</v>
      </c>
      <c r="EC63" s="44">
        <v>100</v>
      </c>
      <c r="ED63" s="62">
        <v>1</v>
      </c>
      <c r="EE63" s="43">
        <f t="shared" si="78"/>
        <v>100</v>
      </c>
      <c r="EF63" s="44">
        <v>1</v>
      </c>
      <c r="EG63" s="44">
        <v>0</v>
      </c>
      <c r="EH63" s="44" t="s">
        <v>875</v>
      </c>
      <c r="EI63" s="45">
        <v>0</v>
      </c>
      <c r="EJ63" s="43">
        <f t="shared" si="79"/>
        <v>5000</v>
      </c>
      <c r="EK63" s="69"/>
    </row>
    <row r="64" spans="1:141" x14ac:dyDescent="0.2">
      <c r="A64" s="7" t="str">
        <f t="shared" si="0"/>
        <v>Execução 60</v>
      </c>
      <c r="B64" s="42"/>
      <c r="C64" s="43" t="str">
        <f>IF(IFERROR(INDEX(Consulta!$A:$DP,MATCH('MM01'!$B64,Consulta!$C:$C,0),'MM01'!C$2),"")=0,"",IFERROR(INDEX(Consulta!$A:$DP,MATCH('MM01'!$B64,Consulta!$C:$C,0),'MM01'!C$2),""))</f>
        <v/>
      </c>
      <c r="D64" s="43" t="str">
        <f>IF(IFERROR(INDEX(Consulta!$A:$DP,MATCH('MM01'!$B64,Consulta!$C:$C,0),'MM01'!D$2),"")=0,"",IFERROR(INDEX(Consulta!$A:$DP,MATCH('MM01'!$B64,Consulta!$C:$C,0),'MM01'!D$2),""))</f>
        <v/>
      </c>
      <c r="E64" s="43" t="str">
        <f>IF(IFERROR(INDEX(Consulta!$A:$DP,MATCH('MM01'!$B64,Consulta!$C:$C,0),'MM01'!E$2),"")=0,"",IFERROR(INDEX(Consulta!$A:$DP,MATCH('MM01'!$B64,Consulta!$C:$C,0),'MM01'!E$2),""))</f>
        <v/>
      </c>
      <c r="F64" s="44" t="s">
        <v>100</v>
      </c>
      <c r="G64" s="49" t="str">
        <f>IF(IFERROR(INDEX(Consulta!$A:$DP,MATCH('MM01'!$B64,Consulta!$C:$C,0),'MM01'!G$2),"")=0,"",IFERROR(INDEX(Consulta!$A:$DP,MATCH('MM01'!$B64,Consulta!$C:$C,0),'MM01'!G$2),""))</f>
        <v/>
      </c>
      <c r="H64" s="49" t="str">
        <f>IF(IFERROR(INDEX(Consulta!$A:$DP,MATCH('MM01'!$B64,Consulta!$C:$C,0),'MM01'!H$2),"")=0,"",IFERROR(INDEX(Consulta!$A:$DP,MATCH('MM01'!$B64,Consulta!$C:$C,0),'MM01'!H$2),""))</f>
        <v/>
      </c>
      <c r="I64" s="49" t="str">
        <f t="shared" si="41"/>
        <v/>
      </c>
      <c r="J64" s="49" t="str">
        <f>IF(IFERROR(INDEX(Consulta!$A:$DP,MATCH('MM01'!$B64,Consulta!$C:$C,0),'MM01'!J$2),"")=0,"",IFERROR(INDEX(Consulta!$A:$DP,MATCH('MM01'!$B64,Consulta!$C:$C,0),'MM01'!J$2),""))</f>
        <v/>
      </c>
      <c r="K64" s="49" t="str">
        <f t="shared" si="42"/>
        <v/>
      </c>
      <c r="M64" s="45" t="s">
        <v>101</v>
      </c>
      <c r="N64" s="45" t="s">
        <v>102</v>
      </c>
      <c r="O64" s="45" t="s">
        <v>103</v>
      </c>
      <c r="P64" s="45" t="s">
        <v>104</v>
      </c>
      <c r="Q64" s="45" t="s">
        <v>105</v>
      </c>
      <c r="R64" s="45" t="s">
        <v>106</v>
      </c>
      <c r="S64" s="45" t="s">
        <v>107</v>
      </c>
      <c r="T64" s="45"/>
      <c r="U64" s="45"/>
      <c r="V64" s="45"/>
      <c r="W64" s="45"/>
      <c r="X64" s="45" t="s">
        <v>112</v>
      </c>
      <c r="Y64" s="45" t="s">
        <v>113</v>
      </c>
      <c r="Z64" s="45" t="s">
        <v>114</v>
      </c>
      <c r="AA64" s="45" t="s">
        <v>115</v>
      </c>
      <c r="AB64" s="45" t="s">
        <v>117</v>
      </c>
      <c r="AC64" s="45" t="s">
        <v>118</v>
      </c>
      <c r="AD64" s="45" t="s">
        <v>119</v>
      </c>
      <c r="AE64" s="45" t="s">
        <v>120</v>
      </c>
      <c r="AF64" s="45" t="s">
        <v>121</v>
      </c>
      <c r="AG64" s="45" t="s">
        <v>122</v>
      </c>
      <c r="AH64" s="45" t="s">
        <v>123</v>
      </c>
      <c r="AI64" s="45" t="s">
        <v>124</v>
      </c>
      <c r="AJ64" s="45" t="s">
        <v>125</v>
      </c>
      <c r="AK64" s="45" t="s">
        <v>126</v>
      </c>
      <c r="AL64" s="45"/>
      <c r="AM64" s="45"/>
      <c r="AO64" s="44" t="s">
        <v>100</v>
      </c>
      <c r="AP64" s="43" t="str">
        <f>IF(IFERROR(INDEX(Consulta!$A:$DP,MATCH('MM01'!$B64,Consulta!$C:$C,0),'MM01'!AP$2),"")=0,"",IFERROR(INDEX(Consulta!$A:$DP,MATCH('MM01'!$B64,Consulta!$C:$C,0),'MM01'!AP$2),""))</f>
        <v/>
      </c>
      <c r="AQ64" s="45"/>
      <c r="AR64" s="43" t="str">
        <f>IF(IFERROR(INDEX(Consulta!$A:$DP,MATCH('MM01'!$B64,Consulta!$C:$C,0),'MM01'!AR$2),"")=0,"",IFERROR(INDEX(Consulta!$A:$DP,MATCH('MM01'!$B64,Consulta!$C:$C,0),'MM01'!AR$2),""))</f>
        <v/>
      </c>
      <c r="AS64" s="43" t="str">
        <f>IF(IFERROR(INDEX(Consulta!$A:$DP,MATCH('MM01'!$B64,Consulta!$C:$C,0),'MM01'!AS$2),"")=0,"",IF(AR64="68",5102,IFERROR(INDEX(Consulta!$A:$DP,MATCH('MM01'!$B64,Consulta!$C:$C,0),'MM01'!AS$2),"")))</f>
        <v/>
      </c>
      <c r="AT64" s="45"/>
      <c r="AU64" s="46" t="str">
        <f t="shared" ca="1" si="43"/>
        <v/>
      </c>
      <c r="AV64" s="47" t="s">
        <v>795</v>
      </c>
      <c r="AW64" s="43" t="str">
        <f>IF(IFERROR(INDEX(Consulta!$A:$DP,MATCH('MM01'!$B64,Consulta!$C:$C,0),'MM01'!AW$2),"")=0,"",IFERROR(ROUND(INDEX(Consulta!$A:$DP,MATCH('MM01'!$B64,Consulta!$C:$C,0),'MM01'!AW$2),3),""))</f>
        <v/>
      </c>
      <c r="AX64" s="43" t="str">
        <f t="shared" si="44"/>
        <v/>
      </c>
      <c r="AY64" s="48" t="s">
        <v>299</v>
      </c>
      <c r="AZ64" s="48"/>
      <c r="BA64" s="43" t="str">
        <f>IF(IFERROR(INDEX(Consulta!$A:$DP,MATCH('MM01'!$B64,Consulta!$C:$C,0),'MM01'!BA$2),"")=0,"",IFERROR(INDEX(Consulta!$A:$DP,MATCH('MM01'!$B64,Consulta!$C:$C,0),'MM01'!BA$2),""))</f>
        <v/>
      </c>
      <c r="BB64" s="43" t="str">
        <f t="shared" si="45"/>
        <v/>
      </c>
      <c r="BC64" s="43" t="str">
        <f t="shared" si="46"/>
        <v/>
      </c>
      <c r="BD64" s="43" t="str">
        <f t="shared" si="47"/>
        <v/>
      </c>
      <c r="BE64" s="43" t="str">
        <f t="shared" si="48"/>
        <v>M</v>
      </c>
      <c r="BF64" s="43" t="str">
        <f t="shared" si="49"/>
        <v/>
      </c>
      <c r="BG64" s="43" t="str">
        <f t="shared" si="50"/>
        <v/>
      </c>
      <c r="BH64" s="43" t="str">
        <f t="shared" si="51"/>
        <v/>
      </c>
      <c r="BI64" s="43" t="str">
        <f t="shared" si="52"/>
        <v>M</v>
      </c>
      <c r="BK64" s="45" t="s">
        <v>324</v>
      </c>
      <c r="BL64" s="43" t="str">
        <f>IF(IFERROR(INDEX(Consulta!$A:$DP,MATCH('MM01'!$B64,Consulta!$C:$C,0),'MM01'!BL$2),"")=0,"",IFERROR(INDEX(Consulta!$A:$DP,MATCH('MM01'!$B64,Consulta!$C:$C,0),'MM01'!BL$2),""))</f>
        <v/>
      </c>
      <c r="BM64" s="45"/>
      <c r="BN64" s="46" t="str">
        <f t="shared" ca="1" si="53"/>
        <v/>
      </c>
      <c r="BO64" s="49" t="str">
        <f t="shared" si="54"/>
        <v/>
      </c>
      <c r="BP64" s="50">
        <v>1</v>
      </c>
      <c r="BQ64" s="50" t="s">
        <v>194</v>
      </c>
      <c r="BR64" s="79" t="str">
        <f t="shared" si="15"/>
        <v>01</v>
      </c>
      <c r="BS64" s="50" t="s">
        <v>795</v>
      </c>
      <c r="BT64" s="44">
        <v>1</v>
      </c>
      <c r="BU64" s="44" t="s">
        <v>371</v>
      </c>
      <c r="BV64" s="50" t="s">
        <v>197</v>
      </c>
      <c r="BW64" s="50" t="s">
        <v>197</v>
      </c>
      <c r="BX64" s="43" t="str">
        <f>IF(IFERROR(INDEX(Consulta!$A:$DP,MATCH('MM01'!$B64,Consulta!$C:$C,0),'MM01'!BX$2),"")=0,"",IFERROR(INDEX(Consulta!$A:$DP,MATCH('MM01'!$B64,Consulta!$C:$C,0),'MM01'!BX$2),""))</f>
        <v/>
      </c>
      <c r="BY64" s="44" t="s">
        <v>391</v>
      </c>
      <c r="BZ64" s="50">
        <v>0</v>
      </c>
      <c r="CA64" s="45" t="s">
        <v>402</v>
      </c>
      <c r="CB64" s="45" t="s">
        <v>84</v>
      </c>
      <c r="CC64" s="43" t="str">
        <f t="shared" si="55"/>
        <v/>
      </c>
      <c r="CD64" s="45" t="s">
        <v>38</v>
      </c>
      <c r="CE64" s="45">
        <v>1</v>
      </c>
      <c r="CF64" s="45" t="s">
        <v>495</v>
      </c>
      <c r="CG64" s="45"/>
      <c r="CH64" s="44">
        <v>2</v>
      </c>
      <c r="CI64" s="49" t="str">
        <f t="shared" si="56"/>
        <v/>
      </c>
      <c r="CJ64" s="49" t="str">
        <f t="shared" si="57"/>
        <v/>
      </c>
      <c r="CK64" s="45"/>
      <c r="CL64" s="44">
        <v>1</v>
      </c>
      <c r="CM64" s="50" t="s">
        <v>514</v>
      </c>
      <c r="CN64" s="44" t="s">
        <v>371</v>
      </c>
      <c r="CO64" s="44">
        <v>2</v>
      </c>
      <c r="CP64" s="44">
        <v>42</v>
      </c>
      <c r="CQ64" s="44">
        <v>10</v>
      </c>
      <c r="CR64" s="43" t="str">
        <f t="shared" si="58"/>
        <v>K00_P_</v>
      </c>
      <c r="CS64" s="45">
        <v>5000</v>
      </c>
      <c r="CT64" s="43" t="str">
        <f>IF(IFERROR(INDEX(Consulta!$A:$DP,MATCH('MM01'!$B64,Consulta!$C:$C,0),'MM01'!CT$2),"")=0,"",IFERROR(INDEX(Consulta!$A:$DP,MATCH('MM01'!$B64,Consulta!$C:$C,0),'MM01'!CT$2),""))</f>
        <v/>
      </c>
      <c r="CU64" s="43" t="str">
        <f>IF(IFERROR(INDEX(Consulta!$A:$DP,MATCH('MM01'!$B64,Consulta!$C:$C,0),'MM01'!CU$2),"")=0,"",IFERROR(INDEX(Consulta!$A:$DP,MATCH('MM01'!$B64,Consulta!$C:$C,0),'MM01'!CU$2),""))</f>
        <v/>
      </c>
      <c r="CV64" s="43" t="str">
        <f>IF(IFERROR(INDEX(Consulta!$A:$DP,MATCH('MM01'!$B64,Consulta!$C:$C,0),'MM01'!CV$2),"")=0,"",IFERROR(INDEX(Consulta!$A:$DP,MATCH('MM01'!$B64,Consulta!$C:$C,0),'MM01'!CV$2),""))</f>
        <v/>
      </c>
      <c r="CW64" s="43" t="str">
        <f>IF(IFERROR(INDEX(Consulta!$A:$DP,MATCH('MM01'!$B64,Consulta!$C:$C,0),'MM01'!CW$2),"")=0,"",IFERROR(INDEX(Consulta!$A:$DP,MATCH('MM01'!$B64,Consulta!$C:$C,0),'MM01'!CW$2),""))</f>
        <v/>
      </c>
      <c r="CX64" s="43" t="str">
        <f t="shared" si="59"/>
        <v/>
      </c>
      <c r="CY64" s="43" t="str">
        <f t="shared" si="60"/>
        <v/>
      </c>
      <c r="CZ64" s="43" t="str">
        <f t="shared" si="61"/>
        <v/>
      </c>
      <c r="DA64" s="43" t="str">
        <f>IF(IFERROR(INDEX(Consulta!$A:$DP,MATCH('MM01'!$B64,Consulta!$C:$C,0),'MM01'!DA$2),"")=0,"",IFERROR(INDEX(Consulta!$A:$DP,MATCH('MM01'!$B64,Consulta!$C:$C,0),'MM01'!DA$2),""))</f>
        <v/>
      </c>
      <c r="DB64" s="43" t="str">
        <f t="shared" si="62"/>
        <v/>
      </c>
      <c r="DC64" s="43" t="str">
        <f>IF(IFERROR(INDEX(Consulta!$A:$DP,MATCH('MM01'!$B64,Consulta!$C:$C,0),'MM01'!DC$2),"")=0,"",IFERROR(INDEX(Consulta!$A:$DP,MATCH('MM01'!$B64,Consulta!$C:$C,0),'MM01'!DC$2),""))</f>
        <v/>
      </c>
      <c r="DD64" s="45">
        <v>0</v>
      </c>
      <c r="DE64" s="45">
        <v>0</v>
      </c>
      <c r="DF64" s="43" t="str">
        <f t="shared" si="63"/>
        <v/>
      </c>
      <c r="DG64" s="43" t="str">
        <f t="shared" si="64"/>
        <v/>
      </c>
      <c r="DH64" s="57"/>
      <c r="DI64" s="43" t="str">
        <f t="shared" ca="1" si="65"/>
        <v/>
      </c>
      <c r="DJ64" s="43" t="str">
        <f t="shared" si="66"/>
        <v/>
      </c>
      <c r="DK64" s="43" t="str">
        <f t="shared" si="67"/>
        <v/>
      </c>
      <c r="DL64" s="57"/>
      <c r="DM64" s="43" t="str">
        <f t="shared" ca="1" si="68"/>
        <v/>
      </c>
      <c r="DN64" s="43" t="str">
        <f t="shared" si="69"/>
        <v/>
      </c>
      <c r="DO64" s="43" t="str">
        <f t="shared" si="70"/>
        <v/>
      </c>
      <c r="DP64" s="57"/>
      <c r="DQ64" s="43" t="str">
        <f t="shared" ca="1" si="71"/>
        <v/>
      </c>
      <c r="DR64" s="43" t="str">
        <f t="shared" si="72"/>
        <v/>
      </c>
      <c r="DS64" s="43" t="str">
        <f t="shared" si="73"/>
        <v/>
      </c>
      <c r="DT64" s="57"/>
      <c r="DU64" s="43" t="str">
        <f t="shared" ca="1" si="74"/>
        <v/>
      </c>
      <c r="DV64" s="43" t="str">
        <f t="shared" si="75"/>
        <v/>
      </c>
      <c r="DX64" s="44">
        <v>1</v>
      </c>
      <c r="DY64" s="44" t="s">
        <v>773</v>
      </c>
      <c r="DZ64" s="43">
        <f t="shared" si="76"/>
        <v>0.01</v>
      </c>
      <c r="EA64" s="43" t="str">
        <f t="shared" si="77"/>
        <v>M</v>
      </c>
      <c r="EB64" s="43" t="str">
        <f>IF(IFERROR(INDEX(Consulta!$A:$DP,MATCH('MM01'!$B64,Consulta!$C:$C,0),'MM01'!EB$2),"")=0,"7925",IF(IFERROR(INDEX(Consulta!$A:$DP,MATCH('MM01'!$B64,Consulta!$C:$C,0),'MM01'!EB$2),"")="68","7910","7925"))</f>
        <v>7925</v>
      </c>
      <c r="EC64" s="44">
        <v>100</v>
      </c>
      <c r="ED64" s="62">
        <v>1</v>
      </c>
      <c r="EE64" s="43">
        <f t="shared" si="78"/>
        <v>100</v>
      </c>
      <c r="EF64" s="44">
        <v>1</v>
      </c>
      <c r="EG64" s="44">
        <v>0</v>
      </c>
      <c r="EH64" s="44" t="s">
        <v>875</v>
      </c>
      <c r="EI64" s="45">
        <v>0</v>
      </c>
      <c r="EJ64" s="43">
        <f t="shared" si="79"/>
        <v>5000</v>
      </c>
      <c r="EK64" s="69"/>
    </row>
    <row r="65" spans="1:141" x14ac:dyDescent="0.2">
      <c r="A65" s="7" t="str">
        <f t="shared" si="0"/>
        <v>Execução 61</v>
      </c>
      <c r="B65" s="42"/>
      <c r="C65" s="43" t="str">
        <f>IF(IFERROR(INDEX(Consulta!$A:$DP,MATCH('MM01'!$B65,Consulta!$C:$C,0),'MM01'!C$2),"")=0,"",IFERROR(INDEX(Consulta!$A:$DP,MATCH('MM01'!$B65,Consulta!$C:$C,0),'MM01'!C$2),""))</f>
        <v/>
      </c>
      <c r="D65" s="43" t="str">
        <f>IF(IFERROR(INDEX(Consulta!$A:$DP,MATCH('MM01'!$B65,Consulta!$C:$C,0),'MM01'!D$2),"")=0,"",IFERROR(INDEX(Consulta!$A:$DP,MATCH('MM01'!$B65,Consulta!$C:$C,0),'MM01'!D$2),""))</f>
        <v/>
      </c>
      <c r="E65" s="43" t="str">
        <f>IF(IFERROR(INDEX(Consulta!$A:$DP,MATCH('MM01'!$B65,Consulta!$C:$C,0),'MM01'!E$2),"")=0,"",IFERROR(INDEX(Consulta!$A:$DP,MATCH('MM01'!$B65,Consulta!$C:$C,0),'MM01'!E$2),""))</f>
        <v/>
      </c>
      <c r="F65" s="44" t="s">
        <v>100</v>
      </c>
      <c r="G65" s="49" t="str">
        <f>IF(IFERROR(INDEX(Consulta!$A:$DP,MATCH('MM01'!$B65,Consulta!$C:$C,0),'MM01'!G$2),"")=0,"",IFERROR(INDEX(Consulta!$A:$DP,MATCH('MM01'!$B65,Consulta!$C:$C,0),'MM01'!G$2),""))</f>
        <v/>
      </c>
      <c r="H65" s="49" t="str">
        <f>IF(IFERROR(INDEX(Consulta!$A:$DP,MATCH('MM01'!$B65,Consulta!$C:$C,0),'MM01'!H$2),"")=0,"",IFERROR(INDEX(Consulta!$A:$DP,MATCH('MM01'!$B65,Consulta!$C:$C,0),'MM01'!H$2),""))</f>
        <v/>
      </c>
      <c r="I65" s="49" t="str">
        <f t="shared" si="41"/>
        <v/>
      </c>
      <c r="J65" s="49" t="str">
        <f>IF(IFERROR(INDEX(Consulta!$A:$DP,MATCH('MM01'!$B65,Consulta!$C:$C,0),'MM01'!J$2),"")=0,"",IFERROR(INDEX(Consulta!$A:$DP,MATCH('MM01'!$B65,Consulta!$C:$C,0),'MM01'!J$2),""))</f>
        <v/>
      </c>
      <c r="K65" s="49" t="str">
        <f t="shared" si="42"/>
        <v/>
      </c>
      <c r="M65" s="45" t="s">
        <v>101</v>
      </c>
      <c r="N65" s="45" t="s">
        <v>102</v>
      </c>
      <c r="O65" s="45" t="s">
        <v>103</v>
      </c>
      <c r="P65" s="45" t="s">
        <v>104</v>
      </c>
      <c r="Q65" s="45" t="s">
        <v>105</v>
      </c>
      <c r="R65" s="45" t="s">
        <v>106</v>
      </c>
      <c r="S65" s="45" t="s">
        <v>107</v>
      </c>
      <c r="T65" s="45"/>
      <c r="U65" s="45"/>
      <c r="V65" s="45"/>
      <c r="W65" s="45"/>
      <c r="X65" s="45" t="s">
        <v>112</v>
      </c>
      <c r="Y65" s="45" t="s">
        <v>113</v>
      </c>
      <c r="Z65" s="45" t="s">
        <v>114</v>
      </c>
      <c r="AA65" s="45" t="s">
        <v>115</v>
      </c>
      <c r="AB65" s="45" t="s">
        <v>117</v>
      </c>
      <c r="AC65" s="45" t="s">
        <v>118</v>
      </c>
      <c r="AD65" s="45" t="s">
        <v>119</v>
      </c>
      <c r="AE65" s="45" t="s">
        <v>120</v>
      </c>
      <c r="AF65" s="45" t="s">
        <v>121</v>
      </c>
      <c r="AG65" s="45" t="s">
        <v>122</v>
      </c>
      <c r="AH65" s="45" t="s">
        <v>123</v>
      </c>
      <c r="AI65" s="45" t="s">
        <v>124</v>
      </c>
      <c r="AJ65" s="45" t="s">
        <v>125</v>
      </c>
      <c r="AK65" s="45" t="s">
        <v>126</v>
      </c>
      <c r="AL65" s="45"/>
      <c r="AM65" s="45"/>
      <c r="AO65" s="44" t="s">
        <v>100</v>
      </c>
      <c r="AP65" s="43" t="str">
        <f>IF(IFERROR(INDEX(Consulta!$A:$DP,MATCH('MM01'!$B65,Consulta!$C:$C,0),'MM01'!AP$2),"")=0,"",IFERROR(INDEX(Consulta!$A:$DP,MATCH('MM01'!$B65,Consulta!$C:$C,0),'MM01'!AP$2),""))</f>
        <v/>
      </c>
      <c r="AQ65" s="45"/>
      <c r="AR65" s="43" t="str">
        <f>IF(IFERROR(INDEX(Consulta!$A:$DP,MATCH('MM01'!$B65,Consulta!$C:$C,0),'MM01'!AR$2),"")=0,"",IFERROR(INDEX(Consulta!$A:$DP,MATCH('MM01'!$B65,Consulta!$C:$C,0),'MM01'!AR$2),""))</f>
        <v/>
      </c>
      <c r="AS65" s="43" t="str">
        <f>IF(IFERROR(INDEX(Consulta!$A:$DP,MATCH('MM01'!$B65,Consulta!$C:$C,0),'MM01'!AS$2),"")=0,"",IF(AR65="68",5102,IFERROR(INDEX(Consulta!$A:$DP,MATCH('MM01'!$B65,Consulta!$C:$C,0),'MM01'!AS$2),"")))</f>
        <v/>
      </c>
      <c r="AT65" s="45"/>
      <c r="AU65" s="46" t="str">
        <f t="shared" ca="1" si="43"/>
        <v/>
      </c>
      <c r="AV65" s="47" t="s">
        <v>795</v>
      </c>
      <c r="AW65" s="43" t="str">
        <f>IF(IFERROR(INDEX(Consulta!$A:$DP,MATCH('MM01'!$B65,Consulta!$C:$C,0),'MM01'!AW$2),"")=0,"",IFERROR(ROUND(INDEX(Consulta!$A:$DP,MATCH('MM01'!$B65,Consulta!$C:$C,0),'MM01'!AW$2),3),""))</f>
        <v/>
      </c>
      <c r="AX65" s="43" t="str">
        <f t="shared" si="44"/>
        <v/>
      </c>
      <c r="AY65" s="48" t="s">
        <v>299</v>
      </c>
      <c r="AZ65" s="48"/>
      <c r="BA65" s="43" t="str">
        <f>IF(IFERROR(INDEX(Consulta!$A:$DP,MATCH('MM01'!$B65,Consulta!$C:$C,0),'MM01'!BA$2),"")=0,"",IFERROR(INDEX(Consulta!$A:$DP,MATCH('MM01'!$B65,Consulta!$C:$C,0),'MM01'!BA$2),""))</f>
        <v/>
      </c>
      <c r="BB65" s="43" t="str">
        <f t="shared" si="45"/>
        <v/>
      </c>
      <c r="BC65" s="43" t="str">
        <f t="shared" si="46"/>
        <v/>
      </c>
      <c r="BD65" s="43" t="str">
        <f t="shared" si="47"/>
        <v/>
      </c>
      <c r="BE65" s="43" t="str">
        <f t="shared" si="48"/>
        <v>M</v>
      </c>
      <c r="BF65" s="43" t="str">
        <f t="shared" si="49"/>
        <v/>
      </c>
      <c r="BG65" s="43" t="str">
        <f t="shared" si="50"/>
        <v/>
      </c>
      <c r="BH65" s="43" t="str">
        <f t="shared" si="51"/>
        <v/>
      </c>
      <c r="BI65" s="43" t="str">
        <f t="shared" si="52"/>
        <v>M</v>
      </c>
      <c r="BK65" s="45" t="s">
        <v>324</v>
      </c>
      <c r="BL65" s="43" t="str">
        <f>IF(IFERROR(INDEX(Consulta!$A:$DP,MATCH('MM01'!$B65,Consulta!$C:$C,0),'MM01'!BL$2),"")=0,"",IFERROR(INDEX(Consulta!$A:$DP,MATCH('MM01'!$B65,Consulta!$C:$C,0),'MM01'!BL$2),""))</f>
        <v/>
      </c>
      <c r="BM65" s="45"/>
      <c r="BN65" s="46" t="str">
        <f t="shared" ca="1" si="53"/>
        <v/>
      </c>
      <c r="BO65" s="49" t="str">
        <f t="shared" si="54"/>
        <v/>
      </c>
      <c r="BP65" s="50">
        <v>1</v>
      </c>
      <c r="BQ65" s="50" t="s">
        <v>194</v>
      </c>
      <c r="BR65" s="79" t="str">
        <f t="shared" si="15"/>
        <v>01</v>
      </c>
      <c r="BS65" s="50" t="s">
        <v>795</v>
      </c>
      <c r="BT65" s="44">
        <v>1</v>
      </c>
      <c r="BU65" s="44" t="s">
        <v>371</v>
      </c>
      <c r="BV65" s="50" t="s">
        <v>197</v>
      </c>
      <c r="BW65" s="50" t="s">
        <v>197</v>
      </c>
      <c r="BX65" s="43" t="str">
        <f>IF(IFERROR(INDEX(Consulta!$A:$DP,MATCH('MM01'!$B65,Consulta!$C:$C,0),'MM01'!BX$2),"")=0,"",IFERROR(INDEX(Consulta!$A:$DP,MATCH('MM01'!$B65,Consulta!$C:$C,0),'MM01'!BX$2),""))</f>
        <v/>
      </c>
      <c r="BY65" s="44" t="s">
        <v>391</v>
      </c>
      <c r="BZ65" s="50">
        <v>0</v>
      </c>
      <c r="CA65" s="45" t="s">
        <v>402</v>
      </c>
      <c r="CB65" s="45" t="s">
        <v>84</v>
      </c>
      <c r="CC65" s="43" t="str">
        <f t="shared" si="55"/>
        <v/>
      </c>
      <c r="CD65" s="45" t="s">
        <v>38</v>
      </c>
      <c r="CE65" s="45">
        <v>1</v>
      </c>
      <c r="CF65" s="45" t="s">
        <v>495</v>
      </c>
      <c r="CG65" s="45"/>
      <c r="CH65" s="44">
        <v>2</v>
      </c>
      <c r="CI65" s="49" t="str">
        <f t="shared" si="56"/>
        <v/>
      </c>
      <c r="CJ65" s="49" t="str">
        <f t="shared" si="57"/>
        <v/>
      </c>
      <c r="CK65" s="45"/>
      <c r="CL65" s="44">
        <v>1</v>
      </c>
      <c r="CM65" s="50" t="s">
        <v>514</v>
      </c>
      <c r="CN65" s="44" t="s">
        <v>371</v>
      </c>
      <c r="CO65" s="44">
        <v>2</v>
      </c>
      <c r="CP65" s="44">
        <v>42</v>
      </c>
      <c r="CQ65" s="44">
        <v>10</v>
      </c>
      <c r="CR65" s="43" t="str">
        <f t="shared" si="58"/>
        <v>K00_P_</v>
      </c>
      <c r="CS65" s="45">
        <v>5000</v>
      </c>
      <c r="CT65" s="43" t="str">
        <f>IF(IFERROR(INDEX(Consulta!$A:$DP,MATCH('MM01'!$B65,Consulta!$C:$C,0),'MM01'!CT$2),"")=0,"",IFERROR(INDEX(Consulta!$A:$DP,MATCH('MM01'!$B65,Consulta!$C:$C,0),'MM01'!CT$2),""))</f>
        <v/>
      </c>
      <c r="CU65" s="43" t="str">
        <f>IF(IFERROR(INDEX(Consulta!$A:$DP,MATCH('MM01'!$B65,Consulta!$C:$C,0),'MM01'!CU$2),"")=0,"",IFERROR(INDEX(Consulta!$A:$DP,MATCH('MM01'!$B65,Consulta!$C:$C,0),'MM01'!CU$2),""))</f>
        <v/>
      </c>
      <c r="CV65" s="43" t="str">
        <f>IF(IFERROR(INDEX(Consulta!$A:$DP,MATCH('MM01'!$B65,Consulta!$C:$C,0),'MM01'!CV$2),"")=0,"",IFERROR(INDEX(Consulta!$A:$DP,MATCH('MM01'!$B65,Consulta!$C:$C,0),'MM01'!CV$2),""))</f>
        <v/>
      </c>
      <c r="CW65" s="43" t="str">
        <f>IF(IFERROR(INDEX(Consulta!$A:$DP,MATCH('MM01'!$B65,Consulta!$C:$C,0),'MM01'!CW$2),"")=0,"",IFERROR(INDEX(Consulta!$A:$DP,MATCH('MM01'!$B65,Consulta!$C:$C,0),'MM01'!CW$2),""))</f>
        <v/>
      </c>
      <c r="CX65" s="43" t="str">
        <f t="shared" si="59"/>
        <v/>
      </c>
      <c r="CY65" s="43" t="str">
        <f t="shared" si="60"/>
        <v/>
      </c>
      <c r="CZ65" s="43" t="str">
        <f t="shared" si="61"/>
        <v/>
      </c>
      <c r="DA65" s="43" t="str">
        <f>IF(IFERROR(INDEX(Consulta!$A:$DP,MATCH('MM01'!$B65,Consulta!$C:$C,0),'MM01'!DA$2),"")=0,"",IFERROR(INDEX(Consulta!$A:$DP,MATCH('MM01'!$B65,Consulta!$C:$C,0),'MM01'!DA$2),""))</f>
        <v/>
      </c>
      <c r="DB65" s="43" t="str">
        <f t="shared" si="62"/>
        <v/>
      </c>
      <c r="DC65" s="43" t="str">
        <f>IF(IFERROR(INDEX(Consulta!$A:$DP,MATCH('MM01'!$B65,Consulta!$C:$C,0),'MM01'!DC$2),"")=0,"",IFERROR(INDEX(Consulta!$A:$DP,MATCH('MM01'!$B65,Consulta!$C:$C,0),'MM01'!DC$2),""))</f>
        <v/>
      </c>
      <c r="DD65" s="45">
        <v>0</v>
      </c>
      <c r="DE65" s="45">
        <v>0</v>
      </c>
      <c r="DF65" s="43" t="str">
        <f t="shared" si="63"/>
        <v/>
      </c>
      <c r="DG65" s="43" t="str">
        <f t="shared" si="64"/>
        <v/>
      </c>
      <c r="DH65" s="57"/>
      <c r="DI65" s="43" t="str">
        <f t="shared" ca="1" si="65"/>
        <v/>
      </c>
      <c r="DJ65" s="43" t="str">
        <f t="shared" si="66"/>
        <v/>
      </c>
      <c r="DK65" s="43" t="str">
        <f t="shared" si="67"/>
        <v/>
      </c>
      <c r="DL65" s="57"/>
      <c r="DM65" s="43" t="str">
        <f t="shared" ca="1" si="68"/>
        <v/>
      </c>
      <c r="DN65" s="43" t="str">
        <f t="shared" si="69"/>
        <v/>
      </c>
      <c r="DO65" s="43" t="str">
        <f t="shared" si="70"/>
        <v/>
      </c>
      <c r="DP65" s="57"/>
      <c r="DQ65" s="43" t="str">
        <f t="shared" ca="1" si="71"/>
        <v/>
      </c>
      <c r="DR65" s="43" t="str">
        <f t="shared" si="72"/>
        <v/>
      </c>
      <c r="DS65" s="43" t="str">
        <f t="shared" si="73"/>
        <v/>
      </c>
      <c r="DT65" s="57"/>
      <c r="DU65" s="43" t="str">
        <f t="shared" ca="1" si="74"/>
        <v/>
      </c>
      <c r="DV65" s="43" t="str">
        <f t="shared" si="75"/>
        <v/>
      </c>
      <c r="DX65" s="44">
        <v>1</v>
      </c>
      <c r="DY65" s="44" t="s">
        <v>773</v>
      </c>
      <c r="DZ65" s="43">
        <f t="shared" si="76"/>
        <v>0.01</v>
      </c>
      <c r="EA65" s="43" t="str">
        <f t="shared" si="77"/>
        <v>M</v>
      </c>
      <c r="EB65" s="43" t="str">
        <f>IF(IFERROR(INDEX(Consulta!$A:$DP,MATCH('MM01'!$B65,Consulta!$C:$C,0),'MM01'!EB$2),"")=0,"7925",IF(IFERROR(INDEX(Consulta!$A:$DP,MATCH('MM01'!$B65,Consulta!$C:$C,0),'MM01'!EB$2),"")="68","7910","7925"))</f>
        <v>7925</v>
      </c>
      <c r="EC65" s="44">
        <v>100</v>
      </c>
      <c r="ED65" s="62">
        <v>1</v>
      </c>
      <c r="EE65" s="43">
        <f t="shared" si="78"/>
        <v>100</v>
      </c>
      <c r="EF65" s="44">
        <v>1</v>
      </c>
      <c r="EG65" s="44">
        <v>0</v>
      </c>
      <c r="EH65" s="44" t="s">
        <v>875</v>
      </c>
      <c r="EI65" s="45">
        <v>0</v>
      </c>
      <c r="EJ65" s="43">
        <f t="shared" si="79"/>
        <v>5000</v>
      </c>
      <c r="EK65" s="69"/>
    </row>
    <row r="66" spans="1:141" x14ac:dyDescent="0.2">
      <c r="A66" s="7" t="str">
        <f t="shared" si="0"/>
        <v>Execução 62</v>
      </c>
      <c r="B66" s="42"/>
      <c r="C66" s="43" t="str">
        <f>IF(IFERROR(INDEX(Consulta!$A:$DP,MATCH('MM01'!$B66,Consulta!$C:$C,0),'MM01'!C$2),"")=0,"",IFERROR(INDEX(Consulta!$A:$DP,MATCH('MM01'!$B66,Consulta!$C:$C,0),'MM01'!C$2),""))</f>
        <v/>
      </c>
      <c r="D66" s="43" t="str">
        <f>IF(IFERROR(INDEX(Consulta!$A:$DP,MATCH('MM01'!$B66,Consulta!$C:$C,0),'MM01'!D$2),"")=0,"",IFERROR(INDEX(Consulta!$A:$DP,MATCH('MM01'!$B66,Consulta!$C:$C,0),'MM01'!D$2),""))</f>
        <v/>
      </c>
      <c r="E66" s="43" t="str">
        <f>IF(IFERROR(INDEX(Consulta!$A:$DP,MATCH('MM01'!$B66,Consulta!$C:$C,0),'MM01'!E$2),"")=0,"",IFERROR(INDEX(Consulta!$A:$DP,MATCH('MM01'!$B66,Consulta!$C:$C,0),'MM01'!E$2),""))</f>
        <v/>
      </c>
      <c r="F66" s="44" t="s">
        <v>100</v>
      </c>
      <c r="G66" s="49" t="str">
        <f>IF(IFERROR(INDEX(Consulta!$A:$DP,MATCH('MM01'!$B66,Consulta!$C:$C,0),'MM01'!G$2),"")=0,"",IFERROR(INDEX(Consulta!$A:$DP,MATCH('MM01'!$B66,Consulta!$C:$C,0),'MM01'!G$2),""))</f>
        <v/>
      </c>
      <c r="H66" s="49" t="str">
        <f>IF(IFERROR(INDEX(Consulta!$A:$DP,MATCH('MM01'!$B66,Consulta!$C:$C,0),'MM01'!H$2),"")=0,"",IFERROR(INDEX(Consulta!$A:$DP,MATCH('MM01'!$B66,Consulta!$C:$C,0),'MM01'!H$2),""))</f>
        <v/>
      </c>
      <c r="I66" s="49" t="str">
        <f t="shared" si="41"/>
        <v/>
      </c>
      <c r="J66" s="49" t="str">
        <f>IF(IFERROR(INDEX(Consulta!$A:$DP,MATCH('MM01'!$B66,Consulta!$C:$C,0),'MM01'!J$2),"")=0,"",IFERROR(INDEX(Consulta!$A:$DP,MATCH('MM01'!$B66,Consulta!$C:$C,0),'MM01'!J$2),""))</f>
        <v/>
      </c>
      <c r="K66" s="49" t="str">
        <f t="shared" si="42"/>
        <v/>
      </c>
      <c r="M66" s="45" t="s">
        <v>101</v>
      </c>
      <c r="N66" s="45" t="s">
        <v>102</v>
      </c>
      <c r="O66" s="45" t="s">
        <v>103</v>
      </c>
      <c r="P66" s="45" t="s">
        <v>104</v>
      </c>
      <c r="Q66" s="45" t="s">
        <v>105</v>
      </c>
      <c r="R66" s="45" t="s">
        <v>106</v>
      </c>
      <c r="S66" s="45" t="s">
        <v>107</v>
      </c>
      <c r="T66" s="45"/>
      <c r="U66" s="45"/>
      <c r="V66" s="45"/>
      <c r="W66" s="45"/>
      <c r="X66" s="45" t="s">
        <v>112</v>
      </c>
      <c r="Y66" s="45" t="s">
        <v>113</v>
      </c>
      <c r="Z66" s="45" t="s">
        <v>114</v>
      </c>
      <c r="AA66" s="45" t="s">
        <v>115</v>
      </c>
      <c r="AB66" s="45" t="s">
        <v>117</v>
      </c>
      <c r="AC66" s="45" t="s">
        <v>118</v>
      </c>
      <c r="AD66" s="45" t="s">
        <v>119</v>
      </c>
      <c r="AE66" s="45" t="s">
        <v>120</v>
      </c>
      <c r="AF66" s="45" t="s">
        <v>121</v>
      </c>
      <c r="AG66" s="45" t="s">
        <v>122</v>
      </c>
      <c r="AH66" s="45" t="s">
        <v>123</v>
      </c>
      <c r="AI66" s="45" t="s">
        <v>124</v>
      </c>
      <c r="AJ66" s="45" t="s">
        <v>125</v>
      </c>
      <c r="AK66" s="45" t="s">
        <v>126</v>
      </c>
      <c r="AL66" s="45"/>
      <c r="AM66" s="45"/>
      <c r="AO66" s="44" t="s">
        <v>100</v>
      </c>
      <c r="AP66" s="43" t="str">
        <f>IF(IFERROR(INDEX(Consulta!$A:$DP,MATCH('MM01'!$B66,Consulta!$C:$C,0),'MM01'!AP$2),"")=0,"",IFERROR(INDEX(Consulta!$A:$DP,MATCH('MM01'!$B66,Consulta!$C:$C,0),'MM01'!AP$2),""))</f>
        <v/>
      </c>
      <c r="AQ66" s="45"/>
      <c r="AR66" s="43" t="str">
        <f>IF(IFERROR(INDEX(Consulta!$A:$DP,MATCH('MM01'!$B66,Consulta!$C:$C,0),'MM01'!AR$2),"")=0,"",IFERROR(INDEX(Consulta!$A:$DP,MATCH('MM01'!$B66,Consulta!$C:$C,0),'MM01'!AR$2),""))</f>
        <v/>
      </c>
      <c r="AS66" s="43" t="str">
        <f>IF(IFERROR(INDEX(Consulta!$A:$DP,MATCH('MM01'!$B66,Consulta!$C:$C,0),'MM01'!AS$2),"")=0,"",IF(AR66="68",5102,IFERROR(INDEX(Consulta!$A:$DP,MATCH('MM01'!$B66,Consulta!$C:$C,0),'MM01'!AS$2),"")))</f>
        <v/>
      </c>
      <c r="AT66" s="45"/>
      <c r="AU66" s="46" t="str">
        <f t="shared" ca="1" si="43"/>
        <v/>
      </c>
      <c r="AV66" s="47" t="s">
        <v>795</v>
      </c>
      <c r="AW66" s="43" t="str">
        <f>IF(IFERROR(INDEX(Consulta!$A:$DP,MATCH('MM01'!$B66,Consulta!$C:$C,0),'MM01'!AW$2),"")=0,"",IFERROR(ROUND(INDEX(Consulta!$A:$DP,MATCH('MM01'!$B66,Consulta!$C:$C,0),'MM01'!AW$2),3),""))</f>
        <v/>
      </c>
      <c r="AX66" s="43" t="str">
        <f t="shared" si="44"/>
        <v/>
      </c>
      <c r="AY66" s="48" t="s">
        <v>299</v>
      </c>
      <c r="AZ66" s="48"/>
      <c r="BA66" s="43" t="str">
        <f>IF(IFERROR(INDEX(Consulta!$A:$DP,MATCH('MM01'!$B66,Consulta!$C:$C,0),'MM01'!BA$2),"")=0,"",IFERROR(INDEX(Consulta!$A:$DP,MATCH('MM01'!$B66,Consulta!$C:$C,0),'MM01'!BA$2),""))</f>
        <v/>
      </c>
      <c r="BB66" s="43" t="str">
        <f t="shared" si="45"/>
        <v/>
      </c>
      <c r="BC66" s="43" t="str">
        <f t="shared" si="46"/>
        <v/>
      </c>
      <c r="BD66" s="43" t="str">
        <f t="shared" si="47"/>
        <v/>
      </c>
      <c r="BE66" s="43" t="str">
        <f t="shared" si="48"/>
        <v>M</v>
      </c>
      <c r="BF66" s="43" t="str">
        <f t="shared" si="49"/>
        <v/>
      </c>
      <c r="BG66" s="43" t="str">
        <f t="shared" si="50"/>
        <v/>
      </c>
      <c r="BH66" s="43" t="str">
        <f t="shared" si="51"/>
        <v/>
      </c>
      <c r="BI66" s="43" t="str">
        <f t="shared" si="52"/>
        <v>M</v>
      </c>
      <c r="BK66" s="45" t="s">
        <v>324</v>
      </c>
      <c r="BL66" s="43" t="str">
        <f>IF(IFERROR(INDEX(Consulta!$A:$DP,MATCH('MM01'!$B66,Consulta!$C:$C,0),'MM01'!BL$2),"")=0,"",IFERROR(INDEX(Consulta!$A:$DP,MATCH('MM01'!$B66,Consulta!$C:$C,0),'MM01'!BL$2),""))</f>
        <v/>
      </c>
      <c r="BM66" s="45"/>
      <c r="BN66" s="46" t="str">
        <f t="shared" ca="1" si="53"/>
        <v/>
      </c>
      <c r="BO66" s="49" t="str">
        <f t="shared" si="54"/>
        <v/>
      </c>
      <c r="BP66" s="50">
        <v>1</v>
      </c>
      <c r="BQ66" s="50" t="s">
        <v>194</v>
      </c>
      <c r="BR66" s="79" t="str">
        <f t="shared" si="15"/>
        <v>01</v>
      </c>
      <c r="BS66" s="50" t="s">
        <v>795</v>
      </c>
      <c r="BT66" s="44">
        <v>1</v>
      </c>
      <c r="BU66" s="44" t="s">
        <v>371</v>
      </c>
      <c r="BV66" s="50" t="s">
        <v>197</v>
      </c>
      <c r="BW66" s="50" t="s">
        <v>197</v>
      </c>
      <c r="BX66" s="43" t="str">
        <f>IF(IFERROR(INDEX(Consulta!$A:$DP,MATCH('MM01'!$B66,Consulta!$C:$C,0),'MM01'!BX$2),"")=0,"",IFERROR(INDEX(Consulta!$A:$DP,MATCH('MM01'!$B66,Consulta!$C:$C,0),'MM01'!BX$2),""))</f>
        <v/>
      </c>
      <c r="BY66" s="44" t="s">
        <v>391</v>
      </c>
      <c r="BZ66" s="50">
        <v>0</v>
      </c>
      <c r="CA66" s="45" t="s">
        <v>402</v>
      </c>
      <c r="CB66" s="45" t="s">
        <v>84</v>
      </c>
      <c r="CC66" s="43" t="str">
        <f t="shared" si="55"/>
        <v/>
      </c>
      <c r="CD66" s="45" t="s">
        <v>38</v>
      </c>
      <c r="CE66" s="45">
        <v>1</v>
      </c>
      <c r="CF66" s="45" t="s">
        <v>495</v>
      </c>
      <c r="CG66" s="45"/>
      <c r="CH66" s="44">
        <v>2</v>
      </c>
      <c r="CI66" s="49" t="str">
        <f t="shared" si="56"/>
        <v/>
      </c>
      <c r="CJ66" s="49" t="str">
        <f t="shared" si="57"/>
        <v/>
      </c>
      <c r="CK66" s="45"/>
      <c r="CL66" s="44">
        <v>1</v>
      </c>
      <c r="CM66" s="50" t="s">
        <v>514</v>
      </c>
      <c r="CN66" s="44" t="s">
        <v>371</v>
      </c>
      <c r="CO66" s="44">
        <v>2</v>
      </c>
      <c r="CP66" s="44">
        <v>42</v>
      </c>
      <c r="CQ66" s="44">
        <v>10</v>
      </c>
      <c r="CR66" s="43" t="str">
        <f t="shared" si="58"/>
        <v>K00_P_</v>
      </c>
      <c r="CS66" s="45">
        <v>5000</v>
      </c>
      <c r="CT66" s="43" t="str">
        <f>IF(IFERROR(INDEX(Consulta!$A:$DP,MATCH('MM01'!$B66,Consulta!$C:$C,0),'MM01'!CT$2),"")=0,"",IFERROR(INDEX(Consulta!$A:$DP,MATCH('MM01'!$B66,Consulta!$C:$C,0),'MM01'!CT$2),""))</f>
        <v/>
      </c>
      <c r="CU66" s="43" t="str">
        <f>IF(IFERROR(INDEX(Consulta!$A:$DP,MATCH('MM01'!$B66,Consulta!$C:$C,0),'MM01'!CU$2),"")=0,"",IFERROR(INDEX(Consulta!$A:$DP,MATCH('MM01'!$B66,Consulta!$C:$C,0),'MM01'!CU$2),""))</f>
        <v/>
      </c>
      <c r="CV66" s="43" t="str">
        <f>IF(IFERROR(INDEX(Consulta!$A:$DP,MATCH('MM01'!$B66,Consulta!$C:$C,0),'MM01'!CV$2),"")=0,"",IFERROR(INDEX(Consulta!$A:$DP,MATCH('MM01'!$B66,Consulta!$C:$C,0),'MM01'!CV$2),""))</f>
        <v/>
      </c>
      <c r="CW66" s="43" t="str">
        <f>IF(IFERROR(INDEX(Consulta!$A:$DP,MATCH('MM01'!$B66,Consulta!$C:$C,0),'MM01'!CW$2),"")=0,"",IFERROR(INDEX(Consulta!$A:$DP,MATCH('MM01'!$B66,Consulta!$C:$C,0),'MM01'!CW$2),""))</f>
        <v/>
      </c>
      <c r="CX66" s="43" t="str">
        <f t="shared" si="59"/>
        <v/>
      </c>
      <c r="CY66" s="43" t="str">
        <f t="shared" si="60"/>
        <v/>
      </c>
      <c r="CZ66" s="43" t="str">
        <f t="shared" si="61"/>
        <v/>
      </c>
      <c r="DA66" s="43" t="str">
        <f>IF(IFERROR(INDEX(Consulta!$A:$DP,MATCH('MM01'!$B66,Consulta!$C:$C,0),'MM01'!DA$2),"")=0,"",IFERROR(INDEX(Consulta!$A:$DP,MATCH('MM01'!$B66,Consulta!$C:$C,0),'MM01'!DA$2),""))</f>
        <v/>
      </c>
      <c r="DB66" s="43" t="str">
        <f t="shared" si="62"/>
        <v/>
      </c>
      <c r="DC66" s="43" t="str">
        <f>IF(IFERROR(INDEX(Consulta!$A:$DP,MATCH('MM01'!$B66,Consulta!$C:$C,0),'MM01'!DC$2),"")=0,"",IFERROR(INDEX(Consulta!$A:$DP,MATCH('MM01'!$B66,Consulta!$C:$C,0),'MM01'!DC$2),""))</f>
        <v/>
      </c>
      <c r="DD66" s="45">
        <v>0</v>
      </c>
      <c r="DE66" s="45">
        <v>0</v>
      </c>
      <c r="DF66" s="43" t="str">
        <f t="shared" si="63"/>
        <v/>
      </c>
      <c r="DG66" s="43" t="str">
        <f t="shared" si="64"/>
        <v/>
      </c>
      <c r="DH66" s="57"/>
      <c r="DI66" s="43" t="str">
        <f t="shared" ca="1" si="65"/>
        <v/>
      </c>
      <c r="DJ66" s="43" t="str">
        <f t="shared" si="66"/>
        <v/>
      </c>
      <c r="DK66" s="43" t="str">
        <f t="shared" si="67"/>
        <v/>
      </c>
      <c r="DL66" s="57"/>
      <c r="DM66" s="43" t="str">
        <f t="shared" ca="1" si="68"/>
        <v/>
      </c>
      <c r="DN66" s="43" t="str">
        <f t="shared" si="69"/>
        <v/>
      </c>
      <c r="DO66" s="43" t="str">
        <f t="shared" si="70"/>
        <v/>
      </c>
      <c r="DP66" s="57"/>
      <c r="DQ66" s="43" t="str">
        <f t="shared" ca="1" si="71"/>
        <v/>
      </c>
      <c r="DR66" s="43" t="str">
        <f t="shared" si="72"/>
        <v/>
      </c>
      <c r="DS66" s="43" t="str">
        <f t="shared" si="73"/>
        <v/>
      </c>
      <c r="DT66" s="57"/>
      <c r="DU66" s="43" t="str">
        <f t="shared" ca="1" si="74"/>
        <v/>
      </c>
      <c r="DV66" s="43" t="str">
        <f t="shared" si="75"/>
        <v/>
      </c>
      <c r="DX66" s="44">
        <v>1</v>
      </c>
      <c r="DY66" s="44" t="s">
        <v>773</v>
      </c>
      <c r="DZ66" s="43">
        <f t="shared" si="76"/>
        <v>0.01</v>
      </c>
      <c r="EA66" s="43" t="str">
        <f t="shared" si="77"/>
        <v>M</v>
      </c>
      <c r="EB66" s="43" t="str">
        <f>IF(IFERROR(INDEX(Consulta!$A:$DP,MATCH('MM01'!$B66,Consulta!$C:$C,0),'MM01'!EB$2),"")=0,"7925",IF(IFERROR(INDEX(Consulta!$A:$DP,MATCH('MM01'!$B66,Consulta!$C:$C,0),'MM01'!EB$2),"")="68","7910","7925"))</f>
        <v>7925</v>
      </c>
      <c r="EC66" s="44">
        <v>100</v>
      </c>
      <c r="ED66" s="62">
        <v>1</v>
      </c>
      <c r="EE66" s="43">
        <f t="shared" si="78"/>
        <v>100</v>
      </c>
      <c r="EF66" s="44">
        <v>1</v>
      </c>
      <c r="EG66" s="44">
        <v>0</v>
      </c>
      <c r="EH66" s="44" t="s">
        <v>875</v>
      </c>
      <c r="EI66" s="45">
        <v>0</v>
      </c>
      <c r="EJ66" s="43">
        <f t="shared" si="79"/>
        <v>5000</v>
      </c>
      <c r="EK66" s="69"/>
    </row>
    <row r="67" spans="1:141" x14ac:dyDescent="0.2">
      <c r="A67" s="7" t="str">
        <f t="shared" si="0"/>
        <v>Execução 63</v>
      </c>
      <c r="B67" s="42"/>
      <c r="C67" s="43" t="str">
        <f>IF(IFERROR(INDEX(Consulta!$A:$DP,MATCH('MM01'!$B67,Consulta!$C:$C,0),'MM01'!C$2),"")=0,"",IFERROR(INDEX(Consulta!$A:$DP,MATCH('MM01'!$B67,Consulta!$C:$C,0),'MM01'!C$2),""))</f>
        <v/>
      </c>
      <c r="D67" s="43" t="str">
        <f>IF(IFERROR(INDEX(Consulta!$A:$DP,MATCH('MM01'!$B67,Consulta!$C:$C,0),'MM01'!D$2),"")=0,"",IFERROR(INDEX(Consulta!$A:$DP,MATCH('MM01'!$B67,Consulta!$C:$C,0),'MM01'!D$2),""))</f>
        <v/>
      </c>
      <c r="E67" s="43" t="str">
        <f>IF(IFERROR(INDEX(Consulta!$A:$DP,MATCH('MM01'!$B67,Consulta!$C:$C,0),'MM01'!E$2),"")=0,"",IFERROR(INDEX(Consulta!$A:$DP,MATCH('MM01'!$B67,Consulta!$C:$C,0),'MM01'!E$2),""))</f>
        <v/>
      </c>
      <c r="F67" s="44" t="s">
        <v>100</v>
      </c>
      <c r="G67" s="49" t="str">
        <f>IF(IFERROR(INDEX(Consulta!$A:$DP,MATCH('MM01'!$B67,Consulta!$C:$C,0),'MM01'!G$2),"")=0,"",IFERROR(INDEX(Consulta!$A:$DP,MATCH('MM01'!$B67,Consulta!$C:$C,0),'MM01'!G$2),""))</f>
        <v/>
      </c>
      <c r="H67" s="49" t="str">
        <f>IF(IFERROR(INDEX(Consulta!$A:$DP,MATCH('MM01'!$B67,Consulta!$C:$C,0),'MM01'!H$2),"")=0,"",IFERROR(INDEX(Consulta!$A:$DP,MATCH('MM01'!$B67,Consulta!$C:$C,0),'MM01'!H$2),""))</f>
        <v/>
      </c>
      <c r="I67" s="49" t="str">
        <f t="shared" si="41"/>
        <v/>
      </c>
      <c r="J67" s="49" t="str">
        <f>IF(IFERROR(INDEX(Consulta!$A:$DP,MATCH('MM01'!$B67,Consulta!$C:$C,0),'MM01'!J$2),"")=0,"",IFERROR(INDEX(Consulta!$A:$DP,MATCH('MM01'!$B67,Consulta!$C:$C,0),'MM01'!J$2),""))</f>
        <v/>
      </c>
      <c r="K67" s="49" t="str">
        <f t="shared" si="42"/>
        <v/>
      </c>
      <c r="M67" s="45" t="s">
        <v>101</v>
      </c>
      <c r="N67" s="45" t="s">
        <v>102</v>
      </c>
      <c r="O67" s="45" t="s">
        <v>103</v>
      </c>
      <c r="P67" s="45" t="s">
        <v>104</v>
      </c>
      <c r="Q67" s="45" t="s">
        <v>105</v>
      </c>
      <c r="R67" s="45" t="s">
        <v>106</v>
      </c>
      <c r="S67" s="45" t="s">
        <v>107</v>
      </c>
      <c r="T67" s="45"/>
      <c r="U67" s="45"/>
      <c r="V67" s="45"/>
      <c r="W67" s="45"/>
      <c r="X67" s="45" t="s">
        <v>112</v>
      </c>
      <c r="Y67" s="45" t="s">
        <v>113</v>
      </c>
      <c r="Z67" s="45" t="s">
        <v>114</v>
      </c>
      <c r="AA67" s="45" t="s">
        <v>115</v>
      </c>
      <c r="AB67" s="45" t="s">
        <v>117</v>
      </c>
      <c r="AC67" s="45" t="s">
        <v>118</v>
      </c>
      <c r="AD67" s="45" t="s">
        <v>119</v>
      </c>
      <c r="AE67" s="45" t="s">
        <v>120</v>
      </c>
      <c r="AF67" s="45" t="s">
        <v>121</v>
      </c>
      <c r="AG67" s="45" t="s">
        <v>122</v>
      </c>
      <c r="AH67" s="45" t="s">
        <v>123</v>
      </c>
      <c r="AI67" s="45" t="s">
        <v>124</v>
      </c>
      <c r="AJ67" s="45" t="s">
        <v>125</v>
      </c>
      <c r="AK67" s="45" t="s">
        <v>126</v>
      </c>
      <c r="AL67" s="45"/>
      <c r="AM67" s="45"/>
      <c r="AO67" s="44" t="s">
        <v>100</v>
      </c>
      <c r="AP67" s="43" t="str">
        <f>IF(IFERROR(INDEX(Consulta!$A:$DP,MATCH('MM01'!$B67,Consulta!$C:$C,0),'MM01'!AP$2),"")=0,"",IFERROR(INDEX(Consulta!$A:$DP,MATCH('MM01'!$B67,Consulta!$C:$C,0),'MM01'!AP$2),""))</f>
        <v/>
      </c>
      <c r="AQ67" s="45"/>
      <c r="AR67" s="43" t="str">
        <f>IF(IFERROR(INDEX(Consulta!$A:$DP,MATCH('MM01'!$B67,Consulta!$C:$C,0),'MM01'!AR$2),"")=0,"",IFERROR(INDEX(Consulta!$A:$DP,MATCH('MM01'!$B67,Consulta!$C:$C,0),'MM01'!AR$2),""))</f>
        <v/>
      </c>
      <c r="AS67" s="43" t="str">
        <f>IF(IFERROR(INDEX(Consulta!$A:$DP,MATCH('MM01'!$B67,Consulta!$C:$C,0),'MM01'!AS$2),"")=0,"",IF(AR67="68",5102,IFERROR(INDEX(Consulta!$A:$DP,MATCH('MM01'!$B67,Consulta!$C:$C,0),'MM01'!AS$2),"")))</f>
        <v/>
      </c>
      <c r="AT67" s="45"/>
      <c r="AU67" s="46" t="str">
        <f t="shared" ca="1" si="43"/>
        <v/>
      </c>
      <c r="AV67" s="47" t="s">
        <v>795</v>
      </c>
      <c r="AW67" s="43" t="str">
        <f>IF(IFERROR(INDEX(Consulta!$A:$DP,MATCH('MM01'!$B67,Consulta!$C:$C,0),'MM01'!AW$2),"")=0,"",IFERROR(ROUND(INDEX(Consulta!$A:$DP,MATCH('MM01'!$B67,Consulta!$C:$C,0),'MM01'!AW$2),3),""))</f>
        <v/>
      </c>
      <c r="AX67" s="43" t="str">
        <f t="shared" si="44"/>
        <v/>
      </c>
      <c r="AY67" s="48" t="s">
        <v>299</v>
      </c>
      <c r="AZ67" s="48"/>
      <c r="BA67" s="43" t="str">
        <f>IF(IFERROR(INDEX(Consulta!$A:$DP,MATCH('MM01'!$B67,Consulta!$C:$C,0),'MM01'!BA$2),"")=0,"",IFERROR(INDEX(Consulta!$A:$DP,MATCH('MM01'!$B67,Consulta!$C:$C,0),'MM01'!BA$2),""))</f>
        <v/>
      </c>
      <c r="BB67" s="43" t="str">
        <f t="shared" si="45"/>
        <v/>
      </c>
      <c r="BC67" s="43" t="str">
        <f t="shared" si="46"/>
        <v/>
      </c>
      <c r="BD67" s="43" t="str">
        <f t="shared" si="47"/>
        <v/>
      </c>
      <c r="BE67" s="43" t="str">
        <f t="shared" si="48"/>
        <v>M</v>
      </c>
      <c r="BF67" s="43" t="str">
        <f t="shared" si="49"/>
        <v/>
      </c>
      <c r="BG67" s="43" t="str">
        <f t="shared" si="50"/>
        <v/>
      </c>
      <c r="BH67" s="43" t="str">
        <f t="shared" si="51"/>
        <v/>
      </c>
      <c r="BI67" s="43" t="str">
        <f t="shared" si="52"/>
        <v>M</v>
      </c>
      <c r="BK67" s="45" t="s">
        <v>324</v>
      </c>
      <c r="BL67" s="43" t="str">
        <f>IF(IFERROR(INDEX(Consulta!$A:$DP,MATCH('MM01'!$B67,Consulta!$C:$C,0),'MM01'!BL$2),"")=0,"",IFERROR(INDEX(Consulta!$A:$DP,MATCH('MM01'!$B67,Consulta!$C:$C,0),'MM01'!BL$2),""))</f>
        <v/>
      </c>
      <c r="BM67" s="45"/>
      <c r="BN67" s="46" t="str">
        <f t="shared" ca="1" si="53"/>
        <v/>
      </c>
      <c r="BO67" s="49" t="str">
        <f t="shared" si="54"/>
        <v/>
      </c>
      <c r="BP67" s="50">
        <v>1</v>
      </c>
      <c r="BQ67" s="50" t="s">
        <v>194</v>
      </c>
      <c r="BR67" s="79" t="str">
        <f t="shared" si="15"/>
        <v>01</v>
      </c>
      <c r="BS67" s="50" t="s">
        <v>795</v>
      </c>
      <c r="BT67" s="44">
        <v>1</v>
      </c>
      <c r="BU67" s="44" t="s">
        <v>371</v>
      </c>
      <c r="BV67" s="50" t="s">
        <v>197</v>
      </c>
      <c r="BW67" s="50" t="s">
        <v>197</v>
      </c>
      <c r="BX67" s="43" t="str">
        <f>IF(IFERROR(INDEX(Consulta!$A:$DP,MATCH('MM01'!$B67,Consulta!$C:$C,0),'MM01'!BX$2),"")=0,"",IFERROR(INDEX(Consulta!$A:$DP,MATCH('MM01'!$B67,Consulta!$C:$C,0),'MM01'!BX$2),""))</f>
        <v/>
      </c>
      <c r="BY67" s="44" t="s">
        <v>391</v>
      </c>
      <c r="BZ67" s="50">
        <v>0</v>
      </c>
      <c r="CA67" s="45" t="s">
        <v>402</v>
      </c>
      <c r="CB67" s="45" t="s">
        <v>84</v>
      </c>
      <c r="CC67" s="43" t="str">
        <f t="shared" si="55"/>
        <v/>
      </c>
      <c r="CD67" s="45" t="s">
        <v>38</v>
      </c>
      <c r="CE67" s="45">
        <v>1</v>
      </c>
      <c r="CF67" s="45" t="s">
        <v>495</v>
      </c>
      <c r="CG67" s="45"/>
      <c r="CH67" s="44">
        <v>2</v>
      </c>
      <c r="CI67" s="49" t="str">
        <f t="shared" si="56"/>
        <v/>
      </c>
      <c r="CJ67" s="49" t="str">
        <f t="shared" si="57"/>
        <v/>
      </c>
      <c r="CK67" s="45"/>
      <c r="CL67" s="44">
        <v>1</v>
      </c>
      <c r="CM67" s="50" t="s">
        <v>514</v>
      </c>
      <c r="CN67" s="44" t="s">
        <v>371</v>
      </c>
      <c r="CO67" s="44">
        <v>2</v>
      </c>
      <c r="CP67" s="44">
        <v>42</v>
      </c>
      <c r="CQ67" s="44">
        <v>10</v>
      </c>
      <c r="CR67" s="43" t="str">
        <f t="shared" si="58"/>
        <v>K00_P_</v>
      </c>
      <c r="CS67" s="45">
        <v>5000</v>
      </c>
      <c r="CT67" s="43" t="str">
        <f>IF(IFERROR(INDEX(Consulta!$A:$DP,MATCH('MM01'!$B67,Consulta!$C:$C,0),'MM01'!CT$2),"")=0,"",IFERROR(INDEX(Consulta!$A:$DP,MATCH('MM01'!$B67,Consulta!$C:$C,0),'MM01'!CT$2),""))</f>
        <v/>
      </c>
      <c r="CU67" s="43" t="str">
        <f>IF(IFERROR(INDEX(Consulta!$A:$DP,MATCH('MM01'!$B67,Consulta!$C:$C,0),'MM01'!CU$2),"")=0,"",IFERROR(INDEX(Consulta!$A:$DP,MATCH('MM01'!$B67,Consulta!$C:$C,0),'MM01'!CU$2),""))</f>
        <v/>
      </c>
      <c r="CV67" s="43" t="str">
        <f>IF(IFERROR(INDEX(Consulta!$A:$DP,MATCH('MM01'!$B67,Consulta!$C:$C,0),'MM01'!CV$2),"")=0,"",IFERROR(INDEX(Consulta!$A:$DP,MATCH('MM01'!$B67,Consulta!$C:$C,0),'MM01'!CV$2),""))</f>
        <v/>
      </c>
      <c r="CW67" s="43" t="str">
        <f>IF(IFERROR(INDEX(Consulta!$A:$DP,MATCH('MM01'!$B67,Consulta!$C:$C,0),'MM01'!CW$2),"")=0,"",IFERROR(INDEX(Consulta!$A:$DP,MATCH('MM01'!$B67,Consulta!$C:$C,0),'MM01'!CW$2),""))</f>
        <v/>
      </c>
      <c r="CX67" s="43" t="str">
        <f t="shared" si="59"/>
        <v/>
      </c>
      <c r="CY67" s="43" t="str">
        <f t="shared" si="60"/>
        <v/>
      </c>
      <c r="CZ67" s="43" t="str">
        <f t="shared" si="61"/>
        <v/>
      </c>
      <c r="DA67" s="43" t="str">
        <f>IF(IFERROR(INDEX(Consulta!$A:$DP,MATCH('MM01'!$B67,Consulta!$C:$C,0),'MM01'!DA$2),"")=0,"",IFERROR(INDEX(Consulta!$A:$DP,MATCH('MM01'!$B67,Consulta!$C:$C,0),'MM01'!DA$2),""))</f>
        <v/>
      </c>
      <c r="DB67" s="43" t="str">
        <f t="shared" si="62"/>
        <v/>
      </c>
      <c r="DC67" s="43" t="str">
        <f>IF(IFERROR(INDEX(Consulta!$A:$DP,MATCH('MM01'!$B67,Consulta!$C:$C,0),'MM01'!DC$2),"")=0,"",IFERROR(INDEX(Consulta!$A:$DP,MATCH('MM01'!$B67,Consulta!$C:$C,0),'MM01'!DC$2),""))</f>
        <v/>
      </c>
      <c r="DD67" s="45">
        <v>0</v>
      </c>
      <c r="DE67" s="45">
        <v>0</v>
      </c>
      <c r="DF67" s="43" t="str">
        <f t="shared" si="63"/>
        <v/>
      </c>
      <c r="DG67" s="43" t="str">
        <f t="shared" si="64"/>
        <v/>
      </c>
      <c r="DH67" s="57"/>
      <c r="DI67" s="43" t="str">
        <f t="shared" ca="1" si="65"/>
        <v/>
      </c>
      <c r="DJ67" s="43" t="str">
        <f t="shared" si="66"/>
        <v/>
      </c>
      <c r="DK67" s="43" t="str">
        <f t="shared" si="67"/>
        <v/>
      </c>
      <c r="DL67" s="57"/>
      <c r="DM67" s="43" t="str">
        <f t="shared" ca="1" si="68"/>
        <v/>
      </c>
      <c r="DN67" s="43" t="str">
        <f t="shared" si="69"/>
        <v/>
      </c>
      <c r="DO67" s="43" t="str">
        <f t="shared" si="70"/>
        <v/>
      </c>
      <c r="DP67" s="57"/>
      <c r="DQ67" s="43" t="str">
        <f t="shared" ca="1" si="71"/>
        <v/>
      </c>
      <c r="DR67" s="43" t="str">
        <f t="shared" si="72"/>
        <v/>
      </c>
      <c r="DS67" s="43" t="str">
        <f t="shared" si="73"/>
        <v/>
      </c>
      <c r="DT67" s="57"/>
      <c r="DU67" s="43" t="str">
        <f t="shared" ca="1" si="74"/>
        <v/>
      </c>
      <c r="DV67" s="43" t="str">
        <f t="shared" si="75"/>
        <v/>
      </c>
      <c r="DX67" s="44">
        <v>1</v>
      </c>
      <c r="DY67" s="44" t="s">
        <v>773</v>
      </c>
      <c r="DZ67" s="43">
        <f t="shared" si="76"/>
        <v>0.01</v>
      </c>
      <c r="EA67" s="43" t="str">
        <f t="shared" si="77"/>
        <v>M</v>
      </c>
      <c r="EB67" s="43" t="str">
        <f>IF(IFERROR(INDEX(Consulta!$A:$DP,MATCH('MM01'!$B67,Consulta!$C:$C,0),'MM01'!EB$2),"")=0,"7925",IF(IFERROR(INDEX(Consulta!$A:$DP,MATCH('MM01'!$B67,Consulta!$C:$C,0),'MM01'!EB$2),"")="68","7910","7925"))</f>
        <v>7925</v>
      </c>
      <c r="EC67" s="44">
        <v>100</v>
      </c>
      <c r="ED67" s="62">
        <v>1</v>
      </c>
      <c r="EE67" s="43">
        <f t="shared" si="78"/>
        <v>100</v>
      </c>
      <c r="EF67" s="44">
        <v>1</v>
      </c>
      <c r="EG67" s="44">
        <v>0</v>
      </c>
      <c r="EH67" s="44" t="s">
        <v>875</v>
      </c>
      <c r="EI67" s="45">
        <v>0</v>
      </c>
      <c r="EJ67" s="43">
        <f t="shared" si="79"/>
        <v>5000</v>
      </c>
      <c r="EK67" s="69"/>
    </row>
    <row r="68" spans="1:141" x14ac:dyDescent="0.2">
      <c r="A68" s="7" t="str">
        <f t="shared" si="0"/>
        <v>Execução 64</v>
      </c>
      <c r="B68" s="42"/>
      <c r="C68" s="43" t="str">
        <f>IF(IFERROR(INDEX(Consulta!$A:$DP,MATCH('MM01'!$B68,Consulta!$C:$C,0),'MM01'!C$2),"")=0,"",IFERROR(INDEX(Consulta!$A:$DP,MATCH('MM01'!$B68,Consulta!$C:$C,0),'MM01'!C$2),""))</f>
        <v/>
      </c>
      <c r="D68" s="43" t="str">
        <f>IF(IFERROR(INDEX(Consulta!$A:$DP,MATCH('MM01'!$B68,Consulta!$C:$C,0),'MM01'!D$2),"")=0,"",IFERROR(INDEX(Consulta!$A:$DP,MATCH('MM01'!$B68,Consulta!$C:$C,0),'MM01'!D$2),""))</f>
        <v/>
      </c>
      <c r="E68" s="43" t="str">
        <f>IF(IFERROR(INDEX(Consulta!$A:$DP,MATCH('MM01'!$B68,Consulta!$C:$C,0),'MM01'!E$2),"")=0,"",IFERROR(INDEX(Consulta!$A:$DP,MATCH('MM01'!$B68,Consulta!$C:$C,0),'MM01'!E$2),""))</f>
        <v/>
      </c>
      <c r="F68" s="44" t="s">
        <v>100</v>
      </c>
      <c r="G68" s="49" t="str">
        <f>IF(IFERROR(INDEX(Consulta!$A:$DP,MATCH('MM01'!$B68,Consulta!$C:$C,0),'MM01'!G$2),"")=0,"",IFERROR(INDEX(Consulta!$A:$DP,MATCH('MM01'!$B68,Consulta!$C:$C,0),'MM01'!G$2),""))</f>
        <v/>
      </c>
      <c r="H68" s="49" t="str">
        <f>IF(IFERROR(INDEX(Consulta!$A:$DP,MATCH('MM01'!$B68,Consulta!$C:$C,0),'MM01'!H$2),"")=0,"",IFERROR(INDEX(Consulta!$A:$DP,MATCH('MM01'!$B68,Consulta!$C:$C,0),'MM01'!H$2),""))</f>
        <v/>
      </c>
      <c r="I68" s="49" t="str">
        <f t="shared" si="41"/>
        <v/>
      </c>
      <c r="J68" s="49" t="str">
        <f>IF(IFERROR(INDEX(Consulta!$A:$DP,MATCH('MM01'!$B68,Consulta!$C:$C,0),'MM01'!J$2),"")=0,"",IFERROR(INDEX(Consulta!$A:$DP,MATCH('MM01'!$B68,Consulta!$C:$C,0),'MM01'!J$2),""))</f>
        <v/>
      </c>
      <c r="K68" s="49" t="str">
        <f t="shared" si="42"/>
        <v/>
      </c>
      <c r="M68" s="45" t="s">
        <v>101</v>
      </c>
      <c r="N68" s="45" t="s">
        <v>102</v>
      </c>
      <c r="O68" s="45" t="s">
        <v>103</v>
      </c>
      <c r="P68" s="45" t="s">
        <v>104</v>
      </c>
      <c r="Q68" s="45" t="s">
        <v>105</v>
      </c>
      <c r="R68" s="45" t="s">
        <v>106</v>
      </c>
      <c r="S68" s="45" t="s">
        <v>107</v>
      </c>
      <c r="T68" s="45"/>
      <c r="U68" s="45"/>
      <c r="V68" s="45"/>
      <c r="W68" s="45"/>
      <c r="X68" s="45" t="s">
        <v>112</v>
      </c>
      <c r="Y68" s="45" t="s">
        <v>113</v>
      </c>
      <c r="Z68" s="45" t="s">
        <v>114</v>
      </c>
      <c r="AA68" s="45" t="s">
        <v>115</v>
      </c>
      <c r="AB68" s="45" t="s">
        <v>117</v>
      </c>
      <c r="AC68" s="45" t="s">
        <v>118</v>
      </c>
      <c r="AD68" s="45" t="s">
        <v>119</v>
      </c>
      <c r="AE68" s="45" t="s">
        <v>120</v>
      </c>
      <c r="AF68" s="45" t="s">
        <v>121</v>
      </c>
      <c r="AG68" s="45" t="s">
        <v>122</v>
      </c>
      <c r="AH68" s="45" t="s">
        <v>123</v>
      </c>
      <c r="AI68" s="45" t="s">
        <v>124</v>
      </c>
      <c r="AJ68" s="45" t="s">
        <v>125</v>
      </c>
      <c r="AK68" s="45" t="s">
        <v>126</v>
      </c>
      <c r="AL68" s="45"/>
      <c r="AM68" s="45"/>
      <c r="AO68" s="44" t="s">
        <v>100</v>
      </c>
      <c r="AP68" s="43" t="str">
        <f>IF(IFERROR(INDEX(Consulta!$A:$DP,MATCH('MM01'!$B68,Consulta!$C:$C,0),'MM01'!AP$2),"")=0,"",IFERROR(INDEX(Consulta!$A:$DP,MATCH('MM01'!$B68,Consulta!$C:$C,0),'MM01'!AP$2),""))</f>
        <v/>
      </c>
      <c r="AQ68" s="45"/>
      <c r="AR68" s="43" t="str">
        <f>IF(IFERROR(INDEX(Consulta!$A:$DP,MATCH('MM01'!$B68,Consulta!$C:$C,0),'MM01'!AR$2),"")=0,"",IFERROR(INDEX(Consulta!$A:$DP,MATCH('MM01'!$B68,Consulta!$C:$C,0),'MM01'!AR$2),""))</f>
        <v/>
      </c>
      <c r="AS68" s="43" t="str">
        <f>IF(IFERROR(INDEX(Consulta!$A:$DP,MATCH('MM01'!$B68,Consulta!$C:$C,0),'MM01'!AS$2),"")=0,"",IF(AR68="68",5102,IFERROR(INDEX(Consulta!$A:$DP,MATCH('MM01'!$B68,Consulta!$C:$C,0),'MM01'!AS$2),"")))</f>
        <v/>
      </c>
      <c r="AT68" s="45"/>
      <c r="AU68" s="46" t="str">
        <f t="shared" ca="1" si="43"/>
        <v/>
      </c>
      <c r="AV68" s="47" t="s">
        <v>795</v>
      </c>
      <c r="AW68" s="43" t="str">
        <f>IF(IFERROR(INDEX(Consulta!$A:$DP,MATCH('MM01'!$B68,Consulta!$C:$C,0),'MM01'!AW$2),"")=0,"",IFERROR(ROUND(INDEX(Consulta!$A:$DP,MATCH('MM01'!$B68,Consulta!$C:$C,0),'MM01'!AW$2),3),""))</f>
        <v/>
      </c>
      <c r="AX68" s="43" t="str">
        <f t="shared" si="44"/>
        <v/>
      </c>
      <c r="AY68" s="48" t="s">
        <v>299</v>
      </c>
      <c r="AZ68" s="48"/>
      <c r="BA68" s="43" t="str">
        <f>IF(IFERROR(INDEX(Consulta!$A:$DP,MATCH('MM01'!$B68,Consulta!$C:$C,0),'MM01'!BA$2),"")=0,"",IFERROR(INDEX(Consulta!$A:$DP,MATCH('MM01'!$B68,Consulta!$C:$C,0),'MM01'!BA$2),""))</f>
        <v/>
      </c>
      <c r="BB68" s="43" t="str">
        <f t="shared" si="45"/>
        <v/>
      </c>
      <c r="BC68" s="43" t="str">
        <f t="shared" si="46"/>
        <v/>
      </c>
      <c r="BD68" s="43" t="str">
        <f t="shared" si="47"/>
        <v/>
      </c>
      <c r="BE68" s="43" t="str">
        <f t="shared" si="48"/>
        <v>M</v>
      </c>
      <c r="BF68" s="43" t="str">
        <f t="shared" si="49"/>
        <v/>
      </c>
      <c r="BG68" s="43" t="str">
        <f t="shared" si="50"/>
        <v/>
      </c>
      <c r="BH68" s="43" t="str">
        <f t="shared" si="51"/>
        <v/>
      </c>
      <c r="BI68" s="43" t="str">
        <f t="shared" si="52"/>
        <v>M</v>
      </c>
      <c r="BK68" s="45" t="s">
        <v>324</v>
      </c>
      <c r="BL68" s="43" t="str">
        <f>IF(IFERROR(INDEX(Consulta!$A:$DP,MATCH('MM01'!$B68,Consulta!$C:$C,0),'MM01'!BL$2),"")=0,"",IFERROR(INDEX(Consulta!$A:$DP,MATCH('MM01'!$B68,Consulta!$C:$C,0),'MM01'!BL$2),""))</f>
        <v/>
      </c>
      <c r="BM68" s="45"/>
      <c r="BN68" s="46" t="str">
        <f t="shared" ca="1" si="53"/>
        <v/>
      </c>
      <c r="BO68" s="49" t="str">
        <f t="shared" si="54"/>
        <v/>
      </c>
      <c r="BP68" s="50">
        <v>1</v>
      </c>
      <c r="BQ68" s="50" t="s">
        <v>194</v>
      </c>
      <c r="BR68" s="79" t="str">
        <f t="shared" si="15"/>
        <v>01</v>
      </c>
      <c r="BS68" s="50" t="s">
        <v>795</v>
      </c>
      <c r="BT68" s="44">
        <v>1</v>
      </c>
      <c r="BU68" s="44" t="s">
        <v>371</v>
      </c>
      <c r="BV68" s="50" t="s">
        <v>197</v>
      </c>
      <c r="BW68" s="50" t="s">
        <v>197</v>
      </c>
      <c r="BX68" s="43" t="str">
        <f>IF(IFERROR(INDEX(Consulta!$A:$DP,MATCH('MM01'!$B68,Consulta!$C:$C,0),'MM01'!BX$2),"")=0,"",IFERROR(INDEX(Consulta!$A:$DP,MATCH('MM01'!$B68,Consulta!$C:$C,0),'MM01'!BX$2),""))</f>
        <v/>
      </c>
      <c r="BY68" s="44" t="s">
        <v>391</v>
      </c>
      <c r="BZ68" s="50">
        <v>0</v>
      </c>
      <c r="CA68" s="45" t="s">
        <v>402</v>
      </c>
      <c r="CB68" s="45" t="s">
        <v>84</v>
      </c>
      <c r="CC68" s="43" t="str">
        <f t="shared" si="55"/>
        <v/>
      </c>
      <c r="CD68" s="45" t="s">
        <v>38</v>
      </c>
      <c r="CE68" s="45">
        <v>1</v>
      </c>
      <c r="CF68" s="45" t="s">
        <v>495</v>
      </c>
      <c r="CG68" s="45"/>
      <c r="CH68" s="44">
        <v>2</v>
      </c>
      <c r="CI68" s="49" t="str">
        <f t="shared" si="56"/>
        <v/>
      </c>
      <c r="CJ68" s="49" t="str">
        <f t="shared" si="57"/>
        <v/>
      </c>
      <c r="CK68" s="45"/>
      <c r="CL68" s="44">
        <v>1</v>
      </c>
      <c r="CM68" s="50" t="s">
        <v>514</v>
      </c>
      <c r="CN68" s="44" t="s">
        <v>371</v>
      </c>
      <c r="CO68" s="44">
        <v>2</v>
      </c>
      <c r="CP68" s="44">
        <v>42</v>
      </c>
      <c r="CQ68" s="44">
        <v>10</v>
      </c>
      <c r="CR68" s="43" t="str">
        <f t="shared" si="58"/>
        <v>K00_P_</v>
      </c>
      <c r="CS68" s="45">
        <v>5000</v>
      </c>
      <c r="CT68" s="43" t="str">
        <f>IF(IFERROR(INDEX(Consulta!$A:$DP,MATCH('MM01'!$B68,Consulta!$C:$C,0),'MM01'!CT$2),"")=0,"",IFERROR(INDEX(Consulta!$A:$DP,MATCH('MM01'!$B68,Consulta!$C:$C,0),'MM01'!CT$2),""))</f>
        <v/>
      </c>
      <c r="CU68" s="43" t="str">
        <f>IF(IFERROR(INDEX(Consulta!$A:$DP,MATCH('MM01'!$B68,Consulta!$C:$C,0),'MM01'!CU$2),"")=0,"",IFERROR(INDEX(Consulta!$A:$DP,MATCH('MM01'!$B68,Consulta!$C:$C,0),'MM01'!CU$2),""))</f>
        <v/>
      </c>
      <c r="CV68" s="43" t="str">
        <f>IF(IFERROR(INDEX(Consulta!$A:$DP,MATCH('MM01'!$B68,Consulta!$C:$C,0),'MM01'!CV$2),"")=0,"",IFERROR(INDEX(Consulta!$A:$DP,MATCH('MM01'!$B68,Consulta!$C:$C,0),'MM01'!CV$2),""))</f>
        <v/>
      </c>
      <c r="CW68" s="43" t="str">
        <f>IF(IFERROR(INDEX(Consulta!$A:$DP,MATCH('MM01'!$B68,Consulta!$C:$C,0),'MM01'!CW$2),"")=0,"",IFERROR(INDEX(Consulta!$A:$DP,MATCH('MM01'!$B68,Consulta!$C:$C,0),'MM01'!CW$2),""))</f>
        <v/>
      </c>
      <c r="CX68" s="43" t="str">
        <f t="shared" si="59"/>
        <v/>
      </c>
      <c r="CY68" s="43" t="str">
        <f t="shared" si="60"/>
        <v/>
      </c>
      <c r="CZ68" s="43" t="str">
        <f t="shared" si="61"/>
        <v/>
      </c>
      <c r="DA68" s="43" t="str">
        <f>IF(IFERROR(INDEX(Consulta!$A:$DP,MATCH('MM01'!$B68,Consulta!$C:$C,0),'MM01'!DA$2),"")=0,"",IFERROR(INDEX(Consulta!$A:$DP,MATCH('MM01'!$B68,Consulta!$C:$C,0),'MM01'!DA$2),""))</f>
        <v/>
      </c>
      <c r="DB68" s="43" t="str">
        <f t="shared" si="62"/>
        <v/>
      </c>
      <c r="DC68" s="43" t="str">
        <f>IF(IFERROR(INDEX(Consulta!$A:$DP,MATCH('MM01'!$B68,Consulta!$C:$C,0),'MM01'!DC$2),"")=0,"",IFERROR(INDEX(Consulta!$A:$DP,MATCH('MM01'!$B68,Consulta!$C:$C,0),'MM01'!DC$2),""))</f>
        <v/>
      </c>
      <c r="DD68" s="45">
        <v>0</v>
      </c>
      <c r="DE68" s="45">
        <v>0</v>
      </c>
      <c r="DF68" s="43" t="str">
        <f t="shared" si="63"/>
        <v/>
      </c>
      <c r="DG68" s="43" t="str">
        <f t="shared" si="64"/>
        <v/>
      </c>
      <c r="DH68" s="57"/>
      <c r="DI68" s="43" t="str">
        <f t="shared" ca="1" si="65"/>
        <v/>
      </c>
      <c r="DJ68" s="43" t="str">
        <f t="shared" si="66"/>
        <v/>
      </c>
      <c r="DK68" s="43" t="str">
        <f t="shared" si="67"/>
        <v/>
      </c>
      <c r="DL68" s="57"/>
      <c r="DM68" s="43" t="str">
        <f t="shared" ca="1" si="68"/>
        <v/>
      </c>
      <c r="DN68" s="43" t="str">
        <f t="shared" si="69"/>
        <v/>
      </c>
      <c r="DO68" s="43" t="str">
        <f t="shared" si="70"/>
        <v/>
      </c>
      <c r="DP68" s="57"/>
      <c r="DQ68" s="43" t="str">
        <f t="shared" ca="1" si="71"/>
        <v/>
      </c>
      <c r="DR68" s="43" t="str">
        <f t="shared" si="72"/>
        <v/>
      </c>
      <c r="DS68" s="43" t="str">
        <f t="shared" si="73"/>
        <v/>
      </c>
      <c r="DT68" s="57"/>
      <c r="DU68" s="43" t="str">
        <f t="shared" ca="1" si="74"/>
        <v/>
      </c>
      <c r="DV68" s="43" t="str">
        <f t="shared" si="75"/>
        <v/>
      </c>
      <c r="DX68" s="44">
        <v>1</v>
      </c>
      <c r="DY68" s="44" t="s">
        <v>773</v>
      </c>
      <c r="DZ68" s="43">
        <f t="shared" si="76"/>
        <v>0.01</v>
      </c>
      <c r="EA68" s="43" t="str">
        <f t="shared" si="77"/>
        <v>M</v>
      </c>
      <c r="EB68" s="43" t="str">
        <f>IF(IFERROR(INDEX(Consulta!$A:$DP,MATCH('MM01'!$B68,Consulta!$C:$C,0),'MM01'!EB$2),"")=0,"7925",IF(IFERROR(INDEX(Consulta!$A:$DP,MATCH('MM01'!$B68,Consulta!$C:$C,0),'MM01'!EB$2),"")="68","7910","7925"))</f>
        <v>7925</v>
      </c>
      <c r="EC68" s="44">
        <v>100</v>
      </c>
      <c r="ED68" s="62">
        <v>1</v>
      </c>
      <c r="EE68" s="43">
        <f t="shared" si="78"/>
        <v>100</v>
      </c>
      <c r="EF68" s="44">
        <v>1</v>
      </c>
      <c r="EG68" s="44">
        <v>0</v>
      </c>
      <c r="EH68" s="44" t="s">
        <v>875</v>
      </c>
      <c r="EI68" s="45">
        <v>0</v>
      </c>
      <c r="EJ68" s="43">
        <f t="shared" si="79"/>
        <v>5000</v>
      </c>
      <c r="EK68" s="69"/>
    </row>
    <row r="69" spans="1:141" x14ac:dyDescent="0.2">
      <c r="A69" s="7" t="str">
        <f t="shared" si="0"/>
        <v>Execução 65</v>
      </c>
      <c r="B69" s="42"/>
      <c r="C69" s="43" t="str">
        <f>IF(IFERROR(INDEX(Consulta!$A:$DP,MATCH('MM01'!$B69,Consulta!$C:$C,0),'MM01'!C$2),"")=0,"",IFERROR(INDEX(Consulta!$A:$DP,MATCH('MM01'!$B69,Consulta!$C:$C,0),'MM01'!C$2),""))</f>
        <v/>
      </c>
      <c r="D69" s="43" t="str">
        <f>IF(IFERROR(INDEX(Consulta!$A:$DP,MATCH('MM01'!$B69,Consulta!$C:$C,0),'MM01'!D$2),"")=0,"",IFERROR(INDEX(Consulta!$A:$DP,MATCH('MM01'!$B69,Consulta!$C:$C,0),'MM01'!D$2),""))</f>
        <v/>
      </c>
      <c r="E69" s="43" t="str">
        <f>IF(IFERROR(INDEX(Consulta!$A:$DP,MATCH('MM01'!$B69,Consulta!$C:$C,0),'MM01'!E$2),"")=0,"",IFERROR(INDEX(Consulta!$A:$DP,MATCH('MM01'!$B69,Consulta!$C:$C,0),'MM01'!E$2),""))</f>
        <v/>
      </c>
      <c r="F69" s="44" t="s">
        <v>100</v>
      </c>
      <c r="G69" s="49" t="str">
        <f>IF(IFERROR(INDEX(Consulta!$A:$DP,MATCH('MM01'!$B69,Consulta!$C:$C,0),'MM01'!G$2),"")=0,"",IFERROR(INDEX(Consulta!$A:$DP,MATCH('MM01'!$B69,Consulta!$C:$C,0),'MM01'!G$2),""))</f>
        <v/>
      </c>
      <c r="H69" s="49" t="str">
        <f>IF(IFERROR(INDEX(Consulta!$A:$DP,MATCH('MM01'!$B69,Consulta!$C:$C,0),'MM01'!H$2),"")=0,"",IFERROR(INDEX(Consulta!$A:$DP,MATCH('MM01'!$B69,Consulta!$C:$C,0),'MM01'!H$2),""))</f>
        <v/>
      </c>
      <c r="I69" s="49" t="str">
        <f t="shared" si="41"/>
        <v/>
      </c>
      <c r="J69" s="49" t="str">
        <f>IF(IFERROR(INDEX(Consulta!$A:$DP,MATCH('MM01'!$B69,Consulta!$C:$C,0),'MM01'!J$2),"")=0,"",IFERROR(INDEX(Consulta!$A:$DP,MATCH('MM01'!$B69,Consulta!$C:$C,0),'MM01'!J$2),""))</f>
        <v/>
      </c>
      <c r="K69" s="49" t="str">
        <f t="shared" si="42"/>
        <v/>
      </c>
      <c r="M69" s="45" t="s">
        <v>101</v>
      </c>
      <c r="N69" s="45" t="s">
        <v>102</v>
      </c>
      <c r="O69" s="45" t="s">
        <v>103</v>
      </c>
      <c r="P69" s="45" t="s">
        <v>104</v>
      </c>
      <c r="Q69" s="45" t="s">
        <v>105</v>
      </c>
      <c r="R69" s="45" t="s">
        <v>106</v>
      </c>
      <c r="S69" s="45" t="s">
        <v>107</v>
      </c>
      <c r="T69" s="45"/>
      <c r="U69" s="45"/>
      <c r="V69" s="45"/>
      <c r="W69" s="45"/>
      <c r="X69" s="45" t="s">
        <v>112</v>
      </c>
      <c r="Y69" s="45" t="s">
        <v>113</v>
      </c>
      <c r="Z69" s="45" t="s">
        <v>114</v>
      </c>
      <c r="AA69" s="45" t="s">
        <v>115</v>
      </c>
      <c r="AB69" s="45" t="s">
        <v>117</v>
      </c>
      <c r="AC69" s="45" t="s">
        <v>118</v>
      </c>
      <c r="AD69" s="45" t="s">
        <v>119</v>
      </c>
      <c r="AE69" s="45" t="s">
        <v>120</v>
      </c>
      <c r="AF69" s="45" t="s">
        <v>121</v>
      </c>
      <c r="AG69" s="45" t="s">
        <v>122</v>
      </c>
      <c r="AH69" s="45" t="s">
        <v>123</v>
      </c>
      <c r="AI69" s="45" t="s">
        <v>124</v>
      </c>
      <c r="AJ69" s="45" t="s">
        <v>125</v>
      </c>
      <c r="AK69" s="45" t="s">
        <v>126</v>
      </c>
      <c r="AL69" s="45"/>
      <c r="AM69" s="45"/>
      <c r="AO69" s="44" t="s">
        <v>100</v>
      </c>
      <c r="AP69" s="43" t="str">
        <f>IF(IFERROR(INDEX(Consulta!$A:$DP,MATCH('MM01'!$B69,Consulta!$C:$C,0),'MM01'!AP$2),"")=0,"",IFERROR(INDEX(Consulta!$A:$DP,MATCH('MM01'!$B69,Consulta!$C:$C,0),'MM01'!AP$2),""))</f>
        <v/>
      </c>
      <c r="AQ69" s="45"/>
      <c r="AR69" s="43" t="str">
        <f>IF(IFERROR(INDEX(Consulta!$A:$DP,MATCH('MM01'!$B69,Consulta!$C:$C,0),'MM01'!AR$2),"")=0,"",IFERROR(INDEX(Consulta!$A:$DP,MATCH('MM01'!$B69,Consulta!$C:$C,0),'MM01'!AR$2),""))</f>
        <v/>
      </c>
      <c r="AS69" s="43" t="str">
        <f>IF(IFERROR(INDEX(Consulta!$A:$DP,MATCH('MM01'!$B69,Consulta!$C:$C,0),'MM01'!AS$2),"")=0,"",IF(AR69="68",5102,IFERROR(INDEX(Consulta!$A:$DP,MATCH('MM01'!$B69,Consulta!$C:$C,0),'MM01'!AS$2),"")))</f>
        <v/>
      </c>
      <c r="AT69" s="45"/>
      <c r="AU69" s="46" t="str">
        <f t="shared" ca="1" si="43"/>
        <v/>
      </c>
      <c r="AV69" s="47" t="s">
        <v>795</v>
      </c>
      <c r="AW69" s="43" t="str">
        <f>IF(IFERROR(INDEX(Consulta!$A:$DP,MATCH('MM01'!$B69,Consulta!$C:$C,0),'MM01'!AW$2),"")=0,"",IFERROR(ROUND(INDEX(Consulta!$A:$DP,MATCH('MM01'!$B69,Consulta!$C:$C,0),'MM01'!AW$2),3),""))</f>
        <v/>
      </c>
      <c r="AX69" s="43" t="str">
        <f t="shared" si="44"/>
        <v/>
      </c>
      <c r="AY69" s="48" t="s">
        <v>299</v>
      </c>
      <c r="AZ69" s="48"/>
      <c r="BA69" s="43" t="str">
        <f>IF(IFERROR(INDEX(Consulta!$A:$DP,MATCH('MM01'!$B69,Consulta!$C:$C,0),'MM01'!BA$2),"")=0,"",IFERROR(INDEX(Consulta!$A:$DP,MATCH('MM01'!$B69,Consulta!$C:$C,0),'MM01'!BA$2),""))</f>
        <v/>
      </c>
      <c r="BB69" s="43" t="str">
        <f t="shared" si="45"/>
        <v/>
      </c>
      <c r="BC69" s="43" t="str">
        <f t="shared" si="46"/>
        <v/>
      </c>
      <c r="BD69" s="43" t="str">
        <f t="shared" si="47"/>
        <v/>
      </c>
      <c r="BE69" s="43" t="str">
        <f t="shared" si="48"/>
        <v>M</v>
      </c>
      <c r="BF69" s="43" t="str">
        <f t="shared" si="49"/>
        <v/>
      </c>
      <c r="BG69" s="43" t="str">
        <f t="shared" si="50"/>
        <v/>
      </c>
      <c r="BH69" s="43" t="str">
        <f t="shared" si="51"/>
        <v/>
      </c>
      <c r="BI69" s="43" t="str">
        <f t="shared" si="52"/>
        <v>M</v>
      </c>
      <c r="BK69" s="45" t="s">
        <v>324</v>
      </c>
      <c r="BL69" s="43" t="str">
        <f>IF(IFERROR(INDEX(Consulta!$A:$DP,MATCH('MM01'!$B69,Consulta!$C:$C,0),'MM01'!BL$2),"")=0,"",IFERROR(INDEX(Consulta!$A:$DP,MATCH('MM01'!$B69,Consulta!$C:$C,0),'MM01'!BL$2),""))</f>
        <v/>
      </c>
      <c r="BM69" s="45"/>
      <c r="BN69" s="46" t="str">
        <f t="shared" ca="1" si="53"/>
        <v/>
      </c>
      <c r="BO69" s="49" t="str">
        <f t="shared" si="54"/>
        <v/>
      </c>
      <c r="BP69" s="50">
        <v>1</v>
      </c>
      <c r="BQ69" s="50" t="s">
        <v>194</v>
      </c>
      <c r="BR69" s="79" t="str">
        <f t="shared" si="15"/>
        <v>01</v>
      </c>
      <c r="BS69" s="50" t="s">
        <v>795</v>
      </c>
      <c r="BT69" s="44">
        <v>1</v>
      </c>
      <c r="BU69" s="44" t="s">
        <v>371</v>
      </c>
      <c r="BV69" s="50" t="s">
        <v>197</v>
      </c>
      <c r="BW69" s="50" t="s">
        <v>197</v>
      </c>
      <c r="BX69" s="43" t="str">
        <f>IF(IFERROR(INDEX(Consulta!$A:$DP,MATCH('MM01'!$B69,Consulta!$C:$C,0),'MM01'!BX$2),"")=0,"",IFERROR(INDEX(Consulta!$A:$DP,MATCH('MM01'!$B69,Consulta!$C:$C,0),'MM01'!BX$2),""))</f>
        <v/>
      </c>
      <c r="BY69" s="44" t="s">
        <v>391</v>
      </c>
      <c r="BZ69" s="50">
        <v>0</v>
      </c>
      <c r="CA69" s="45" t="s">
        <v>402</v>
      </c>
      <c r="CB69" s="45" t="s">
        <v>84</v>
      </c>
      <c r="CC69" s="43" t="str">
        <f t="shared" si="55"/>
        <v/>
      </c>
      <c r="CD69" s="45" t="s">
        <v>38</v>
      </c>
      <c r="CE69" s="45">
        <v>1</v>
      </c>
      <c r="CF69" s="45" t="s">
        <v>495</v>
      </c>
      <c r="CG69" s="45"/>
      <c r="CH69" s="44">
        <v>2</v>
      </c>
      <c r="CI69" s="49" t="str">
        <f t="shared" si="56"/>
        <v/>
      </c>
      <c r="CJ69" s="49" t="str">
        <f t="shared" si="57"/>
        <v/>
      </c>
      <c r="CK69" s="45"/>
      <c r="CL69" s="44">
        <v>1</v>
      </c>
      <c r="CM69" s="50" t="s">
        <v>514</v>
      </c>
      <c r="CN69" s="44" t="s">
        <v>371</v>
      </c>
      <c r="CO69" s="44">
        <v>2</v>
      </c>
      <c r="CP69" s="44">
        <v>42</v>
      </c>
      <c r="CQ69" s="44">
        <v>10</v>
      </c>
      <c r="CR69" s="43" t="str">
        <f t="shared" si="58"/>
        <v>K00_P_</v>
      </c>
      <c r="CS69" s="45">
        <v>5000</v>
      </c>
      <c r="CT69" s="43" t="str">
        <f>IF(IFERROR(INDEX(Consulta!$A:$DP,MATCH('MM01'!$B69,Consulta!$C:$C,0),'MM01'!CT$2),"")=0,"",IFERROR(INDEX(Consulta!$A:$DP,MATCH('MM01'!$B69,Consulta!$C:$C,0),'MM01'!CT$2),""))</f>
        <v/>
      </c>
      <c r="CU69" s="43" t="str">
        <f>IF(IFERROR(INDEX(Consulta!$A:$DP,MATCH('MM01'!$B69,Consulta!$C:$C,0),'MM01'!CU$2),"")=0,"",IFERROR(INDEX(Consulta!$A:$DP,MATCH('MM01'!$B69,Consulta!$C:$C,0),'MM01'!CU$2),""))</f>
        <v/>
      </c>
      <c r="CV69" s="43" t="str">
        <f>IF(IFERROR(INDEX(Consulta!$A:$DP,MATCH('MM01'!$B69,Consulta!$C:$C,0),'MM01'!CV$2),"")=0,"",IFERROR(INDEX(Consulta!$A:$DP,MATCH('MM01'!$B69,Consulta!$C:$C,0),'MM01'!CV$2),""))</f>
        <v/>
      </c>
      <c r="CW69" s="43" t="str">
        <f>IF(IFERROR(INDEX(Consulta!$A:$DP,MATCH('MM01'!$B69,Consulta!$C:$C,0),'MM01'!CW$2),"")=0,"",IFERROR(INDEX(Consulta!$A:$DP,MATCH('MM01'!$B69,Consulta!$C:$C,0),'MM01'!CW$2),""))</f>
        <v/>
      </c>
      <c r="CX69" s="43" t="str">
        <f t="shared" si="59"/>
        <v/>
      </c>
      <c r="CY69" s="43" t="str">
        <f t="shared" si="60"/>
        <v/>
      </c>
      <c r="CZ69" s="43" t="str">
        <f t="shared" si="61"/>
        <v/>
      </c>
      <c r="DA69" s="43" t="str">
        <f>IF(IFERROR(INDEX(Consulta!$A:$DP,MATCH('MM01'!$B69,Consulta!$C:$C,0),'MM01'!DA$2),"")=0,"",IFERROR(INDEX(Consulta!$A:$DP,MATCH('MM01'!$B69,Consulta!$C:$C,0),'MM01'!DA$2),""))</f>
        <v/>
      </c>
      <c r="DB69" s="43" t="str">
        <f t="shared" si="62"/>
        <v/>
      </c>
      <c r="DC69" s="43" t="str">
        <f>IF(IFERROR(INDEX(Consulta!$A:$DP,MATCH('MM01'!$B69,Consulta!$C:$C,0),'MM01'!DC$2),"")=0,"",IFERROR(INDEX(Consulta!$A:$DP,MATCH('MM01'!$B69,Consulta!$C:$C,0),'MM01'!DC$2),""))</f>
        <v/>
      </c>
      <c r="DD69" s="45">
        <v>0</v>
      </c>
      <c r="DE69" s="45">
        <v>0</v>
      </c>
      <c r="DF69" s="43" t="str">
        <f t="shared" si="63"/>
        <v/>
      </c>
      <c r="DG69" s="43" t="str">
        <f t="shared" si="64"/>
        <v/>
      </c>
      <c r="DH69" s="57"/>
      <c r="DI69" s="43" t="str">
        <f t="shared" ca="1" si="65"/>
        <v/>
      </c>
      <c r="DJ69" s="43" t="str">
        <f t="shared" si="66"/>
        <v/>
      </c>
      <c r="DK69" s="43" t="str">
        <f t="shared" si="67"/>
        <v/>
      </c>
      <c r="DL69" s="57"/>
      <c r="DM69" s="43" t="str">
        <f t="shared" ca="1" si="68"/>
        <v/>
      </c>
      <c r="DN69" s="43" t="str">
        <f t="shared" si="69"/>
        <v/>
      </c>
      <c r="DO69" s="43" t="str">
        <f t="shared" si="70"/>
        <v/>
      </c>
      <c r="DP69" s="57"/>
      <c r="DQ69" s="43" t="str">
        <f t="shared" ca="1" si="71"/>
        <v/>
      </c>
      <c r="DR69" s="43" t="str">
        <f t="shared" si="72"/>
        <v/>
      </c>
      <c r="DS69" s="43" t="str">
        <f t="shared" si="73"/>
        <v/>
      </c>
      <c r="DT69" s="57"/>
      <c r="DU69" s="43" t="str">
        <f t="shared" ca="1" si="74"/>
        <v/>
      </c>
      <c r="DV69" s="43" t="str">
        <f t="shared" si="75"/>
        <v/>
      </c>
      <c r="DX69" s="44">
        <v>1</v>
      </c>
      <c r="DY69" s="44" t="s">
        <v>773</v>
      </c>
      <c r="DZ69" s="43">
        <f t="shared" si="76"/>
        <v>0.01</v>
      </c>
      <c r="EA69" s="43" t="str">
        <f t="shared" si="77"/>
        <v>M</v>
      </c>
      <c r="EB69" s="43" t="str">
        <f>IF(IFERROR(INDEX(Consulta!$A:$DP,MATCH('MM01'!$B69,Consulta!$C:$C,0),'MM01'!EB$2),"")=0,"7925",IF(IFERROR(INDEX(Consulta!$A:$DP,MATCH('MM01'!$B69,Consulta!$C:$C,0),'MM01'!EB$2),"")="68","7910","7925"))</f>
        <v>7925</v>
      </c>
      <c r="EC69" s="44">
        <v>100</v>
      </c>
      <c r="ED69" s="62">
        <v>1</v>
      </c>
      <c r="EE69" s="43">
        <f t="shared" si="78"/>
        <v>100</v>
      </c>
      <c r="EF69" s="44">
        <v>1</v>
      </c>
      <c r="EG69" s="44">
        <v>0</v>
      </c>
      <c r="EH69" s="44" t="s">
        <v>875</v>
      </c>
      <c r="EI69" s="45">
        <v>0</v>
      </c>
      <c r="EJ69" s="43">
        <f t="shared" si="79"/>
        <v>5000</v>
      </c>
      <c r="EK69" s="69"/>
    </row>
    <row r="70" spans="1:141" x14ac:dyDescent="0.2">
      <c r="A70" s="7" t="str">
        <f t="shared" ref="A70:A104" si="80">"Execução "&amp;ROW()-4</f>
        <v>Execução 66</v>
      </c>
      <c r="B70" s="42"/>
      <c r="C70" s="43" t="str">
        <f>IF(IFERROR(INDEX(Consulta!$A:$DP,MATCH('MM01'!$B70,Consulta!$C:$C,0),'MM01'!C$2),"")=0,"",IFERROR(INDEX(Consulta!$A:$DP,MATCH('MM01'!$B70,Consulta!$C:$C,0),'MM01'!C$2),""))</f>
        <v/>
      </c>
      <c r="D70" s="43" t="str">
        <f>IF(IFERROR(INDEX(Consulta!$A:$DP,MATCH('MM01'!$B70,Consulta!$C:$C,0),'MM01'!D$2),"")=0,"",IFERROR(INDEX(Consulta!$A:$DP,MATCH('MM01'!$B70,Consulta!$C:$C,0),'MM01'!D$2),""))</f>
        <v/>
      </c>
      <c r="E70" s="43" t="str">
        <f>IF(IFERROR(INDEX(Consulta!$A:$DP,MATCH('MM01'!$B70,Consulta!$C:$C,0),'MM01'!E$2),"")=0,"",IFERROR(INDEX(Consulta!$A:$DP,MATCH('MM01'!$B70,Consulta!$C:$C,0),'MM01'!E$2),""))</f>
        <v/>
      </c>
      <c r="F70" s="44" t="s">
        <v>100</v>
      </c>
      <c r="G70" s="49" t="str">
        <f>IF(IFERROR(INDEX(Consulta!$A:$DP,MATCH('MM01'!$B70,Consulta!$C:$C,0),'MM01'!G$2),"")=0,"",IFERROR(INDEX(Consulta!$A:$DP,MATCH('MM01'!$B70,Consulta!$C:$C,0),'MM01'!G$2),""))</f>
        <v/>
      </c>
      <c r="H70" s="49" t="str">
        <f>IF(IFERROR(INDEX(Consulta!$A:$DP,MATCH('MM01'!$B70,Consulta!$C:$C,0),'MM01'!H$2),"")=0,"",IFERROR(INDEX(Consulta!$A:$DP,MATCH('MM01'!$B70,Consulta!$C:$C,0),'MM01'!H$2),""))</f>
        <v/>
      </c>
      <c r="I70" s="49" t="str">
        <f t="shared" si="41"/>
        <v/>
      </c>
      <c r="J70" s="49" t="str">
        <f>IF(IFERROR(INDEX(Consulta!$A:$DP,MATCH('MM01'!$B70,Consulta!$C:$C,0),'MM01'!J$2),"")=0,"",IFERROR(INDEX(Consulta!$A:$DP,MATCH('MM01'!$B70,Consulta!$C:$C,0),'MM01'!J$2),""))</f>
        <v/>
      </c>
      <c r="K70" s="49" t="str">
        <f t="shared" si="42"/>
        <v/>
      </c>
      <c r="M70" s="45" t="s">
        <v>101</v>
      </c>
      <c r="N70" s="45" t="s">
        <v>102</v>
      </c>
      <c r="O70" s="45" t="s">
        <v>103</v>
      </c>
      <c r="P70" s="45" t="s">
        <v>104</v>
      </c>
      <c r="Q70" s="45" t="s">
        <v>105</v>
      </c>
      <c r="R70" s="45" t="s">
        <v>106</v>
      </c>
      <c r="S70" s="45" t="s">
        <v>107</v>
      </c>
      <c r="T70" s="45"/>
      <c r="U70" s="45"/>
      <c r="V70" s="45"/>
      <c r="W70" s="45"/>
      <c r="X70" s="45" t="s">
        <v>112</v>
      </c>
      <c r="Y70" s="45" t="s">
        <v>113</v>
      </c>
      <c r="Z70" s="45" t="s">
        <v>114</v>
      </c>
      <c r="AA70" s="45" t="s">
        <v>115</v>
      </c>
      <c r="AB70" s="45" t="s">
        <v>117</v>
      </c>
      <c r="AC70" s="45" t="s">
        <v>118</v>
      </c>
      <c r="AD70" s="45" t="s">
        <v>119</v>
      </c>
      <c r="AE70" s="45" t="s">
        <v>120</v>
      </c>
      <c r="AF70" s="45" t="s">
        <v>121</v>
      </c>
      <c r="AG70" s="45" t="s">
        <v>122</v>
      </c>
      <c r="AH70" s="45" t="s">
        <v>123</v>
      </c>
      <c r="AI70" s="45" t="s">
        <v>124</v>
      </c>
      <c r="AJ70" s="45" t="s">
        <v>125</v>
      </c>
      <c r="AK70" s="45" t="s">
        <v>126</v>
      </c>
      <c r="AL70" s="45"/>
      <c r="AM70" s="45"/>
      <c r="AO70" s="44" t="s">
        <v>100</v>
      </c>
      <c r="AP70" s="43" t="str">
        <f>IF(IFERROR(INDEX(Consulta!$A:$DP,MATCH('MM01'!$B70,Consulta!$C:$C,0),'MM01'!AP$2),"")=0,"",IFERROR(INDEX(Consulta!$A:$DP,MATCH('MM01'!$B70,Consulta!$C:$C,0),'MM01'!AP$2),""))</f>
        <v/>
      </c>
      <c r="AQ70" s="45"/>
      <c r="AR70" s="43" t="str">
        <f>IF(IFERROR(INDEX(Consulta!$A:$DP,MATCH('MM01'!$B70,Consulta!$C:$C,0),'MM01'!AR$2),"")=0,"",IFERROR(INDEX(Consulta!$A:$DP,MATCH('MM01'!$B70,Consulta!$C:$C,0),'MM01'!AR$2),""))</f>
        <v/>
      </c>
      <c r="AS70" s="43" t="str">
        <f>IF(IFERROR(INDEX(Consulta!$A:$DP,MATCH('MM01'!$B70,Consulta!$C:$C,0),'MM01'!AS$2),"")=0,"",IF(AR70="68",5102,IFERROR(INDEX(Consulta!$A:$DP,MATCH('MM01'!$B70,Consulta!$C:$C,0),'MM01'!AS$2),"")))</f>
        <v/>
      </c>
      <c r="AT70" s="45"/>
      <c r="AU70" s="46" t="str">
        <f t="shared" ca="1" si="43"/>
        <v/>
      </c>
      <c r="AV70" s="47" t="s">
        <v>795</v>
      </c>
      <c r="AW70" s="43" t="str">
        <f>IF(IFERROR(INDEX(Consulta!$A:$DP,MATCH('MM01'!$B70,Consulta!$C:$C,0),'MM01'!AW$2),"")=0,"",IFERROR(ROUND(INDEX(Consulta!$A:$DP,MATCH('MM01'!$B70,Consulta!$C:$C,0),'MM01'!AW$2),3),""))</f>
        <v/>
      </c>
      <c r="AX70" s="43" t="str">
        <f t="shared" si="44"/>
        <v/>
      </c>
      <c r="AY70" s="48" t="s">
        <v>299</v>
      </c>
      <c r="AZ70" s="48"/>
      <c r="BA70" s="43" t="str">
        <f>IF(IFERROR(INDEX(Consulta!$A:$DP,MATCH('MM01'!$B70,Consulta!$C:$C,0),'MM01'!BA$2),"")=0,"",IFERROR(INDEX(Consulta!$A:$DP,MATCH('MM01'!$B70,Consulta!$C:$C,0),'MM01'!BA$2),""))</f>
        <v/>
      </c>
      <c r="BB70" s="43" t="str">
        <f t="shared" si="45"/>
        <v/>
      </c>
      <c r="BC70" s="43" t="str">
        <f t="shared" si="46"/>
        <v/>
      </c>
      <c r="BD70" s="43" t="str">
        <f t="shared" si="47"/>
        <v/>
      </c>
      <c r="BE70" s="43" t="str">
        <f t="shared" si="48"/>
        <v>M</v>
      </c>
      <c r="BF70" s="43" t="str">
        <f t="shared" si="49"/>
        <v/>
      </c>
      <c r="BG70" s="43" t="str">
        <f t="shared" si="50"/>
        <v/>
      </c>
      <c r="BH70" s="43" t="str">
        <f t="shared" si="51"/>
        <v/>
      </c>
      <c r="BI70" s="43" t="str">
        <f t="shared" si="52"/>
        <v>M</v>
      </c>
      <c r="BK70" s="45" t="s">
        <v>324</v>
      </c>
      <c r="BL70" s="43" t="str">
        <f>IF(IFERROR(INDEX(Consulta!$A:$DP,MATCH('MM01'!$B70,Consulta!$C:$C,0),'MM01'!BL$2),"")=0,"",IFERROR(INDEX(Consulta!$A:$DP,MATCH('MM01'!$B70,Consulta!$C:$C,0),'MM01'!BL$2),""))</f>
        <v/>
      </c>
      <c r="BM70" s="45"/>
      <c r="BN70" s="46" t="str">
        <f t="shared" ca="1" si="53"/>
        <v/>
      </c>
      <c r="BO70" s="49" t="str">
        <f t="shared" si="54"/>
        <v/>
      </c>
      <c r="BP70" s="50">
        <v>1</v>
      </c>
      <c r="BQ70" s="50" t="s">
        <v>194</v>
      </c>
      <c r="BR70" s="79" t="str">
        <f t="shared" ref="BR70:BR133" si="81">IF(AR70=68,20,"01")</f>
        <v>01</v>
      </c>
      <c r="BS70" s="50" t="s">
        <v>795</v>
      </c>
      <c r="BT70" s="44">
        <v>1</v>
      </c>
      <c r="BU70" s="44" t="s">
        <v>371</v>
      </c>
      <c r="BV70" s="50" t="s">
        <v>197</v>
      </c>
      <c r="BW70" s="50" t="s">
        <v>197</v>
      </c>
      <c r="BX70" s="43" t="str">
        <f>IF(IFERROR(INDEX(Consulta!$A:$DP,MATCH('MM01'!$B70,Consulta!$C:$C,0),'MM01'!BX$2),"")=0,"",IFERROR(INDEX(Consulta!$A:$DP,MATCH('MM01'!$B70,Consulta!$C:$C,0),'MM01'!BX$2),""))</f>
        <v/>
      </c>
      <c r="BY70" s="44" t="s">
        <v>391</v>
      </c>
      <c r="BZ70" s="50">
        <v>0</v>
      </c>
      <c r="CA70" s="45" t="s">
        <v>402</v>
      </c>
      <c r="CB70" s="45" t="s">
        <v>84</v>
      </c>
      <c r="CC70" s="43" t="str">
        <f t="shared" si="55"/>
        <v/>
      </c>
      <c r="CD70" s="45" t="s">
        <v>38</v>
      </c>
      <c r="CE70" s="45">
        <v>1</v>
      </c>
      <c r="CF70" s="45" t="s">
        <v>495</v>
      </c>
      <c r="CG70" s="45"/>
      <c r="CH70" s="44">
        <v>2</v>
      </c>
      <c r="CI70" s="49" t="str">
        <f t="shared" si="56"/>
        <v/>
      </c>
      <c r="CJ70" s="49" t="str">
        <f t="shared" si="57"/>
        <v/>
      </c>
      <c r="CK70" s="45"/>
      <c r="CL70" s="44">
        <v>1</v>
      </c>
      <c r="CM70" s="50" t="s">
        <v>514</v>
      </c>
      <c r="CN70" s="44" t="s">
        <v>371</v>
      </c>
      <c r="CO70" s="44">
        <v>2</v>
      </c>
      <c r="CP70" s="44">
        <v>42</v>
      </c>
      <c r="CQ70" s="44">
        <v>10</v>
      </c>
      <c r="CR70" s="43" t="str">
        <f t="shared" si="58"/>
        <v>K00_P_</v>
      </c>
      <c r="CS70" s="45">
        <v>5000</v>
      </c>
      <c r="CT70" s="43" t="str">
        <f>IF(IFERROR(INDEX(Consulta!$A:$DP,MATCH('MM01'!$B70,Consulta!$C:$C,0),'MM01'!CT$2),"")=0,"",IFERROR(INDEX(Consulta!$A:$DP,MATCH('MM01'!$B70,Consulta!$C:$C,0),'MM01'!CT$2),""))</f>
        <v/>
      </c>
      <c r="CU70" s="43" t="str">
        <f>IF(IFERROR(INDEX(Consulta!$A:$DP,MATCH('MM01'!$B70,Consulta!$C:$C,0),'MM01'!CU$2),"")=0,"",IFERROR(INDEX(Consulta!$A:$DP,MATCH('MM01'!$B70,Consulta!$C:$C,0),'MM01'!CU$2),""))</f>
        <v/>
      </c>
      <c r="CV70" s="43" t="str">
        <f>IF(IFERROR(INDEX(Consulta!$A:$DP,MATCH('MM01'!$B70,Consulta!$C:$C,0),'MM01'!CV$2),"")=0,"",IFERROR(INDEX(Consulta!$A:$DP,MATCH('MM01'!$B70,Consulta!$C:$C,0),'MM01'!CV$2),""))</f>
        <v/>
      </c>
      <c r="CW70" s="43" t="str">
        <f>IF(IFERROR(INDEX(Consulta!$A:$DP,MATCH('MM01'!$B70,Consulta!$C:$C,0),'MM01'!CW$2),"")=0,"",IFERROR(INDEX(Consulta!$A:$DP,MATCH('MM01'!$B70,Consulta!$C:$C,0),'MM01'!CW$2),""))</f>
        <v/>
      </c>
      <c r="CX70" s="43" t="str">
        <f t="shared" si="59"/>
        <v/>
      </c>
      <c r="CY70" s="43" t="str">
        <f t="shared" si="60"/>
        <v/>
      </c>
      <c r="CZ70" s="43" t="str">
        <f t="shared" si="61"/>
        <v/>
      </c>
      <c r="DA70" s="43" t="str">
        <f>IF(IFERROR(INDEX(Consulta!$A:$DP,MATCH('MM01'!$B70,Consulta!$C:$C,0),'MM01'!DA$2),"")=0,"",IFERROR(INDEX(Consulta!$A:$DP,MATCH('MM01'!$B70,Consulta!$C:$C,0),'MM01'!DA$2),""))</f>
        <v/>
      </c>
      <c r="DB70" s="43" t="str">
        <f t="shared" si="62"/>
        <v/>
      </c>
      <c r="DC70" s="43" t="str">
        <f>IF(IFERROR(INDEX(Consulta!$A:$DP,MATCH('MM01'!$B70,Consulta!$C:$C,0),'MM01'!DC$2),"")=0,"",IFERROR(INDEX(Consulta!$A:$DP,MATCH('MM01'!$B70,Consulta!$C:$C,0),'MM01'!DC$2),""))</f>
        <v/>
      </c>
      <c r="DD70" s="45">
        <v>0</v>
      </c>
      <c r="DE70" s="45">
        <v>0</v>
      </c>
      <c r="DF70" s="43" t="str">
        <f t="shared" si="63"/>
        <v/>
      </c>
      <c r="DG70" s="43" t="str">
        <f t="shared" si="64"/>
        <v/>
      </c>
      <c r="DH70" s="57"/>
      <c r="DI70" s="43" t="str">
        <f t="shared" ca="1" si="65"/>
        <v/>
      </c>
      <c r="DJ70" s="43" t="str">
        <f t="shared" si="66"/>
        <v/>
      </c>
      <c r="DK70" s="43" t="str">
        <f t="shared" si="67"/>
        <v/>
      </c>
      <c r="DL70" s="57"/>
      <c r="DM70" s="43" t="str">
        <f t="shared" ca="1" si="68"/>
        <v/>
      </c>
      <c r="DN70" s="43" t="str">
        <f t="shared" si="69"/>
        <v/>
      </c>
      <c r="DO70" s="43" t="str">
        <f t="shared" si="70"/>
        <v/>
      </c>
      <c r="DP70" s="57"/>
      <c r="DQ70" s="43" t="str">
        <f t="shared" ca="1" si="71"/>
        <v/>
      </c>
      <c r="DR70" s="43" t="str">
        <f t="shared" si="72"/>
        <v/>
      </c>
      <c r="DS70" s="43" t="str">
        <f t="shared" si="73"/>
        <v/>
      </c>
      <c r="DT70" s="57"/>
      <c r="DU70" s="43" t="str">
        <f t="shared" ca="1" si="74"/>
        <v/>
      </c>
      <c r="DV70" s="43" t="str">
        <f t="shared" si="75"/>
        <v/>
      </c>
      <c r="DX70" s="44">
        <v>1</v>
      </c>
      <c r="DY70" s="44" t="s">
        <v>773</v>
      </c>
      <c r="DZ70" s="43">
        <f t="shared" si="76"/>
        <v>0.01</v>
      </c>
      <c r="EA70" s="43" t="str">
        <f t="shared" si="77"/>
        <v>M</v>
      </c>
      <c r="EB70" s="43" t="str">
        <f>IF(IFERROR(INDEX(Consulta!$A:$DP,MATCH('MM01'!$B70,Consulta!$C:$C,0),'MM01'!EB$2),"")=0,"7925",IF(IFERROR(INDEX(Consulta!$A:$DP,MATCH('MM01'!$B70,Consulta!$C:$C,0),'MM01'!EB$2),"")="68","7910","7925"))</f>
        <v>7925</v>
      </c>
      <c r="EC70" s="44">
        <v>100</v>
      </c>
      <c r="ED70" s="62">
        <v>1</v>
      </c>
      <c r="EE70" s="43">
        <f t="shared" si="78"/>
        <v>100</v>
      </c>
      <c r="EF70" s="44">
        <v>1</v>
      </c>
      <c r="EG70" s="44">
        <v>0</v>
      </c>
      <c r="EH70" s="44" t="s">
        <v>875</v>
      </c>
      <c r="EI70" s="45">
        <v>0</v>
      </c>
      <c r="EJ70" s="43">
        <f t="shared" si="79"/>
        <v>5000</v>
      </c>
      <c r="EK70" s="69"/>
    </row>
    <row r="71" spans="1:141" x14ac:dyDescent="0.2">
      <c r="A71" s="7" t="str">
        <f t="shared" si="80"/>
        <v>Execução 67</v>
      </c>
      <c r="B71" s="42"/>
      <c r="C71" s="43" t="str">
        <f>IF(IFERROR(INDEX(Consulta!$A:$DP,MATCH('MM01'!$B71,Consulta!$C:$C,0),'MM01'!C$2),"")=0,"",IFERROR(INDEX(Consulta!$A:$DP,MATCH('MM01'!$B71,Consulta!$C:$C,0),'MM01'!C$2),""))</f>
        <v/>
      </c>
      <c r="D71" s="43" t="str">
        <f>IF(IFERROR(INDEX(Consulta!$A:$DP,MATCH('MM01'!$B71,Consulta!$C:$C,0),'MM01'!D$2),"")=0,"",IFERROR(INDEX(Consulta!$A:$DP,MATCH('MM01'!$B71,Consulta!$C:$C,0),'MM01'!D$2),""))</f>
        <v/>
      </c>
      <c r="E71" s="43" t="str">
        <f>IF(IFERROR(INDEX(Consulta!$A:$DP,MATCH('MM01'!$B71,Consulta!$C:$C,0),'MM01'!E$2),"")=0,"",IFERROR(INDEX(Consulta!$A:$DP,MATCH('MM01'!$B71,Consulta!$C:$C,0),'MM01'!E$2),""))</f>
        <v/>
      </c>
      <c r="F71" s="44" t="s">
        <v>100</v>
      </c>
      <c r="G71" s="49" t="str">
        <f>IF(IFERROR(INDEX(Consulta!$A:$DP,MATCH('MM01'!$B71,Consulta!$C:$C,0),'MM01'!G$2),"")=0,"",IFERROR(INDEX(Consulta!$A:$DP,MATCH('MM01'!$B71,Consulta!$C:$C,0),'MM01'!G$2),""))</f>
        <v/>
      </c>
      <c r="H71" s="49" t="str">
        <f>IF(IFERROR(INDEX(Consulta!$A:$DP,MATCH('MM01'!$B71,Consulta!$C:$C,0),'MM01'!H$2),"")=0,"",IFERROR(INDEX(Consulta!$A:$DP,MATCH('MM01'!$B71,Consulta!$C:$C,0),'MM01'!H$2),""))</f>
        <v/>
      </c>
      <c r="I71" s="49" t="str">
        <f t="shared" si="41"/>
        <v/>
      </c>
      <c r="J71" s="49" t="str">
        <f>IF(IFERROR(INDEX(Consulta!$A:$DP,MATCH('MM01'!$B71,Consulta!$C:$C,0),'MM01'!J$2),"")=0,"",IFERROR(INDEX(Consulta!$A:$DP,MATCH('MM01'!$B71,Consulta!$C:$C,0),'MM01'!J$2),""))</f>
        <v/>
      </c>
      <c r="K71" s="49" t="str">
        <f t="shared" si="42"/>
        <v/>
      </c>
      <c r="M71" s="45" t="s">
        <v>101</v>
      </c>
      <c r="N71" s="45" t="s">
        <v>102</v>
      </c>
      <c r="O71" s="45" t="s">
        <v>103</v>
      </c>
      <c r="P71" s="45" t="s">
        <v>104</v>
      </c>
      <c r="Q71" s="45" t="s">
        <v>105</v>
      </c>
      <c r="R71" s="45" t="s">
        <v>106</v>
      </c>
      <c r="S71" s="45" t="s">
        <v>107</v>
      </c>
      <c r="T71" s="45"/>
      <c r="U71" s="45"/>
      <c r="V71" s="45"/>
      <c r="W71" s="45"/>
      <c r="X71" s="45" t="s">
        <v>112</v>
      </c>
      <c r="Y71" s="45" t="s">
        <v>113</v>
      </c>
      <c r="Z71" s="45" t="s">
        <v>114</v>
      </c>
      <c r="AA71" s="45" t="s">
        <v>115</v>
      </c>
      <c r="AB71" s="45" t="s">
        <v>117</v>
      </c>
      <c r="AC71" s="45" t="s">
        <v>118</v>
      </c>
      <c r="AD71" s="45" t="s">
        <v>119</v>
      </c>
      <c r="AE71" s="45" t="s">
        <v>120</v>
      </c>
      <c r="AF71" s="45" t="s">
        <v>121</v>
      </c>
      <c r="AG71" s="45" t="s">
        <v>122</v>
      </c>
      <c r="AH71" s="45" t="s">
        <v>123</v>
      </c>
      <c r="AI71" s="45" t="s">
        <v>124</v>
      </c>
      <c r="AJ71" s="45" t="s">
        <v>125</v>
      </c>
      <c r="AK71" s="45" t="s">
        <v>126</v>
      </c>
      <c r="AL71" s="45"/>
      <c r="AM71" s="45"/>
      <c r="AO71" s="44" t="s">
        <v>100</v>
      </c>
      <c r="AP71" s="43" t="str">
        <f>IF(IFERROR(INDEX(Consulta!$A:$DP,MATCH('MM01'!$B71,Consulta!$C:$C,0),'MM01'!AP$2),"")=0,"",IFERROR(INDEX(Consulta!$A:$DP,MATCH('MM01'!$B71,Consulta!$C:$C,0),'MM01'!AP$2),""))</f>
        <v/>
      </c>
      <c r="AQ71" s="45"/>
      <c r="AR71" s="43" t="str">
        <f>IF(IFERROR(INDEX(Consulta!$A:$DP,MATCH('MM01'!$B71,Consulta!$C:$C,0),'MM01'!AR$2),"")=0,"",IFERROR(INDEX(Consulta!$A:$DP,MATCH('MM01'!$B71,Consulta!$C:$C,0),'MM01'!AR$2),""))</f>
        <v/>
      </c>
      <c r="AS71" s="43" t="str">
        <f>IF(IFERROR(INDEX(Consulta!$A:$DP,MATCH('MM01'!$B71,Consulta!$C:$C,0),'MM01'!AS$2),"")=0,"",IF(AR71="68",5102,IFERROR(INDEX(Consulta!$A:$DP,MATCH('MM01'!$B71,Consulta!$C:$C,0),'MM01'!AS$2),"")))</f>
        <v/>
      </c>
      <c r="AT71" s="45"/>
      <c r="AU71" s="46" t="str">
        <f t="shared" ca="1" si="43"/>
        <v/>
      </c>
      <c r="AV71" s="47" t="s">
        <v>795</v>
      </c>
      <c r="AW71" s="43" t="str">
        <f>IF(IFERROR(INDEX(Consulta!$A:$DP,MATCH('MM01'!$B71,Consulta!$C:$C,0),'MM01'!AW$2),"")=0,"",IFERROR(ROUND(INDEX(Consulta!$A:$DP,MATCH('MM01'!$B71,Consulta!$C:$C,0),'MM01'!AW$2),3),""))</f>
        <v/>
      </c>
      <c r="AX71" s="43" t="str">
        <f t="shared" si="44"/>
        <v/>
      </c>
      <c r="AY71" s="48" t="s">
        <v>299</v>
      </c>
      <c r="AZ71" s="48"/>
      <c r="BA71" s="43" t="str">
        <f>IF(IFERROR(INDEX(Consulta!$A:$DP,MATCH('MM01'!$B71,Consulta!$C:$C,0),'MM01'!BA$2),"")=0,"",IFERROR(INDEX(Consulta!$A:$DP,MATCH('MM01'!$B71,Consulta!$C:$C,0),'MM01'!BA$2),""))</f>
        <v/>
      </c>
      <c r="BB71" s="43" t="str">
        <f t="shared" si="45"/>
        <v/>
      </c>
      <c r="BC71" s="43" t="str">
        <f t="shared" si="46"/>
        <v/>
      </c>
      <c r="BD71" s="43" t="str">
        <f t="shared" si="47"/>
        <v/>
      </c>
      <c r="BE71" s="43" t="str">
        <f t="shared" si="48"/>
        <v>M</v>
      </c>
      <c r="BF71" s="43" t="str">
        <f t="shared" si="49"/>
        <v/>
      </c>
      <c r="BG71" s="43" t="str">
        <f t="shared" si="50"/>
        <v/>
      </c>
      <c r="BH71" s="43" t="str">
        <f t="shared" si="51"/>
        <v/>
      </c>
      <c r="BI71" s="43" t="str">
        <f t="shared" si="52"/>
        <v>M</v>
      </c>
      <c r="BK71" s="45" t="s">
        <v>324</v>
      </c>
      <c r="BL71" s="43" t="str">
        <f>IF(IFERROR(INDEX(Consulta!$A:$DP,MATCH('MM01'!$B71,Consulta!$C:$C,0),'MM01'!BL$2),"")=0,"",IFERROR(INDEX(Consulta!$A:$DP,MATCH('MM01'!$B71,Consulta!$C:$C,0),'MM01'!BL$2),""))</f>
        <v/>
      </c>
      <c r="BM71" s="45"/>
      <c r="BN71" s="46" t="str">
        <f t="shared" ca="1" si="53"/>
        <v/>
      </c>
      <c r="BO71" s="49" t="str">
        <f t="shared" si="54"/>
        <v/>
      </c>
      <c r="BP71" s="50">
        <v>1</v>
      </c>
      <c r="BQ71" s="50" t="s">
        <v>194</v>
      </c>
      <c r="BR71" s="79" t="str">
        <f t="shared" si="81"/>
        <v>01</v>
      </c>
      <c r="BS71" s="50" t="s">
        <v>795</v>
      </c>
      <c r="BT71" s="44">
        <v>1</v>
      </c>
      <c r="BU71" s="44" t="s">
        <v>371</v>
      </c>
      <c r="BV71" s="50" t="s">
        <v>197</v>
      </c>
      <c r="BW71" s="50" t="s">
        <v>197</v>
      </c>
      <c r="BX71" s="43" t="str">
        <f>IF(IFERROR(INDEX(Consulta!$A:$DP,MATCH('MM01'!$B71,Consulta!$C:$C,0),'MM01'!BX$2),"")=0,"",IFERROR(INDEX(Consulta!$A:$DP,MATCH('MM01'!$B71,Consulta!$C:$C,0),'MM01'!BX$2),""))</f>
        <v/>
      </c>
      <c r="BY71" s="44" t="s">
        <v>391</v>
      </c>
      <c r="BZ71" s="50">
        <v>0</v>
      </c>
      <c r="CA71" s="45" t="s">
        <v>402</v>
      </c>
      <c r="CB71" s="45" t="s">
        <v>84</v>
      </c>
      <c r="CC71" s="43" t="str">
        <f t="shared" si="55"/>
        <v/>
      </c>
      <c r="CD71" s="45" t="s">
        <v>38</v>
      </c>
      <c r="CE71" s="45">
        <v>1</v>
      </c>
      <c r="CF71" s="45" t="s">
        <v>495</v>
      </c>
      <c r="CG71" s="45"/>
      <c r="CH71" s="44">
        <v>2</v>
      </c>
      <c r="CI71" s="49" t="str">
        <f t="shared" si="56"/>
        <v/>
      </c>
      <c r="CJ71" s="49" t="str">
        <f t="shared" si="57"/>
        <v/>
      </c>
      <c r="CK71" s="45"/>
      <c r="CL71" s="44">
        <v>1</v>
      </c>
      <c r="CM71" s="50" t="s">
        <v>514</v>
      </c>
      <c r="CN71" s="44" t="s">
        <v>371</v>
      </c>
      <c r="CO71" s="44">
        <v>2</v>
      </c>
      <c r="CP71" s="44">
        <v>42</v>
      </c>
      <c r="CQ71" s="44">
        <v>10</v>
      </c>
      <c r="CR71" s="43" t="str">
        <f t="shared" si="58"/>
        <v>K00_P_</v>
      </c>
      <c r="CS71" s="45">
        <v>5000</v>
      </c>
      <c r="CT71" s="43" t="str">
        <f>IF(IFERROR(INDEX(Consulta!$A:$DP,MATCH('MM01'!$B71,Consulta!$C:$C,0),'MM01'!CT$2),"")=0,"",IFERROR(INDEX(Consulta!$A:$DP,MATCH('MM01'!$B71,Consulta!$C:$C,0),'MM01'!CT$2),""))</f>
        <v/>
      </c>
      <c r="CU71" s="43" t="str">
        <f>IF(IFERROR(INDEX(Consulta!$A:$DP,MATCH('MM01'!$B71,Consulta!$C:$C,0),'MM01'!CU$2),"")=0,"",IFERROR(INDEX(Consulta!$A:$DP,MATCH('MM01'!$B71,Consulta!$C:$C,0),'MM01'!CU$2),""))</f>
        <v/>
      </c>
      <c r="CV71" s="43" t="str">
        <f>IF(IFERROR(INDEX(Consulta!$A:$DP,MATCH('MM01'!$B71,Consulta!$C:$C,0),'MM01'!CV$2),"")=0,"",IFERROR(INDEX(Consulta!$A:$DP,MATCH('MM01'!$B71,Consulta!$C:$C,0),'MM01'!CV$2),""))</f>
        <v/>
      </c>
      <c r="CW71" s="43" t="str">
        <f>IF(IFERROR(INDEX(Consulta!$A:$DP,MATCH('MM01'!$B71,Consulta!$C:$C,0),'MM01'!CW$2),"")=0,"",IFERROR(INDEX(Consulta!$A:$DP,MATCH('MM01'!$B71,Consulta!$C:$C,0),'MM01'!CW$2),""))</f>
        <v/>
      </c>
      <c r="CX71" s="43" t="str">
        <f t="shared" si="59"/>
        <v/>
      </c>
      <c r="CY71" s="43" t="str">
        <f t="shared" si="60"/>
        <v/>
      </c>
      <c r="CZ71" s="43" t="str">
        <f t="shared" si="61"/>
        <v/>
      </c>
      <c r="DA71" s="43" t="str">
        <f>IF(IFERROR(INDEX(Consulta!$A:$DP,MATCH('MM01'!$B71,Consulta!$C:$C,0),'MM01'!DA$2),"")=0,"",IFERROR(INDEX(Consulta!$A:$DP,MATCH('MM01'!$B71,Consulta!$C:$C,0),'MM01'!DA$2),""))</f>
        <v/>
      </c>
      <c r="DB71" s="43" t="str">
        <f t="shared" si="62"/>
        <v/>
      </c>
      <c r="DC71" s="43" t="str">
        <f>IF(IFERROR(INDEX(Consulta!$A:$DP,MATCH('MM01'!$B71,Consulta!$C:$C,0),'MM01'!DC$2),"")=0,"",IFERROR(INDEX(Consulta!$A:$DP,MATCH('MM01'!$B71,Consulta!$C:$C,0),'MM01'!DC$2),""))</f>
        <v/>
      </c>
      <c r="DD71" s="45">
        <v>0</v>
      </c>
      <c r="DE71" s="45">
        <v>0</v>
      </c>
      <c r="DF71" s="43" t="str">
        <f t="shared" si="63"/>
        <v/>
      </c>
      <c r="DG71" s="43" t="str">
        <f t="shared" si="64"/>
        <v/>
      </c>
      <c r="DH71" s="57"/>
      <c r="DI71" s="43" t="str">
        <f t="shared" ca="1" si="65"/>
        <v/>
      </c>
      <c r="DJ71" s="43" t="str">
        <f t="shared" si="66"/>
        <v/>
      </c>
      <c r="DK71" s="43" t="str">
        <f t="shared" si="67"/>
        <v/>
      </c>
      <c r="DL71" s="57"/>
      <c r="DM71" s="43" t="str">
        <f t="shared" ca="1" si="68"/>
        <v/>
      </c>
      <c r="DN71" s="43" t="str">
        <f t="shared" si="69"/>
        <v/>
      </c>
      <c r="DO71" s="43" t="str">
        <f t="shared" si="70"/>
        <v/>
      </c>
      <c r="DP71" s="57"/>
      <c r="DQ71" s="43" t="str">
        <f t="shared" ca="1" si="71"/>
        <v/>
      </c>
      <c r="DR71" s="43" t="str">
        <f t="shared" si="72"/>
        <v/>
      </c>
      <c r="DS71" s="43" t="str">
        <f t="shared" si="73"/>
        <v/>
      </c>
      <c r="DT71" s="57"/>
      <c r="DU71" s="43" t="str">
        <f t="shared" ca="1" si="74"/>
        <v/>
      </c>
      <c r="DV71" s="43" t="str">
        <f t="shared" si="75"/>
        <v/>
      </c>
      <c r="DX71" s="44">
        <v>1</v>
      </c>
      <c r="DY71" s="44" t="s">
        <v>773</v>
      </c>
      <c r="DZ71" s="43">
        <f t="shared" si="76"/>
        <v>0.01</v>
      </c>
      <c r="EA71" s="43" t="str">
        <f t="shared" si="77"/>
        <v>M</v>
      </c>
      <c r="EB71" s="43" t="str">
        <f>IF(IFERROR(INDEX(Consulta!$A:$DP,MATCH('MM01'!$B71,Consulta!$C:$C,0),'MM01'!EB$2),"")=0,"7925",IF(IFERROR(INDEX(Consulta!$A:$DP,MATCH('MM01'!$B71,Consulta!$C:$C,0),'MM01'!EB$2),"")="68","7910","7925"))</f>
        <v>7925</v>
      </c>
      <c r="EC71" s="44">
        <v>100</v>
      </c>
      <c r="ED71" s="62">
        <v>1</v>
      </c>
      <c r="EE71" s="43">
        <f t="shared" si="78"/>
        <v>100</v>
      </c>
      <c r="EF71" s="44">
        <v>1</v>
      </c>
      <c r="EG71" s="44">
        <v>0</v>
      </c>
      <c r="EH71" s="44" t="s">
        <v>875</v>
      </c>
      <c r="EI71" s="45">
        <v>0</v>
      </c>
      <c r="EJ71" s="43">
        <f t="shared" si="79"/>
        <v>5000</v>
      </c>
      <c r="EK71" s="69"/>
    </row>
    <row r="72" spans="1:141" x14ac:dyDescent="0.2">
      <c r="A72" s="7" t="str">
        <f t="shared" si="80"/>
        <v>Execução 68</v>
      </c>
      <c r="B72" s="42"/>
      <c r="C72" s="43" t="str">
        <f>IF(IFERROR(INDEX(Consulta!$A:$DP,MATCH('MM01'!$B72,Consulta!$C:$C,0),'MM01'!C$2),"")=0,"",IFERROR(INDEX(Consulta!$A:$DP,MATCH('MM01'!$B72,Consulta!$C:$C,0),'MM01'!C$2),""))</f>
        <v/>
      </c>
      <c r="D72" s="43" t="str">
        <f>IF(IFERROR(INDEX(Consulta!$A:$DP,MATCH('MM01'!$B72,Consulta!$C:$C,0),'MM01'!D$2),"")=0,"",IFERROR(INDEX(Consulta!$A:$DP,MATCH('MM01'!$B72,Consulta!$C:$C,0),'MM01'!D$2),""))</f>
        <v/>
      </c>
      <c r="E72" s="43" t="str">
        <f>IF(IFERROR(INDEX(Consulta!$A:$DP,MATCH('MM01'!$B72,Consulta!$C:$C,0),'MM01'!E$2),"")=0,"",IFERROR(INDEX(Consulta!$A:$DP,MATCH('MM01'!$B72,Consulta!$C:$C,0),'MM01'!E$2),""))</f>
        <v/>
      </c>
      <c r="F72" s="44" t="s">
        <v>100</v>
      </c>
      <c r="G72" s="49" t="str">
        <f>IF(IFERROR(INDEX(Consulta!$A:$DP,MATCH('MM01'!$B72,Consulta!$C:$C,0),'MM01'!G$2),"")=0,"",IFERROR(INDEX(Consulta!$A:$DP,MATCH('MM01'!$B72,Consulta!$C:$C,0),'MM01'!G$2),""))</f>
        <v/>
      </c>
      <c r="H72" s="49" t="str">
        <f>IF(IFERROR(INDEX(Consulta!$A:$DP,MATCH('MM01'!$B72,Consulta!$C:$C,0),'MM01'!H$2),"")=0,"",IFERROR(INDEX(Consulta!$A:$DP,MATCH('MM01'!$B72,Consulta!$C:$C,0),'MM01'!H$2),""))</f>
        <v/>
      </c>
      <c r="I72" s="49" t="str">
        <f t="shared" si="41"/>
        <v/>
      </c>
      <c r="J72" s="49" t="str">
        <f>IF(IFERROR(INDEX(Consulta!$A:$DP,MATCH('MM01'!$B72,Consulta!$C:$C,0),'MM01'!J$2),"")=0,"",IFERROR(INDEX(Consulta!$A:$DP,MATCH('MM01'!$B72,Consulta!$C:$C,0),'MM01'!J$2),""))</f>
        <v/>
      </c>
      <c r="K72" s="49" t="str">
        <f t="shared" si="42"/>
        <v/>
      </c>
      <c r="M72" s="45" t="s">
        <v>101</v>
      </c>
      <c r="N72" s="45" t="s">
        <v>102</v>
      </c>
      <c r="O72" s="45" t="s">
        <v>103</v>
      </c>
      <c r="P72" s="45" t="s">
        <v>104</v>
      </c>
      <c r="Q72" s="45" t="s">
        <v>105</v>
      </c>
      <c r="R72" s="45" t="s">
        <v>106</v>
      </c>
      <c r="S72" s="45" t="s">
        <v>107</v>
      </c>
      <c r="T72" s="45"/>
      <c r="U72" s="45"/>
      <c r="V72" s="45"/>
      <c r="W72" s="45"/>
      <c r="X72" s="45" t="s">
        <v>112</v>
      </c>
      <c r="Y72" s="45" t="s">
        <v>113</v>
      </c>
      <c r="Z72" s="45" t="s">
        <v>114</v>
      </c>
      <c r="AA72" s="45" t="s">
        <v>115</v>
      </c>
      <c r="AB72" s="45" t="s">
        <v>117</v>
      </c>
      <c r="AC72" s="45" t="s">
        <v>118</v>
      </c>
      <c r="AD72" s="45" t="s">
        <v>119</v>
      </c>
      <c r="AE72" s="45" t="s">
        <v>120</v>
      </c>
      <c r="AF72" s="45" t="s">
        <v>121</v>
      </c>
      <c r="AG72" s="45" t="s">
        <v>122</v>
      </c>
      <c r="AH72" s="45" t="s">
        <v>123</v>
      </c>
      <c r="AI72" s="45" t="s">
        <v>124</v>
      </c>
      <c r="AJ72" s="45" t="s">
        <v>125</v>
      </c>
      <c r="AK72" s="45" t="s">
        <v>126</v>
      </c>
      <c r="AL72" s="45"/>
      <c r="AM72" s="45"/>
      <c r="AO72" s="44" t="s">
        <v>100</v>
      </c>
      <c r="AP72" s="43" t="str">
        <f>IF(IFERROR(INDEX(Consulta!$A:$DP,MATCH('MM01'!$B72,Consulta!$C:$C,0),'MM01'!AP$2),"")=0,"",IFERROR(INDEX(Consulta!$A:$DP,MATCH('MM01'!$B72,Consulta!$C:$C,0),'MM01'!AP$2),""))</f>
        <v/>
      </c>
      <c r="AQ72" s="45"/>
      <c r="AR72" s="43" t="str">
        <f>IF(IFERROR(INDEX(Consulta!$A:$DP,MATCH('MM01'!$B72,Consulta!$C:$C,0),'MM01'!AR$2),"")=0,"",IFERROR(INDEX(Consulta!$A:$DP,MATCH('MM01'!$B72,Consulta!$C:$C,0),'MM01'!AR$2),""))</f>
        <v/>
      </c>
      <c r="AS72" s="43" t="str">
        <f>IF(IFERROR(INDEX(Consulta!$A:$DP,MATCH('MM01'!$B72,Consulta!$C:$C,0),'MM01'!AS$2),"")=0,"",IF(AR72="68",5102,IFERROR(INDEX(Consulta!$A:$DP,MATCH('MM01'!$B72,Consulta!$C:$C,0),'MM01'!AS$2),"")))</f>
        <v/>
      </c>
      <c r="AT72" s="45"/>
      <c r="AU72" s="46" t="str">
        <f t="shared" ca="1" si="43"/>
        <v/>
      </c>
      <c r="AV72" s="47" t="s">
        <v>795</v>
      </c>
      <c r="AW72" s="43" t="str">
        <f>IF(IFERROR(INDEX(Consulta!$A:$DP,MATCH('MM01'!$B72,Consulta!$C:$C,0),'MM01'!AW$2),"")=0,"",IFERROR(ROUND(INDEX(Consulta!$A:$DP,MATCH('MM01'!$B72,Consulta!$C:$C,0),'MM01'!AW$2),3),""))</f>
        <v/>
      </c>
      <c r="AX72" s="43" t="str">
        <f t="shared" si="44"/>
        <v/>
      </c>
      <c r="AY72" s="48" t="s">
        <v>299</v>
      </c>
      <c r="AZ72" s="48"/>
      <c r="BA72" s="43" t="str">
        <f>IF(IFERROR(INDEX(Consulta!$A:$DP,MATCH('MM01'!$B72,Consulta!$C:$C,0),'MM01'!BA$2),"")=0,"",IFERROR(INDEX(Consulta!$A:$DP,MATCH('MM01'!$B72,Consulta!$C:$C,0),'MM01'!BA$2),""))</f>
        <v/>
      </c>
      <c r="BB72" s="43" t="str">
        <f t="shared" si="45"/>
        <v/>
      </c>
      <c r="BC72" s="43" t="str">
        <f t="shared" si="46"/>
        <v/>
      </c>
      <c r="BD72" s="43" t="str">
        <f t="shared" si="47"/>
        <v/>
      </c>
      <c r="BE72" s="43" t="str">
        <f t="shared" si="48"/>
        <v>M</v>
      </c>
      <c r="BF72" s="43" t="str">
        <f t="shared" si="49"/>
        <v/>
      </c>
      <c r="BG72" s="43" t="str">
        <f t="shared" si="50"/>
        <v/>
      </c>
      <c r="BH72" s="43" t="str">
        <f t="shared" si="51"/>
        <v/>
      </c>
      <c r="BI72" s="43" t="str">
        <f t="shared" si="52"/>
        <v>M</v>
      </c>
      <c r="BK72" s="45" t="s">
        <v>324</v>
      </c>
      <c r="BL72" s="43" t="str">
        <f>IF(IFERROR(INDEX(Consulta!$A:$DP,MATCH('MM01'!$B72,Consulta!$C:$C,0),'MM01'!BL$2),"")=0,"",IFERROR(INDEX(Consulta!$A:$DP,MATCH('MM01'!$B72,Consulta!$C:$C,0),'MM01'!BL$2),""))</f>
        <v/>
      </c>
      <c r="BM72" s="45"/>
      <c r="BN72" s="46" t="str">
        <f t="shared" ca="1" si="53"/>
        <v/>
      </c>
      <c r="BO72" s="49" t="str">
        <f t="shared" si="54"/>
        <v/>
      </c>
      <c r="BP72" s="50">
        <v>1</v>
      </c>
      <c r="BQ72" s="50" t="s">
        <v>194</v>
      </c>
      <c r="BR72" s="79" t="str">
        <f t="shared" si="81"/>
        <v>01</v>
      </c>
      <c r="BS72" s="50" t="s">
        <v>795</v>
      </c>
      <c r="BT72" s="44">
        <v>1</v>
      </c>
      <c r="BU72" s="44" t="s">
        <v>371</v>
      </c>
      <c r="BV72" s="50" t="s">
        <v>197</v>
      </c>
      <c r="BW72" s="50" t="s">
        <v>197</v>
      </c>
      <c r="BX72" s="43" t="str">
        <f>IF(IFERROR(INDEX(Consulta!$A:$DP,MATCH('MM01'!$B72,Consulta!$C:$C,0),'MM01'!BX$2),"")=0,"",IFERROR(INDEX(Consulta!$A:$DP,MATCH('MM01'!$B72,Consulta!$C:$C,0),'MM01'!BX$2),""))</f>
        <v/>
      </c>
      <c r="BY72" s="44" t="s">
        <v>391</v>
      </c>
      <c r="BZ72" s="50">
        <v>0</v>
      </c>
      <c r="CA72" s="45" t="s">
        <v>402</v>
      </c>
      <c r="CB72" s="45" t="s">
        <v>84</v>
      </c>
      <c r="CC72" s="43" t="str">
        <f t="shared" si="55"/>
        <v/>
      </c>
      <c r="CD72" s="45" t="s">
        <v>38</v>
      </c>
      <c r="CE72" s="45">
        <v>1</v>
      </c>
      <c r="CF72" s="45" t="s">
        <v>495</v>
      </c>
      <c r="CG72" s="45"/>
      <c r="CH72" s="44">
        <v>2</v>
      </c>
      <c r="CI72" s="49" t="str">
        <f t="shared" si="56"/>
        <v/>
      </c>
      <c r="CJ72" s="49" t="str">
        <f t="shared" si="57"/>
        <v/>
      </c>
      <c r="CK72" s="45"/>
      <c r="CL72" s="44">
        <v>1</v>
      </c>
      <c r="CM72" s="50" t="s">
        <v>514</v>
      </c>
      <c r="CN72" s="44" t="s">
        <v>371</v>
      </c>
      <c r="CO72" s="44">
        <v>2</v>
      </c>
      <c r="CP72" s="44">
        <v>42</v>
      </c>
      <c r="CQ72" s="44">
        <v>10</v>
      </c>
      <c r="CR72" s="43" t="str">
        <f t="shared" si="58"/>
        <v>K00_P_</v>
      </c>
      <c r="CS72" s="45">
        <v>5000</v>
      </c>
      <c r="CT72" s="43" t="str">
        <f>IF(IFERROR(INDEX(Consulta!$A:$DP,MATCH('MM01'!$B72,Consulta!$C:$C,0),'MM01'!CT$2),"")=0,"",IFERROR(INDEX(Consulta!$A:$DP,MATCH('MM01'!$B72,Consulta!$C:$C,0),'MM01'!CT$2),""))</f>
        <v/>
      </c>
      <c r="CU72" s="43" t="str">
        <f>IF(IFERROR(INDEX(Consulta!$A:$DP,MATCH('MM01'!$B72,Consulta!$C:$C,0),'MM01'!CU$2),"")=0,"",IFERROR(INDEX(Consulta!$A:$DP,MATCH('MM01'!$B72,Consulta!$C:$C,0),'MM01'!CU$2),""))</f>
        <v/>
      </c>
      <c r="CV72" s="43" t="str">
        <f>IF(IFERROR(INDEX(Consulta!$A:$DP,MATCH('MM01'!$B72,Consulta!$C:$C,0),'MM01'!CV$2),"")=0,"",IFERROR(INDEX(Consulta!$A:$DP,MATCH('MM01'!$B72,Consulta!$C:$C,0),'MM01'!CV$2),""))</f>
        <v/>
      </c>
      <c r="CW72" s="43" t="str">
        <f>IF(IFERROR(INDEX(Consulta!$A:$DP,MATCH('MM01'!$B72,Consulta!$C:$C,0),'MM01'!CW$2),"")=0,"",IFERROR(INDEX(Consulta!$A:$DP,MATCH('MM01'!$B72,Consulta!$C:$C,0),'MM01'!CW$2),""))</f>
        <v/>
      </c>
      <c r="CX72" s="43" t="str">
        <f t="shared" si="59"/>
        <v/>
      </c>
      <c r="CY72" s="43" t="str">
        <f t="shared" si="60"/>
        <v/>
      </c>
      <c r="CZ72" s="43" t="str">
        <f t="shared" si="61"/>
        <v/>
      </c>
      <c r="DA72" s="43" t="str">
        <f>IF(IFERROR(INDEX(Consulta!$A:$DP,MATCH('MM01'!$B72,Consulta!$C:$C,0),'MM01'!DA$2),"")=0,"",IFERROR(INDEX(Consulta!$A:$DP,MATCH('MM01'!$B72,Consulta!$C:$C,0),'MM01'!DA$2),""))</f>
        <v/>
      </c>
      <c r="DB72" s="43" t="str">
        <f t="shared" si="62"/>
        <v/>
      </c>
      <c r="DC72" s="43" t="str">
        <f>IF(IFERROR(INDEX(Consulta!$A:$DP,MATCH('MM01'!$B72,Consulta!$C:$C,0),'MM01'!DC$2),"")=0,"",IFERROR(INDEX(Consulta!$A:$DP,MATCH('MM01'!$B72,Consulta!$C:$C,0),'MM01'!DC$2),""))</f>
        <v/>
      </c>
      <c r="DD72" s="45">
        <v>0</v>
      </c>
      <c r="DE72" s="45">
        <v>0</v>
      </c>
      <c r="DF72" s="43" t="str">
        <f t="shared" si="63"/>
        <v/>
      </c>
      <c r="DG72" s="43" t="str">
        <f t="shared" si="64"/>
        <v/>
      </c>
      <c r="DH72" s="57"/>
      <c r="DI72" s="43" t="str">
        <f t="shared" ca="1" si="65"/>
        <v/>
      </c>
      <c r="DJ72" s="43" t="str">
        <f t="shared" si="66"/>
        <v/>
      </c>
      <c r="DK72" s="43" t="str">
        <f t="shared" si="67"/>
        <v/>
      </c>
      <c r="DL72" s="57"/>
      <c r="DM72" s="43" t="str">
        <f t="shared" ca="1" si="68"/>
        <v/>
      </c>
      <c r="DN72" s="43" t="str">
        <f t="shared" si="69"/>
        <v/>
      </c>
      <c r="DO72" s="43" t="str">
        <f t="shared" si="70"/>
        <v/>
      </c>
      <c r="DP72" s="57"/>
      <c r="DQ72" s="43" t="str">
        <f t="shared" ca="1" si="71"/>
        <v/>
      </c>
      <c r="DR72" s="43" t="str">
        <f t="shared" si="72"/>
        <v/>
      </c>
      <c r="DS72" s="43" t="str">
        <f t="shared" si="73"/>
        <v/>
      </c>
      <c r="DT72" s="57"/>
      <c r="DU72" s="43" t="str">
        <f t="shared" ca="1" si="74"/>
        <v/>
      </c>
      <c r="DV72" s="43" t="str">
        <f t="shared" si="75"/>
        <v/>
      </c>
      <c r="DX72" s="44">
        <v>1</v>
      </c>
      <c r="DY72" s="44" t="s">
        <v>773</v>
      </c>
      <c r="DZ72" s="43">
        <f t="shared" si="76"/>
        <v>0.01</v>
      </c>
      <c r="EA72" s="43" t="str">
        <f t="shared" si="77"/>
        <v>M</v>
      </c>
      <c r="EB72" s="43" t="str">
        <f>IF(IFERROR(INDEX(Consulta!$A:$DP,MATCH('MM01'!$B72,Consulta!$C:$C,0),'MM01'!EB$2),"")=0,"7925",IF(IFERROR(INDEX(Consulta!$A:$DP,MATCH('MM01'!$B72,Consulta!$C:$C,0),'MM01'!EB$2),"")="68","7910","7925"))</f>
        <v>7925</v>
      </c>
      <c r="EC72" s="44">
        <v>100</v>
      </c>
      <c r="ED72" s="62">
        <v>1</v>
      </c>
      <c r="EE72" s="43">
        <f t="shared" si="78"/>
        <v>100</v>
      </c>
      <c r="EF72" s="44">
        <v>1</v>
      </c>
      <c r="EG72" s="44">
        <v>0</v>
      </c>
      <c r="EH72" s="44" t="s">
        <v>875</v>
      </c>
      <c r="EI72" s="45">
        <v>0</v>
      </c>
      <c r="EJ72" s="43">
        <f t="shared" si="79"/>
        <v>5000</v>
      </c>
      <c r="EK72" s="69"/>
    </row>
    <row r="73" spans="1:141" x14ac:dyDescent="0.2">
      <c r="A73" s="7" t="str">
        <f t="shared" si="80"/>
        <v>Execução 69</v>
      </c>
      <c r="B73" s="42"/>
      <c r="C73" s="43" t="str">
        <f>IF(IFERROR(INDEX(Consulta!$A:$DP,MATCH('MM01'!$B73,Consulta!$C:$C,0),'MM01'!C$2),"")=0,"",IFERROR(INDEX(Consulta!$A:$DP,MATCH('MM01'!$B73,Consulta!$C:$C,0),'MM01'!C$2),""))</f>
        <v/>
      </c>
      <c r="D73" s="43" t="str">
        <f>IF(IFERROR(INDEX(Consulta!$A:$DP,MATCH('MM01'!$B73,Consulta!$C:$C,0),'MM01'!D$2),"")=0,"",IFERROR(INDEX(Consulta!$A:$DP,MATCH('MM01'!$B73,Consulta!$C:$C,0),'MM01'!D$2),""))</f>
        <v/>
      </c>
      <c r="E73" s="43" t="str">
        <f>IF(IFERROR(INDEX(Consulta!$A:$DP,MATCH('MM01'!$B73,Consulta!$C:$C,0),'MM01'!E$2),"")=0,"",IFERROR(INDEX(Consulta!$A:$DP,MATCH('MM01'!$B73,Consulta!$C:$C,0),'MM01'!E$2),""))</f>
        <v/>
      </c>
      <c r="F73" s="44" t="s">
        <v>100</v>
      </c>
      <c r="G73" s="49" t="str">
        <f>IF(IFERROR(INDEX(Consulta!$A:$DP,MATCH('MM01'!$B73,Consulta!$C:$C,0),'MM01'!G$2),"")=0,"",IFERROR(INDEX(Consulta!$A:$DP,MATCH('MM01'!$B73,Consulta!$C:$C,0),'MM01'!G$2),""))</f>
        <v/>
      </c>
      <c r="H73" s="49" t="str">
        <f>IF(IFERROR(INDEX(Consulta!$A:$DP,MATCH('MM01'!$B73,Consulta!$C:$C,0),'MM01'!H$2),"")=0,"",IFERROR(INDEX(Consulta!$A:$DP,MATCH('MM01'!$B73,Consulta!$C:$C,0),'MM01'!H$2),""))</f>
        <v/>
      </c>
      <c r="I73" s="49" t="str">
        <f t="shared" si="41"/>
        <v/>
      </c>
      <c r="J73" s="49" t="str">
        <f>IF(IFERROR(INDEX(Consulta!$A:$DP,MATCH('MM01'!$B73,Consulta!$C:$C,0),'MM01'!J$2),"")=0,"",IFERROR(INDEX(Consulta!$A:$DP,MATCH('MM01'!$B73,Consulta!$C:$C,0),'MM01'!J$2),""))</f>
        <v/>
      </c>
      <c r="K73" s="49" t="str">
        <f t="shared" si="42"/>
        <v/>
      </c>
      <c r="M73" s="45" t="s">
        <v>101</v>
      </c>
      <c r="N73" s="45" t="s">
        <v>102</v>
      </c>
      <c r="O73" s="45" t="s">
        <v>103</v>
      </c>
      <c r="P73" s="45" t="s">
        <v>104</v>
      </c>
      <c r="Q73" s="45" t="s">
        <v>105</v>
      </c>
      <c r="R73" s="45" t="s">
        <v>106</v>
      </c>
      <c r="S73" s="45" t="s">
        <v>107</v>
      </c>
      <c r="T73" s="45"/>
      <c r="U73" s="45"/>
      <c r="V73" s="45"/>
      <c r="W73" s="45"/>
      <c r="X73" s="45" t="s">
        <v>112</v>
      </c>
      <c r="Y73" s="45" t="s">
        <v>113</v>
      </c>
      <c r="Z73" s="45" t="s">
        <v>114</v>
      </c>
      <c r="AA73" s="45" t="s">
        <v>115</v>
      </c>
      <c r="AB73" s="45" t="s">
        <v>117</v>
      </c>
      <c r="AC73" s="45" t="s">
        <v>118</v>
      </c>
      <c r="AD73" s="45" t="s">
        <v>119</v>
      </c>
      <c r="AE73" s="45" t="s">
        <v>120</v>
      </c>
      <c r="AF73" s="45" t="s">
        <v>121</v>
      </c>
      <c r="AG73" s="45" t="s">
        <v>122</v>
      </c>
      <c r="AH73" s="45" t="s">
        <v>123</v>
      </c>
      <c r="AI73" s="45" t="s">
        <v>124</v>
      </c>
      <c r="AJ73" s="45" t="s">
        <v>125</v>
      </c>
      <c r="AK73" s="45" t="s">
        <v>126</v>
      </c>
      <c r="AL73" s="45"/>
      <c r="AM73" s="45"/>
      <c r="AO73" s="44" t="s">
        <v>100</v>
      </c>
      <c r="AP73" s="43" t="str">
        <f>IF(IFERROR(INDEX(Consulta!$A:$DP,MATCH('MM01'!$B73,Consulta!$C:$C,0),'MM01'!AP$2),"")=0,"",IFERROR(INDEX(Consulta!$A:$DP,MATCH('MM01'!$B73,Consulta!$C:$C,0),'MM01'!AP$2),""))</f>
        <v/>
      </c>
      <c r="AQ73" s="45"/>
      <c r="AR73" s="43" t="str">
        <f>IF(IFERROR(INDEX(Consulta!$A:$DP,MATCH('MM01'!$B73,Consulta!$C:$C,0),'MM01'!AR$2),"")=0,"",IFERROR(INDEX(Consulta!$A:$DP,MATCH('MM01'!$B73,Consulta!$C:$C,0),'MM01'!AR$2),""))</f>
        <v/>
      </c>
      <c r="AS73" s="43" t="str">
        <f>IF(IFERROR(INDEX(Consulta!$A:$DP,MATCH('MM01'!$B73,Consulta!$C:$C,0),'MM01'!AS$2),"")=0,"",IF(AR73="68",5102,IFERROR(INDEX(Consulta!$A:$DP,MATCH('MM01'!$B73,Consulta!$C:$C,0),'MM01'!AS$2),"")))</f>
        <v/>
      </c>
      <c r="AT73" s="45"/>
      <c r="AU73" s="46" t="str">
        <f t="shared" ca="1" si="43"/>
        <v/>
      </c>
      <c r="AV73" s="47" t="s">
        <v>795</v>
      </c>
      <c r="AW73" s="43" t="str">
        <f>IF(IFERROR(INDEX(Consulta!$A:$DP,MATCH('MM01'!$B73,Consulta!$C:$C,0),'MM01'!AW$2),"")=0,"",IFERROR(ROUND(INDEX(Consulta!$A:$DP,MATCH('MM01'!$B73,Consulta!$C:$C,0),'MM01'!AW$2),3),""))</f>
        <v/>
      </c>
      <c r="AX73" s="43" t="str">
        <f t="shared" si="44"/>
        <v/>
      </c>
      <c r="AY73" s="48" t="s">
        <v>299</v>
      </c>
      <c r="AZ73" s="48"/>
      <c r="BA73" s="43" t="str">
        <f>IF(IFERROR(INDEX(Consulta!$A:$DP,MATCH('MM01'!$B73,Consulta!$C:$C,0),'MM01'!BA$2),"")=0,"",IFERROR(INDEX(Consulta!$A:$DP,MATCH('MM01'!$B73,Consulta!$C:$C,0),'MM01'!BA$2),""))</f>
        <v/>
      </c>
      <c r="BB73" s="43" t="str">
        <f t="shared" si="45"/>
        <v/>
      </c>
      <c r="BC73" s="43" t="str">
        <f t="shared" si="46"/>
        <v/>
      </c>
      <c r="BD73" s="43" t="str">
        <f t="shared" si="47"/>
        <v/>
      </c>
      <c r="BE73" s="43" t="str">
        <f t="shared" si="48"/>
        <v>M</v>
      </c>
      <c r="BF73" s="43" t="str">
        <f t="shared" si="49"/>
        <v/>
      </c>
      <c r="BG73" s="43" t="str">
        <f t="shared" si="50"/>
        <v/>
      </c>
      <c r="BH73" s="43" t="str">
        <f t="shared" si="51"/>
        <v/>
      </c>
      <c r="BI73" s="43" t="str">
        <f t="shared" si="52"/>
        <v>M</v>
      </c>
      <c r="BK73" s="45" t="s">
        <v>324</v>
      </c>
      <c r="BL73" s="43" t="str">
        <f>IF(IFERROR(INDEX(Consulta!$A:$DP,MATCH('MM01'!$B73,Consulta!$C:$C,0),'MM01'!BL$2),"")=0,"",IFERROR(INDEX(Consulta!$A:$DP,MATCH('MM01'!$B73,Consulta!$C:$C,0),'MM01'!BL$2),""))</f>
        <v/>
      </c>
      <c r="BM73" s="45"/>
      <c r="BN73" s="46" t="str">
        <f t="shared" ca="1" si="53"/>
        <v/>
      </c>
      <c r="BO73" s="49" t="str">
        <f t="shared" si="54"/>
        <v/>
      </c>
      <c r="BP73" s="50">
        <v>1</v>
      </c>
      <c r="BQ73" s="50" t="s">
        <v>194</v>
      </c>
      <c r="BR73" s="79" t="str">
        <f t="shared" si="81"/>
        <v>01</v>
      </c>
      <c r="BS73" s="50" t="s">
        <v>795</v>
      </c>
      <c r="BT73" s="44">
        <v>1</v>
      </c>
      <c r="BU73" s="44" t="s">
        <v>371</v>
      </c>
      <c r="BV73" s="50" t="s">
        <v>197</v>
      </c>
      <c r="BW73" s="50" t="s">
        <v>197</v>
      </c>
      <c r="BX73" s="43" t="str">
        <f>IF(IFERROR(INDEX(Consulta!$A:$DP,MATCH('MM01'!$B73,Consulta!$C:$C,0),'MM01'!BX$2),"")=0,"",IFERROR(INDEX(Consulta!$A:$DP,MATCH('MM01'!$B73,Consulta!$C:$C,0),'MM01'!BX$2),""))</f>
        <v/>
      </c>
      <c r="BY73" s="44" t="s">
        <v>391</v>
      </c>
      <c r="BZ73" s="50">
        <v>0</v>
      </c>
      <c r="CA73" s="45" t="s">
        <v>402</v>
      </c>
      <c r="CB73" s="45" t="s">
        <v>84</v>
      </c>
      <c r="CC73" s="43" t="str">
        <f t="shared" si="55"/>
        <v/>
      </c>
      <c r="CD73" s="45" t="s">
        <v>38</v>
      </c>
      <c r="CE73" s="45">
        <v>1</v>
      </c>
      <c r="CF73" s="45" t="s">
        <v>495</v>
      </c>
      <c r="CG73" s="45"/>
      <c r="CH73" s="44">
        <v>2</v>
      </c>
      <c r="CI73" s="49" t="str">
        <f t="shared" si="56"/>
        <v/>
      </c>
      <c r="CJ73" s="49" t="str">
        <f t="shared" si="57"/>
        <v/>
      </c>
      <c r="CK73" s="45"/>
      <c r="CL73" s="44">
        <v>1</v>
      </c>
      <c r="CM73" s="50" t="s">
        <v>514</v>
      </c>
      <c r="CN73" s="44" t="s">
        <v>371</v>
      </c>
      <c r="CO73" s="44">
        <v>2</v>
      </c>
      <c r="CP73" s="44">
        <v>42</v>
      </c>
      <c r="CQ73" s="44">
        <v>10</v>
      </c>
      <c r="CR73" s="43" t="str">
        <f t="shared" si="58"/>
        <v>K00_P_</v>
      </c>
      <c r="CS73" s="45">
        <v>5000</v>
      </c>
      <c r="CT73" s="43" t="str">
        <f>IF(IFERROR(INDEX(Consulta!$A:$DP,MATCH('MM01'!$B73,Consulta!$C:$C,0),'MM01'!CT$2),"")=0,"",IFERROR(INDEX(Consulta!$A:$DP,MATCH('MM01'!$B73,Consulta!$C:$C,0),'MM01'!CT$2),""))</f>
        <v/>
      </c>
      <c r="CU73" s="43" t="str">
        <f>IF(IFERROR(INDEX(Consulta!$A:$DP,MATCH('MM01'!$B73,Consulta!$C:$C,0),'MM01'!CU$2),"")=0,"",IFERROR(INDEX(Consulta!$A:$DP,MATCH('MM01'!$B73,Consulta!$C:$C,0),'MM01'!CU$2),""))</f>
        <v/>
      </c>
      <c r="CV73" s="43" t="str">
        <f>IF(IFERROR(INDEX(Consulta!$A:$DP,MATCH('MM01'!$B73,Consulta!$C:$C,0),'MM01'!CV$2),"")=0,"",IFERROR(INDEX(Consulta!$A:$DP,MATCH('MM01'!$B73,Consulta!$C:$C,0),'MM01'!CV$2),""))</f>
        <v/>
      </c>
      <c r="CW73" s="43" t="str">
        <f>IF(IFERROR(INDEX(Consulta!$A:$DP,MATCH('MM01'!$B73,Consulta!$C:$C,0),'MM01'!CW$2),"")=0,"",IFERROR(INDEX(Consulta!$A:$DP,MATCH('MM01'!$B73,Consulta!$C:$C,0),'MM01'!CW$2),""))</f>
        <v/>
      </c>
      <c r="CX73" s="43" t="str">
        <f t="shared" si="59"/>
        <v/>
      </c>
      <c r="CY73" s="43" t="str">
        <f t="shared" si="60"/>
        <v/>
      </c>
      <c r="CZ73" s="43" t="str">
        <f t="shared" si="61"/>
        <v/>
      </c>
      <c r="DA73" s="43" t="str">
        <f>IF(IFERROR(INDEX(Consulta!$A:$DP,MATCH('MM01'!$B73,Consulta!$C:$C,0),'MM01'!DA$2),"")=0,"",IFERROR(INDEX(Consulta!$A:$DP,MATCH('MM01'!$B73,Consulta!$C:$C,0),'MM01'!DA$2),""))</f>
        <v/>
      </c>
      <c r="DB73" s="43" t="str">
        <f t="shared" si="62"/>
        <v/>
      </c>
      <c r="DC73" s="43" t="str">
        <f>IF(IFERROR(INDEX(Consulta!$A:$DP,MATCH('MM01'!$B73,Consulta!$C:$C,0),'MM01'!DC$2),"")=0,"",IFERROR(INDEX(Consulta!$A:$DP,MATCH('MM01'!$B73,Consulta!$C:$C,0),'MM01'!DC$2),""))</f>
        <v/>
      </c>
      <c r="DD73" s="45">
        <v>0</v>
      </c>
      <c r="DE73" s="45">
        <v>0</v>
      </c>
      <c r="DF73" s="43" t="str">
        <f t="shared" si="63"/>
        <v/>
      </c>
      <c r="DG73" s="43" t="str">
        <f t="shared" si="64"/>
        <v/>
      </c>
      <c r="DH73" s="57"/>
      <c r="DI73" s="43" t="str">
        <f t="shared" ca="1" si="65"/>
        <v/>
      </c>
      <c r="DJ73" s="43" t="str">
        <f t="shared" si="66"/>
        <v/>
      </c>
      <c r="DK73" s="43" t="str">
        <f t="shared" si="67"/>
        <v/>
      </c>
      <c r="DL73" s="57"/>
      <c r="DM73" s="43" t="str">
        <f t="shared" ca="1" si="68"/>
        <v/>
      </c>
      <c r="DN73" s="43" t="str">
        <f t="shared" si="69"/>
        <v/>
      </c>
      <c r="DO73" s="43" t="str">
        <f t="shared" si="70"/>
        <v/>
      </c>
      <c r="DP73" s="57"/>
      <c r="DQ73" s="43" t="str">
        <f t="shared" ca="1" si="71"/>
        <v/>
      </c>
      <c r="DR73" s="43" t="str">
        <f t="shared" si="72"/>
        <v/>
      </c>
      <c r="DS73" s="43" t="str">
        <f t="shared" si="73"/>
        <v/>
      </c>
      <c r="DT73" s="57"/>
      <c r="DU73" s="43" t="str">
        <f t="shared" ca="1" si="74"/>
        <v/>
      </c>
      <c r="DV73" s="43" t="str">
        <f t="shared" si="75"/>
        <v/>
      </c>
      <c r="DX73" s="44">
        <v>1</v>
      </c>
      <c r="DY73" s="44" t="s">
        <v>773</v>
      </c>
      <c r="DZ73" s="43">
        <f t="shared" si="76"/>
        <v>0.01</v>
      </c>
      <c r="EA73" s="43" t="str">
        <f t="shared" si="77"/>
        <v>M</v>
      </c>
      <c r="EB73" s="43" t="str">
        <f>IF(IFERROR(INDEX(Consulta!$A:$DP,MATCH('MM01'!$B73,Consulta!$C:$C,0),'MM01'!EB$2),"")=0,"7925",IF(IFERROR(INDEX(Consulta!$A:$DP,MATCH('MM01'!$B73,Consulta!$C:$C,0),'MM01'!EB$2),"")="68","7910","7925"))</f>
        <v>7925</v>
      </c>
      <c r="EC73" s="44">
        <v>100</v>
      </c>
      <c r="ED73" s="62">
        <v>1</v>
      </c>
      <c r="EE73" s="43">
        <f t="shared" si="78"/>
        <v>100</v>
      </c>
      <c r="EF73" s="44">
        <v>1</v>
      </c>
      <c r="EG73" s="44">
        <v>0</v>
      </c>
      <c r="EH73" s="44" t="s">
        <v>875</v>
      </c>
      <c r="EI73" s="45">
        <v>0</v>
      </c>
      <c r="EJ73" s="43">
        <f t="shared" si="79"/>
        <v>5000</v>
      </c>
      <c r="EK73" s="69"/>
    </row>
    <row r="74" spans="1:141" x14ac:dyDescent="0.2">
      <c r="A74" s="7" t="str">
        <f t="shared" si="80"/>
        <v>Execução 70</v>
      </c>
      <c r="B74" s="42"/>
      <c r="C74" s="43" t="str">
        <f>IF(IFERROR(INDEX(Consulta!$A:$DP,MATCH('MM01'!$B74,Consulta!$C:$C,0),'MM01'!C$2),"")=0,"",IFERROR(INDEX(Consulta!$A:$DP,MATCH('MM01'!$B74,Consulta!$C:$C,0),'MM01'!C$2),""))</f>
        <v/>
      </c>
      <c r="D74" s="43" t="str">
        <f>IF(IFERROR(INDEX(Consulta!$A:$DP,MATCH('MM01'!$B74,Consulta!$C:$C,0),'MM01'!D$2),"")=0,"",IFERROR(INDEX(Consulta!$A:$DP,MATCH('MM01'!$B74,Consulta!$C:$C,0),'MM01'!D$2),""))</f>
        <v/>
      </c>
      <c r="E74" s="43" t="str">
        <f>IF(IFERROR(INDEX(Consulta!$A:$DP,MATCH('MM01'!$B74,Consulta!$C:$C,0),'MM01'!E$2),"")=0,"",IFERROR(INDEX(Consulta!$A:$DP,MATCH('MM01'!$B74,Consulta!$C:$C,0),'MM01'!E$2),""))</f>
        <v/>
      </c>
      <c r="F74" s="44" t="s">
        <v>100</v>
      </c>
      <c r="G74" s="49" t="str">
        <f>IF(IFERROR(INDEX(Consulta!$A:$DP,MATCH('MM01'!$B74,Consulta!$C:$C,0),'MM01'!G$2),"")=0,"",IFERROR(INDEX(Consulta!$A:$DP,MATCH('MM01'!$B74,Consulta!$C:$C,0),'MM01'!G$2),""))</f>
        <v/>
      </c>
      <c r="H74" s="49" t="str">
        <f>IF(IFERROR(INDEX(Consulta!$A:$DP,MATCH('MM01'!$B74,Consulta!$C:$C,0),'MM01'!H$2),"")=0,"",IFERROR(INDEX(Consulta!$A:$DP,MATCH('MM01'!$B74,Consulta!$C:$C,0),'MM01'!H$2),""))</f>
        <v/>
      </c>
      <c r="I74" s="49" t="str">
        <f t="shared" si="41"/>
        <v/>
      </c>
      <c r="J74" s="49" t="str">
        <f>IF(IFERROR(INDEX(Consulta!$A:$DP,MATCH('MM01'!$B74,Consulta!$C:$C,0),'MM01'!J$2),"")=0,"",IFERROR(INDEX(Consulta!$A:$DP,MATCH('MM01'!$B74,Consulta!$C:$C,0),'MM01'!J$2),""))</f>
        <v/>
      </c>
      <c r="K74" s="49" t="str">
        <f t="shared" si="42"/>
        <v/>
      </c>
      <c r="M74" s="45" t="s">
        <v>101</v>
      </c>
      <c r="N74" s="45" t="s">
        <v>102</v>
      </c>
      <c r="O74" s="45" t="s">
        <v>103</v>
      </c>
      <c r="P74" s="45" t="s">
        <v>104</v>
      </c>
      <c r="Q74" s="45" t="s">
        <v>105</v>
      </c>
      <c r="R74" s="45" t="s">
        <v>106</v>
      </c>
      <c r="S74" s="45" t="s">
        <v>107</v>
      </c>
      <c r="T74" s="45"/>
      <c r="U74" s="45"/>
      <c r="V74" s="45"/>
      <c r="W74" s="45"/>
      <c r="X74" s="45" t="s">
        <v>112</v>
      </c>
      <c r="Y74" s="45" t="s">
        <v>113</v>
      </c>
      <c r="Z74" s="45" t="s">
        <v>114</v>
      </c>
      <c r="AA74" s="45" t="s">
        <v>115</v>
      </c>
      <c r="AB74" s="45" t="s">
        <v>117</v>
      </c>
      <c r="AC74" s="45" t="s">
        <v>118</v>
      </c>
      <c r="AD74" s="45" t="s">
        <v>119</v>
      </c>
      <c r="AE74" s="45" t="s">
        <v>120</v>
      </c>
      <c r="AF74" s="45" t="s">
        <v>121</v>
      </c>
      <c r="AG74" s="45" t="s">
        <v>122</v>
      </c>
      <c r="AH74" s="45" t="s">
        <v>123</v>
      </c>
      <c r="AI74" s="45" t="s">
        <v>124</v>
      </c>
      <c r="AJ74" s="45" t="s">
        <v>125</v>
      </c>
      <c r="AK74" s="45" t="s">
        <v>126</v>
      </c>
      <c r="AL74" s="45"/>
      <c r="AM74" s="45"/>
      <c r="AO74" s="44" t="s">
        <v>100</v>
      </c>
      <c r="AP74" s="43" t="str">
        <f>IF(IFERROR(INDEX(Consulta!$A:$DP,MATCH('MM01'!$B74,Consulta!$C:$C,0),'MM01'!AP$2),"")=0,"",IFERROR(INDEX(Consulta!$A:$DP,MATCH('MM01'!$B74,Consulta!$C:$C,0),'MM01'!AP$2),""))</f>
        <v/>
      </c>
      <c r="AQ74" s="45"/>
      <c r="AR74" s="43" t="str">
        <f>IF(IFERROR(INDEX(Consulta!$A:$DP,MATCH('MM01'!$B74,Consulta!$C:$C,0),'MM01'!AR$2),"")=0,"",IFERROR(INDEX(Consulta!$A:$DP,MATCH('MM01'!$B74,Consulta!$C:$C,0),'MM01'!AR$2),""))</f>
        <v/>
      </c>
      <c r="AS74" s="43" t="str">
        <f>IF(IFERROR(INDEX(Consulta!$A:$DP,MATCH('MM01'!$B74,Consulta!$C:$C,0),'MM01'!AS$2),"")=0,"",IF(AR74="68",5102,IFERROR(INDEX(Consulta!$A:$DP,MATCH('MM01'!$B74,Consulta!$C:$C,0),'MM01'!AS$2),"")))</f>
        <v/>
      </c>
      <c r="AT74" s="45"/>
      <c r="AU74" s="46" t="str">
        <f t="shared" ca="1" si="43"/>
        <v/>
      </c>
      <c r="AV74" s="47" t="s">
        <v>795</v>
      </c>
      <c r="AW74" s="43" t="str">
        <f>IF(IFERROR(INDEX(Consulta!$A:$DP,MATCH('MM01'!$B74,Consulta!$C:$C,0),'MM01'!AW$2),"")=0,"",IFERROR(ROUND(INDEX(Consulta!$A:$DP,MATCH('MM01'!$B74,Consulta!$C:$C,0),'MM01'!AW$2),3),""))</f>
        <v/>
      </c>
      <c r="AX74" s="43" t="str">
        <f t="shared" si="44"/>
        <v/>
      </c>
      <c r="AY74" s="48" t="s">
        <v>299</v>
      </c>
      <c r="AZ74" s="48"/>
      <c r="BA74" s="43" t="str">
        <f>IF(IFERROR(INDEX(Consulta!$A:$DP,MATCH('MM01'!$B74,Consulta!$C:$C,0),'MM01'!BA$2),"")=0,"",IFERROR(INDEX(Consulta!$A:$DP,MATCH('MM01'!$B74,Consulta!$C:$C,0),'MM01'!BA$2),""))</f>
        <v/>
      </c>
      <c r="BB74" s="43" t="str">
        <f t="shared" si="45"/>
        <v/>
      </c>
      <c r="BC74" s="43" t="str">
        <f t="shared" si="46"/>
        <v/>
      </c>
      <c r="BD74" s="43" t="str">
        <f t="shared" si="47"/>
        <v/>
      </c>
      <c r="BE74" s="43" t="str">
        <f t="shared" si="48"/>
        <v>M</v>
      </c>
      <c r="BF74" s="43" t="str">
        <f t="shared" si="49"/>
        <v/>
      </c>
      <c r="BG74" s="43" t="str">
        <f t="shared" si="50"/>
        <v/>
      </c>
      <c r="BH74" s="43" t="str">
        <f t="shared" si="51"/>
        <v/>
      </c>
      <c r="BI74" s="43" t="str">
        <f t="shared" si="52"/>
        <v>M</v>
      </c>
      <c r="BK74" s="45" t="s">
        <v>324</v>
      </c>
      <c r="BL74" s="43" t="str">
        <f>IF(IFERROR(INDEX(Consulta!$A:$DP,MATCH('MM01'!$B74,Consulta!$C:$C,0),'MM01'!BL$2),"")=0,"",IFERROR(INDEX(Consulta!$A:$DP,MATCH('MM01'!$B74,Consulta!$C:$C,0),'MM01'!BL$2),""))</f>
        <v/>
      </c>
      <c r="BM74" s="45"/>
      <c r="BN74" s="46" t="str">
        <f t="shared" ca="1" si="53"/>
        <v/>
      </c>
      <c r="BO74" s="49" t="str">
        <f t="shared" si="54"/>
        <v/>
      </c>
      <c r="BP74" s="50">
        <v>1</v>
      </c>
      <c r="BQ74" s="50" t="s">
        <v>194</v>
      </c>
      <c r="BR74" s="79" t="str">
        <f t="shared" si="81"/>
        <v>01</v>
      </c>
      <c r="BS74" s="50" t="s">
        <v>795</v>
      </c>
      <c r="BT74" s="44">
        <v>1</v>
      </c>
      <c r="BU74" s="44" t="s">
        <v>371</v>
      </c>
      <c r="BV74" s="50" t="s">
        <v>197</v>
      </c>
      <c r="BW74" s="50" t="s">
        <v>197</v>
      </c>
      <c r="BX74" s="43" t="str">
        <f>IF(IFERROR(INDEX(Consulta!$A:$DP,MATCH('MM01'!$B74,Consulta!$C:$C,0),'MM01'!BX$2),"")=0,"",IFERROR(INDEX(Consulta!$A:$DP,MATCH('MM01'!$B74,Consulta!$C:$C,0),'MM01'!BX$2),""))</f>
        <v/>
      </c>
      <c r="BY74" s="44" t="s">
        <v>391</v>
      </c>
      <c r="BZ74" s="50">
        <v>0</v>
      </c>
      <c r="CA74" s="45" t="s">
        <v>402</v>
      </c>
      <c r="CB74" s="45" t="s">
        <v>84</v>
      </c>
      <c r="CC74" s="43" t="str">
        <f t="shared" si="55"/>
        <v/>
      </c>
      <c r="CD74" s="45" t="s">
        <v>38</v>
      </c>
      <c r="CE74" s="45">
        <v>1</v>
      </c>
      <c r="CF74" s="45" t="s">
        <v>495</v>
      </c>
      <c r="CG74" s="45"/>
      <c r="CH74" s="44">
        <v>2</v>
      </c>
      <c r="CI74" s="49" t="str">
        <f t="shared" si="56"/>
        <v/>
      </c>
      <c r="CJ74" s="49" t="str">
        <f t="shared" si="57"/>
        <v/>
      </c>
      <c r="CK74" s="45"/>
      <c r="CL74" s="44">
        <v>1</v>
      </c>
      <c r="CM74" s="50" t="s">
        <v>514</v>
      </c>
      <c r="CN74" s="44" t="s">
        <v>371</v>
      </c>
      <c r="CO74" s="44">
        <v>2</v>
      </c>
      <c r="CP74" s="44">
        <v>42</v>
      </c>
      <c r="CQ74" s="44">
        <v>10</v>
      </c>
      <c r="CR74" s="43" t="str">
        <f t="shared" si="58"/>
        <v>K00_P_</v>
      </c>
      <c r="CS74" s="45">
        <v>5000</v>
      </c>
      <c r="CT74" s="43" t="str">
        <f>IF(IFERROR(INDEX(Consulta!$A:$DP,MATCH('MM01'!$B74,Consulta!$C:$C,0),'MM01'!CT$2),"")=0,"",IFERROR(INDEX(Consulta!$A:$DP,MATCH('MM01'!$B74,Consulta!$C:$C,0),'MM01'!CT$2),""))</f>
        <v/>
      </c>
      <c r="CU74" s="43" t="str">
        <f>IF(IFERROR(INDEX(Consulta!$A:$DP,MATCH('MM01'!$B74,Consulta!$C:$C,0),'MM01'!CU$2),"")=0,"",IFERROR(INDEX(Consulta!$A:$DP,MATCH('MM01'!$B74,Consulta!$C:$C,0),'MM01'!CU$2),""))</f>
        <v/>
      </c>
      <c r="CV74" s="43" t="str">
        <f>IF(IFERROR(INDEX(Consulta!$A:$DP,MATCH('MM01'!$B74,Consulta!$C:$C,0),'MM01'!CV$2),"")=0,"",IFERROR(INDEX(Consulta!$A:$DP,MATCH('MM01'!$B74,Consulta!$C:$C,0),'MM01'!CV$2),""))</f>
        <v/>
      </c>
      <c r="CW74" s="43" t="str">
        <f>IF(IFERROR(INDEX(Consulta!$A:$DP,MATCH('MM01'!$B74,Consulta!$C:$C,0),'MM01'!CW$2),"")=0,"",IFERROR(INDEX(Consulta!$A:$DP,MATCH('MM01'!$B74,Consulta!$C:$C,0),'MM01'!CW$2),""))</f>
        <v/>
      </c>
      <c r="CX74" s="43" t="str">
        <f t="shared" si="59"/>
        <v/>
      </c>
      <c r="CY74" s="43" t="str">
        <f t="shared" si="60"/>
        <v/>
      </c>
      <c r="CZ74" s="43" t="str">
        <f t="shared" si="61"/>
        <v/>
      </c>
      <c r="DA74" s="43" t="str">
        <f>IF(IFERROR(INDEX(Consulta!$A:$DP,MATCH('MM01'!$B74,Consulta!$C:$C,0),'MM01'!DA$2),"")=0,"",IFERROR(INDEX(Consulta!$A:$DP,MATCH('MM01'!$B74,Consulta!$C:$C,0),'MM01'!DA$2),""))</f>
        <v/>
      </c>
      <c r="DB74" s="43" t="str">
        <f t="shared" si="62"/>
        <v/>
      </c>
      <c r="DC74" s="43" t="str">
        <f>IF(IFERROR(INDEX(Consulta!$A:$DP,MATCH('MM01'!$B74,Consulta!$C:$C,0),'MM01'!DC$2),"")=0,"",IFERROR(INDEX(Consulta!$A:$DP,MATCH('MM01'!$B74,Consulta!$C:$C,0),'MM01'!DC$2),""))</f>
        <v/>
      </c>
      <c r="DD74" s="45">
        <v>0</v>
      </c>
      <c r="DE74" s="45">
        <v>0</v>
      </c>
      <c r="DF74" s="43" t="str">
        <f t="shared" si="63"/>
        <v/>
      </c>
      <c r="DG74" s="43" t="str">
        <f t="shared" si="64"/>
        <v/>
      </c>
      <c r="DH74" s="57"/>
      <c r="DI74" s="43" t="str">
        <f t="shared" ca="1" si="65"/>
        <v/>
      </c>
      <c r="DJ74" s="43" t="str">
        <f t="shared" si="66"/>
        <v/>
      </c>
      <c r="DK74" s="43" t="str">
        <f t="shared" si="67"/>
        <v/>
      </c>
      <c r="DL74" s="57"/>
      <c r="DM74" s="43" t="str">
        <f t="shared" ca="1" si="68"/>
        <v/>
      </c>
      <c r="DN74" s="43" t="str">
        <f t="shared" si="69"/>
        <v/>
      </c>
      <c r="DO74" s="43" t="str">
        <f t="shared" si="70"/>
        <v/>
      </c>
      <c r="DP74" s="57"/>
      <c r="DQ74" s="43" t="str">
        <f t="shared" ca="1" si="71"/>
        <v/>
      </c>
      <c r="DR74" s="43" t="str">
        <f t="shared" si="72"/>
        <v/>
      </c>
      <c r="DS74" s="43" t="str">
        <f t="shared" si="73"/>
        <v/>
      </c>
      <c r="DT74" s="57"/>
      <c r="DU74" s="43" t="str">
        <f t="shared" ca="1" si="74"/>
        <v/>
      </c>
      <c r="DV74" s="43" t="str">
        <f t="shared" si="75"/>
        <v/>
      </c>
      <c r="DX74" s="44">
        <v>1</v>
      </c>
      <c r="DY74" s="44" t="s">
        <v>773</v>
      </c>
      <c r="DZ74" s="43">
        <f t="shared" si="76"/>
        <v>0.01</v>
      </c>
      <c r="EA74" s="43" t="str">
        <f t="shared" si="77"/>
        <v>M</v>
      </c>
      <c r="EB74" s="43" t="str">
        <f>IF(IFERROR(INDEX(Consulta!$A:$DP,MATCH('MM01'!$B74,Consulta!$C:$C,0),'MM01'!EB$2),"")=0,"7925",IF(IFERROR(INDEX(Consulta!$A:$DP,MATCH('MM01'!$B74,Consulta!$C:$C,0),'MM01'!EB$2),"")="68","7910","7925"))</f>
        <v>7925</v>
      </c>
      <c r="EC74" s="44">
        <v>100</v>
      </c>
      <c r="ED74" s="62">
        <v>1</v>
      </c>
      <c r="EE74" s="43">
        <f t="shared" si="78"/>
        <v>100</v>
      </c>
      <c r="EF74" s="44">
        <v>1</v>
      </c>
      <c r="EG74" s="44">
        <v>0</v>
      </c>
      <c r="EH74" s="44" t="s">
        <v>875</v>
      </c>
      <c r="EI74" s="45">
        <v>0</v>
      </c>
      <c r="EJ74" s="43">
        <f t="shared" si="79"/>
        <v>5000</v>
      </c>
      <c r="EK74" s="69"/>
    </row>
    <row r="75" spans="1:141" x14ac:dyDescent="0.2">
      <c r="A75" s="7" t="str">
        <f t="shared" si="80"/>
        <v>Execução 71</v>
      </c>
      <c r="B75" s="42"/>
      <c r="C75" s="43" t="str">
        <f>IF(IFERROR(INDEX(Consulta!$A:$DP,MATCH('MM01'!$B75,Consulta!$C:$C,0),'MM01'!C$2),"")=0,"",IFERROR(INDEX(Consulta!$A:$DP,MATCH('MM01'!$B75,Consulta!$C:$C,0),'MM01'!C$2),""))</f>
        <v/>
      </c>
      <c r="D75" s="43" t="str">
        <f>IF(IFERROR(INDEX(Consulta!$A:$DP,MATCH('MM01'!$B75,Consulta!$C:$C,0),'MM01'!D$2),"")=0,"",IFERROR(INDEX(Consulta!$A:$DP,MATCH('MM01'!$B75,Consulta!$C:$C,0),'MM01'!D$2),""))</f>
        <v/>
      </c>
      <c r="E75" s="43" t="str">
        <f>IF(IFERROR(INDEX(Consulta!$A:$DP,MATCH('MM01'!$B75,Consulta!$C:$C,0),'MM01'!E$2),"")=0,"",IFERROR(INDEX(Consulta!$A:$DP,MATCH('MM01'!$B75,Consulta!$C:$C,0),'MM01'!E$2),""))</f>
        <v/>
      </c>
      <c r="F75" s="44" t="s">
        <v>100</v>
      </c>
      <c r="G75" s="49" t="str">
        <f>IF(IFERROR(INDEX(Consulta!$A:$DP,MATCH('MM01'!$B75,Consulta!$C:$C,0),'MM01'!G$2),"")=0,"",IFERROR(INDEX(Consulta!$A:$DP,MATCH('MM01'!$B75,Consulta!$C:$C,0),'MM01'!G$2),""))</f>
        <v/>
      </c>
      <c r="H75" s="49" t="str">
        <f>IF(IFERROR(INDEX(Consulta!$A:$DP,MATCH('MM01'!$B75,Consulta!$C:$C,0),'MM01'!H$2),"")=0,"",IFERROR(INDEX(Consulta!$A:$DP,MATCH('MM01'!$B75,Consulta!$C:$C,0),'MM01'!H$2),""))</f>
        <v/>
      </c>
      <c r="I75" s="49" t="str">
        <f t="shared" si="41"/>
        <v/>
      </c>
      <c r="J75" s="49" t="str">
        <f>IF(IFERROR(INDEX(Consulta!$A:$DP,MATCH('MM01'!$B75,Consulta!$C:$C,0),'MM01'!J$2),"")=0,"",IFERROR(INDEX(Consulta!$A:$DP,MATCH('MM01'!$B75,Consulta!$C:$C,0),'MM01'!J$2),""))</f>
        <v/>
      </c>
      <c r="K75" s="49" t="str">
        <f t="shared" si="42"/>
        <v/>
      </c>
      <c r="M75" s="45" t="s">
        <v>101</v>
      </c>
      <c r="N75" s="45" t="s">
        <v>102</v>
      </c>
      <c r="O75" s="45" t="s">
        <v>103</v>
      </c>
      <c r="P75" s="45" t="s">
        <v>104</v>
      </c>
      <c r="Q75" s="45" t="s">
        <v>105</v>
      </c>
      <c r="R75" s="45" t="s">
        <v>106</v>
      </c>
      <c r="S75" s="45" t="s">
        <v>107</v>
      </c>
      <c r="T75" s="45"/>
      <c r="U75" s="45"/>
      <c r="V75" s="45"/>
      <c r="W75" s="45"/>
      <c r="X75" s="45" t="s">
        <v>112</v>
      </c>
      <c r="Y75" s="45" t="s">
        <v>113</v>
      </c>
      <c r="Z75" s="45" t="s">
        <v>114</v>
      </c>
      <c r="AA75" s="45" t="s">
        <v>115</v>
      </c>
      <c r="AB75" s="45" t="s">
        <v>117</v>
      </c>
      <c r="AC75" s="45" t="s">
        <v>118</v>
      </c>
      <c r="AD75" s="45" t="s">
        <v>119</v>
      </c>
      <c r="AE75" s="45" t="s">
        <v>120</v>
      </c>
      <c r="AF75" s="45" t="s">
        <v>121</v>
      </c>
      <c r="AG75" s="45" t="s">
        <v>122</v>
      </c>
      <c r="AH75" s="45" t="s">
        <v>123</v>
      </c>
      <c r="AI75" s="45" t="s">
        <v>124</v>
      </c>
      <c r="AJ75" s="45" t="s">
        <v>125</v>
      </c>
      <c r="AK75" s="45" t="s">
        <v>126</v>
      </c>
      <c r="AL75" s="45"/>
      <c r="AM75" s="45"/>
      <c r="AO75" s="44" t="s">
        <v>100</v>
      </c>
      <c r="AP75" s="43" t="str">
        <f>IF(IFERROR(INDEX(Consulta!$A:$DP,MATCH('MM01'!$B75,Consulta!$C:$C,0),'MM01'!AP$2),"")=0,"",IFERROR(INDEX(Consulta!$A:$DP,MATCH('MM01'!$B75,Consulta!$C:$C,0),'MM01'!AP$2),""))</f>
        <v/>
      </c>
      <c r="AQ75" s="45"/>
      <c r="AR75" s="43" t="str">
        <f>IF(IFERROR(INDEX(Consulta!$A:$DP,MATCH('MM01'!$B75,Consulta!$C:$C,0),'MM01'!AR$2),"")=0,"",IFERROR(INDEX(Consulta!$A:$DP,MATCH('MM01'!$B75,Consulta!$C:$C,0),'MM01'!AR$2),""))</f>
        <v/>
      </c>
      <c r="AS75" s="43" t="str">
        <f>IF(IFERROR(INDEX(Consulta!$A:$DP,MATCH('MM01'!$B75,Consulta!$C:$C,0),'MM01'!AS$2),"")=0,"",IF(AR75="68",5102,IFERROR(INDEX(Consulta!$A:$DP,MATCH('MM01'!$B75,Consulta!$C:$C,0),'MM01'!AS$2),"")))</f>
        <v/>
      </c>
      <c r="AT75" s="45"/>
      <c r="AU75" s="46" t="str">
        <f t="shared" ca="1" si="43"/>
        <v/>
      </c>
      <c r="AV75" s="47" t="s">
        <v>795</v>
      </c>
      <c r="AW75" s="43" t="str">
        <f>IF(IFERROR(INDEX(Consulta!$A:$DP,MATCH('MM01'!$B75,Consulta!$C:$C,0),'MM01'!AW$2),"")=0,"",IFERROR(ROUND(INDEX(Consulta!$A:$DP,MATCH('MM01'!$B75,Consulta!$C:$C,0),'MM01'!AW$2),3),""))</f>
        <v/>
      </c>
      <c r="AX75" s="43" t="str">
        <f t="shared" si="44"/>
        <v/>
      </c>
      <c r="AY75" s="48" t="s">
        <v>299</v>
      </c>
      <c r="AZ75" s="48"/>
      <c r="BA75" s="43" t="str">
        <f>IF(IFERROR(INDEX(Consulta!$A:$DP,MATCH('MM01'!$B75,Consulta!$C:$C,0),'MM01'!BA$2),"")=0,"",IFERROR(INDEX(Consulta!$A:$DP,MATCH('MM01'!$B75,Consulta!$C:$C,0),'MM01'!BA$2),""))</f>
        <v/>
      </c>
      <c r="BB75" s="43" t="str">
        <f t="shared" si="45"/>
        <v/>
      </c>
      <c r="BC75" s="43" t="str">
        <f t="shared" si="46"/>
        <v/>
      </c>
      <c r="BD75" s="43" t="str">
        <f t="shared" si="47"/>
        <v/>
      </c>
      <c r="BE75" s="43" t="str">
        <f t="shared" si="48"/>
        <v>M</v>
      </c>
      <c r="BF75" s="43" t="str">
        <f t="shared" si="49"/>
        <v/>
      </c>
      <c r="BG75" s="43" t="str">
        <f t="shared" si="50"/>
        <v/>
      </c>
      <c r="BH75" s="43" t="str">
        <f t="shared" si="51"/>
        <v/>
      </c>
      <c r="BI75" s="43" t="str">
        <f t="shared" si="52"/>
        <v>M</v>
      </c>
      <c r="BK75" s="45" t="s">
        <v>324</v>
      </c>
      <c r="BL75" s="43" t="str">
        <f>IF(IFERROR(INDEX(Consulta!$A:$DP,MATCH('MM01'!$B75,Consulta!$C:$C,0),'MM01'!BL$2),"")=0,"",IFERROR(INDEX(Consulta!$A:$DP,MATCH('MM01'!$B75,Consulta!$C:$C,0),'MM01'!BL$2),""))</f>
        <v/>
      </c>
      <c r="BM75" s="45"/>
      <c r="BN75" s="46" t="str">
        <f t="shared" ca="1" si="53"/>
        <v/>
      </c>
      <c r="BO75" s="49" t="str">
        <f t="shared" si="54"/>
        <v/>
      </c>
      <c r="BP75" s="50">
        <v>1</v>
      </c>
      <c r="BQ75" s="50" t="s">
        <v>194</v>
      </c>
      <c r="BR75" s="79" t="str">
        <f t="shared" si="81"/>
        <v>01</v>
      </c>
      <c r="BS75" s="50" t="s">
        <v>795</v>
      </c>
      <c r="BT75" s="44">
        <v>1</v>
      </c>
      <c r="BU75" s="44" t="s">
        <v>371</v>
      </c>
      <c r="BV75" s="50" t="s">
        <v>197</v>
      </c>
      <c r="BW75" s="50" t="s">
        <v>197</v>
      </c>
      <c r="BX75" s="43" t="str">
        <f>IF(IFERROR(INDEX(Consulta!$A:$DP,MATCH('MM01'!$B75,Consulta!$C:$C,0),'MM01'!BX$2),"")=0,"",IFERROR(INDEX(Consulta!$A:$DP,MATCH('MM01'!$B75,Consulta!$C:$C,0),'MM01'!BX$2),""))</f>
        <v/>
      </c>
      <c r="BY75" s="44" t="s">
        <v>391</v>
      </c>
      <c r="BZ75" s="50">
        <v>0</v>
      </c>
      <c r="CA75" s="45" t="s">
        <v>402</v>
      </c>
      <c r="CB75" s="45" t="s">
        <v>84</v>
      </c>
      <c r="CC75" s="43" t="str">
        <f t="shared" si="55"/>
        <v/>
      </c>
      <c r="CD75" s="45" t="s">
        <v>38</v>
      </c>
      <c r="CE75" s="45">
        <v>1</v>
      </c>
      <c r="CF75" s="45" t="s">
        <v>495</v>
      </c>
      <c r="CG75" s="45"/>
      <c r="CH75" s="44">
        <v>2</v>
      </c>
      <c r="CI75" s="49" t="str">
        <f t="shared" si="56"/>
        <v/>
      </c>
      <c r="CJ75" s="49" t="str">
        <f t="shared" si="57"/>
        <v/>
      </c>
      <c r="CK75" s="45"/>
      <c r="CL75" s="44">
        <v>1</v>
      </c>
      <c r="CM75" s="50" t="s">
        <v>514</v>
      </c>
      <c r="CN75" s="44" t="s">
        <v>371</v>
      </c>
      <c r="CO75" s="44">
        <v>2</v>
      </c>
      <c r="CP75" s="44">
        <v>42</v>
      </c>
      <c r="CQ75" s="44">
        <v>10</v>
      </c>
      <c r="CR75" s="43" t="str">
        <f t="shared" si="58"/>
        <v>K00_P_</v>
      </c>
      <c r="CS75" s="45">
        <v>5000</v>
      </c>
      <c r="CT75" s="43" t="str">
        <f>IF(IFERROR(INDEX(Consulta!$A:$DP,MATCH('MM01'!$B75,Consulta!$C:$C,0),'MM01'!CT$2),"")=0,"",IFERROR(INDEX(Consulta!$A:$DP,MATCH('MM01'!$B75,Consulta!$C:$C,0),'MM01'!CT$2),""))</f>
        <v/>
      </c>
      <c r="CU75" s="43" t="str">
        <f>IF(IFERROR(INDEX(Consulta!$A:$DP,MATCH('MM01'!$B75,Consulta!$C:$C,0),'MM01'!CU$2),"")=0,"",IFERROR(INDEX(Consulta!$A:$DP,MATCH('MM01'!$B75,Consulta!$C:$C,0),'MM01'!CU$2),""))</f>
        <v/>
      </c>
      <c r="CV75" s="43" t="str">
        <f>IF(IFERROR(INDEX(Consulta!$A:$DP,MATCH('MM01'!$B75,Consulta!$C:$C,0),'MM01'!CV$2),"")=0,"",IFERROR(INDEX(Consulta!$A:$DP,MATCH('MM01'!$B75,Consulta!$C:$C,0),'MM01'!CV$2),""))</f>
        <v/>
      </c>
      <c r="CW75" s="43" t="str">
        <f>IF(IFERROR(INDEX(Consulta!$A:$DP,MATCH('MM01'!$B75,Consulta!$C:$C,0),'MM01'!CW$2),"")=0,"",IFERROR(INDEX(Consulta!$A:$DP,MATCH('MM01'!$B75,Consulta!$C:$C,0),'MM01'!CW$2),""))</f>
        <v/>
      </c>
      <c r="CX75" s="43" t="str">
        <f t="shared" si="59"/>
        <v/>
      </c>
      <c r="CY75" s="43" t="str">
        <f t="shared" si="60"/>
        <v/>
      </c>
      <c r="CZ75" s="43" t="str">
        <f t="shared" si="61"/>
        <v/>
      </c>
      <c r="DA75" s="43" t="str">
        <f>IF(IFERROR(INDEX(Consulta!$A:$DP,MATCH('MM01'!$B75,Consulta!$C:$C,0),'MM01'!DA$2),"")=0,"",IFERROR(INDEX(Consulta!$A:$DP,MATCH('MM01'!$B75,Consulta!$C:$C,0),'MM01'!DA$2),""))</f>
        <v/>
      </c>
      <c r="DB75" s="43" t="str">
        <f t="shared" si="62"/>
        <v/>
      </c>
      <c r="DC75" s="43" t="str">
        <f>IF(IFERROR(INDEX(Consulta!$A:$DP,MATCH('MM01'!$B75,Consulta!$C:$C,0),'MM01'!DC$2),"")=0,"",IFERROR(INDEX(Consulta!$A:$DP,MATCH('MM01'!$B75,Consulta!$C:$C,0),'MM01'!DC$2),""))</f>
        <v/>
      </c>
      <c r="DD75" s="45">
        <v>0</v>
      </c>
      <c r="DE75" s="45">
        <v>0</v>
      </c>
      <c r="DF75" s="43" t="str">
        <f t="shared" si="63"/>
        <v/>
      </c>
      <c r="DG75" s="43" t="str">
        <f t="shared" si="64"/>
        <v/>
      </c>
      <c r="DH75" s="57"/>
      <c r="DI75" s="43" t="str">
        <f t="shared" ca="1" si="65"/>
        <v/>
      </c>
      <c r="DJ75" s="43" t="str">
        <f t="shared" si="66"/>
        <v/>
      </c>
      <c r="DK75" s="43" t="str">
        <f t="shared" si="67"/>
        <v/>
      </c>
      <c r="DL75" s="57"/>
      <c r="DM75" s="43" t="str">
        <f t="shared" ca="1" si="68"/>
        <v/>
      </c>
      <c r="DN75" s="43" t="str">
        <f t="shared" si="69"/>
        <v/>
      </c>
      <c r="DO75" s="43" t="str">
        <f t="shared" si="70"/>
        <v/>
      </c>
      <c r="DP75" s="57"/>
      <c r="DQ75" s="43" t="str">
        <f t="shared" ca="1" si="71"/>
        <v/>
      </c>
      <c r="DR75" s="43" t="str">
        <f t="shared" si="72"/>
        <v/>
      </c>
      <c r="DS75" s="43" t="str">
        <f t="shared" si="73"/>
        <v/>
      </c>
      <c r="DT75" s="57"/>
      <c r="DU75" s="43" t="str">
        <f t="shared" ca="1" si="74"/>
        <v/>
      </c>
      <c r="DV75" s="43" t="str">
        <f t="shared" si="75"/>
        <v/>
      </c>
      <c r="DX75" s="44">
        <v>1</v>
      </c>
      <c r="DY75" s="44" t="s">
        <v>773</v>
      </c>
      <c r="DZ75" s="43">
        <f t="shared" si="76"/>
        <v>0.01</v>
      </c>
      <c r="EA75" s="43" t="str">
        <f t="shared" si="77"/>
        <v>M</v>
      </c>
      <c r="EB75" s="43" t="str">
        <f>IF(IFERROR(INDEX(Consulta!$A:$DP,MATCH('MM01'!$B75,Consulta!$C:$C,0),'MM01'!EB$2),"")=0,"7925",IF(IFERROR(INDEX(Consulta!$A:$DP,MATCH('MM01'!$B75,Consulta!$C:$C,0),'MM01'!EB$2),"")="68","7910","7925"))</f>
        <v>7925</v>
      </c>
      <c r="EC75" s="44">
        <v>100</v>
      </c>
      <c r="ED75" s="62">
        <v>1</v>
      </c>
      <c r="EE75" s="43">
        <f t="shared" si="78"/>
        <v>100</v>
      </c>
      <c r="EF75" s="44">
        <v>1</v>
      </c>
      <c r="EG75" s="44">
        <v>0</v>
      </c>
      <c r="EH75" s="44" t="s">
        <v>875</v>
      </c>
      <c r="EI75" s="45">
        <v>0</v>
      </c>
      <c r="EJ75" s="43">
        <f t="shared" si="79"/>
        <v>5000</v>
      </c>
      <c r="EK75" s="69"/>
    </row>
    <row r="76" spans="1:141" x14ac:dyDescent="0.2">
      <c r="A76" s="7" t="str">
        <f t="shared" si="80"/>
        <v>Execução 72</v>
      </c>
      <c r="B76" s="42"/>
      <c r="C76" s="43" t="str">
        <f>IF(IFERROR(INDEX(Consulta!$A:$DP,MATCH('MM01'!$B76,Consulta!$C:$C,0),'MM01'!C$2),"")=0,"",IFERROR(INDEX(Consulta!$A:$DP,MATCH('MM01'!$B76,Consulta!$C:$C,0),'MM01'!C$2),""))</f>
        <v/>
      </c>
      <c r="D76" s="43" t="str">
        <f>IF(IFERROR(INDEX(Consulta!$A:$DP,MATCH('MM01'!$B76,Consulta!$C:$C,0),'MM01'!D$2),"")=0,"",IFERROR(INDEX(Consulta!$A:$DP,MATCH('MM01'!$B76,Consulta!$C:$C,0),'MM01'!D$2),""))</f>
        <v/>
      </c>
      <c r="E76" s="43" t="str">
        <f>IF(IFERROR(INDEX(Consulta!$A:$DP,MATCH('MM01'!$B76,Consulta!$C:$C,0),'MM01'!E$2),"")=0,"",IFERROR(INDEX(Consulta!$A:$DP,MATCH('MM01'!$B76,Consulta!$C:$C,0),'MM01'!E$2),""))</f>
        <v/>
      </c>
      <c r="F76" s="44" t="s">
        <v>100</v>
      </c>
      <c r="G76" s="49" t="str">
        <f>IF(IFERROR(INDEX(Consulta!$A:$DP,MATCH('MM01'!$B76,Consulta!$C:$C,0),'MM01'!G$2),"")=0,"",IFERROR(INDEX(Consulta!$A:$DP,MATCH('MM01'!$B76,Consulta!$C:$C,0),'MM01'!G$2),""))</f>
        <v/>
      </c>
      <c r="H76" s="49" t="str">
        <f>IF(IFERROR(INDEX(Consulta!$A:$DP,MATCH('MM01'!$B76,Consulta!$C:$C,0),'MM01'!H$2),"")=0,"",IFERROR(INDEX(Consulta!$A:$DP,MATCH('MM01'!$B76,Consulta!$C:$C,0),'MM01'!H$2),""))</f>
        <v/>
      </c>
      <c r="I76" s="49" t="str">
        <f t="shared" si="41"/>
        <v/>
      </c>
      <c r="J76" s="49" t="str">
        <f>IF(IFERROR(INDEX(Consulta!$A:$DP,MATCH('MM01'!$B76,Consulta!$C:$C,0),'MM01'!J$2),"")=0,"",IFERROR(INDEX(Consulta!$A:$DP,MATCH('MM01'!$B76,Consulta!$C:$C,0),'MM01'!J$2),""))</f>
        <v/>
      </c>
      <c r="K76" s="49" t="str">
        <f t="shared" si="42"/>
        <v/>
      </c>
      <c r="M76" s="45" t="s">
        <v>101</v>
      </c>
      <c r="N76" s="45" t="s">
        <v>102</v>
      </c>
      <c r="O76" s="45" t="s">
        <v>103</v>
      </c>
      <c r="P76" s="45" t="s">
        <v>104</v>
      </c>
      <c r="Q76" s="45" t="s">
        <v>105</v>
      </c>
      <c r="R76" s="45" t="s">
        <v>106</v>
      </c>
      <c r="S76" s="45" t="s">
        <v>107</v>
      </c>
      <c r="T76" s="45"/>
      <c r="U76" s="45"/>
      <c r="V76" s="45"/>
      <c r="W76" s="45"/>
      <c r="X76" s="45" t="s">
        <v>112</v>
      </c>
      <c r="Y76" s="45" t="s">
        <v>113</v>
      </c>
      <c r="Z76" s="45" t="s">
        <v>114</v>
      </c>
      <c r="AA76" s="45" t="s">
        <v>115</v>
      </c>
      <c r="AB76" s="45" t="s">
        <v>117</v>
      </c>
      <c r="AC76" s="45" t="s">
        <v>118</v>
      </c>
      <c r="AD76" s="45" t="s">
        <v>119</v>
      </c>
      <c r="AE76" s="45" t="s">
        <v>120</v>
      </c>
      <c r="AF76" s="45" t="s">
        <v>121</v>
      </c>
      <c r="AG76" s="45" t="s">
        <v>122</v>
      </c>
      <c r="AH76" s="45" t="s">
        <v>123</v>
      </c>
      <c r="AI76" s="45" t="s">
        <v>124</v>
      </c>
      <c r="AJ76" s="45" t="s">
        <v>125</v>
      </c>
      <c r="AK76" s="45" t="s">
        <v>126</v>
      </c>
      <c r="AL76" s="45"/>
      <c r="AM76" s="45"/>
      <c r="AO76" s="44" t="s">
        <v>100</v>
      </c>
      <c r="AP76" s="43" t="str">
        <f>IF(IFERROR(INDEX(Consulta!$A:$DP,MATCH('MM01'!$B76,Consulta!$C:$C,0),'MM01'!AP$2),"")=0,"",IFERROR(INDEX(Consulta!$A:$DP,MATCH('MM01'!$B76,Consulta!$C:$C,0),'MM01'!AP$2),""))</f>
        <v/>
      </c>
      <c r="AQ76" s="45"/>
      <c r="AR76" s="43" t="str">
        <f>IF(IFERROR(INDEX(Consulta!$A:$DP,MATCH('MM01'!$B76,Consulta!$C:$C,0),'MM01'!AR$2),"")=0,"",IFERROR(INDEX(Consulta!$A:$DP,MATCH('MM01'!$B76,Consulta!$C:$C,0),'MM01'!AR$2),""))</f>
        <v/>
      </c>
      <c r="AS76" s="43" t="str">
        <f>IF(IFERROR(INDEX(Consulta!$A:$DP,MATCH('MM01'!$B76,Consulta!$C:$C,0),'MM01'!AS$2),"")=0,"",IF(AR76="68",5102,IFERROR(INDEX(Consulta!$A:$DP,MATCH('MM01'!$B76,Consulta!$C:$C,0),'MM01'!AS$2),"")))</f>
        <v/>
      </c>
      <c r="AT76" s="45"/>
      <c r="AU76" s="46" t="str">
        <f t="shared" ca="1" si="43"/>
        <v/>
      </c>
      <c r="AV76" s="47" t="s">
        <v>795</v>
      </c>
      <c r="AW76" s="43" t="str">
        <f>IF(IFERROR(INDEX(Consulta!$A:$DP,MATCH('MM01'!$B76,Consulta!$C:$C,0),'MM01'!AW$2),"")=0,"",IFERROR(ROUND(INDEX(Consulta!$A:$DP,MATCH('MM01'!$B76,Consulta!$C:$C,0),'MM01'!AW$2),3),""))</f>
        <v/>
      </c>
      <c r="AX76" s="43" t="str">
        <f t="shared" si="44"/>
        <v/>
      </c>
      <c r="AY76" s="48" t="s">
        <v>299</v>
      </c>
      <c r="AZ76" s="48"/>
      <c r="BA76" s="43" t="str">
        <f>IF(IFERROR(INDEX(Consulta!$A:$DP,MATCH('MM01'!$B76,Consulta!$C:$C,0),'MM01'!BA$2),"")=0,"",IFERROR(INDEX(Consulta!$A:$DP,MATCH('MM01'!$B76,Consulta!$C:$C,0),'MM01'!BA$2),""))</f>
        <v/>
      </c>
      <c r="BB76" s="43" t="str">
        <f t="shared" si="45"/>
        <v/>
      </c>
      <c r="BC76" s="43" t="str">
        <f t="shared" si="46"/>
        <v/>
      </c>
      <c r="BD76" s="43" t="str">
        <f t="shared" si="47"/>
        <v/>
      </c>
      <c r="BE76" s="43" t="str">
        <f t="shared" si="48"/>
        <v>M</v>
      </c>
      <c r="BF76" s="43" t="str">
        <f t="shared" si="49"/>
        <v/>
      </c>
      <c r="BG76" s="43" t="str">
        <f t="shared" si="50"/>
        <v/>
      </c>
      <c r="BH76" s="43" t="str">
        <f t="shared" si="51"/>
        <v/>
      </c>
      <c r="BI76" s="43" t="str">
        <f t="shared" si="52"/>
        <v>M</v>
      </c>
      <c r="BK76" s="45" t="s">
        <v>324</v>
      </c>
      <c r="BL76" s="43" t="str">
        <f>IF(IFERROR(INDEX(Consulta!$A:$DP,MATCH('MM01'!$B76,Consulta!$C:$C,0),'MM01'!BL$2),"")=0,"",IFERROR(INDEX(Consulta!$A:$DP,MATCH('MM01'!$B76,Consulta!$C:$C,0),'MM01'!BL$2),""))</f>
        <v/>
      </c>
      <c r="BM76" s="45"/>
      <c r="BN76" s="46" t="str">
        <f t="shared" ca="1" si="53"/>
        <v/>
      </c>
      <c r="BO76" s="49" t="str">
        <f t="shared" si="54"/>
        <v/>
      </c>
      <c r="BP76" s="50">
        <v>1</v>
      </c>
      <c r="BQ76" s="50" t="s">
        <v>194</v>
      </c>
      <c r="BR76" s="79" t="str">
        <f t="shared" si="81"/>
        <v>01</v>
      </c>
      <c r="BS76" s="50" t="s">
        <v>795</v>
      </c>
      <c r="BT76" s="44">
        <v>1</v>
      </c>
      <c r="BU76" s="44" t="s">
        <v>371</v>
      </c>
      <c r="BV76" s="50" t="s">
        <v>197</v>
      </c>
      <c r="BW76" s="50" t="s">
        <v>197</v>
      </c>
      <c r="BX76" s="43" t="str">
        <f>IF(IFERROR(INDEX(Consulta!$A:$DP,MATCH('MM01'!$B76,Consulta!$C:$C,0),'MM01'!BX$2),"")=0,"",IFERROR(INDEX(Consulta!$A:$DP,MATCH('MM01'!$B76,Consulta!$C:$C,0),'MM01'!BX$2),""))</f>
        <v/>
      </c>
      <c r="BY76" s="44" t="s">
        <v>391</v>
      </c>
      <c r="BZ76" s="50">
        <v>0</v>
      </c>
      <c r="CA76" s="45" t="s">
        <v>402</v>
      </c>
      <c r="CB76" s="45" t="s">
        <v>84</v>
      </c>
      <c r="CC76" s="43" t="str">
        <f t="shared" si="55"/>
        <v/>
      </c>
      <c r="CD76" s="45" t="s">
        <v>38</v>
      </c>
      <c r="CE76" s="45">
        <v>1</v>
      </c>
      <c r="CF76" s="45" t="s">
        <v>495</v>
      </c>
      <c r="CG76" s="45"/>
      <c r="CH76" s="44">
        <v>2</v>
      </c>
      <c r="CI76" s="49" t="str">
        <f t="shared" si="56"/>
        <v/>
      </c>
      <c r="CJ76" s="49" t="str">
        <f t="shared" si="57"/>
        <v/>
      </c>
      <c r="CK76" s="45"/>
      <c r="CL76" s="44">
        <v>1</v>
      </c>
      <c r="CM76" s="50" t="s">
        <v>514</v>
      </c>
      <c r="CN76" s="44" t="s">
        <v>371</v>
      </c>
      <c r="CO76" s="44">
        <v>2</v>
      </c>
      <c r="CP76" s="44">
        <v>42</v>
      </c>
      <c r="CQ76" s="44">
        <v>10</v>
      </c>
      <c r="CR76" s="43" t="str">
        <f t="shared" si="58"/>
        <v>K00_P_</v>
      </c>
      <c r="CS76" s="45">
        <v>5000</v>
      </c>
      <c r="CT76" s="43" t="str">
        <f>IF(IFERROR(INDEX(Consulta!$A:$DP,MATCH('MM01'!$B76,Consulta!$C:$C,0),'MM01'!CT$2),"")=0,"",IFERROR(INDEX(Consulta!$A:$DP,MATCH('MM01'!$B76,Consulta!$C:$C,0),'MM01'!CT$2),""))</f>
        <v/>
      </c>
      <c r="CU76" s="43" t="str">
        <f>IF(IFERROR(INDEX(Consulta!$A:$DP,MATCH('MM01'!$B76,Consulta!$C:$C,0),'MM01'!CU$2),"")=0,"",IFERROR(INDEX(Consulta!$A:$DP,MATCH('MM01'!$B76,Consulta!$C:$C,0),'MM01'!CU$2),""))</f>
        <v/>
      </c>
      <c r="CV76" s="43" t="str">
        <f>IF(IFERROR(INDEX(Consulta!$A:$DP,MATCH('MM01'!$B76,Consulta!$C:$C,0),'MM01'!CV$2),"")=0,"",IFERROR(INDEX(Consulta!$A:$DP,MATCH('MM01'!$B76,Consulta!$C:$C,0),'MM01'!CV$2),""))</f>
        <v/>
      </c>
      <c r="CW76" s="43" t="str">
        <f>IF(IFERROR(INDEX(Consulta!$A:$DP,MATCH('MM01'!$B76,Consulta!$C:$C,0),'MM01'!CW$2),"")=0,"",IFERROR(INDEX(Consulta!$A:$DP,MATCH('MM01'!$B76,Consulta!$C:$C,0),'MM01'!CW$2),""))</f>
        <v/>
      </c>
      <c r="CX76" s="43" t="str">
        <f t="shared" si="59"/>
        <v/>
      </c>
      <c r="CY76" s="43" t="str">
        <f t="shared" si="60"/>
        <v/>
      </c>
      <c r="CZ76" s="43" t="str">
        <f t="shared" si="61"/>
        <v/>
      </c>
      <c r="DA76" s="43" t="str">
        <f>IF(IFERROR(INDEX(Consulta!$A:$DP,MATCH('MM01'!$B76,Consulta!$C:$C,0),'MM01'!DA$2),"")=0,"",IFERROR(INDEX(Consulta!$A:$DP,MATCH('MM01'!$B76,Consulta!$C:$C,0),'MM01'!DA$2),""))</f>
        <v/>
      </c>
      <c r="DB76" s="43" t="str">
        <f t="shared" si="62"/>
        <v/>
      </c>
      <c r="DC76" s="43" t="str">
        <f>IF(IFERROR(INDEX(Consulta!$A:$DP,MATCH('MM01'!$B76,Consulta!$C:$C,0),'MM01'!DC$2),"")=0,"",IFERROR(INDEX(Consulta!$A:$DP,MATCH('MM01'!$B76,Consulta!$C:$C,0),'MM01'!DC$2),""))</f>
        <v/>
      </c>
      <c r="DD76" s="45">
        <v>0</v>
      </c>
      <c r="DE76" s="45">
        <v>0</v>
      </c>
      <c r="DF76" s="43" t="str">
        <f t="shared" si="63"/>
        <v/>
      </c>
      <c r="DG76" s="43" t="str">
        <f t="shared" si="64"/>
        <v/>
      </c>
      <c r="DH76" s="57"/>
      <c r="DI76" s="43" t="str">
        <f t="shared" ca="1" si="65"/>
        <v/>
      </c>
      <c r="DJ76" s="43" t="str">
        <f t="shared" si="66"/>
        <v/>
      </c>
      <c r="DK76" s="43" t="str">
        <f t="shared" si="67"/>
        <v/>
      </c>
      <c r="DL76" s="57"/>
      <c r="DM76" s="43" t="str">
        <f t="shared" ca="1" si="68"/>
        <v/>
      </c>
      <c r="DN76" s="43" t="str">
        <f t="shared" si="69"/>
        <v/>
      </c>
      <c r="DO76" s="43" t="str">
        <f t="shared" si="70"/>
        <v/>
      </c>
      <c r="DP76" s="57"/>
      <c r="DQ76" s="43" t="str">
        <f t="shared" ca="1" si="71"/>
        <v/>
      </c>
      <c r="DR76" s="43" t="str">
        <f t="shared" si="72"/>
        <v/>
      </c>
      <c r="DS76" s="43" t="str">
        <f t="shared" si="73"/>
        <v/>
      </c>
      <c r="DT76" s="57"/>
      <c r="DU76" s="43" t="str">
        <f t="shared" ca="1" si="74"/>
        <v/>
      </c>
      <c r="DV76" s="43" t="str">
        <f t="shared" si="75"/>
        <v/>
      </c>
      <c r="DX76" s="44">
        <v>1</v>
      </c>
      <c r="DY76" s="44" t="s">
        <v>773</v>
      </c>
      <c r="DZ76" s="43">
        <f t="shared" si="76"/>
        <v>0.01</v>
      </c>
      <c r="EA76" s="43" t="str">
        <f t="shared" si="77"/>
        <v>M</v>
      </c>
      <c r="EB76" s="43" t="str">
        <f>IF(IFERROR(INDEX(Consulta!$A:$DP,MATCH('MM01'!$B76,Consulta!$C:$C,0),'MM01'!EB$2),"")=0,"7925",IF(IFERROR(INDEX(Consulta!$A:$DP,MATCH('MM01'!$B76,Consulta!$C:$C,0),'MM01'!EB$2),"")="68","7910","7925"))</f>
        <v>7925</v>
      </c>
      <c r="EC76" s="44">
        <v>100</v>
      </c>
      <c r="ED76" s="62">
        <v>1</v>
      </c>
      <c r="EE76" s="43">
        <f t="shared" si="78"/>
        <v>100</v>
      </c>
      <c r="EF76" s="44">
        <v>1</v>
      </c>
      <c r="EG76" s="44">
        <v>0</v>
      </c>
      <c r="EH76" s="44" t="s">
        <v>875</v>
      </c>
      <c r="EI76" s="45">
        <v>0</v>
      </c>
      <c r="EJ76" s="43">
        <f t="shared" si="79"/>
        <v>5000</v>
      </c>
      <c r="EK76" s="69"/>
    </row>
    <row r="77" spans="1:141" x14ac:dyDescent="0.2">
      <c r="A77" s="7" t="str">
        <f t="shared" si="80"/>
        <v>Execução 73</v>
      </c>
      <c r="B77" s="42"/>
      <c r="C77" s="43" t="str">
        <f>IF(IFERROR(INDEX(Consulta!$A:$DP,MATCH('MM01'!$B77,Consulta!$C:$C,0),'MM01'!C$2),"")=0,"",IFERROR(INDEX(Consulta!$A:$DP,MATCH('MM01'!$B77,Consulta!$C:$C,0),'MM01'!C$2),""))</f>
        <v/>
      </c>
      <c r="D77" s="43" t="str">
        <f>IF(IFERROR(INDEX(Consulta!$A:$DP,MATCH('MM01'!$B77,Consulta!$C:$C,0),'MM01'!D$2),"")=0,"",IFERROR(INDEX(Consulta!$A:$DP,MATCH('MM01'!$B77,Consulta!$C:$C,0),'MM01'!D$2),""))</f>
        <v/>
      </c>
      <c r="E77" s="43" t="str">
        <f>IF(IFERROR(INDEX(Consulta!$A:$DP,MATCH('MM01'!$B77,Consulta!$C:$C,0),'MM01'!E$2),"")=0,"",IFERROR(INDEX(Consulta!$A:$DP,MATCH('MM01'!$B77,Consulta!$C:$C,0),'MM01'!E$2),""))</f>
        <v/>
      </c>
      <c r="F77" s="44" t="s">
        <v>100</v>
      </c>
      <c r="G77" s="49" t="str">
        <f>IF(IFERROR(INDEX(Consulta!$A:$DP,MATCH('MM01'!$B77,Consulta!$C:$C,0),'MM01'!G$2),"")=0,"",IFERROR(INDEX(Consulta!$A:$DP,MATCH('MM01'!$B77,Consulta!$C:$C,0),'MM01'!G$2),""))</f>
        <v/>
      </c>
      <c r="H77" s="49" t="str">
        <f>IF(IFERROR(INDEX(Consulta!$A:$DP,MATCH('MM01'!$B77,Consulta!$C:$C,0),'MM01'!H$2),"")=0,"",IFERROR(INDEX(Consulta!$A:$DP,MATCH('MM01'!$B77,Consulta!$C:$C,0),'MM01'!H$2),""))</f>
        <v/>
      </c>
      <c r="I77" s="49" t="str">
        <f t="shared" si="41"/>
        <v/>
      </c>
      <c r="J77" s="49" t="str">
        <f>IF(IFERROR(INDEX(Consulta!$A:$DP,MATCH('MM01'!$B77,Consulta!$C:$C,0),'MM01'!J$2),"")=0,"",IFERROR(INDEX(Consulta!$A:$DP,MATCH('MM01'!$B77,Consulta!$C:$C,0),'MM01'!J$2),""))</f>
        <v/>
      </c>
      <c r="K77" s="49" t="str">
        <f t="shared" si="42"/>
        <v/>
      </c>
      <c r="M77" s="45" t="s">
        <v>101</v>
      </c>
      <c r="N77" s="45" t="s">
        <v>102</v>
      </c>
      <c r="O77" s="45" t="s">
        <v>103</v>
      </c>
      <c r="P77" s="45" t="s">
        <v>104</v>
      </c>
      <c r="Q77" s="45" t="s">
        <v>105</v>
      </c>
      <c r="R77" s="45" t="s">
        <v>106</v>
      </c>
      <c r="S77" s="45" t="s">
        <v>107</v>
      </c>
      <c r="T77" s="45"/>
      <c r="U77" s="45"/>
      <c r="V77" s="45"/>
      <c r="W77" s="45"/>
      <c r="X77" s="45" t="s">
        <v>112</v>
      </c>
      <c r="Y77" s="45" t="s">
        <v>113</v>
      </c>
      <c r="Z77" s="45" t="s">
        <v>114</v>
      </c>
      <c r="AA77" s="45" t="s">
        <v>115</v>
      </c>
      <c r="AB77" s="45" t="s">
        <v>117</v>
      </c>
      <c r="AC77" s="45" t="s">
        <v>118</v>
      </c>
      <c r="AD77" s="45" t="s">
        <v>119</v>
      </c>
      <c r="AE77" s="45" t="s">
        <v>120</v>
      </c>
      <c r="AF77" s="45" t="s">
        <v>121</v>
      </c>
      <c r="AG77" s="45" t="s">
        <v>122</v>
      </c>
      <c r="AH77" s="45" t="s">
        <v>123</v>
      </c>
      <c r="AI77" s="45" t="s">
        <v>124</v>
      </c>
      <c r="AJ77" s="45" t="s">
        <v>125</v>
      </c>
      <c r="AK77" s="45" t="s">
        <v>126</v>
      </c>
      <c r="AL77" s="45"/>
      <c r="AM77" s="45"/>
      <c r="AO77" s="44" t="s">
        <v>100</v>
      </c>
      <c r="AP77" s="43" t="str">
        <f>IF(IFERROR(INDEX(Consulta!$A:$DP,MATCH('MM01'!$B77,Consulta!$C:$C,0),'MM01'!AP$2),"")=0,"",IFERROR(INDEX(Consulta!$A:$DP,MATCH('MM01'!$B77,Consulta!$C:$C,0),'MM01'!AP$2),""))</f>
        <v/>
      </c>
      <c r="AQ77" s="45"/>
      <c r="AR77" s="43" t="str">
        <f>IF(IFERROR(INDEX(Consulta!$A:$DP,MATCH('MM01'!$B77,Consulta!$C:$C,0),'MM01'!AR$2),"")=0,"",IFERROR(INDEX(Consulta!$A:$DP,MATCH('MM01'!$B77,Consulta!$C:$C,0),'MM01'!AR$2),""))</f>
        <v/>
      </c>
      <c r="AS77" s="43" t="str">
        <f>IF(IFERROR(INDEX(Consulta!$A:$DP,MATCH('MM01'!$B77,Consulta!$C:$C,0),'MM01'!AS$2),"")=0,"",IF(AR77="68",5102,IFERROR(INDEX(Consulta!$A:$DP,MATCH('MM01'!$B77,Consulta!$C:$C,0),'MM01'!AS$2),"")))</f>
        <v/>
      </c>
      <c r="AT77" s="45"/>
      <c r="AU77" s="46" t="str">
        <f t="shared" ca="1" si="43"/>
        <v/>
      </c>
      <c r="AV77" s="47" t="s">
        <v>795</v>
      </c>
      <c r="AW77" s="43" t="str">
        <f>IF(IFERROR(INDEX(Consulta!$A:$DP,MATCH('MM01'!$B77,Consulta!$C:$C,0),'MM01'!AW$2),"")=0,"",IFERROR(ROUND(INDEX(Consulta!$A:$DP,MATCH('MM01'!$B77,Consulta!$C:$C,0),'MM01'!AW$2),3),""))</f>
        <v/>
      </c>
      <c r="AX77" s="43" t="str">
        <f t="shared" si="44"/>
        <v/>
      </c>
      <c r="AY77" s="48" t="s">
        <v>299</v>
      </c>
      <c r="AZ77" s="48"/>
      <c r="BA77" s="43" t="str">
        <f>IF(IFERROR(INDEX(Consulta!$A:$DP,MATCH('MM01'!$B77,Consulta!$C:$C,0),'MM01'!BA$2),"")=0,"",IFERROR(INDEX(Consulta!$A:$DP,MATCH('MM01'!$B77,Consulta!$C:$C,0),'MM01'!BA$2),""))</f>
        <v/>
      </c>
      <c r="BB77" s="43" t="str">
        <f t="shared" si="45"/>
        <v/>
      </c>
      <c r="BC77" s="43" t="str">
        <f t="shared" si="46"/>
        <v/>
      </c>
      <c r="BD77" s="43" t="str">
        <f t="shared" si="47"/>
        <v/>
      </c>
      <c r="BE77" s="43" t="str">
        <f t="shared" si="48"/>
        <v>M</v>
      </c>
      <c r="BF77" s="43" t="str">
        <f t="shared" si="49"/>
        <v/>
      </c>
      <c r="BG77" s="43" t="str">
        <f t="shared" si="50"/>
        <v/>
      </c>
      <c r="BH77" s="43" t="str">
        <f t="shared" si="51"/>
        <v/>
      </c>
      <c r="BI77" s="43" t="str">
        <f t="shared" si="52"/>
        <v>M</v>
      </c>
      <c r="BK77" s="45" t="s">
        <v>324</v>
      </c>
      <c r="BL77" s="43" t="str">
        <f>IF(IFERROR(INDEX(Consulta!$A:$DP,MATCH('MM01'!$B77,Consulta!$C:$C,0),'MM01'!BL$2),"")=0,"",IFERROR(INDEX(Consulta!$A:$DP,MATCH('MM01'!$B77,Consulta!$C:$C,0),'MM01'!BL$2),""))</f>
        <v/>
      </c>
      <c r="BM77" s="45"/>
      <c r="BN77" s="46" t="str">
        <f t="shared" ca="1" si="53"/>
        <v/>
      </c>
      <c r="BO77" s="49" t="str">
        <f t="shared" si="54"/>
        <v/>
      </c>
      <c r="BP77" s="50">
        <v>1</v>
      </c>
      <c r="BQ77" s="50" t="s">
        <v>194</v>
      </c>
      <c r="BR77" s="79" t="str">
        <f t="shared" si="81"/>
        <v>01</v>
      </c>
      <c r="BS77" s="50" t="s">
        <v>795</v>
      </c>
      <c r="BT77" s="44">
        <v>1</v>
      </c>
      <c r="BU77" s="44" t="s">
        <v>371</v>
      </c>
      <c r="BV77" s="50" t="s">
        <v>197</v>
      </c>
      <c r="BW77" s="50" t="s">
        <v>197</v>
      </c>
      <c r="BX77" s="43" t="str">
        <f>IF(IFERROR(INDEX(Consulta!$A:$DP,MATCH('MM01'!$B77,Consulta!$C:$C,0),'MM01'!BX$2),"")=0,"",IFERROR(INDEX(Consulta!$A:$DP,MATCH('MM01'!$B77,Consulta!$C:$C,0),'MM01'!BX$2),""))</f>
        <v/>
      </c>
      <c r="BY77" s="44" t="s">
        <v>391</v>
      </c>
      <c r="BZ77" s="50">
        <v>0</v>
      </c>
      <c r="CA77" s="45" t="s">
        <v>402</v>
      </c>
      <c r="CB77" s="45" t="s">
        <v>84</v>
      </c>
      <c r="CC77" s="43" t="str">
        <f t="shared" si="55"/>
        <v/>
      </c>
      <c r="CD77" s="45" t="s">
        <v>38</v>
      </c>
      <c r="CE77" s="45">
        <v>1</v>
      </c>
      <c r="CF77" s="45" t="s">
        <v>495</v>
      </c>
      <c r="CG77" s="45"/>
      <c r="CH77" s="44">
        <v>2</v>
      </c>
      <c r="CI77" s="49" t="str">
        <f t="shared" si="56"/>
        <v/>
      </c>
      <c r="CJ77" s="49" t="str">
        <f t="shared" si="57"/>
        <v/>
      </c>
      <c r="CK77" s="45"/>
      <c r="CL77" s="44">
        <v>1</v>
      </c>
      <c r="CM77" s="50" t="s">
        <v>514</v>
      </c>
      <c r="CN77" s="44" t="s">
        <v>371</v>
      </c>
      <c r="CO77" s="44">
        <v>2</v>
      </c>
      <c r="CP77" s="44">
        <v>42</v>
      </c>
      <c r="CQ77" s="44">
        <v>10</v>
      </c>
      <c r="CR77" s="43" t="str">
        <f t="shared" si="58"/>
        <v>K00_P_</v>
      </c>
      <c r="CS77" s="45">
        <v>5000</v>
      </c>
      <c r="CT77" s="43" t="str">
        <f>IF(IFERROR(INDEX(Consulta!$A:$DP,MATCH('MM01'!$B77,Consulta!$C:$C,0),'MM01'!CT$2),"")=0,"",IFERROR(INDEX(Consulta!$A:$DP,MATCH('MM01'!$B77,Consulta!$C:$C,0),'MM01'!CT$2),""))</f>
        <v/>
      </c>
      <c r="CU77" s="43" t="str">
        <f>IF(IFERROR(INDEX(Consulta!$A:$DP,MATCH('MM01'!$B77,Consulta!$C:$C,0),'MM01'!CU$2),"")=0,"",IFERROR(INDEX(Consulta!$A:$DP,MATCH('MM01'!$B77,Consulta!$C:$C,0),'MM01'!CU$2),""))</f>
        <v/>
      </c>
      <c r="CV77" s="43" t="str">
        <f>IF(IFERROR(INDEX(Consulta!$A:$DP,MATCH('MM01'!$B77,Consulta!$C:$C,0),'MM01'!CV$2),"")=0,"",IFERROR(INDEX(Consulta!$A:$DP,MATCH('MM01'!$B77,Consulta!$C:$C,0),'MM01'!CV$2),""))</f>
        <v/>
      </c>
      <c r="CW77" s="43" t="str">
        <f>IF(IFERROR(INDEX(Consulta!$A:$DP,MATCH('MM01'!$B77,Consulta!$C:$C,0),'MM01'!CW$2),"")=0,"",IFERROR(INDEX(Consulta!$A:$DP,MATCH('MM01'!$B77,Consulta!$C:$C,0),'MM01'!CW$2),""))</f>
        <v/>
      </c>
      <c r="CX77" s="43" t="str">
        <f t="shared" si="59"/>
        <v/>
      </c>
      <c r="CY77" s="43" t="str">
        <f t="shared" si="60"/>
        <v/>
      </c>
      <c r="CZ77" s="43" t="str">
        <f t="shared" si="61"/>
        <v/>
      </c>
      <c r="DA77" s="43" t="str">
        <f>IF(IFERROR(INDEX(Consulta!$A:$DP,MATCH('MM01'!$B77,Consulta!$C:$C,0),'MM01'!DA$2),"")=0,"",IFERROR(INDEX(Consulta!$A:$DP,MATCH('MM01'!$B77,Consulta!$C:$C,0),'MM01'!DA$2),""))</f>
        <v/>
      </c>
      <c r="DB77" s="43" t="str">
        <f t="shared" si="62"/>
        <v/>
      </c>
      <c r="DC77" s="43" t="str">
        <f>IF(IFERROR(INDEX(Consulta!$A:$DP,MATCH('MM01'!$B77,Consulta!$C:$C,0),'MM01'!DC$2),"")=0,"",IFERROR(INDEX(Consulta!$A:$DP,MATCH('MM01'!$B77,Consulta!$C:$C,0),'MM01'!DC$2),""))</f>
        <v/>
      </c>
      <c r="DD77" s="45">
        <v>0</v>
      </c>
      <c r="DE77" s="45">
        <v>0</v>
      </c>
      <c r="DF77" s="43" t="str">
        <f t="shared" si="63"/>
        <v/>
      </c>
      <c r="DG77" s="43" t="str">
        <f t="shared" si="64"/>
        <v/>
      </c>
      <c r="DH77" s="57"/>
      <c r="DI77" s="43" t="str">
        <f t="shared" ca="1" si="65"/>
        <v/>
      </c>
      <c r="DJ77" s="43" t="str">
        <f t="shared" si="66"/>
        <v/>
      </c>
      <c r="DK77" s="43" t="str">
        <f t="shared" si="67"/>
        <v/>
      </c>
      <c r="DL77" s="57"/>
      <c r="DM77" s="43" t="str">
        <f t="shared" ca="1" si="68"/>
        <v/>
      </c>
      <c r="DN77" s="43" t="str">
        <f t="shared" si="69"/>
        <v/>
      </c>
      <c r="DO77" s="43" t="str">
        <f t="shared" si="70"/>
        <v/>
      </c>
      <c r="DP77" s="57"/>
      <c r="DQ77" s="43" t="str">
        <f t="shared" ca="1" si="71"/>
        <v/>
      </c>
      <c r="DR77" s="43" t="str">
        <f t="shared" si="72"/>
        <v/>
      </c>
      <c r="DS77" s="43" t="str">
        <f t="shared" si="73"/>
        <v/>
      </c>
      <c r="DT77" s="57"/>
      <c r="DU77" s="43" t="str">
        <f t="shared" ca="1" si="74"/>
        <v/>
      </c>
      <c r="DV77" s="43" t="str">
        <f t="shared" si="75"/>
        <v/>
      </c>
      <c r="DX77" s="44">
        <v>1</v>
      </c>
      <c r="DY77" s="44" t="s">
        <v>773</v>
      </c>
      <c r="DZ77" s="43">
        <f t="shared" si="76"/>
        <v>0.01</v>
      </c>
      <c r="EA77" s="43" t="str">
        <f t="shared" si="77"/>
        <v>M</v>
      </c>
      <c r="EB77" s="43" t="str">
        <f>IF(IFERROR(INDEX(Consulta!$A:$DP,MATCH('MM01'!$B77,Consulta!$C:$C,0),'MM01'!EB$2),"")=0,"7925",IF(IFERROR(INDEX(Consulta!$A:$DP,MATCH('MM01'!$B77,Consulta!$C:$C,0),'MM01'!EB$2),"")="68","7910","7925"))</f>
        <v>7925</v>
      </c>
      <c r="EC77" s="44">
        <v>100</v>
      </c>
      <c r="ED77" s="62">
        <v>1</v>
      </c>
      <c r="EE77" s="43">
        <f t="shared" si="78"/>
        <v>100</v>
      </c>
      <c r="EF77" s="44">
        <v>1</v>
      </c>
      <c r="EG77" s="44">
        <v>0</v>
      </c>
      <c r="EH77" s="44" t="s">
        <v>875</v>
      </c>
      <c r="EI77" s="45">
        <v>0</v>
      </c>
      <c r="EJ77" s="43">
        <f t="shared" si="79"/>
        <v>5000</v>
      </c>
      <c r="EK77" s="69"/>
    </row>
    <row r="78" spans="1:141" x14ac:dyDescent="0.2">
      <c r="A78" s="7" t="str">
        <f t="shared" si="80"/>
        <v>Execução 74</v>
      </c>
      <c r="B78" s="42"/>
      <c r="C78" s="43" t="str">
        <f>IF(IFERROR(INDEX(Consulta!$A:$DP,MATCH('MM01'!$B78,Consulta!$C:$C,0),'MM01'!C$2),"")=0,"",IFERROR(INDEX(Consulta!$A:$DP,MATCH('MM01'!$B78,Consulta!$C:$C,0),'MM01'!C$2),""))</f>
        <v/>
      </c>
      <c r="D78" s="43" t="str">
        <f>IF(IFERROR(INDEX(Consulta!$A:$DP,MATCH('MM01'!$B78,Consulta!$C:$C,0),'MM01'!D$2),"")=0,"",IFERROR(INDEX(Consulta!$A:$DP,MATCH('MM01'!$B78,Consulta!$C:$C,0),'MM01'!D$2),""))</f>
        <v/>
      </c>
      <c r="E78" s="43" t="str">
        <f>IF(IFERROR(INDEX(Consulta!$A:$DP,MATCH('MM01'!$B78,Consulta!$C:$C,0),'MM01'!E$2),"")=0,"",IFERROR(INDEX(Consulta!$A:$DP,MATCH('MM01'!$B78,Consulta!$C:$C,0),'MM01'!E$2),""))</f>
        <v/>
      </c>
      <c r="F78" s="44" t="s">
        <v>100</v>
      </c>
      <c r="G78" s="49" t="str">
        <f>IF(IFERROR(INDEX(Consulta!$A:$DP,MATCH('MM01'!$B78,Consulta!$C:$C,0),'MM01'!G$2),"")=0,"",IFERROR(INDEX(Consulta!$A:$DP,MATCH('MM01'!$B78,Consulta!$C:$C,0),'MM01'!G$2),""))</f>
        <v/>
      </c>
      <c r="H78" s="49" t="str">
        <f>IF(IFERROR(INDEX(Consulta!$A:$DP,MATCH('MM01'!$B78,Consulta!$C:$C,0),'MM01'!H$2),"")=0,"",IFERROR(INDEX(Consulta!$A:$DP,MATCH('MM01'!$B78,Consulta!$C:$C,0),'MM01'!H$2),""))</f>
        <v/>
      </c>
      <c r="I78" s="49" t="str">
        <f t="shared" si="41"/>
        <v/>
      </c>
      <c r="J78" s="49" t="str">
        <f>IF(IFERROR(INDEX(Consulta!$A:$DP,MATCH('MM01'!$B78,Consulta!$C:$C,0),'MM01'!J$2),"")=0,"",IFERROR(INDEX(Consulta!$A:$DP,MATCH('MM01'!$B78,Consulta!$C:$C,0),'MM01'!J$2),""))</f>
        <v/>
      </c>
      <c r="K78" s="49" t="str">
        <f t="shared" si="42"/>
        <v/>
      </c>
      <c r="M78" s="45" t="s">
        <v>101</v>
      </c>
      <c r="N78" s="45" t="s">
        <v>102</v>
      </c>
      <c r="O78" s="45" t="s">
        <v>103</v>
      </c>
      <c r="P78" s="45" t="s">
        <v>104</v>
      </c>
      <c r="Q78" s="45" t="s">
        <v>105</v>
      </c>
      <c r="R78" s="45" t="s">
        <v>106</v>
      </c>
      <c r="S78" s="45" t="s">
        <v>107</v>
      </c>
      <c r="T78" s="45"/>
      <c r="U78" s="45"/>
      <c r="V78" s="45"/>
      <c r="W78" s="45"/>
      <c r="X78" s="45" t="s">
        <v>112</v>
      </c>
      <c r="Y78" s="45" t="s">
        <v>113</v>
      </c>
      <c r="Z78" s="45" t="s">
        <v>114</v>
      </c>
      <c r="AA78" s="45" t="s">
        <v>115</v>
      </c>
      <c r="AB78" s="45" t="s">
        <v>117</v>
      </c>
      <c r="AC78" s="45" t="s">
        <v>118</v>
      </c>
      <c r="AD78" s="45" t="s">
        <v>119</v>
      </c>
      <c r="AE78" s="45" t="s">
        <v>120</v>
      </c>
      <c r="AF78" s="45" t="s">
        <v>121</v>
      </c>
      <c r="AG78" s="45" t="s">
        <v>122</v>
      </c>
      <c r="AH78" s="45" t="s">
        <v>123</v>
      </c>
      <c r="AI78" s="45" t="s">
        <v>124</v>
      </c>
      <c r="AJ78" s="45" t="s">
        <v>125</v>
      </c>
      <c r="AK78" s="45" t="s">
        <v>126</v>
      </c>
      <c r="AL78" s="45"/>
      <c r="AM78" s="45"/>
      <c r="AO78" s="44" t="s">
        <v>100</v>
      </c>
      <c r="AP78" s="43" t="str">
        <f>IF(IFERROR(INDEX(Consulta!$A:$DP,MATCH('MM01'!$B78,Consulta!$C:$C,0),'MM01'!AP$2),"")=0,"",IFERROR(INDEX(Consulta!$A:$DP,MATCH('MM01'!$B78,Consulta!$C:$C,0),'MM01'!AP$2),""))</f>
        <v/>
      </c>
      <c r="AQ78" s="45"/>
      <c r="AR78" s="43" t="str">
        <f>IF(IFERROR(INDEX(Consulta!$A:$DP,MATCH('MM01'!$B78,Consulta!$C:$C,0),'MM01'!AR$2),"")=0,"",IFERROR(INDEX(Consulta!$A:$DP,MATCH('MM01'!$B78,Consulta!$C:$C,0),'MM01'!AR$2),""))</f>
        <v/>
      </c>
      <c r="AS78" s="43" t="str">
        <f>IF(IFERROR(INDEX(Consulta!$A:$DP,MATCH('MM01'!$B78,Consulta!$C:$C,0),'MM01'!AS$2),"")=0,"",IF(AR78="68",5102,IFERROR(INDEX(Consulta!$A:$DP,MATCH('MM01'!$B78,Consulta!$C:$C,0),'MM01'!AS$2),"")))</f>
        <v/>
      </c>
      <c r="AT78" s="45"/>
      <c r="AU78" s="46" t="str">
        <f t="shared" ca="1" si="43"/>
        <v/>
      </c>
      <c r="AV78" s="47" t="s">
        <v>795</v>
      </c>
      <c r="AW78" s="43" t="str">
        <f>IF(IFERROR(INDEX(Consulta!$A:$DP,MATCH('MM01'!$B78,Consulta!$C:$C,0),'MM01'!AW$2),"")=0,"",IFERROR(ROUND(INDEX(Consulta!$A:$DP,MATCH('MM01'!$B78,Consulta!$C:$C,0),'MM01'!AW$2),3),""))</f>
        <v/>
      </c>
      <c r="AX78" s="43" t="str">
        <f t="shared" si="44"/>
        <v/>
      </c>
      <c r="AY78" s="48" t="s">
        <v>299</v>
      </c>
      <c r="AZ78" s="48"/>
      <c r="BA78" s="43" t="str">
        <f>IF(IFERROR(INDEX(Consulta!$A:$DP,MATCH('MM01'!$B78,Consulta!$C:$C,0),'MM01'!BA$2),"")=0,"",IFERROR(INDEX(Consulta!$A:$DP,MATCH('MM01'!$B78,Consulta!$C:$C,0),'MM01'!BA$2),""))</f>
        <v/>
      </c>
      <c r="BB78" s="43" t="str">
        <f t="shared" si="45"/>
        <v/>
      </c>
      <c r="BC78" s="43" t="str">
        <f t="shared" si="46"/>
        <v/>
      </c>
      <c r="BD78" s="43" t="str">
        <f t="shared" si="47"/>
        <v/>
      </c>
      <c r="BE78" s="43" t="str">
        <f t="shared" si="48"/>
        <v>M</v>
      </c>
      <c r="BF78" s="43" t="str">
        <f t="shared" si="49"/>
        <v/>
      </c>
      <c r="BG78" s="43" t="str">
        <f t="shared" si="50"/>
        <v/>
      </c>
      <c r="BH78" s="43" t="str">
        <f t="shared" si="51"/>
        <v/>
      </c>
      <c r="BI78" s="43" t="str">
        <f t="shared" si="52"/>
        <v>M</v>
      </c>
      <c r="BK78" s="45" t="s">
        <v>324</v>
      </c>
      <c r="BL78" s="43" t="str">
        <f>IF(IFERROR(INDEX(Consulta!$A:$DP,MATCH('MM01'!$B78,Consulta!$C:$C,0),'MM01'!BL$2),"")=0,"",IFERROR(INDEX(Consulta!$A:$DP,MATCH('MM01'!$B78,Consulta!$C:$C,0),'MM01'!BL$2),""))</f>
        <v/>
      </c>
      <c r="BM78" s="45"/>
      <c r="BN78" s="46" t="str">
        <f t="shared" ca="1" si="53"/>
        <v/>
      </c>
      <c r="BO78" s="49" t="str">
        <f t="shared" si="54"/>
        <v/>
      </c>
      <c r="BP78" s="50">
        <v>1</v>
      </c>
      <c r="BQ78" s="50" t="s">
        <v>194</v>
      </c>
      <c r="BR78" s="79" t="str">
        <f t="shared" si="81"/>
        <v>01</v>
      </c>
      <c r="BS78" s="50" t="s">
        <v>795</v>
      </c>
      <c r="BT78" s="44">
        <v>1</v>
      </c>
      <c r="BU78" s="44" t="s">
        <v>371</v>
      </c>
      <c r="BV78" s="50" t="s">
        <v>197</v>
      </c>
      <c r="BW78" s="50" t="s">
        <v>197</v>
      </c>
      <c r="BX78" s="43" t="str">
        <f>IF(IFERROR(INDEX(Consulta!$A:$DP,MATCH('MM01'!$B78,Consulta!$C:$C,0),'MM01'!BX$2),"")=0,"",IFERROR(INDEX(Consulta!$A:$DP,MATCH('MM01'!$B78,Consulta!$C:$C,0),'MM01'!BX$2),""))</f>
        <v/>
      </c>
      <c r="BY78" s="44" t="s">
        <v>391</v>
      </c>
      <c r="BZ78" s="50">
        <v>0</v>
      </c>
      <c r="CA78" s="45" t="s">
        <v>402</v>
      </c>
      <c r="CB78" s="45" t="s">
        <v>84</v>
      </c>
      <c r="CC78" s="43" t="str">
        <f t="shared" si="55"/>
        <v/>
      </c>
      <c r="CD78" s="45" t="s">
        <v>38</v>
      </c>
      <c r="CE78" s="45">
        <v>1</v>
      </c>
      <c r="CF78" s="45" t="s">
        <v>495</v>
      </c>
      <c r="CG78" s="45"/>
      <c r="CH78" s="44">
        <v>2</v>
      </c>
      <c r="CI78" s="49" t="str">
        <f t="shared" si="56"/>
        <v/>
      </c>
      <c r="CJ78" s="49" t="str">
        <f t="shared" si="57"/>
        <v/>
      </c>
      <c r="CK78" s="45"/>
      <c r="CL78" s="44">
        <v>1</v>
      </c>
      <c r="CM78" s="50" t="s">
        <v>514</v>
      </c>
      <c r="CN78" s="44" t="s">
        <v>371</v>
      </c>
      <c r="CO78" s="44">
        <v>2</v>
      </c>
      <c r="CP78" s="44">
        <v>42</v>
      </c>
      <c r="CQ78" s="44">
        <v>10</v>
      </c>
      <c r="CR78" s="43" t="str">
        <f t="shared" si="58"/>
        <v>K00_P_</v>
      </c>
      <c r="CS78" s="45">
        <v>5000</v>
      </c>
      <c r="CT78" s="43" t="str">
        <f>IF(IFERROR(INDEX(Consulta!$A:$DP,MATCH('MM01'!$B78,Consulta!$C:$C,0),'MM01'!CT$2),"")=0,"",IFERROR(INDEX(Consulta!$A:$DP,MATCH('MM01'!$B78,Consulta!$C:$C,0),'MM01'!CT$2),""))</f>
        <v/>
      </c>
      <c r="CU78" s="43" t="str">
        <f>IF(IFERROR(INDEX(Consulta!$A:$DP,MATCH('MM01'!$B78,Consulta!$C:$C,0),'MM01'!CU$2),"")=0,"",IFERROR(INDEX(Consulta!$A:$DP,MATCH('MM01'!$B78,Consulta!$C:$C,0),'MM01'!CU$2),""))</f>
        <v/>
      </c>
      <c r="CV78" s="43" t="str">
        <f>IF(IFERROR(INDEX(Consulta!$A:$DP,MATCH('MM01'!$B78,Consulta!$C:$C,0),'MM01'!CV$2),"")=0,"",IFERROR(INDEX(Consulta!$A:$DP,MATCH('MM01'!$B78,Consulta!$C:$C,0),'MM01'!CV$2),""))</f>
        <v/>
      </c>
      <c r="CW78" s="43" t="str">
        <f>IF(IFERROR(INDEX(Consulta!$A:$DP,MATCH('MM01'!$B78,Consulta!$C:$C,0),'MM01'!CW$2),"")=0,"",IFERROR(INDEX(Consulta!$A:$DP,MATCH('MM01'!$B78,Consulta!$C:$C,0),'MM01'!CW$2),""))</f>
        <v/>
      </c>
      <c r="CX78" s="43" t="str">
        <f t="shared" si="59"/>
        <v/>
      </c>
      <c r="CY78" s="43" t="str">
        <f t="shared" si="60"/>
        <v/>
      </c>
      <c r="CZ78" s="43" t="str">
        <f t="shared" si="61"/>
        <v/>
      </c>
      <c r="DA78" s="43" t="str">
        <f>IF(IFERROR(INDEX(Consulta!$A:$DP,MATCH('MM01'!$B78,Consulta!$C:$C,0),'MM01'!DA$2),"")=0,"",IFERROR(INDEX(Consulta!$A:$DP,MATCH('MM01'!$B78,Consulta!$C:$C,0),'MM01'!DA$2),""))</f>
        <v/>
      </c>
      <c r="DB78" s="43" t="str">
        <f t="shared" si="62"/>
        <v/>
      </c>
      <c r="DC78" s="43" t="str">
        <f>IF(IFERROR(INDEX(Consulta!$A:$DP,MATCH('MM01'!$B78,Consulta!$C:$C,0),'MM01'!DC$2),"")=0,"",IFERROR(INDEX(Consulta!$A:$DP,MATCH('MM01'!$B78,Consulta!$C:$C,0),'MM01'!DC$2),""))</f>
        <v/>
      </c>
      <c r="DD78" s="45">
        <v>0</v>
      </c>
      <c r="DE78" s="45">
        <v>0</v>
      </c>
      <c r="DF78" s="43" t="str">
        <f t="shared" si="63"/>
        <v/>
      </c>
      <c r="DG78" s="43" t="str">
        <f t="shared" si="64"/>
        <v/>
      </c>
      <c r="DH78" s="57"/>
      <c r="DI78" s="43" t="str">
        <f t="shared" ca="1" si="65"/>
        <v/>
      </c>
      <c r="DJ78" s="43" t="str">
        <f t="shared" si="66"/>
        <v/>
      </c>
      <c r="DK78" s="43" t="str">
        <f t="shared" si="67"/>
        <v/>
      </c>
      <c r="DL78" s="57"/>
      <c r="DM78" s="43" t="str">
        <f t="shared" ca="1" si="68"/>
        <v/>
      </c>
      <c r="DN78" s="43" t="str">
        <f t="shared" si="69"/>
        <v/>
      </c>
      <c r="DO78" s="43" t="str">
        <f t="shared" si="70"/>
        <v/>
      </c>
      <c r="DP78" s="57"/>
      <c r="DQ78" s="43" t="str">
        <f t="shared" ca="1" si="71"/>
        <v/>
      </c>
      <c r="DR78" s="43" t="str">
        <f t="shared" si="72"/>
        <v/>
      </c>
      <c r="DS78" s="43" t="str">
        <f t="shared" si="73"/>
        <v/>
      </c>
      <c r="DT78" s="57"/>
      <c r="DU78" s="43" t="str">
        <f t="shared" ca="1" si="74"/>
        <v/>
      </c>
      <c r="DV78" s="43" t="str">
        <f t="shared" si="75"/>
        <v/>
      </c>
      <c r="DX78" s="44">
        <v>1</v>
      </c>
      <c r="DY78" s="44" t="s">
        <v>773</v>
      </c>
      <c r="DZ78" s="43">
        <f t="shared" si="76"/>
        <v>0.01</v>
      </c>
      <c r="EA78" s="43" t="str">
        <f t="shared" si="77"/>
        <v>M</v>
      </c>
      <c r="EB78" s="43" t="str">
        <f>IF(IFERROR(INDEX(Consulta!$A:$DP,MATCH('MM01'!$B78,Consulta!$C:$C,0),'MM01'!EB$2),"")=0,"7925",IF(IFERROR(INDEX(Consulta!$A:$DP,MATCH('MM01'!$B78,Consulta!$C:$C,0),'MM01'!EB$2),"")="68","7910","7925"))</f>
        <v>7925</v>
      </c>
      <c r="EC78" s="44">
        <v>100</v>
      </c>
      <c r="ED78" s="62">
        <v>1</v>
      </c>
      <c r="EE78" s="43">
        <f t="shared" si="78"/>
        <v>100</v>
      </c>
      <c r="EF78" s="44">
        <v>1</v>
      </c>
      <c r="EG78" s="44">
        <v>0</v>
      </c>
      <c r="EH78" s="44" t="s">
        <v>875</v>
      </c>
      <c r="EI78" s="45">
        <v>0</v>
      </c>
      <c r="EJ78" s="43">
        <f t="shared" si="79"/>
        <v>5000</v>
      </c>
      <c r="EK78" s="69"/>
    </row>
    <row r="79" spans="1:141" x14ac:dyDescent="0.2">
      <c r="A79" s="7" t="str">
        <f t="shared" si="80"/>
        <v>Execução 75</v>
      </c>
      <c r="B79" s="42"/>
      <c r="C79" s="43" t="str">
        <f>IF(IFERROR(INDEX(Consulta!$A:$DP,MATCH('MM01'!$B79,Consulta!$C:$C,0),'MM01'!C$2),"")=0,"",IFERROR(INDEX(Consulta!$A:$DP,MATCH('MM01'!$B79,Consulta!$C:$C,0),'MM01'!C$2),""))</f>
        <v/>
      </c>
      <c r="D79" s="43" t="str">
        <f>IF(IFERROR(INDEX(Consulta!$A:$DP,MATCH('MM01'!$B79,Consulta!$C:$C,0),'MM01'!D$2),"")=0,"",IFERROR(INDEX(Consulta!$A:$DP,MATCH('MM01'!$B79,Consulta!$C:$C,0),'MM01'!D$2),""))</f>
        <v/>
      </c>
      <c r="E79" s="43" t="str">
        <f>IF(IFERROR(INDEX(Consulta!$A:$DP,MATCH('MM01'!$B79,Consulta!$C:$C,0),'MM01'!E$2),"")=0,"",IFERROR(INDEX(Consulta!$A:$DP,MATCH('MM01'!$B79,Consulta!$C:$C,0),'MM01'!E$2),""))</f>
        <v/>
      </c>
      <c r="F79" s="44" t="s">
        <v>100</v>
      </c>
      <c r="G79" s="49" t="str">
        <f>IF(IFERROR(INDEX(Consulta!$A:$DP,MATCH('MM01'!$B79,Consulta!$C:$C,0),'MM01'!G$2),"")=0,"",IFERROR(INDEX(Consulta!$A:$DP,MATCH('MM01'!$B79,Consulta!$C:$C,0),'MM01'!G$2),""))</f>
        <v/>
      </c>
      <c r="H79" s="49" t="str">
        <f>IF(IFERROR(INDEX(Consulta!$A:$DP,MATCH('MM01'!$B79,Consulta!$C:$C,0),'MM01'!H$2),"")=0,"",IFERROR(INDEX(Consulta!$A:$DP,MATCH('MM01'!$B79,Consulta!$C:$C,0),'MM01'!H$2),""))</f>
        <v/>
      </c>
      <c r="I79" s="49" t="str">
        <f t="shared" si="41"/>
        <v/>
      </c>
      <c r="J79" s="49" t="str">
        <f>IF(IFERROR(INDEX(Consulta!$A:$DP,MATCH('MM01'!$B79,Consulta!$C:$C,0),'MM01'!J$2),"")=0,"",IFERROR(INDEX(Consulta!$A:$DP,MATCH('MM01'!$B79,Consulta!$C:$C,0),'MM01'!J$2),""))</f>
        <v/>
      </c>
      <c r="K79" s="49" t="str">
        <f t="shared" si="42"/>
        <v/>
      </c>
      <c r="M79" s="45" t="s">
        <v>101</v>
      </c>
      <c r="N79" s="45" t="s">
        <v>102</v>
      </c>
      <c r="O79" s="45" t="s">
        <v>103</v>
      </c>
      <c r="P79" s="45" t="s">
        <v>104</v>
      </c>
      <c r="Q79" s="45" t="s">
        <v>105</v>
      </c>
      <c r="R79" s="45" t="s">
        <v>106</v>
      </c>
      <c r="S79" s="45" t="s">
        <v>107</v>
      </c>
      <c r="T79" s="45"/>
      <c r="U79" s="45"/>
      <c r="V79" s="45"/>
      <c r="W79" s="45"/>
      <c r="X79" s="45" t="s">
        <v>112</v>
      </c>
      <c r="Y79" s="45" t="s">
        <v>113</v>
      </c>
      <c r="Z79" s="45" t="s">
        <v>114</v>
      </c>
      <c r="AA79" s="45" t="s">
        <v>115</v>
      </c>
      <c r="AB79" s="45" t="s">
        <v>117</v>
      </c>
      <c r="AC79" s="45" t="s">
        <v>118</v>
      </c>
      <c r="AD79" s="45" t="s">
        <v>119</v>
      </c>
      <c r="AE79" s="45" t="s">
        <v>120</v>
      </c>
      <c r="AF79" s="45" t="s">
        <v>121</v>
      </c>
      <c r="AG79" s="45" t="s">
        <v>122</v>
      </c>
      <c r="AH79" s="45" t="s">
        <v>123</v>
      </c>
      <c r="AI79" s="45" t="s">
        <v>124</v>
      </c>
      <c r="AJ79" s="45" t="s">
        <v>125</v>
      </c>
      <c r="AK79" s="45" t="s">
        <v>126</v>
      </c>
      <c r="AL79" s="45"/>
      <c r="AM79" s="45"/>
      <c r="AO79" s="44" t="s">
        <v>100</v>
      </c>
      <c r="AP79" s="43" t="str">
        <f>IF(IFERROR(INDEX(Consulta!$A:$DP,MATCH('MM01'!$B79,Consulta!$C:$C,0),'MM01'!AP$2),"")=0,"",IFERROR(INDEX(Consulta!$A:$DP,MATCH('MM01'!$B79,Consulta!$C:$C,0),'MM01'!AP$2),""))</f>
        <v/>
      </c>
      <c r="AQ79" s="45"/>
      <c r="AR79" s="43" t="str">
        <f>IF(IFERROR(INDEX(Consulta!$A:$DP,MATCH('MM01'!$B79,Consulta!$C:$C,0),'MM01'!AR$2),"")=0,"",IFERROR(INDEX(Consulta!$A:$DP,MATCH('MM01'!$B79,Consulta!$C:$C,0),'MM01'!AR$2),""))</f>
        <v/>
      </c>
      <c r="AS79" s="43" t="str">
        <f>IF(IFERROR(INDEX(Consulta!$A:$DP,MATCH('MM01'!$B79,Consulta!$C:$C,0),'MM01'!AS$2),"")=0,"",IF(AR79="68",5102,IFERROR(INDEX(Consulta!$A:$DP,MATCH('MM01'!$B79,Consulta!$C:$C,0),'MM01'!AS$2),"")))</f>
        <v/>
      </c>
      <c r="AT79" s="45"/>
      <c r="AU79" s="46" t="str">
        <f t="shared" ca="1" si="43"/>
        <v/>
      </c>
      <c r="AV79" s="47" t="s">
        <v>795</v>
      </c>
      <c r="AW79" s="43" t="str">
        <f>IF(IFERROR(INDEX(Consulta!$A:$DP,MATCH('MM01'!$B79,Consulta!$C:$C,0),'MM01'!AW$2),"")=0,"",IFERROR(ROUND(INDEX(Consulta!$A:$DP,MATCH('MM01'!$B79,Consulta!$C:$C,0),'MM01'!AW$2),3),""))</f>
        <v/>
      </c>
      <c r="AX79" s="43" t="str">
        <f t="shared" si="44"/>
        <v/>
      </c>
      <c r="AY79" s="48" t="s">
        <v>299</v>
      </c>
      <c r="AZ79" s="48"/>
      <c r="BA79" s="43" t="str">
        <f>IF(IFERROR(INDEX(Consulta!$A:$DP,MATCH('MM01'!$B79,Consulta!$C:$C,0),'MM01'!BA$2),"")=0,"",IFERROR(INDEX(Consulta!$A:$DP,MATCH('MM01'!$B79,Consulta!$C:$C,0),'MM01'!BA$2),""))</f>
        <v/>
      </c>
      <c r="BB79" s="43" t="str">
        <f t="shared" si="45"/>
        <v/>
      </c>
      <c r="BC79" s="43" t="str">
        <f t="shared" si="46"/>
        <v/>
      </c>
      <c r="BD79" s="43" t="str">
        <f t="shared" si="47"/>
        <v/>
      </c>
      <c r="BE79" s="43" t="str">
        <f t="shared" si="48"/>
        <v>M</v>
      </c>
      <c r="BF79" s="43" t="str">
        <f t="shared" si="49"/>
        <v/>
      </c>
      <c r="BG79" s="43" t="str">
        <f t="shared" si="50"/>
        <v/>
      </c>
      <c r="BH79" s="43" t="str">
        <f t="shared" si="51"/>
        <v/>
      </c>
      <c r="BI79" s="43" t="str">
        <f t="shared" si="52"/>
        <v>M</v>
      </c>
      <c r="BK79" s="45" t="s">
        <v>324</v>
      </c>
      <c r="BL79" s="43" t="str">
        <f>IF(IFERROR(INDEX(Consulta!$A:$DP,MATCH('MM01'!$B79,Consulta!$C:$C,0),'MM01'!BL$2),"")=0,"",IFERROR(INDEX(Consulta!$A:$DP,MATCH('MM01'!$B79,Consulta!$C:$C,0),'MM01'!BL$2),""))</f>
        <v/>
      </c>
      <c r="BM79" s="45"/>
      <c r="BN79" s="46" t="str">
        <f t="shared" ca="1" si="53"/>
        <v/>
      </c>
      <c r="BO79" s="49" t="str">
        <f t="shared" si="54"/>
        <v/>
      </c>
      <c r="BP79" s="50">
        <v>1</v>
      </c>
      <c r="BQ79" s="50" t="s">
        <v>194</v>
      </c>
      <c r="BR79" s="79" t="str">
        <f t="shared" si="81"/>
        <v>01</v>
      </c>
      <c r="BS79" s="50" t="s">
        <v>795</v>
      </c>
      <c r="BT79" s="44">
        <v>1</v>
      </c>
      <c r="BU79" s="44" t="s">
        <v>371</v>
      </c>
      <c r="BV79" s="50" t="s">
        <v>197</v>
      </c>
      <c r="BW79" s="50" t="s">
        <v>197</v>
      </c>
      <c r="BX79" s="43" t="str">
        <f>IF(IFERROR(INDEX(Consulta!$A:$DP,MATCH('MM01'!$B79,Consulta!$C:$C,0),'MM01'!BX$2),"")=0,"",IFERROR(INDEX(Consulta!$A:$DP,MATCH('MM01'!$B79,Consulta!$C:$C,0),'MM01'!BX$2),""))</f>
        <v/>
      </c>
      <c r="BY79" s="44" t="s">
        <v>391</v>
      </c>
      <c r="BZ79" s="50">
        <v>0</v>
      </c>
      <c r="CA79" s="45" t="s">
        <v>402</v>
      </c>
      <c r="CB79" s="45" t="s">
        <v>84</v>
      </c>
      <c r="CC79" s="43" t="str">
        <f t="shared" si="55"/>
        <v/>
      </c>
      <c r="CD79" s="45" t="s">
        <v>38</v>
      </c>
      <c r="CE79" s="45">
        <v>1</v>
      </c>
      <c r="CF79" s="45" t="s">
        <v>495</v>
      </c>
      <c r="CG79" s="45"/>
      <c r="CH79" s="44">
        <v>2</v>
      </c>
      <c r="CI79" s="49" t="str">
        <f t="shared" si="56"/>
        <v/>
      </c>
      <c r="CJ79" s="49" t="str">
        <f t="shared" si="57"/>
        <v/>
      </c>
      <c r="CK79" s="45"/>
      <c r="CL79" s="44">
        <v>1</v>
      </c>
      <c r="CM79" s="50" t="s">
        <v>514</v>
      </c>
      <c r="CN79" s="44" t="s">
        <v>371</v>
      </c>
      <c r="CO79" s="44">
        <v>2</v>
      </c>
      <c r="CP79" s="44">
        <v>42</v>
      </c>
      <c r="CQ79" s="44">
        <v>10</v>
      </c>
      <c r="CR79" s="43" t="str">
        <f t="shared" si="58"/>
        <v>K00_P_</v>
      </c>
      <c r="CS79" s="45">
        <v>5000</v>
      </c>
      <c r="CT79" s="43" t="str">
        <f>IF(IFERROR(INDEX(Consulta!$A:$DP,MATCH('MM01'!$B79,Consulta!$C:$C,0),'MM01'!CT$2),"")=0,"",IFERROR(INDEX(Consulta!$A:$DP,MATCH('MM01'!$B79,Consulta!$C:$C,0),'MM01'!CT$2),""))</f>
        <v/>
      </c>
      <c r="CU79" s="43" t="str">
        <f>IF(IFERROR(INDEX(Consulta!$A:$DP,MATCH('MM01'!$B79,Consulta!$C:$C,0),'MM01'!CU$2),"")=0,"",IFERROR(INDEX(Consulta!$A:$DP,MATCH('MM01'!$B79,Consulta!$C:$C,0),'MM01'!CU$2),""))</f>
        <v/>
      </c>
      <c r="CV79" s="43" t="str">
        <f>IF(IFERROR(INDEX(Consulta!$A:$DP,MATCH('MM01'!$B79,Consulta!$C:$C,0),'MM01'!CV$2),"")=0,"",IFERROR(INDEX(Consulta!$A:$DP,MATCH('MM01'!$B79,Consulta!$C:$C,0),'MM01'!CV$2),""))</f>
        <v/>
      </c>
      <c r="CW79" s="43" t="str">
        <f>IF(IFERROR(INDEX(Consulta!$A:$DP,MATCH('MM01'!$B79,Consulta!$C:$C,0),'MM01'!CW$2),"")=0,"",IFERROR(INDEX(Consulta!$A:$DP,MATCH('MM01'!$B79,Consulta!$C:$C,0),'MM01'!CW$2),""))</f>
        <v/>
      </c>
      <c r="CX79" s="43" t="str">
        <f t="shared" si="59"/>
        <v/>
      </c>
      <c r="CY79" s="43" t="str">
        <f t="shared" si="60"/>
        <v/>
      </c>
      <c r="CZ79" s="43" t="str">
        <f t="shared" si="61"/>
        <v/>
      </c>
      <c r="DA79" s="43" t="str">
        <f>IF(IFERROR(INDEX(Consulta!$A:$DP,MATCH('MM01'!$B79,Consulta!$C:$C,0),'MM01'!DA$2),"")=0,"",IFERROR(INDEX(Consulta!$A:$DP,MATCH('MM01'!$B79,Consulta!$C:$C,0),'MM01'!DA$2),""))</f>
        <v/>
      </c>
      <c r="DB79" s="43" t="str">
        <f t="shared" si="62"/>
        <v/>
      </c>
      <c r="DC79" s="43" t="str">
        <f>IF(IFERROR(INDEX(Consulta!$A:$DP,MATCH('MM01'!$B79,Consulta!$C:$C,0),'MM01'!DC$2),"")=0,"",IFERROR(INDEX(Consulta!$A:$DP,MATCH('MM01'!$B79,Consulta!$C:$C,0),'MM01'!DC$2),""))</f>
        <v/>
      </c>
      <c r="DD79" s="45">
        <v>0</v>
      </c>
      <c r="DE79" s="45">
        <v>0</v>
      </c>
      <c r="DF79" s="43" t="str">
        <f t="shared" si="63"/>
        <v/>
      </c>
      <c r="DG79" s="43" t="str">
        <f t="shared" si="64"/>
        <v/>
      </c>
      <c r="DH79" s="57"/>
      <c r="DI79" s="43" t="str">
        <f t="shared" ca="1" si="65"/>
        <v/>
      </c>
      <c r="DJ79" s="43" t="str">
        <f t="shared" si="66"/>
        <v/>
      </c>
      <c r="DK79" s="43" t="str">
        <f t="shared" si="67"/>
        <v/>
      </c>
      <c r="DL79" s="57"/>
      <c r="DM79" s="43" t="str">
        <f t="shared" ca="1" si="68"/>
        <v/>
      </c>
      <c r="DN79" s="43" t="str">
        <f t="shared" si="69"/>
        <v/>
      </c>
      <c r="DO79" s="43" t="str">
        <f t="shared" si="70"/>
        <v/>
      </c>
      <c r="DP79" s="57"/>
      <c r="DQ79" s="43" t="str">
        <f t="shared" ca="1" si="71"/>
        <v/>
      </c>
      <c r="DR79" s="43" t="str">
        <f t="shared" si="72"/>
        <v/>
      </c>
      <c r="DS79" s="43" t="str">
        <f t="shared" si="73"/>
        <v/>
      </c>
      <c r="DT79" s="57"/>
      <c r="DU79" s="43" t="str">
        <f t="shared" ca="1" si="74"/>
        <v/>
      </c>
      <c r="DV79" s="43" t="str">
        <f t="shared" si="75"/>
        <v/>
      </c>
      <c r="DX79" s="44">
        <v>1</v>
      </c>
      <c r="DY79" s="44" t="s">
        <v>773</v>
      </c>
      <c r="DZ79" s="43">
        <f t="shared" si="76"/>
        <v>0.01</v>
      </c>
      <c r="EA79" s="43" t="str">
        <f t="shared" si="77"/>
        <v>M</v>
      </c>
      <c r="EB79" s="43" t="str">
        <f>IF(IFERROR(INDEX(Consulta!$A:$DP,MATCH('MM01'!$B79,Consulta!$C:$C,0),'MM01'!EB$2),"")=0,"7925",IF(IFERROR(INDEX(Consulta!$A:$DP,MATCH('MM01'!$B79,Consulta!$C:$C,0),'MM01'!EB$2),"")="68","7910","7925"))</f>
        <v>7925</v>
      </c>
      <c r="EC79" s="44">
        <v>100</v>
      </c>
      <c r="ED79" s="62">
        <v>1</v>
      </c>
      <c r="EE79" s="43">
        <f t="shared" si="78"/>
        <v>100</v>
      </c>
      <c r="EF79" s="44">
        <v>1</v>
      </c>
      <c r="EG79" s="44">
        <v>0</v>
      </c>
      <c r="EH79" s="44" t="s">
        <v>875</v>
      </c>
      <c r="EI79" s="45">
        <v>0</v>
      </c>
      <c r="EJ79" s="43">
        <f t="shared" si="79"/>
        <v>5000</v>
      </c>
      <c r="EK79" s="69"/>
    </row>
    <row r="80" spans="1:141" x14ac:dyDescent="0.2">
      <c r="A80" s="7" t="str">
        <f t="shared" si="80"/>
        <v>Execução 76</v>
      </c>
      <c r="B80" s="42"/>
      <c r="C80" s="43" t="str">
        <f>IF(IFERROR(INDEX(Consulta!$A:$DP,MATCH('MM01'!$B80,Consulta!$C:$C,0),'MM01'!C$2),"")=0,"",IFERROR(INDEX(Consulta!$A:$DP,MATCH('MM01'!$B80,Consulta!$C:$C,0),'MM01'!C$2),""))</f>
        <v/>
      </c>
      <c r="D80" s="43" t="str">
        <f>IF(IFERROR(INDEX(Consulta!$A:$DP,MATCH('MM01'!$B80,Consulta!$C:$C,0),'MM01'!D$2),"")=0,"",IFERROR(INDEX(Consulta!$A:$DP,MATCH('MM01'!$B80,Consulta!$C:$C,0),'MM01'!D$2),""))</f>
        <v/>
      </c>
      <c r="E80" s="43" t="str">
        <f>IF(IFERROR(INDEX(Consulta!$A:$DP,MATCH('MM01'!$B80,Consulta!$C:$C,0),'MM01'!E$2),"")=0,"",IFERROR(INDEX(Consulta!$A:$DP,MATCH('MM01'!$B80,Consulta!$C:$C,0),'MM01'!E$2),""))</f>
        <v/>
      </c>
      <c r="F80" s="44" t="s">
        <v>100</v>
      </c>
      <c r="G80" s="49" t="str">
        <f>IF(IFERROR(INDEX(Consulta!$A:$DP,MATCH('MM01'!$B80,Consulta!$C:$C,0),'MM01'!G$2),"")=0,"",IFERROR(INDEX(Consulta!$A:$DP,MATCH('MM01'!$B80,Consulta!$C:$C,0),'MM01'!G$2),""))</f>
        <v/>
      </c>
      <c r="H80" s="49" t="str">
        <f>IF(IFERROR(INDEX(Consulta!$A:$DP,MATCH('MM01'!$B80,Consulta!$C:$C,0),'MM01'!H$2),"")=0,"",IFERROR(INDEX(Consulta!$A:$DP,MATCH('MM01'!$B80,Consulta!$C:$C,0),'MM01'!H$2),""))</f>
        <v/>
      </c>
      <c r="I80" s="49" t="str">
        <f t="shared" si="41"/>
        <v/>
      </c>
      <c r="J80" s="49" t="str">
        <f>IF(IFERROR(INDEX(Consulta!$A:$DP,MATCH('MM01'!$B80,Consulta!$C:$C,0),'MM01'!J$2),"")=0,"",IFERROR(INDEX(Consulta!$A:$DP,MATCH('MM01'!$B80,Consulta!$C:$C,0),'MM01'!J$2),""))</f>
        <v/>
      </c>
      <c r="K80" s="49" t="str">
        <f t="shared" si="42"/>
        <v/>
      </c>
      <c r="M80" s="45" t="s">
        <v>101</v>
      </c>
      <c r="N80" s="45" t="s">
        <v>102</v>
      </c>
      <c r="O80" s="45" t="s">
        <v>103</v>
      </c>
      <c r="P80" s="45" t="s">
        <v>104</v>
      </c>
      <c r="Q80" s="45" t="s">
        <v>105</v>
      </c>
      <c r="R80" s="45" t="s">
        <v>106</v>
      </c>
      <c r="S80" s="45" t="s">
        <v>107</v>
      </c>
      <c r="T80" s="45"/>
      <c r="U80" s="45"/>
      <c r="V80" s="45"/>
      <c r="W80" s="45"/>
      <c r="X80" s="45" t="s">
        <v>112</v>
      </c>
      <c r="Y80" s="45" t="s">
        <v>113</v>
      </c>
      <c r="Z80" s="45" t="s">
        <v>114</v>
      </c>
      <c r="AA80" s="45" t="s">
        <v>115</v>
      </c>
      <c r="AB80" s="45" t="s">
        <v>117</v>
      </c>
      <c r="AC80" s="45" t="s">
        <v>118</v>
      </c>
      <c r="AD80" s="45" t="s">
        <v>119</v>
      </c>
      <c r="AE80" s="45" t="s">
        <v>120</v>
      </c>
      <c r="AF80" s="45" t="s">
        <v>121</v>
      </c>
      <c r="AG80" s="45" t="s">
        <v>122</v>
      </c>
      <c r="AH80" s="45" t="s">
        <v>123</v>
      </c>
      <c r="AI80" s="45" t="s">
        <v>124</v>
      </c>
      <c r="AJ80" s="45" t="s">
        <v>125</v>
      </c>
      <c r="AK80" s="45" t="s">
        <v>126</v>
      </c>
      <c r="AL80" s="45"/>
      <c r="AM80" s="45"/>
      <c r="AO80" s="44" t="s">
        <v>100</v>
      </c>
      <c r="AP80" s="43" t="str">
        <f>IF(IFERROR(INDEX(Consulta!$A:$DP,MATCH('MM01'!$B80,Consulta!$C:$C,0),'MM01'!AP$2),"")=0,"",IFERROR(INDEX(Consulta!$A:$DP,MATCH('MM01'!$B80,Consulta!$C:$C,0),'MM01'!AP$2),""))</f>
        <v/>
      </c>
      <c r="AQ80" s="45"/>
      <c r="AR80" s="43" t="str">
        <f>IF(IFERROR(INDEX(Consulta!$A:$DP,MATCH('MM01'!$B80,Consulta!$C:$C,0),'MM01'!AR$2),"")=0,"",IFERROR(INDEX(Consulta!$A:$DP,MATCH('MM01'!$B80,Consulta!$C:$C,0),'MM01'!AR$2),""))</f>
        <v/>
      </c>
      <c r="AS80" s="43" t="str">
        <f>IF(IFERROR(INDEX(Consulta!$A:$DP,MATCH('MM01'!$B80,Consulta!$C:$C,0),'MM01'!AS$2),"")=0,"",IF(AR80="68",5102,IFERROR(INDEX(Consulta!$A:$DP,MATCH('MM01'!$B80,Consulta!$C:$C,0),'MM01'!AS$2),"")))</f>
        <v/>
      </c>
      <c r="AT80" s="45"/>
      <c r="AU80" s="46" t="str">
        <f t="shared" ca="1" si="43"/>
        <v/>
      </c>
      <c r="AV80" s="47" t="s">
        <v>795</v>
      </c>
      <c r="AW80" s="43" t="str">
        <f>IF(IFERROR(INDEX(Consulta!$A:$DP,MATCH('MM01'!$B80,Consulta!$C:$C,0),'MM01'!AW$2),"")=0,"",IFERROR(ROUND(INDEX(Consulta!$A:$DP,MATCH('MM01'!$B80,Consulta!$C:$C,0),'MM01'!AW$2),3),""))</f>
        <v/>
      </c>
      <c r="AX80" s="43" t="str">
        <f t="shared" si="44"/>
        <v/>
      </c>
      <c r="AY80" s="48" t="s">
        <v>299</v>
      </c>
      <c r="AZ80" s="48"/>
      <c r="BA80" s="43" t="str">
        <f>IF(IFERROR(INDEX(Consulta!$A:$DP,MATCH('MM01'!$B80,Consulta!$C:$C,0),'MM01'!BA$2),"")=0,"",IFERROR(INDEX(Consulta!$A:$DP,MATCH('MM01'!$B80,Consulta!$C:$C,0),'MM01'!BA$2),""))</f>
        <v/>
      </c>
      <c r="BB80" s="43" t="str">
        <f t="shared" si="45"/>
        <v/>
      </c>
      <c r="BC80" s="43" t="str">
        <f t="shared" si="46"/>
        <v/>
      </c>
      <c r="BD80" s="43" t="str">
        <f t="shared" si="47"/>
        <v/>
      </c>
      <c r="BE80" s="43" t="str">
        <f t="shared" si="48"/>
        <v>M</v>
      </c>
      <c r="BF80" s="43" t="str">
        <f t="shared" si="49"/>
        <v/>
      </c>
      <c r="BG80" s="43" t="str">
        <f t="shared" si="50"/>
        <v/>
      </c>
      <c r="BH80" s="43" t="str">
        <f t="shared" si="51"/>
        <v/>
      </c>
      <c r="BI80" s="43" t="str">
        <f t="shared" si="52"/>
        <v>M</v>
      </c>
      <c r="BK80" s="45" t="s">
        <v>324</v>
      </c>
      <c r="BL80" s="43" t="str">
        <f>IF(IFERROR(INDEX(Consulta!$A:$DP,MATCH('MM01'!$B80,Consulta!$C:$C,0),'MM01'!BL$2),"")=0,"",IFERROR(INDEX(Consulta!$A:$DP,MATCH('MM01'!$B80,Consulta!$C:$C,0),'MM01'!BL$2),""))</f>
        <v/>
      </c>
      <c r="BM80" s="45"/>
      <c r="BN80" s="46" t="str">
        <f t="shared" ca="1" si="53"/>
        <v/>
      </c>
      <c r="BO80" s="49" t="str">
        <f t="shared" si="54"/>
        <v/>
      </c>
      <c r="BP80" s="50">
        <v>1</v>
      </c>
      <c r="BQ80" s="50" t="s">
        <v>194</v>
      </c>
      <c r="BR80" s="79" t="str">
        <f t="shared" si="81"/>
        <v>01</v>
      </c>
      <c r="BS80" s="50" t="s">
        <v>795</v>
      </c>
      <c r="BT80" s="44">
        <v>1</v>
      </c>
      <c r="BU80" s="44" t="s">
        <v>371</v>
      </c>
      <c r="BV80" s="50" t="s">
        <v>197</v>
      </c>
      <c r="BW80" s="50" t="s">
        <v>197</v>
      </c>
      <c r="BX80" s="43" t="str">
        <f>IF(IFERROR(INDEX(Consulta!$A:$DP,MATCH('MM01'!$B80,Consulta!$C:$C,0),'MM01'!BX$2),"")=0,"",IFERROR(INDEX(Consulta!$A:$DP,MATCH('MM01'!$B80,Consulta!$C:$C,0),'MM01'!BX$2),""))</f>
        <v/>
      </c>
      <c r="BY80" s="44" t="s">
        <v>391</v>
      </c>
      <c r="BZ80" s="50">
        <v>0</v>
      </c>
      <c r="CA80" s="45" t="s">
        <v>402</v>
      </c>
      <c r="CB80" s="45" t="s">
        <v>84</v>
      </c>
      <c r="CC80" s="43" t="str">
        <f t="shared" si="55"/>
        <v/>
      </c>
      <c r="CD80" s="45" t="s">
        <v>38</v>
      </c>
      <c r="CE80" s="45">
        <v>1</v>
      </c>
      <c r="CF80" s="45" t="s">
        <v>495</v>
      </c>
      <c r="CG80" s="45"/>
      <c r="CH80" s="44">
        <v>2</v>
      </c>
      <c r="CI80" s="49" t="str">
        <f t="shared" si="56"/>
        <v/>
      </c>
      <c r="CJ80" s="49" t="str">
        <f t="shared" si="57"/>
        <v/>
      </c>
      <c r="CK80" s="45"/>
      <c r="CL80" s="44">
        <v>1</v>
      </c>
      <c r="CM80" s="50" t="s">
        <v>514</v>
      </c>
      <c r="CN80" s="44" t="s">
        <v>371</v>
      </c>
      <c r="CO80" s="44">
        <v>2</v>
      </c>
      <c r="CP80" s="44">
        <v>42</v>
      </c>
      <c r="CQ80" s="44">
        <v>10</v>
      </c>
      <c r="CR80" s="43" t="str">
        <f t="shared" si="58"/>
        <v>K00_P_</v>
      </c>
      <c r="CS80" s="45">
        <v>5000</v>
      </c>
      <c r="CT80" s="43" t="str">
        <f>IF(IFERROR(INDEX(Consulta!$A:$DP,MATCH('MM01'!$B80,Consulta!$C:$C,0),'MM01'!CT$2),"")=0,"",IFERROR(INDEX(Consulta!$A:$DP,MATCH('MM01'!$B80,Consulta!$C:$C,0),'MM01'!CT$2),""))</f>
        <v/>
      </c>
      <c r="CU80" s="43" t="str">
        <f>IF(IFERROR(INDEX(Consulta!$A:$DP,MATCH('MM01'!$B80,Consulta!$C:$C,0),'MM01'!CU$2),"")=0,"",IFERROR(INDEX(Consulta!$A:$DP,MATCH('MM01'!$B80,Consulta!$C:$C,0),'MM01'!CU$2),""))</f>
        <v/>
      </c>
      <c r="CV80" s="43" t="str">
        <f>IF(IFERROR(INDEX(Consulta!$A:$DP,MATCH('MM01'!$B80,Consulta!$C:$C,0),'MM01'!CV$2),"")=0,"",IFERROR(INDEX(Consulta!$A:$DP,MATCH('MM01'!$B80,Consulta!$C:$C,0),'MM01'!CV$2),""))</f>
        <v/>
      </c>
      <c r="CW80" s="43" t="str">
        <f>IF(IFERROR(INDEX(Consulta!$A:$DP,MATCH('MM01'!$B80,Consulta!$C:$C,0),'MM01'!CW$2),"")=0,"",IFERROR(INDEX(Consulta!$A:$DP,MATCH('MM01'!$B80,Consulta!$C:$C,0),'MM01'!CW$2),""))</f>
        <v/>
      </c>
      <c r="CX80" s="43" t="str">
        <f t="shared" si="59"/>
        <v/>
      </c>
      <c r="CY80" s="43" t="str">
        <f t="shared" si="60"/>
        <v/>
      </c>
      <c r="CZ80" s="43" t="str">
        <f t="shared" si="61"/>
        <v/>
      </c>
      <c r="DA80" s="43" t="str">
        <f>IF(IFERROR(INDEX(Consulta!$A:$DP,MATCH('MM01'!$B80,Consulta!$C:$C,0),'MM01'!DA$2),"")=0,"",IFERROR(INDEX(Consulta!$A:$DP,MATCH('MM01'!$B80,Consulta!$C:$C,0),'MM01'!DA$2),""))</f>
        <v/>
      </c>
      <c r="DB80" s="43" t="str">
        <f t="shared" si="62"/>
        <v/>
      </c>
      <c r="DC80" s="43" t="str">
        <f>IF(IFERROR(INDEX(Consulta!$A:$DP,MATCH('MM01'!$B80,Consulta!$C:$C,0),'MM01'!DC$2),"")=0,"",IFERROR(INDEX(Consulta!$A:$DP,MATCH('MM01'!$B80,Consulta!$C:$C,0),'MM01'!DC$2),""))</f>
        <v/>
      </c>
      <c r="DD80" s="45">
        <v>0</v>
      </c>
      <c r="DE80" s="45">
        <v>0</v>
      </c>
      <c r="DF80" s="43" t="str">
        <f t="shared" si="63"/>
        <v/>
      </c>
      <c r="DG80" s="43" t="str">
        <f t="shared" si="64"/>
        <v/>
      </c>
      <c r="DH80" s="57"/>
      <c r="DI80" s="43" t="str">
        <f t="shared" ca="1" si="65"/>
        <v/>
      </c>
      <c r="DJ80" s="43" t="str">
        <f t="shared" si="66"/>
        <v/>
      </c>
      <c r="DK80" s="43" t="str">
        <f t="shared" si="67"/>
        <v/>
      </c>
      <c r="DL80" s="57"/>
      <c r="DM80" s="43" t="str">
        <f t="shared" ca="1" si="68"/>
        <v/>
      </c>
      <c r="DN80" s="43" t="str">
        <f t="shared" si="69"/>
        <v/>
      </c>
      <c r="DO80" s="43" t="str">
        <f t="shared" si="70"/>
        <v/>
      </c>
      <c r="DP80" s="57"/>
      <c r="DQ80" s="43" t="str">
        <f t="shared" ca="1" si="71"/>
        <v/>
      </c>
      <c r="DR80" s="43" t="str">
        <f t="shared" si="72"/>
        <v/>
      </c>
      <c r="DS80" s="43" t="str">
        <f t="shared" si="73"/>
        <v/>
      </c>
      <c r="DT80" s="57"/>
      <c r="DU80" s="43" t="str">
        <f t="shared" ca="1" si="74"/>
        <v/>
      </c>
      <c r="DV80" s="43" t="str">
        <f t="shared" si="75"/>
        <v/>
      </c>
      <c r="DX80" s="44">
        <v>1</v>
      </c>
      <c r="DY80" s="44" t="s">
        <v>773</v>
      </c>
      <c r="DZ80" s="43">
        <f t="shared" si="76"/>
        <v>0.01</v>
      </c>
      <c r="EA80" s="43" t="str">
        <f t="shared" si="77"/>
        <v>M</v>
      </c>
      <c r="EB80" s="43" t="str">
        <f>IF(IFERROR(INDEX(Consulta!$A:$DP,MATCH('MM01'!$B80,Consulta!$C:$C,0),'MM01'!EB$2),"")=0,"7925",IF(IFERROR(INDEX(Consulta!$A:$DP,MATCH('MM01'!$B80,Consulta!$C:$C,0),'MM01'!EB$2),"")="68","7910","7925"))</f>
        <v>7925</v>
      </c>
      <c r="EC80" s="44">
        <v>100</v>
      </c>
      <c r="ED80" s="62">
        <v>1</v>
      </c>
      <c r="EE80" s="43">
        <f t="shared" si="78"/>
        <v>100</v>
      </c>
      <c r="EF80" s="44">
        <v>1</v>
      </c>
      <c r="EG80" s="44">
        <v>0</v>
      </c>
      <c r="EH80" s="44" t="s">
        <v>875</v>
      </c>
      <c r="EI80" s="45">
        <v>0</v>
      </c>
      <c r="EJ80" s="43">
        <f t="shared" si="79"/>
        <v>5000</v>
      </c>
      <c r="EK80" s="69"/>
    </row>
    <row r="81" spans="1:141" x14ac:dyDescent="0.2">
      <c r="A81" s="7" t="str">
        <f t="shared" si="80"/>
        <v>Execução 77</v>
      </c>
      <c r="B81" s="42"/>
      <c r="C81" s="43" t="str">
        <f>IF(IFERROR(INDEX(Consulta!$A:$DP,MATCH('MM01'!$B81,Consulta!$C:$C,0),'MM01'!C$2),"")=0,"",IFERROR(INDEX(Consulta!$A:$DP,MATCH('MM01'!$B81,Consulta!$C:$C,0),'MM01'!C$2),""))</f>
        <v/>
      </c>
      <c r="D81" s="43" t="str">
        <f>IF(IFERROR(INDEX(Consulta!$A:$DP,MATCH('MM01'!$B81,Consulta!$C:$C,0),'MM01'!D$2),"")=0,"",IFERROR(INDEX(Consulta!$A:$DP,MATCH('MM01'!$B81,Consulta!$C:$C,0),'MM01'!D$2),""))</f>
        <v/>
      </c>
      <c r="E81" s="43" t="str">
        <f>IF(IFERROR(INDEX(Consulta!$A:$DP,MATCH('MM01'!$B81,Consulta!$C:$C,0),'MM01'!E$2),"")=0,"",IFERROR(INDEX(Consulta!$A:$DP,MATCH('MM01'!$B81,Consulta!$C:$C,0),'MM01'!E$2),""))</f>
        <v/>
      </c>
      <c r="F81" s="44" t="s">
        <v>100</v>
      </c>
      <c r="G81" s="49" t="str">
        <f>IF(IFERROR(INDEX(Consulta!$A:$DP,MATCH('MM01'!$B81,Consulta!$C:$C,0),'MM01'!G$2),"")=0,"",IFERROR(INDEX(Consulta!$A:$DP,MATCH('MM01'!$B81,Consulta!$C:$C,0),'MM01'!G$2),""))</f>
        <v/>
      </c>
      <c r="H81" s="49" t="str">
        <f>IF(IFERROR(INDEX(Consulta!$A:$DP,MATCH('MM01'!$B81,Consulta!$C:$C,0),'MM01'!H$2),"")=0,"",IFERROR(INDEX(Consulta!$A:$DP,MATCH('MM01'!$B81,Consulta!$C:$C,0),'MM01'!H$2),""))</f>
        <v/>
      </c>
      <c r="I81" s="49" t="str">
        <f t="shared" si="41"/>
        <v/>
      </c>
      <c r="J81" s="49" t="str">
        <f>IF(IFERROR(INDEX(Consulta!$A:$DP,MATCH('MM01'!$B81,Consulta!$C:$C,0),'MM01'!J$2),"")=0,"",IFERROR(INDEX(Consulta!$A:$DP,MATCH('MM01'!$B81,Consulta!$C:$C,0),'MM01'!J$2),""))</f>
        <v/>
      </c>
      <c r="K81" s="49" t="str">
        <f t="shared" si="42"/>
        <v/>
      </c>
      <c r="M81" s="45" t="s">
        <v>101</v>
      </c>
      <c r="N81" s="45" t="s">
        <v>102</v>
      </c>
      <c r="O81" s="45" t="s">
        <v>103</v>
      </c>
      <c r="P81" s="45" t="s">
        <v>104</v>
      </c>
      <c r="Q81" s="45" t="s">
        <v>105</v>
      </c>
      <c r="R81" s="45" t="s">
        <v>106</v>
      </c>
      <c r="S81" s="45" t="s">
        <v>107</v>
      </c>
      <c r="T81" s="45"/>
      <c r="U81" s="45"/>
      <c r="V81" s="45"/>
      <c r="W81" s="45"/>
      <c r="X81" s="45" t="s">
        <v>112</v>
      </c>
      <c r="Y81" s="45" t="s">
        <v>113</v>
      </c>
      <c r="Z81" s="45" t="s">
        <v>114</v>
      </c>
      <c r="AA81" s="45" t="s">
        <v>115</v>
      </c>
      <c r="AB81" s="45" t="s">
        <v>117</v>
      </c>
      <c r="AC81" s="45" t="s">
        <v>118</v>
      </c>
      <c r="AD81" s="45" t="s">
        <v>119</v>
      </c>
      <c r="AE81" s="45" t="s">
        <v>120</v>
      </c>
      <c r="AF81" s="45" t="s">
        <v>121</v>
      </c>
      <c r="AG81" s="45" t="s">
        <v>122</v>
      </c>
      <c r="AH81" s="45" t="s">
        <v>123</v>
      </c>
      <c r="AI81" s="45" t="s">
        <v>124</v>
      </c>
      <c r="AJ81" s="45" t="s">
        <v>125</v>
      </c>
      <c r="AK81" s="45" t="s">
        <v>126</v>
      </c>
      <c r="AL81" s="45"/>
      <c r="AM81" s="45"/>
      <c r="AO81" s="44" t="s">
        <v>100</v>
      </c>
      <c r="AP81" s="43" t="str">
        <f>IF(IFERROR(INDEX(Consulta!$A:$DP,MATCH('MM01'!$B81,Consulta!$C:$C,0),'MM01'!AP$2),"")=0,"",IFERROR(INDEX(Consulta!$A:$DP,MATCH('MM01'!$B81,Consulta!$C:$C,0),'MM01'!AP$2),""))</f>
        <v/>
      </c>
      <c r="AQ81" s="45"/>
      <c r="AR81" s="43" t="str">
        <f>IF(IFERROR(INDEX(Consulta!$A:$DP,MATCH('MM01'!$B81,Consulta!$C:$C,0),'MM01'!AR$2),"")=0,"",IFERROR(INDEX(Consulta!$A:$DP,MATCH('MM01'!$B81,Consulta!$C:$C,0),'MM01'!AR$2),""))</f>
        <v/>
      </c>
      <c r="AS81" s="43" t="str">
        <f>IF(IFERROR(INDEX(Consulta!$A:$DP,MATCH('MM01'!$B81,Consulta!$C:$C,0),'MM01'!AS$2),"")=0,"",IF(AR81="68",5102,IFERROR(INDEX(Consulta!$A:$DP,MATCH('MM01'!$B81,Consulta!$C:$C,0),'MM01'!AS$2),"")))</f>
        <v/>
      </c>
      <c r="AT81" s="45"/>
      <c r="AU81" s="46" t="str">
        <f t="shared" ca="1" si="43"/>
        <v/>
      </c>
      <c r="AV81" s="47" t="s">
        <v>795</v>
      </c>
      <c r="AW81" s="43" t="str">
        <f>IF(IFERROR(INDEX(Consulta!$A:$DP,MATCH('MM01'!$B81,Consulta!$C:$C,0),'MM01'!AW$2),"")=0,"",IFERROR(ROUND(INDEX(Consulta!$A:$DP,MATCH('MM01'!$B81,Consulta!$C:$C,0),'MM01'!AW$2),3),""))</f>
        <v/>
      </c>
      <c r="AX81" s="43" t="str">
        <f t="shared" si="44"/>
        <v/>
      </c>
      <c r="AY81" s="48" t="s">
        <v>299</v>
      </c>
      <c r="AZ81" s="48"/>
      <c r="BA81" s="43" t="str">
        <f>IF(IFERROR(INDEX(Consulta!$A:$DP,MATCH('MM01'!$B81,Consulta!$C:$C,0),'MM01'!BA$2),"")=0,"",IFERROR(INDEX(Consulta!$A:$DP,MATCH('MM01'!$B81,Consulta!$C:$C,0),'MM01'!BA$2),""))</f>
        <v/>
      </c>
      <c r="BB81" s="43" t="str">
        <f t="shared" si="45"/>
        <v/>
      </c>
      <c r="BC81" s="43" t="str">
        <f t="shared" si="46"/>
        <v/>
      </c>
      <c r="BD81" s="43" t="str">
        <f t="shared" si="47"/>
        <v/>
      </c>
      <c r="BE81" s="43" t="str">
        <f t="shared" si="48"/>
        <v>M</v>
      </c>
      <c r="BF81" s="43" t="str">
        <f t="shared" si="49"/>
        <v/>
      </c>
      <c r="BG81" s="43" t="str">
        <f t="shared" si="50"/>
        <v/>
      </c>
      <c r="BH81" s="43" t="str">
        <f t="shared" si="51"/>
        <v/>
      </c>
      <c r="BI81" s="43" t="str">
        <f t="shared" si="52"/>
        <v>M</v>
      </c>
      <c r="BK81" s="45" t="s">
        <v>324</v>
      </c>
      <c r="BL81" s="43" t="str">
        <f>IF(IFERROR(INDEX(Consulta!$A:$DP,MATCH('MM01'!$B81,Consulta!$C:$C,0),'MM01'!BL$2),"")=0,"",IFERROR(INDEX(Consulta!$A:$DP,MATCH('MM01'!$B81,Consulta!$C:$C,0),'MM01'!BL$2),""))</f>
        <v/>
      </c>
      <c r="BM81" s="45"/>
      <c r="BN81" s="46" t="str">
        <f t="shared" ca="1" si="53"/>
        <v/>
      </c>
      <c r="BO81" s="49" t="str">
        <f t="shared" si="54"/>
        <v/>
      </c>
      <c r="BP81" s="50">
        <v>1</v>
      </c>
      <c r="BQ81" s="50" t="s">
        <v>194</v>
      </c>
      <c r="BR81" s="79" t="str">
        <f t="shared" si="81"/>
        <v>01</v>
      </c>
      <c r="BS81" s="50" t="s">
        <v>795</v>
      </c>
      <c r="BT81" s="44">
        <v>1</v>
      </c>
      <c r="BU81" s="44" t="s">
        <v>371</v>
      </c>
      <c r="BV81" s="50" t="s">
        <v>197</v>
      </c>
      <c r="BW81" s="50" t="s">
        <v>197</v>
      </c>
      <c r="BX81" s="43" t="str">
        <f>IF(IFERROR(INDEX(Consulta!$A:$DP,MATCH('MM01'!$B81,Consulta!$C:$C,0),'MM01'!BX$2),"")=0,"",IFERROR(INDEX(Consulta!$A:$DP,MATCH('MM01'!$B81,Consulta!$C:$C,0),'MM01'!BX$2),""))</f>
        <v/>
      </c>
      <c r="BY81" s="44" t="s">
        <v>391</v>
      </c>
      <c r="BZ81" s="50">
        <v>0</v>
      </c>
      <c r="CA81" s="45" t="s">
        <v>402</v>
      </c>
      <c r="CB81" s="45" t="s">
        <v>84</v>
      </c>
      <c r="CC81" s="43" t="str">
        <f t="shared" si="55"/>
        <v/>
      </c>
      <c r="CD81" s="45" t="s">
        <v>38</v>
      </c>
      <c r="CE81" s="45">
        <v>1</v>
      </c>
      <c r="CF81" s="45" t="s">
        <v>495</v>
      </c>
      <c r="CG81" s="45"/>
      <c r="CH81" s="44">
        <v>2</v>
      </c>
      <c r="CI81" s="49" t="str">
        <f t="shared" si="56"/>
        <v/>
      </c>
      <c r="CJ81" s="49" t="str">
        <f t="shared" si="57"/>
        <v/>
      </c>
      <c r="CK81" s="45"/>
      <c r="CL81" s="44">
        <v>1</v>
      </c>
      <c r="CM81" s="50" t="s">
        <v>514</v>
      </c>
      <c r="CN81" s="44" t="s">
        <v>371</v>
      </c>
      <c r="CO81" s="44">
        <v>2</v>
      </c>
      <c r="CP81" s="44">
        <v>42</v>
      </c>
      <c r="CQ81" s="44">
        <v>10</v>
      </c>
      <c r="CR81" s="43" t="str">
        <f t="shared" si="58"/>
        <v>K00_P_</v>
      </c>
      <c r="CS81" s="45">
        <v>5000</v>
      </c>
      <c r="CT81" s="43" t="str">
        <f>IF(IFERROR(INDEX(Consulta!$A:$DP,MATCH('MM01'!$B81,Consulta!$C:$C,0),'MM01'!CT$2),"")=0,"",IFERROR(INDEX(Consulta!$A:$DP,MATCH('MM01'!$B81,Consulta!$C:$C,0),'MM01'!CT$2),""))</f>
        <v/>
      </c>
      <c r="CU81" s="43" t="str">
        <f>IF(IFERROR(INDEX(Consulta!$A:$DP,MATCH('MM01'!$B81,Consulta!$C:$C,0),'MM01'!CU$2),"")=0,"",IFERROR(INDEX(Consulta!$A:$DP,MATCH('MM01'!$B81,Consulta!$C:$C,0),'MM01'!CU$2),""))</f>
        <v/>
      </c>
      <c r="CV81" s="43" t="str">
        <f>IF(IFERROR(INDEX(Consulta!$A:$DP,MATCH('MM01'!$B81,Consulta!$C:$C,0),'MM01'!CV$2),"")=0,"",IFERROR(INDEX(Consulta!$A:$DP,MATCH('MM01'!$B81,Consulta!$C:$C,0),'MM01'!CV$2),""))</f>
        <v/>
      </c>
      <c r="CW81" s="43" t="str">
        <f>IF(IFERROR(INDEX(Consulta!$A:$DP,MATCH('MM01'!$B81,Consulta!$C:$C,0),'MM01'!CW$2),"")=0,"",IFERROR(INDEX(Consulta!$A:$DP,MATCH('MM01'!$B81,Consulta!$C:$C,0),'MM01'!CW$2),""))</f>
        <v/>
      </c>
      <c r="CX81" s="43" t="str">
        <f t="shared" si="59"/>
        <v/>
      </c>
      <c r="CY81" s="43" t="str">
        <f t="shared" si="60"/>
        <v/>
      </c>
      <c r="CZ81" s="43" t="str">
        <f t="shared" si="61"/>
        <v/>
      </c>
      <c r="DA81" s="43" t="str">
        <f>IF(IFERROR(INDEX(Consulta!$A:$DP,MATCH('MM01'!$B81,Consulta!$C:$C,0),'MM01'!DA$2),"")=0,"",IFERROR(INDEX(Consulta!$A:$DP,MATCH('MM01'!$B81,Consulta!$C:$C,0),'MM01'!DA$2),""))</f>
        <v/>
      </c>
      <c r="DB81" s="43" t="str">
        <f t="shared" si="62"/>
        <v/>
      </c>
      <c r="DC81" s="43" t="str">
        <f>IF(IFERROR(INDEX(Consulta!$A:$DP,MATCH('MM01'!$B81,Consulta!$C:$C,0),'MM01'!DC$2),"")=0,"",IFERROR(INDEX(Consulta!$A:$DP,MATCH('MM01'!$B81,Consulta!$C:$C,0),'MM01'!DC$2),""))</f>
        <v/>
      </c>
      <c r="DD81" s="45">
        <v>0</v>
      </c>
      <c r="DE81" s="45">
        <v>0</v>
      </c>
      <c r="DF81" s="43" t="str">
        <f t="shared" si="63"/>
        <v/>
      </c>
      <c r="DG81" s="43" t="str">
        <f t="shared" si="64"/>
        <v/>
      </c>
      <c r="DH81" s="57"/>
      <c r="DI81" s="43" t="str">
        <f t="shared" ca="1" si="65"/>
        <v/>
      </c>
      <c r="DJ81" s="43" t="str">
        <f t="shared" si="66"/>
        <v/>
      </c>
      <c r="DK81" s="43" t="str">
        <f t="shared" si="67"/>
        <v/>
      </c>
      <c r="DL81" s="57"/>
      <c r="DM81" s="43" t="str">
        <f t="shared" ca="1" si="68"/>
        <v/>
      </c>
      <c r="DN81" s="43" t="str">
        <f t="shared" si="69"/>
        <v/>
      </c>
      <c r="DO81" s="43" t="str">
        <f t="shared" si="70"/>
        <v/>
      </c>
      <c r="DP81" s="57"/>
      <c r="DQ81" s="43" t="str">
        <f t="shared" ca="1" si="71"/>
        <v/>
      </c>
      <c r="DR81" s="43" t="str">
        <f t="shared" si="72"/>
        <v/>
      </c>
      <c r="DS81" s="43" t="str">
        <f t="shared" si="73"/>
        <v/>
      </c>
      <c r="DT81" s="57"/>
      <c r="DU81" s="43" t="str">
        <f t="shared" ca="1" si="74"/>
        <v/>
      </c>
      <c r="DV81" s="43" t="str">
        <f t="shared" si="75"/>
        <v/>
      </c>
      <c r="DX81" s="44">
        <v>1</v>
      </c>
      <c r="DY81" s="44" t="s">
        <v>773</v>
      </c>
      <c r="DZ81" s="43">
        <f t="shared" si="76"/>
        <v>0.01</v>
      </c>
      <c r="EA81" s="43" t="str">
        <f t="shared" si="77"/>
        <v>M</v>
      </c>
      <c r="EB81" s="43" t="str">
        <f>IF(IFERROR(INDEX(Consulta!$A:$DP,MATCH('MM01'!$B81,Consulta!$C:$C,0),'MM01'!EB$2),"")=0,"7925",IF(IFERROR(INDEX(Consulta!$A:$DP,MATCH('MM01'!$B81,Consulta!$C:$C,0),'MM01'!EB$2),"")="68","7910","7925"))</f>
        <v>7925</v>
      </c>
      <c r="EC81" s="44">
        <v>100</v>
      </c>
      <c r="ED81" s="62">
        <v>1</v>
      </c>
      <c r="EE81" s="43">
        <f t="shared" si="78"/>
        <v>100</v>
      </c>
      <c r="EF81" s="44">
        <v>1</v>
      </c>
      <c r="EG81" s="44">
        <v>0</v>
      </c>
      <c r="EH81" s="44" t="s">
        <v>875</v>
      </c>
      <c r="EI81" s="45">
        <v>0</v>
      </c>
      <c r="EJ81" s="43">
        <f t="shared" si="79"/>
        <v>5000</v>
      </c>
      <c r="EK81" s="69"/>
    </row>
    <row r="82" spans="1:141" x14ac:dyDescent="0.2">
      <c r="A82" s="7" t="str">
        <f t="shared" si="80"/>
        <v>Execução 78</v>
      </c>
      <c r="B82" s="42"/>
      <c r="C82" s="43" t="str">
        <f>IF(IFERROR(INDEX(Consulta!$A:$DP,MATCH('MM01'!$B82,Consulta!$C:$C,0),'MM01'!C$2),"")=0,"",IFERROR(INDEX(Consulta!$A:$DP,MATCH('MM01'!$B82,Consulta!$C:$C,0),'MM01'!C$2),""))</f>
        <v/>
      </c>
      <c r="D82" s="43" t="str">
        <f>IF(IFERROR(INDEX(Consulta!$A:$DP,MATCH('MM01'!$B82,Consulta!$C:$C,0),'MM01'!D$2),"")=0,"",IFERROR(INDEX(Consulta!$A:$DP,MATCH('MM01'!$B82,Consulta!$C:$C,0),'MM01'!D$2),""))</f>
        <v/>
      </c>
      <c r="E82" s="43" t="str">
        <f>IF(IFERROR(INDEX(Consulta!$A:$DP,MATCH('MM01'!$B82,Consulta!$C:$C,0),'MM01'!E$2),"")=0,"",IFERROR(INDEX(Consulta!$A:$DP,MATCH('MM01'!$B82,Consulta!$C:$C,0),'MM01'!E$2),""))</f>
        <v/>
      </c>
      <c r="F82" s="44" t="s">
        <v>100</v>
      </c>
      <c r="G82" s="49" t="str">
        <f>IF(IFERROR(INDEX(Consulta!$A:$DP,MATCH('MM01'!$B82,Consulta!$C:$C,0),'MM01'!G$2),"")=0,"",IFERROR(INDEX(Consulta!$A:$DP,MATCH('MM01'!$B82,Consulta!$C:$C,0),'MM01'!G$2),""))</f>
        <v/>
      </c>
      <c r="H82" s="49" t="str">
        <f>IF(IFERROR(INDEX(Consulta!$A:$DP,MATCH('MM01'!$B82,Consulta!$C:$C,0),'MM01'!H$2),"")=0,"",IFERROR(INDEX(Consulta!$A:$DP,MATCH('MM01'!$B82,Consulta!$C:$C,0),'MM01'!H$2),""))</f>
        <v/>
      </c>
      <c r="I82" s="49" t="str">
        <f t="shared" si="41"/>
        <v/>
      </c>
      <c r="J82" s="49" t="str">
        <f>IF(IFERROR(INDEX(Consulta!$A:$DP,MATCH('MM01'!$B82,Consulta!$C:$C,0),'MM01'!J$2),"")=0,"",IFERROR(INDEX(Consulta!$A:$DP,MATCH('MM01'!$B82,Consulta!$C:$C,0),'MM01'!J$2),""))</f>
        <v/>
      </c>
      <c r="K82" s="49" t="str">
        <f t="shared" si="42"/>
        <v/>
      </c>
      <c r="M82" s="45" t="s">
        <v>101</v>
      </c>
      <c r="N82" s="45" t="s">
        <v>102</v>
      </c>
      <c r="O82" s="45" t="s">
        <v>103</v>
      </c>
      <c r="P82" s="45" t="s">
        <v>104</v>
      </c>
      <c r="Q82" s="45" t="s">
        <v>105</v>
      </c>
      <c r="R82" s="45" t="s">
        <v>106</v>
      </c>
      <c r="S82" s="45" t="s">
        <v>107</v>
      </c>
      <c r="T82" s="45"/>
      <c r="U82" s="45"/>
      <c r="V82" s="45"/>
      <c r="W82" s="45"/>
      <c r="X82" s="45" t="s">
        <v>112</v>
      </c>
      <c r="Y82" s="45" t="s">
        <v>113</v>
      </c>
      <c r="Z82" s="45" t="s">
        <v>114</v>
      </c>
      <c r="AA82" s="45" t="s">
        <v>115</v>
      </c>
      <c r="AB82" s="45" t="s">
        <v>117</v>
      </c>
      <c r="AC82" s="45" t="s">
        <v>118</v>
      </c>
      <c r="AD82" s="45" t="s">
        <v>119</v>
      </c>
      <c r="AE82" s="45" t="s">
        <v>120</v>
      </c>
      <c r="AF82" s="45" t="s">
        <v>121</v>
      </c>
      <c r="AG82" s="45" t="s">
        <v>122</v>
      </c>
      <c r="AH82" s="45" t="s">
        <v>123</v>
      </c>
      <c r="AI82" s="45" t="s">
        <v>124</v>
      </c>
      <c r="AJ82" s="45" t="s">
        <v>125</v>
      </c>
      <c r="AK82" s="45" t="s">
        <v>126</v>
      </c>
      <c r="AL82" s="45"/>
      <c r="AM82" s="45"/>
      <c r="AO82" s="44" t="s">
        <v>100</v>
      </c>
      <c r="AP82" s="43" t="str">
        <f>IF(IFERROR(INDEX(Consulta!$A:$DP,MATCH('MM01'!$B82,Consulta!$C:$C,0),'MM01'!AP$2),"")=0,"",IFERROR(INDEX(Consulta!$A:$DP,MATCH('MM01'!$B82,Consulta!$C:$C,0),'MM01'!AP$2),""))</f>
        <v/>
      </c>
      <c r="AQ82" s="45"/>
      <c r="AR82" s="43" t="str">
        <f>IF(IFERROR(INDEX(Consulta!$A:$DP,MATCH('MM01'!$B82,Consulta!$C:$C,0),'MM01'!AR$2),"")=0,"",IFERROR(INDEX(Consulta!$A:$DP,MATCH('MM01'!$B82,Consulta!$C:$C,0),'MM01'!AR$2),""))</f>
        <v/>
      </c>
      <c r="AS82" s="43" t="str">
        <f>IF(IFERROR(INDEX(Consulta!$A:$DP,MATCH('MM01'!$B82,Consulta!$C:$C,0),'MM01'!AS$2),"")=0,"",IF(AR82="68",5102,IFERROR(INDEX(Consulta!$A:$DP,MATCH('MM01'!$B82,Consulta!$C:$C,0),'MM01'!AS$2),"")))</f>
        <v/>
      </c>
      <c r="AT82" s="45"/>
      <c r="AU82" s="46" t="str">
        <f t="shared" ca="1" si="43"/>
        <v/>
      </c>
      <c r="AV82" s="47" t="s">
        <v>795</v>
      </c>
      <c r="AW82" s="43" t="str">
        <f>IF(IFERROR(INDEX(Consulta!$A:$DP,MATCH('MM01'!$B82,Consulta!$C:$C,0),'MM01'!AW$2),"")=0,"",IFERROR(ROUND(INDEX(Consulta!$A:$DP,MATCH('MM01'!$B82,Consulta!$C:$C,0),'MM01'!AW$2),3),""))</f>
        <v/>
      </c>
      <c r="AX82" s="43" t="str">
        <f t="shared" si="44"/>
        <v/>
      </c>
      <c r="AY82" s="48" t="s">
        <v>299</v>
      </c>
      <c r="AZ82" s="48"/>
      <c r="BA82" s="43" t="str">
        <f>IF(IFERROR(INDEX(Consulta!$A:$DP,MATCH('MM01'!$B82,Consulta!$C:$C,0),'MM01'!BA$2),"")=0,"",IFERROR(INDEX(Consulta!$A:$DP,MATCH('MM01'!$B82,Consulta!$C:$C,0),'MM01'!BA$2),""))</f>
        <v/>
      </c>
      <c r="BB82" s="43" t="str">
        <f t="shared" si="45"/>
        <v/>
      </c>
      <c r="BC82" s="43" t="str">
        <f t="shared" si="46"/>
        <v/>
      </c>
      <c r="BD82" s="43" t="str">
        <f t="shared" si="47"/>
        <v/>
      </c>
      <c r="BE82" s="43" t="str">
        <f t="shared" si="48"/>
        <v>M</v>
      </c>
      <c r="BF82" s="43" t="str">
        <f t="shared" si="49"/>
        <v/>
      </c>
      <c r="BG82" s="43" t="str">
        <f t="shared" si="50"/>
        <v/>
      </c>
      <c r="BH82" s="43" t="str">
        <f t="shared" si="51"/>
        <v/>
      </c>
      <c r="BI82" s="43" t="str">
        <f t="shared" si="52"/>
        <v>M</v>
      </c>
      <c r="BK82" s="45" t="s">
        <v>324</v>
      </c>
      <c r="BL82" s="43" t="str">
        <f>IF(IFERROR(INDEX(Consulta!$A:$DP,MATCH('MM01'!$B82,Consulta!$C:$C,0),'MM01'!BL$2),"")=0,"",IFERROR(INDEX(Consulta!$A:$DP,MATCH('MM01'!$B82,Consulta!$C:$C,0),'MM01'!BL$2),""))</f>
        <v/>
      </c>
      <c r="BM82" s="45"/>
      <c r="BN82" s="46" t="str">
        <f t="shared" ca="1" si="53"/>
        <v/>
      </c>
      <c r="BO82" s="49" t="str">
        <f t="shared" si="54"/>
        <v/>
      </c>
      <c r="BP82" s="50">
        <v>1</v>
      </c>
      <c r="BQ82" s="50" t="s">
        <v>194</v>
      </c>
      <c r="BR82" s="79" t="str">
        <f t="shared" si="81"/>
        <v>01</v>
      </c>
      <c r="BS82" s="50" t="s">
        <v>795</v>
      </c>
      <c r="BT82" s="44">
        <v>1</v>
      </c>
      <c r="BU82" s="44" t="s">
        <v>371</v>
      </c>
      <c r="BV82" s="50" t="s">
        <v>197</v>
      </c>
      <c r="BW82" s="50" t="s">
        <v>197</v>
      </c>
      <c r="BX82" s="43" t="str">
        <f>IF(IFERROR(INDEX(Consulta!$A:$DP,MATCH('MM01'!$B82,Consulta!$C:$C,0),'MM01'!BX$2),"")=0,"",IFERROR(INDEX(Consulta!$A:$DP,MATCH('MM01'!$B82,Consulta!$C:$C,0),'MM01'!BX$2),""))</f>
        <v/>
      </c>
      <c r="BY82" s="44" t="s">
        <v>391</v>
      </c>
      <c r="BZ82" s="50">
        <v>0</v>
      </c>
      <c r="CA82" s="45" t="s">
        <v>402</v>
      </c>
      <c r="CB82" s="45" t="s">
        <v>84</v>
      </c>
      <c r="CC82" s="43" t="str">
        <f t="shared" si="55"/>
        <v/>
      </c>
      <c r="CD82" s="45" t="s">
        <v>38</v>
      </c>
      <c r="CE82" s="45">
        <v>1</v>
      </c>
      <c r="CF82" s="45" t="s">
        <v>495</v>
      </c>
      <c r="CG82" s="45"/>
      <c r="CH82" s="44">
        <v>2</v>
      </c>
      <c r="CI82" s="49" t="str">
        <f t="shared" si="56"/>
        <v/>
      </c>
      <c r="CJ82" s="49" t="str">
        <f t="shared" si="57"/>
        <v/>
      </c>
      <c r="CK82" s="45"/>
      <c r="CL82" s="44">
        <v>1</v>
      </c>
      <c r="CM82" s="50" t="s">
        <v>514</v>
      </c>
      <c r="CN82" s="44" t="s">
        <v>371</v>
      </c>
      <c r="CO82" s="44">
        <v>2</v>
      </c>
      <c r="CP82" s="44">
        <v>42</v>
      </c>
      <c r="CQ82" s="44">
        <v>10</v>
      </c>
      <c r="CR82" s="43" t="str">
        <f t="shared" si="58"/>
        <v>K00_P_</v>
      </c>
      <c r="CS82" s="45">
        <v>5000</v>
      </c>
      <c r="CT82" s="43" t="str">
        <f>IF(IFERROR(INDEX(Consulta!$A:$DP,MATCH('MM01'!$B82,Consulta!$C:$C,0),'MM01'!CT$2),"")=0,"",IFERROR(INDEX(Consulta!$A:$DP,MATCH('MM01'!$B82,Consulta!$C:$C,0),'MM01'!CT$2),""))</f>
        <v/>
      </c>
      <c r="CU82" s="43" t="str">
        <f>IF(IFERROR(INDEX(Consulta!$A:$DP,MATCH('MM01'!$B82,Consulta!$C:$C,0),'MM01'!CU$2),"")=0,"",IFERROR(INDEX(Consulta!$A:$DP,MATCH('MM01'!$B82,Consulta!$C:$C,0),'MM01'!CU$2),""))</f>
        <v/>
      </c>
      <c r="CV82" s="43" t="str">
        <f>IF(IFERROR(INDEX(Consulta!$A:$DP,MATCH('MM01'!$B82,Consulta!$C:$C,0),'MM01'!CV$2),"")=0,"",IFERROR(INDEX(Consulta!$A:$DP,MATCH('MM01'!$B82,Consulta!$C:$C,0),'MM01'!CV$2),""))</f>
        <v/>
      </c>
      <c r="CW82" s="43" t="str">
        <f>IF(IFERROR(INDEX(Consulta!$A:$DP,MATCH('MM01'!$B82,Consulta!$C:$C,0),'MM01'!CW$2),"")=0,"",IFERROR(INDEX(Consulta!$A:$DP,MATCH('MM01'!$B82,Consulta!$C:$C,0),'MM01'!CW$2),""))</f>
        <v/>
      </c>
      <c r="CX82" s="43" t="str">
        <f t="shared" si="59"/>
        <v/>
      </c>
      <c r="CY82" s="43" t="str">
        <f t="shared" si="60"/>
        <v/>
      </c>
      <c r="CZ82" s="43" t="str">
        <f t="shared" si="61"/>
        <v/>
      </c>
      <c r="DA82" s="43" t="str">
        <f>IF(IFERROR(INDEX(Consulta!$A:$DP,MATCH('MM01'!$B82,Consulta!$C:$C,0),'MM01'!DA$2),"")=0,"",IFERROR(INDEX(Consulta!$A:$DP,MATCH('MM01'!$B82,Consulta!$C:$C,0),'MM01'!DA$2),""))</f>
        <v/>
      </c>
      <c r="DB82" s="43" t="str">
        <f t="shared" si="62"/>
        <v/>
      </c>
      <c r="DC82" s="43" t="str">
        <f>IF(IFERROR(INDEX(Consulta!$A:$DP,MATCH('MM01'!$B82,Consulta!$C:$C,0),'MM01'!DC$2),"")=0,"",IFERROR(INDEX(Consulta!$A:$DP,MATCH('MM01'!$B82,Consulta!$C:$C,0),'MM01'!DC$2),""))</f>
        <v/>
      </c>
      <c r="DD82" s="45">
        <v>0</v>
      </c>
      <c r="DE82" s="45">
        <v>0</v>
      </c>
      <c r="DF82" s="43" t="str">
        <f t="shared" si="63"/>
        <v/>
      </c>
      <c r="DG82" s="43" t="str">
        <f t="shared" si="64"/>
        <v/>
      </c>
      <c r="DH82" s="57"/>
      <c r="DI82" s="43" t="str">
        <f t="shared" ca="1" si="65"/>
        <v/>
      </c>
      <c r="DJ82" s="43" t="str">
        <f t="shared" si="66"/>
        <v/>
      </c>
      <c r="DK82" s="43" t="str">
        <f t="shared" si="67"/>
        <v/>
      </c>
      <c r="DL82" s="57"/>
      <c r="DM82" s="43" t="str">
        <f t="shared" ca="1" si="68"/>
        <v/>
      </c>
      <c r="DN82" s="43" t="str">
        <f t="shared" si="69"/>
        <v/>
      </c>
      <c r="DO82" s="43" t="str">
        <f t="shared" si="70"/>
        <v/>
      </c>
      <c r="DP82" s="57"/>
      <c r="DQ82" s="43" t="str">
        <f t="shared" ca="1" si="71"/>
        <v/>
      </c>
      <c r="DR82" s="43" t="str">
        <f t="shared" si="72"/>
        <v/>
      </c>
      <c r="DS82" s="43" t="str">
        <f t="shared" si="73"/>
        <v/>
      </c>
      <c r="DT82" s="57"/>
      <c r="DU82" s="43" t="str">
        <f t="shared" ca="1" si="74"/>
        <v/>
      </c>
      <c r="DV82" s="43" t="str">
        <f t="shared" si="75"/>
        <v/>
      </c>
      <c r="DX82" s="44">
        <v>1</v>
      </c>
      <c r="DY82" s="44" t="s">
        <v>773</v>
      </c>
      <c r="DZ82" s="43">
        <f t="shared" si="76"/>
        <v>0.01</v>
      </c>
      <c r="EA82" s="43" t="str">
        <f t="shared" si="77"/>
        <v>M</v>
      </c>
      <c r="EB82" s="43" t="str">
        <f>IF(IFERROR(INDEX(Consulta!$A:$DP,MATCH('MM01'!$B82,Consulta!$C:$C,0),'MM01'!EB$2),"")=0,"7925",IF(IFERROR(INDEX(Consulta!$A:$DP,MATCH('MM01'!$B82,Consulta!$C:$C,0),'MM01'!EB$2),"")="68","7910","7925"))</f>
        <v>7925</v>
      </c>
      <c r="EC82" s="44">
        <v>100</v>
      </c>
      <c r="ED82" s="62">
        <v>1</v>
      </c>
      <c r="EE82" s="43">
        <f t="shared" si="78"/>
        <v>100</v>
      </c>
      <c r="EF82" s="44">
        <v>1</v>
      </c>
      <c r="EG82" s="44">
        <v>0</v>
      </c>
      <c r="EH82" s="44" t="s">
        <v>875</v>
      </c>
      <c r="EI82" s="45">
        <v>0</v>
      </c>
      <c r="EJ82" s="43">
        <f t="shared" si="79"/>
        <v>5000</v>
      </c>
      <c r="EK82" s="69"/>
    </row>
    <row r="83" spans="1:141" x14ac:dyDescent="0.2">
      <c r="A83" s="7" t="str">
        <f t="shared" si="80"/>
        <v>Execução 79</v>
      </c>
      <c r="B83" s="42"/>
      <c r="C83" s="43" t="str">
        <f>IF(IFERROR(INDEX(Consulta!$A:$DP,MATCH('MM01'!$B83,Consulta!$C:$C,0),'MM01'!C$2),"")=0,"",IFERROR(INDEX(Consulta!$A:$DP,MATCH('MM01'!$B83,Consulta!$C:$C,0),'MM01'!C$2),""))</f>
        <v/>
      </c>
      <c r="D83" s="43" t="str">
        <f>IF(IFERROR(INDEX(Consulta!$A:$DP,MATCH('MM01'!$B83,Consulta!$C:$C,0),'MM01'!D$2),"")=0,"",IFERROR(INDEX(Consulta!$A:$DP,MATCH('MM01'!$B83,Consulta!$C:$C,0),'MM01'!D$2),""))</f>
        <v/>
      </c>
      <c r="E83" s="43" t="str">
        <f>IF(IFERROR(INDEX(Consulta!$A:$DP,MATCH('MM01'!$B83,Consulta!$C:$C,0),'MM01'!E$2),"")=0,"",IFERROR(INDEX(Consulta!$A:$DP,MATCH('MM01'!$B83,Consulta!$C:$C,0),'MM01'!E$2),""))</f>
        <v/>
      </c>
      <c r="F83" s="44" t="s">
        <v>100</v>
      </c>
      <c r="G83" s="49" t="str">
        <f>IF(IFERROR(INDEX(Consulta!$A:$DP,MATCH('MM01'!$B83,Consulta!$C:$C,0),'MM01'!G$2),"")=0,"",IFERROR(INDEX(Consulta!$A:$DP,MATCH('MM01'!$B83,Consulta!$C:$C,0),'MM01'!G$2),""))</f>
        <v/>
      </c>
      <c r="H83" s="49" t="str">
        <f>IF(IFERROR(INDEX(Consulta!$A:$DP,MATCH('MM01'!$B83,Consulta!$C:$C,0),'MM01'!H$2),"")=0,"",IFERROR(INDEX(Consulta!$A:$DP,MATCH('MM01'!$B83,Consulta!$C:$C,0),'MM01'!H$2),""))</f>
        <v/>
      </c>
      <c r="I83" s="49" t="str">
        <f t="shared" si="41"/>
        <v/>
      </c>
      <c r="J83" s="49" t="str">
        <f>IF(IFERROR(INDEX(Consulta!$A:$DP,MATCH('MM01'!$B83,Consulta!$C:$C,0),'MM01'!J$2),"")=0,"",IFERROR(INDEX(Consulta!$A:$DP,MATCH('MM01'!$B83,Consulta!$C:$C,0),'MM01'!J$2),""))</f>
        <v/>
      </c>
      <c r="K83" s="49" t="str">
        <f t="shared" si="42"/>
        <v/>
      </c>
      <c r="M83" s="45" t="s">
        <v>101</v>
      </c>
      <c r="N83" s="45" t="s">
        <v>102</v>
      </c>
      <c r="O83" s="45" t="s">
        <v>103</v>
      </c>
      <c r="P83" s="45" t="s">
        <v>104</v>
      </c>
      <c r="Q83" s="45" t="s">
        <v>105</v>
      </c>
      <c r="R83" s="45" t="s">
        <v>106</v>
      </c>
      <c r="S83" s="45" t="s">
        <v>107</v>
      </c>
      <c r="T83" s="45"/>
      <c r="U83" s="45"/>
      <c r="V83" s="45"/>
      <c r="W83" s="45"/>
      <c r="X83" s="45" t="s">
        <v>112</v>
      </c>
      <c r="Y83" s="45" t="s">
        <v>113</v>
      </c>
      <c r="Z83" s="45" t="s">
        <v>114</v>
      </c>
      <c r="AA83" s="45" t="s">
        <v>115</v>
      </c>
      <c r="AB83" s="45" t="s">
        <v>117</v>
      </c>
      <c r="AC83" s="45" t="s">
        <v>118</v>
      </c>
      <c r="AD83" s="45" t="s">
        <v>119</v>
      </c>
      <c r="AE83" s="45" t="s">
        <v>120</v>
      </c>
      <c r="AF83" s="45" t="s">
        <v>121</v>
      </c>
      <c r="AG83" s="45" t="s">
        <v>122</v>
      </c>
      <c r="AH83" s="45" t="s">
        <v>123</v>
      </c>
      <c r="AI83" s="45" t="s">
        <v>124</v>
      </c>
      <c r="AJ83" s="45" t="s">
        <v>125</v>
      </c>
      <c r="AK83" s="45" t="s">
        <v>126</v>
      </c>
      <c r="AL83" s="45"/>
      <c r="AM83" s="45"/>
      <c r="AO83" s="44" t="s">
        <v>100</v>
      </c>
      <c r="AP83" s="43" t="str">
        <f>IF(IFERROR(INDEX(Consulta!$A:$DP,MATCH('MM01'!$B83,Consulta!$C:$C,0),'MM01'!AP$2),"")=0,"",IFERROR(INDEX(Consulta!$A:$DP,MATCH('MM01'!$B83,Consulta!$C:$C,0),'MM01'!AP$2),""))</f>
        <v/>
      </c>
      <c r="AQ83" s="45"/>
      <c r="AR83" s="43" t="str">
        <f>IF(IFERROR(INDEX(Consulta!$A:$DP,MATCH('MM01'!$B83,Consulta!$C:$C,0),'MM01'!AR$2),"")=0,"",IFERROR(INDEX(Consulta!$A:$DP,MATCH('MM01'!$B83,Consulta!$C:$C,0),'MM01'!AR$2),""))</f>
        <v/>
      </c>
      <c r="AS83" s="43" t="str">
        <f>IF(IFERROR(INDEX(Consulta!$A:$DP,MATCH('MM01'!$B83,Consulta!$C:$C,0),'MM01'!AS$2),"")=0,"",IF(AR83="68",5102,IFERROR(INDEX(Consulta!$A:$DP,MATCH('MM01'!$B83,Consulta!$C:$C,0),'MM01'!AS$2),"")))</f>
        <v/>
      </c>
      <c r="AT83" s="45"/>
      <c r="AU83" s="46" t="str">
        <f t="shared" ca="1" si="43"/>
        <v/>
      </c>
      <c r="AV83" s="47" t="s">
        <v>795</v>
      </c>
      <c r="AW83" s="43" t="str">
        <f>IF(IFERROR(INDEX(Consulta!$A:$DP,MATCH('MM01'!$B83,Consulta!$C:$C,0),'MM01'!AW$2),"")=0,"",IFERROR(ROUND(INDEX(Consulta!$A:$DP,MATCH('MM01'!$B83,Consulta!$C:$C,0),'MM01'!AW$2),3),""))</f>
        <v/>
      </c>
      <c r="AX83" s="43" t="str">
        <f t="shared" si="44"/>
        <v/>
      </c>
      <c r="AY83" s="48" t="s">
        <v>299</v>
      </c>
      <c r="AZ83" s="48"/>
      <c r="BA83" s="43" t="str">
        <f>IF(IFERROR(INDEX(Consulta!$A:$DP,MATCH('MM01'!$B83,Consulta!$C:$C,0),'MM01'!BA$2),"")=0,"",IFERROR(INDEX(Consulta!$A:$DP,MATCH('MM01'!$B83,Consulta!$C:$C,0),'MM01'!BA$2),""))</f>
        <v/>
      </c>
      <c r="BB83" s="43" t="str">
        <f t="shared" si="45"/>
        <v/>
      </c>
      <c r="BC83" s="43" t="str">
        <f t="shared" si="46"/>
        <v/>
      </c>
      <c r="BD83" s="43" t="str">
        <f t="shared" si="47"/>
        <v/>
      </c>
      <c r="BE83" s="43" t="str">
        <f t="shared" si="48"/>
        <v>M</v>
      </c>
      <c r="BF83" s="43" t="str">
        <f t="shared" si="49"/>
        <v/>
      </c>
      <c r="BG83" s="43" t="str">
        <f t="shared" si="50"/>
        <v/>
      </c>
      <c r="BH83" s="43" t="str">
        <f t="shared" si="51"/>
        <v/>
      </c>
      <c r="BI83" s="43" t="str">
        <f t="shared" si="52"/>
        <v>M</v>
      </c>
      <c r="BK83" s="45" t="s">
        <v>324</v>
      </c>
      <c r="BL83" s="43" t="str">
        <f>IF(IFERROR(INDEX(Consulta!$A:$DP,MATCH('MM01'!$B83,Consulta!$C:$C,0),'MM01'!BL$2),"")=0,"",IFERROR(INDEX(Consulta!$A:$DP,MATCH('MM01'!$B83,Consulta!$C:$C,0),'MM01'!BL$2),""))</f>
        <v/>
      </c>
      <c r="BM83" s="45"/>
      <c r="BN83" s="46" t="str">
        <f t="shared" ca="1" si="53"/>
        <v/>
      </c>
      <c r="BO83" s="49" t="str">
        <f t="shared" si="54"/>
        <v/>
      </c>
      <c r="BP83" s="50">
        <v>1</v>
      </c>
      <c r="BQ83" s="50" t="s">
        <v>194</v>
      </c>
      <c r="BR83" s="79" t="str">
        <f t="shared" si="81"/>
        <v>01</v>
      </c>
      <c r="BS83" s="50" t="s">
        <v>795</v>
      </c>
      <c r="BT83" s="44">
        <v>1</v>
      </c>
      <c r="BU83" s="44" t="s">
        <v>371</v>
      </c>
      <c r="BV83" s="50" t="s">
        <v>197</v>
      </c>
      <c r="BW83" s="50" t="s">
        <v>197</v>
      </c>
      <c r="BX83" s="43" t="str">
        <f>IF(IFERROR(INDEX(Consulta!$A:$DP,MATCH('MM01'!$B83,Consulta!$C:$C,0),'MM01'!BX$2),"")=0,"",IFERROR(INDEX(Consulta!$A:$DP,MATCH('MM01'!$B83,Consulta!$C:$C,0),'MM01'!BX$2),""))</f>
        <v/>
      </c>
      <c r="BY83" s="44" t="s">
        <v>391</v>
      </c>
      <c r="BZ83" s="50">
        <v>0</v>
      </c>
      <c r="CA83" s="45" t="s">
        <v>402</v>
      </c>
      <c r="CB83" s="45" t="s">
        <v>84</v>
      </c>
      <c r="CC83" s="43" t="str">
        <f t="shared" si="55"/>
        <v/>
      </c>
      <c r="CD83" s="45" t="s">
        <v>38</v>
      </c>
      <c r="CE83" s="45">
        <v>1</v>
      </c>
      <c r="CF83" s="45" t="s">
        <v>495</v>
      </c>
      <c r="CG83" s="45"/>
      <c r="CH83" s="44">
        <v>2</v>
      </c>
      <c r="CI83" s="49" t="str">
        <f t="shared" si="56"/>
        <v/>
      </c>
      <c r="CJ83" s="49" t="str">
        <f t="shared" si="57"/>
        <v/>
      </c>
      <c r="CK83" s="45"/>
      <c r="CL83" s="44">
        <v>1</v>
      </c>
      <c r="CM83" s="50" t="s">
        <v>514</v>
      </c>
      <c r="CN83" s="44" t="s">
        <v>371</v>
      </c>
      <c r="CO83" s="44">
        <v>2</v>
      </c>
      <c r="CP83" s="44">
        <v>42</v>
      </c>
      <c r="CQ83" s="44">
        <v>10</v>
      </c>
      <c r="CR83" s="43" t="str">
        <f t="shared" si="58"/>
        <v>K00_P_</v>
      </c>
      <c r="CS83" s="45">
        <v>5000</v>
      </c>
      <c r="CT83" s="43" t="str">
        <f>IF(IFERROR(INDEX(Consulta!$A:$DP,MATCH('MM01'!$B83,Consulta!$C:$C,0),'MM01'!CT$2),"")=0,"",IFERROR(INDEX(Consulta!$A:$DP,MATCH('MM01'!$B83,Consulta!$C:$C,0),'MM01'!CT$2),""))</f>
        <v/>
      </c>
      <c r="CU83" s="43" t="str">
        <f>IF(IFERROR(INDEX(Consulta!$A:$DP,MATCH('MM01'!$B83,Consulta!$C:$C,0),'MM01'!CU$2),"")=0,"",IFERROR(INDEX(Consulta!$A:$DP,MATCH('MM01'!$B83,Consulta!$C:$C,0),'MM01'!CU$2),""))</f>
        <v/>
      </c>
      <c r="CV83" s="43" t="str">
        <f>IF(IFERROR(INDEX(Consulta!$A:$DP,MATCH('MM01'!$B83,Consulta!$C:$C,0),'MM01'!CV$2),"")=0,"",IFERROR(INDEX(Consulta!$A:$DP,MATCH('MM01'!$B83,Consulta!$C:$C,0),'MM01'!CV$2),""))</f>
        <v/>
      </c>
      <c r="CW83" s="43" t="str">
        <f>IF(IFERROR(INDEX(Consulta!$A:$DP,MATCH('MM01'!$B83,Consulta!$C:$C,0),'MM01'!CW$2),"")=0,"",IFERROR(INDEX(Consulta!$A:$DP,MATCH('MM01'!$B83,Consulta!$C:$C,0),'MM01'!CW$2),""))</f>
        <v/>
      </c>
      <c r="CX83" s="43" t="str">
        <f t="shared" si="59"/>
        <v/>
      </c>
      <c r="CY83" s="43" t="str">
        <f t="shared" si="60"/>
        <v/>
      </c>
      <c r="CZ83" s="43" t="str">
        <f t="shared" si="61"/>
        <v/>
      </c>
      <c r="DA83" s="43" t="str">
        <f>IF(IFERROR(INDEX(Consulta!$A:$DP,MATCH('MM01'!$B83,Consulta!$C:$C,0),'MM01'!DA$2),"")=0,"",IFERROR(INDEX(Consulta!$A:$DP,MATCH('MM01'!$B83,Consulta!$C:$C,0),'MM01'!DA$2),""))</f>
        <v/>
      </c>
      <c r="DB83" s="43" t="str">
        <f t="shared" si="62"/>
        <v/>
      </c>
      <c r="DC83" s="43" t="str">
        <f>IF(IFERROR(INDEX(Consulta!$A:$DP,MATCH('MM01'!$B83,Consulta!$C:$C,0),'MM01'!DC$2),"")=0,"",IFERROR(INDEX(Consulta!$A:$DP,MATCH('MM01'!$B83,Consulta!$C:$C,0),'MM01'!DC$2),""))</f>
        <v/>
      </c>
      <c r="DD83" s="45">
        <v>0</v>
      </c>
      <c r="DE83" s="45">
        <v>0</v>
      </c>
      <c r="DF83" s="43" t="str">
        <f t="shared" si="63"/>
        <v/>
      </c>
      <c r="DG83" s="43" t="str">
        <f t="shared" si="64"/>
        <v/>
      </c>
      <c r="DH83" s="57"/>
      <c r="DI83" s="43" t="str">
        <f t="shared" ca="1" si="65"/>
        <v/>
      </c>
      <c r="DJ83" s="43" t="str">
        <f t="shared" si="66"/>
        <v/>
      </c>
      <c r="DK83" s="43" t="str">
        <f t="shared" si="67"/>
        <v/>
      </c>
      <c r="DL83" s="57"/>
      <c r="DM83" s="43" t="str">
        <f t="shared" ca="1" si="68"/>
        <v/>
      </c>
      <c r="DN83" s="43" t="str">
        <f t="shared" si="69"/>
        <v/>
      </c>
      <c r="DO83" s="43" t="str">
        <f t="shared" si="70"/>
        <v/>
      </c>
      <c r="DP83" s="57"/>
      <c r="DQ83" s="43" t="str">
        <f t="shared" ca="1" si="71"/>
        <v/>
      </c>
      <c r="DR83" s="43" t="str">
        <f t="shared" si="72"/>
        <v/>
      </c>
      <c r="DS83" s="43" t="str">
        <f t="shared" si="73"/>
        <v/>
      </c>
      <c r="DT83" s="57"/>
      <c r="DU83" s="43" t="str">
        <f t="shared" ca="1" si="74"/>
        <v/>
      </c>
      <c r="DV83" s="43" t="str">
        <f t="shared" si="75"/>
        <v/>
      </c>
      <c r="DX83" s="44">
        <v>1</v>
      </c>
      <c r="DY83" s="44" t="s">
        <v>773</v>
      </c>
      <c r="DZ83" s="43">
        <f t="shared" si="76"/>
        <v>0.01</v>
      </c>
      <c r="EA83" s="43" t="str">
        <f t="shared" si="77"/>
        <v>M</v>
      </c>
      <c r="EB83" s="43" t="str">
        <f>IF(IFERROR(INDEX(Consulta!$A:$DP,MATCH('MM01'!$B83,Consulta!$C:$C,0),'MM01'!EB$2),"")=0,"7925",IF(IFERROR(INDEX(Consulta!$A:$DP,MATCH('MM01'!$B83,Consulta!$C:$C,0),'MM01'!EB$2),"")="68","7910","7925"))</f>
        <v>7925</v>
      </c>
      <c r="EC83" s="44">
        <v>100</v>
      </c>
      <c r="ED83" s="62">
        <v>1</v>
      </c>
      <c r="EE83" s="43">
        <f t="shared" si="78"/>
        <v>100</v>
      </c>
      <c r="EF83" s="44">
        <v>1</v>
      </c>
      <c r="EG83" s="44">
        <v>0</v>
      </c>
      <c r="EH83" s="44" t="s">
        <v>875</v>
      </c>
      <c r="EI83" s="45">
        <v>0</v>
      </c>
      <c r="EJ83" s="43">
        <f t="shared" si="79"/>
        <v>5000</v>
      </c>
      <c r="EK83" s="69"/>
    </row>
    <row r="84" spans="1:141" x14ac:dyDescent="0.2">
      <c r="A84" s="7" t="str">
        <f t="shared" si="80"/>
        <v>Execução 80</v>
      </c>
      <c r="B84" s="42"/>
      <c r="C84" s="43" t="str">
        <f>IF(IFERROR(INDEX(Consulta!$A:$DP,MATCH('MM01'!$B84,Consulta!$C:$C,0),'MM01'!C$2),"")=0,"",IFERROR(INDEX(Consulta!$A:$DP,MATCH('MM01'!$B84,Consulta!$C:$C,0),'MM01'!C$2),""))</f>
        <v/>
      </c>
      <c r="D84" s="43" t="str">
        <f>IF(IFERROR(INDEX(Consulta!$A:$DP,MATCH('MM01'!$B84,Consulta!$C:$C,0),'MM01'!D$2),"")=0,"",IFERROR(INDEX(Consulta!$A:$DP,MATCH('MM01'!$B84,Consulta!$C:$C,0),'MM01'!D$2),""))</f>
        <v/>
      </c>
      <c r="E84" s="43" t="str">
        <f>IF(IFERROR(INDEX(Consulta!$A:$DP,MATCH('MM01'!$B84,Consulta!$C:$C,0),'MM01'!E$2),"")=0,"",IFERROR(INDEX(Consulta!$A:$DP,MATCH('MM01'!$B84,Consulta!$C:$C,0),'MM01'!E$2),""))</f>
        <v/>
      </c>
      <c r="F84" s="44" t="s">
        <v>100</v>
      </c>
      <c r="G84" s="49" t="str">
        <f>IF(IFERROR(INDEX(Consulta!$A:$DP,MATCH('MM01'!$B84,Consulta!$C:$C,0),'MM01'!G$2),"")=0,"",IFERROR(INDEX(Consulta!$A:$DP,MATCH('MM01'!$B84,Consulta!$C:$C,0),'MM01'!G$2),""))</f>
        <v/>
      </c>
      <c r="H84" s="49" t="str">
        <f>IF(IFERROR(INDEX(Consulta!$A:$DP,MATCH('MM01'!$B84,Consulta!$C:$C,0),'MM01'!H$2),"")=0,"",IFERROR(INDEX(Consulta!$A:$DP,MATCH('MM01'!$B84,Consulta!$C:$C,0),'MM01'!H$2),""))</f>
        <v/>
      </c>
      <c r="I84" s="49" t="str">
        <f t="shared" si="41"/>
        <v/>
      </c>
      <c r="J84" s="49" t="str">
        <f>IF(IFERROR(INDEX(Consulta!$A:$DP,MATCH('MM01'!$B84,Consulta!$C:$C,0),'MM01'!J$2),"")=0,"",IFERROR(INDEX(Consulta!$A:$DP,MATCH('MM01'!$B84,Consulta!$C:$C,0),'MM01'!J$2),""))</f>
        <v/>
      </c>
      <c r="K84" s="49" t="str">
        <f t="shared" si="42"/>
        <v/>
      </c>
      <c r="M84" s="45" t="s">
        <v>101</v>
      </c>
      <c r="N84" s="45" t="s">
        <v>102</v>
      </c>
      <c r="O84" s="45" t="s">
        <v>103</v>
      </c>
      <c r="P84" s="45" t="s">
        <v>104</v>
      </c>
      <c r="Q84" s="45" t="s">
        <v>105</v>
      </c>
      <c r="R84" s="45" t="s">
        <v>106</v>
      </c>
      <c r="S84" s="45" t="s">
        <v>107</v>
      </c>
      <c r="T84" s="45"/>
      <c r="U84" s="45"/>
      <c r="V84" s="45"/>
      <c r="W84" s="45"/>
      <c r="X84" s="45" t="s">
        <v>112</v>
      </c>
      <c r="Y84" s="45" t="s">
        <v>113</v>
      </c>
      <c r="Z84" s="45" t="s">
        <v>114</v>
      </c>
      <c r="AA84" s="45" t="s">
        <v>115</v>
      </c>
      <c r="AB84" s="45" t="s">
        <v>117</v>
      </c>
      <c r="AC84" s="45" t="s">
        <v>118</v>
      </c>
      <c r="AD84" s="45" t="s">
        <v>119</v>
      </c>
      <c r="AE84" s="45" t="s">
        <v>120</v>
      </c>
      <c r="AF84" s="45" t="s">
        <v>121</v>
      </c>
      <c r="AG84" s="45" t="s">
        <v>122</v>
      </c>
      <c r="AH84" s="45" t="s">
        <v>123</v>
      </c>
      <c r="AI84" s="45" t="s">
        <v>124</v>
      </c>
      <c r="AJ84" s="45" t="s">
        <v>125</v>
      </c>
      <c r="AK84" s="45" t="s">
        <v>126</v>
      </c>
      <c r="AL84" s="45"/>
      <c r="AM84" s="45"/>
      <c r="AO84" s="44" t="s">
        <v>100</v>
      </c>
      <c r="AP84" s="43" t="str">
        <f>IF(IFERROR(INDEX(Consulta!$A:$DP,MATCH('MM01'!$B84,Consulta!$C:$C,0),'MM01'!AP$2),"")=0,"",IFERROR(INDEX(Consulta!$A:$DP,MATCH('MM01'!$B84,Consulta!$C:$C,0),'MM01'!AP$2),""))</f>
        <v/>
      </c>
      <c r="AQ84" s="45"/>
      <c r="AR84" s="43" t="str">
        <f>IF(IFERROR(INDEX(Consulta!$A:$DP,MATCH('MM01'!$B84,Consulta!$C:$C,0),'MM01'!AR$2),"")=0,"",IFERROR(INDEX(Consulta!$A:$DP,MATCH('MM01'!$B84,Consulta!$C:$C,0),'MM01'!AR$2),""))</f>
        <v/>
      </c>
      <c r="AS84" s="43" t="str">
        <f>IF(IFERROR(INDEX(Consulta!$A:$DP,MATCH('MM01'!$B84,Consulta!$C:$C,0),'MM01'!AS$2),"")=0,"",IF(AR84="68",5102,IFERROR(INDEX(Consulta!$A:$DP,MATCH('MM01'!$B84,Consulta!$C:$C,0),'MM01'!AS$2),"")))</f>
        <v/>
      </c>
      <c r="AT84" s="45"/>
      <c r="AU84" s="46" t="str">
        <f t="shared" ca="1" si="43"/>
        <v/>
      </c>
      <c r="AV84" s="47" t="s">
        <v>795</v>
      </c>
      <c r="AW84" s="43" t="str">
        <f>IF(IFERROR(INDEX(Consulta!$A:$DP,MATCH('MM01'!$B84,Consulta!$C:$C,0),'MM01'!AW$2),"")=0,"",IFERROR(ROUND(INDEX(Consulta!$A:$DP,MATCH('MM01'!$B84,Consulta!$C:$C,0),'MM01'!AW$2),3),""))</f>
        <v/>
      </c>
      <c r="AX84" s="43" t="str">
        <f t="shared" si="44"/>
        <v/>
      </c>
      <c r="AY84" s="48" t="s">
        <v>299</v>
      </c>
      <c r="AZ84" s="48"/>
      <c r="BA84" s="43" t="str">
        <f>IF(IFERROR(INDEX(Consulta!$A:$DP,MATCH('MM01'!$B84,Consulta!$C:$C,0),'MM01'!BA$2),"")=0,"",IFERROR(INDEX(Consulta!$A:$DP,MATCH('MM01'!$B84,Consulta!$C:$C,0),'MM01'!BA$2),""))</f>
        <v/>
      </c>
      <c r="BB84" s="43" t="str">
        <f t="shared" si="45"/>
        <v/>
      </c>
      <c r="BC84" s="43" t="str">
        <f t="shared" si="46"/>
        <v/>
      </c>
      <c r="BD84" s="43" t="str">
        <f t="shared" si="47"/>
        <v/>
      </c>
      <c r="BE84" s="43" t="str">
        <f t="shared" si="48"/>
        <v>M</v>
      </c>
      <c r="BF84" s="43" t="str">
        <f t="shared" si="49"/>
        <v/>
      </c>
      <c r="BG84" s="43" t="str">
        <f t="shared" si="50"/>
        <v/>
      </c>
      <c r="BH84" s="43" t="str">
        <f t="shared" si="51"/>
        <v/>
      </c>
      <c r="BI84" s="43" t="str">
        <f t="shared" si="52"/>
        <v>M</v>
      </c>
      <c r="BK84" s="45" t="s">
        <v>324</v>
      </c>
      <c r="BL84" s="43" t="str">
        <f>IF(IFERROR(INDEX(Consulta!$A:$DP,MATCH('MM01'!$B84,Consulta!$C:$C,0),'MM01'!BL$2),"")=0,"",IFERROR(INDEX(Consulta!$A:$DP,MATCH('MM01'!$B84,Consulta!$C:$C,0),'MM01'!BL$2),""))</f>
        <v/>
      </c>
      <c r="BM84" s="45"/>
      <c r="BN84" s="46" t="str">
        <f t="shared" ca="1" si="53"/>
        <v/>
      </c>
      <c r="BO84" s="49" t="str">
        <f t="shared" si="54"/>
        <v/>
      </c>
      <c r="BP84" s="50">
        <v>1</v>
      </c>
      <c r="BQ84" s="50" t="s">
        <v>194</v>
      </c>
      <c r="BR84" s="79" t="str">
        <f t="shared" si="81"/>
        <v>01</v>
      </c>
      <c r="BS84" s="50" t="s">
        <v>795</v>
      </c>
      <c r="BT84" s="44">
        <v>1</v>
      </c>
      <c r="BU84" s="44" t="s">
        <v>371</v>
      </c>
      <c r="BV84" s="50" t="s">
        <v>197</v>
      </c>
      <c r="BW84" s="50" t="s">
        <v>197</v>
      </c>
      <c r="BX84" s="43" t="str">
        <f>IF(IFERROR(INDEX(Consulta!$A:$DP,MATCH('MM01'!$B84,Consulta!$C:$C,0),'MM01'!BX$2),"")=0,"",IFERROR(INDEX(Consulta!$A:$DP,MATCH('MM01'!$B84,Consulta!$C:$C,0),'MM01'!BX$2),""))</f>
        <v/>
      </c>
      <c r="BY84" s="44" t="s">
        <v>391</v>
      </c>
      <c r="BZ84" s="50">
        <v>0</v>
      </c>
      <c r="CA84" s="45" t="s">
        <v>402</v>
      </c>
      <c r="CB84" s="45" t="s">
        <v>84</v>
      </c>
      <c r="CC84" s="43" t="str">
        <f t="shared" si="55"/>
        <v/>
      </c>
      <c r="CD84" s="45" t="s">
        <v>38</v>
      </c>
      <c r="CE84" s="45">
        <v>1</v>
      </c>
      <c r="CF84" s="45" t="s">
        <v>495</v>
      </c>
      <c r="CG84" s="45"/>
      <c r="CH84" s="44">
        <v>2</v>
      </c>
      <c r="CI84" s="49" t="str">
        <f t="shared" si="56"/>
        <v/>
      </c>
      <c r="CJ84" s="49" t="str">
        <f t="shared" si="57"/>
        <v/>
      </c>
      <c r="CK84" s="45"/>
      <c r="CL84" s="44">
        <v>1</v>
      </c>
      <c r="CM84" s="50" t="s">
        <v>514</v>
      </c>
      <c r="CN84" s="44" t="s">
        <v>371</v>
      </c>
      <c r="CO84" s="44">
        <v>2</v>
      </c>
      <c r="CP84" s="44">
        <v>42</v>
      </c>
      <c r="CQ84" s="44">
        <v>10</v>
      </c>
      <c r="CR84" s="43" t="str">
        <f t="shared" si="58"/>
        <v>K00_P_</v>
      </c>
      <c r="CS84" s="45">
        <v>5000</v>
      </c>
      <c r="CT84" s="43" t="str">
        <f>IF(IFERROR(INDEX(Consulta!$A:$DP,MATCH('MM01'!$B84,Consulta!$C:$C,0),'MM01'!CT$2),"")=0,"",IFERROR(INDEX(Consulta!$A:$DP,MATCH('MM01'!$B84,Consulta!$C:$C,0),'MM01'!CT$2),""))</f>
        <v/>
      </c>
      <c r="CU84" s="43" t="str">
        <f>IF(IFERROR(INDEX(Consulta!$A:$DP,MATCH('MM01'!$B84,Consulta!$C:$C,0),'MM01'!CU$2),"")=0,"",IFERROR(INDEX(Consulta!$A:$DP,MATCH('MM01'!$B84,Consulta!$C:$C,0),'MM01'!CU$2),""))</f>
        <v/>
      </c>
      <c r="CV84" s="43" t="str">
        <f>IF(IFERROR(INDEX(Consulta!$A:$DP,MATCH('MM01'!$B84,Consulta!$C:$C,0),'MM01'!CV$2),"")=0,"",IFERROR(INDEX(Consulta!$A:$DP,MATCH('MM01'!$B84,Consulta!$C:$C,0),'MM01'!CV$2),""))</f>
        <v/>
      </c>
      <c r="CW84" s="43" t="str">
        <f>IF(IFERROR(INDEX(Consulta!$A:$DP,MATCH('MM01'!$B84,Consulta!$C:$C,0),'MM01'!CW$2),"")=0,"",IFERROR(INDEX(Consulta!$A:$DP,MATCH('MM01'!$B84,Consulta!$C:$C,0),'MM01'!CW$2),""))</f>
        <v/>
      </c>
      <c r="CX84" s="43" t="str">
        <f t="shared" si="59"/>
        <v/>
      </c>
      <c r="CY84" s="43" t="str">
        <f t="shared" si="60"/>
        <v/>
      </c>
      <c r="CZ84" s="43" t="str">
        <f t="shared" si="61"/>
        <v/>
      </c>
      <c r="DA84" s="43" t="str">
        <f>IF(IFERROR(INDEX(Consulta!$A:$DP,MATCH('MM01'!$B84,Consulta!$C:$C,0),'MM01'!DA$2),"")=0,"",IFERROR(INDEX(Consulta!$A:$DP,MATCH('MM01'!$B84,Consulta!$C:$C,0),'MM01'!DA$2),""))</f>
        <v/>
      </c>
      <c r="DB84" s="43" t="str">
        <f t="shared" si="62"/>
        <v/>
      </c>
      <c r="DC84" s="43" t="str">
        <f>IF(IFERROR(INDEX(Consulta!$A:$DP,MATCH('MM01'!$B84,Consulta!$C:$C,0),'MM01'!DC$2),"")=0,"",IFERROR(INDEX(Consulta!$A:$DP,MATCH('MM01'!$B84,Consulta!$C:$C,0),'MM01'!DC$2),""))</f>
        <v/>
      </c>
      <c r="DD84" s="45">
        <v>0</v>
      </c>
      <c r="DE84" s="45">
        <v>0</v>
      </c>
      <c r="DF84" s="43" t="str">
        <f t="shared" si="63"/>
        <v/>
      </c>
      <c r="DG84" s="43" t="str">
        <f t="shared" si="64"/>
        <v/>
      </c>
      <c r="DH84" s="57"/>
      <c r="DI84" s="43" t="str">
        <f t="shared" ca="1" si="65"/>
        <v/>
      </c>
      <c r="DJ84" s="43" t="str">
        <f t="shared" si="66"/>
        <v/>
      </c>
      <c r="DK84" s="43" t="str">
        <f t="shared" si="67"/>
        <v/>
      </c>
      <c r="DL84" s="57"/>
      <c r="DM84" s="43" t="str">
        <f t="shared" ca="1" si="68"/>
        <v/>
      </c>
      <c r="DN84" s="43" t="str">
        <f t="shared" si="69"/>
        <v/>
      </c>
      <c r="DO84" s="43" t="str">
        <f t="shared" si="70"/>
        <v/>
      </c>
      <c r="DP84" s="57"/>
      <c r="DQ84" s="43" t="str">
        <f t="shared" ca="1" si="71"/>
        <v/>
      </c>
      <c r="DR84" s="43" t="str">
        <f t="shared" si="72"/>
        <v/>
      </c>
      <c r="DS84" s="43" t="str">
        <f t="shared" si="73"/>
        <v/>
      </c>
      <c r="DT84" s="57"/>
      <c r="DU84" s="43" t="str">
        <f t="shared" ca="1" si="74"/>
        <v/>
      </c>
      <c r="DV84" s="43" t="str">
        <f t="shared" si="75"/>
        <v/>
      </c>
      <c r="DX84" s="44">
        <v>1</v>
      </c>
      <c r="DY84" s="44" t="s">
        <v>773</v>
      </c>
      <c r="DZ84" s="43">
        <f t="shared" si="76"/>
        <v>0.01</v>
      </c>
      <c r="EA84" s="43" t="str">
        <f t="shared" si="77"/>
        <v>M</v>
      </c>
      <c r="EB84" s="43" t="str">
        <f>IF(IFERROR(INDEX(Consulta!$A:$DP,MATCH('MM01'!$B84,Consulta!$C:$C,0),'MM01'!EB$2),"")=0,"7925",IF(IFERROR(INDEX(Consulta!$A:$DP,MATCH('MM01'!$B84,Consulta!$C:$C,0),'MM01'!EB$2),"")="68","7910","7925"))</f>
        <v>7925</v>
      </c>
      <c r="EC84" s="44">
        <v>100</v>
      </c>
      <c r="ED84" s="62">
        <v>1</v>
      </c>
      <c r="EE84" s="43">
        <f t="shared" si="78"/>
        <v>100</v>
      </c>
      <c r="EF84" s="44">
        <v>1</v>
      </c>
      <c r="EG84" s="44">
        <v>0</v>
      </c>
      <c r="EH84" s="44" t="s">
        <v>875</v>
      </c>
      <c r="EI84" s="45">
        <v>0</v>
      </c>
      <c r="EJ84" s="43">
        <f t="shared" si="79"/>
        <v>5000</v>
      </c>
      <c r="EK84" s="69"/>
    </row>
    <row r="85" spans="1:141" x14ac:dyDescent="0.2">
      <c r="A85" s="7" t="str">
        <f t="shared" si="80"/>
        <v>Execução 81</v>
      </c>
      <c r="B85" s="42"/>
      <c r="C85" s="43" t="str">
        <f>IF(IFERROR(INDEX(Consulta!$A:$DP,MATCH('MM01'!$B85,Consulta!$C:$C,0),'MM01'!C$2),"")=0,"",IFERROR(INDEX(Consulta!$A:$DP,MATCH('MM01'!$B85,Consulta!$C:$C,0),'MM01'!C$2),""))</f>
        <v/>
      </c>
      <c r="D85" s="43" t="str">
        <f>IF(IFERROR(INDEX(Consulta!$A:$DP,MATCH('MM01'!$B85,Consulta!$C:$C,0),'MM01'!D$2),"")=0,"",IFERROR(INDEX(Consulta!$A:$DP,MATCH('MM01'!$B85,Consulta!$C:$C,0),'MM01'!D$2),""))</f>
        <v/>
      </c>
      <c r="E85" s="43" t="str">
        <f>IF(IFERROR(INDEX(Consulta!$A:$DP,MATCH('MM01'!$B85,Consulta!$C:$C,0),'MM01'!E$2),"")=0,"",IFERROR(INDEX(Consulta!$A:$DP,MATCH('MM01'!$B85,Consulta!$C:$C,0),'MM01'!E$2),""))</f>
        <v/>
      </c>
      <c r="F85" s="44" t="s">
        <v>100</v>
      </c>
      <c r="G85" s="49" t="str">
        <f>IF(IFERROR(INDEX(Consulta!$A:$DP,MATCH('MM01'!$B85,Consulta!$C:$C,0),'MM01'!G$2),"")=0,"",IFERROR(INDEX(Consulta!$A:$DP,MATCH('MM01'!$B85,Consulta!$C:$C,0),'MM01'!G$2),""))</f>
        <v/>
      </c>
      <c r="H85" s="49" t="str">
        <f>IF(IFERROR(INDEX(Consulta!$A:$DP,MATCH('MM01'!$B85,Consulta!$C:$C,0),'MM01'!H$2),"")=0,"",IFERROR(INDEX(Consulta!$A:$DP,MATCH('MM01'!$B85,Consulta!$C:$C,0),'MM01'!H$2),""))</f>
        <v/>
      </c>
      <c r="I85" s="49" t="str">
        <f t="shared" si="41"/>
        <v/>
      </c>
      <c r="J85" s="49" t="str">
        <f>IF(IFERROR(INDEX(Consulta!$A:$DP,MATCH('MM01'!$B85,Consulta!$C:$C,0),'MM01'!J$2),"")=0,"",IFERROR(INDEX(Consulta!$A:$DP,MATCH('MM01'!$B85,Consulta!$C:$C,0),'MM01'!J$2),""))</f>
        <v/>
      </c>
      <c r="K85" s="49" t="str">
        <f t="shared" si="42"/>
        <v/>
      </c>
      <c r="M85" s="45" t="s">
        <v>101</v>
      </c>
      <c r="N85" s="45" t="s">
        <v>102</v>
      </c>
      <c r="O85" s="45" t="s">
        <v>103</v>
      </c>
      <c r="P85" s="45" t="s">
        <v>104</v>
      </c>
      <c r="Q85" s="45" t="s">
        <v>105</v>
      </c>
      <c r="R85" s="45" t="s">
        <v>106</v>
      </c>
      <c r="S85" s="45" t="s">
        <v>107</v>
      </c>
      <c r="T85" s="45"/>
      <c r="U85" s="45"/>
      <c r="V85" s="45"/>
      <c r="W85" s="45"/>
      <c r="X85" s="45" t="s">
        <v>112</v>
      </c>
      <c r="Y85" s="45" t="s">
        <v>113</v>
      </c>
      <c r="Z85" s="45" t="s">
        <v>114</v>
      </c>
      <c r="AA85" s="45" t="s">
        <v>115</v>
      </c>
      <c r="AB85" s="45" t="s">
        <v>117</v>
      </c>
      <c r="AC85" s="45" t="s">
        <v>118</v>
      </c>
      <c r="AD85" s="45" t="s">
        <v>119</v>
      </c>
      <c r="AE85" s="45" t="s">
        <v>120</v>
      </c>
      <c r="AF85" s="45" t="s">
        <v>121</v>
      </c>
      <c r="AG85" s="45" t="s">
        <v>122</v>
      </c>
      <c r="AH85" s="45" t="s">
        <v>123</v>
      </c>
      <c r="AI85" s="45" t="s">
        <v>124</v>
      </c>
      <c r="AJ85" s="45" t="s">
        <v>125</v>
      </c>
      <c r="AK85" s="45" t="s">
        <v>126</v>
      </c>
      <c r="AL85" s="45"/>
      <c r="AM85" s="45"/>
      <c r="AO85" s="44" t="s">
        <v>100</v>
      </c>
      <c r="AP85" s="43" t="str">
        <f>IF(IFERROR(INDEX(Consulta!$A:$DP,MATCH('MM01'!$B85,Consulta!$C:$C,0),'MM01'!AP$2),"")=0,"",IFERROR(INDEX(Consulta!$A:$DP,MATCH('MM01'!$B85,Consulta!$C:$C,0),'MM01'!AP$2),""))</f>
        <v/>
      </c>
      <c r="AQ85" s="45"/>
      <c r="AR85" s="43" t="str">
        <f>IF(IFERROR(INDEX(Consulta!$A:$DP,MATCH('MM01'!$B85,Consulta!$C:$C,0),'MM01'!AR$2),"")=0,"",IFERROR(INDEX(Consulta!$A:$DP,MATCH('MM01'!$B85,Consulta!$C:$C,0),'MM01'!AR$2),""))</f>
        <v/>
      </c>
      <c r="AS85" s="43" t="str">
        <f>IF(IFERROR(INDEX(Consulta!$A:$DP,MATCH('MM01'!$B85,Consulta!$C:$C,0),'MM01'!AS$2),"")=0,"",IF(AR85="68",5102,IFERROR(INDEX(Consulta!$A:$DP,MATCH('MM01'!$B85,Consulta!$C:$C,0),'MM01'!AS$2),"")))</f>
        <v/>
      </c>
      <c r="AT85" s="45"/>
      <c r="AU85" s="46" t="str">
        <f t="shared" ca="1" si="43"/>
        <v/>
      </c>
      <c r="AV85" s="47" t="s">
        <v>795</v>
      </c>
      <c r="AW85" s="43" t="str">
        <f>IF(IFERROR(INDEX(Consulta!$A:$DP,MATCH('MM01'!$B85,Consulta!$C:$C,0),'MM01'!AW$2),"")=0,"",IFERROR(ROUND(INDEX(Consulta!$A:$DP,MATCH('MM01'!$B85,Consulta!$C:$C,0),'MM01'!AW$2),3),""))</f>
        <v/>
      </c>
      <c r="AX85" s="43" t="str">
        <f t="shared" si="44"/>
        <v/>
      </c>
      <c r="AY85" s="48" t="s">
        <v>299</v>
      </c>
      <c r="AZ85" s="48"/>
      <c r="BA85" s="43" t="str">
        <f>IF(IFERROR(INDEX(Consulta!$A:$DP,MATCH('MM01'!$B85,Consulta!$C:$C,0),'MM01'!BA$2),"")=0,"",IFERROR(INDEX(Consulta!$A:$DP,MATCH('MM01'!$B85,Consulta!$C:$C,0),'MM01'!BA$2),""))</f>
        <v/>
      </c>
      <c r="BB85" s="43" t="str">
        <f t="shared" si="45"/>
        <v/>
      </c>
      <c r="BC85" s="43" t="str">
        <f t="shared" si="46"/>
        <v/>
      </c>
      <c r="BD85" s="43" t="str">
        <f t="shared" si="47"/>
        <v/>
      </c>
      <c r="BE85" s="43" t="str">
        <f t="shared" si="48"/>
        <v>M</v>
      </c>
      <c r="BF85" s="43" t="str">
        <f t="shared" si="49"/>
        <v/>
      </c>
      <c r="BG85" s="43" t="str">
        <f t="shared" si="50"/>
        <v/>
      </c>
      <c r="BH85" s="43" t="str">
        <f t="shared" si="51"/>
        <v/>
      </c>
      <c r="BI85" s="43" t="str">
        <f t="shared" si="52"/>
        <v>M</v>
      </c>
      <c r="BK85" s="45" t="s">
        <v>324</v>
      </c>
      <c r="BL85" s="43" t="str">
        <f>IF(IFERROR(INDEX(Consulta!$A:$DP,MATCH('MM01'!$B85,Consulta!$C:$C,0),'MM01'!BL$2),"")=0,"",IFERROR(INDEX(Consulta!$A:$DP,MATCH('MM01'!$B85,Consulta!$C:$C,0),'MM01'!BL$2),""))</f>
        <v/>
      </c>
      <c r="BM85" s="45"/>
      <c r="BN85" s="46" t="str">
        <f t="shared" ca="1" si="53"/>
        <v/>
      </c>
      <c r="BO85" s="49" t="str">
        <f t="shared" si="54"/>
        <v/>
      </c>
      <c r="BP85" s="50">
        <v>1</v>
      </c>
      <c r="BQ85" s="50" t="s">
        <v>194</v>
      </c>
      <c r="BR85" s="79" t="str">
        <f t="shared" si="81"/>
        <v>01</v>
      </c>
      <c r="BS85" s="50" t="s">
        <v>795</v>
      </c>
      <c r="BT85" s="44">
        <v>1</v>
      </c>
      <c r="BU85" s="44" t="s">
        <v>371</v>
      </c>
      <c r="BV85" s="50" t="s">
        <v>197</v>
      </c>
      <c r="BW85" s="50" t="s">
        <v>197</v>
      </c>
      <c r="BX85" s="43" t="str">
        <f>IF(IFERROR(INDEX(Consulta!$A:$DP,MATCH('MM01'!$B85,Consulta!$C:$C,0),'MM01'!BX$2),"")=0,"",IFERROR(INDEX(Consulta!$A:$DP,MATCH('MM01'!$B85,Consulta!$C:$C,0),'MM01'!BX$2),""))</f>
        <v/>
      </c>
      <c r="BY85" s="44" t="s">
        <v>391</v>
      </c>
      <c r="BZ85" s="50">
        <v>0</v>
      </c>
      <c r="CA85" s="45" t="s">
        <v>402</v>
      </c>
      <c r="CB85" s="45" t="s">
        <v>84</v>
      </c>
      <c r="CC85" s="43" t="str">
        <f t="shared" si="55"/>
        <v/>
      </c>
      <c r="CD85" s="45" t="s">
        <v>38</v>
      </c>
      <c r="CE85" s="45">
        <v>1</v>
      </c>
      <c r="CF85" s="45" t="s">
        <v>495</v>
      </c>
      <c r="CG85" s="45"/>
      <c r="CH85" s="44">
        <v>2</v>
      </c>
      <c r="CI85" s="49" t="str">
        <f t="shared" si="56"/>
        <v/>
      </c>
      <c r="CJ85" s="49" t="str">
        <f t="shared" si="57"/>
        <v/>
      </c>
      <c r="CK85" s="45"/>
      <c r="CL85" s="44">
        <v>1</v>
      </c>
      <c r="CM85" s="50" t="s">
        <v>514</v>
      </c>
      <c r="CN85" s="44" t="s">
        <v>371</v>
      </c>
      <c r="CO85" s="44">
        <v>2</v>
      </c>
      <c r="CP85" s="44">
        <v>42</v>
      </c>
      <c r="CQ85" s="44">
        <v>10</v>
      </c>
      <c r="CR85" s="43" t="str">
        <f t="shared" si="58"/>
        <v>K00_P_</v>
      </c>
      <c r="CS85" s="45">
        <v>5000</v>
      </c>
      <c r="CT85" s="43" t="str">
        <f>IF(IFERROR(INDEX(Consulta!$A:$DP,MATCH('MM01'!$B85,Consulta!$C:$C,0),'MM01'!CT$2),"")=0,"",IFERROR(INDEX(Consulta!$A:$DP,MATCH('MM01'!$B85,Consulta!$C:$C,0),'MM01'!CT$2),""))</f>
        <v/>
      </c>
      <c r="CU85" s="43" t="str">
        <f>IF(IFERROR(INDEX(Consulta!$A:$DP,MATCH('MM01'!$B85,Consulta!$C:$C,0),'MM01'!CU$2),"")=0,"",IFERROR(INDEX(Consulta!$A:$DP,MATCH('MM01'!$B85,Consulta!$C:$C,0),'MM01'!CU$2),""))</f>
        <v/>
      </c>
      <c r="CV85" s="43" t="str">
        <f>IF(IFERROR(INDEX(Consulta!$A:$DP,MATCH('MM01'!$B85,Consulta!$C:$C,0),'MM01'!CV$2),"")=0,"",IFERROR(INDEX(Consulta!$A:$DP,MATCH('MM01'!$B85,Consulta!$C:$C,0),'MM01'!CV$2),""))</f>
        <v/>
      </c>
      <c r="CW85" s="43" t="str">
        <f>IF(IFERROR(INDEX(Consulta!$A:$DP,MATCH('MM01'!$B85,Consulta!$C:$C,0),'MM01'!CW$2),"")=0,"",IFERROR(INDEX(Consulta!$A:$DP,MATCH('MM01'!$B85,Consulta!$C:$C,0),'MM01'!CW$2),""))</f>
        <v/>
      </c>
      <c r="CX85" s="43" t="str">
        <f t="shared" si="59"/>
        <v/>
      </c>
      <c r="CY85" s="43" t="str">
        <f t="shared" si="60"/>
        <v/>
      </c>
      <c r="CZ85" s="43" t="str">
        <f t="shared" si="61"/>
        <v/>
      </c>
      <c r="DA85" s="43" t="str">
        <f>IF(IFERROR(INDEX(Consulta!$A:$DP,MATCH('MM01'!$B85,Consulta!$C:$C,0),'MM01'!DA$2),"")=0,"",IFERROR(INDEX(Consulta!$A:$DP,MATCH('MM01'!$B85,Consulta!$C:$C,0),'MM01'!DA$2),""))</f>
        <v/>
      </c>
      <c r="DB85" s="43" t="str">
        <f t="shared" si="62"/>
        <v/>
      </c>
      <c r="DC85" s="43" t="str">
        <f>IF(IFERROR(INDEX(Consulta!$A:$DP,MATCH('MM01'!$B85,Consulta!$C:$C,0),'MM01'!DC$2),"")=0,"",IFERROR(INDEX(Consulta!$A:$DP,MATCH('MM01'!$B85,Consulta!$C:$C,0),'MM01'!DC$2),""))</f>
        <v/>
      </c>
      <c r="DD85" s="45">
        <v>0</v>
      </c>
      <c r="DE85" s="45">
        <v>0</v>
      </c>
      <c r="DF85" s="43" t="str">
        <f t="shared" si="63"/>
        <v/>
      </c>
      <c r="DG85" s="43" t="str">
        <f t="shared" si="64"/>
        <v/>
      </c>
      <c r="DH85" s="57"/>
      <c r="DI85" s="43" t="str">
        <f t="shared" ca="1" si="65"/>
        <v/>
      </c>
      <c r="DJ85" s="43" t="str">
        <f t="shared" si="66"/>
        <v/>
      </c>
      <c r="DK85" s="43" t="str">
        <f t="shared" si="67"/>
        <v/>
      </c>
      <c r="DL85" s="57"/>
      <c r="DM85" s="43" t="str">
        <f t="shared" ca="1" si="68"/>
        <v/>
      </c>
      <c r="DN85" s="43" t="str">
        <f t="shared" si="69"/>
        <v/>
      </c>
      <c r="DO85" s="43" t="str">
        <f t="shared" si="70"/>
        <v/>
      </c>
      <c r="DP85" s="57"/>
      <c r="DQ85" s="43" t="str">
        <f t="shared" ca="1" si="71"/>
        <v/>
      </c>
      <c r="DR85" s="43" t="str">
        <f t="shared" si="72"/>
        <v/>
      </c>
      <c r="DS85" s="43" t="str">
        <f t="shared" si="73"/>
        <v/>
      </c>
      <c r="DT85" s="57"/>
      <c r="DU85" s="43" t="str">
        <f t="shared" ca="1" si="74"/>
        <v/>
      </c>
      <c r="DV85" s="43" t="str">
        <f t="shared" si="75"/>
        <v/>
      </c>
      <c r="DX85" s="44">
        <v>1</v>
      </c>
      <c r="DY85" s="44" t="s">
        <v>773</v>
      </c>
      <c r="DZ85" s="43">
        <f t="shared" si="76"/>
        <v>0.01</v>
      </c>
      <c r="EA85" s="43" t="str">
        <f t="shared" si="77"/>
        <v>M</v>
      </c>
      <c r="EB85" s="43" t="str">
        <f>IF(IFERROR(INDEX(Consulta!$A:$DP,MATCH('MM01'!$B85,Consulta!$C:$C,0),'MM01'!EB$2),"")=0,"7925",IF(IFERROR(INDEX(Consulta!$A:$DP,MATCH('MM01'!$B85,Consulta!$C:$C,0),'MM01'!EB$2),"")="68","7910","7925"))</f>
        <v>7925</v>
      </c>
      <c r="EC85" s="44">
        <v>100</v>
      </c>
      <c r="ED85" s="62">
        <v>1</v>
      </c>
      <c r="EE85" s="43">
        <f t="shared" si="78"/>
        <v>100</v>
      </c>
      <c r="EF85" s="44">
        <v>1</v>
      </c>
      <c r="EG85" s="44">
        <v>0</v>
      </c>
      <c r="EH85" s="44" t="s">
        <v>875</v>
      </c>
      <c r="EI85" s="45">
        <v>0</v>
      </c>
      <c r="EJ85" s="43">
        <f t="shared" si="79"/>
        <v>5000</v>
      </c>
      <c r="EK85" s="69"/>
    </row>
    <row r="86" spans="1:141" x14ac:dyDescent="0.2">
      <c r="A86" s="7" t="str">
        <f t="shared" si="80"/>
        <v>Execução 82</v>
      </c>
      <c r="B86" s="42"/>
      <c r="C86" s="43" t="str">
        <f>IF(IFERROR(INDEX(Consulta!$A:$DP,MATCH('MM01'!$B86,Consulta!$C:$C,0),'MM01'!C$2),"")=0,"",IFERROR(INDEX(Consulta!$A:$DP,MATCH('MM01'!$B86,Consulta!$C:$C,0),'MM01'!C$2),""))</f>
        <v/>
      </c>
      <c r="D86" s="43" t="str">
        <f>IF(IFERROR(INDEX(Consulta!$A:$DP,MATCH('MM01'!$B86,Consulta!$C:$C,0),'MM01'!D$2),"")=0,"",IFERROR(INDEX(Consulta!$A:$DP,MATCH('MM01'!$B86,Consulta!$C:$C,0),'MM01'!D$2),""))</f>
        <v/>
      </c>
      <c r="E86" s="43" t="str">
        <f>IF(IFERROR(INDEX(Consulta!$A:$DP,MATCH('MM01'!$B86,Consulta!$C:$C,0),'MM01'!E$2),"")=0,"",IFERROR(INDEX(Consulta!$A:$DP,MATCH('MM01'!$B86,Consulta!$C:$C,0),'MM01'!E$2),""))</f>
        <v/>
      </c>
      <c r="F86" s="44" t="s">
        <v>100</v>
      </c>
      <c r="G86" s="49" t="str">
        <f>IF(IFERROR(INDEX(Consulta!$A:$DP,MATCH('MM01'!$B86,Consulta!$C:$C,0),'MM01'!G$2),"")=0,"",IFERROR(INDEX(Consulta!$A:$DP,MATCH('MM01'!$B86,Consulta!$C:$C,0),'MM01'!G$2),""))</f>
        <v/>
      </c>
      <c r="H86" s="49" t="str">
        <f>IF(IFERROR(INDEX(Consulta!$A:$DP,MATCH('MM01'!$B86,Consulta!$C:$C,0),'MM01'!H$2),"")=0,"",IFERROR(INDEX(Consulta!$A:$DP,MATCH('MM01'!$B86,Consulta!$C:$C,0),'MM01'!H$2),""))</f>
        <v/>
      </c>
      <c r="I86" s="49" t="str">
        <f t="shared" si="41"/>
        <v/>
      </c>
      <c r="J86" s="49" t="str">
        <f>IF(IFERROR(INDEX(Consulta!$A:$DP,MATCH('MM01'!$B86,Consulta!$C:$C,0),'MM01'!J$2),"")=0,"",IFERROR(INDEX(Consulta!$A:$DP,MATCH('MM01'!$B86,Consulta!$C:$C,0),'MM01'!J$2),""))</f>
        <v/>
      </c>
      <c r="K86" s="49" t="str">
        <f t="shared" si="42"/>
        <v/>
      </c>
      <c r="M86" s="45" t="s">
        <v>101</v>
      </c>
      <c r="N86" s="45" t="s">
        <v>102</v>
      </c>
      <c r="O86" s="45" t="s">
        <v>103</v>
      </c>
      <c r="P86" s="45" t="s">
        <v>104</v>
      </c>
      <c r="Q86" s="45" t="s">
        <v>105</v>
      </c>
      <c r="R86" s="45" t="s">
        <v>106</v>
      </c>
      <c r="S86" s="45" t="s">
        <v>107</v>
      </c>
      <c r="T86" s="45"/>
      <c r="U86" s="45"/>
      <c r="V86" s="45"/>
      <c r="W86" s="45"/>
      <c r="X86" s="45" t="s">
        <v>112</v>
      </c>
      <c r="Y86" s="45" t="s">
        <v>113</v>
      </c>
      <c r="Z86" s="45" t="s">
        <v>114</v>
      </c>
      <c r="AA86" s="45" t="s">
        <v>115</v>
      </c>
      <c r="AB86" s="45" t="s">
        <v>117</v>
      </c>
      <c r="AC86" s="45" t="s">
        <v>118</v>
      </c>
      <c r="AD86" s="45" t="s">
        <v>119</v>
      </c>
      <c r="AE86" s="45" t="s">
        <v>120</v>
      </c>
      <c r="AF86" s="45" t="s">
        <v>121</v>
      </c>
      <c r="AG86" s="45" t="s">
        <v>122</v>
      </c>
      <c r="AH86" s="45" t="s">
        <v>123</v>
      </c>
      <c r="AI86" s="45" t="s">
        <v>124</v>
      </c>
      <c r="AJ86" s="45" t="s">
        <v>125</v>
      </c>
      <c r="AK86" s="45" t="s">
        <v>126</v>
      </c>
      <c r="AL86" s="45"/>
      <c r="AM86" s="45"/>
      <c r="AO86" s="44" t="s">
        <v>100</v>
      </c>
      <c r="AP86" s="43" t="str">
        <f>IF(IFERROR(INDEX(Consulta!$A:$DP,MATCH('MM01'!$B86,Consulta!$C:$C,0),'MM01'!AP$2),"")=0,"",IFERROR(INDEX(Consulta!$A:$DP,MATCH('MM01'!$B86,Consulta!$C:$C,0),'MM01'!AP$2),""))</f>
        <v/>
      </c>
      <c r="AQ86" s="45"/>
      <c r="AR86" s="43" t="str">
        <f>IF(IFERROR(INDEX(Consulta!$A:$DP,MATCH('MM01'!$B86,Consulta!$C:$C,0),'MM01'!AR$2),"")=0,"",IFERROR(INDEX(Consulta!$A:$DP,MATCH('MM01'!$B86,Consulta!$C:$C,0),'MM01'!AR$2),""))</f>
        <v/>
      </c>
      <c r="AS86" s="43" t="str">
        <f>IF(IFERROR(INDEX(Consulta!$A:$DP,MATCH('MM01'!$B86,Consulta!$C:$C,0),'MM01'!AS$2),"")=0,"",IF(AR86="68",5102,IFERROR(INDEX(Consulta!$A:$DP,MATCH('MM01'!$B86,Consulta!$C:$C,0),'MM01'!AS$2),"")))</f>
        <v/>
      </c>
      <c r="AT86" s="45"/>
      <c r="AU86" s="46" t="str">
        <f t="shared" ca="1" si="43"/>
        <v/>
      </c>
      <c r="AV86" s="47" t="s">
        <v>795</v>
      </c>
      <c r="AW86" s="43" t="str">
        <f>IF(IFERROR(INDEX(Consulta!$A:$DP,MATCH('MM01'!$B86,Consulta!$C:$C,0),'MM01'!AW$2),"")=0,"",IFERROR(ROUND(INDEX(Consulta!$A:$DP,MATCH('MM01'!$B86,Consulta!$C:$C,0),'MM01'!AW$2),3),""))</f>
        <v/>
      </c>
      <c r="AX86" s="43" t="str">
        <f t="shared" si="44"/>
        <v/>
      </c>
      <c r="AY86" s="48" t="s">
        <v>299</v>
      </c>
      <c r="AZ86" s="48"/>
      <c r="BA86" s="43" t="str">
        <f>IF(IFERROR(INDEX(Consulta!$A:$DP,MATCH('MM01'!$B86,Consulta!$C:$C,0),'MM01'!BA$2),"")=0,"",IFERROR(INDEX(Consulta!$A:$DP,MATCH('MM01'!$B86,Consulta!$C:$C,0),'MM01'!BA$2),""))</f>
        <v/>
      </c>
      <c r="BB86" s="43" t="str">
        <f t="shared" si="45"/>
        <v/>
      </c>
      <c r="BC86" s="43" t="str">
        <f t="shared" si="46"/>
        <v/>
      </c>
      <c r="BD86" s="43" t="str">
        <f t="shared" si="47"/>
        <v/>
      </c>
      <c r="BE86" s="43" t="str">
        <f t="shared" si="48"/>
        <v>M</v>
      </c>
      <c r="BF86" s="43" t="str">
        <f t="shared" si="49"/>
        <v/>
      </c>
      <c r="BG86" s="43" t="str">
        <f t="shared" si="50"/>
        <v/>
      </c>
      <c r="BH86" s="43" t="str">
        <f t="shared" si="51"/>
        <v/>
      </c>
      <c r="BI86" s="43" t="str">
        <f t="shared" si="52"/>
        <v>M</v>
      </c>
      <c r="BK86" s="45" t="s">
        <v>324</v>
      </c>
      <c r="BL86" s="43" t="str">
        <f>IF(IFERROR(INDEX(Consulta!$A:$DP,MATCH('MM01'!$B86,Consulta!$C:$C,0),'MM01'!BL$2),"")=0,"",IFERROR(INDEX(Consulta!$A:$DP,MATCH('MM01'!$B86,Consulta!$C:$C,0),'MM01'!BL$2),""))</f>
        <v/>
      </c>
      <c r="BM86" s="45"/>
      <c r="BN86" s="46" t="str">
        <f t="shared" ca="1" si="53"/>
        <v/>
      </c>
      <c r="BO86" s="49" t="str">
        <f t="shared" si="54"/>
        <v/>
      </c>
      <c r="BP86" s="50">
        <v>1</v>
      </c>
      <c r="BQ86" s="50" t="s">
        <v>194</v>
      </c>
      <c r="BR86" s="79" t="str">
        <f t="shared" si="81"/>
        <v>01</v>
      </c>
      <c r="BS86" s="50" t="s">
        <v>795</v>
      </c>
      <c r="BT86" s="44">
        <v>1</v>
      </c>
      <c r="BU86" s="44" t="s">
        <v>371</v>
      </c>
      <c r="BV86" s="50" t="s">
        <v>197</v>
      </c>
      <c r="BW86" s="50" t="s">
        <v>197</v>
      </c>
      <c r="BX86" s="43" t="str">
        <f>IF(IFERROR(INDEX(Consulta!$A:$DP,MATCH('MM01'!$B86,Consulta!$C:$C,0),'MM01'!BX$2),"")=0,"",IFERROR(INDEX(Consulta!$A:$DP,MATCH('MM01'!$B86,Consulta!$C:$C,0),'MM01'!BX$2),""))</f>
        <v/>
      </c>
      <c r="BY86" s="44" t="s">
        <v>391</v>
      </c>
      <c r="BZ86" s="50">
        <v>0</v>
      </c>
      <c r="CA86" s="45" t="s">
        <v>402</v>
      </c>
      <c r="CB86" s="45" t="s">
        <v>84</v>
      </c>
      <c r="CC86" s="43" t="str">
        <f t="shared" si="55"/>
        <v/>
      </c>
      <c r="CD86" s="45" t="s">
        <v>38</v>
      </c>
      <c r="CE86" s="45">
        <v>1</v>
      </c>
      <c r="CF86" s="45" t="s">
        <v>495</v>
      </c>
      <c r="CG86" s="45"/>
      <c r="CH86" s="44">
        <v>2</v>
      </c>
      <c r="CI86" s="49" t="str">
        <f t="shared" si="56"/>
        <v/>
      </c>
      <c r="CJ86" s="49" t="str">
        <f t="shared" si="57"/>
        <v/>
      </c>
      <c r="CK86" s="45"/>
      <c r="CL86" s="44">
        <v>1</v>
      </c>
      <c r="CM86" s="50" t="s">
        <v>514</v>
      </c>
      <c r="CN86" s="44" t="s">
        <v>371</v>
      </c>
      <c r="CO86" s="44">
        <v>2</v>
      </c>
      <c r="CP86" s="44">
        <v>42</v>
      </c>
      <c r="CQ86" s="44">
        <v>10</v>
      </c>
      <c r="CR86" s="43" t="str">
        <f t="shared" si="58"/>
        <v>K00_P_</v>
      </c>
      <c r="CS86" s="45">
        <v>5000</v>
      </c>
      <c r="CT86" s="43" t="str">
        <f>IF(IFERROR(INDEX(Consulta!$A:$DP,MATCH('MM01'!$B86,Consulta!$C:$C,0),'MM01'!CT$2),"")=0,"",IFERROR(INDEX(Consulta!$A:$DP,MATCH('MM01'!$B86,Consulta!$C:$C,0),'MM01'!CT$2),""))</f>
        <v/>
      </c>
      <c r="CU86" s="43" t="str">
        <f>IF(IFERROR(INDEX(Consulta!$A:$DP,MATCH('MM01'!$B86,Consulta!$C:$C,0),'MM01'!CU$2),"")=0,"",IFERROR(INDEX(Consulta!$A:$DP,MATCH('MM01'!$B86,Consulta!$C:$C,0),'MM01'!CU$2),""))</f>
        <v/>
      </c>
      <c r="CV86" s="43" t="str">
        <f>IF(IFERROR(INDEX(Consulta!$A:$DP,MATCH('MM01'!$B86,Consulta!$C:$C,0),'MM01'!CV$2),"")=0,"",IFERROR(INDEX(Consulta!$A:$DP,MATCH('MM01'!$B86,Consulta!$C:$C,0),'MM01'!CV$2),""))</f>
        <v/>
      </c>
      <c r="CW86" s="43" t="str">
        <f>IF(IFERROR(INDEX(Consulta!$A:$DP,MATCH('MM01'!$B86,Consulta!$C:$C,0),'MM01'!CW$2),"")=0,"",IFERROR(INDEX(Consulta!$A:$DP,MATCH('MM01'!$B86,Consulta!$C:$C,0),'MM01'!CW$2),""))</f>
        <v/>
      </c>
      <c r="CX86" s="43" t="str">
        <f t="shared" si="59"/>
        <v/>
      </c>
      <c r="CY86" s="43" t="str">
        <f t="shared" si="60"/>
        <v/>
      </c>
      <c r="CZ86" s="43" t="str">
        <f t="shared" si="61"/>
        <v/>
      </c>
      <c r="DA86" s="43" t="str">
        <f>IF(IFERROR(INDEX(Consulta!$A:$DP,MATCH('MM01'!$B86,Consulta!$C:$C,0),'MM01'!DA$2),"")=0,"",IFERROR(INDEX(Consulta!$A:$DP,MATCH('MM01'!$B86,Consulta!$C:$C,0),'MM01'!DA$2),""))</f>
        <v/>
      </c>
      <c r="DB86" s="43" t="str">
        <f t="shared" si="62"/>
        <v/>
      </c>
      <c r="DC86" s="43" t="str">
        <f>IF(IFERROR(INDEX(Consulta!$A:$DP,MATCH('MM01'!$B86,Consulta!$C:$C,0),'MM01'!DC$2),"")=0,"",IFERROR(INDEX(Consulta!$A:$DP,MATCH('MM01'!$B86,Consulta!$C:$C,0),'MM01'!DC$2),""))</f>
        <v/>
      </c>
      <c r="DD86" s="45">
        <v>0</v>
      </c>
      <c r="DE86" s="45">
        <v>0</v>
      </c>
      <c r="DF86" s="43" t="str">
        <f t="shared" si="63"/>
        <v/>
      </c>
      <c r="DG86" s="43" t="str">
        <f t="shared" si="64"/>
        <v/>
      </c>
      <c r="DH86" s="57"/>
      <c r="DI86" s="43" t="str">
        <f t="shared" ca="1" si="65"/>
        <v/>
      </c>
      <c r="DJ86" s="43" t="str">
        <f t="shared" si="66"/>
        <v/>
      </c>
      <c r="DK86" s="43" t="str">
        <f t="shared" si="67"/>
        <v/>
      </c>
      <c r="DL86" s="57"/>
      <c r="DM86" s="43" t="str">
        <f t="shared" ca="1" si="68"/>
        <v/>
      </c>
      <c r="DN86" s="43" t="str">
        <f t="shared" si="69"/>
        <v/>
      </c>
      <c r="DO86" s="43" t="str">
        <f t="shared" si="70"/>
        <v/>
      </c>
      <c r="DP86" s="57"/>
      <c r="DQ86" s="43" t="str">
        <f t="shared" ca="1" si="71"/>
        <v/>
      </c>
      <c r="DR86" s="43" t="str">
        <f t="shared" si="72"/>
        <v/>
      </c>
      <c r="DS86" s="43" t="str">
        <f t="shared" si="73"/>
        <v/>
      </c>
      <c r="DT86" s="57"/>
      <c r="DU86" s="43" t="str">
        <f t="shared" ca="1" si="74"/>
        <v/>
      </c>
      <c r="DV86" s="43" t="str">
        <f t="shared" si="75"/>
        <v/>
      </c>
      <c r="DX86" s="44">
        <v>1</v>
      </c>
      <c r="DY86" s="44" t="s">
        <v>773</v>
      </c>
      <c r="DZ86" s="43">
        <f t="shared" si="76"/>
        <v>0.01</v>
      </c>
      <c r="EA86" s="43" t="str">
        <f t="shared" si="77"/>
        <v>M</v>
      </c>
      <c r="EB86" s="43" t="str">
        <f>IF(IFERROR(INDEX(Consulta!$A:$DP,MATCH('MM01'!$B86,Consulta!$C:$C,0),'MM01'!EB$2),"")=0,"7925",IF(IFERROR(INDEX(Consulta!$A:$DP,MATCH('MM01'!$B86,Consulta!$C:$C,0),'MM01'!EB$2),"")="68","7910","7925"))</f>
        <v>7925</v>
      </c>
      <c r="EC86" s="44">
        <v>100</v>
      </c>
      <c r="ED86" s="62">
        <v>1</v>
      </c>
      <c r="EE86" s="43">
        <f t="shared" si="78"/>
        <v>100</v>
      </c>
      <c r="EF86" s="44">
        <v>1</v>
      </c>
      <c r="EG86" s="44">
        <v>0</v>
      </c>
      <c r="EH86" s="44" t="s">
        <v>875</v>
      </c>
      <c r="EI86" s="45">
        <v>0</v>
      </c>
      <c r="EJ86" s="43">
        <f t="shared" si="79"/>
        <v>5000</v>
      </c>
      <c r="EK86" s="69"/>
    </row>
    <row r="87" spans="1:141" x14ac:dyDescent="0.2">
      <c r="A87" s="7" t="str">
        <f t="shared" si="80"/>
        <v>Execução 83</v>
      </c>
      <c r="B87" s="42"/>
      <c r="C87" s="43" t="str">
        <f>IF(IFERROR(INDEX(Consulta!$A:$DP,MATCH('MM01'!$B87,Consulta!$C:$C,0),'MM01'!C$2),"")=0,"",IFERROR(INDEX(Consulta!$A:$DP,MATCH('MM01'!$B87,Consulta!$C:$C,0),'MM01'!C$2),""))</f>
        <v/>
      </c>
      <c r="D87" s="43" t="str">
        <f>IF(IFERROR(INDEX(Consulta!$A:$DP,MATCH('MM01'!$B87,Consulta!$C:$C,0),'MM01'!D$2),"")=0,"",IFERROR(INDEX(Consulta!$A:$DP,MATCH('MM01'!$B87,Consulta!$C:$C,0),'MM01'!D$2),""))</f>
        <v/>
      </c>
      <c r="E87" s="43" t="str">
        <f>IF(IFERROR(INDEX(Consulta!$A:$DP,MATCH('MM01'!$B87,Consulta!$C:$C,0),'MM01'!E$2),"")=0,"",IFERROR(INDEX(Consulta!$A:$DP,MATCH('MM01'!$B87,Consulta!$C:$C,0),'MM01'!E$2),""))</f>
        <v/>
      </c>
      <c r="F87" s="44" t="s">
        <v>100</v>
      </c>
      <c r="G87" s="49" t="str">
        <f>IF(IFERROR(INDEX(Consulta!$A:$DP,MATCH('MM01'!$B87,Consulta!$C:$C,0),'MM01'!G$2),"")=0,"",IFERROR(INDEX(Consulta!$A:$DP,MATCH('MM01'!$B87,Consulta!$C:$C,0),'MM01'!G$2),""))</f>
        <v/>
      </c>
      <c r="H87" s="49" t="str">
        <f>IF(IFERROR(INDEX(Consulta!$A:$DP,MATCH('MM01'!$B87,Consulta!$C:$C,0),'MM01'!H$2),"")=0,"",IFERROR(INDEX(Consulta!$A:$DP,MATCH('MM01'!$B87,Consulta!$C:$C,0),'MM01'!H$2),""))</f>
        <v/>
      </c>
      <c r="I87" s="49" t="str">
        <f t="shared" si="41"/>
        <v/>
      </c>
      <c r="J87" s="49" t="str">
        <f>IF(IFERROR(INDEX(Consulta!$A:$DP,MATCH('MM01'!$B87,Consulta!$C:$C,0),'MM01'!J$2),"")=0,"",IFERROR(INDEX(Consulta!$A:$DP,MATCH('MM01'!$B87,Consulta!$C:$C,0),'MM01'!J$2),""))</f>
        <v/>
      </c>
      <c r="K87" s="49" t="str">
        <f t="shared" si="42"/>
        <v/>
      </c>
      <c r="M87" s="45" t="s">
        <v>101</v>
      </c>
      <c r="N87" s="45" t="s">
        <v>102</v>
      </c>
      <c r="O87" s="45" t="s">
        <v>103</v>
      </c>
      <c r="P87" s="45" t="s">
        <v>104</v>
      </c>
      <c r="Q87" s="45" t="s">
        <v>105</v>
      </c>
      <c r="R87" s="45" t="s">
        <v>106</v>
      </c>
      <c r="S87" s="45" t="s">
        <v>107</v>
      </c>
      <c r="T87" s="45"/>
      <c r="U87" s="45"/>
      <c r="V87" s="45"/>
      <c r="W87" s="45"/>
      <c r="X87" s="45" t="s">
        <v>112</v>
      </c>
      <c r="Y87" s="45" t="s">
        <v>113</v>
      </c>
      <c r="Z87" s="45" t="s">
        <v>114</v>
      </c>
      <c r="AA87" s="45" t="s">
        <v>115</v>
      </c>
      <c r="AB87" s="45" t="s">
        <v>117</v>
      </c>
      <c r="AC87" s="45" t="s">
        <v>118</v>
      </c>
      <c r="AD87" s="45" t="s">
        <v>119</v>
      </c>
      <c r="AE87" s="45" t="s">
        <v>120</v>
      </c>
      <c r="AF87" s="45" t="s">
        <v>121</v>
      </c>
      <c r="AG87" s="45" t="s">
        <v>122</v>
      </c>
      <c r="AH87" s="45" t="s">
        <v>123</v>
      </c>
      <c r="AI87" s="45" t="s">
        <v>124</v>
      </c>
      <c r="AJ87" s="45" t="s">
        <v>125</v>
      </c>
      <c r="AK87" s="45" t="s">
        <v>126</v>
      </c>
      <c r="AL87" s="45"/>
      <c r="AM87" s="45"/>
      <c r="AO87" s="44" t="s">
        <v>100</v>
      </c>
      <c r="AP87" s="43" t="str">
        <f>IF(IFERROR(INDEX(Consulta!$A:$DP,MATCH('MM01'!$B87,Consulta!$C:$C,0),'MM01'!AP$2),"")=0,"",IFERROR(INDEX(Consulta!$A:$DP,MATCH('MM01'!$B87,Consulta!$C:$C,0),'MM01'!AP$2),""))</f>
        <v/>
      </c>
      <c r="AQ87" s="45"/>
      <c r="AR87" s="43" t="str">
        <f>IF(IFERROR(INDEX(Consulta!$A:$DP,MATCH('MM01'!$B87,Consulta!$C:$C,0),'MM01'!AR$2),"")=0,"",IFERROR(INDEX(Consulta!$A:$DP,MATCH('MM01'!$B87,Consulta!$C:$C,0),'MM01'!AR$2),""))</f>
        <v/>
      </c>
      <c r="AS87" s="43" t="str">
        <f>IF(IFERROR(INDEX(Consulta!$A:$DP,MATCH('MM01'!$B87,Consulta!$C:$C,0),'MM01'!AS$2),"")=0,"",IF(AR87="68",5102,IFERROR(INDEX(Consulta!$A:$DP,MATCH('MM01'!$B87,Consulta!$C:$C,0),'MM01'!AS$2),"")))</f>
        <v/>
      </c>
      <c r="AT87" s="45"/>
      <c r="AU87" s="46" t="str">
        <f t="shared" ca="1" si="43"/>
        <v/>
      </c>
      <c r="AV87" s="47" t="s">
        <v>795</v>
      </c>
      <c r="AW87" s="43" t="str">
        <f>IF(IFERROR(INDEX(Consulta!$A:$DP,MATCH('MM01'!$B87,Consulta!$C:$C,0),'MM01'!AW$2),"")=0,"",IFERROR(ROUND(INDEX(Consulta!$A:$DP,MATCH('MM01'!$B87,Consulta!$C:$C,0),'MM01'!AW$2),3),""))</f>
        <v/>
      </c>
      <c r="AX87" s="43" t="str">
        <f t="shared" si="44"/>
        <v/>
      </c>
      <c r="AY87" s="48" t="s">
        <v>299</v>
      </c>
      <c r="AZ87" s="48"/>
      <c r="BA87" s="43" t="str">
        <f>IF(IFERROR(INDEX(Consulta!$A:$DP,MATCH('MM01'!$B87,Consulta!$C:$C,0),'MM01'!BA$2),"")=0,"",IFERROR(INDEX(Consulta!$A:$DP,MATCH('MM01'!$B87,Consulta!$C:$C,0),'MM01'!BA$2),""))</f>
        <v/>
      </c>
      <c r="BB87" s="43" t="str">
        <f t="shared" si="45"/>
        <v/>
      </c>
      <c r="BC87" s="43" t="str">
        <f t="shared" si="46"/>
        <v/>
      </c>
      <c r="BD87" s="43" t="str">
        <f t="shared" si="47"/>
        <v/>
      </c>
      <c r="BE87" s="43" t="str">
        <f t="shared" si="48"/>
        <v>M</v>
      </c>
      <c r="BF87" s="43" t="str">
        <f t="shared" si="49"/>
        <v/>
      </c>
      <c r="BG87" s="43" t="str">
        <f t="shared" si="50"/>
        <v/>
      </c>
      <c r="BH87" s="43" t="str">
        <f t="shared" si="51"/>
        <v/>
      </c>
      <c r="BI87" s="43" t="str">
        <f t="shared" si="52"/>
        <v>M</v>
      </c>
      <c r="BK87" s="45" t="s">
        <v>324</v>
      </c>
      <c r="BL87" s="43" t="str">
        <f>IF(IFERROR(INDEX(Consulta!$A:$DP,MATCH('MM01'!$B87,Consulta!$C:$C,0),'MM01'!BL$2),"")=0,"",IFERROR(INDEX(Consulta!$A:$DP,MATCH('MM01'!$B87,Consulta!$C:$C,0),'MM01'!BL$2),""))</f>
        <v/>
      </c>
      <c r="BM87" s="45"/>
      <c r="BN87" s="46" t="str">
        <f t="shared" ca="1" si="53"/>
        <v/>
      </c>
      <c r="BO87" s="49" t="str">
        <f t="shared" si="54"/>
        <v/>
      </c>
      <c r="BP87" s="50">
        <v>1</v>
      </c>
      <c r="BQ87" s="50" t="s">
        <v>194</v>
      </c>
      <c r="BR87" s="79" t="str">
        <f t="shared" si="81"/>
        <v>01</v>
      </c>
      <c r="BS87" s="50" t="s">
        <v>795</v>
      </c>
      <c r="BT87" s="44">
        <v>1</v>
      </c>
      <c r="BU87" s="44" t="s">
        <v>371</v>
      </c>
      <c r="BV87" s="50" t="s">
        <v>197</v>
      </c>
      <c r="BW87" s="50" t="s">
        <v>197</v>
      </c>
      <c r="BX87" s="43" t="str">
        <f>IF(IFERROR(INDEX(Consulta!$A:$DP,MATCH('MM01'!$B87,Consulta!$C:$C,0),'MM01'!BX$2),"")=0,"",IFERROR(INDEX(Consulta!$A:$DP,MATCH('MM01'!$B87,Consulta!$C:$C,0),'MM01'!BX$2),""))</f>
        <v/>
      </c>
      <c r="BY87" s="44" t="s">
        <v>391</v>
      </c>
      <c r="BZ87" s="50">
        <v>0</v>
      </c>
      <c r="CA87" s="45" t="s">
        <v>402</v>
      </c>
      <c r="CB87" s="45" t="s">
        <v>84</v>
      </c>
      <c r="CC87" s="43" t="str">
        <f t="shared" si="55"/>
        <v/>
      </c>
      <c r="CD87" s="45" t="s">
        <v>38</v>
      </c>
      <c r="CE87" s="45">
        <v>1</v>
      </c>
      <c r="CF87" s="45" t="s">
        <v>495</v>
      </c>
      <c r="CG87" s="45"/>
      <c r="CH87" s="44">
        <v>2</v>
      </c>
      <c r="CI87" s="49" t="str">
        <f t="shared" si="56"/>
        <v/>
      </c>
      <c r="CJ87" s="49" t="str">
        <f t="shared" si="57"/>
        <v/>
      </c>
      <c r="CK87" s="45"/>
      <c r="CL87" s="44">
        <v>1</v>
      </c>
      <c r="CM87" s="50" t="s">
        <v>514</v>
      </c>
      <c r="CN87" s="44" t="s">
        <v>371</v>
      </c>
      <c r="CO87" s="44">
        <v>2</v>
      </c>
      <c r="CP87" s="44">
        <v>42</v>
      </c>
      <c r="CQ87" s="44">
        <v>10</v>
      </c>
      <c r="CR87" s="43" t="str">
        <f t="shared" si="58"/>
        <v>K00_P_</v>
      </c>
      <c r="CS87" s="45">
        <v>5000</v>
      </c>
      <c r="CT87" s="43" t="str">
        <f>IF(IFERROR(INDEX(Consulta!$A:$DP,MATCH('MM01'!$B87,Consulta!$C:$C,0),'MM01'!CT$2),"")=0,"",IFERROR(INDEX(Consulta!$A:$DP,MATCH('MM01'!$B87,Consulta!$C:$C,0),'MM01'!CT$2),""))</f>
        <v/>
      </c>
      <c r="CU87" s="43" t="str">
        <f>IF(IFERROR(INDEX(Consulta!$A:$DP,MATCH('MM01'!$B87,Consulta!$C:$C,0),'MM01'!CU$2),"")=0,"",IFERROR(INDEX(Consulta!$A:$DP,MATCH('MM01'!$B87,Consulta!$C:$C,0),'MM01'!CU$2),""))</f>
        <v/>
      </c>
      <c r="CV87" s="43" t="str">
        <f>IF(IFERROR(INDEX(Consulta!$A:$DP,MATCH('MM01'!$B87,Consulta!$C:$C,0),'MM01'!CV$2),"")=0,"",IFERROR(INDEX(Consulta!$A:$DP,MATCH('MM01'!$B87,Consulta!$C:$C,0),'MM01'!CV$2),""))</f>
        <v/>
      </c>
      <c r="CW87" s="43" t="str">
        <f>IF(IFERROR(INDEX(Consulta!$A:$DP,MATCH('MM01'!$B87,Consulta!$C:$C,0),'MM01'!CW$2),"")=0,"",IFERROR(INDEX(Consulta!$A:$DP,MATCH('MM01'!$B87,Consulta!$C:$C,0),'MM01'!CW$2),""))</f>
        <v/>
      </c>
      <c r="CX87" s="43" t="str">
        <f t="shared" si="59"/>
        <v/>
      </c>
      <c r="CY87" s="43" t="str">
        <f t="shared" si="60"/>
        <v/>
      </c>
      <c r="CZ87" s="43" t="str">
        <f t="shared" si="61"/>
        <v/>
      </c>
      <c r="DA87" s="43" t="str">
        <f>IF(IFERROR(INDEX(Consulta!$A:$DP,MATCH('MM01'!$B87,Consulta!$C:$C,0),'MM01'!DA$2),"")=0,"",IFERROR(INDEX(Consulta!$A:$DP,MATCH('MM01'!$B87,Consulta!$C:$C,0),'MM01'!DA$2),""))</f>
        <v/>
      </c>
      <c r="DB87" s="43" t="str">
        <f t="shared" si="62"/>
        <v/>
      </c>
      <c r="DC87" s="43" t="str">
        <f>IF(IFERROR(INDEX(Consulta!$A:$DP,MATCH('MM01'!$B87,Consulta!$C:$C,0),'MM01'!DC$2),"")=0,"",IFERROR(INDEX(Consulta!$A:$DP,MATCH('MM01'!$B87,Consulta!$C:$C,0),'MM01'!DC$2),""))</f>
        <v/>
      </c>
      <c r="DD87" s="45">
        <v>0</v>
      </c>
      <c r="DE87" s="45">
        <v>0</v>
      </c>
      <c r="DF87" s="43" t="str">
        <f t="shared" si="63"/>
        <v/>
      </c>
      <c r="DG87" s="43" t="str">
        <f t="shared" si="64"/>
        <v/>
      </c>
      <c r="DH87" s="57"/>
      <c r="DI87" s="43" t="str">
        <f t="shared" ca="1" si="65"/>
        <v/>
      </c>
      <c r="DJ87" s="43" t="str">
        <f t="shared" si="66"/>
        <v/>
      </c>
      <c r="DK87" s="43" t="str">
        <f t="shared" si="67"/>
        <v/>
      </c>
      <c r="DL87" s="57"/>
      <c r="DM87" s="43" t="str">
        <f t="shared" ca="1" si="68"/>
        <v/>
      </c>
      <c r="DN87" s="43" t="str">
        <f t="shared" si="69"/>
        <v/>
      </c>
      <c r="DO87" s="43" t="str">
        <f t="shared" si="70"/>
        <v/>
      </c>
      <c r="DP87" s="57"/>
      <c r="DQ87" s="43" t="str">
        <f t="shared" ca="1" si="71"/>
        <v/>
      </c>
      <c r="DR87" s="43" t="str">
        <f t="shared" si="72"/>
        <v/>
      </c>
      <c r="DS87" s="43" t="str">
        <f t="shared" si="73"/>
        <v/>
      </c>
      <c r="DT87" s="57"/>
      <c r="DU87" s="43" t="str">
        <f t="shared" ca="1" si="74"/>
        <v/>
      </c>
      <c r="DV87" s="43" t="str">
        <f t="shared" si="75"/>
        <v/>
      </c>
      <c r="DX87" s="44">
        <v>1</v>
      </c>
      <c r="DY87" s="44" t="s">
        <v>773</v>
      </c>
      <c r="DZ87" s="43">
        <f t="shared" si="76"/>
        <v>0.01</v>
      </c>
      <c r="EA87" s="43" t="str">
        <f t="shared" si="77"/>
        <v>M</v>
      </c>
      <c r="EB87" s="43" t="str">
        <f>IF(IFERROR(INDEX(Consulta!$A:$DP,MATCH('MM01'!$B87,Consulta!$C:$C,0),'MM01'!EB$2),"")=0,"7925",IF(IFERROR(INDEX(Consulta!$A:$DP,MATCH('MM01'!$B87,Consulta!$C:$C,0),'MM01'!EB$2),"")="68","7910","7925"))</f>
        <v>7925</v>
      </c>
      <c r="EC87" s="44">
        <v>100</v>
      </c>
      <c r="ED87" s="62">
        <v>1</v>
      </c>
      <c r="EE87" s="43">
        <f t="shared" si="78"/>
        <v>100</v>
      </c>
      <c r="EF87" s="44">
        <v>1</v>
      </c>
      <c r="EG87" s="44">
        <v>0</v>
      </c>
      <c r="EH87" s="44" t="s">
        <v>875</v>
      </c>
      <c r="EI87" s="45">
        <v>0</v>
      </c>
      <c r="EJ87" s="43">
        <f t="shared" si="79"/>
        <v>5000</v>
      </c>
      <c r="EK87" s="69"/>
    </row>
    <row r="88" spans="1:141" x14ac:dyDescent="0.2">
      <c r="A88" s="7" t="str">
        <f t="shared" si="80"/>
        <v>Execução 84</v>
      </c>
      <c r="B88" s="42"/>
      <c r="C88" s="43" t="str">
        <f>IF(IFERROR(INDEX(Consulta!$A:$DP,MATCH('MM01'!$B88,Consulta!$C:$C,0),'MM01'!C$2),"")=0,"",IFERROR(INDEX(Consulta!$A:$DP,MATCH('MM01'!$B88,Consulta!$C:$C,0),'MM01'!C$2),""))</f>
        <v/>
      </c>
      <c r="D88" s="43" t="str">
        <f>IF(IFERROR(INDEX(Consulta!$A:$DP,MATCH('MM01'!$B88,Consulta!$C:$C,0),'MM01'!D$2),"")=0,"",IFERROR(INDEX(Consulta!$A:$DP,MATCH('MM01'!$B88,Consulta!$C:$C,0),'MM01'!D$2),""))</f>
        <v/>
      </c>
      <c r="E88" s="43" t="str">
        <f>IF(IFERROR(INDEX(Consulta!$A:$DP,MATCH('MM01'!$B88,Consulta!$C:$C,0),'MM01'!E$2),"")=0,"",IFERROR(INDEX(Consulta!$A:$DP,MATCH('MM01'!$B88,Consulta!$C:$C,0),'MM01'!E$2),""))</f>
        <v/>
      </c>
      <c r="F88" s="44" t="s">
        <v>100</v>
      </c>
      <c r="G88" s="49" t="str">
        <f>IF(IFERROR(INDEX(Consulta!$A:$DP,MATCH('MM01'!$B88,Consulta!$C:$C,0),'MM01'!G$2),"")=0,"",IFERROR(INDEX(Consulta!$A:$DP,MATCH('MM01'!$B88,Consulta!$C:$C,0),'MM01'!G$2),""))</f>
        <v/>
      </c>
      <c r="H88" s="49" t="str">
        <f>IF(IFERROR(INDEX(Consulta!$A:$DP,MATCH('MM01'!$B88,Consulta!$C:$C,0),'MM01'!H$2),"")=0,"",IFERROR(INDEX(Consulta!$A:$DP,MATCH('MM01'!$B88,Consulta!$C:$C,0),'MM01'!H$2),""))</f>
        <v/>
      </c>
      <c r="I88" s="49" t="str">
        <f t="shared" si="41"/>
        <v/>
      </c>
      <c r="J88" s="49" t="str">
        <f>IF(IFERROR(INDEX(Consulta!$A:$DP,MATCH('MM01'!$B88,Consulta!$C:$C,0),'MM01'!J$2),"")=0,"",IFERROR(INDEX(Consulta!$A:$DP,MATCH('MM01'!$B88,Consulta!$C:$C,0),'MM01'!J$2),""))</f>
        <v/>
      </c>
      <c r="K88" s="49" t="str">
        <f t="shared" si="42"/>
        <v/>
      </c>
      <c r="M88" s="45" t="s">
        <v>101</v>
      </c>
      <c r="N88" s="45" t="s">
        <v>102</v>
      </c>
      <c r="O88" s="45" t="s">
        <v>103</v>
      </c>
      <c r="P88" s="45" t="s">
        <v>104</v>
      </c>
      <c r="Q88" s="45" t="s">
        <v>105</v>
      </c>
      <c r="R88" s="45" t="s">
        <v>106</v>
      </c>
      <c r="S88" s="45" t="s">
        <v>107</v>
      </c>
      <c r="T88" s="45"/>
      <c r="U88" s="45"/>
      <c r="V88" s="45"/>
      <c r="W88" s="45"/>
      <c r="X88" s="45" t="s">
        <v>112</v>
      </c>
      <c r="Y88" s="45" t="s">
        <v>113</v>
      </c>
      <c r="Z88" s="45" t="s">
        <v>114</v>
      </c>
      <c r="AA88" s="45" t="s">
        <v>115</v>
      </c>
      <c r="AB88" s="45" t="s">
        <v>117</v>
      </c>
      <c r="AC88" s="45" t="s">
        <v>118</v>
      </c>
      <c r="AD88" s="45" t="s">
        <v>119</v>
      </c>
      <c r="AE88" s="45" t="s">
        <v>120</v>
      </c>
      <c r="AF88" s="45" t="s">
        <v>121</v>
      </c>
      <c r="AG88" s="45" t="s">
        <v>122</v>
      </c>
      <c r="AH88" s="45" t="s">
        <v>123</v>
      </c>
      <c r="AI88" s="45" t="s">
        <v>124</v>
      </c>
      <c r="AJ88" s="45" t="s">
        <v>125</v>
      </c>
      <c r="AK88" s="45" t="s">
        <v>126</v>
      </c>
      <c r="AL88" s="45"/>
      <c r="AM88" s="45"/>
      <c r="AO88" s="44" t="s">
        <v>100</v>
      </c>
      <c r="AP88" s="43" t="str">
        <f>IF(IFERROR(INDEX(Consulta!$A:$DP,MATCH('MM01'!$B88,Consulta!$C:$C,0),'MM01'!AP$2),"")=0,"",IFERROR(INDEX(Consulta!$A:$DP,MATCH('MM01'!$B88,Consulta!$C:$C,0),'MM01'!AP$2),""))</f>
        <v/>
      </c>
      <c r="AQ88" s="45"/>
      <c r="AR88" s="43" t="str">
        <f>IF(IFERROR(INDEX(Consulta!$A:$DP,MATCH('MM01'!$B88,Consulta!$C:$C,0),'MM01'!AR$2),"")=0,"",IFERROR(INDEX(Consulta!$A:$DP,MATCH('MM01'!$B88,Consulta!$C:$C,0),'MM01'!AR$2),""))</f>
        <v/>
      </c>
      <c r="AS88" s="43" t="str">
        <f>IF(IFERROR(INDEX(Consulta!$A:$DP,MATCH('MM01'!$B88,Consulta!$C:$C,0),'MM01'!AS$2),"")=0,"",IF(AR88="68",5102,IFERROR(INDEX(Consulta!$A:$DP,MATCH('MM01'!$B88,Consulta!$C:$C,0),'MM01'!AS$2),"")))</f>
        <v/>
      </c>
      <c r="AT88" s="45"/>
      <c r="AU88" s="46" t="str">
        <f t="shared" ca="1" si="43"/>
        <v/>
      </c>
      <c r="AV88" s="47" t="s">
        <v>795</v>
      </c>
      <c r="AW88" s="43" t="str">
        <f>IF(IFERROR(INDEX(Consulta!$A:$DP,MATCH('MM01'!$B88,Consulta!$C:$C,0),'MM01'!AW$2),"")=0,"",IFERROR(ROUND(INDEX(Consulta!$A:$DP,MATCH('MM01'!$B88,Consulta!$C:$C,0),'MM01'!AW$2),3),""))</f>
        <v/>
      </c>
      <c r="AX88" s="43" t="str">
        <f t="shared" si="44"/>
        <v/>
      </c>
      <c r="AY88" s="48" t="s">
        <v>299</v>
      </c>
      <c r="AZ88" s="48"/>
      <c r="BA88" s="43" t="str">
        <f>IF(IFERROR(INDEX(Consulta!$A:$DP,MATCH('MM01'!$B88,Consulta!$C:$C,0),'MM01'!BA$2),"")=0,"",IFERROR(INDEX(Consulta!$A:$DP,MATCH('MM01'!$B88,Consulta!$C:$C,0),'MM01'!BA$2),""))</f>
        <v/>
      </c>
      <c r="BB88" s="43" t="str">
        <f t="shared" si="45"/>
        <v/>
      </c>
      <c r="BC88" s="43" t="str">
        <f t="shared" si="46"/>
        <v/>
      </c>
      <c r="BD88" s="43" t="str">
        <f t="shared" si="47"/>
        <v/>
      </c>
      <c r="BE88" s="43" t="str">
        <f t="shared" si="48"/>
        <v>M</v>
      </c>
      <c r="BF88" s="43" t="str">
        <f t="shared" si="49"/>
        <v/>
      </c>
      <c r="BG88" s="43" t="str">
        <f t="shared" si="50"/>
        <v/>
      </c>
      <c r="BH88" s="43" t="str">
        <f t="shared" si="51"/>
        <v/>
      </c>
      <c r="BI88" s="43" t="str">
        <f t="shared" si="52"/>
        <v>M</v>
      </c>
      <c r="BK88" s="45" t="s">
        <v>324</v>
      </c>
      <c r="BL88" s="43" t="str">
        <f>IF(IFERROR(INDEX(Consulta!$A:$DP,MATCH('MM01'!$B88,Consulta!$C:$C,0),'MM01'!BL$2),"")=0,"",IFERROR(INDEX(Consulta!$A:$DP,MATCH('MM01'!$B88,Consulta!$C:$C,0),'MM01'!BL$2),""))</f>
        <v/>
      </c>
      <c r="BM88" s="45"/>
      <c r="BN88" s="46" t="str">
        <f t="shared" ca="1" si="53"/>
        <v/>
      </c>
      <c r="BO88" s="49" t="str">
        <f t="shared" si="54"/>
        <v/>
      </c>
      <c r="BP88" s="50">
        <v>1</v>
      </c>
      <c r="BQ88" s="50" t="s">
        <v>194</v>
      </c>
      <c r="BR88" s="79" t="str">
        <f t="shared" si="81"/>
        <v>01</v>
      </c>
      <c r="BS88" s="50" t="s">
        <v>795</v>
      </c>
      <c r="BT88" s="44">
        <v>1</v>
      </c>
      <c r="BU88" s="44" t="s">
        <v>371</v>
      </c>
      <c r="BV88" s="50" t="s">
        <v>197</v>
      </c>
      <c r="BW88" s="50" t="s">
        <v>197</v>
      </c>
      <c r="BX88" s="43" t="str">
        <f>IF(IFERROR(INDEX(Consulta!$A:$DP,MATCH('MM01'!$B88,Consulta!$C:$C,0),'MM01'!BX$2),"")=0,"",IFERROR(INDEX(Consulta!$A:$DP,MATCH('MM01'!$B88,Consulta!$C:$C,0),'MM01'!BX$2),""))</f>
        <v/>
      </c>
      <c r="BY88" s="44" t="s">
        <v>391</v>
      </c>
      <c r="BZ88" s="50">
        <v>0</v>
      </c>
      <c r="CA88" s="45" t="s">
        <v>402</v>
      </c>
      <c r="CB88" s="45" t="s">
        <v>84</v>
      </c>
      <c r="CC88" s="43" t="str">
        <f t="shared" si="55"/>
        <v/>
      </c>
      <c r="CD88" s="45" t="s">
        <v>38</v>
      </c>
      <c r="CE88" s="45">
        <v>1</v>
      </c>
      <c r="CF88" s="45" t="s">
        <v>495</v>
      </c>
      <c r="CG88" s="45"/>
      <c r="CH88" s="44">
        <v>2</v>
      </c>
      <c r="CI88" s="49" t="str">
        <f t="shared" si="56"/>
        <v/>
      </c>
      <c r="CJ88" s="49" t="str">
        <f t="shared" si="57"/>
        <v/>
      </c>
      <c r="CK88" s="45"/>
      <c r="CL88" s="44">
        <v>1</v>
      </c>
      <c r="CM88" s="50" t="s">
        <v>514</v>
      </c>
      <c r="CN88" s="44" t="s">
        <v>371</v>
      </c>
      <c r="CO88" s="44">
        <v>2</v>
      </c>
      <c r="CP88" s="44">
        <v>42</v>
      </c>
      <c r="CQ88" s="44">
        <v>10</v>
      </c>
      <c r="CR88" s="43" t="str">
        <f t="shared" si="58"/>
        <v>K00_P_</v>
      </c>
      <c r="CS88" s="45">
        <v>5000</v>
      </c>
      <c r="CT88" s="43" t="str">
        <f>IF(IFERROR(INDEX(Consulta!$A:$DP,MATCH('MM01'!$B88,Consulta!$C:$C,0),'MM01'!CT$2),"")=0,"",IFERROR(INDEX(Consulta!$A:$DP,MATCH('MM01'!$B88,Consulta!$C:$C,0),'MM01'!CT$2),""))</f>
        <v/>
      </c>
      <c r="CU88" s="43" t="str">
        <f>IF(IFERROR(INDEX(Consulta!$A:$DP,MATCH('MM01'!$B88,Consulta!$C:$C,0),'MM01'!CU$2),"")=0,"",IFERROR(INDEX(Consulta!$A:$DP,MATCH('MM01'!$B88,Consulta!$C:$C,0),'MM01'!CU$2),""))</f>
        <v/>
      </c>
      <c r="CV88" s="43" t="str">
        <f>IF(IFERROR(INDEX(Consulta!$A:$DP,MATCH('MM01'!$B88,Consulta!$C:$C,0),'MM01'!CV$2),"")=0,"",IFERROR(INDEX(Consulta!$A:$DP,MATCH('MM01'!$B88,Consulta!$C:$C,0),'MM01'!CV$2),""))</f>
        <v/>
      </c>
      <c r="CW88" s="43" t="str">
        <f>IF(IFERROR(INDEX(Consulta!$A:$DP,MATCH('MM01'!$B88,Consulta!$C:$C,0),'MM01'!CW$2),"")=0,"",IFERROR(INDEX(Consulta!$A:$DP,MATCH('MM01'!$B88,Consulta!$C:$C,0),'MM01'!CW$2),""))</f>
        <v/>
      </c>
      <c r="CX88" s="43" t="str">
        <f t="shared" si="59"/>
        <v/>
      </c>
      <c r="CY88" s="43" t="str">
        <f t="shared" si="60"/>
        <v/>
      </c>
      <c r="CZ88" s="43" t="str">
        <f t="shared" si="61"/>
        <v/>
      </c>
      <c r="DA88" s="43" t="str">
        <f>IF(IFERROR(INDEX(Consulta!$A:$DP,MATCH('MM01'!$B88,Consulta!$C:$C,0),'MM01'!DA$2),"")=0,"",IFERROR(INDEX(Consulta!$A:$DP,MATCH('MM01'!$B88,Consulta!$C:$C,0),'MM01'!DA$2),""))</f>
        <v/>
      </c>
      <c r="DB88" s="43" t="str">
        <f t="shared" si="62"/>
        <v/>
      </c>
      <c r="DC88" s="43" t="str">
        <f>IF(IFERROR(INDEX(Consulta!$A:$DP,MATCH('MM01'!$B88,Consulta!$C:$C,0),'MM01'!DC$2),"")=0,"",IFERROR(INDEX(Consulta!$A:$DP,MATCH('MM01'!$B88,Consulta!$C:$C,0),'MM01'!DC$2),""))</f>
        <v/>
      </c>
      <c r="DD88" s="45">
        <v>0</v>
      </c>
      <c r="DE88" s="45">
        <v>0</v>
      </c>
      <c r="DF88" s="43" t="str">
        <f t="shared" si="63"/>
        <v/>
      </c>
      <c r="DG88" s="43" t="str">
        <f t="shared" si="64"/>
        <v/>
      </c>
      <c r="DH88" s="57"/>
      <c r="DI88" s="43" t="str">
        <f t="shared" ca="1" si="65"/>
        <v/>
      </c>
      <c r="DJ88" s="43" t="str">
        <f t="shared" si="66"/>
        <v/>
      </c>
      <c r="DK88" s="43" t="str">
        <f t="shared" si="67"/>
        <v/>
      </c>
      <c r="DL88" s="57"/>
      <c r="DM88" s="43" t="str">
        <f t="shared" ca="1" si="68"/>
        <v/>
      </c>
      <c r="DN88" s="43" t="str">
        <f t="shared" si="69"/>
        <v/>
      </c>
      <c r="DO88" s="43" t="str">
        <f t="shared" si="70"/>
        <v/>
      </c>
      <c r="DP88" s="57"/>
      <c r="DQ88" s="43" t="str">
        <f t="shared" ca="1" si="71"/>
        <v/>
      </c>
      <c r="DR88" s="43" t="str">
        <f t="shared" si="72"/>
        <v/>
      </c>
      <c r="DS88" s="43" t="str">
        <f t="shared" si="73"/>
        <v/>
      </c>
      <c r="DT88" s="57"/>
      <c r="DU88" s="43" t="str">
        <f t="shared" ca="1" si="74"/>
        <v/>
      </c>
      <c r="DV88" s="43" t="str">
        <f t="shared" si="75"/>
        <v/>
      </c>
      <c r="DX88" s="44">
        <v>1</v>
      </c>
      <c r="DY88" s="44" t="s">
        <v>773</v>
      </c>
      <c r="DZ88" s="43">
        <f t="shared" si="76"/>
        <v>0.01</v>
      </c>
      <c r="EA88" s="43" t="str">
        <f t="shared" si="77"/>
        <v>M</v>
      </c>
      <c r="EB88" s="43" t="str">
        <f>IF(IFERROR(INDEX(Consulta!$A:$DP,MATCH('MM01'!$B88,Consulta!$C:$C,0),'MM01'!EB$2),"")=0,"7925",IF(IFERROR(INDEX(Consulta!$A:$DP,MATCH('MM01'!$B88,Consulta!$C:$C,0),'MM01'!EB$2),"")="68","7910","7925"))</f>
        <v>7925</v>
      </c>
      <c r="EC88" s="44">
        <v>100</v>
      </c>
      <c r="ED88" s="62">
        <v>1</v>
      </c>
      <c r="EE88" s="43">
        <f t="shared" si="78"/>
        <v>100</v>
      </c>
      <c r="EF88" s="44">
        <v>1</v>
      </c>
      <c r="EG88" s="44">
        <v>0</v>
      </c>
      <c r="EH88" s="44" t="s">
        <v>875</v>
      </c>
      <c r="EI88" s="45">
        <v>0</v>
      </c>
      <c r="EJ88" s="43">
        <f t="shared" si="79"/>
        <v>5000</v>
      </c>
      <c r="EK88" s="69"/>
    </row>
    <row r="89" spans="1:141" x14ac:dyDescent="0.2">
      <c r="A89" s="7" t="str">
        <f t="shared" si="80"/>
        <v>Execução 85</v>
      </c>
      <c r="B89" s="42"/>
      <c r="C89" s="43" t="str">
        <f>IF(IFERROR(INDEX(Consulta!$A:$DP,MATCH('MM01'!$B89,Consulta!$C:$C,0),'MM01'!C$2),"")=0,"",IFERROR(INDEX(Consulta!$A:$DP,MATCH('MM01'!$B89,Consulta!$C:$C,0),'MM01'!C$2),""))</f>
        <v/>
      </c>
      <c r="D89" s="43" t="str">
        <f>IF(IFERROR(INDEX(Consulta!$A:$DP,MATCH('MM01'!$B89,Consulta!$C:$C,0),'MM01'!D$2),"")=0,"",IFERROR(INDEX(Consulta!$A:$DP,MATCH('MM01'!$B89,Consulta!$C:$C,0),'MM01'!D$2),""))</f>
        <v/>
      </c>
      <c r="E89" s="43" t="str">
        <f>IF(IFERROR(INDEX(Consulta!$A:$DP,MATCH('MM01'!$B89,Consulta!$C:$C,0),'MM01'!E$2),"")=0,"",IFERROR(INDEX(Consulta!$A:$DP,MATCH('MM01'!$B89,Consulta!$C:$C,0),'MM01'!E$2),""))</f>
        <v/>
      </c>
      <c r="F89" s="44" t="s">
        <v>100</v>
      </c>
      <c r="G89" s="49" t="str">
        <f>IF(IFERROR(INDEX(Consulta!$A:$DP,MATCH('MM01'!$B89,Consulta!$C:$C,0),'MM01'!G$2),"")=0,"",IFERROR(INDEX(Consulta!$A:$DP,MATCH('MM01'!$B89,Consulta!$C:$C,0),'MM01'!G$2),""))</f>
        <v/>
      </c>
      <c r="H89" s="49" t="str">
        <f>IF(IFERROR(INDEX(Consulta!$A:$DP,MATCH('MM01'!$B89,Consulta!$C:$C,0),'MM01'!H$2),"")=0,"",IFERROR(INDEX(Consulta!$A:$DP,MATCH('MM01'!$B89,Consulta!$C:$C,0),'MM01'!H$2),""))</f>
        <v/>
      </c>
      <c r="I89" s="49" t="str">
        <f t="shared" si="41"/>
        <v/>
      </c>
      <c r="J89" s="49" t="str">
        <f>IF(IFERROR(INDEX(Consulta!$A:$DP,MATCH('MM01'!$B89,Consulta!$C:$C,0),'MM01'!J$2),"")=0,"",IFERROR(INDEX(Consulta!$A:$DP,MATCH('MM01'!$B89,Consulta!$C:$C,0),'MM01'!J$2),""))</f>
        <v/>
      </c>
      <c r="K89" s="49" t="str">
        <f t="shared" si="42"/>
        <v/>
      </c>
      <c r="M89" s="45" t="s">
        <v>101</v>
      </c>
      <c r="N89" s="45" t="s">
        <v>102</v>
      </c>
      <c r="O89" s="45" t="s">
        <v>103</v>
      </c>
      <c r="P89" s="45" t="s">
        <v>104</v>
      </c>
      <c r="Q89" s="45" t="s">
        <v>105</v>
      </c>
      <c r="R89" s="45" t="s">
        <v>106</v>
      </c>
      <c r="S89" s="45" t="s">
        <v>107</v>
      </c>
      <c r="T89" s="45"/>
      <c r="U89" s="45"/>
      <c r="V89" s="45"/>
      <c r="W89" s="45"/>
      <c r="X89" s="45" t="s">
        <v>112</v>
      </c>
      <c r="Y89" s="45" t="s">
        <v>113</v>
      </c>
      <c r="Z89" s="45" t="s">
        <v>114</v>
      </c>
      <c r="AA89" s="45" t="s">
        <v>115</v>
      </c>
      <c r="AB89" s="45" t="s">
        <v>117</v>
      </c>
      <c r="AC89" s="45" t="s">
        <v>118</v>
      </c>
      <c r="AD89" s="45" t="s">
        <v>119</v>
      </c>
      <c r="AE89" s="45" t="s">
        <v>120</v>
      </c>
      <c r="AF89" s="45" t="s">
        <v>121</v>
      </c>
      <c r="AG89" s="45" t="s">
        <v>122</v>
      </c>
      <c r="AH89" s="45" t="s">
        <v>123</v>
      </c>
      <c r="AI89" s="45" t="s">
        <v>124</v>
      </c>
      <c r="AJ89" s="45" t="s">
        <v>125</v>
      </c>
      <c r="AK89" s="45" t="s">
        <v>126</v>
      </c>
      <c r="AL89" s="45"/>
      <c r="AM89" s="45"/>
      <c r="AO89" s="44" t="s">
        <v>100</v>
      </c>
      <c r="AP89" s="43" t="str">
        <f>IF(IFERROR(INDEX(Consulta!$A:$DP,MATCH('MM01'!$B89,Consulta!$C:$C,0),'MM01'!AP$2),"")=0,"",IFERROR(INDEX(Consulta!$A:$DP,MATCH('MM01'!$B89,Consulta!$C:$C,0),'MM01'!AP$2),""))</f>
        <v/>
      </c>
      <c r="AQ89" s="45"/>
      <c r="AR89" s="43" t="str">
        <f>IF(IFERROR(INDEX(Consulta!$A:$DP,MATCH('MM01'!$B89,Consulta!$C:$C,0),'MM01'!AR$2),"")=0,"",IFERROR(INDEX(Consulta!$A:$DP,MATCH('MM01'!$B89,Consulta!$C:$C,0),'MM01'!AR$2),""))</f>
        <v/>
      </c>
      <c r="AS89" s="43" t="str">
        <f>IF(IFERROR(INDEX(Consulta!$A:$DP,MATCH('MM01'!$B89,Consulta!$C:$C,0),'MM01'!AS$2),"")=0,"",IF(AR89="68",5102,IFERROR(INDEX(Consulta!$A:$DP,MATCH('MM01'!$B89,Consulta!$C:$C,0),'MM01'!AS$2),"")))</f>
        <v/>
      </c>
      <c r="AT89" s="45"/>
      <c r="AU89" s="46" t="str">
        <f t="shared" ca="1" si="43"/>
        <v/>
      </c>
      <c r="AV89" s="47" t="s">
        <v>795</v>
      </c>
      <c r="AW89" s="43" t="str">
        <f>IF(IFERROR(INDEX(Consulta!$A:$DP,MATCH('MM01'!$B89,Consulta!$C:$C,0),'MM01'!AW$2),"")=0,"",IFERROR(ROUND(INDEX(Consulta!$A:$DP,MATCH('MM01'!$B89,Consulta!$C:$C,0),'MM01'!AW$2),3),""))</f>
        <v/>
      </c>
      <c r="AX89" s="43" t="str">
        <f t="shared" si="44"/>
        <v/>
      </c>
      <c r="AY89" s="48" t="s">
        <v>299</v>
      </c>
      <c r="AZ89" s="48"/>
      <c r="BA89" s="43" t="str">
        <f>IF(IFERROR(INDEX(Consulta!$A:$DP,MATCH('MM01'!$B89,Consulta!$C:$C,0),'MM01'!BA$2),"")=0,"",IFERROR(INDEX(Consulta!$A:$DP,MATCH('MM01'!$B89,Consulta!$C:$C,0),'MM01'!BA$2),""))</f>
        <v/>
      </c>
      <c r="BB89" s="43" t="str">
        <f t="shared" si="45"/>
        <v/>
      </c>
      <c r="BC89" s="43" t="str">
        <f t="shared" si="46"/>
        <v/>
      </c>
      <c r="BD89" s="43" t="str">
        <f t="shared" si="47"/>
        <v/>
      </c>
      <c r="BE89" s="43" t="str">
        <f t="shared" si="48"/>
        <v>M</v>
      </c>
      <c r="BF89" s="43" t="str">
        <f t="shared" si="49"/>
        <v/>
      </c>
      <c r="BG89" s="43" t="str">
        <f t="shared" si="50"/>
        <v/>
      </c>
      <c r="BH89" s="43" t="str">
        <f t="shared" si="51"/>
        <v/>
      </c>
      <c r="BI89" s="43" t="str">
        <f t="shared" si="52"/>
        <v>M</v>
      </c>
      <c r="BK89" s="45" t="s">
        <v>324</v>
      </c>
      <c r="BL89" s="43" t="str">
        <f>IF(IFERROR(INDEX(Consulta!$A:$DP,MATCH('MM01'!$B89,Consulta!$C:$C,0),'MM01'!BL$2),"")=0,"",IFERROR(INDEX(Consulta!$A:$DP,MATCH('MM01'!$B89,Consulta!$C:$C,0),'MM01'!BL$2),""))</f>
        <v/>
      </c>
      <c r="BM89" s="45"/>
      <c r="BN89" s="46" t="str">
        <f t="shared" ca="1" si="53"/>
        <v/>
      </c>
      <c r="BO89" s="49" t="str">
        <f t="shared" si="54"/>
        <v/>
      </c>
      <c r="BP89" s="50">
        <v>1</v>
      </c>
      <c r="BQ89" s="50" t="s">
        <v>194</v>
      </c>
      <c r="BR89" s="79" t="str">
        <f t="shared" si="81"/>
        <v>01</v>
      </c>
      <c r="BS89" s="50" t="s">
        <v>795</v>
      </c>
      <c r="BT89" s="44">
        <v>1</v>
      </c>
      <c r="BU89" s="44" t="s">
        <v>371</v>
      </c>
      <c r="BV89" s="50" t="s">
        <v>197</v>
      </c>
      <c r="BW89" s="50" t="s">
        <v>197</v>
      </c>
      <c r="BX89" s="43" t="str">
        <f>IF(IFERROR(INDEX(Consulta!$A:$DP,MATCH('MM01'!$B89,Consulta!$C:$C,0),'MM01'!BX$2),"")=0,"",IFERROR(INDEX(Consulta!$A:$DP,MATCH('MM01'!$B89,Consulta!$C:$C,0),'MM01'!BX$2),""))</f>
        <v/>
      </c>
      <c r="BY89" s="44" t="s">
        <v>391</v>
      </c>
      <c r="BZ89" s="50">
        <v>0</v>
      </c>
      <c r="CA89" s="45" t="s">
        <v>402</v>
      </c>
      <c r="CB89" s="45" t="s">
        <v>84</v>
      </c>
      <c r="CC89" s="43" t="str">
        <f t="shared" si="55"/>
        <v/>
      </c>
      <c r="CD89" s="45" t="s">
        <v>38</v>
      </c>
      <c r="CE89" s="45">
        <v>1</v>
      </c>
      <c r="CF89" s="45" t="s">
        <v>495</v>
      </c>
      <c r="CG89" s="45"/>
      <c r="CH89" s="44">
        <v>2</v>
      </c>
      <c r="CI89" s="49" t="str">
        <f t="shared" si="56"/>
        <v/>
      </c>
      <c r="CJ89" s="49" t="str">
        <f t="shared" si="57"/>
        <v/>
      </c>
      <c r="CK89" s="45"/>
      <c r="CL89" s="44">
        <v>1</v>
      </c>
      <c r="CM89" s="50" t="s">
        <v>514</v>
      </c>
      <c r="CN89" s="44" t="s">
        <v>371</v>
      </c>
      <c r="CO89" s="44">
        <v>2</v>
      </c>
      <c r="CP89" s="44">
        <v>42</v>
      </c>
      <c r="CQ89" s="44">
        <v>10</v>
      </c>
      <c r="CR89" s="43" t="str">
        <f t="shared" si="58"/>
        <v>K00_P_</v>
      </c>
      <c r="CS89" s="45">
        <v>5000</v>
      </c>
      <c r="CT89" s="43" t="str">
        <f>IF(IFERROR(INDEX(Consulta!$A:$DP,MATCH('MM01'!$B89,Consulta!$C:$C,0),'MM01'!CT$2),"")=0,"",IFERROR(INDEX(Consulta!$A:$DP,MATCH('MM01'!$B89,Consulta!$C:$C,0),'MM01'!CT$2),""))</f>
        <v/>
      </c>
      <c r="CU89" s="43" t="str">
        <f>IF(IFERROR(INDEX(Consulta!$A:$DP,MATCH('MM01'!$B89,Consulta!$C:$C,0),'MM01'!CU$2),"")=0,"",IFERROR(INDEX(Consulta!$A:$DP,MATCH('MM01'!$B89,Consulta!$C:$C,0),'MM01'!CU$2),""))</f>
        <v/>
      </c>
      <c r="CV89" s="43" t="str">
        <f>IF(IFERROR(INDEX(Consulta!$A:$DP,MATCH('MM01'!$B89,Consulta!$C:$C,0),'MM01'!CV$2),"")=0,"",IFERROR(INDEX(Consulta!$A:$DP,MATCH('MM01'!$B89,Consulta!$C:$C,0),'MM01'!CV$2),""))</f>
        <v/>
      </c>
      <c r="CW89" s="43" t="str">
        <f>IF(IFERROR(INDEX(Consulta!$A:$DP,MATCH('MM01'!$B89,Consulta!$C:$C,0),'MM01'!CW$2),"")=0,"",IFERROR(INDEX(Consulta!$A:$DP,MATCH('MM01'!$B89,Consulta!$C:$C,0),'MM01'!CW$2),""))</f>
        <v/>
      </c>
      <c r="CX89" s="43" t="str">
        <f t="shared" si="59"/>
        <v/>
      </c>
      <c r="CY89" s="43" t="str">
        <f t="shared" si="60"/>
        <v/>
      </c>
      <c r="CZ89" s="43" t="str">
        <f t="shared" si="61"/>
        <v/>
      </c>
      <c r="DA89" s="43" t="str">
        <f>IF(IFERROR(INDEX(Consulta!$A:$DP,MATCH('MM01'!$B89,Consulta!$C:$C,0),'MM01'!DA$2),"")=0,"",IFERROR(INDEX(Consulta!$A:$DP,MATCH('MM01'!$B89,Consulta!$C:$C,0),'MM01'!DA$2),""))</f>
        <v/>
      </c>
      <c r="DB89" s="43" t="str">
        <f t="shared" si="62"/>
        <v/>
      </c>
      <c r="DC89" s="43" t="str">
        <f>IF(IFERROR(INDEX(Consulta!$A:$DP,MATCH('MM01'!$B89,Consulta!$C:$C,0),'MM01'!DC$2),"")=0,"",IFERROR(INDEX(Consulta!$A:$DP,MATCH('MM01'!$B89,Consulta!$C:$C,0),'MM01'!DC$2),""))</f>
        <v/>
      </c>
      <c r="DD89" s="45">
        <v>0</v>
      </c>
      <c r="DE89" s="45">
        <v>0</v>
      </c>
      <c r="DF89" s="43" t="str">
        <f t="shared" si="63"/>
        <v/>
      </c>
      <c r="DG89" s="43" t="str">
        <f t="shared" si="64"/>
        <v/>
      </c>
      <c r="DH89" s="57"/>
      <c r="DI89" s="43" t="str">
        <f t="shared" ca="1" si="65"/>
        <v/>
      </c>
      <c r="DJ89" s="43" t="str">
        <f t="shared" si="66"/>
        <v/>
      </c>
      <c r="DK89" s="43" t="str">
        <f t="shared" si="67"/>
        <v/>
      </c>
      <c r="DL89" s="57"/>
      <c r="DM89" s="43" t="str">
        <f t="shared" ca="1" si="68"/>
        <v/>
      </c>
      <c r="DN89" s="43" t="str">
        <f t="shared" si="69"/>
        <v/>
      </c>
      <c r="DO89" s="43" t="str">
        <f t="shared" si="70"/>
        <v/>
      </c>
      <c r="DP89" s="57"/>
      <c r="DQ89" s="43" t="str">
        <f t="shared" ca="1" si="71"/>
        <v/>
      </c>
      <c r="DR89" s="43" t="str">
        <f t="shared" si="72"/>
        <v/>
      </c>
      <c r="DS89" s="43" t="str">
        <f t="shared" si="73"/>
        <v/>
      </c>
      <c r="DT89" s="57"/>
      <c r="DU89" s="43" t="str">
        <f t="shared" ca="1" si="74"/>
        <v/>
      </c>
      <c r="DV89" s="43" t="str">
        <f t="shared" si="75"/>
        <v/>
      </c>
      <c r="DX89" s="44">
        <v>1</v>
      </c>
      <c r="DY89" s="44" t="s">
        <v>773</v>
      </c>
      <c r="DZ89" s="43">
        <f t="shared" si="76"/>
        <v>0.01</v>
      </c>
      <c r="EA89" s="43" t="str">
        <f t="shared" si="77"/>
        <v>M</v>
      </c>
      <c r="EB89" s="43" t="str">
        <f>IF(IFERROR(INDEX(Consulta!$A:$DP,MATCH('MM01'!$B89,Consulta!$C:$C,0),'MM01'!EB$2),"")=0,"7925",IF(IFERROR(INDEX(Consulta!$A:$DP,MATCH('MM01'!$B89,Consulta!$C:$C,0),'MM01'!EB$2),"")="68","7910","7925"))</f>
        <v>7925</v>
      </c>
      <c r="EC89" s="44">
        <v>100</v>
      </c>
      <c r="ED89" s="62">
        <v>1</v>
      </c>
      <c r="EE89" s="43">
        <f t="shared" si="78"/>
        <v>100</v>
      </c>
      <c r="EF89" s="44">
        <v>1</v>
      </c>
      <c r="EG89" s="44">
        <v>0</v>
      </c>
      <c r="EH89" s="44" t="s">
        <v>875</v>
      </c>
      <c r="EI89" s="45">
        <v>0</v>
      </c>
      <c r="EJ89" s="43">
        <f t="shared" si="79"/>
        <v>5000</v>
      </c>
      <c r="EK89" s="69"/>
    </row>
    <row r="90" spans="1:141" x14ac:dyDescent="0.2">
      <c r="A90" s="7" t="str">
        <f t="shared" si="80"/>
        <v>Execução 86</v>
      </c>
      <c r="B90" s="42"/>
      <c r="C90" s="43" t="str">
        <f>IF(IFERROR(INDEX(Consulta!$A:$DP,MATCH('MM01'!$B90,Consulta!$C:$C,0),'MM01'!C$2),"")=0,"",IFERROR(INDEX(Consulta!$A:$DP,MATCH('MM01'!$B90,Consulta!$C:$C,0),'MM01'!C$2),""))</f>
        <v/>
      </c>
      <c r="D90" s="43" t="str">
        <f>IF(IFERROR(INDEX(Consulta!$A:$DP,MATCH('MM01'!$B90,Consulta!$C:$C,0),'MM01'!D$2),"")=0,"",IFERROR(INDEX(Consulta!$A:$DP,MATCH('MM01'!$B90,Consulta!$C:$C,0),'MM01'!D$2),""))</f>
        <v/>
      </c>
      <c r="E90" s="43" t="str">
        <f>IF(IFERROR(INDEX(Consulta!$A:$DP,MATCH('MM01'!$B90,Consulta!$C:$C,0),'MM01'!E$2),"")=0,"",IFERROR(INDEX(Consulta!$A:$DP,MATCH('MM01'!$B90,Consulta!$C:$C,0),'MM01'!E$2),""))</f>
        <v/>
      </c>
      <c r="F90" s="44" t="s">
        <v>100</v>
      </c>
      <c r="G90" s="49" t="str">
        <f>IF(IFERROR(INDEX(Consulta!$A:$DP,MATCH('MM01'!$B90,Consulta!$C:$C,0),'MM01'!G$2),"")=0,"",IFERROR(INDEX(Consulta!$A:$DP,MATCH('MM01'!$B90,Consulta!$C:$C,0),'MM01'!G$2),""))</f>
        <v/>
      </c>
      <c r="H90" s="49" t="str">
        <f>IF(IFERROR(INDEX(Consulta!$A:$DP,MATCH('MM01'!$B90,Consulta!$C:$C,0),'MM01'!H$2),"")=0,"",IFERROR(INDEX(Consulta!$A:$DP,MATCH('MM01'!$B90,Consulta!$C:$C,0),'MM01'!H$2),""))</f>
        <v/>
      </c>
      <c r="I90" s="49" t="str">
        <f t="shared" si="41"/>
        <v/>
      </c>
      <c r="J90" s="49" t="str">
        <f>IF(IFERROR(INDEX(Consulta!$A:$DP,MATCH('MM01'!$B90,Consulta!$C:$C,0),'MM01'!J$2),"")=0,"",IFERROR(INDEX(Consulta!$A:$DP,MATCH('MM01'!$B90,Consulta!$C:$C,0),'MM01'!J$2),""))</f>
        <v/>
      </c>
      <c r="K90" s="49" t="str">
        <f t="shared" si="42"/>
        <v/>
      </c>
      <c r="M90" s="45" t="s">
        <v>101</v>
      </c>
      <c r="N90" s="45" t="s">
        <v>102</v>
      </c>
      <c r="O90" s="45" t="s">
        <v>103</v>
      </c>
      <c r="P90" s="45" t="s">
        <v>104</v>
      </c>
      <c r="Q90" s="45" t="s">
        <v>105</v>
      </c>
      <c r="R90" s="45" t="s">
        <v>106</v>
      </c>
      <c r="S90" s="45" t="s">
        <v>107</v>
      </c>
      <c r="T90" s="45"/>
      <c r="U90" s="45"/>
      <c r="V90" s="45"/>
      <c r="W90" s="45"/>
      <c r="X90" s="45" t="s">
        <v>112</v>
      </c>
      <c r="Y90" s="45" t="s">
        <v>113</v>
      </c>
      <c r="Z90" s="45" t="s">
        <v>114</v>
      </c>
      <c r="AA90" s="45" t="s">
        <v>115</v>
      </c>
      <c r="AB90" s="45" t="s">
        <v>117</v>
      </c>
      <c r="AC90" s="45" t="s">
        <v>118</v>
      </c>
      <c r="AD90" s="45" t="s">
        <v>119</v>
      </c>
      <c r="AE90" s="45" t="s">
        <v>120</v>
      </c>
      <c r="AF90" s="45" t="s">
        <v>121</v>
      </c>
      <c r="AG90" s="45" t="s">
        <v>122</v>
      </c>
      <c r="AH90" s="45" t="s">
        <v>123</v>
      </c>
      <c r="AI90" s="45" t="s">
        <v>124</v>
      </c>
      <c r="AJ90" s="45" t="s">
        <v>125</v>
      </c>
      <c r="AK90" s="45" t="s">
        <v>126</v>
      </c>
      <c r="AL90" s="45"/>
      <c r="AM90" s="45"/>
      <c r="AO90" s="44" t="s">
        <v>100</v>
      </c>
      <c r="AP90" s="43" t="str">
        <f>IF(IFERROR(INDEX(Consulta!$A:$DP,MATCH('MM01'!$B90,Consulta!$C:$C,0),'MM01'!AP$2),"")=0,"",IFERROR(INDEX(Consulta!$A:$DP,MATCH('MM01'!$B90,Consulta!$C:$C,0),'MM01'!AP$2),""))</f>
        <v/>
      </c>
      <c r="AQ90" s="45"/>
      <c r="AR90" s="43" t="str">
        <f>IF(IFERROR(INDEX(Consulta!$A:$DP,MATCH('MM01'!$B90,Consulta!$C:$C,0),'MM01'!AR$2),"")=0,"",IFERROR(INDEX(Consulta!$A:$DP,MATCH('MM01'!$B90,Consulta!$C:$C,0),'MM01'!AR$2),""))</f>
        <v/>
      </c>
      <c r="AS90" s="43" t="str">
        <f>IF(IFERROR(INDEX(Consulta!$A:$DP,MATCH('MM01'!$B90,Consulta!$C:$C,0),'MM01'!AS$2),"")=0,"",IF(AR90="68",5102,IFERROR(INDEX(Consulta!$A:$DP,MATCH('MM01'!$B90,Consulta!$C:$C,0),'MM01'!AS$2),"")))</f>
        <v/>
      </c>
      <c r="AT90" s="45"/>
      <c r="AU90" s="46" t="str">
        <f t="shared" ca="1" si="43"/>
        <v/>
      </c>
      <c r="AV90" s="47" t="s">
        <v>795</v>
      </c>
      <c r="AW90" s="43" t="str">
        <f>IF(IFERROR(INDEX(Consulta!$A:$DP,MATCH('MM01'!$B90,Consulta!$C:$C,0),'MM01'!AW$2),"")=0,"",IFERROR(ROUND(INDEX(Consulta!$A:$DP,MATCH('MM01'!$B90,Consulta!$C:$C,0),'MM01'!AW$2),3),""))</f>
        <v/>
      </c>
      <c r="AX90" s="43" t="str">
        <f t="shared" si="44"/>
        <v/>
      </c>
      <c r="AY90" s="48" t="s">
        <v>299</v>
      </c>
      <c r="AZ90" s="48"/>
      <c r="BA90" s="43" t="str">
        <f>IF(IFERROR(INDEX(Consulta!$A:$DP,MATCH('MM01'!$B90,Consulta!$C:$C,0),'MM01'!BA$2),"")=0,"",IFERROR(INDEX(Consulta!$A:$DP,MATCH('MM01'!$B90,Consulta!$C:$C,0),'MM01'!BA$2),""))</f>
        <v/>
      </c>
      <c r="BB90" s="43" t="str">
        <f t="shared" si="45"/>
        <v/>
      </c>
      <c r="BC90" s="43" t="str">
        <f t="shared" si="46"/>
        <v/>
      </c>
      <c r="BD90" s="43" t="str">
        <f t="shared" si="47"/>
        <v/>
      </c>
      <c r="BE90" s="43" t="str">
        <f t="shared" si="48"/>
        <v>M</v>
      </c>
      <c r="BF90" s="43" t="str">
        <f t="shared" si="49"/>
        <v/>
      </c>
      <c r="BG90" s="43" t="str">
        <f t="shared" si="50"/>
        <v/>
      </c>
      <c r="BH90" s="43" t="str">
        <f t="shared" si="51"/>
        <v/>
      </c>
      <c r="BI90" s="43" t="str">
        <f t="shared" si="52"/>
        <v>M</v>
      </c>
      <c r="BK90" s="45" t="s">
        <v>324</v>
      </c>
      <c r="BL90" s="43" t="str">
        <f>IF(IFERROR(INDEX(Consulta!$A:$DP,MATCH('MM01'!$B90,Consulta!$C:$C,0),'MM01'!BL$2),"")=0,"",IFERROR(INDEX(Consulta!$A:$DP,MATCH('MM01'!$B90,Consulta!$C:$C,0),'MM01'!BL$2),""))</f>
        <v/>
      </c>
      <c r="BM90" s="45"/>
      <c r="BN90" s="46" t="str">
        <f t="shared" ca="1" si="53"/>
        <v/>
      </c>
      <c r="BO90" s="49" t="str">
        <f t="shared" si="54"/>
        <v/>
      </c>
      <c r="BP90" s="50">
        <v>1</v>
      </c>
      <c r="BQ90" s="50" t="s">
        <v>194</v>
      </c>
      <c r="BR90" s="79" t="str">
        <f t="shared" si="81"/>
        <v>01</v>
      </c>
      <c r="BS90" s="50" t="s">
        <v>795</v>
      </c>
      <c r="BT90" s="44">
        <v>1</v>
      </c>
      <c r="BU90" s="44" t="s">
        <v>371</v>
      </c>
      <c r="BV90" s="50" t="s">
        <v>197</v>
      </c>
      <c r="BW90" s="50" t="s">
        <v>197</v>
      </c>
      <c r="BX90" s="43" t="str">
        <f>IF(IFERROR(INDEX(Consulta!$A:$DP,MATCH('MM01'!$B90,Consulta!$C:$C,0),'MM01'!BX$2),"")=0,"",IFERROR(INDEX(Consulta!$A:$DP,MATCH('MM01'!$B90,Consulta!$C:$C,0),'MM01'!BX$2),""))</f>
        <v/>
      </c>
      <c r="BY90" s="44" t="s">
        <v>391</v>
      </c>
      <c r="BZ90" s="50">
        <v>0</v>
      </c>
      <c r="CA90" s="45" t="s">
        <v>402</v>
      </c>
      <c r="CB90" s="45" t="s">
        <v>84</v>
      </c>
      <c r="CC90" s="43" t="str">
        <f t="shared" si="55"/>
        <v/>
      </c>
      <c r="CD90" s="45" t="s">
        <v>38</v>
      </c>
      <c r="CE90" s="45">
        <v>1</v>
      </c>
      <c r="CF90" s="45" t="s">
        <v>495</v>
      </c>
      <c r="CG90" s="45"/>
      <c r="CH90" s="44">
        <v>2</v>
      </c>
      <c r="CI90" s="49" t="str">
        <f t="shared" si="56"/>
        <v/>
      </c>
      <c r="CJ90" s="49" t="str">
        <f t="shared" si="57"/>
        <v/>
      </c>
      <c r="CK90" s="45"/>
      <c r="CL90" s="44">
        <v>1</v>
      </c>
      <c r="CM90" s="50" t="s">
        <v>514</v>
      </c>
      <c r="CN90" s="44" t="s">
        <v>371</v>
      </c>
      <c r="CO90" s="44">
        <v>2</v>
      </c>
      <c r="CP90" s="44">
        <v>42</v>
      </c>
      <c r="CQ90" s="44">
        <v>10</v>
      </c>
      <c r="CR90" s="43" t="str">
        <f t="shared" si="58"/>
        <v>K00_P_</v>
      </c>
      <c r="CS90" s="45">
        <v>5000</v>
      </c>
      <c r="CT90" s="43" t="str">
        <f>IF(IFERROR(INDEX(Consulta!$A:$DP,MATCH('MM01'!$B90,Consulta!$C:$C,0),'MM01'!CT$2),"")=0,"",IFERROR(INDEX(Consulta!$A:$DP,MATCH('MM01'!$B90,Consulta!$C:$C,0),'MM01'!CT$2),""))</f>
        <v/>
      </c>
      <c r="CU90" s="43" t="str">
        <f>IF(IFERROR(INDEX(Consulta!$A:$DP,MATCH('MM01'!$B90,Consulta!$C:$C,0),'MM01'!CU$2),"")=0,"",IFERROR(INDEX(Consulta!$A:$DP,MATCH('MM01'!$B90,Consulta!$C:$C,0),'MM01'!CU$2),""))</f>
        <v/>
      </c>
      <c r="CV90" s="43" t="str">
        <f>IF(IFERROR(INDEX(Consulta!$A:$DP,MATCH('MM01'!$B90,Consulta!$C:$C,0),'MM01'!CV$2),"")=0,"",IFERROR(INDEX(Consulta!$A:$DP,MATCH('MM01'!$B90,Consulta!$C:$C,0),'MM01'!CV$2),""))</f>
        <v/>
      </c>
      <c r="CW90" s="43" t="str">
        <f>IF(IFERROR(INDEX(Consulta!$A:$DP,MATCH('MM01'!$B90,Consulta!$C:$C,0),'MM01'!CW$2),"")=0,"",IFERROR(INDEX(Consulta!$A:$DP,MATCH('MM01'!$B90,Consulta!$C:$C,0),'MM01'!CW$2),""))</f>
        <v/>
      </c>
      <c r="CX90" s="43" t="str">
        <f t="shared" si="59"/>
        <v/>
      </c>
      <c r="CY90" s="43" t="str">
        <f t="shared" si="60"/>
        <v/>
      </c>
      <c r="CZ90" s="43" t="str">
        <f t="shared" si="61"/>
        <v/>
      </c>
      <c r="DA90" s="43" t="str">
        <f>IF(IFERROR(INDEX(Consulta!$A:$DP,MATCH('MM01'!$B90,Consulta!$C:$C,0),'MM01'!DA$2),"")=0,"",IFERROR(INDEX(Consulta!$A:$DP,MATCH('MM01'!$B90,Consulta!$C:$C,0),'MM01'!DA$2),""))</f>
        <v/>
      </c>
      <c r="DB90" s="43" t="str">
        <f t="shared" si="62"/>
        <v/>
      </c>
      <c r="DC90" s="43" t="str">
        <f>IF(IFERROR(INDEX(Consulta!$A:$DP,MATCH('MM01'!$B90,Consulta!$C:$C,0),'MM01'!DC$2),"")=0,"",IFERROR(INDEX(Consulta!$A:$DP,MATCH('MM01'!$B90,Consulta!$C:$C,0),'MM01'!DC$2),""))</f>
        <v/>
      </c>
      <c r="DD90" s="45">
        <v>0</v>
      </c>
      <c r="DE90" s="45">
        <v>0</v>
      </c>
      <c r="DF90" s="43" t="str">
        <f t="shared" si="63"/>
        <v/>
      </c>
      <c r="DG90" s="43" t="str">
        <f t="shared" si="64"/>
        <v/>
      </c>
      <c r="DH90" s="57"/>
      <c r="DI90" s="43" t="str">
        <f t="shared" ca="1" si="65"/>
        <v/>
      </c>
      <c r="DJ90" s="43" t="str">
        <f t="shared" si="66"/>
        <v/>
      </c>
      <c r="DK90" s="43" t="str">
        <f t="shared" si="67"/>
        <v/>
      </c>
      <c r="DL90" s="57"/>
      <c r="DM90" s="43" t="str">
        <f t="shared" ca="1" si="68"/>
        <v/>
      </c>
      <c r="DN90" s="43" t="str">
        <f t="shared" si="69"/>
        <v/>
      </c>
      <c r="DO90" s="43" t="str">
        <f t="shared" si="70"/>
        <v/>
      </c>
      <c r="DP90" s="57"/>
      <c r="DQ90" s="43" t="str">
        <f t="shared" ca="1" si="71"/>
        <v/>
      </c>
      <c r="DR90" s="43" t="str">
        <f t="shared" si="72"/>
        <v/>
      </c>
      <c r="DS90" s="43" t="str">
        <f t="shared" si="73"/>
        <v/>
      </c>
      <c r="DT90" s="57"/>
      <c r="DU90" s="43" t="str">
        <f t="shared" ca="1" si="74"/>
        <v/>
      </c>
      <c r="DV90" s="43" t="str">
        <f t="shared" si="75"/>
        <v/>
      </c>
      <c r="DX90" s="44">
        <v>1</v>
      </c>
      <c r="DY90" s="44" t="s">
        <v>773</v>
      </c>
      <c r="DZ90" s="43">
        <f t="shared" si="76"/>
        <v>0.01</v>
      </c>
      <c r="EA90" s="43" t="str">
        <f t="shared" si="77"/>
        <v>M</v>
      </c>
      <c r="EB90" s="43" t="str">
        <f>IF(IFERROR(INDEX(Consulta!$A:$DP,MATCH('MM01'!$B90,Consulta!$C:$C,0),'MM01'!EB$2),"")=0,"7925",IF(IFERROR(INDEX(Consulta!$A:$DP,MATCH('MM01'!$B90,Consulta!$C:$C,0),'MM01'!EB$2),"")="68","7910","7925"))</f>
        <v>7925</v>
      </c>
      <c r="EC90" s="44">
        <v>100</v>
      </c>
      <c r="ED90" s="62">
        <v>1</v>
      </c>
      <c r="EE90" s="43">
        <f t="shared" si="78"/>
        <v>100</v>
      </c>
      <c r="EF90" s="44">
        <v>1</v>
      </c>
      <c r="EG90" s="44">
        <v>0</v>
      </c>
      <c r="EH90" s="44" t="s">
        <v>875</v>
      </c>
      <c r="EI90" s="45">
        <v>0</v>
      </c>
      <c r="EJ90" s="43">
        <f t="shared" si="79"/>
        <v>5000</v>
      </c>
      <c r="EK90" s="69"/>
    </row>
    <row r="91" spans="1:141" x14ac:dyDescent="0.2">
      <c r="A91" s="7" t="str">
        <f t="shared" si="80"/>
        <v>Execução 87</v>
      </c>
      <c r="B91" s="42"/>
      <c r="C91" s="43" t="str">
        <f>IF(IFERROR(INDEX(Consulta!$A:$DP,MATCH('MM01'!$B91,Consulta!$C:$C,0),'MM01'!C$2),"")=0,"",IFERROR(INDEX(Consulta!$A:$DP,MATCH('MM01'!$B91,Consulta!$C:$C,0),'MM01'!C$2),""))</f>
        <v/>
      </c>
      <c r="D91" s="43" t="str">
        <f>IF(IFERROR(INDEX(Consulta!$A:$DP,MATCH('MM01'!$B91,Consulta!$C:$C,0),'MM01'!D$2),"")=0,"",IFERROR(INDEX(Consulta!$A:$DP,MATCH('MM01'!$B91,Consulta!$C:$C,0),'MM01'!D$2),""))</f>
        <v/>
      </c>
      <c r="E91" s="43" t="str">
        <f>IF(IFERROR(INDEX(Consulta!$A:$DP,MATCH('MM01'!$B91,Consulta!$C:$C,0),'MM01'!E$2),"")=0,"",IFERROR(INDEX(Consulta!$A:$DP,MATCH('MM01'!$B91,Consulta!$C:$C,0),'MM01'!E$2),""))</f>
        <v/>
      </c>
      <c r="F91" s="44" t="s">
        <v>100</v>
      </c>
      <c r="G91" s="49" t="str">
        <f>IF(IFERROR(INDEX(Consulta!$A:$DP,MATCH('MM01'!$B91,Consulta!$C:$C,0),'MM01'!G$2),"")=0,"",IFERROR(INDEX(Consulta!$A:$DP,MATCH('MM01'!$B91,Consulta!$C:$C,0),'MM01'!G$2),""))</f>
        <v/>
      </c>
      <c r="H91" s="49" t="str">
        <f>IF(IFERROR(INDEX(Consulta!$A:$DP,MATCH('MM01'!$B91,Consulta!$C:$C,0),'MM01'!H$2),"")=0,"",IFERROR(INDEX(Consulta!$A:$DP,MATCH('MM01'!$B91,Consulta!$C:$C,0),'MM01'!H$2),""))</f>
        <v/>
      </c>
      <c r="I91" s="49" t="str">
        <f t="shared" si="41"/>
        <v/>
      </c>
      <c r="J91" s="49" t="str">
        <f>IF(IFERROR(INDEX(Consulta!$A:$DP,MATCH('MM01'!$B91,Consulta!$C:$C,0),'MM01'!J$2),"")=0,"",IFERROR(INDEX(Consulta!$A:$DP,MATCH('MM01'!$B91,Consulta!$C:$C,0),'MM01'!J$2),""))</f>
        <v/>
      </c>
      <c r="K91" s="49" t="str">
        <f t="shared" si="42"/>
        <v/>
      </c>
      <c r="M91" s="45" t="s">
        <v>101</v>
      </c>
      <c r="N91" s="45" t="s">
        <v>102</v>
      </c>
      <c r="O91" s="45" t="s">
        <v>103</v>
      </c>
      <c r="P91" s="45" t="s">
        <v>104</v>
      </c>
      <c r="Q91" s="45" t="s">
        <v>105</v>
      </c>
      <c r="R91" s="45" t="s">
        <v>106</v>
      </c>
      <c r="S91" s="45" t="s">
        <v>107</v>
      </c>
      <c r="T91" s="45"/>
      <c r="U91" s="45"/>
      <c r="V91" s="45"/>
      <c r="W91" s="45"/>
      <c r="X91" s="45" t="s">
        <v>112</v>
      </c>
      <c r="Y91" s="45" t="s">
        <v>113</v>
      </c>
      <c r="Z91" s="45" t="s">
        <v>114</v>
      </c>
      <c r="AA91" s="45" t="s">
        <v>115</v>
      </c>
      <c r="AB91" s="45" t="s">
        <v>117</v>
      </c>
      <c r="AC91" s="45" t="s">
        <v>118</v>
      </c>
      <c r="AD91" s="45" t="s">
        <v>119</v>
      </c>
      <c r="AE91" s="45" t="s">
        <v>120</v>
      </c>
      <c r="AF91" s="45" t="s">
        <v>121</v>
      </c>
      <c r="AG91" s="45" t="s">
        <v>122</v>
      </c>
      <c r="AH91" s="45" t="s">
        <v>123</v>
      </c>
      <c r="AI91" s="45" t="s">
        <v>124</v>
      </c>
      <c r="AJ91" s="45" t="s">
        <v>125</v>
      </c>
      <c r="AK91" s="45" t="s">
        <v>126</v>
      </c>
      <c r="AL91" s="45"/>
      <c r="AM91" s="45"/>
      <c r="AO91" s="44" t="s">
        <v>100</v>
      </c>
      <c r="AP91" s="43" t="str">
        <f>IF(IFERROR(INDEX(Consulta!$A:$DP,MATCH('MM01'!$B91,Consulta!$C:$C,0),'MM01'!AP$2),"")=0,"",IFERROR(INDEX(Consulta!$A:$DP,MATCH('MM01'!$B91,Consulta!$C:$C,0),'MM01'!AP$2),""))</f>
        <v/>
      </c>
      <c r="AQ91" s="45"/>
      <c r="AR91" s="43" t="str">
        <f>IF(IFERROR(INDEX(Consulta!$A:$DP,MATCH('MM01'!$B91,Consulta!$C:$C,0),'MM01'!AR$2),"")=0,"",IFERROR(INDEX(Consulta!$A:$DP,MATCH('MM01'!$B91,Consulta!$C:$C,0),'MM01'!AR$2),""))</f>
        <v/>
      </c>
      <c r="AS91" s="43" t="str">
        <f>IF(IFERROR(INDEX(Consulta!$A:$DP,MATCH('MM01'!$B91,Consulta!$C:$C,0),'MM01'!AS$2),"")=0,"",IF(AR91="68",5102,IFERROR(INDEX(Consulta!$A:$DP,MATCH('MM01'!$B91,Consulta!$C:$C,0),'MM01'!AS$2),"")))</f>
        <v/>
      </c>
      <c r="AT91" s="45"/>
      <c r="AU91" s="46" t="str">
        <f t="shared" ca="1" si="43"/>
        <v/>
      </c>
      <c r="AV91" s="47" t="s">
        <v>795</v>
      </c>
      <c r="AW91" s="43" t="str">
        <f>IF(IFERROR(INDEX(Consulta!$A:$DP,MATCH('MM01'!$B91,Consulta!$C:$C,0),'MM01'!AW$2),"")=0,"",IFERROR(ROUND(INDEX(Consulta!$A:$DP,MATCH('MM01'!$B91,Consulta!$C:$C,0),'MM01'!AW$2),3),""))</f>
        <v/>
      </c>
      <c r="AX91" s="43" t="str">
        <f t="shared" si="44"/>
        <v/>
      </c>
      <c r="AY91" s="48" t="s">
        <v>299</v>
      </c>
      <c r="AZ91" s="48"/>
      <c r="BA91" s="43" t="str">
        <f>IF(IFERROR(INDEX(Consulta!$A:$DP,MATCH('MM01'!$B91,Consulta!$C:$C,0),'MM01'!BA$2),"")=0,"",IFERROR(INDEX(Consulta!$A:$DP,MATCH('MM01'!$B91,Consulta!$C:$C,0),'MM01'!BA$2),""))</f>
        <v/>
      </c>
      <c r="BB91" s="43" t="str">
        <f t="shared" si="45"/>
        <v/>
      </c>
      <c r="BC91" s="43" t="str">
        <f t="shared" si="46"/>
        <v/>
      </c>
      <c r="BD91" s="43" t="str">
        <f t="shared" si="47"/>
        <v/>
      </c>
      <c r="BE91" s="43" t="str">
        <f t="shared" si="48"/>
        <v>M</v>
      </c>
      <c r="BF91" s="43" t="str">
        <f t="shared" si="49"/>
        <v/>
      </c>
      <c r="BG91" s="43" t="str">
        <f t="shared" si="50"/>
        <v/>
      </c>
      <c r="BH91" s="43" t="str">
        <f t="shared" si="51"/>
        <v/>
      </c>
      <c r="BI91" s="43" t="str">
        <f t="shared" si="52"/>
        <v>M</v>
      </c>
      <c r="BK91" s="45" t="s">
        <v>324</v>
      </c>
      <c r="BL91" s="43" t="str">
        <f>IF(IFERROR(INDEX(Consulta!$A:$DP,MATCH('MM01'!$B91,Consulta!$C:$C,0),'MM01'!BL$2),"")=0,"",IFERROR(INDEX(Consulta!$A:$DP,MATCH('MM01'!$B91,Consulta!$C:$C,0),'MM01'!BL$2),""))</f>
        <v/>
      </c>
      <c r="BM91" s="45"/>
      <c r="BN91" s="46" t="str">
        <f t="shared" ca="1" si="53"/>
        <v/>
      </c>
      <c r="BO91" s="49" t="str">
        <f t="shared" si="54"/>
        <v/>
      </c>
      <c r="BP91" s="50">
        <v>1</v>
      </c>
      <c r="BQ91" s="50" t="s">
        <v>194</v>
      </c>
      <c r="BR91" s="79" t="str">
        <f t="shared" si="81"/>
        <v>01</v>
      </c>
      <c r="BS91" s="50" t="s">
        <v>795</v>
      </c>
      <c r="BT91" s="44">
        <v>1</v>
      </c>
      <c r="BU91" s="44" t="s">
        <v>371</v>
      </c>
      <c r="BV91" s="50" t="s">
        <v>197</v>
      </c>
      <c r="BW91" s="50" t="s">
        <v>197</v>
      </c>
      <c r="BX91" s="43" t="str">
        <f>IF(IFERROR(INDEX(Consulta!$A:$DP,MATCH('MM01'!$B91,Consulta!$C:$C,0),'MM01'!BX$2),"")=0,"",IFERROR(INDEX(Consulta!$A:$DP,MATCH('MM01'!$B91,Consulta!$C:$C,0),'MM01'!BX$2),""))</f>
        <v/>
      </c>
      <c r="BY91" s="44" t="s">
        <v>391</v>
      </c>
      <c r="BZ91" s="50">
        <v>0</v>
      </c>
      <c r="CA91" s="45" t="s">
        <v>402</v>
      </c>
      <c r="CB91" s="45" t="s">
        <v>84</v>
      </c>
      <c r="CC91" s="43" t="str">
        <f t="shared" si="55"/>
        <v/>
      </c>
      <c r="CD91" s="45" t="s">
        <v>38</v>
      </c>
      <c r="CE91" s="45">
        <v>1</v>
      </c>
      <c r="CF91" s="45" t="s">
        <v>495</v>
      </c>
      <c r="CG91" s="45"/>
      <c r="CH91" s="44">
        <v>2</v>
      </c>
      <c r="CI91" s="49" t="str">
        <f t="shared" si="56"/>
        <v/>
      </c>
      <c r="CJ91" s="49" t="str">
        <f t="shared" si="57"/>
        <v/>
      </c>
      <c r="CK91" s="45"/>
      <c r="CL91" s="44">
        <v>1</v>
      </c>
      <c r="CM91" s="50" t="s">
        <v>514</v>
      </c>
      <c r="CN91" s="44" t="s">
        <v>371</v>
      </c>
      <c r="CO91" s="44">
        <v>2</v>
      </c>
      <c r="CP91" s="44">
        <v>42</v>
      </c>
      <c r="CQ91" s="44">
        <v>10</v>
      </c>
      <c r="CR91" s="43" t="str">
        <f t="shared" si="58"/>
        <v>K00_P_</v>
      </c>
      <c r="CS91" s="45">
        <v>5000</v>
      </c>
      <c r="CT91" s="43" t="str">
        <f>IF(IFERROR(INDEX(Consulta!$A:$DP,MATCH('MM01'!$B91,Consulta!$C:$C,0),'MM01'!CT$2),"")=0,"",IFERROR(INDEX(Consulta!$A:$DP,MATCH('MM01'!$B91,Consulta!$C:$C,0),'MM01'!CT$2),""))</f>
        <v/>
      </c>
      <c r="CU91" s="43" t="str">
        <f>IF(IFERROR(INDEX(Consulta!$A:$DP,MATCH('MM01'!$B91,Consulta!$C:$C,0),'MM01'!CU$2),"")=0,"",IFERROR(INDEX(Consulta!$A:$DP,MATCH('MM01'!$B91,Consulta!$C:$C,0),'MM01'!CU$2),""))</f>
        <v/>
      </c>
      <c r="CV91" s="43" t="str">
        <f>IF(IFERROR(INDEX(Consulta!$A:$DP,MATCH('MM01'!$B91,Consulta!$C:$C,0),'MM01'!CV$2),"")=0,"",IFERROR(INDEX(Consulta!$A:$DP,MATCH('MM01'!$B91,Consulta!$C:$C,0),'MM01'!CV$2),""))</f>
        <v/>
      </c>
      <c r="CW91" s="43" t="str">
        <f>IF(IFERROR(INDEX(Consulta!$A:$DP,MATCH('MM01'!$B91,Consulta!$C:$C,0),'MM01'!CW$2),"")=0,"",IFERROR(INDEX(Consulta!$A:$DP,MATCH('MM01'!$B91,Consulta!$C:$C,0),'MM01'!CW$2),""))</f>
        <v/>
      </c>
      <c r="CX91" s="43" t="str">
        <f t="shared" si="59"/>
        <v/>
      </c>
      <c r="CY91" s="43" t="str">
        <f t="shared" si="60"/>
        <v/>
      </c>
      <c r="CZ91" s="43" t="str">
        <f t="shared" si="61"/>
        <v/>
      </c>
      <c r="DA91" s="43" t="str">
        <f>IF(IFERROR(INDEX(Consulta!$A:$DP,MATCH('MM01'!$B91,Consulta!$C:$C,0),'MM01'!DA$2),"")=0,"",IFERROR(INDEX(Consulta!$A:$DP,MATCH('MM01'!$B91,Consulta!$C:$C,0),'MM01'!DA$2),""))</f>
        <v/>
      </c>
      <c r="DB91" s="43" t="str">
        <f t="shared" si="62"/>
        <v/>
      </c>
      <c r="DC91" s="43" t="str">
        <f>IF(IFERROR(INDEX(Consulta!$A:$DP,MATCH('MM01'!$B91,Consulta!$C:$C,0),'MM01'!DC$2),"")=0,"",IFERROR(INDEX(Consulta!$A:$DP,MATCH('MM01'!$B91,Consulta!$C:$C,0),'MM01'!DC$2),""))</f>
        <v/>
      </c>
      <c r="DD91" s="45">
        <v>0</v>
      </c>
      <c r="DE91" s="45">
        <v>0</v>
      </c>
      <c r="DF91" s="43" t="str">
        <f t="shared" si="63"/>
        <v/>
      </c>
      <c r="DG91" s="43" t="str">
        <f t="shared" si="64"/>
        <v/>
      </c>
      <c r="DH91" s="57"/>
      <c r="DI91" s="43" t="str">
        <f t="shared" ca="1" si="65"/>
        <v/>
      </c>
      <c r="DJ91" s="43" t="str">
        <f t="shared" si="66"/>
        <v/>
      </c>
      <c r="DK91" s="43" t="str">
        <f t="shared" si="67"/>
        <v/>
      </c>
      <c r="DL91" s="57"/>
      <c r="DM91" s="43" t="str">
        <f t="shared" ca="1" si="68"/>
        <v/>
      </c>
      <c r="DN91" s="43" t="str">
        <f t="shared" si="69"/>
        <v/>
      </c>
      <c r="DO91" s="43" t="str">
        <f t="shared" si="70"/>
        <v/>
      </c>
      <c r="DP91" s="57"/>
      <c r="DQ91" s="43" t="str">
        <f t="shared" ca="1" si="71"/>
        <v/>
      </c>
      <c r="DR91" s="43" t="str">
        <f t="shared" si="72"/>
        <v/>
      </c>
      <c r="DS91" s="43" t="str">
        <f t="shared" si="73"/>
        <v/>
      </c>
      <c r="DT91" s="57"/>
      <c r="DU91" s="43" t="str">
        <f t="shared" ca="1" si="74"/>
        <v/>
      </c>
      <c r="DV91" s="43" t="str">
        <f t="shared" si="75"/>
        <v/>
      </c>
      <c r="DX91" s="44">
        <v>1</v>
      </c>
      <c r="DY91" s="44" t="s">
        <v>773</v>
      </c>
      <c r="DZ91" s="43">
        <f t="shared" si="76"/>
        <v>0.01</v>
      </c>
      <c r="EA91" s="43" t="str">
        <f t="shared" si="77"/>
        <v>M</v>
      </c>
      <c r="EB91" s="43" t="str">
        <f>IF(IFERROR(INDEX(Consulta!$A:$DP,MATCH('MM01'!$B91,Consulta!$C:$C,0),'MM01'!EB$2),"")=0,"7925",IF(IFERROR(INDEX(Consulta!$A:$DP,MATCH('MM01'!$B91,Consulta!$C:$C,0),'MM01'!EB$2),"")="68","7910","7925"))</f>
        <v>7925</v>
      </c>
      <c r="EC91" s="44">
        <v>100</v>
      </c>
      <c r="ED91" s="62">
        <v>1</v>
      </c>
      <c r="EE91" s="43">
        <f t="shared" si="78"/>
        <v>100</v>
      </c>
      <c r="EF91" s="44">
        <v>1</v>
      </c>
      <c r="EG91" s="44">
        <v>0</v>
      </c>
      <c r="EH91" s="44" t="s">
        <v>875</v>
      </c>
      <c r="EI91" s="45">
        <v>0</v>
      </c>
      <c r="EJ91" s="43">
        <f t="shared" si="79"/>
        <v>5000</v>
      </c>
      <c r="EK91" s="69"/>
    </row>
    <row r="92" spans="1:141" x14ac:dyDescent="0.2">
      <c r="A92" s="7" t="str">
        <f t="shared" si="80"/>
        <v>Execução 88</v>
      </c>
      <c r="B92" s="42"/>
      <c r="C92" s="43" t="str">
        <f>IF(IFERROR(INDEX(Consulta!$A:$DP,MATCH('MM01'!$B92,Consulta!$C:$C,0),'MM01'!C$2),"")=0,"",IFERROR(INDEX(Consulta!$A:$DP,MATCH('MM01'!$B92,Consulta!$C:$C,0),'MM01'!C$2),""))</f>
        <v/>
      </c>
      <c r="D92" s="43" t="str">
        <f>IF(IFERROR(INDEX(Consulta!$A:$DP,MATCH('MM01'!$B92,Consulta!$C:$C,0),'MM01'!D$2),"")=0,"",IFERROR(INDEX(Consulta!$A:$DP,MATCH('MM01'!$B92,Consulta!$C:$C,0),'MM01'!D$2),""))</f>
        <v/>
      </c>
      <c r="E92" s="43" t="str">
        <f>IF(IFERROR(INDEX(Consulta!$A:$DP,MATCH('MM01'!$B92,Consulta!$C:$C,0),'MM01'!E$2),"")=0,"",IFERROR(INDEX(Consulta!$A:$DP,MATCH('MM01'!$B92,Consulta!$C:$C,0),'MM01'!E$2),""))</f>
        <v/>
      </c>
      <c r="F92" s="44" t="s">
        <v>100</v>
      </c>
      <c r="G92" s="49" t="str">
        <f>IF(IFERROR(INDEX(Consulta!$A:$DP,MATCH('MM01'!$B92,Consulta!$C:$C,0),'MM01'!G$2),"")=0,"",IFERROR(INDEX(Consulta!$A:$DP,MATCH('MM01'!$B92,Consulta!$C:$C,0),'MM01'!G$2),""))</f>
        <v/>
      </c>
      <c r="H92" s="49" t="str">
        <f>IF(IFERROR(INDEX(Consulta!$A:$DP,MATCH('MM01'!$B92,Consulta!$C:$C,0),'MM01'!H$2),"")=0,"",IFERROR(INDEX(Consulta!$A:$DP,MATCH('MM01'!$B92,Consulta!$C:$C,0),'MM01'!H$2),""))</f>
        <v/>
      </c>
      <c r="I92" s="49" t="str">
        <f t="shared" si="41"/>
        <v/>
      </c>
      <c r="J92" s="49" t="str">
        <f>IF(IFERROR(INDEX(Consulta!$A:$DP,MATCH('MM01'!$B92,Consulta!$C:$C,0),'MM01'!J$2),"")=0,"",IFERROR(INDEX(Consulta!$A:$DP,MATCH('MM01'!$B92,Consulta!$C:$C,0),'MM01'!J$2),""))</f>
        <v/>
      </c>
      <c r="K92" s="49" t="str">
        <f t="shared" si="42"/>
        <v/>
      </c>
      <c r="M92" s="45" t="s">
        <v>101</v>
      </c>
      <c r="N92" s="45" t="s">
        <v>102</v>
      </c>
      <c r="O92" s="45" t="s">
        <v>103</v>
      </c>
      <c r="P92" s="45" t="s">
        <v>104</v>
      </c>
      <c r="Q92" s="45" t="s">
        <v>105</v>
      </c>
      <c r="R92" s="45" t="s">
        <v>106</v>
      </c>
      <c r="S92" s="45" t="s">
        <v>107</v>
      </c>
      <c r="T92" s="45"/>
      <c r="U92" s="45"/>
      <c r="V92" s="45"/>
      <c r="W92" s="45"/>
      <c r="X92" s="45" t="s">
        <v>112</v>
      </c>
      <c r="Y92" s="45" t="s">
        <v>113</v>
      </c>
      <c r="Z92" s="45" t="s">
        <v>114</v>
      </c>
      <c r="AA92" s="45" t="s">
        <v>115</v>
      </c>
      <c r="AB92" s="45" t="s">
        <v>117</v>
      </c>
      <c r="AC92" s="45" t="s">
        <v>118</v>
      </c>
      <c r="AD92" s="45" t="s">
        <v>119</v>
      </c>
      <c r="AE92" s="45" t="s">
        <v>120</v>
      </c>
      <c r="AF92" s="45" t="s">
        <v>121</v>
      </c>
      <c r="AG92" s="45" t="s">
        <v>122</v>
      </c>
      <c r="AH92" s="45" t="s">
        <v>123</v>
      </c>
      <c r="AI92" s="45" t="s">
        <v>124</v>
      </c>
      <c r="AJ92" s="45" t="s">
        <v>125</v>
      </c>
      <c r="AK92" s="45" t="s">
        <v>126</v>
      </c>
      <c r="AL92" s="45"/>
      <c r="AM92" s="45"/>
      <c r="AO92" s="44" t="s">
        <v>100</v>
      </c>
      <c r="AP92" s="43" t="str">
        <f>IF(IFERROR(INDEX(Consulta!$A:$DP,MATCH('MM01'!$B92,Consulta!$C:$C,0),'MM01'!AP$2),"")=0,"",IFERROR(INDEX(Consulta!$A:$DP,MATCH('MM01'!$B92,Consulta!$C:$C,0),'MM01'!AP$2),""))</f>
        <v/>
      </c>
      <c r="AQ92" s="45"/>
      <c r="AR92" s="43" t="str">
        <f>IF(IFERROR(INDEX(Consulta!$A:$DP,MATCH('MM01'!$B92,Consulta!$C:$C,0),'MM01'!AR$2),"")=0,"",IFERROR(INDEX(Consulta!$A:$DP,MATCH('MM01'!$B92,Consulta!$C:$C,0),'MM01'!AR$2),""))</f>
        <v/>
      </c>
      <c r="AS92" s="43" t="str">
        <f>IF(IFERROR(INDEX(Consulta!$A:$DP,MATCH('MM01'!$B92,Consulta!$C:$C,0),'MM01'!AS$2),"")=0,"",IF(AR92="68",5102,IFERROR(INDEX(Consulta!$A:$DP,MATCH('MM01'!$B92,Consulta!$C:$C,0),'MM01'!AS$2),"")))</f>
        <v/>
      </c>
      <c r="AT92" s="45"/>
      <c r="AU92" s="46" t="str">
        <f t="shared" ca="1" si="43"/>
        <v/>
      </c>
      <c r="AV92" s="47" t="s">
        <v>795</v>
      </c>
      <c r="AW92" s="43" t="str">
        <f>IF(IFERROR(INDEX(Consulta!$A:$DP,MATCH('MM01'!$B92,Consulta!$C:$C,0),'MM01'!AW$2),"")=0,"",IFERROR(ROUND(INDEX(Consulta!$A:$DP,MATCH('MM01'!$B92,Consulta!$C:$C,0),'MM01'!AW$2),3),""))</f>
        <v/>
      </c>
      <c r="AX92" s="43" t="str">
        <f t="shared" si="44"/>
        <v/>
      </c>
      <c r="AY92" s="48" t="s">
        <v>299</v>
      </c>
      <c r="AZ92" s="48"/>
      <c r="BA92" s="43" t="str">
        <f>IF(IFERROR(INDEX(Consulta!$A:$DP,MATCH('MM01'!$B92,Consulta!$C:$C,0),'MM01'!BA$2),"")=0,"",IFERROR(INDEX(Consulta!$A:$DP,MATCH('MM01'!$B92,Consulta!$C:$C,0),'MM01'!BA$2),""))</f>
        <v/>
      </c>
      <c r="BB92" s="43" t="str">
        <f t="shared" si="45"/>
        <v/>
      </c>
      <c r="BC92" s="43" t="str">
        <f t="shared" si="46"/>
        <v/>
      </c>
      <c r="BD92" s="43" t="str">
        <f t="shared" si="47"/>
        <v/>
      </c>
      <c r="BE92" s="43" t="str">
        <f t="shared" si="48"/>
        <v>M</v>
      </c>
      <c r="BF92" s="43" t="str">
        <f t="shared" si="49"/>
        <v/>
      </c>
      <c r="BG92" s="43" t="str">
        <f t="shared" si="50"/>
        <v/>
      </c>
      <c r="BH92" s="43" t="str">
        <f t="shared" si="51"/>
        <v/>
      </c>
      <c r="BI92" s="43" t="str">
        <f t="shared" si="52"/>
        <v>M</v>
      </c>
      <c r="BK92" s="45" t="s">
        <v>324</v>
      </c>
      <c r="BL92" s="43" t="str">
        <f>IF(IFERROR(INDEX(Consulta!$A:$DP,MATCH('MM01'!$B92,Consulta!$C:$C,0),'MM01'!BL$2),"")=0,"",IFERROR(INDEX(Consulta!$A:$DP,MATCH('MM01'!$B92,Consulta!$C:$C,0),'MM01'!BL$2),""))</f>
        <v/>
      </c>
      <c r="BM92" s="45"/>
      <c r="BN92" s="46" t="str">
        <f t="shared" ca="1" si="53"/>
        <v/>
      </c>
      <c r="BO92" s="49" t="str">
        <f t="shared" si="54"/>
        <v/>
      </c>
      <c r="BP92" s="50">
        <v>1</v>
      </c>
      <c r="BQ92" s="50" t="s">
        <v>194</v>
      </c>
      <c r="BR92" s="79" t="str">
        <f t="shared" si="81"/>
        <v>01</v>
      </c>
      <c r="BS92" s="50" t="s">
        <v>795</v>
      </c>
      <c r="BT92" s="44">
        <v>1</v>
      </c>
      <c r="BU92" s="44" t="s">
        <v>371</v>
      </c>
      <c r="BV92" s="50" t="s">
        <v>197</v>
      </c>
      <c r="BW92" s="50" t="s">
        <v>197</v>
      </c>
      <c r="BX92" s="43" t="str">
        <f>IF(IFERROR(INDEX(Consulta!$A:$DP,MATCH('MM01'!$B92,Consulta!$C:$C,0),'MM01'!BX$2),"")=0,"",IFERROR(INDEX(Consulta!$A:$DP,MATCH('MM01'!$B92,Consulta!$C:$C,0),'MM01'!BX$2),""))</f>
        <v/>
      </c>
      <c r="BY92" s="44" t="s">
        <v>391</v>
      </c>
      <c r="BZ92" s="50">
        <v>0</v>
      </c>
      <c r="CA92" s="45" t="s">
        <v>402</v>
      </c>
      <c r="CB92" s="45" t="s">
        <v>84</v>
      </c>
      <c r="CC92" s="43" t="str">
        <f t="shared" si="55"/>
        <v/>
      </c>
      <c r="CD92" s="45" t="s">
        <v>38</v>
      </c>
      <c r="CE92" s="45">
        <v>1</v>
      </c>
      <c r="CF92" s="45" t="s">
        <v>495</v>
      </c>
      <c r="CG92" s="45"/>
      <c r="CH92" s="44">
        <v>2</v>
      </c>
      <c r="CI92" s="49" t="str">
        <f t="shared" si="56"/>
        <v/>
      </c>
      <c r="CJ92" s="49" t="str">
        <f t="shared" si="57"/>
        <v/>
      </c>
      <c r="CK92" s="45"/>
      <c r="CL92" s="44">
        <v>1</v>
      </c>
      <c r="CM92" s="50" t="s">
        <v>514</v>
      </c>
      <c r="CN92" s="44" t="s">
        <v>371</v>
      </c>
      <c r="CO92" s="44">
        <v>2</v>
      </c>
      <c r="CP92" s="44">
        <v>42</v>
      </c>
      <c r="CQ92" s="44">
        <v>10</v>
      </c>
      <c r="CR92" s="43" t="str">
        <f t="shared" si="58"/>
        <v>K00_P_</v>
      </c>
      <c r="CS92" s="45">
        <v>5000</v>
      </c>
      <c r="CT92" s="43" t="str">
        <f>IF(IFERROR(INDEX(Consulta!$A:$DP,MATCH('MM01'!$B92,Consulta!$C:$C,0),'MM01'!CT$2),"")=0,"",IFERROR(INDEX(Consulta!$A:$DP,MATCH('MM01'!$B92,Consulta!$C:$C,0),'MM01'!CT$2),""))</f>
        <v/>
      </c>
      <c r="CU92" s="43" t="str">
        <f>IF(IFERROR(INDEX(Consulta!$A:$DP,MATCH('MM01'!$B92,Consulta!$C:$C,0),'MM01'!CU$2),"")=0,"",IFERROR(INDEX(Consulta!$A:$DP,MATCH('MM01'!$B92,Consulta!$C:$C,0),'MM01'!CU$2),""))</f>
        <v/>
      </c>
      <c r="CV92" s="43" t="str">
        <f>IF(IFERROR(INDEX(Consulta!$A:$DP,MATCH('MM01'!$B92,Consulta!$C:$C,0),'MM01'!CV$2),"")=0,"",IFERROR(INDEX(Consulta!$A:$DP,MATCH('MM01'!$B92,Consulta!$C:$C,0),'MM01'!CV$2),""))</f>
        <v/>
      </c>
      <c r="CW92" s="43" t="str">
        <f>IF(IFERROR(INDEX(Consulta!$A:$DP,MATCH('MM01'!$B92,Consulta!$C:$C,0),'MM01'!CW$2),"")=0,"",IFERROR(INDEX(Consulta!$A:$DP,MATCH('MM01'!$B92,Consulta!$C:$C,0),'MM01'!CW$2),""))</f>
        <v/>
      </c>
      <c r="CX92" s="43" t="str">
        <f t="shared" si="59"/>
        <v/>
      </c>
      <c r="CY92" s="43" t="str">
        <f t="shared" si="60"/>
        <v/>
      </c>
      <c r="CZ92" s="43" t="str">
        <f t="shared" si="61"/>
        <v/>
      </c>
      <c r="DA92" s="43" t="str">
        <f>IF(IFERROR(INDEX(Consulta!$A:$DP,MATCH('MM01'!$B92,Consulta!$C:$C,0),'MM01'!DA$2),"")=0,"",IFERROR(INDEX(Consulta!$A:$DP,MATCH('MM01'!$B92,Consulta!$C:$C,0),'MM01'!DA$2),""))</f>
        <v/>
      </c>
      <c r="DB92" s="43" t="str">
        <f t="shared" si="62"/>
        <v/>
      </c>
      <c r="DC92" s="43" t="str">
        <f>IF(IFERROR(INDEX(Consulta!$A:$DP,MATCH('MM01'!$B92,Consulta!$C:$C,0),'MM01'!DC$2),"")=0,"",IFERROR(INDEX(Consulta!$A:$DP,MATCH('MM01'!$B92,Consulta!$C:$C,0),'MM01'!DC$2),""))</f>
        <v/>
      </c>
      <c r="DD92" s="45">
        <v>0</v>
      </c>
      <c r="DE92" s="45">
        <v>0</v>
      </c>
      <c r="DF92" s="43" t="str">
        <f t="shared" si="63"/>
        <v/>
      </c>
      <c r="DG92" s="43" t="str">
        <f t="shared" si="64"/>
        <v/>
      </c>
      <c r="DH92" s="57"/>
      <c r="DI92" s="43" t="str">
        <f t="shared" ca="1" si="65"/>
        <v/>
      </c>
      <c r="DJ92" s="43" t="str">
        <f t="shared" si="66"/>
        <v/>
      </c>
      <c r="DK92" s="43" t="str">
        <f t="shared" si="67"/>
        <v/>
      </c>
      <c r="DL92" s="57"/>
      <c r="DM92" s="43" t="str">
        <f t="shared" ca="1" si="68"/>
        <v/>
      </c>
      <c r="DN92" s="43" t="str">
        <f t="shared" si="69"/>
        <v/>
      </c>
      <c r="DO92" s="43" t="str">
        <f t="shared" si="70"/>
        <v/>
      </c>
      <c r="DP92" s="57"/>
      <c r="DQ92" s="43" t="str">
        <f t="shared" ca="1" si="71"/>
        <v/>
      </c>
      <c r="DR92" s="43" t="str">
        <f t="shared" si="72"/>
        <v/>
      </c>
      <c r="DS92" s="43" t="str">
        <f t="shared" si="73"/>
        <v/>
      </c>
      <c r="DT92" s="57"/>
      <c r="DU92" s="43" t="str">
        <f t="shared" ca="1" si="74"/>
        <v/>
      </c>
      <c r="DV92" s="43" t="str">
        <f t="shared" si="75"/>
        <v/>
      </c>
      <c r="DX92" s="44">
        <v>1</v>
      </c>
      <c r="DY92" s="44" t="s">
        <v>773</v>
      </c>
      <c r="DZ92" s="43">
        <f t="shared" si="76"/>
        <v>0.01</v>
      </c>
      <c r="EA92" s="43" t="str">
        <f t="shared" si="77"/>
        <v>M</v>
      </c>
      <c r="EB92" s="43" t="str">
        <f>IF(IFERROR(INDEX(Consulta!$A:$DP,MATCH('MM01'!$B92,Consulta!$C:$C,0),'MM01'!EB$2),"")=0,"7925",IF(IFERROR(INDEX(Consulta!$A:$DP,MATCH('MM01'!$B92,Consulta!$C:$C,0),'MM01'!EB$2),"")="68","7910","7925"))</f>
        <v>7925</v>
      </c>
      <c r="EC92" s="44">
        <v>100</v>
      </c>
      <c r="ED92" s="62">
        <v>1</v>
      </c>
      <c r="EE92" s="43">
        <f t="shared" si="78"/>
        <v>100</v>
      </c>
      <c r="EF92" s="44">
        <v>1</v>
      </c>
      <c r="EG92" s="44">
        <v>0</v>
      </c>
      <c r="EH92" s="44" t="s">
        <v>875</v>
      </c>
      <c r="EI92" s="45">
        <v>0</v>
      </c>
      <c r="EJ92" s="43">
        <f t="shared" si="79"/>
        <v>5000</v>
      </c>
      <c r="EK92" s="69"/>
    </row>
    <row r="93" spans="1:141" x14ac:dyDescent="0.2">
      <c r="A93" s="7" t="str">
        <f t="shared" si="80"/>
        <v>Execução 89</v>
      </c>
      <c r="B93" s="42"/>
      <c r="C93" s="43" t="str">
        <f>IF(IFERROR(INDEX(Consulta!$A:$DP,MATCH('MM01'!$B93,Consulta!$C:$C,0),'MM01'!C$2),"")=0,"",IFERROR(INDEX(Consulta!$A:$DP,MATCH('MM01'!$B93,Consulta!$C:$C,0),'MM01'!C$2),""))</f>
        <v/>
      </c>
      <c r="D93" s="43" t="str">
        <f>IF(IFERROR(INDEX(Consulta!$A:$DP,MATCH('MM01'!$B93,Consulta!$C:$C,0),'MM01'!D$2),"")=0,"",IFERROR(INDEX(Consulta!$A:$DP,MATCH('MM01'!$B93,Consulta!$C:$C,0),'MM01'!D$2),""))</f>
        <v/>
      </c>
      <c r="E93" s="43" t="str">
        <f>IF(IFERROR(INDEX(Consulta!$A:$DP,MATCH('MM01'!$B93,Consulta!$C:$C,0),'MM01'!E$2),"")=0,"",IFERROR(INDEX(Consulta!$A:$DP,MATCH('MM01'!$B93,Consulta!$C:$C,0),'MM01'!E$2),""))</f>
        <v/>
      </c>
      <c r="F93" s="44" t="s">
        <v>100</v>
      </c>
      <c r="G93" s="49" t="str">
        <f>IF(IFERROR(INDEX(Consulta!$A:$DP,MATCH('MM01'!$B93,Consulta!$C:$C,0),'MM01'!G$2),"")=0,"",IFERROR(INDEX(Consulta!$A:$DP,MATCH('MM01'!$B93,Consulta!$C:$C,0),'MM01'!G$2),""))</f>
        <v/>
      </c>
      <c r="H93" s="49" t="str">
        <f>IF(IFERROR(INDEX(Consulta!$A:$DP,MATCH('MM01'!$B93,Consulta!$C:$C,0),'MM01'!H$2),"")=0,"",IFERROR(INDEX(Consulta!$A:$DP,MATCH('MM01'!$B93,Consulta!$C:$C,0),'MM01'!H$2),""))</f>
        <v/>
      </c>
      <c r="I93" s="49" t="str">
        <f t="shared" si="41"/>
        <v/>
      </c>
      <c r="J93" s="49" t="str">
        <f>IF(IFERROR(INDEX(Consulta!$A:$DP,MATCH('MM01'!$B93,Consulta!$C:$C,0),'MM01'!J$2),"")=0,"",IFERROR(INDEX(Consulta!$A:$DP,MATCH('MM01'!$B93,Consulta!$C:$C,0),'MM01'!J$2),""))</f>
        <v/>
      </c>
      <c r="K93" s="49" t="str">
        <f t="shared" si="42"/>
        <v/>
      </c>
      <c r="M93" s="45" t="s">
        <v>101</v>
      </c>
      <c r="N93" s="45" t="s">
        <v>102</v>
      </c>
      <c r="O93" s="45" t="s">
        <v>103</v>
      </c>
      <c r="P93" s="45" t="s">
        <v>104</v>
      </c>
      <c r="Q93" s="45" t="s">
        <v>105</v>
      </c>
      <c r="R93" s="45" t="s">
        <v>106</v>
      </c>
      <c r="S93" s="45" t="s">
        <v>107</v>
      </c>
      <c r="T93" s="45"/>
      <c r="U93" s="45"/>
      <c r="V93" s="45"/>
      <c r="W93" s="45"/>
      <c r="X93" s="45" t="s">
        <v>112</v>
      </c>
      <c r="Y93" s="45" t="s">
        <v>113</v>
      </c>
      <c r="Z93" s="45" t="s">
        <v>114</v>
      </c>
      <c r="AA93" s="45" t="s">
        <v>115</v>
      </c>
      <c r="AB93" s="45" t="s">
        <v>117</v>
      </c>
      <c r="AC93" s="45" t="s">
        <v>118</v>
      </c>
      <c r="AD93" s="45" t="s">
        <v>119</v>
      </c>
      <c r="AE93" s="45" t="s">
        <v>120</v>
      </c>
      <c r="AF93" s="45" t="s">
        <v>121</v>
      </c>
      <c r="AG93" s="45" t="s">
        <v>122</v>
      </c>
      <c r="AH93" s="45" t="s">
        <v>123</v>
      </c>
      <c r="AI93" s="45" t="s">
        <v>124</v>
      </c>
      <c r="AJ93" s="45" t="s">
        <v>125</v>
      </c>
      <c r="AK93" s="45" t="s">
        <v>126</v>
      </c>
      <c r="AL93" s="45"/>
      <c r="AM93" s="45"/>
      <c r="AO93" s="44" t="s">
        <v>100</v>
      </c>
      <c r="AP93" s="43" t="str">
        <f>IF(IFERROR(INDEX(Consulta!$A:$DP,MATCH('MM01'!$B93,Consulta!$C:$C,0),'MM01'!AP$2),"")=0,"",IFERROR(INDEX(Consulta!$A:$DP,MATCH('MM01'!$B93,Consulta!$C:$C,0),'MM01'!AP$2),""))</f>
        <v/>
      </c>
      <c r="AQ93" s="45"/>
      <c r="AR93" s="43" t="str">
        <f>IF(IFERROR(INDEX(Consulta!$A:$DP,MATCH('MM01'!$B93,Consulta!$C:$C,0),'MM01'!AR$2),"")=0,"",IFERROR(INDEX(Consulta!$A:$DP,MATCH('MM01'!$B93,Consulta!$C:$C,0),'MM01'!AR$2),""))</f>
        <v/>
      </c>
      <c r="AS93" s="43" t="str">
        <f>IF(IFERROR(INDEX(Consulta!$A:$DP,MATCH('MM01'!$B93,Consulta!$C:$C,0),'MM01'!AS$2),"")=0,"",IF(AR93="68",5102,IFERROR(INDEX(Consulta!$A:$DP,MATCH('MM01'!$B93,Consulta!$C:$C,0),'MM01'!AS$2),"")))</f>
        <v/>
      </c>
      <c r="AT93" s="45"/>
      <c r="AU93" s="46" t="str">
        <f t="shared" ca="1" si="43"/>
        <v/>
      </c>
      <c r="AV93" s="47" t="s">
        <v>795</v>
      </c>
      <c r="AW93" s="43" t="str">
        <f>IF(IFERROR(INDEX(Consulta!$A:$DP,MATCH('MM01'!$B93,Consulta!$C:$C,0),'MM01'!AW$2),"")=0,"",IFERROR(ROUND(INDEX(Consulta!$A:$DP,MATCH('MM01'!$B93,Consulta!$C:$C,0),'MM01'!AW$2),3),""))</f>
        <v/>
      </c>
      <c r="AX93" s="43" t="str">
        <f t="shared" si="44"/>
        <v/>
      </c>
      <c r="AY93" s="48" t="s">
        <v>299</v>
      </c>
      <c r="AZ93" s="48"/>
      <c r="BA93" s="43" t="str">
        <f>IF(IFERROR(INDEX(Consulta!$A:$DP,MATCH('MM01'!$B93,Consulta!$C:$C,0),'MM01'!BA$2),"")=0,"",IFERROR(INDEX(Consulta!$A:$DP,MATCH('MM01'!$B93,Consulta!$C:$C,0),'MM01'!BA$2),""))</f>
        <v/>
      </c>
      <c r="BB93" s="43" t="str">
        <f t="shared" si="45"/>
        <v/>
      </c>
      <c r="BC93" s="43" t="str">
        <f t="shared" si="46"/>
        <v/>
      </c>
      <c r="BD93" s="43" t="str">
        <f t="shared" si="47"/>
        <v/>
      </c>
      <c r="BE93" s="43" t="str">
        <f t="shared" si="48"/>
        <v>M</v>
      </c>
      <c r="BF93" s="43" t="str">
        <f t="shared" si="49"/>
        <v/>
      </c>
      <c r="BG93" s="43" t="str">
        <f t="shared" si="50"/>
        <v/>
      </c>
      <c r="BH93" s="43" t="str">
        <f t="shared" si="51"/>
        <v/>
      </c>
      <c r="BI93" s="43" t="str">
        <f t="shared" si="52"/>
        <v>M</v>
      </c>
      <c r="BK93" s="45" t="s">
        <v>324</v>
      </c>
      <c r="BL93" s="43" t="str">
        <f>IF(IFERROR(INDEX(Consulta!$A:$DP,MATCH('MM01'!$B93,Consulta!$C:$C,0),'MM01'!BL$2),"")=0,"",IFERROR(INDEX(Consulta!$A:$DP,MATCH('MM01'!$B93,Consulta!$C:$C,0),'MM01'!BL$2),""))</f>
        <v/>
      </c>
      <c r="BM93" s="45"/>
      <c r="BN93" s="46" t="str">
        <f t="shared" ca="1" si="53"/>
        <v/>
      </c>
      <c r="BO93" s="49" t="str">
        <f t="shared" si="54"/>
        <v/>
      </c>
      <c r="BP93" s="50">
        <v>1</v>
      </c>
      <c r="BQ93" s="50" t="s">
        <v>194</v>
      </c>
      <c r="BR93" s="79" t="str">
        <f t="shared" si="81"/>
        <v>01</v>
      </c>
      <c r="BS93" s="50" t="s">
        <v>795</v>
      </c>
      <c r="BT93" s="44">
        <v>1</v>
      </c>
      <c r="BU93" s="44" t="s">
        <v>371</v>
      </c>
      <c r="BV93" s="50" t="s">
        <v>197</v>
      </c>
      <c r="BW93" s="50" t="s">
        <v>197</v>
      </c>
      <c r="BX93" s="43" t="str">
        <f>IF(IFERROR(INDEX(Consulta!$A:$DP,MATCH('MM01'!$B93,Consulta!$C:$C,0),'MM01'!BX$2),"")=0,"",IFERROR(INDEX(Consulta!$A:$DP,MATCH('MM01'!$B93,Consulta!$C:$C,0),'MM01'!BX$2),""))</f>
        <v/>
      </c>
      <c r="BY93" s="44" t="s">
        <v>391</v>
      </c>
      <c r="BZ93" s="50">
        <v>0</v>
      </c>
      <c r="CA93" s="45" t="s">
        <v>402</v>
      </c>
      <c r="CB93" s="45" t="s">
        <v>84</v>
      </c>
      <c r="CC93" s="43" t="str">
        <f t="shared" si="55"/>
        <v/>
      </c>
      <c r="CD93" s="45" t="s">
        <v>38</v>
      </c>
      <c r="CE93" s="45">
        <v>1</v>
      </c>
      <c r="CF93" s="45" t="s">
        <v>495</v>
      </c>
      <c r="CG93" s="45"/>
      <c r="CH93" s="44">
        <v>2</v>
      </c>
      <c r="CI93" s="49" t="str">
        <f t="shared" si="56"/>
        <v/>
      </c>
      <c r="CJ93" s="49" t="str">
        <f t="shared" si="57"/>
        <v/>
      </c>
      <c r="CK93" s="45"/>
      <c r="CL93" s="44">
        <v>1</v>
      </c>
      <c r="CM93" s="50" t="s">
        <v>514</v>
      </c>
      <c r="CN93" s="44" t="s">
        <v>371</v>
      </c>
      <c r="CO93" s="44">
        <v>2</v>
      </c>
      <c r="CP93" s="44">
        <v>42</v>
      </c>
      <c r="CQ93" s="44">
        <v>10</v>
      </c>
      <c r="CR93" s="43" t="str">
        <f t="shared" si="58"/>
        <v>K00_P_</v>
      </c>
      <c r="CS93" s="45">
        <v>5000</v>
      </c>
      <c r="CT93" s="43" t="str">
        <f>IF(IFERROR(INDEX(Consulta!$A:$DP,MATCH('MM01'!$B93,Consulta!$C:$C,0),'MM01'!CT$2),"")=0,"",IFERROR(INDEX(Consulta!$A:$DP,MATCH('MM01'!$B93,Consulta!$C:$C,0),'MM01'!CT$2),""))</f>
        <v/>
      </c>
      <c r="CU93" s="43" t="str">
        <f>IF(IFERROR(INDEX(Consulta!$A:$DP,MATCH('MM01'!$B93,Consulta!$C:$C,0),'MM01'!CU$2),"")=0,"",IFERROR(INDEX(Consulta!$A:$DP,MATCH('MM01'!$B93,Consulta!$C:$C,0),'MM01'!CU$2),""))</f>
        <v/>
      </c>
      <c r="CV93" s="43" t="str">
        <f>IF(IFERROR(INDEX(Consulta!$A:$DP,MATCH('MM01'!$B93,Consulta!$C:$C,0),'MM01'!CV$2),"")=0,"",IFERROR(INDEX(Consulta!$A:$DP,MATCH('MM01'!$B93,Consulta!$C:$C,0),'MM01'!CV$2),""))</f>
        <v/>
      </c>
      <c r="CW93" s="43" t="str">
        <f>IF(IFERROR(INDEX(Consulta!$A:$DP,MATCH('MM01'!$B93,Consulta!$C:$C,0),'MM01'!CW$2),"")=0,"",IFERROR(INDEX(Consulta!$A:$DP,MATCH('MM01'!$B93,Consulta!$C:$C,0),'MM01'!CW$2),""))</f>
        <v/>
      </c>
      <c r="CX93" s="43" t="str">
        <f t="shared" si="59"/>
        <v/>
      </c>
      <c r="CY93" s="43" t="str">
        <f t="shared" si="60"/>
        <v/>
      </c>
      <c r="CZ93" s="43" t="str">
        <f t="shared" si="61"/>
        <v/>
      </c>
      <c r="DA93" s="43" t="str">
        <f>IF(IFERROR(INDEX(Consulta!$A:$DP,MATCH('MM01'!$B93,Consulta!$C:$C,0),'MM01'!DA$2),"")=0,"",IFERROR(INDEX(Consulta!$A:$DP,MATCH('MM01'!$B93,Consulta!$C:$C,0),'MM01'!DA$2),""))</f>
        <v/>
      </c>
      <c r="DB93" s="43" t="str">
        <f t="shared" si="62"/>
        <v/>
      </c>
      <c r="DC93" s="43" t="str">
        <f>IF(IFERROR(INDEX(Consulta!$A:$DP,MATCH('MM01'!$B93,Consulta!$C:$C,0),'MM01'!DC$2),"")=0,"",IFERROR(INDEX(Consulta!$A:$DP,MATCH('MM01'!$B93,Consulta!$C:$C,0),'MM01'!DC$2),""))</f>
        <v/>
      </c>
      <c r="DD93" s="45">
        <v>0</v>
      </c>
      <c r="DE93" s="45">
        <v>0</v>
      </c>
      <c r="DF93" s="43" t="str">
        <f t="shared" si="63"/>
        <v/>
      </c>
      <c r="DG93" s="43" t="str">
        <f t="shared" si="64"/>
        <v/>
      </c>
      <c r="DH93" s="57"/>
      <c r="DI93" s="43" t="str">
        <f t="shared" ca="1" si="65"/>
        <v/>
      </c>
      <c r="DJ93" s="43" t="str">
        <f t="shared" si="66"/>
        <v/>
      </c>
      <c r="DK93" s="43" t="str">
        <f t="shared" si="67"/>
        <v/>
      </c>
      <c r="DL93" s="57"/>
      <c r="DM93" s="43" t="str">
        <f t="shared" ca="1" si="68"/>
        <v/>
      </c>
      <c r="DN93" s="43" t="str">
        <f t="shared" si="69"/>
        <v/>
      </c>
      <c r="DO93" s="43" t="str">
        <f t="shared" si="70"/>
        <v/>
      </c>
      <c r="DP93" s="57"/>
      <c r="DQ93" s="43" t="str">
        <f t="shared" ca="1" si="71"/>
        <v/>
      </c>
      <c r="DR93" s="43" t="str">
        <f t="shared" si="72"/>
        <v/>
      </c>
      <c r="DS93" s="43" t="str">
        <f t="shared" si="73"/>
        <v/>
      </c>
      <c r="DT93" s="57"/>
      <c r="DU93" s="43" t="str">
        <f t="shared" ca="1" si="74"/>
        <v/>
      </c>
      <c r="DV93" s="43" t="str">
        <f t="shared" si="75"/>
        <v/>
      </c>
      <c r="DX93" s="44">
        <v>1</v>
      </c>
      <c r="DY93" s="44" t="s">
        <v>773</v>
      </c>
      <c r="DZ93" s="43">
        <f t="shared" si="76"/>
        <v>0.01</v>
      </c>
      <c r="EA93" s="43" t="str">
        <f t="shared" si="77"/>
        <v>M</v>
      </c>
      <c r="EB93" s="43" t="str">
        <f>IF(IFERROR(INDEX(Consulta!$A:$DP,MATCH('MM01'!$B93,Consulta!$C:$C,0),'MM01'!EB$2),"")=0,"7925",IF(IFERROR(INDEX(Consulta!$A:$DP,MATCH('MM01'!$B93,Consulta!$C:$C,0),'MM01'!EB$2),"")="68","7910","7925"))</f>
        <v>7925</v>
      </c>
      <c r="EC93" s="44">
        <v>100</v>
      </c>
      <c r="ED93" s="62">
        <v>1</v>
      </c>
      <c r="EE93" s="43">
        <f t="shared" si="78"/>
        <v>100</v>
      </c>
      <c r="EF93" s="44">
        <v>1</v>
      </c>
      <c r="EG93" s="44">
        <v>0</v>
      </c>
      <c r="EH93" s="44" t="s">
        <v>875</v>
      </c>
      <c r="EI93" s="45">
        <v>0</v>
      </c>
      <c r="EJ93" s="43">
        <f t="shared" si="79"/>
        <v>5000</v>
      </c>
      <c r="EK93" s="69"/>
    </row>
    <row r="94" spans="1:141" x14ac:dyDescent="0.2">
      <c r="A94" s="7" t="str">
        <f t="shared" si="80"/>
        <v>Execução 90</v>
      </c>
      <c r="B94" s="42"/>
      <c r="C94" s="43" t="str">
        <f>IF(IFERROR(INDEX(Consulta!$A:$DP,MATCH('MM01'!$B94,Consulta!$C:$C,0),'MM01'!C$2),"")=0,"",IFERROR(INDEX(Consulta!$A:$DP,MATCH('MM01'!$B94,Consulta!$C:$C,0),'MM01'!C$2),""))</f>
        <v/>
      </c>
      <c r="D94" s="43" t="str">
        <f>IF(IFERROR(INDEX(Consulta!$A:$DP,MATCH('MM01'!$B94,Consulta!$C:$C,0),'MM01'!D$2),"")=0,"",IFERROR(INDEX(Consulta!$A:$DP,MATCH('MM01'!$B94,Consulta!$C:$C,0),'MM01'!D$2),""))</f>
        <v/>
      </c>
      <c r="E94" s="43" t="str">
        <f>IF(IFERROR(INDEX(Consulta!$A:$DP,MATCH('MM01'!$B94,Consulta!$C:$C,0),'MM01'!E$2),"")=0,"",IFERROR(INDEX(Consulta!$A:$DP,MATCH('MM01'!$B94,Consulta!$C:$C,0),'MM01'!E$2),""))</f>
        <v/>
      </c>
      <c r="F94" s="44" t="s">
        <v>100</v>
      </c>
      <c r="G94" s="49" t="str">
        <f>IF(IFERROR(INDEX(Consulta!$A:$DP,MATCH('MM01'!$B94,Consulta!$C:$C,0),'MM01'!G$2),"")=0,"",IFERROR(INDEX(Consulta!$A:$DP,MATCH('MM01'!$B94,Consulta!$C:$C,0),'MM01'!G$2),""))</f>
        <v/>
      </c>
      <c r="H94" s="49" t="str">
        <f>IF(IFERROR(INDEX(Consulta!$A:$DP,MATCH('MM01'!$B94,Consulta!$C:$C,0),'MM01'!H$2),"")=0,"",IFERROR(INDEX(Consulta!$A:$DP,MATCH('MM01'!$B94,Consulta!$C:$C,0),'MM01'!H$2),""))</f>
        <v/>
      </c>
      <c r="I94" s="49" t="str">
        <f t="shared" si="41"/>
        <v/>
      </c>
      <c r="J94" s="49" t="str">
        <f>IF(IFERROR(INDEX(Consulta!$A:$DP,MATCH('MM01'!$B94,Consulta!$C:$C,0),'MM01'!J$2),"")=0,"",IFERROR(INDEX(Consulta!$A:$DP,MATCH('MM01'!$B94,Consulta!$C:$C,0),'MM01'!J$2),""))</f>
        <v/>
      </c>
      <c r="K94" s="49" t="str">
        <f t="shared" si="42"/>
        <v/>
      </c>
      <c r="M94" s="45" t="s">
        <v>101</v>
      </c>
      <c r="N94" s="45" t="s">
        <v>102</v>
      </c>
      <c r="O94" s="45" t="s">
        <v>103</v>
      </c>
      <c r="P94" s="45" t="s">
        <v>104</v>
      </c>
      <c r="Q94" s="45" t="s">
        <v>105</v>
      </c>
      <c r="R94" s="45" t="s">
        <v>106</v>
      </c>
      <c r="S94" s="45" t="s">
        <v>107</v>
      </c>
      <c r="T94" s="45"/>
      <c r="U94" s="45"/>
      <c r="V94" s="45"/>
      <c r="W94" s="45"/>
      <c r="X94" s="45" t="s">
        <v>112</v>
      </c>
      <c r="Y94" s="45" t="s">
        <v>113</v>
      </c>
      <c r="Z94" s="45" t="s">
        <v>114</v>
      </c>
      <c r="AA94" s="45" t="s">
        <v>115</v>
      </c>
      <c r="AB94" s="45" t="s">
        <v>117</v>
      </c>
      <c r="AC94" s="45" t="s">
        <v>118</v>
      </c>
      <c r="AD94" s="45" t="s">
        <v>119</v>
      </c>
      <c r="AE94" s="45" t="s">
        <v>120</v>
      </c>
      <c r="AF94" s="45" t="s">
        <v>121</v>
      </c>
      <c r="AG94" s="45" t="s">
        <v>122</v>
      </c>
      <c r="AH94" s="45" t="s">
        <v>123</v>
      </c>
      <c r="AI94" s="45" t="s">
        <v>124</v>
      </c>
      <c r="AJ94" s="45" t="s">
        <v>125</v>
      </c>
      <c r="AK94" s="45" t="s">
        <v>126</v>
      </c>
      <c r="AL94" s="45"/>
      <c r="AM94" s="45"/>
      <c r="AO94" s="44" t="s">
        <v>100</v>
      </c>
      <c r="AP94" s="43" t="str">
        <f>IF(IFERROR(INDEX(Consulta!$A:$DP,MATCH('MM01'!$B94,Consulta!$C:$C,0),'MM01'!AP$2),"")=0,"",IFERROR(INDEX(Consulta!$A:$DP,MATCH('MM01'!$B94,Consulta!$C:$C,0),'MM01'!AP$2),""))</f>
        <v/>
      </c>
      <c r="AQ94" s="45"/>
      <c r="AR94" s="43" t="str">
        <f>IF(IFERROR(INDEX(Consulta!$A:$DP,MATCH('MM01'!$B94,Consulta!$C:$C,0),'MM01'!AR$2),"")=0,"",IFERROR(INDEX(Consulta!$A:$DP,MATCH('MM01'!$B94,Consulta!$C:$C,0),'MM01'!AR$2),""))</f>
        <v/>
      </c>
      <c r="AS94" s="43" t="str">
        <f>IF(IFERROR(INDEX(Consulta!$A:$DP,MATCH('MM01'!$B94,Consulta!$C:$C,0),'MM01'!AS$2),"")=0,"",IF(AR94="68",5102,IFERROR(INDEX(Consulta!$A:$DP,MATCH('MM01'!$B94,Consulta!$C:$C,0),'MM01'!AS$2),"")))</f>
        <v/>
      </c>
      <c r="AT94" s="45"/>
      <c r="AU94" s="46" t="str">
        <f t="shared" ca="1" si="43"/>
        <v/>
      </c>
      <c r="AV94" s="47" t="s">
        <v>795</v>
      </c>
      <c r="AW94" s="43" t="str">
        <f>IF(IFERROR(INDEX(Consulta!$A:$DP,MATCH('MM01'!$B94,Consulta!$C:$C,0),'MM01'!AW$2),"")=0,"",IFERROR(ROUND(INDEX(Consulta!$A:$DP,MATCH('MM01'!$B94,Consulta!$C:$C,0),'MM01'!AW$2),3),""))</f>
        <v/>
      </c>
      <c r="AX94" s="43" t="str">
        <f t="shared" si="44"/>
        <v/>
      </c>
      <c r="AY94" s="48" t="s">
        <v>299</v>
      </c>
      <c r="AZ94" s="48"/>
      <c r="BA94" s="43" t="str">
        <f>IF(IFERROR(INDEX(Consulta!$A:$DP,MATCH('MM01'!$B94,Consulta!$C:$C,0),'MM01'!BA$2),"")=0,"",IFERROR(INDEX(Consulta!$A:$DP,MATCH('MM01'!$B94,Consulta!$C:$C,0),'MM01'!BA$2),""))</f>
        <v/>
      </c>
      <c r="BB94" s="43" t="str">
        <f t="shared" si="45"/>
        <v/>
      </c>
      <c r="BC94" s="43" t="str">
        <f t="shared" si="46"/>
        <v/>
      </c>
      <c r="BD94" s="43" t="str">
        <f t="shared" si="47"/>
        <v/>
      </c>
      <c r="BE94" s="43" t="str">
        <f t="shared" si="48"/>
        <v>M</v>
      </c>
      <c r="BF94" s="43" t="str">
        <f t="shared" si="49"/>
        <v/>
      </c>
      <c r="BG94" s="43" t="str">
        <f t="shared" si="50"/>
        <v/>
      </c>
      <c r="BH94" s="43" t="str">
        <f t="shared" si="51"/>
        <v/>
      </c>
      <c r="BI94" s="43" t="str">
        <f t="shared" si="52"/>
        <v>M</v>
      </c>
      <c r="BK94" s="45" t="s">
        <v>324</v>
      </c>
      <c r="BL94" s="43" t="str">
        <f>IF(IFERROR(INDEX(Consulta!$A:$DP,MATCH('MM01'!$B94,Consulta!$C:$C,0),'MM01'!BL$2),"")=0,"",IFERROR(INDEX(Consulta!$A:$DP,MATCH('MM01'!$B94,Consulta!$C:$C,0),'MM01'!BL$2),""))</f>
        <v/>
      </c>
      <c r="BM94" s="45"/>
      <c r="BN94" s="46" t="str">
        <f t="shared" ca="1" si="53"/>
        <v/>
      </c>
      <c r="BO94" s="49" t="str">
        <f t="shared" si="54"/>
        <v/>
      </c>
      <c r="BP94" s="50">
        <v>1</v>
      </c>
      <c r="BQ94" s="50" t="s">
        <v>194</v>
      </c>
      <c r="BR94" s="79" t="str">
        <f t="shared" si="81"/>
        <v>01</v>
      </c>
      <c r="BS94" s="50" t="s">
        <v>795</v>
      </c>
      <c r="BT94" s="44">
        <v>1</v>
      </c>
      <c r="BU94" s="44" t="s">
        <v>371</v>
      </c>
      <c r="BV94" s="50" t="s">
        <v>197</v>
      </c>
      <c r="BW94" s="50" t="s">
        <v>197</v>
      </c>
      <c r="BX94" s="43" t="str">
        <f>IF(IFERROR(INDEX(Consulta!$A:$DP,MATCH('MM01'!$B94,Consulta!$C:$C,0),'MM01'!BX$2),"")=0,"",IFERROR(INDEX(Consulta!$A:$DP,MATCH('MM01'!$B94,Consulta!$C:$C,0),'MM01'!BX$2),""))</f>
        <v/>
      </c>
      <c r="BY94" s="44" t="s">
        <v>391</v>
      </c>
      <c r="BZ94" s="50">
        <v>0</v>
      </c>
      <c r="CA94" s="45" t="s">
        <v>402</v>
      </c>
      <c r="CB94" s="45" t="s">
        <v>84</v>
      </c>
      <c r="CC94" s="43" t="str">
        <f t="shared" si="55"/>
        <v/>
      </c>
      <c r="CD94" s="45" t="s">
        <v>38</v>
      </c>
      <c r="CE94" s="45">
        <v>1</v>
      </c>
      <c r="CF94" s="45" t="s">
        <v>495</v>
      </c>
      <c r="CG94" s="45"/>
      <c r="CH94" s="44">
        <v>2</v>
      </c>
      <c r="CI94" s="49" t="str">
        <f t="shared" si="56"/>
        <v/>
      </c>
      <c r="CJ94" s="49" t="str">
        <f t="shared" si="57"/>
        <v/>
      </c>
      <c r="CK94" s="45"/>
      <c r="CL94" s="44">
        <v>1</v>
      </c>
      <c r="CM94" s="50" t="s">
        <v>514</v>
      </c>
      <c r="CN94" s="44" t="s">
        <v>371</v>
      </c>
      <c r="CO94" s="44">
        <v>2</v>
      </c>
      <c r="CP94" s="44">
        <v>42</v>
      </c>
      <c r="CQ94" s="44">
        <v>10</v>
      </c>
      <c r="CR94" s="43" t="str">
        <f t="shared" si="58"/>
        <v>K00_P_</v>
      </c>
      <c r="CS94" s="45">
        <v>5000</v>
      </c>
      <c r="CT94" s="43" t="str">
        <f>IF(IFERROR(INDEX(Consulta!$A:$DP,MATCH('MM01'!$B94,Consulta!$C:$C,0),'MM01'!CT$2),"")=0,"",IFERROR(INDEX(Consulta!$A:$DP,MATCH('MM01'!$B94,Consulta!$C:$C,0),'MM01'!CT$2),""))</f>
        <v/>
      </c>
      <c r="CU94" s="43" t="str">
        <f>IF(IFERROR(INDEX(Consulta!$A:$DP,MATCH('MM01'!$B94,Consulta!$C:$C,0),'MM01'!CU$2),"")=0,"",IFERROR(INDEX(Consulta!$A:$DP,MATCH('MM01'!$B94,Consulta!$C:$C,0),'MM01'!CU$2),""))</f>
        <v/>
      </c>
      <c r="CV94" s="43" t="str">
        <f>IF(IFERROR(INDEX(Consulta!$A:$DP,MATCH('MM01'!$B94,Consulta!$C:$C,0),'MM01'!CV$2),"")=0,"",IFERROR(INDEX(Consulta!$A:$DP,MATCH('MM01'!$B94,Consulta!$C:$C,0),'MM01'!CV$2),""))</f>
        <v/>
      </c>
      <c r="CW94" s="43" t="str">
        <f>IF(IFERROR(INDEX(Consulta!$A:$DP,MATCH('MM01'!$B94,Consulta!$C:$C,0),'MM01'!CW$2),"")=0,"",IFERROR(INDEX(Consulta!$A:$DP,MATCH('MM01'!$B94,Consulta!$C:$C,0),'MM01'!CW$2),""))</f>
        <v/>
      </c>
      <c r="CX94" s="43" t="str">
        <f t="shared" si="59"/>
        <v/>
      </c>
      <c r="CY94" s="43" t="str">
        <f t="shared" si="60"/>
        <v/>
      </c>
      <c r="CZ94" s="43" t="str">
        <f t="shared" si="61"/>
        <v/>
      </c>
      <c r="DA94" s="43" t="str">
        <f>IF(IFERROR(INDEX(Consulta!$A:$DP,MATCH('MM01'!$B94,Consulta!$C:$C,0),'MM01'!DA$2),"")=0,"",IFERROR(INDEX(Consulta!$A:$DP,MATCH('MM01'!$B94,Consulta!$C:$C,0),'MM01'!DA$2),""))</f>
        <v/>
      </c>
      <c r="DB94" s="43" t="str">
        <f t="shared" si="62"/>
        <v/>
      </c>
      <c r="DC94" s="43" t="str">
        <f>IF(IFERROR(INDEX(Consulta!$A:$DP,MATCH('MM01'!$B94,Consulta!$C:$C,0),'MM01'!DC$2),"")=0,"",IFERROR(INDEX(Consulta!$A:$DP,MATCH('MM01'!$B94,Consulta!$C:$C,0),'MM01'!DC$2),""))</f>
        <v/>
      </c>
      <c r="DD94" s="45">
        <v>0</v>
      </c>
      <c r="DE94" s="45">
        <v>0</v>
      </c>
      <c r="DF94" s="43" t="str">
        <f t="shared" si="63"/>
        <v/>
      </c>
      <c r="DG94" s="43" t="str">
        <f t="shared" si="64"/>
        <v/>
      </c>
      <c r="DH94" s="57"/>
      <c r="DI94" s="43" t="str">
        <f t="shared" ca="1" si="65"/>
        <v/>
      </c>
      <c r="DJ94" s="43" t="str">
        <f t="shared" si="66"/>
        <v/>
      </c>
      <c r="DK94" s="43" t="str">
        <f t="shared" si="67"/>
        <v/>
      </c>
      <c r="DL94" s="57"/>
      <c r="DM94" s="43" t="str">
        <f t="shared" ca="1" si="68"/>
        <v/>
      </c>
      <c r="DN94" s="43" t="str">
        <f t="shared" si="69"/>
        <v/>
      </c>
      <c r="DO94" s="43" t="str">
        <f t="shared" si="70"/>
        <v/>
      </c>
      <c r="DP94" s="57"/>
      <c r="DQ94" s="43" t="str">
        <f t="shared" ca="1" si="71"/>
        <v/>
      </c>
      <c r="DR94" s="43" t="str">
        <f t="shared" si="72"/>
        <v/>
      </c>
      <c r="DS94" s="43" t="str">
        <f t="shared" si="73"/>
        <v/>
      </c>
      <c r="DT94" s="57"/>
      <c r="DU94" s="43" t="str">
        <f t="shared" ca="1" si="74"/>
        <v/>
      </c>
      <c r="DV94" s="43" t="str">
        <f t="shared" si="75"/>
        <v/>
      </c>
      <c r="DX94" s="44">
        <v>1</v>
      </c>
      <c r="DY94" s="44" t="s">
        <v>773</v>
      </c>
      <c r="DZ94" s="43">
        <f t="shared" si="76"/>
        <v>0.01</v>
      </c>
      <c r="EA94" s="43" t="str">
        <f t="shared" si="77"/>
        <v>M</v>
      </c>
      <c r="EB94" s="43" t="str">
        <f>IF(IFERROR(INDEX(Consulta!$A:$DP,MATCH('MM01'!$B94,Consulta!$C:$C,0),'MM01'!EB$2),"")=0,"7925",IF(IFERROR(INDEX(Consulta!$A:$DP,MATCH('MM01'!$B94,Consulta!$C:$C,0),'MM01'!EB$2),"")="68","7910","7925"))</f>
        <v>7925</v>
      </c>
      <c r="EC94" s="44">
        <v>100</v>
      </c>
      <c r="ED94" s="62">
        <v>1</v>
      </c>
      <c r="EE94" s="43">
        <f t="shared" si="78"/>
        <v>100</v>
      </c>
      <c r="EF94" s="44">
        <v>1</v>
      </c>
      <c r="EG94" s="44">
        <v>0</v>
      </c>
      <c r="EH94" s="44" t="s">
        <v>875</v>
      </c>
      <c r="EI94" s="45">
        <v>0</v>
      </c>
      <c r="EJ94" s="43">
        <f t="shared" si="79"/>
        <v>5000</v>
      </c>
      <c r="EK94" s="69"/>
    </row>
    <row r="95" spans="1:141" x14ac:dyDescent="0.2">
      <c r="A95" s="7" t="str">
        <f t="shared" si="80"/>
        <v>Execução 91</v>
      </c>
      <c r="B95" s="42"/>
      <c r="C95" s="43" t="str">
        <f>IF(IFERROR(INDEX(Consulta!$A:$DP,MATCH('MM01'!$B95,Consulta!$C:$C,0),'MM01'!C$2),"")=0,"",IFERROR(INDEX(Consulta!$A:$DP,MATCH('MM01'!$B95,Consulta!$C:$C,0),'MM01'!C$2),""))</f>
        <v/>
      </c>
      <c r="D95" s="43" t="str">
        <f>IF(IFERROR(INDEX(Consulta!$A:$DP,MATCH('MM01'!$B95,Consulta!$C:$C,0),'MM01'!D$2),"")=0,"",IFERROR(INDEX(Consulta!$A:$DP,MATCH('MM01'!$B95,Consulta!$C:$C,0),'MM01'!D$2),""))</f>
        <v/>
      </c>
      <c r="E95" s="43" t="str">
        <f>IF(IFERROR(INDEX(Consulta!$A:$DP,MATCH('MM01'!$B95,Consulta!$C:$C,0),'MM01'!E$2),"")=0,"",IFERROR(INDEX(Consulta!$A:$DP,MATCH('MM01'!$B95,Consulta!$C:$C,0),'MM01'!E$2),""))</f>
        <v/>
      </c>
      <c r="F95" s="44" t="s">
        <v>100</v>
      </c>
      <c r="G95" s="49" t="str">
        <f>IF(IFERROR(INDEX(Consulta!$A:$DP,MATCH('MM01'!$B95,Consulta!$C:$C,0),'MM01'!G$2),"")=0,"",IFERROR(INDEX(Consulta!$A:$DP,MATCH('MM01'!$B95,Consulta!$C:$C,0),'MM01'!G$2),""))</f>
        <v/>
      </c>
      <c r="H95" s="49" t="str">
        <f>IF(IFERROR(INDEX(Consulta!$A:$DP,MATCH('MM01'!$B95,Consulta!$C:$C,0),'MM01'!H$2),"")=0,"",IFERROR(INDEX(Consulta!$A:$DP,MATCH('MM01'!$B95,Consulta!$C:$C,0),'MM01'!H$2),""))</f>
        <v/>
      </c>
      <c r="I95" s="49" t="str">
        <f t="shared" si="41"/>
        <v/>
      </c>
      <c r="J95" s="49" t="str">
        <f>IF(IFERROR(INDEX(Consulta!$A:$DP,MATCH('MM01'!$B95,Consulta!$C:$C,0),'MM01'!J$2),"")=0,"",IFERROR(INDEX(Consulta!$A:$DP,MATCH('MM01'!$B95,Consulta!$C:$C,0),'MM01'!J$2),""))</f>
        <v/>
      </c>
      <c r="K95" s="49" t="str">
        <f t="shared" si="42"/>
        <v/>
      </c>
      <c r="M95" s="45" t="s">
        <v>101</v>
      </c>
      <c r="N95" s="45" t="s">
        <v>102</v>
      </c>
      <c r="O95" s="45" t="s">
        <v>103</v>
      </c>
      <c r="P95" s="45" t="s">
        <v>104</v>
      </c>
      <c r="Q95" s="45" t="s">
        <v>105</v>
      </c>
      <c r="R95" s="45" t="s">
        <v>106</v>
      </c>
      <c r="S95" s="45" t="s">
        <v>107</v>
      </c>
      <c r="T95" s="45"/>
      <c r="U95" s="45"/>
      <c r="V95" s="45"/>
      <c r="W95" s="45"/>
      <c r="X95" s="45" t="s">
        <v>112</v>
      </c>
      <c r="Y95" s="45" t="s">
        <v>113</v>
      </c>
      <c r="Z95" s="45" t="s">
        <v>114</v>
      </c>
      <c r="AA95" s="45" t="s">
        <v>115</v>
      </c>
      <c r="AB95" s="45" t="s">
        <v>117</v>
      </c>
      <c r="AC95" s="45" t="s">
        <v>118</v>
      </c>
      <c r="AD95" s="45" t="s">
        <v>119</v>
      </c>
      <c r="AE95" s="45" t="s">
        <v>120</v>
      </c>
      <c r="AF95" s="45" t="s">
        <v>121</v>
      </c>
      <c r="AG95" s="45" t="s">
        <v>122</v>
      </c>
      <c r="AH95" s="45" t="s">
        <v>123</v>
      </c>
      <c r="AI95" s="45" t="s">
        <v>124</v>
      </c>
      <c r="AJ95" s="45" t="s">
        <v>125</v>
      </c>
      <c r="AK95" s="45" t="s">
        <v>126</v>
      </c>
      <c r="AL95" s="45"/>
      <c r="AM95" s="45"/>
      <c r="AO95" s="44" t="s">
        <v>100</v>
      </c>
      <c r="AP95" s="43" t="str">
        <f>IF(IFERROR(INDEX(Consulta!$A:$DP,MATCH('MM01'!$B95,Consulta!$C:$C,0),'MM01'!AP$2),"")=0,"",IFERROR(INDEX(Consulta!$A:$DP,MATCH('MM01'!$B95,Consulta!$C:$C,0),'MM01'!AP$2),""))</f>
        <v/>
      </c>
      <c r="AQ95" s="45"/>
      <c r="AR95" s="43" t="str">
        <f>IF(IFERROR(INDEX(Consulta!$A:$DP,MATCH('MM01'!$B95,Consulta!$C:$C,0),'MM01'!AR$2),"")=0,"",IFERROR(INDEX(Consulta!$A:$DP,MATCH('MM01'!$B95,Consulta!$C:$C,0),'MM01'!AR$2),""))</f>
        <v/>
      </c>
      <c r="AS95" s="43" t="str">
        <f>IF(IFERROR(INDEX(Consulta!$A:$DP,MATCH('MM01'!$B95,Consulta!$C:$C,0),'MM01'!AS$2),"")=0,"",IF(AR95="68",5102,IFERROR(INDEX(Consulta!$A:$DP,MATCH('MM01'!$B95,Consulta!$C:$C,0),'MM01'!AS$2),"")))</f>
        <v/>
      </c>
      <c r="AT95" s="45"/>
      <c r="AU95" s="46" t="str">
        <f t="shared" ca="1" si="43"/>
        <v/>
      </c>
      <c r="AV95" s="47" t="s">
        <v>795</v>
      </c>
      <c r="AW95" s="43" t="str">
        <f>IF(IFERROR(INDEX(Consulta!$A:$DP,MATCH('MM01'!$B95,Consulta!$C:$C,0),'MM01'!AW$2),"")=0,"",IFERROR(ROUND(INDEX(Consulta!$A:$DP,MATCH('MM01'!$B95,Consulta!$C:$C,0),'MM01'!AW$2),3),""))</f>
        <v/>
      </c>
      <c r="AX95" s="43" t="str">
        <f t="shared" si="44"/>
        <v/>
      </c>
      <c r="AY95" s="48" t="s">
        <v>299</v>
      </c>
      <c r="AZ95" s="48"/>
      <c r="BA95" s="43" t="str">
        <f>IF(IFERROR(INDEX(Consulta!$A:$DP,MATCH('MM01'!$B95,Consulta!$C:$C,0),'MM01'!BA$2),"")=0,"",IFERROR(INDEX(Consulta!$A:$DP,MATCH('MM01'!$B95,Consulta!$C:$C,0),'MM01'!BA$2),""))</f>
        <v/>
      </c>
      <c r="BB95" s="43" t="str">
        <f t="shared" si="45"/>
        <v/>
      </c>
      <c r="BC95" s="43" t="str">
        <f t="shared" si="46"/>
        <v/>
      </c>
      <c r="BD95" s="43" t="str">
        <f t="shared" si="47"/>
        <v/>
      </c>
      <c r="BE95" s="43" t="str">
        <f t="shared" si="48"/>
        <v>M</v>
      </c>
      <c r="BF95" s="43" t="str">
        <f t="shared" si="49"/>
        <v/>
      </c>
      <c r="BG95" s="43" t="str">
        <f t="shared" si="50"/>
        <v/>
      </c>
      <c r="BH95" s="43" t="str">
        <f t="shared" si="51"/>
        <v/>
      </c>
      <c r="BI95" s="43" t="str">
        <f t="shared" si="52"/>
        <v>M</v>
      </c>
      <c r="BK95" s="45" t="s">
        <v>324</v>
      </c>
      <c r="BL95" s="43" t="str">
        <f>IF(IFERROR(INDEX(Consulta!$A:$DP,MATCH('MM01'!$B95,Consulta!$C:$C,0),'MM01'!BL$2),"")=0,"",IFERROR(INDEX(Consulta!$A:$DP,MATCH('MM01'!$B95,Consulta!$C:$C,0),'MM01'!BL$2),""))</f>
        <v/>
      </c>
      <c r="BM95" s="45"/>
      <c r="BN95" s="46" t="str">
        <f t="shared" ca="1" si="53"/>
        <v/>
      </c>
      <c r="BO95" s="49" t="str">
        <f t="shared" si="54"/>
        <v/>
      </c>
      <c r="BP95" s="50">
        <v>1</v>
      </c>
      <c r="BQ95" s="50" t="s">
        <v>194</v>
      </c>
      <c r="BR95" s="79" t="str">
        <f t="shared" si="81"/>
        <v>01</v>
      </c>
      <c r="BS95" s="50" t="s">
        <v>795</v>
      </c>
      <c r="BT95" s="44">
        <v>1</v>
      </c>
      <c r="BU95" s="44" t="s">
        <v>371</v>
      </c>
      <c r="BV95" s="50" t="s">
        <v>197</v>
      </c>
      <c r="BW95" s="50" t="s">
        <v>197</v>
      </c>
      <c r="BX95" s="43" t="str">
        <f>IF(IFERROR(INDEX(Consulta!$A:$DP,MATCH('MM01'!$B95,Consulta!$C:$C,0),'MM01'!BX$2),"")=0,"",IFERROR(INDEX(Consulta!$A:$DP,MATCH('MM01'!$B95,Consulta!$C:$C,0),'MM01'!BX$2),""))</f>
        <v/>
      </c>
      <c r="BY95" s="44" t="s">
        <v>391</v>
      </c>
      <c r="BZ95" s="50">
        <v>0</v>
      </c>
      <c r="CA95" s="45" t="s">
        <v>402</v>
      </c>
      <c r="CB95" s="45" t="s">
        <v>84</v>
      </c>
      <c r="CC95" s="43" t="str">
        <f t="shared" si="55"/>
        <v/>
      </c>
      <c r="CD95" s="45" t="s">
        <v>38</v>
      </c>
      <c r="CE95" s="45">
        <v>1</v>
      </c>
      <c r="CF95" s="45" t="s">
        <v>495</v>
      </c>
      <c r="CG95" s="45"/>
      <c r="CH95" s="44">
        <v>2</v>
      </c>
      <c r="CI95" s="49" t="str">
        <f t="shared" si="56"/>
        <v/>
      </c>
      <c r="CJ95" s="49" t="str">
        <f t="shared" si="57"/>
        <v/>
      </c>
      <c r="CK95" s="45"/>
      <c r="CL95" s="44">
        <v>1</v>
      </c>
      <c r="CM95" s="50" t="s">
        <v>514</v>
      </c>
      <c r="CN95" s="44" t="s">
        <v>371</v>
      </c>
      <c r="CO95" s="44">
        <v>2</v>
      </c>
      <c r="CP95" s="44">
        <v>42</v>
      </c>
      <c r="CQ95" s="44">
        <v>10</v>
      </c>
      <c r="CR95" s="43" t="str">
        <f t="shared" si="58"/>
        <v>K00_P_</v>
      </c>
      <c r="CS95" s="45">
        <v>5000</v>
      </c>
      <c r="CT95" s="43" t="str">
        <f>IF(IFERROR(INDEX(Consulta!$A:$DP,MATCH('MM01'!$B95,Consulta!$C:$C,0),'MM01'!CT$2),"")=0,"",IFERROR(INDEX(Consulta!$A:$DP,MATCH('MM01'!$B95,Consulta!$C:$C,0),'MM01'!CT$2),""))</f>
        <v/>
      </c>
      <c r="CU95" s="43" t="str">
        <f>IF(IFERROR(INDEX(Consulta!$A:$DP,MATCH('MM01'!$B95,Consulta!$C:$C,0),'MM01'!CU$2),"")=0,"",IFERROR(INDEX(Consulta!$A:$DP,MATCH('MM01'!$B95,Consulta!$C:$C,0),'MM01'!CU$2),""))</f>
        <v/>
      </c>
      <c r="CV95" s="43" t="str">
        <f>IF(IFERROR(INDEX(Consulta!$A:$DP,MATCH('MM01'!$B95,Consulta!$C:$C,0),'MM01'!CV$2),"")=0,"",IFERROR(INDEX(Consulta!$A:$DP,MATCH('MM01'!$B95,Consulta!$C:$C,0),'MM01'!CV$2),""))</f>
        <v/>
      </c>
      <c r="CW95" s="43" t="str">
        <f>IF(IFERROR(INDEX(Consulta!$A:$DP,MATCH('MM01'!$B95,Consulta!$C:$C,0),'MM01'!CW$2),"")=0,"",IFERROR(INDEX(Consulta!$A:$DP,MATCH('MM01'!$B95,Consulta!$C:$C,0),'MM01'!CW$2),""))</f>
        <v/>
      </c>
      <c r="CX95" s="43" t="str">
        <f t="shared" si="59"/>
        <v/>
      </c>
      <c r="CY95" s="43" t="str">
        <f t="shared" si="60"/>
        <v/>
      </c>
      <c r="CZ95" s="43" t="str">
        <f t="shared" si="61"/>
        <v/>
      </c>
      <c r="DA95" s="43" t="str">
        <f>IF(IFERROR(INDEX(Consulta!$A:$DP,MATCH('MM01'!$B95,Consulta!$C:$C,0),'MM01'!DA$2),"")=0,"",IFERROR(INDEX(Consulta!$A:$DP,MATCH('MM01'!$B95,Consulta!$C:$C,0),'MM01'!DA$2),""))</f>
        <v/>
      </c>
      <c r="DB95" s="43" t="str">
        <f t="shared" si="62"/>
        <v/>
      </c>
      <c r="DC95" s="43" t="str">
        <f>IF(IFERROR(INDEX(Consulta!$A:$DP,MATCH('MM01'!$B95,Consulta!$C:$C,0),'MM01'!DC$2),"")=0,"",IFERROR(INDEX(Consulta!$A:$DP,MATCH('MM01'!$B95,Consulta!$C:$C,0),'MM01'!DC$2),""))</f>
        <v/>
      </c>
      <c r="DD95" s="45">
        <v>0</v>
      </c>
      <c r="DE95" s="45">
        <v>0</v>
      </c>
      <c r="DF95" s="43" t="str">
        <f t="shared" si="63"/>
        <v/>
      </c>
      <c r="DG95" s="43" t="str">
        <f t="shared" si="64"/>
        <v/>
      </c>
      <c r="DH95" s="57"/>
      <c r="DI95" s="43" t="str">
        <f t="shared" ca="1" si="65"/>
        <v/>
      </c>
      <c r="DJ95" s="43" t="str">
        <f t="shared" si="66"/>
        <v/>
      </c>
      <c r="DK95" s="43" t="str">
        <f t="shared" si="67"/>
        <v/>
      </c>
      <c r="DL95" s="57"/>
      <c r="DM95" s="43" t="str">
        <f t="shared" ca="1" si="68"/>
        <v/>
      </c>
      <c r="DN95" s="43" t="str">
        <f t="shared" si="69"/>
        <v/>
      </c>
      <c r="DO95" s="43" t="str">
        <f t="shared" si="70"/>
        <v/>
      </c>
      <c r="DP95" s="57"/>
      <c r="DQ95" s="43" t="str">
        <f t="shared" ca="1" si="71"/>
        <v/>
      </c>
      <c r="DR95" s="43" t="str">
        <f t="shared" si="72"/>
        <v/>
      </c>
      <c r="DS95" s="43" t="str">
        <f t="shared" si="73"/>
        <v/>
      </c>
      <c r="DT95" s="57"/>
      <c r="DU95" s="43" t="str">
        <f t="shared" ca="1" si="74"/>
        <v/>
      </c>
      <c r="DV95" s="43" t="str">
        <f t="shared" si="75"/>
        <v/>
      </c>
      <c r="DX95" s="44">
        <v>1</v>
      </c>
      <c r="DY95" s="44" t="s">
        <v>773</v>
      </c>
      <c r="DZ95" s="43">
        <f t="shared" si="76"/>
        <v>0.01</v>
      </c>
      <c r="EA95" s="43" t="str">
        <f t="shared" si="77"/>
        <v>M</v>
      </c>
      <c r="EB95" s="43" t="str">
        <f>IF(IFERROR(INDEX(Consulta!$A:$DP,MATCH('MM01'!$B95,Consulta!$C:$C,0),'MM01'!EB$2),"")=0,"7925",IF(IFERROR(INDEX(Consulta!$A:$DP,MATCH('MM01'!$B95,Consulta!$C:$C,0),'MM01'!EB$2),"")="68","7910","7925"))</f>
        <v>7925</v>
      </c>
      <c r="EC95" s="44">
        <v>100</v>
      </c>
      <c r="ED95" s="62">
        <v>1</v>
      </c>
      <c r="EE95" s="43">
        <f t="shared" si="78"/>
        <v>100</v>
      </c>
      <c r="EF95" s="44">
        <v>1</v>
      </c>
      <c r="EG95" s="44">
        <v>0</v>
      </c>
      <c r="EH95" s="44" t="s">
        <v>875</v>
      </c>
      <c r="EI95" s="45">
        <v>0</v>
      </c>
      <c r="EJ95" s="43">
        <f t="shared" si="79"/>
        <v>5000</v>
      </c>
      <c r="EK95" s="69"/>
    </row>
    <row r="96" spans="1:141" x14ac:dyDescent="0.2">
      <c r="A96" s="7" t="str">
        <f t="shared" si="80"/>
        <v>Execução 92</v>
      </c>
      <c r="B96" s="42"/>
      <c r="C96" s="43" t="str">
        <f>IF(IFERROR(INDEX(Consulta!$A:$DP,MATCH('MM01'!$B96,Consulta!$C:$C,0),'MM01'!C$2),"")=0,"",IFERROR(INDEX(Consulta!$A:$DP,MATCH('MM01'!$B96,Consulta!$C:$C,0),'MM01'!C$2),""))</f>
        <v/>
      </c>
      <c r="D96" s="43" t="str">
        <f>IF(IFERROR(INDEX(Consulta!$A:$DP,MATCH('MM01'!$B96,Consulta!$C:$C,0),'MM01'!D$2),"")=0,"",IFERROR(INDEX(Consulta!$A:$DP,MATCH('MM01'!$B96,Consulta!$C:$C,0),'MM01'!D$2),""))</f>
        <v/>
      </c>
      <c r="E96" s="43" t="str">
        <f>IF(IFERROR(INDEX(Consulta!$A:$DP,MATCH('MM01'!$B96,Consulta!$C:$C,0),'MM01'!E$2),"")=0,"",IFERROR(INDEX(Consulta!$A:$DP,MATCH('MM01'!$B96,Consulta!$C:$C,0),'MM01'!E$2),""))</f>
        <v/>
      </c>
      <c r="F96" s="44" t="s">
        <v>100</v>
      </c>
      <c r="G96" s="49" t="str">
        <f>IF(IFERROR(INDEX(Consulta!$A:$DP,MATCH('MM01'!$B96,Consulta!$C:$C,0),'MM01'!G$2),"")=0,"",IFERROR(INDEX(Consulta!$A:$DP,MATCH('MM01'!$B96,Consulta!$C:$C,0),'MM01'!G$2),""))</f>
        <v/>
      </c>
      <c r="H96" s="49" t="str">
        <f>IF(IFERROR(INDEX(Consulta!$A:$DP,MATCH('MM01'!$B96,Consulta!$C:$C,0),'MM01'!H$2),"")=0,"",IFERROR(INDEX(Consulta!$A:$DP,MATCH('MM01'!$B96,Consulta!$C:$C,0),'MM01'!H$2),""))</f>
        <v/>
      </c>
      <c r="I96" s="49" t="str">
        <f t="shared" si="41"/>
        <v/>
      </c>
      <c r="J96" s="49" t="str">
        <f>IF(IFERROR(INDEX(Consulta!$A:$DP,MATCH('MM01'!$B96,Consulta!$C:$C,0),'MM01'!J$2),"")=0,"",IFERROR(INDEX(Consulta!$A:$DP,MATCH('MM01'!$B96,Consulta!$C:$C,0),'MM01'!J$2),""))</f>
        <v/>
      </c>
      <c r="K96" s="49" t="str">
        <f t="shared" si="42"/>
        <v/>
      </c>
      <c r="M96" s="45" t="s">
        <v>101</v>
      </c>
      <c r="N96" s="45" t="s">
        <v>102</v>
      </c>
      <c r="O96" s="45" t="s">
        <v>103</v>
      </c>
      <c r="P96" s="45" t="s">
        <v>104</v>
      </c>
      <c r="Q96" s="45" t="s">
        <v>105</v>
      </c>
      <c r="R96" s="45" t="s">
        <v>106</v>
      </c>
      <c r="S96" s="45" t="s">
        <v>107</v>
      </c>
      <c r="T96" s="45"/>
      <c r="U96" s="45"/>
      <c r="V96" s="45"/>
      <c r="W96" s="45"/>
      <c r="X96" s="45" t="s">
        <v>112</v>
      </c>
      <c r="Y96" s="45" t="s">
        <v>113</v>
      </c>
      <c r="Z96" s="45" t="s">
        <v>114</v>
      </c>
      <c r="AA96" s="45" t="s">
        <v>115</v>
      </c>
      <c r="AB96" s="45" t="s">
        <v>117</v>
      </c>
      <c r="AC96" s="45" t="s">
        <v>118</v>
      </c>
      <c r="AD96" s="45" t="s">
        <v>119</v>
      </c>
      <c r="AE96" s="45" t="s">
        <v>120</v>
      </c>
      <c r="AF96" s="45" t="s">
        <v>121</v>
      </c>
      <c r="AG96" s="45" t="s">
        <v>122</v>
      </c>
      <c r="AH96" s="45" t="s">
        <v>123</v>
      </c>
      <c r="AI96" s="45" t="s">
        <v>124</v>
      </c>
      <c r="AJ96" s="45" t="s">
        <v>125</v>
      </c>
      <c r="AK96" s="45" t="s">
        <v>126</v>
      </c>
      <c r="AL96" s="45"/>
      <c r="AM96" s="45"/>
      <c r="AO96" s="44" t="s">
        <v>100</v>
      </c>
      <c r="AP96" s="43" t="str">
        <f>IF(IFERROR(INDEX(Consulta!$A:$DP,MATCH('MM01'!$B96,Consulta!$C:$C,0),'MM01'!AP$2),"")=0,"",IFERROR(INDEX(Consulta!$A:$DP,MATCH('MM01'!$B96,Consulta!$C:$C,0),'MM01'!AP$2),""))</f>
        <v/>
      </c>
      <c r="AQ96" s="45"/>
      <c r="AR96" s="43" t="str">
        <f>IF(IFERROR(INDEX(Consulta!$A:$DP,MATCH('MM01'!$B96,Consulta!$C:$C,0),'MM01'!AR$2),"")=0,"",IFERROR(INDEX(Consulta!$A:$DP,MATCH('MM01'!$B96,Consulta!$C:$C,0),'MM01'!AR$2),""))</f>
        <v/>
      </c>
      <c r="AS96" s="43" t="str">
        <f>IF(IFERROR(INDEX(Consulta!$A:$DP,MATCH('MM01'!$B96,Consulta!$C:$C,0),'MM01'!AS$2),"")=0,"",IF(AR96="68",5102,IFERROR(INDEX(Consulta!$A:$DP,MATCH('MM01'!$B96,Consulta!$C:$C,0),'MM01'!AS$2),"")))</f>
        <v/>
      </c>
      <c r="AT96" s="45"/>
      <c r="AU96" s="46" t="str">
        <f t="shared" ca="1" si="43"/>
        <v/>
      </c>
      <c r="AV96" s="47" t="s">
        <v>795</v>
      </c>
      <c r="AW96" s="43" t="str">
        <f>IF(IFERROR(INDEX(Consulta!$A:$DP,MATCH('MM01'!$B96,Consulta!$C:$C,0),'MM01'!AW$2),"")=0,"",IFERROR(ROUND(INDEX(Consulta!$A:$DP,MATCH('MM01'!$B96,Consulta!$C:$C,0),'MM01'!AW$2),3),""))</f>
        <v/>
      </c>
      <c r="AX96" s="43" t="str">
        <f t="shared" si="44"/>
        <v/>
      </c>
      <c r="AY96" s="48" t="s">
        <v>299</v>
      </c>
      <c r="AZ96" s="48"/>
      <c r="BA96" s="43" t="str">
        <f>IF(IFERROR(INDEX(Consulta!$A:$DP,MATCH('MM01'!$B96,Consulta!$C:$C,0),'MM01'!BA$2),"")=0,"",IFERROR(INDEX(Consulta!$A:$DP,MATCH('MM01'!$B96,Consulta!$C:$C,0),'MM01'!BA$2),""))</f>
        <v/>
      </c>
      <c r="BB96" s="43" t="str">
        <f t="shared" si="45"/>
        <v/>
      </c>
      <c r="BC96" s="43" t="str">
        <f t="shared" si="46"/>
        <v/>
      </c>
      <c r="BD96" s="43" t="str">
        <f t="shared" si="47"/>
        <v/>
      </c>
      <c r="BE96" s="43" t="str">
        <f t="shared" si="48"/>
        <v>M</v>
      </c>
      <c r="BF96" s="43" t="str">
        <f t="shared" si="49"/>
        <v/>
      </c>
      <c r="BG96" s="43" t="str">
        <f t="shared" si="50"/>
        <v/>
      </c>
      <c r="BH96" s="43" t="str">
        <f t="shared" si="51"/>
        <v/>
      </c>
      <c r="BI96" s="43" t="str">
        <f t="shared" si="52"/>
        <v>M</v>
      </c>
      <c r="BK96" s="45" t="s">
        <v>324</v>
      </c>
      <c r="BL96" s="43" t="str">
        <f>IF(IFERROR(INDEX(Consulta!$A:$DP,MATCH('MM01'!$B96,Consulta!$C:$C,0),'MM01'!BL$2),"")=0,"",IFERROR(INDEX(Consulta!$A:$DP,MATCH('MM01'!$B96,Consulta!$C:$C,0),'MM01'!BL$2),""))</f>
        <v/>
      </c>
      <c r="BM96" s="45"/>
      <c r="BN96" s="46" t="str">
        <f t="shared" ca="1" si="53"/>
        <v/>
      </c>
      <c r="BO96" s="49" t="str">
        <f t="shared" si="54"/>
        <v/>
      </c>
      <c r="BP96" s="50">
        <v>1</v>
      </c>
      <c r="BQ96" s="50" t="s">
        <v>194</v>
      </c>
      <c r="BR96" s="79" t="str">
        <f t="shared" si="81"/>
        <v>01</v>
      </c>
      <c r="BS96" s="50" t="s">
        <v>795</v>
      </c>
      <c r="BT96" s="44">
        <v>1</v>
      </c>
      <c r="BU96" s="44" t="s">
        <v>371</v>
      </c>
      <c r="BV96" s="50" t="s">
        <v>197</v>
      </c>
      <c r="BW96" s="50" t="s">
        <v>197</v>
      </c>
      <c r="BX96" s="43" t="str">
        <f>IF(IFERROR(INDEX(Consulta!$A:$DP,MATCH('MM01'!$B96,Consulta!$C:$C,0),'MM01'!BX$2),"")=0,"",IFERROR(INDEX(Consulta!$A:$DP,MATCH('MM01'!$B96,Consulta!$C:$C,0),'MM01'!BX$2),""))</f>
        <v/>
      </c>
      <c r="BY96" s="44" t="s">
        <v>391</v>
      </c>
      <c r="BZ96" s="50">
        <v>0</v>
      </c>
      <c r="CA96" s="45" t="s">
        <v>402</v>
      </c>
      <c r="CB96" s="45" t="s">
        <v>84</v>
      </c>
      <c r="CC96" s="43" t="str">
        <f t="shared" si="55"/>
        <v/>
      </c>
      <c r="CD96" s="45" t="s">
        <v>38</v>
      </c>
      <c r="CE96" s="45">
        <v>1</v>
      </c>
      <c r="CF96" s="45" t="s">
        <v>495</v>
      </c>
      <c r="CG96" s="45"/>
      <c r="CH96" s="44">
        <v>2</v>
      </c>
      <c r="CI96" s="49" t="str">
        <f t="shared" si="56"/>
        <v/>
      </c>
      <c r="CJ96" s="49" t="str">
        <f t="shared" si="57"/>
        <v/>
      </c>
      <c r="CK96" s="45"/>
      <c r="CL96" s="44">
        <v>1</v>
      </c>
      <c r="CM96" s="50" t="s">
        <v>514</v>
      </c>
      <c r="CN96" s="44" t="s">
        <v>371</v>
      </c>
      <c r="CO96" s="44">
        <v>2</v>
      </c>
      <c r="CP96" s="44">
        <v>42</v>
      </c>
      <c r="CQ96" s="44">
        <v>10</v>
      </c>
      <c r="CR96" s="43" t="str">
        <f t="shared" si="58"/>
        <v>K00_P_</v>
      </c>
      <c r="CS96" s="45">
        <v>5000</v>
      </c>
      <c r="CT96" s="43" t="str">
        <f>IF(IFERROR(INDEX(Consulta!$A:$DP,MATCH('MM01'!$B96,Consulta!$C:$C,0),'MM01'!CT$2),"")=0,"",IFERROR(INDEX(Consulta!$A:$DP,MATCH('MM01'!$B96,Consulta!$C:$C,0),'MM01'!CT$2),""))</f>
        <v/>
      </c>
      <c r="CU96" s="43" t="str">
        <f>IF(IFERROR(INDEX(Consulta!$A:$DP,MATCH('MM01'!$B96,Consulta!$C:$C,0),'MM01'!CU$2),"")=0,"",IFERROR(INDEX(Consulta!$A:$DP,MATCH('MM01'!$B96,Consulta!$C:$C,0),'MM01'!CU$2),""))</f>
        <v/>
      </c>
      <c r="CV96" s="43" t="str">
        <f>IF(IFERROR(INDEX(Consulta!$A:$DP,MATCH('MM01'!$B96,Consulta!$C:$C,0),'MM01'!CV$2),"")=0,"",IFERROR(INDEX(Consulta!$A:$DP,MATCH('MM01'!$B96,Consulta!$C:$C,0),'MM01'!CV$2),""))</f>
        <v/>
      </c>
      <c r="CW96" s="43" t="str">
        <f>IF(IFERROR(INDEX(Consulta!$A:$DP,MATCH('MM01'!$B96,Consulta!$C:$C,0),'MM01'!CW$2),"")=0,"",IFERROR(INDEX(Consulta!$A:$DP,MATCH('MM01'!$B96,Consulta!$C:$C,0),'MM01'!CW$2),""))</f>
        <v/>
      </c>
      <c r="CX96" s="43" t="str">
        <f t="shared" si="59"/>
        <v/>
      </c>
      <c r="CY96" s="43" t="str">
        <f t="shared" si="60"/>
        <v/>
      </c>
      <c r="CZ96" s="43" t="str">
        <f t="shared" si="61"/>
        <v/>
      </c>
      <c r="DA96" s="43" t="str">
        <f>IF(IFERROR(INDEX(Consulta!$A:$DP,MATCH('MM01'!$B96,Consulta!$C:$C,0),'MM01'!DA$2),"")=0,"",IFERROR(INDEX(Consulta!$A:$DP,MATCH('MM01'!$B96,Consulta!$C:$C,0),'MM01'!DA$2),""))</f>
        <v/>
      </c>
      <c r="DB96" s="43" t="str">
        <f t="shared" si="62"/>
        <v/>
      </c>
      <c r="DC96" s="43" t="str">
        <f>IF(IFERROR(INDEX(Consulta!$A:$DP,MATCH('MM01'!$B96,Consulta!$C:$C,0),'MM01'!DC$2),"")=0,"",IFERROR(INDEX(Consulta!$A:$DP,MATCH('MM01'!$B96,Consulta!$C:$C,0),'MM01'!DC$2),""))</f>
        <v/>
      </c>
      <c r="DD96" s="45">
        <v>0</v>
      </c>
      <c r="DE96" s="45">
        <v>0</v>
      </c>
      <c r="DF96" s="43" t="str">
        <f t="shared" si="63"/>
        <v/>
      </c>
      <c r="DG96" s="43" t="str">
        <f t="shared" si="64"/>
        <v/>
      </c>
      <c r="DH96" s="57"/>
      <c r="DI96" s="43" t="str">
        <f t="shared" ca="1" si="65"/>
        <v/>
      </c>
      <c r="DJ96" s="43" t="str">
        <f t="shared" si="66"/>
        <v/>
      </c>
      <c r="DK96" s="43" t="str">
        <f t="shared" si="67"/>
        <v/>
      </c>
      <c r="DL96" s="57"/>
      <c r="DM96" s="43" t="str">
        <f t="shared" ca="1" si="68"/>
        <v/>
      </c>
      <c r="DN96" s="43" t="str">
        <f t="shared" si="69"/>
        <v/>
      </c>
      <c r="DO96" s="43" t="str">
        <f t="shared" si="70"/>
        <v/>
      </c>
      <c r="DP96" s="57"/>
      <c r="DQ96" s="43" t="str">
        <f t="shared" ca="1" si="71"/>
        <v/>
      </c>
      <c r="DR96" s="43" t="str">
        <f t="shared" si="72"/>
        <v/>
      </c>
      <c r="DS96" s="43" t="str">
        <f t="shared" si="73"/>
        <v/>
      </c>
      <c r="DT96" s="57"/>
      <c r="DU96" s="43" t="str">
        <f t="shared" ca="1" si="74"/>
        <v/>
      </c>
      <c r="DV96" s="43" t="str">
        <f t="shared" si="75"/>
        <v/>
      </c>
      <c r="DX96" s="44">
        <v>1</v>
      </c>
      <c r="DY96" s="44" t="s">
        <v>773</v>
      </c>
      <c r="DZ96" s="43">
        <f t="shared" si="76"/>
        <v>0.01</v>
      </c>
      <c r="EA96" s="43" t="str">
        <f t="shared" si="77"/>
        <v>M</v>
      </c>
      <c r="EB96" s="43" t="str">
        <f>IF(IFERROR(INDEX(Consulta!$A:$DP,MATCH('MM01'!$B96,Consulta!$C:$C,0),'MM01'!EB$2),"")=0,"7925",IF(IFERROR(INDEX(Consulta!$A:$DP,MATCH('MM01'!$B96,Consulta!$C:$C,0),'MM01'!EB$2),"")="68","7910","7925"))</f>
        <v>7925</v>
      </c>
      <c r="EC96" s="44">
        <v>100</v>
      </c>
      <c r="ED96" s="62">
        <v>1</v>
      </c>
      <c r="EE96" s="43">
        <f t="shared" si="78"/>
        <v>100</v>
      </c>
      <c r="EF96" s="44">
        <v>1</v>
      </c>
      <c r="EG96" s="44">
        <v>0</v>
      </c>
      <c r="EH96" s="44" t="s">
        <v>875</v>
      </c>
      <c r="EI96" s="45">
        <v>0</v>
      </c>
      <c r="EJ96" s="43">
        <f t="shared" si="79"/>
        <v>5000</v>
      </c>
      <c r="EK96" s="69"/>
    </row>
    <row r="97" spans="1:141" x14ac:dyDescent="0.2">
      <c r="A97" s="7" t="str">
        <f t="shared" si="80"/>
        <v>Execução 93</v>
      </c>
      <c r="B97" s="42"/>
      <c r="C97" s="43" t="str">
        <f>IF(IFERROR(INDEX(Consulta!$A:$DP,MATCH('MM01'!$B97,Consulta!$C:$C,0),'MM01'!C$2),"")=0,"",IFERROR(INDEX(Consulta!$A:$DP,MATCH('MM01'!$B97,Consulta!$C:$C,0),'MM01'!C$2),""))</f>
        <v/>
      </c>
      <c r="D97" s="43" t="str">
        <f>IF(IFERROR(INDEX(Consulta!$A:$DP,MATCH('MM01'!$B97,Consulta!$C:$C,0),'MM01'!D$2),"")=0,"",IFERROR(INDEX(Consulta!$A:$DP,MATCH('MM01'!$B97,Consulta!$C:$C,0),'MM01'!D$2),""))</f>
        <v/>
      </c>
      <c r="E97" s="43" t="str">
        <f>IF(IFERROR(INDEX(Consulta!$A:$DP,MATCH('MM01'!$B97,Consulta!$C:$C,0),'MM01'!E$2),"")=0,"",IFERROR(INDEX(Consulta!$A:$DP,MATCH('MM01'!$B97,Consulta!$C:$C,0),'MM01'!E$2),""))</f>
        <v/>
      </c>
      <c r="F97" s="44" t="s">
        <v>100</v>
      </c>
      <c r="G97" s="49" t="str">
        <f>IF(IFERROR(INDEX(Consulta!$A:$DP,MATCH('MM01'!$B97,Consulta!$C:$C,0),'MM01'!G$2),"")=0,"",IFERROR(INDEX(Consulta!$A:$DP,MATCH('MM01'!$B97,Consulta!$C:$C,0),'MM01'!G$2),""))</f>
        <v/>
      </c>
      <c r="H97" s="49" t="str">
        <f>IF(IFERROR(INDEX(Consulta!$A:$DP,MATCH('MM01'!$B97,Consulta!$C:$C,0),'MM01'!H$2),"")=0,"",IFERROR(INDEX(Consulta!$A:$DP,MATCH('MM01'!$B97,Consulta!$C:$C,0),'MM01'!H$2),""))</f>
        <v/>
      </c>
      <c r="I97" s="49" t="str">
        <f t="shared" si="41"/>
        <v/>
      </c>
      <c r="J97" s="49" t="str">
        <f>IF(IFERROR(INDEX(Consulta!$A:$DP,MATCH('MM01'!$B97,Consulta!$C:$C,0),'MM01'!J$2),"")=0,"",IFERROR(INDEX(Consulta!$A:$DP,MATCH('MM01'!$B97,Consulta!$C:$C,0),'MM01'!J$2),""))</f>
        <v/>
      </c>
      <c r="K97" s="49" t="str">
        <f t="shared" si="42"/>
        <v/>
      </c>
      <c r="M97" s="45" t="s">
        <v>101</v>
      </c>
      <c r="N97" s="45" t="s">
        <v>102</v>
      </c>
      <c r="O97" s="45" t="s">
        <v>103</v>
      </c>
      <c r="P97" s="45" t="s">
        <v>104</v>
      </c>
      <c r="Q97" s="45" t="s">
        <v>105</v>
      </c>
      <c r="R97" s="45" t="s">
        <v>106</v>
      </c>
      <c r="S97" s="45" t="s">
        <v>107</v>
      </c>
      <c r="T97" s="45"/>
      <c r="U97" s="45"/>
      <c r="V97" s="45"/>
      <c r="W97" s="45"/>
      <c r="X97" s="45" t="s">
        <v>112</v>
      </c>
      <c r="Y97" s="45" t="s">
        <v>113</v>
      </c>
      <c r="Z97" s="45" t="s">
        <v>114</v>
      </c>
      <c r="AA97" s="45" t="s">
        <v>115</v>
      </c>
      <c r="AB97" s="45" t="s">
        <v>117</v>
      </c>
      <c r="AC97" s="45" t="s">
        <v>118</v>
      </c>
      <c r="AD97" s="45" t="s">
        <v>119</v>
      </c>
      <c r="AE97" s="45" t="s">
        <v>120</v>
      </c>
      <c r="AF97" s="45" t="s">
        <v>121</v>
      </c>
      <c r="AG97" s="45" t="s">
        <v>122</v>
      </c>
      <c r="AH97" s="45" t="s">
        <v>123</v>
      </c>
      <c r="AI97" s="45" t="s">
        <v>124</v>
      </c>
      <c r="AJ97" s="45" t="s">
        <v>125</v>
      </c>
      <c r="AK97" s="45" t="s">
        <v>126</v>
      </c>
      <c r="AL97" s="45"/>
      <c r="AM97" s="45"/>
      <c r="AO97" s="44" t="s">
        <v>100</v>
      </c>
      <c r="AP97" s="43" t="str">
        <f>IF(IFERROR(INDEX(Consulta!$A:$DP,MATCH('MM01'!$B97,Consulta!$C:$C,0),'MM01'!AP$2),"")=0,"",IFERROR(INDEX(Consulta!$A:$DP,MATCH('MM01'!$B97,Consulta!$C:$C,0),'MM01'!AP$2),""))</f>
        <v/>
      </c>
      <c r="AQ97" s="45"/>
      <c r="AR97" s="43" t="str">
        <f>IF(IFERROR(INDEX(Consulta!$A:$DP,MATCH('MM01'!$B97,Consulta!$C:$C,0),'MM01'!AR$2),"")=0,"",IFERROR(INDEX(Consulta!$A:$DP,MATCH('MM01'!$B97,Consulta!$C:$C,0),'MM01'!AR$2),""))</f>
        <v/>
      </c>
      <c r="AS97" s="43" t="str">
        <f>IF(IFERROR(INDEX(Consulta!$A:$DP,MATCH('MM01'!$B97,Consulta!$C:$C,0),'MM01'!AS$2),"")=0,"",IF(AR97="68",5102,IFERROR(INDEX(Consulta!$A:$DP,MATCH('MM01'!$B97,Consulta!$C:$C,0),'MM01'!AS$2),"")))</f>
        <v/>
      </c>
      <c r="AT97" s="45"/>
      <c r="AU97" s="46" t="str">
        <f t="shared" ca="1" si="43"/>
        <v/>
      </c>
      <c r="AV97" s="47" t="s">
        <v>795</v>
      </c>
      <c r="AW97" s="43" t="str">
        <f>IF(IFERROR(INDEX(Consulta!$A:$DP,MATCH('MM01'!$B97,Consulta!$C:$C,0),'MM01'!AW$2),"")=0,"",IFERROR(ROUND(INDEX(Consulta!$A:$DP,MATCH('MM01'!$B97,Consulta!$C:$C,0),'MM01'!AW$2),3),""))</f>
        <v/>
      </c>
      <c r="AX97" s="43" t="str">
        <f t="shared" si="44"/>
        <v/>
      </c>
      <c r="AY97" s="48" t="s">
        <v>299</v>
      </c>
      <c r="AZ97" s="48"/>
      <c r="BA97" s="43" t="str">
        <f>IF(IFERROR(INDEX(Consulta!$A:$DP,MATCH('MM01'!$B97,Consulta!$C:$C,0),'MM01'!BA$2),"")=0,"",IFERROR(INDEX(Consulta!$A:$DP,MATCH('MM01'!$B97,Consulta!$C:$C,0),'MM01'!BA$2),""))</f>
        <v/>
      </c>
      <c r="BB97" s="43" t="str">
        <f t="shared" si="45"/>
        <v/>
      </c>
      <c r="BC97" s="43" t="str">
        <f t="shared" si="46"/>
        <v/>
      </c>
      <c r="BD97" s="43" t="str">
        <f t="shared" si="47"/>
        <v/>
      </c>
      <c r="BE97" s="43" t="str">
        <f t="shared" si="48"/>
        <v>M</v>
      </c>
      <c r="BF97" s="43" t="str">
        <f t="shared" si="49"/>
        <v/>
      </c>
      <c r="BG97" s="43" t="str">
        <f t="shared" si="50"/>
        <v/>
      </c>
      <c r="BH97" s="43" t="str">
        <f t="shared" si="51"/>
        <v/>
      </c>
      <c r="BI97" s="43" t="str">
        <f t="shared" si="52"/>
        <v>M</v>
      </c>
      <c r="BK97" s="45" t="s">
        <v>324</v>
      </c>
      <c r="BL97" s="43" t="str">
        <f>IF(IFERROR(INDEX(Consulta!$A:$DP,MATCH('MM01'!$B97,Consulta!$C:$C,0),'MM01'!BL$2),"")=0,"",IFERROR(INDEX(Consulta!$A:$DP,MATCH('MM01'!$B97,Consulta!$C:$C,0),'MM01'!BL$2),""))</f>
        <v/>
      </c>
      <c r="BM97" s="45"/>
      <c r="BN97" s="46" t="str">
        <f t="shared" ca="1" si="53"/>
        <v/>
      </c>
      <c r="BO97" s="49" t="str">
        <f t="shared" si="54"/>
        <v/>
      </c>
      <c r="BP97" s="50">
        <v>1</v>
      </c>
      <c r="BQ97" s="50" t="s">
        <v>194</v>
      </c>
      <c r="BR97" s="79" t="str">
        <f t="shared" si="81"/>
        <v>01</v>
      </c>
      <c r="BS97" s="50" t="s">
        <v>795</v>
      </c>
      <c r="BT97" s="44">
        <v>1</v>
      </c>
      <c r="BU97" s="44" t="s">
        <v>371</v>
      </c>
      <c r="BV97" s="50" t="s">
        <v>197</v>
      </c>
      <c r="BW97" s="50" t="s">
        <v>197</v>
      </c>
      <c r="BX97" s="43" t="str">
        <f>IF(IFERROR(INDEX(Consulta!$A:$DP,MATCH('MM01'!$B97,Consulta!$C:$C,0),'MM01'!BX$2),"")=0,"",IFERROR(INDEX(Consulta!$A:$DP,MATCH('MM01'!$B97,Consulta!$C:$C,0),'MM01'!BX$2),""))</f>
        <v/>
      </c>
      <c r="BY97" s="44" t="s">
        <v>391</v>
      </c>
      <c r="BZ97" s="50">
        <v>0</v>
      </c>
      <c r="CA97" s="45" t="s">
        <v>402</v>
      </c>
      <c r="CB97" s="45" t="s">
        <v>84</v>
      </c>
      <c r="CC97" s="43" t="str">
        <f t="shared" si="55"/>
        <v/>
      </c>
      <c r="CD97" s="45" t="s">
        <v>38</v>
      </c>
      <c r="CE97" s="45">
        <v>1</v>
      </c>
      <c r="CF97" s="45" t="s">
        <v>495</v>
      </c>
      <c r="CG97" s="45"/>
      <c r="CH97" s="44">
        <v>2</v>
      </c>
      <c r="CI97" s="49" t="str">
        <f t="shared" si="56"/>
        <v/>
      </c>
      <c r="CJ97" s="49" t="str">
        <f t="shared" si="57"/>
        <v/>
      </c>
      <c r="CK97" s="45"/>
      <c r="CL97" s="44">
        <v>1</v>
      </c>
      <c r="CM97" s="50" t="s">
        <v>514</v>
      </c>
      <c r="CN97" s="44" t="s">
        <v>371</v>
      </c>
      <c r="CO97" s="44">
        <v>2</v>
      </c>
      <c r="CP97" s="44">
        <v>42</v>
      </c>
      <c r="CQ97" s="44">
        <v>10</v>
      </c>
      <c r="CR97" s="43" t="str">
        <f t="shared" si="58"/>
        <v>K00_P_</v>
      </c>
      <c r="CS97" s="45">
        <v>5000</v>
      </c>
      <c r="CT97" s="43" t="str">
        <f>IF(IFERROR(INDEX(Consulta!$A:$DP,MATCH('MM01'!$B97,Consulta!$C:$C,0),'MM01'!CT$2),"")=0,"",IFERROR(INDEX(Consulta!$A:$DP,MATCH('MM01'!$B97,Consulta!$C:$C,0),'MM01'!CT$2),""))</f>
        <v/>
      </c>
      <c r="CU97" s="43" t="str">
        <f>IF(IFERROR(INDEX(Consulta!$A:$DP,MATCH('MM01'!$B97,Consulta!$C:$C,0),'MM01'!CU$2),"")=0,"",IFERROR(INDEX(Consulta!$A:$DP,MATCH('MM01'!$B97,Consulta!$C:$C,0),'MM01'!CU$2),""))</f>
        <v/>
      </c>
      <c r="CV97" s="43" t="str">
        <f>IF(IFERROR(INDEX(Consulta!$A:$DP,MATCH('MM01'!$B97,Consulta!$C:$C,0),'MM01'!CV$2),"")=0,"",IFERROR(INDEX(Consulta!$A:$DP,MATCH('MM01'!$B97,Consulta!$C:$C,0),'MM01'!CV$2),""))</f>
        <v/>
      </c>
      <c r="CW97" s="43" t="str">
        <f>IF(IFERROR(INDEX(Consulta!$A:$DP,MATCH('MM01'!$B97,Consulta!$C:$C,0),'MM01'!CW$2),"")=0,"",IFERROR(INDEX(Consulta!$A:$DP,MATCH('MM01'!$B97,Consulta!$C:$C,0),'MM01'!CW$2),""))</f>
        <v/>
      </c>
      <c r="CX97" s="43" t="str">
        <f t="shared" si="59"/>
        <v/>
      </c>
      <c r="CY97" s="43" t="str">
        <f t="shared" si="60"/>
        <v/>
      </c>
      <c r="CZ97" s="43" t="str">
        <f t="shared" si="61"/>
        <v/>
      </c>
      <c r="DA97" s="43" t="str">
        <f>IF(IFERROR(INDEX(Consulta!$A:$DP,MATCH('MM01'!$B97,Consulta!$C:$C,0),'MM01'!DA$2),"")=0,"",IFERROR(INDEX(Consulta!$A:$DP,MATCH('MM01'!$B97,Consulta!$C:$C,0),'MM01'!DA$2),""))</f>
        <v/>
      </c>
      <c r="DB97" s="43" t="str">
        <f t="shared" si="62"/>
        <v/>
      </c>
      <c r="DC97" s="43" t="str">
        <f>IF(IFERROR(INDEX(Consulta!$A:$DP,MATCH('MM01'!$B97,Consulta!$C:$C,0),'MM01'!DC$2),"")=0,"",IFERROR(INDEX(Consulta!$A:$DP,MATCH('MM01'!$B97,Consulta!$C:$C,0),'MM01'!DC$2),""))</f>
        <v/>
      </c>
      <c r="DD97" s="45">
        <v>0</v>
      </c>
      <c r="DE97" s="45">
        <v>0</v>
      </c>
      <c r="DF97" s="43" t="str">
        <f t="shared" si="63"/>
        <v/>
      </c>
      <c r="DG97" s="43" t="str">
        <f t="shared" si="64"/>
        <v/>
      </c>
      <c r="DH97" s="57"/>
      <c r="DI97" s="43" t="str">
        <f t="shared" ca="1" si="65"/>
        <v/>
      </c>
      <c r="DJ97" s="43" t="str">
        <f t="shared" si="66"/>
        <v/>
      </c>
      <c r="DK97" s="43" t="str">
        <f t="shared" si="67"/>
        <v/>
      </c>
      <c r="DL97" s="57"/>
      <c r="DM97" s="43" t="str">
        <f t="shared" ca="1" si="68"/>
        <v/>
      </c>
      <c r="DN97" s="43" t="str">
        <f t="shared" si="69"/>
        <v/>
      </c>
      <c r="DO97" s="43" t="str">
        <f t="shared" si="70"/>
        <v/>
      </c>
      <c r="DP97" s="57"/>
      <c r="DQ97" s="43" t="str">
        <f t="shared" ca="1" si="71"/>
        <v/>
      </c>
      <c r="DR97" s="43" t="str">
        <f t="shared" si="72"/>
        <v/>
      </c>
      <c r="DS97" s="43" t="str">
        <f t="shared" si="73"/>
        <v/>
      </c>
      <c r="DT97" s="57"/>
      <c r="DU97" s="43" t="str">
        <f t="shared" ca="1" si="74"/>
        <v/>
      </c>
      <c r="DV97" s="43" t="str">
        <f t="shared" si="75"/>
        <v/>
      </c>
      <c r="DX97" s="44">
        <v>1</v>
      </c>
      <c r="DY97" s="44" t="s">
        <v>773</v>
      </c>
      <c r="DZ97" s="43">
        <f t="shared" si="76"/>
        <v>0.01</v>
      </c>
      <c r="EA97" s="43" t="str">
        <f t="shared" si="77"/>
        <v>M</v>
      </c>
      <c r="EB97" s="43" t="str">
        <f>IF(IFERROR(INDEX(Consulta!$A:$DP,MATCH('MM01'!$B97,Consulta!$C:$C,0),'MM01'!EB$2),"")=0,"7925",IF(IFERROR(INDEX(Consulta!$A:$DP,MATCH('MM01'!$B97,Consulta!$C:$C,0),'MM01'!EB$2),"")="68","7910","7925"))</f>
        <v>7925</v>
      </c>
      <c r="EC97" s="44">
        <v>100</v>
      </c>
      <c r="ED97" s="62">
        <v>1</v>
      </c>
      <c r="EE97" s="43">
        <f t="shared" si="78"/>
        <v>100</v>
      </c>
      <c r="EF97" s="44">
        <v>1</v>
      </c>
      <c r="EG97" s="44">
        <v>0</v>
      </c>
      <c r="EH97" s="44" t="s">
        <v>875</v>
      </c>
      <c r="EI97" s="45">
        <v>0</v>
      </c>
      <c r="EJ97" s="43">
        <f t="shared" si="79"/>
        <v>5000</v>
      </c>
      <c r="EK97" s="69"/>
    </row>
    <row r="98" spans="1:141" x14ac:dyDescent="0.2">
      <c r="A98" s="7" t="str">
        <f t="shared" si="80"/>
        <v>Execução 94</v>
      </c>
      <c r="B98" s="42"/>
      <c r="C98" s="43" t="str">
        <f>IF(IFERROR(INDEX(Consulta!$A:$DP,MATCH('MM01'!$B98,Consulta!$C:$C,0),'MM01'!C$2),"")=0,"",IFERROR(INDEX(Consulta!$A:$DP,MATCH('MM01'!$B98,Consulta!$C:$C,0),'MM01'!C$2),""))</f>
        <v/>
      </c>
      <c r="D98" s="43" t="str">
        <f>IF(IFERROR(INDEX(Consulta!$A:$DP,MATCH('MM01'!$B98,Consulta!$C:$C,0),'MM01'!D$2),"")=0,"",IFERROR(INDEX(Consulta!$A:$DP,MATCH('MM01'!$B98,Consulta!$C:$C,0),'MM01'!D$2),""))</f>
        <v/>
      </c>
      <c r="E98" s="43" t="str">
        <f>IF(IFERROR(INDEX(Consulta!$A:$DP,MATCH('MM01'!$B98,Consulta!$C:$C,0),'MM01'!E$2),"")=0,"",IFERROR(INDEX(Consulta!$A:$DP,MATCH('MM01'!$B98,Consulta!$C:$C,0),'MM01'!E$2),""))</f>
        <v/>
      </c>
      <c r="F98" s="44" t="s">
        <v>100</v>
      </c>
      <c r="G98" s="49" t="str">
        <f>IF(IFERROR(INDEX(Consulta!$A:$DP,MATCH('MM01'!$B98,Consulta!$C:$C,0),'MM01'!G$2),"")=0,"",IFERROR(INDEX(Consulta!$A:$DP,MATCH('MM01'!$B98,Consulta!$C:$C,0),'MM01'!G$2),""))</f>
        <v/>
      </c>
      <c r="H98" s="49" t="str">
        <f>IF(IFERROR(INDEX(Consulta!$A:$DP,MATCH('MM01'!$B98,Consulta!$C:$C,0),'MM01'!H$2),"")=0,"",IFERROR(INDEX(Consulta!$A:$DP,MATCH('MM01'!$B98,Consulta!$C:$C,0),'MM01'!H$2),""))</f>
        <v/>
      </c>
      <c r="I98" s="49" t="str">
        <f t="shared" si="41"/>
        <v/>
      </c>
      <c r="J98" s="49" t="str">
        <f>IF(IFERROR(INDEX(Consulta!$A:$DP,MATCH('MM01'!$B98,Consulta!$C:$C,0),'MM01'!J$2),"")=0,"",IFERROR(INDEX(Consulta!$A:$DP,MATCH('MM01'!$B98,Consulta!$C:$C,0),'MM01'!J$2),""))</f>
        <v/>
      </c>
      <c r="K98" s="49" t="str">
        <f t="shared" si="42"/>
        <v/>
      </c>
      <c r="M98" s="45" t="s">
        <v>101</v>
      </c>
      <c r="N98" s="45" t="s">
        <v>102</v>
      </c>
      <c r="O98" s="45" t="s">
        <v>103</v>
      </c>
      <c r="P98" s="45" t="s">
        <v>104</v>
      </c>
      <c r="Q98" s="45" t="s">
        <v>105</v>
      </c>
      <c r="R98" s="45" t="s">
        <v>106</v>
      </c>
      <c r="S98" s="45" t="s">
        <v>107</v>
      </c>
      <c r="T98" s="45"/>
      <c r="U98" s="45"/>
      <c r="V98" s="45"/>
      <c r="W98" s="45"/>
      <c r="X98" s="45" t="s">
        <v>112</v>
      </c>
      <c r="Y98" s="45" t="s">
        <v>113</v>
      </c>
      <c r="Z98" s="45" t="s">
        <v>114</v>
      </c>
      <c r="AA98" s="45" t="s">
        <v>115</v>
      </c>
      <c r="AB98" s="45" t="s">
        <v>117</v>
      </c>
      <c r="AC98" s="45" t="s">
        <v>118</v>
      </c>
      <c r="AD98" s="45" t="s">
        <v>119</v>
      </c>
      <c r="AE98" s="45" t="s">
        <v>120</v>
      </c>
      <c r="AF98" s="45" t="s">
        <v>121</v>
      </c>
      <c r="AG98" s="45" t="s">
        <v>122</v>
      </c>
      <c r="AH98" s="45" t="s">
        <v>123</v>
      </c>
      <c r="AI98" s="45" t="s">
        <v>124</v>
      </c>
      <c r="AJ98" s="45" t="s">
        <v>125</v>
      </c>
      <c r="AK98" s="45" t="s">
        <v>126</v>
      </c>
      <c r="AL98" s="45"/>
      <c r="AM98" s="45"/>
      <c r="AO98" s="44" t="s">
        <v>100</v>
      </c>
      <c r="AP98" s="43" t="str">
        <f>IF(IFERROR(INDEX(Consulta!$A:$DP,MATCH('MM01'!$B98,Consulta!$C:$C,0),'MM01'!AP$2),"")=0,"",IFERROR(INDEX(Consulta!$A:$DP,MATCH('MM01'!$B98,Consulta!$C:$C,0),'MM01'!AP$2),""))</f>
        <v/>
      </c>
      <c r="AQ98" s="45"/>
      <c r="AR98" s="43" t="str">
        <f>IF(IFERROR(INDEX(Consulta!$A:$DP,MATCH('MM01'!$B98,Consulta!$C:$C,0),'MM01'!AR$2),"")=0,"",IFERROR(INDEX(Consulta!$A:$DP,MATCH('MM01'!$B98,Consulta!$C:$C,0),'MM01'!AR$2),""))</f>
        <v/>
      </c>
      <c r="AS98" s="43" t="str">
        <f>IF(IFERROR(INDEX(Consulta!$A:$DP,MATCH('MM01'!$B98,Consulta!$C:$C,0),'MM01'!AS$2),"")=0,"",IF(AR98="68",5102,IFERROR(INDEX(Consulta!$A:$DP,MATCH('MM01'!$B98,Consulta!$C:$C,0),'MM01'!AS$2),"")))</f>
        <v/>
      </c>
      <c r="AT98" s="45"/>
      <c r="AU98" s="46" t="str">
        <f t="shared" ca="1" si="43"/>
        <v/>
      </c>
      <c r="AV98" s="47" t="s">
        <v>795</v>
      </c>
      <c r="AW98" s="43" t="str">
        <f>IF(IFERROR(INDEX(Consulta!$A:$DP,MATCH('MM01'!$B98,Consulta!$C:$C,0),'MM01'!AW$2),"")=0,"",IFERROR(ROUND(INDEX(Consulta!$A:$DP,MATCH('MM01'!$B98,Consulta!$C:$C,0),'MM01'!AW$2),3),""))</f>
        <v/>
      </c>
      <c r="AX98" s="43" t="str">
        <f t="shared" si="44"/>
        <v/>
      </c>
      <c r="AY98" s="48" t="s">
        <v>299</v>
      </c>
      <c r="AZ98" s="48"/>
      <c r="BA98" s="43" t="str">
        <f>IF(IFERROR(INDEX(Consulta!$A:$DP,MATCH('MM01'!$B98,Consulta!$C:$C,0),'MM01'!BA$2),"")=0,"",IFERROR(INDEX(Consulta!$A:$DP,MATCH('MM01'!$B98,Consulta!$C:$C,0),'MM01'!BA$2),""))</f>
        <v/>
      </c>
      <c r="BB98" s="43" t="str">
        <f t="shared" si="45"/>
        <v/>
      </c>
      <c r="BC98" s="43" t="str">
        <f t="shared" si="46"/>
        <v/>
      </c>
      <c r="BD98" s="43" t="str">
        <f t="shared" si="47"/>
        <v/>
      </c>
      <c r="BE98" s="43" t="str">
        <f t="shared" si="48"/>
        <v>M</v>
      </c>
      <c r="BF98" s="43" t="str">
        <f t="shared" si="49"/>
        <v/>
      </c>
      <c r="BG98" s="43" t="str">
        <f t="shared" si="50"/>
        <v/>
      </c>
      <c r="BH98" s="43" t="str">
        <f t="shared" si="51"/>
        <v/>
      </c>
      <c r="BI98" s="43" t="str">
        <f t="shared" si="52"/>
        <v>M</v>
      </c>
      <c r="BK98" s="45" t="s">
        <v>324</v>
      </c>
      <c r="BL98" s="43" t="str">
        <f>IF(IFERROR(INDEX(Consulta!$A:$DP,MATCH('MM01'!$B98,Consulta!$C:$C,0),'MM01'!BL$2),"")=0,"",IFERROR(INDEX(Consulta!$A:$DP,MATCH('MM01'!$B98,Consulta!$C:$C,0),'MM01'!BL$2),""))</f>
        <v/>
      </c>
      <c r="BM98" s="45"/>
      <c r="BN98" s="46" t="str">
        <f t="shared" ca="1" si="53"/>
        <v/>
      </c>
      <c r="BO98" s="49" t="str">
        <f t="shared" si="54"/>
        <v/>
      </c>
      <c r="BP98" s="50">
        <v>1</v>
      </c>
      <c r="BQ98" s="50" t="s">
        <v>194</v>
      </c>
      <c r="BR98" s="79" t="str">
        <f t="shared" si="81"/>
        <v>01</v>
      </c>
      <c r="BS98" s="50" t="s">
        <v>795</v>
      </c>
      <c r="BT98" s="44">
        <v>1</v>
      </c>
      <c r="BU98" s="44" t="s">
        <v>371</v>
      </c>
      <c r="BV98" s="50" t="s">
        <v>197</v>
      </c>
      <c r="BW98" s="50" t="s">
        <v>197</v>
      </c>
      <c r="BX98" s="43" t="str">
        <f>IF(IFERROR(INDEX(Consulta!$A:$DP,MATCH('MM01'!$B98,Consulta!$C:$C,0),'MM01'!BX$2),"")=0,"",IFERROR(INDEX(Consulta!$A:$DP,MATCH('MM01'!$B98,Consulta!$C:$C,0),'MM01'!BX$2),""))</f>
        <v/>
      </c>
      <c r="BY98" s="44" t="s">
        <v>391</v>
      </c>
      <c r="BZ98" s="50">
        <v>0</v>
      </c>
      <c r="CA98" s="45" t="s">
        <v>402</v>
      </c>
      <c r="CB98" s="45" t="s">
        <v>84</v>
      </c>
      <c r="CC98" s="43" t="str">
        <f t="shared" si="55"/>
        <v/>
      </c>
      <c r="CD98" s="45" t="s">
        <v>38</v>
      </c>
      <c r="CE98" s="45">
        <v>1</v>
      </c>
      <c r="CF98" s="45" t="s">
        <v>495</v>
      </c>
      <c r="CG98" s="45"/>
      <c r="CH98" s="44">
        <v>2</v>
      </c>
      <c r="CI98" s="49" t="str">
        <f t="shared" si="56"/>
        <v/>
      </c>
      <c r="CJ98" s="49" t="str">
        <f t="shared" si="57"/>
        <v/>
      </c>
      <c r="CK98" s="45"/>
      <c r="CL98" s="44">
        <v>1</v>
      </c>
      <c r="CM98" s="50" t="s">
        <v>514</v>
      </c>
      <c r="CN98" s="44" t="s">
        <v>371</v>
      </c>
      <c r="CO98" s="44">
        <v>2</v>
      </c>
      <c r="CP98" s="44">
        <v>42</v>
      </c>
      <c r="CQ98" s="44">
        <v>10</v>
      </c>
      <c r="CR98" s="43" t="str">
        <f t="shared" si="58"/>
        <v>K00_P_</v>
      </c>
      <c r="CS98" s="45">
        <v>5000</v>
      </c>
      <c r="CT98" s="43" t="str">
        <f>IF(IFERROR(INDEX(Consulta!$A:$DP,MATCH('MM01'!$B98,Consulta!$C:$C,0),'MM01'!CT$2),"")=0,"",IFERROR(INDEX(Consulta!$A:$DP,MATCH('MM01'!$B98,Consulta!$C:$C,0),'MM01'!CT$2),""))</f>
        <v/>
      </c>
      <c r="CU98" s="43" t="str">
        <f>IF(IFERROR(INDEX(Consulta!$A:$DP,MATCH('MM01'!$B98,Consulta!$C:$C,0),'MM01'!CU$2),"")=0,"",IFERROR(INDEX(Consulta!$A:$DP,MATCH('MM01'!$B98,Consulta!$C:$C,0),'MM01'!CU$2),""))</f>
        <v/>
      </c>
      <c r="CV98" s="43" t="str">
        <f>IF(IFERROR(INDEX(Consulta!$A:$DP,MATCH('MM01'!$B98,Consulta!$C:$C,0),'MM01'!CV$2),"")=0,"",IFERROR(INDEX(Consulta!$A:$DP,MATCH('MM01'!$B98,Consulta!$C:$C,0),'MM01'!CV$2),""))</f>
        <v/>
      </c>
      <c r="CW98" s="43" t="str">
        <f>IF(IFERROR(INDEX(Consulta!$A:$DP,MATCH('MM01'!$B98,Consulta!$C:$C,0),'MM01'!CW$2),"")=0,"",IFERROR(INDEX(Consulta!$A:$DP,MATCH('MM01'!$B98,Consulta!$C:$C,0),'MM01'!CW$2),""))</f>
        <v/>
      </c>
      <c r="CX98" s="43" t="str">
        <f t="shared" si="59"/>
        <v/>
      </c>
      <c r="CY98" s="43" t="str">
        <f t="shared" si="60"/>
        <v/>
      </c>
      <c r="CZ98" s="43" t="str">
        <f t="shared" si="61"/>
        <v/>
      </c>
      <c r="DA98" s="43" t="str">
        <f>IF(IFERROR(INDEX(Consulta!$A:$DP,MATCH('MM01'!$B98,Consulta!$C:$C,0),'MM01'!DA$2),"")=0,"",IFERROR(INDEX(Consulta!$A:$DP,MATCH('MM01'!$B98,Consulta!$C:$C,0),'MM01'!DA$2),""))</f>
        <v/>
      </c>
      <c r="DB98" s="43" t="str">
        <f t="shared" si="62"/>
        <v/>
      </c>
      <c r="DC98" s="43" t="str">
        <f>IF(IFERROR(INDEX(Consulta!$A:$DP,MATCH('MM01'!$B98,Consulta!$C:$C,0),'MM01'!DC$2),"")=0,"",IFERROR(INDEX(Consulta!$A:$DP,MATCH('MM01'!$B98,Consulta!$C:$C,0),'MM01'!DC$2),""))</f>
        <v/>
      </c>
      <c r="DD98" s="45">
        <v>0</v>
      </c>
      <c r="DE98" s="45">
        <v>0</v>
      </c>
      <c r="DF98" s="43" t="str">
        <f t="shared" si="63"/>
        <v/>
      </c>
      <c r="DG98" s="43" t="str">
        <f t="shared" si="64"/>
        <v/>
      </c>
      <c r="DH98" s="57"/>
      <c r="DI98" s="43" t="str">
        <f t="shared" ca="1" si="65"/>
        <v/>
      </c>
      <c r="DJ98" s="43" t="str">
        <f t="shared" si="66"/>
        <v/>
      </c>
      <c r="DK98" s="43" t="str">
        <f t="shared" si="67"/>
        <v/>
      </c>
      <c r="DL98" s="57"/>
      <c r="DM98" s="43" t="str">
        <f t="shared" ca="1" si="68"/>
        <v/>
      </c>
      <c r="DN98" s="43" t="str">
        <f t="shared" si="69"/>
        <v/>
      </c>
      <c r="DO98" s="43" t="str">
        <f t="shared" si="70"/>
        <v/>
      </c>
      <c r="DP98" s="57"/>
      <c r="DQ98" s="43" t="str">
        <f t="shared" ca="1" si="71"/>
        <v/>
      </c>
      <c r="DR98" s="43" t="str">
        <f t="shared" si="72"/>
        <v/>
      </c>
      <c r="DS98" s="43" t="str">
        <f t="shared" si="73"/>
        <v/>
      </c>
      <c r="DT98" s="57"/>
      <c r="DU98" s="43" t="str">
        <f t="shared" ca="1" si="74"/>
        <v/>
      </c>
      <c r="DV98" s="43" t="str">
        <f t="shared" si="75"/>
        <v/>
      </c>
      <c r="DX98" s="44">
        <v>1</v>
      </c>
      <c r="DY98" s="44" t="s">
        <v>773</v>
      </c>
      <c r="DZ98" s="43">
        <f t="shared" si="76"/>
        <v>0.01</v>
      </c>
      <c r="EA98" s="43" t="str">
        <f t="shared" si="77"/>
        <v>M</v>
      </c>
      <c r="EB98" s="43" t="str">
        <f>IF(IFERROR(INDEX(Consulta!$A:$DP,MATCH('MM01'!$B98,Consulta!$C:$C,0),'MM01'!EB$2),"")=0,"7925",IF(IFERROR(INDEX(Consulta!$A:$DP,MATCH('MM01'!$B98,Consulta!$C:$C,0),'MM01'!EB$2),"")="68","7910","7925"))</f>
        <v>7925</v>
      </c>
      <c r="EC98" s="44">
        <v>100</v>
      </c>
      <c r="ED98" s="62">
        <v>1</v>
      </c>
      <c r="EE98" s="43">
        <f t="shared" si="78"/>
        <v>100</v>
      </c>
      <c r="EF98" s="44">
        <v>1</v>
      </c>
      <c r="EG98" s="44">
        <v>0</v>
      </c>
      <c r="EH98" s="44" t="s">
        <v>875</v>
      </c>
      <c r="EI98" s="45">
        <v>0</v>
      </c>
      <c r="EJ98" s="43">
        <f t="shared" si="79"/>
        <v>5000</v>
      </c>
      <c r="EK98" s="69"/>
    </row>
    <row r="99" spans="1:141" x14ac:dyDescent="0.2">
      <c r="A99" s="7" t="str">
        <f t="shared" si="80"/>
        <v>Execução 95</v>
      </c>
      <c r="B99" s="42"/>
      <c r="C99" s="43" t="str">
        <f>IF(IFERROR(INDEX(Consulta!$A:$DP,MATCH('MM01'!$B99,Consulta!$C:$C,0),'MM01'!C$2),"")=0,"",IFERROR(INDEX(Consulta!$A:$DP,MATCH('MM01'!$B99,Consulta!$C:$C,0),'MM01'!C$2),""))</f>
        <v/>
      </c>
      <c r="D99" s="43" t="str">
        <f>IF(IFERROR(INDEX(Consulta!$A:$DP,MATCH('MM01'!$B99,Consulta!$C:$C,0),'MM01'!D$2),"")=0,"",IFERROR(INDEX(Consulta!$A:$DP,MATCH('MM01'!$B99,Consulta!$C:$C,0),'MM01'!D$2),""))</f>
        <v/>
      </c>
      <c r="E99" s="43" t="str">
        <f>IF(IFERROR(INDEX(Consulta!$A:$DP,MATCH('MM01'!$B99,Consulta!$C:$C,0),'MM01'!E$2),"")=0,"",IFERROR(INDEX(Consulta!$A:$DP,MATCH('MM01'!$B99,Consulta!$C:$C,0),'MM01'!E$2),""))</f>
        <v/>
      </c>
      <c r="F99" s="44" t="s">
        <v>100</v>
      </c>
      <c r="G99" s="49" t="str">
        <f>IF(IFERROR(INDEX(Consulta!$A:$DP,MATCH('MM01'!$B99,Consulta!$C:$C,0),'MM01'!G$2),"")=0,"",IFERROR(INDEX(Consulta!$A:$DP,MATCH('MM01'!$B99,Consulta!$C:$C,0),'MM01'!G$2),""))</f>
        <v/>
      </c>
      <c r="H99" s="49" t="str">
        <f>IF(IFERROR(INDEX(Consulta!$A:$DP,MATCH('MM01'!$B99,Consulta!$C:$C,0),'MM01'!H$2),"")=0,"",IFERROR(INDEX(Consulta!$A:$DP,MATCH('MM01'!$B99,Consulta!$C:$C,0),'MM01'!H$2),""))</f>
        <v/>
      </c>
      <c r="I99" s="49" t="str">
        <f t="shared" si="41"/>
        <v/>
      </c>
      <c r="J99" s="49" t="str">
        <f>IF(IFERROR(INDEX(Consulta!$A:$DP,MATCH('MM01'!$B99,Consulta!$C:$C,0),'MM01'!J$2),"")=0,"",IFERROR(INDEX(Consulta!$A:$DP,MATCH('MM01'!$B99,Consulta!$C:$C,0),'MM01'!J$2),""))</f>
        <v/>
      </c>
      <c r="K99" s="49" t="str">
        <f t="shared" si="42"/>
        <v/>
      </c>
      <c r="M99" s="45" t="s">
        <v>101</v>
      </c>
      <c r="N99" s="45" t="s">
        <v>102</v>
      </c>
      <c r="O99" s="45" t="s">
        <v>103</v>
      </c>
      <c r="P99" s="45" t="s">
        <v>104</v>
      </c>
      <c r="Q99" s="45" t="s">
        <v>105</v>
      </c>
      <c r="R99" s="45" t="s">
        <v>106</v>
      </c>
      <c r="S99" s="45" t="s">
        <v>107</v>
      </c>
      <c r="T99" s="45"/>
      <c r="U99" s="45"/>
      <c r="V99" s="45"/>
      <c r="W99" s="45"/>
      <c r="X99" s="45" t="s">
        <v>112</v>
      </c>
      <c r="Y99" s="45" t="s">
        <v>113</v>
      </c>
      <c r="Z99" s="45" t="s">
        <v>114</v>
      </c>
      <c r="AA99" s="45" t="s">
        <v>115</v>
      </c>
      <c r="AB99" s="45" t="s">
        <v>117</v>
      </c>
      <c r="AC99" s="45" t="s">
        <v>118</v>
      </c>
      <c r="AD99" s="45" t="s">
        <v>119</v>
      </c>
      <c r="AE99" s="45" t="s">
        <v>120</v>
      </c>
      <c r="AF99" s="45" t="s">
        <v>121</v>
      </c>
      <c r="AG99" s="45" t="s">
        <v>122</v>
      </c>
      <c r="AH99" s="45" t="s">
        <v>123</v>
      </c>
      <c r="AI99" s="45" t="s">
        <v>124</v>
      </c>
      <c r="AJ99" s="45" t="s">
        <v>125</v>
      </c>
      <c r="AK99" s="45" t="s">
        <v>126</v>
      </c>
      <c r="AL99" s="45"/>
      <c r="AM99" s="45"/>
      <c r="AO99" s="44" t="s">
        <v>100</v>
      </c>
      <c r="AP99" s="43" t="str">
        <f>IF(IFERROR(INDEX(Consulta!$A:$DP,MATCH('MM01'!$B99,Consulta!$C:$C,0),'MM01'!AP$2),"")=0,"",IFERROR(INDEX(Consulta!$A:$DP,MATCH('MM01'!$B99,Consulta!$C:$C,0),'MM01'!AP$2),""))</f>
        <v/>
      </c>
      <c r="AQ99" s="45"/>
      <c r="AR99" s="43" t="str">
        <f>IF(IFERROR(INDEX(Consulta!$A:$DP,MATCH('MM01'!$B99,Consulta!$C:$C,0),'MM01'!AR$2),"")=0,"",IFERROR(INDEX(Consulta!$A:$DP,MATCH('MM01'!$B99,Consulta!$C:$C,0),'MM01'!AR$2),""))</f>
        <v/>
      </c>
      <c r="AS99" s="43" t="str">
        <f>IF(IFERROR(INDEX(Consulta!$A:$DP,MATCH('MM01'!$B99,Consulta!$C:$C,0),'MM01'!AS$2),"")=0,"",IF(AR99="68",5102,IFERROR(INDEX(Consulta!$A:$DP,MATCH('MM01'!$B99,Consulta!$C:$C,0),'MM01'!AS$2),"")))</f>
        <v/>
      </c>
      <c r="AT99" s="45"/>
      <c r="AU99" s="46" t="str">
        <f t="shared" ca="1" si="43"/>
        <v/>
      </c>
      <c r="AV99" s="47" t="s">
        <v>795</v>
      </c>
      <c r="AW99" s="43" t="str">
        <f>IF(IFERROR(INDEX(Consulta!$A:$DP,MATCH('MM01'!$B99,Consulta!$C:$C,0),'MM01'!AW$2),"")=0,"",IFERROR(ROUND(INDEX(Consulta!$A:$DP,MATCH('MM01'!$B99,Consulta!$C:$C,0),'MM01'!AW$2),3),""))</f>
        <v/>
      </c>
      <c r="AX99" s="43" t="str">
        <f t="shared" si="44"/>
        <v/>
      </c>
      <c r="AY99" s="48" t="s">
        <v>299</v>
      </c>
      <c r="AZ99" s="48"/>
      <c r="BA99" s="43" t="str">
        <f>IF(IFERROR(INDEX(Consulta!$A:$DP,MATCH('MM01'!$B99,Consulta!$C:$C,0),'MM01'!BA$2),"")=0,"",IFERROR(INDEX(Consulta!$A:$DP,MATCH('MM01'!$B99,Consulta!$C:$C,0),'MM01'!BA$2),""))</f>
        <v/>
      </c>
      <c r="BB99" s="43" t="str">
        <f t="shared" si="45"/>
        <v/>
      </c>
      <c r="BC99" s="43" t="str">
        <f t="shared" si="46"/>
        <v/>
      </c>
      <c r="BD99" s="43" t="str">
        <f t="shared" si="47"/>
        <v/>
      </c>
      <c r="BE99" s="43" t="str">
        <f t="shared" si="48"/>
        <v>M</v>
      </c>
      <c r="BF99" s="43" t="str">
        <f t="shared" si="49"/>
        <v/>
      </c>
      <c r="BG99" s="43" t="str">
        <f t="shared" si="50"/>
        <v/>
      </c>
      <c r="BH99" s="43" t="str">
        <f t="shared" si="51"/>
        <v/>
      </c>
      <c r="BI99" s="43" t="str">
        <f t="shared" si="52"/>
        <v>M</v>
      </c>
      <c r="BK99" s="45" t="s">
        <v>324</v>
      </c>
      <c r="BL99" s="43" t="str">
        <f>IF(IFERROR(INDEX(Consulta!$A:$DP,MATCH('MM01'!$B99,Consulta!$C:$C,0),'MM01'!BL$2),"")=0,"",IFERROR(INDEX(Consulta!$A:$DP,MATCH('MM01'!$B99,Consulta!$C:$C,0),'MM01'!BL$2),""))</f>
        <v/>
      </c>
      <c r="BM99" s="45"/>
      <c r="BN99" s="46" t="str">
        <f t="shared" ca="1" si="53"/>
        <v/>
      </c>
      <c r="BO99" s="49" t="str">
        <f t="shared" si="54"/>
        <v/>
      </c>
      <c r="BP99" s="50">
        <v>1</v>
      </c>
      <c r="BQ99" s="50" t="s">
        <v>194</v>
      </c>
      <c r="BR99" s="79" t="str">
        <f t="shared" si="81"/>
        <v>01</v>
      </c>
      <c r="BS99" s="50" t="s">
        <v>795</v>
      </c>
      <c r="BT99" s="44">
        <v>1</v>
      </c>
      <c r="BU99" s="44" t="s">
        <v>371</v>
      </c>
      <c r="BV99" s="50" t="s">
        <v>197</v>
      </c>
      <c r="BW99" s="50" t="s">
        <v>197</v>
      </c>
      <c r="BX99" s="43" t="str">
        <f>IF(IFERROR(INDEX(Consulta!$A:$DP,MATCH('MM01'!$B99,Consulta!$C:$C,0),'MM01'!BX$2),"")=0,"",IFERROR(INDEX(Consulta!$A:$DP,MATCH('MM01'!$B99,Consulta!$C:$C,0),'MM01'!BX$2),""))</f>
        <v/>
      </c>
      <c r="BY99" s="44" t="s">
        <v>391</v>
      </c>
      <c r="BZ99" s="50">
        <v>0</v>
      </c>
      <c r="CA99" s="45" t="s">
        <v>402</v>
      </c>
      <c r="CB99" s="45" t="s">
        <v>84</v>
      </c>
      <c r="CC99" s="43" t="str">
        <f t="shared" si="55"/>
        <v/>
      </c>
      <c r="CD99" s="45" t="s">
        <v>38</v>
      </c>
      <c r="CE99" s="45">
        <v>1</v>
      </c>
      <c r="CF99" s="45" t="s">
        <v>495</v>
      </c>
      <c r="CG99" s="45"/>
      <c r="CH99" s="44">
        <v>2</v>
      </c>
      <c r="CI99" s="49" t="str">
        <f t="shared" si="56"/>
        <v/>
      </c>
      <c r="CJ99" s="49" t="str">
        <f t="shared" si="57"/>
        <v/>
      </c>
      <c r="CK99" s="45"/>
      <c r="CL99" s="44">
        <v>1</v>
      </c>
      <c r="CM99" s="50" t="s">
        <v>514</v>
      </c>
      <c r="CN99" s="44" t="s">
        <v>371</v>
      </c>
      <c r="CO99" s="44">
        <v>2</v>
      </c>
      <c r="CP99" s="44">
        <v>42</v>
      </c>
      <c r="CQ99" s="44">
        <v>10</v>
      </c>
      <c r="CR99" s="43" t="str">
        <f t="shared" si="58"/>
        <v>K00_P_</v>
      </c>
      <c r="CS99" s="45">
        <v>5000</v>
      </c>
      <c r="CT99" s="43" t="str">
        <f>IF(IFERROR(INDEX(Consulta!$A:$DP,MATCH('MM01'!$B99,Consulta!$C:$C,0),'MM01'!CT$2),"")=0,"",IFERROR(INDEX(Consulta!$A:$DP,MATCH('MM01'!$B99,Consulta!$C:$C,0),'MM01'!CT$2),""))</f>
        <v/>
      </c>
      <c r="CU99" s="43" t="str">
        <f>IF(IFERROR(INDEX(Consulta!$A:$DP,MATCH('MM01'!$B99,Consulta!$C:$C,0),'MM01'!CU$2),"")=0,"",IFERROR(INDEX(Consulta!$A:$DP,MATCH('MM01'!$B99,Consulta!$C:$C,0),'MM01'!CU$2),""))</f>
        <v/>
      </c>
      <c r="CV99" s="43" t="str">
        <f>IF(IFERROR(INDEX(Consulta!$A:$DP,MATCH('MM01'!$B99,Consulta!$C:$C,0),'MM01'!CV$2),"")=0,"",IFERROR(INDEX(Consulta!$A:$DP,MATCH('MM01'!$B99,Consulta!$C:$C,0),'MM01'!CV$2),""))</f>
        <v/>
      </c>
      <c r="CW99" s="43" t="str">
        <f>IF(IFERROR(INDEX(Consulta!$A:$DP,MATCH('MM01'!$B99,Consulta!$C:$C,0),'MM01'!CW$2),"")=0,"",IFERROR(INDEX(Consulta!$A:$DP,MATCH('MM01'!$B99,Consulta!$C:$C,0),'MM01'!CW$2),""))</f>
        <v/>
      </c>
      <c r="CX99" s="43" t="str">
        <f t="shared" si="59"/>
        <v/>
      </c>
      <c r="CY99" s="43" t="str">
        <f t="shared" si="60"/>
        <v/>
      </c>
      <c r="CZ99" s="43" t="str">
        <f t="shared" si="61"/>
        <v/>
      </c>
      <c r="DA99" s="43" t="str">
        <f>IF(IFERROR(INDEX(Consulta!$A:$DP,MATCH('MM01'!$B99,Consulta!$C:$C,0),'MM01'!DA$2),"")=0,"",IFERROR(INDEX(Consulta!$A:$DP,MATCH('MM01'!$B99,Consulta!$C:$C,0),'MM01'!DA$2),""))</f>
        <v/>
      </c>
      <c r="DB99" s="43" t="str">
        <f t="shared" si="62"/>
        <v/>
      </c>
      <c r="DC99" s="43" t="str">
        <f>IF(IFERROR(INDEX(Consulta!$A:$DP,MATCH('MM01'!$B99,Consulta!$C:$C,0),'MM01'!DC$2),"")=0,"",IFERROR(INDEX(Consulta!$A:$DP,MATCH('MM01'!$B99,Consulta!$C:$C,0),'MM01'!DC$2),""))</f>
        <v/>
      </c>
      <c r="DD99" s="45">
        <v>0</v>
      </c>
      <c r="DE99" s="45">
        <v>0</v>
      </c>
      <c r="DF99" s="43" t="str">
        <f t="shared" si="63"/>
        <v/>
      </c>
      <c r="DG99" s="43" t="str">
        <f t="shared" si="64"/>
        <v/>
      </c>
      <c r="DH99" s="57"/>
      <c r="DI99" s="43" t="str">
        <f t="shared" ca="1" si="65"/>
        <v/>
      </c>
      <c r="DJ99" s="43" t="str">
        <f t="shared" si="66"/>
        <v/>
      </c>
      <c r="DK99" s="43" t="str">
        <f t="shared" si="67"/>
        <v/>
      </c>
      <c r="DL99" s="57"/>
      <c r="DM99" s="43" t="str">
        <f t="shared" ca="1" si="68"/>
        <v/>
      </c>
      <c r="DN99" s="43" t="str">
        <f t="shared" si="69"/>
        <v/>
      </c>
      <c r="DO99" s="43" t="str">
        <f t="shared" si="70"/>
        <v/>
      </c>
      <c r="DP99" s="57"/>
      <c r="DQ99" s="43" t="str">
        <f t="shared" ca="1" si="71"/>
        <v/>
      </c>
      <c r="DR99" s="43" t="str">
        <f t="shared" si="72"/>
        <v/>
      </c>
      <c r="DS99" s="43" t="str">
        <f t="shared" si="73"/>
        <v/>
      </c>
      <c r="DT99" s="57"/>
      <c r="DU99" s="43" t="str">
        <f t="shared" ca="1" si="74"/>
        <v/>
      </c>
      <c r="DV99" s="43" t="str">
        <f t="shared" si="75"/>
        <v/>
      </c>
      <c r="DX99" s="44">
        <v>1</v>
      </c>
      <c r="DY99" s="44" t="s">
        <v>773</v>
      </c>
      <c r="DZ99" s="43">
        <f t="shared" si="76"/>
        <v>0.01</v>
      </c>
      <c r="EA99" s="43" t="str">
        <f t="shared" si="77"/>
        <v>M</v>
      </c>
      <c r="EB99" s="43" t="str">
        <f>IF(IFERROR(INDEX(Consulta!$A:$DP,MATCH('MM01'!$B99,Consulta!$C:$C,0),'MM01'!EB$2),"")=0,"7925",IF(IFERROR(INDEX(Consulta!$A:$DP,MATCH('MM01'!$B99,Consulta!$C:$C,0),'MM01'!EB$2),"")="68","7910","7925"))</f>
        <v>7925</v>
      </c>
      <c r="EC99" s="44">
        <v>100</v>
      </c>
      <c r="ED99" s="62">
        <v>1</v>
      </c>
      <c r="EE99" s="43">
        <f t="shared" si="78"/>
        <v>100</v>
      </c>
      <c r="EF99" s="44">
        <v>1</v>
      </c>
      <c r="EG99" s="44">
        <v>0</v>
      </c>
      <c r="EH99" s="44" t="s">
        <v>875</v>
      </c>
      <c r="EI99" s="45">
        <v>0</v>
      </c>
      <c r="EJ99" s="43">
        <f t="shared" si="79"/>
        <v>5000</v>
      </c>
      <c r="EK99" s="69"/>
    </row>
    <row r="100" spans="1:141" x14ac:dyDescent="0.2">
      <c r="A100" s="7" t="str">
        <f t="shared" si="80"/>
        <v>Execução 96</v>
      </c>
      <c r="B100" s="42"/>
      <c r="C100" s="43" t="str">
        <f>IF(IFERROR(INDEX(Consulta!$A:$DP,MATCH('MM01'!$B100,Consulta!$C:$C,0),'MM01'!C$2),"")=0,"",IFERROR(INDEX(Consulta!$A:$DP,MATCH('MM01'!$B100,Consulta!$C:$C,0),'MM01'!C$2),""))</f>
        <v/>
      </c>
      <c r="D100" s="43" t="str">
        <f>IF(IFERROR(INDEX(Consulta!$A:$DP,MATCH('MM01'!$B100,Consulta!$C:$C,0),'MM01'!D$2),"")=0,"",IFERROR(INDEX(Consulta!$A:$DP,MATCH('MM01'!$B100,Consulta!$C:$C,0),'MM01'!D$2),""))</f>
        <v/>
      </c>
      <c r="E100" s="43" t="str">
        <f>IF(IFERROR(INDEX(Consulta!$A:$DP,MATCH('MM01'!$B100,Consulta!$C:$C,0),'MM01'!E$2),"")=0,"",IFERROR(INDEX(Consulta!$A:$DP,MATCH('MM01'!$B100,Consulta!$C:$C,0),'MM01'!E$2),""))</f>
        <v/>
      </c>
      <c r="F100" s="44" t="s">
        <v>100</v>
      </c>
      <c r="G100" s="49" t="str">
        <f>IF(IFERROR(INDEX(Consulta!$A:$DP,MATCH('MM01'!$B100,Consulta!$C:$C,0),'MM01'!G$2),"")=0,"",IFERROR(INDEX(Consulta!$A:$DP,MATCH('MM01'!$B100,Consulta!$C:$C,0),'MM01'!G$2),""))</f>
        <v/>
      </c>
      <c r="H100" s="49" t="str">
        <f>IF(IFERROR(INDEX(Consulta!$A:$DP,MATCH('MM01'!$B100,Consulta!$C:$C,0),'MM01'!H$2),"")=0,"",IFERROR(INDEX(Consulta!$A:$DP,MATCH('MM01'!$B100,Consulta!$C:$C,0),'MM01'!H$2),""))</f>
        <v/>
      </c>
      <c r="I100" s="49" t="str">
        <f t="shared" si="41"/>
        <v/>
      </c>
      <c r="J100" s="49" t="str">
        <f>IF(IFERROR(INDEX(Consulta!$A:$DP,MATCH('MM01'!$B100,Consulta!$C:$C,0),'MM01'!J$2),"")=0,"",IFERROR(INDEX(Consulta!$A:$DP,MATCH('MM01'!$B100,Consulta!$C:$C,0),'MM01'!J$2),""))</f>
        <v/>
      </c>
      <c r="K100" s="49" t="str">
        <f t="shared" si="42"/>
        <v/>
      </c>
      <c r="M100" s="45" t="s">
        <v>101</v>
      </c>
      <c r="N100" s="45" t="s">
        <v>102</v>
      </c>
      <c r="O100" s="45" t="s">
        <v>103</v>
      </c>
      <c r="P100" s="45" t="s">
        <v>104</v>
      </c>
      <c r="Q100" s="45" t="s">
        <v>105</v>
      </c>
      <c r="R100" s="45" t="s">
        <v>106</v>
      </c>
      <c r="S100" s="45" t="s">
        <v>107</v>
      </c>
      <c r="T100" s="45"/>
      <c r="U100" s="45"/>
      <c r="V100" s="45"/>
      <c r="W100" s="45"/>
      <c r="X100" s="45" t="s">
        <v>112</v>
      </c>
      <c r="Y100" s="45" t="s">
        <v>113</v>
      </c>
      <c r="Z100" s="45" t="s">
        <v>114</v>
      </c>
      <c r="AA100" s="45" t="s">
        <v>115</v>
      </c>
      <c r="AB100" s="45" t="s">
        <v>117</v>
      </c>
      <c r="AC100" s="45" t="s">
        <v>118</v>
      </c>
      <c r="AD100" s="45" t="s">
        <v>119</v>
      </c>
      <c r="AE100" s="45" t="s">
        <v>120</v>
      </c>
      <c r="AF100" s="45" t="s">
        <v>121</v>
      </c>
      <c r="AG100" s="45" t="s">
        <v>122</v>
      </c>
      <c r="AH100" s="45" t="s">
        <v>123</v>
      </c>
      <c r="AI100" s="45" t="s">
        <v>124</v>
      </c>
      <c r="AJ100" s="45" t="s">
        <v>125</v>
      </c>
      <c r="AK100" s="45" t="s">
        <v>126</v>
      </c>
      <c r="AL100" s="45"/>
      <c r="AM100" s="45"/>
      <c r="AO100" s="44" t="s">
        <v>100</v>
      </c>
      <c r="AP100" s="43" t="str">
        <f>IF(IFERROR(INDEX(Consulta!$A:$DP,MATCH('MM01'!$B100,Consulta!$C:$C,0),'MM01'!AP$2),"")=0,"",IFERROR(INDEX(Consulta!$A:$DP,MATCH('MM01'!$B100,Consulta!$C:$C,0),'MM01'!AP$2),""))</f>
        <v/>
      </c>
      <c r="AQ100" s="45"/>
      <c r="AR100" s="43" t="str">
        <f>IF(IFERROR(INDEX(Consulta!$A:$DP,MATCH('MM01'!$B100,Consulta!$C:$C,0),'MM01'!AR$2),"")=0,"",IFERROR(INDEX(Consulta!$A:$DP,MATCH('MM01'!$B100,Consulta!$C:$C,0),'MM01'!AR$2),""))</f>
        <v/>
      </c>
      <c r="AS100" s="43" t="str">
        <f>IF(IFERROR(INDEX(Consulta!$A:$DP,MATCH('MM01'!$B100,Consulta!$C:$C,0),'MM01'!AS$2),"")=0,"",IF(AR100="68",5102,IFERROR(INDEX(Consulta!$A:$DP,MATCH('MM01'!$B100,Consulta!$C:$C,0),'MM01'!AS$2),"")))</f>
        <v/>
      </c>
      <c r="AT100" s="45"/>
      <c r="AU100" s="46" t="str">
        <f t="shared" ca="1" si="43"/>
        <v/>
      </c>
      <c r="AV100" s="47" t="s">
        <v>795</v>
      </c>
      <c r="AW100" s="43" t="str">
        <f>IF(IFERROR(INDEX(Consulta!$A:$DP,MATCH('MM01'!$B100,Consulta!$C:$C,0),'MM01'!AW$2),"")=0,"",IFERROR(ROUND(INDEX(Consulta!$A:$DP,MATCH('MM01'!$B100,Consulta!$C:$C,0),'MM01'!AW$2),3),""))</f>
        <v/>
      </c>
      <c r="AX100" s="43" t="str">
        <f t="shared" si="44"/>
        <v/>
      </c>
      <c r="AY100" s="48" t="s">
        <v>299</v>
      </c>
      <c r="AZ100" s="48"/>
      <c r="BA100" s="43" t="str">
        <f>IF(IFERROR(INDEX(Consulta!$A:$DP,MATCH('MM01'!$B100,Consulta!$C:$C,0),'MM01'!BA$2),"")=0,"",IFERROR(INDEX(Consulta!$A:$DP,MATCH('MM01'!$B100,Consulta!$C:$C,0),'MM01'!BA$2),""))</f>
        <v/>
      </c>
      <c r="BB100" s="43" t="str">
        <f t="shared" si="45"/>
        <v/>
      </c>
      <c r="BC100" s="43" t="str">
        <f t="shared" si="46"/>
        <v/>
      </c>
      <c r="BD100" s="43" t="str">
        <f t="shared" si="47"/>
        <v/>
      </c>
      <c r="BE100" s="43" t="str">
        <f t="shared" si="48"/>
        <v>M</v>
      </c>
      <c r="BF100" s="43" t="str">
        <f t="shared" si="49"/>
        <v/>
      </c>
      <c r="BG100" s="43" t="str">
        <f t="shared" si="50"/>
        <v/>
      </c>
      <c r="BH100" s="43" t="str">
        <f t="shared" si="51"/>
        <v/>
      </c>
      <c r="BI100" s="43" t="str">
        <f t="shared" si="52"/>
        <v>M</v>
      </c>
      <c r="BK100" s="45" t="s">
        <v>324</v>
      </c>
      <c r="BL100" s="43" t="str">
        <f>IF(IFERROR(INDEX(Consulta!$A:$DP,MATCH('MM01'!$B100,Consulta!$C:$C,0),'MM01'!BL$2),"")=0,"",IFERROR(INDEX(Consulta!$A:$DP,MATCH('MM01'!$B100,Consulta!$C:$C,0),'MM01'!BL$2),""))</f>
        <v/>
      </c>
      <c r="BM100" s="45"/>
      <c r="BN100" s="46" t="str">
        <f t="shared" ca="1" si="53"/>
        <v/>
      </c>
      <c r="BO100" s="49" t="str">
        <f t="shared" si="54"/>
        <v/>
      </c>
      <c r="BP100" s="50">
        <v>1</v>
      </c>
      <c r="BQ100" s="50" t="s">
        <v>194</v>
      </c>
      <c r="BR100" s="79" t="str">
        <f t="shared" si="81"/>
        <v>01</v>
      </c>
      <c r="BS100" s="50" t="s">
        <v>795</v>
      </c>
      <c r="BT100" s="44">
        <v>1</v>
      </c>
      <c r="BU100" s="44" t="s">
        <v>371</v>
      </c>
      <c r="BV100" s="50" t="s">
        <v>197</v>
      </c>
      <c r="BW100" s="50" t="s">
        <v>197</v>
      </c>
      <c r="BX100" s="43" t="str">
        <f>IF(IFERROR(INDEX(Consulta!$A:$DP,MATCH('MM01'!$B100,Consulta!$C:$C,0),'MM01'!BX$2),"")=0,"",IFERROR(INDEX(Consulta!$A:$DP,MATCH('MM01'!$B100,Consulta!$C:$C,0),'MM01'!BX$2),""))</f>
        <v/>
      </c>
      <c r="BY100" s="44" t="s">
        <v>391</v>
      </c>
      <c r="BZ100" s="50">
        <v>0</v>
      </c>
      <c r="CA100" s="45" t="s">
        <v>402</v>
      </c>
      <c r="CB100" s="45" t="s">
        <v>84</v>
      </c>
      <c r="CC100" s="43" t="str">
        <f t="shared" si="55"/>
        <v/>
      </c>
      <c r="CD100" s="45" t="s">
        <v>38</v>
      </c>
      <c r="CE100" s="45">
        <v>1</v>
      </c>
      <c r="CF100" s="45" t="s">
        <v>495</v>
      </c>
      <c r="CG100" s="45"/>
      <c r="CH100" s="44">
        <v>2</v>
      </c>
      <c r="CI100" s="49" t="str">
        <f t="shared" si="56"/>
        <v/>
      </c>
      <c r="CJ100" s="49" t="str">
        <f t="shared" si="57"/>
        <v/>
      </c>
      <c r="CK100" s="45"/>
      <c r="CL100" s="44">
        <v>1</v>
      </c>
      <c r="CM100" s="50" t="s">
        <v>514</v>
      </c>
      <c r="CN100" s="44" t="s">
        <v>371</v>
      </c>
      <c r="CO100" s="44">
        <v>2</v>
      </c>
      <c r="CP100" s="44">
        <v>42</v>
      </c>
      <c r="CQ100" s="44">
        <v>10</v>
      </c>
      <c r="CR100" s="43" t="str">
        <f t="shared" si="58"/>
        <v>K00_P_</v>
      </c>
      <c r="CS100" s="45">
        <v>5000</v>
      </c>
      <c r="CT100" s="43" t="str">
        <f>IF(IFERROR(INDEX(Consulta!$A:$DP,MATCH('MM01'!$B100,Consulta!$C:$C,0),'MM01'!CT$2),"")=0,"",IFERROR(INDEX(Consulta!$A:$DP,MATCH('MM01'!$B100,Consulta!$C:$C,0),'MM01'!CT$2),""))</f>
        <v/>
      </c>
      <c r="CU100" s="43" t="str">
        <f>IF(IFERROR(INDEX(Consulta!$A:$DP,MATCH('MM01'!$B100,Consulta!$C:$C,0),'MM01'!CU$2),"")=0,"",IFERROR(INDEX(Consulta!$A:$DP,MATCH('MM01'!$B100,Consulta!$C:$C,0),'MM01'!CU$2),""))</f>
        <v/>
      </c>
      <c r="CV100" s="43" t="str">
        <f>IF(IFERROR(INDEX(Consulta!$A:$DP,MATCH('MM01'!$B100,Consulta!$C:$C,0),'MM01'!CV$2),"")=0,"",IFERROR(INDEX(Consulta!$A:$DP,MATCH('MM01'!$B100,Consulta!$C:$C,0),'MM01'!CV$2),""))</f>
        <v/>
      </c>
      <c r="CW100" s="43" t="str">
        <f>IF(IFERROR(INDEX(Consulta!$A:$DP,MATCH('MM01'!$B100,Consulta!$C:$C,0),'MM01'!CW$2),"")=0,"",IFERROR(INDEX(Consulta!$A:$DP,MATCH('MM01'!$B100,Consulta!$C:$C,0),'MM01'!CW$2),""))</f>
        <v/>
      </c>
      <c r="CX100" s="43" t="str">
        <f t="shared" si="59"/>
        <v/>
      </c>
      <c r="CY100" s="43" t="str">
        <f t="shared" si="60"/>
        <v/>
      </c>
      <c r="CZ100" s="43" t="str">
        <f t="shared" si="61"/>
        <v/>
      </c>
      <c r="DA100" s="43" t="str">
        <f>IF(IFERROR(INDEX(Consulta!$A:$DP,MATCH('MM01'!$B100,Consulta!$C:$C,0),'MM01'!DA$2),"")=0,"",IFERROR(INDEX(Consulta!$A:$DP,MATCH('MM01'!$B100,Consulta!$C:$C,0),'MM01'!DA$2),""))</f>
        <v/>
      </c>
      <c r="DB100" s="43" t="str">
        <f t="shared" si="62"/>
        <v/>
      </c>
      <c r="DC100" s="43" t="str">
        <f>IF(IFERROR(INDEX(Consulta!$A:$DP,MATCH('MM01'!$B100,Consulta!$C:$C,0),'MM01'!DC$2),"")=0,"",IFERROR(INDEX(Consulta!$A:$DP,MATCH('MM01'!$B100,Consulta!$C:$C,0),'MM01'!DC$2),""))</f>
        <v/>
      </c>
      <c r="DD100" s="45">
        <v>0</v>
      </c>
      <c r="DE100" s="45">
        <v>0</v>
      </c>
      <c r="DF100" s="43" t="str">
        <f t="shared" si="63"/>
        <v/>
      </c>
      <c r="DG100" s="43" t="str">
        <f t="shared" si="64"/>
        <v/>
      </c>
      <c r="DH100" s="57"/>
      <c r="DI100" s="43" t="str">
        <f t="shared" ca="1" si="65"/>
        <v/>
      </c>
      <c r="DJ100" s="43" t="str">
        <f t="shared" si="66"/>
        <v/>
      </c>
      <c r="DK100" s="43" t="str">
        <f t="shared" si="67"/>
        <v/>
      </c>
      <c r="DL100" s="57"/>
      <c r="DM100" s="43" t="str">
        <f t="shared" ca="1" si="68"/>
        <v/>
      </c>
      <c r="DN100" s="43" t="str">
        <f t="shared" si="69"/>
        <v/>
      </c>
      <c r="DO100" s="43" t="str">
        <f t="shared" si="70"/>
        <v/>
      </c>
      <c r="DP100" s="57"/>
      <c r="DQ100" s="43" t="str">
        <f t="shared" ca="1" si="71"/>
        <v/>
      </c>
      <c r="DR100" s="43" t="str">
        <f t="shared" si="72"/>
        <v/>
      </c>
      <c r="DS100" s="43" t="str">
        <f t="shared" si="73"/>
        <v/>
      </c>
      <c r="DT100" s="57"/>
      <c r="DU100" s="43" t="str">
        <f t="shared" ca="1" si="74"/>
        <v/>
      </c>
      <c r="DV100" s="43" t="str">
        <f t="shared" si="75"/>
        <v/>
      </c>
      <c r="DX100" s="44">
        <v>1</v>
      </c>
      <c r="DY100" s="44" t="s">
        <v>773</v>
      </c>
      <c r="DZ100" s="43">
        <f t="shared" si="76"/>
        <v>0.01</v>
      </c>
      <c r="EA100" s="43" t="str">
        <f t="shared" si="77"/>
        <v>M</v>
      </c>
      <c r="EB100" s="43" t="str">
        <f>IF(IFERROR(INDEX(Consulta!$A:$DP,MATCH('MM01'!$B100,Consulta!$C:$C,0),'MM01'!EB$2),"")=0,"7925",IF(IFERROR(INDEX(Consulta!$A:$DP,MATCH('MM01'!$B100,Consulta!$C:$C,0),'MM01'!EB$2),"")="68","7910","7925"))</f>
        <v>7925</v>
      </c>
      <c r="EC100" s="44">
        <v>100</v>
      </c>
      <c r="ED100" s="62">
        <v>1</v>
      </c>
      <c r="EE100" s="43">
        <f t="shared" si="78"/>
        <v>100</v>
      </c>
      <c r="EF100" s="44">
        <v>1</v>
      </c>
      <c r="EG100" s="44">
        <v>0</v>
      </c>
      <c r="EH100" s="44" t="s">
        <v>875</v>
      </c>
      <c r="EI100" s="45">
        <v>0</v>
      </c>
      <c r="EJ100" s="43">
        <f t="shared" si="79"/>
        <v>5000</v>
      </c>
      <c r="EK100" s="69"/>
    </row>
    <row r="101" spans="1:141" x14ac:dyDescent="0.2">
      <c r="A101" s="7" t="str">
        <f t="shared" si="80"/>
        <v>Execução 97</v>
      </c>
      <c r="B101" s="42"/>
      <c r="C101" s="43" t="str">
        <f>IF(IFERROR(INDEX(Consulta!$A:$DP,MATCH('MM01'!$B101,Consulta!$C:$C,0),'MM01'!C$2),"")=0,"",IFERROR(INDEX(Consulta!$A:$DP,MATCH('MM01'!$B101,Consulta!$C:$C,0),'MM01'!C$2),""))</f>
        <v/>
      </c>
      <c r="D101" s="43" t="str">
        <f>IF(IFERROR(INDEX(Consulta!$A:$DP,MATCH('MM01'!$B101,Consulta!$C:$C,0),'MM01'!D$2),"")=0,"",IFERROR(INDEX(Consulta!$A:$DP,MATCH('MM01'!$B101,Consulta!$C:$C,0),'MM01'!D$2),""))</f>
        <v/>
      </c>
      <c r="E101" s="43" t="str">
        <f>IF(IFERROR(INDEX(Consulta!$A:$DP,MATCH('MM01'!$B101,Consulta!$C:$C,0),'MM01'!E$2),"")=0,"",IFERROR(INDEX(Consulta!$A:$DP,MATCH('MM01'!$B101,Consulta!$C:$C,0),'MM01'!E$2),""))</f>
        <v/>
      </c>
      <c r="F101" s="44" t="s">
        <v>100</v>
      </c>
      <c r="G101" s="49" t="str">
        <f>IF(IFERROR(INDEX(Consulta!$A:$DP,MATCH('MM01'!$B101,Consulta!$C:$C,0),'MM01'!G$2),"")=0,"",IFERROR(INDEX(Consulta!$A:$DP,MATCH('MM01'!$B101,Consulta!$C:$C,0),'MM01'!G$2),""))</f>
        <v/>
      </c>
      <c r="H101" s="49" t="str">
        <f>IF(IFERROR(INDEX(Consulta!$A:$DP,MATCH('MM01'!$B101,Consulta!$C:$C,0),'MM01'!H$2),"")=0,"",IFERROR(INDEX(Consulta!$A:$DP,MATCH('MM01'!$B101,Consulta!$C:$C,0),'MM01'!H$2),""))</f>
        <v/>
      </c>
      <c r="I101" s="49" t="str">
        <f t="shared" si="41"/>
        <v/>
      </c>
      <c r="J101" s="49" t="str">
        <f>IF(IFERROR(INDEX(Consulta!$A:$DP,MATCH('MM01'!$B101,Consulta!$C:$C,0),'MM01'!J$2),"")=0,"",IFERROR(INDEX(Consulta!$A:$DP,MATCH('MM01'!$B101,Consulta!$C:$C,0),'MM01'!J$2),""))</f>
        <v/>
      </c>
      <c r="K101" s="49" t="str">
        <f t="shared" si="42"/>
        <v/>
      </c>
      <c r="M101" s="45" t="s">
        <v>101</v>
      </c>
      <c r="N101" s="45" t="s">
        <v>102</v>
      </c>
      <c r="O101" s="45" t="s">
        <v>103</v>
      </c>
      <c r="P101" s="45" t="s">
        <v>104</v>
      </c>
      <c r="Q101" s="45" t="s">
        <v>105</v>
      </c>
      <c r="R101" s="45" t="s">
        <v>106</v>
      </c>
      <c r="S101" s="45" t="s">
        <v>107</v>
      </c>
      <c r="T101" s="45"/>
      <c r="U101" s="45"/>
      <c r="V101" s="45"/>
      <c r="W101" s="45"/>
      <c r="X101" s="45" t="s">
        <v>112</v>
      </c>
      <c r="Y101" s="45" t="s">
        <v>113</v>
      </c>
      <c r="Z101" s="45" t="s">
        <v>114</v>
      </c>
      <c r="AA101" s="45" t="s">
        <v>115</v>
      </c>
      <c r="AB101" s="45" t="s">
        <v>117</v>
      </c>
      <c r="AC101" s="45" t="s">
        <v>118</v>
      </c>
      <c r="AD101" s="45" t="s">
        <v>119</v>
      </c>
      <c r="AE101" s="45" t="s">
        <v>120</v>
      </c>
      <c r="AF101" s="45" t="s">
        <v>121</v>
      </c>
      <c r="AG101" s="45" t="s">
        <v>122</v>
      </c>
      <c r="AH101" s="45" t="s">
        <v>123</v>
      </c>
      <c r="AI101" s="45" t="s">
        <v>124</v>
      </c>
      <c r="AJ101" s="45" t="s">
        <v>125</v>
      </c>
      <c r="AK101" s="45" t="s">
        <v>126</v>
      </c>
      <c r="AL101" s="45"/>
      <c r="AM101" s="45"/>
      <c r="AO101" s="44" t="s">
        <v>100</v>
      </c>
      <c r="AP101" s="43" t="str">
        <f>IF(IFERROR(INDEX(Consulta!$A:$DP,MATCH('MM01'!$B101,Consulta!$C:$C,0),'MM01'!AP$2),"")=0,"",IFERROR(INDEX(Consulta!$A:$DP,MATCH('MM01'!$B101,Consulta!$C:$C,0),'MM01'!AP$2),""))</f>
        <v/>
      </c>
      <c r="AQ101" s="45"/>
      <c r="AR101" s="43" t="str">
        <f>IF(IFERROR(INDEX(Consulta!$A:$DP,MATCH('MM01'!$B101,Consulta!$C:$C,0),'MM01'!AR$2),"")=0,"",IFERROR(INDEX(Consulta!$A:$DP,MATCH('MM01'!$B101,Consulta!$C:$C,0),'MM01'!AR$2),""))</f>
        <v/>
      </c>
      <c r="AS101" s="43" t="str">
        <f>IF(IFERROR(INDEX(Consulta!$A:$DP,MATCH('MM01'!$B101,Consulta!$C:$C,0),'MM01'!AS$2),"")=0,"",IF(AR101="68",5102,IFERROR(INDEX(Consulta!$A:$DP,MATCH('MM01'!$B101,Consulta!$C:$C,0),'MM01'!AS$2),"")))</f>
        <v/>
      </c>
      <c r="AT101" s="45"/>
      <c r="AU101" s="46" t="str">
        <f t="shared" ca="1" si="43"/>
        <v/>
      </c>
      <c r="AV101" s="47" t="s">
        <v>795</v>
      </c>
      <c r="AW101" s="43" t="str">
        <f>IF(IFERROR(INDEX(Consulta!$A:$DP,MATCH('MM01'!$B101,Consulta!$C:$C,0),'MM01'!AW$2),"")=0,"",IFERROR(ROUND(INDEX(Consulta!$A:$DP,MATCH('MM01'!$B101,Consulta!$C:$C,0),'MM01'!AW$2),3),""))</f>
        <v/>
      </c>
      <c r="AX101" s="43" t="str">
        <f t="shared" si="44"/>
        <v/>
      </c>
      <c r="AY101" s="48" t="s">
        <v>299</v>
      </c>
      <c r="AZ101" s="48"/>
      <c r="BA101" s="43" t="str">
        <f>IF(IFERROR(INDEX(Consulta!$A:$DP,MATCH('MM01'!$B101,Consulta!$C:$C,0),'MM01'!BA$2),"")=0,"",IFERROR(INDEX(Consulta!$A:$DP,MATCH('MM01'!$B101,Consulta!$C:$C,0),'MM01'!BA$2),""))</f>
        <v/>
      </c>
      <c r="BB101" s="43" t="str">
        <f t="shared" si="45"/>
        <v/>
      </c>
      <c r="BC101" s="43" t="str">
        <f t="shared" si="46"/>
        <v/>
      </c>
      <c r="BD101" s="43" t="str">
        <f t="shared" si="47"/>
        <v/>
      </c>
      <c r="BE101" s="43" t="str">
        <f t="shared" si="48"/>
        <v>M</v>
      </c>
      <c r="BF101" s="43" t="str">
        <f t="shared" si="49"/>
        <v/>
      </c>
      <c r="BG101" s="43" t="str">
        <f t="shared" si="50"/>
        <v/>
      </c>
      <c r="BH101" s="43" t="str">
        <f t="shared" si="51"/>
        <v/>
      </c>
      <c r="BI101" s="43" t="str">
        <f t="shared" si="52"/>
        <v>M</v>
      </c>
      <c r="BK101" s="45" t="s">
        <v>324</v>
      </c>
      <c r="BL101" s="43" t="str">
        <f>IF(IFERROR(INDEX(Consulta!$A:$DP,MATCH('MM01'!$B101,Consulta!$C:$C,0),'MM01'!BL$2),"")=0,"",IFERROR(INDEX(Consulta!$A:$DP,MATCH('MM01'!$B101,Consulta!$C:$C,0),'MM01'!BL$2),""))</f>
        <v/>
      </c>
      <c r="BM101" s="45"/>
      <c r="BN101" s="46" t="str">
        <f t="shared" ca="1" si="53"/>
        <v/>
      </c>
      <c r="BO101" s="49" t="str">
        <f t="shared" si="54"/>
        <v/>
      </c>
      <c r="BP101" s="50">
        <v>1</v>
      </c>
      <c r="BQ101" s="50" t="s">
        <v>194</v>
      </c>
      <c r="BR101" s="79" t="str">
        <f t="shared" si="81"/>
        <v>01</v>
      </c>
      <c r="BS101" s="50" t="s">
        <v>795</v>
      </c>
      <c r="BT101" s="44">
        <v>1</v>
      </c>
      <c r="BU101" s="44" t="s">
        <v>371</v>
      </c>
      <c r="BV101" s="50" t="s">
        <v>197</v>
      </c>
      <c r="BW101" s="50" t="s">
        <v>197</v>
      </c>
      <c r="BX101" s="43" t="str">
        <f>IF(IFERROR(INDEX(Consulta!$A:$DP,MATCH('MM01'!$B101,Consulta!$C:$C,0),'MM01'!BX$2),"")=0,"",IFERROR(INDEX(Consulta!$A:$DP,MATCH('MM01'!$B101,Consulta!$C:$C,0),'MM01'!BX$2),""))</f>
        <v/>
      </c>
      <c r="BY101" s="44" t="s">
        <v>391</v>
      </c>
      <c r="BZ101" s="50">
        <v>0</v>
      </c>
      <c r="CA101" s="45" t="s">
        <v>402</v>
      </c>
      <c r="CB101" s="45" t="s">
        <v>84</v>
      </c>
      <c r="CC101" s="43" t="str">
        <f t="shared" si="55"/>
        <v/>
      </c>
      <c r="CD101" s="45" t="s">
        <v>38</v>
      </c>
      <c r="CE101" s="45">
        <v>1</v>
      </c>
      <c r="CF101" s="45" t="s">
        <v>495</v>
      </c>
      <c r="CG101" s="45"/>
      <c r="CH101" s="44">
        <v>2</v>
      </c>
      <c r="CI101" s="49" t="str">
        <f t="shared" si="56"/>
        <v/>
      </c>
      <c r="CJ101" s="49" t="str">
        <f t="shared" si="57"/>
        <v/>
      </c>
      <c r="CK101" s="45"/>
      <c r="CL101" s="44">
        <v>1</v>
      </c>
      <c r="CM101" s="50" t="s">
        <v>514</v>
      </c>
      <c r="CN101" s="44" t="s">
        <v>371</v>
      </c>
      <c r="CO101" s="44">
        <v>2</v>
      </c>
      <c r="CP101" s="44">
        <v>42</v>
      </c>
      <c r="CQ101" s="44">
        <v>10</v>
      </c>
      <c r="CR101" s="43" t="str">
        <f t="shared" si="58"/>
        <v>K00_P_</v>
      </c>
      <c r="CS101" s="45">
        <v>5000</v>
      </c>
      <c r="CT101" s="43" t="str">
        <f>IF(IFERROR(INDEX(Consulta!$A:$DP,MATCH('MM01'!$B101,Consulta!$C:$C,0),'MM01'!CT$2),"")=0,"",IFERROR(INDEX(Consulta!$A:$DP,MATCH('MM01'!$B101,Consulta!$C:$C,0),'MM01'!CT$2),""))</f>
        <v/>
      </c>
      <c r="CU101" s="43" t="str">
        <f>IF(IFERROR(INDEX(Consulta!$A:$DP,MATCH('MM01'!$B101,Consulta!$C:$C,0),'MM01'!CU$2),"")=0,"",IFERROR(INDEX(Consulta!$A:$DP,MATCH('MM01'!$B101,Consulta!$C:$C,0),'MM01'!CU$2),""))</f>
        <v/>
      </c>
      <c r="CV101" s="43" t="str">
        <f>IF(IFERROR(INDEX(Consulta!$A:$DP,MATCH('MM01'!$B101,Consulta!$C:$C,0),'MM01'!CV$2),"")=0,"",IFERROR(INDEX(Consulta!$A:$DP,MATCH('MM01'!$B101,Consulta!$C:$C,0),'MM01'!CV$2),""))</f>
        <v/>
      </c>
      <c r="CW101" s="43" t="str">
        <f>IF(IFERROR(INDEX(Consulta!$A:$DP,MATCH('MM01'!$B101,Consulta!$C:$C,0),'MM01'!CW$2),"")=0,"",IFERROR(INDEX(Consulta!$A:$DP,MATCH('MM01'!$B101,Consulta!$C:$C,0),'MM01'!CW$2),""))</f>
        <v/>
      </c>
      <c r="CX101" s="43" t="str">
        <f t="shared" si="59"/>
        <v/>
      </c>
      <c r="CY101" s="43" t="str">
        <f t="shared" si="60"/>
        <v/>
      </c>
      <c r="CZ101" s="43" t="str">
        <f t="shared" si="61"/>
        <v/>
      </c>
      <c r="DA101" s="43" t="str">
        <f>IF(IFERROR(INDEX(Consulta!$A:$DP,MATCH('MM01'!$B101,Consulta!$C:$C,0),'MM01'!DA$2),"")=0,"",IFERROR(INDEX(Consulta!$A:$DP,MATCH('MM01'!$B101,Consulta!$C:$C,0),'MM01'!DA$2),""))</f>
        <v/>
      </c>
      <c r="DB101" s="43" t="str">
        <f t="shared" si="62"/>
        <v/>
      </c>
      <c r="DC101" s="43" t="str">
        <f>IF(IFERROR(INDEX(Consulta!$A:$DP,MATCH('MM01'!$B101,Consulta!$C:$C,0),'MM01'!DC$2),"")=0,"",IFERROR(INDEX(Consulta!$A:$DP,MATCH('MM01'!$B101,Consulta!$C:$C,0),'MM01'!DC$2),""))</f>
        <v/>
      </c>
      <c r="DD101" s="45">
        <v>0</v>
      </c>
      <c r="DE101" s="45">
        <v>0</v>
      </c>
      <c r="DF101" s="43" t="str">
        <f t="shared" si="63"/>
        <v/>
      </c>
      <c r="DG101" s="43" t="str">
        <f t="shared" si="64"/>
        <v/>
      </c>
      <c r="DH101" s="57"/>
      <c r="DI101" s="43" t="str">
        <f t="shared" ca="1" si="65"/>
        <v/>
      </c>
      <c r="DJ101" s="43" t="str">
        <f t="shared" si="66"/>
        <v/>
      </c>
      <c r="DK101" s="43" t="str">
        <f t="shared" si="67"/>
        <v/>
      </c>
      <c r="DL101" s="57"/>
      <c r="DM101" s="43" t="str">
        <f t="shared" ca="1" si="68"/>
        <v/>
      </c>
      <c r="DN101" s="43" t="str">
        <f t="shared" si="69"/>
        <v/>
      </c>
      <c r="DO101" s="43" t="str">
        <f t="shared" si="70"/>
        <v/>
      </c>
      <c r="DP101" s="57"/>
      <c r="DQ101" s="43" t="str">
        <f t="shared" ca="1" si="71"/>
        <v/>
      </c>
      <c r="DR101" s="43" t="str">
        <f t="shared" si="72"/>
        <v/>
      </c>
      <c r="DS101" s="43" t="str">
        <f t="shared" si="73"/>
        <v/>
      </c>
      <c r="DT101" s="57"/>
      <c r="DU101" s="43" t="str">
        <f t="shared" ca="1" si="74"/>
        <v/>
      </c>
      <c r="DV101" s="43" t="str">
        <f t="shared" si="75"/>
        <v/>
      </c>
      <c r="DX101" s="44">
        <v>1</v>
      </c>
      <c r="DY101" s="44" t="s">
        <v>773</v>
      </c>
      <c r="DZ101" s="43">
        <f t="shared" si="76"/>
        <v>0.01</v>
      </c>
      <c r="EA101" s="43" t="str">
        <f t="shared" si="77"/>
        <v>M</v>
      </c>
      <c r="EB101" s="43" t="str">
        <f>IF(IFERROR(INDEX(Consulta!$A:$DP,MATCH('MM01'!$B101,Consulta!$C:$C,0),'MM01'!EB$2),"")=0,"7925",IF(IFERROR(INDEX(Consulta!$A:$DP,MATCH('MM01'!$B101,Consulta!$C:$C,0),'MM01'!EB$2),"")="68","7910","7925"))</f>
        <v>7925</v>
      </c>
      <c r="EC101" s="44">
        <v>100</v>
      </c>
      <c r="ED101" s="62">
        <v>1</v>
      </c>
      <c r="EE101" s="43">
        <f t="shared" si="78"/>
        <v>100</v>
      </c>
      <c r="EF101" s="44">
        <v>1</v>
      </c>
      <c r="EG101" s="44">
        <v>0</v>
      </c>
      <c r="EH101" s="44" t="s">
        <v>875</v>
      </c>
      <c r="EI101" s="45">
        <v>0</v>
      </c>
      <c r="EJ101" s="43">
        <f t="shared" si="79"/>
        <v>5000</v>
      </c>
      <c r="EK101" s="69"/>
    </row>
    <row r="102" spans="1:141" x14ac:dyDescent="0.2">
      <c r="A102" s="7" t="str">
        <f t="shared" si="80"/>
        <v>Execução 98</v>
      </c>
      <c r="B102" s="42"/>
      <c r="C102" s="43" t="str">
        <f>IF(IFERROR(INDEX(Consulta!$A:$DP,MATCH('MM01'!$B102,Consulta!$C:$C,0),'MM01'!C$2),"")=0,"",IFERROR(INDEX(Consulta!$A:$DP,MATCH('MM01'!$B102,Consulta!$C:$C,0),'MM01'!C$2),""))</f>
        <v/>
      </c>
      <c r="D102" s="43" t="str">
        <f>IF(IFERROR(INDEX(Consulta!$A:$DP,MATCH('MM01'!$B102,Consulta!$C:$C,0),'MM01'!D$2),"")=0,"",IFERROR(INDEX(Consulta!$A:$DP,MATCH('MM01'!$B102,Consulta!$C:$C,0),'MM01'!D$2),""))</f>
        <v/>
      </c>
      <c r="E102" s="43" t="str">
        <f>IF(IFERROR(INDEX(Consulta!$A:$DP,MATCH('MM01'!$B102,Consulta!$C:$C,0),'MM01'!E$2),"")=0,"",IFERROR(INDEX(Consulta!$A:$DP,MATCH('MM01'!$B102,Consulta!$C:$C,0),'MM01'!E$2),""))</f>
        <v/>
      </c>
      <c r="F102" s="44" t="s">
        <v>100</v>
      </c>
      <c r="G102" s="49" t="str">
        <f>IF(IFERROR(INDEX(Consulta!$A:$DP,MATCH('MM01'!$B102,Consulta!$C:$C,0),'MM01'!G$2),"")=0,"",IFERROR(INDEX(Consulta!$A:$DP,MATCH('MM01'!$B102,Consulta!$C:$C,0),'MM01'!G$2),""))</f>
        <v/>
      </c>
      <c r="H102" s="49" t="str">
        <f>IF(IFERROR(INDEX(Consulta!$A:$DP,MATCH('MM01'!$B102,Consulta!$C:$C,0),'MM01'!H$2),"")=0,"",IFERROR(INDEX(Consulta!$A:$DP,MATCH('MM01'!$B102,Consulta!$C:$C,0),'MM01'!H$2),""))</f>
        <v/>
      </c>
      <c r="I102" s="49" t="str">
        <f t="shared" si="41"/>
        <v/>
      </c>
      <c r="J102" s="49" t="str">
        <f>IF(IFERROR(INDEX(Consulta!$A:$DP,MATCH('MM01'!$B102,Consulta!$C:$C,0),'MM01'!J$2),"")=0,"",IFERROR(INDEX(Consulta!$A:$DP,MATCH('MM01'!$B102,Consulta!$C:$C,0),'MM01'!J$2),""))</f>
        <v/>
      </c>
      <c r="K102" s="49" t="str">
        <f t="shared" si="42"/>
        <v/>
      </c>
      <c r="M102" s="45" t="s">
        <v>101</v>
      </c>
      <c r="N102" s="45" t="s">
        <v>102</v>
      </c>
      <c r="O102" s="45" t="s">
        <v>103</v>
      </c>
      <c r="P102" s="45" t="s">
        <v>104</v>
      </c>
      <c r="Q102" s="45" t="s">
        <v>105</v>
      </c>
      <c r="R102" s="45" t="s">
        <v>106</v>
      </c>
      <c r="S102" s="45" t="s">
        <v>107</v>
      </c>
      <c r="T102" s="45"/>
      <c r="U102" s="45"/>
      <c r="V102" s="45"/>
      <c r="W102" s="45"/>
      <c r="X102" s="45" t="s">
        <v>112</v>
      </c>
      <c r="Y102" s="45" t="s">
        <v>113</v>
      </c>
      <c r="Z102" s="45" t="s">
        <v>114</v>
      </c>
      <c r="AA102" s="45" t="s">
        <v>115</v>
      </c>
      <c r="AB102" s="45" t="s">
        <v>117</v>
      </c>
      <c r="AC102" s="45" t="s">
        <v>118</v>
      </c>
      <c r="AD102" s="45" t="s">
        <v>119</v>
      </c>
      <c r="AE102" s="45" t="s">
        <v>120</v>
      </c>
      <c r="AF102" s="45" t="s">
        <v>121</v>
      </c>
      <c r="AG102" s="45" t="s">
        <v>122</v>
      </c>
      <c r="AH102" s="45" t="s">
        <v>123</v>
      </c>
      <c r="AI102" s="45" t="s">
        <v>124</v>
      </c>
      <c r="AJ102" s="45" t="s">
        <v>125</v>
      </c>
      <c r="AK102" s="45" t="s">
        <v>126</v>
      </c>
      <c r="AL102" s="45"/>
      <c r="AM102" s="45"/>
      <c r="AO102" s="44" t="s">
        <v>100</v>
      </c>
      <c r="AP102" s="43" t="str">
        <f>IF(IFERROR(INDEX(Consulta!$A:$DP,MATCH('MM01'!$B102,Consulta!$C:$C,0),'MM01'!AP$2),"")=0,"",IFERROR(INDEX(Consulta!$A:$DP,MATCH('MM01'!$B102,Consulta!$C:$C,0),'MM01'!AP$2),""))</f>
        <v/>
      </c>
      <c r="AQ102" s="45"/>
      <c r="AR102" s="43" t="str">
        <f>IF(IFERROR(INDEX(Consulta!$A:$DP,MATCH('MM01'!$B102,Consulta!$C:$C,0),'MM01'!AR$2),"")=0,"",IFERROR(INDEX(Consulta!$A:$DP,MATCH('MM01'!$B102,Consulta!$C:$C,0),'MM01'!AR$2),""))</f>
        <v/>
      </c>
      <c r="AS102" s="43" t="str">
        <f>IF(IFERROR(INDEX(Consulta!$A:$DP,MATCH('MM01'!$B102,Consulta!$C:$C,0),'MM01'!AS$2),"")=0,"",IF(AR102="68",5102,IFERROR(INDEX(Consulta!$A:$DP,MATCH('MM01'!$B102,Consulta!$C:$C,0),'MM01'!AS$2),"")))</f>
        <v/>
      </c>
      <c r="AT102" s="45"/>
      <c r="AU102" s="46" t="str">
        <f t="shared" ca="1" si="43"/>
        <v/>
      </c>
      <c r="AV102" s="47" t="s">
        <v>795</v>
      </c>
      <c r="AW102" s="43" t="str">
        <f>IF(IFERROR(INDEX(Consulta!$A:$DP,MATCH('MM01'!$B102,Consulta!$C:$C,0),'MM01'!AW$2),"")=0,"",IFERROR(ROUND(INDEX(Consulta!$A:$DP,MATCH('MM01'!$B102,Consulta!$C:$C,0),'MM01'!AW$2),3),""))</f>
        <v/>
      </c>
      <c r="AX102" s="43" t="str">
        <f t="shared" si="44"/>
        <v/>
      </c>
      <c r="AY102" s="48" t="s">
        <v>299</v>
      </c>
      <c r="AZ102" s="48"/>
      <c r="BA102" s="43" t="str">
        <f>IF(IFERROR(INDEX(Consulta!$A:$DP,MATCH('MM01'!$B102,Consulta!$C:$C,0),'MM01'!BA$2),"")=0,"",IFERROR(INDEX(Consulta!$A:$DP,MATCH('MM01'!$B102,Consulta!$C:$C,0),'MM01'!BA$2),""))</f>
        <v/>
      </c>
      <c r="BB102" s="43" t="str">
        <f t="shared" si="45"/>
        <v/>
      </c>
      <c r="BC102" s="43" t="str">
        <f t="shared" si="46"/>
        <v/>
      </c>
      <c r="BD102" s="43" t="str">
        <f t="shared" si="47"/>
        <v/>
      </c>
      <c r="BE102" s="43" t="str">
        <f t="shared" si="48"/>
        <v>M</v>
      </c>
      <c r="BF102" s="43" t="str">
        <f t="shared" si="49"/>
        <v/>
      </c>
      <c r="BG102" s="43" t="str">
        <f t="shared" si="50"/>
        <v/>
      </c>
      <c r="BH102" s="43" t="str">
        <f t="shared" si="51"/>
        <v/>
      </c>
      <c r="BI102" s="43" t="str">
        <f t="shared" si="52"/>
        <v>M</v>
      </c>
      <c r="BK102" s="45" t="s">
        <v>324</v>
      </c>
      <c r="BL102" s="43" t="str">
        <f>IF(IFERROR(INDEX(Consulta!$A:$DP,MATCH('MM01'!$B102,Consulta!$C:$C,0),'MM01'!BL$2),"")=0,"",IFERROR(INDEX(Consulta!$A:$DP,MATCH('MM01'!$B102,Consulta!$C:$C,0),'MM01'!BL$2),""))</f>
        <v/>
      </c>
      <c r="BM102" s="45"/>
      <c r="BN102" s="46" t="str">
        <f t="shared" ca="1" si="53"/>
        <v/>
      </c>
      <c r="BO102" s="49" t="str">
        <f t="shared" si="54"/>
        <v/>
      </c>
      <c r="BP102" s="50">
        <v>1</v>
      </c>
      <c r="BQ102" s="50" t="s">
        <v>194</v>
      </c>
      <c r="BR102" s="79" t="str">
        <f t="shared" si="81"/>
        <v>01</v>
      </c>
      <c r="BS102" s="50" t="s">
        <v>795</v>
      </c>
      <c r="BT102" s="44">
        <v>1</v>
      </c>
      <c r="BU102" s="44" t="s">
        <v>371</v>
      </c>
      <c r="BV102" s="50" t="s">
        <v>197</v>
      </c>
      <c r="BW102" s="50" t="s">
        <v>197</v>
      </c>
      <c r="BX102" s="43" t="str">
        <f>IF(IFERROR(INDEX(Consulta!$A:$DP,MATCH('MM01'!$B102,Consulta!$C:$C,0),'MM01'!BX$2),"")=0,"",IFERROR(INDEX(Consulta!$A:$DP,MATCH('MM01'!$B102,Consulta!$C:$C,0),'MM01'!BX$2),""))</f>
        <v/>
      </c>
      <c r="BY102" s="44" t="s">
        <v>391</v>
      </c>
      <c r="BZ102" s="50">
        <v>0</v>
      </c>
      <c r="CA102" s="45" t="s">
        <v>402</v>
      </c>
      <c r="CB102" s="45" t="s">
        <v>84</v>
      </c>
      <c r="CC102" s="43" t="str">
        <f t="shared" si="55"/>
        <v/>
      </c>
      <c r="CD102" s="45" t="s">
        <v>38</v>
      </c>
      <c r="CE102" s="45">
        <v>1</v>
      </c>
      <c r="CF102" s="45" t="s">
        <v>495</v>
      </c>
      <c r="CG102" s="45"/>
      <c r="CH102" s="44">
        <v>2</v>
      </c>
      <c r="CI102" s="49" t="str">
        <f t="shared" si="56"/>
        <v/>
      </c>
      <c r="CJ102" s="49" t="str">
        <f t="shared" si="57"/>
        <v/>
      </c>
      <c r="CK102" s="45"/>
      <c r="CL102" s="44">
        <v>1</v>
      </c>
      <c r="CM102" s="50" t="s">
        <v>514</v>
      </c>
      <c r="CN102" s="44" t="s">
        <v>371</v>
      </c>
      <c r="CO102" s="44">
        <v>2</v>
      </c>
      <c r="CP102" s="44">
        <v>42</v>
      </c>
      <c r="CQ102" s="44">
        <v>10</v>
      </c>
      <c r="CR102" s="43" t="str">
        <f t="shared" si="58"/>
        <v>K00_P_</v>
      </c>
      <c r="CS102" s="45">
        <v>5000</v>
      </c>
      <c r="CT102" s="43" t="str">
        <f>IF(IFERROR(INDEX(Consulta!$A:$DP,MATCH('MM01'!$B102,Consulta!$C:$C,0),'MM01'!CT$2),"")=0,"",IFERROR(INDEX(Consulta!$A:$DP,MATCH('MM01'!$B102,Consulta!$C:$C,0),'MM01'!CT$2),""))</f>
        <v/>
      </c>
      <c r="CU102" s="43" t="str">
        <f>IF(IFERROR(INDEX(Consulta!$A:$DP,MATCH('MM01'!$B102,Consulta!$C:$C,0),'MM01'!CU$2),"")=0,"",IFERROR(INDEX(Consulta!$A:$DP,MATCH('MM01'!$B102,Consulta!$C:$C,0),'MM01'!CU$2),""))</f>
        <v/>
      </c>
      <c r="CV102" s="43" t="str">
        <f>IF(IFERROR(INDEX(Consulta!$A:$DP,MATCH('MM01'!$B102,Consulta!$C:$C,0),'MM01'!CV$2),"")=0,"",IFERROR(INDEX(Consulta!$A:$DP,MATCH('MM01'!$B102,Consulta!$C:$C,0),'MM01'!CV$2),""))</f>
        <v/>
      </c>
      <c r="CW102" s="43" t="str">
        <f>IF(IFERROR(INDEX(Consulta!$A:$DP,MATCH('MM01'!$B102,Consulta!$C:$C,0),'MM01'!CW$2),"")=0,"",IFERROR(INDEX(Consulta!$A:$DP,MATCH('MM01'!$B102,Consulta!$C:$C,0),'MM01'!CW$2),""))</f>
        <v/>
      </c>
      <c r="CX102" s="43" t="str">
        <f t="shared" si="59"/>
        <v/>
      </c>
      <c r="CY102" s="43" t="str">
        <f t="shared" si="60"/>
        <v/>
      </c>
      <c r="CZ102" s="43" t="str">
        <f t="shared" si="61"/>
        <v/>
      </c>
      <c r="DA102" s="43" t="str">
        <f>IF(IFERROR(INDEX(Consulta!$A:$DP,MATCH('MM01'!$B102,Consulta!$C:$C,0),'MM01'!DA$2),"")=0,"",IFERROR(INDEX(Consulta!$A:$DP,MATCH('MM01'!$B102,Consulta!$C:$C,0),'MM01'!DA$2),""))</f>
        <v/>
      </c>
      <c r="DB102" s="43" t="str">
        <f t="shared" si="62"/>
        <v/>
      </c>
      <c r="DC102" s="43" t="str">
        <f>IF(IFERROR(INDEX(Consulta!$A:$DP,MATCH('MM01'!$B102,Consulta!$C:$C,0),'MM01'!DC$2),"")=0,"",IFERROR(INDEX(Consulta!$A:$DP,MATCH('MM01'!$B102,Consulta!$C:$C,0),'MM01'!DC$2),""))</f>
        <v/>
      </c>
      <c r="DD102" s="45">
        <v>0</v>
      </c>
      <c r="DE102" s="45">
        <v>0</v>
      </c>
      <c r="DF102" s="43" t="str">
        <f t="shared" si="63"/>
        <v/>
      </c>
      <c r="DG102" s="43" t="str">
        <f t="shared" si="64"/>
        <v/>
      </c>
      <c r="DH102" s="57"/>
      <c r="DI102" s="43" t="str">
        <f t="shared" ca="1" si="65"/>
        <v/>
      </c>
      <c r="DJ102" s="43" t="str">
        <f t="shared" si="66"/>
        <v/>
      </c>
      <c r="DK102" s="43" t="str">
        <f t="shared" si="67"/>
        <v/>
      </c>
      <c r="DL102" s="57"/>
      <c r="DM102" s="43" t="str">
        <f t="shared" ca="1" si="68"/>
        <v/>
      </c>
      <c r="DN102" s="43" t="str">
        <f t="shared" si="69"/>
        <v/>
      </c>
      <c r="DO102" s="43" t="str">
        <f t="shared" si="70"/>
        <v/>
      </c>
      <c r="DP102" s="57"/>
      <c r="DQ102" s="43" t="str">
        <f t="shared" ca="1" si="71"/>
        <v/>
      </c>
      <c r="DR102" s="43" t="str">
        <f t="shared" si="72"/>
        <v/>
      </c>
      <c r="DS102" s="43" t="str">
        <f t="shared" si="73"/>
        <v/>
      </c>
      <c r="DT102" s="57"/>
      <c r="DU102" s="43" t="str">
        <f t="shared" ca="1" si="74"/>
        <v/>
      </c>
      <c r="DV102" s="43" t="str">
        <f t="shared" si="75"/>
        <v/>
      </c>
      <c r="DX102" s="44">
        <v>1</v>
      </c>
      <c r="DY102" s="44" t="s">
        <v>773</v>
      </c>
      <c r="DZ102" s="43">
        <f t="shared" si="76"/>
        <v>0.01</v>
      </c>
      <c r="EA102" s="43" t="str">
        <f t="shared" si="77"/>
        <v>M</v>
      </c>
      <c r="EB102" s="43" t="str">
        <f>IF(IFERROR(INDEX(Consulta!$A:$DP,MATCH('MM01'!$B102,Consulta!$C:$C,0),'MM01'!EB$2),"")=0,"7925",IF(IFERROR(INDEX(Consulta!$A:$DP,MATCH('MM01'!$B102,Consulta!$C:$C,0),'MM01'!EB$2),"")="68","7910","7925"))</f>
        <v>7925</v>
      </c>
      <c r="EC102" s="44">
        <v>100</v>
      </c>
      <c r="ED102" s="62">
        <v>1</v>
      </c>
      <c r="EE102" s="43">
        <f t="shared" si="78"/>
        <v>100</v>
      </c>
      <c r="EF102" s="44">
        <v>1</v>
      </c>
      <c r="EG102" s="44">
        <v>0</v>
      </c>
      <c r="EH102" s="44" t="s">
        <v>875</v>
      </c>
      <c r="EI102" s="45">
        <v>0</v>
      </c>
      <c r="EJ102" s="43">
        <f t="shared" si="79"/>
        <v>5000</v>
      </c>
      <c r="EK102" s="69"/>
    </row>
    <row r="103" spans="1:141" x14ac:dyDescent="0.2">
      <c r="A103" s="7" t="str">
        <f t="shared" si="80"/>
        <v>Execução 99</v>
      </c>
      <c r="B103" s="42"/>
      <c r="C103" s="43" t="str">
        <f>IF(IFERROR(INDEX(Consulta!$A:$DP,MATCH('MM01'!$B103,Consulta!$C:$C,0),'MM01'!C$2),"")=0,"",IFERROR(INDEX(Consulta!$A:$DP,MATCH('MM01'!$B103,Consulta!$C:$C,0),'MM01'!C$2),""))</f>
        <v/>
      </c>
      <c r="D103" s="43" t="str">
        <f>IF(IFERROR(INDEX(Consulta!$A:$DP,MATCH('MM01'!$B103,Consulta!$C:$C,0),'MM01'!D$2),"")=0,"",IFERROR(INDEX(Consulta!$A:$DP,MATCH('MM01'!$B103,Consulta!$C:$C,0),'MM01'!D$2),""))</f>
        <v/>
      </c>
      <c r="E103" s="43" t="str">
        <f>IF(IFERROR(INDEX(Consulta!$A:$DP,MATCH('MM01'!$B103,Consulta!$C:$C,0),'MM01'!E$2),"")=0,"",IFERROR(INDEX(Consulta!$A:$DP,MATCH('MM01'!$B103,Consulta!$C:$C,0),'MM01'!E$2),""))</f>
        <v/>
      </c>
      <c r="F103" s="44" t="s">
        <v>100</v>
      </c>
      <c r="G103" s="49" t="str">
        <f>IF(IFERROR(INDEX(Consulta!$A:$DP,MATCH('MM01'!$B103,Consulta!$C:$C,0),'MM01'!G$2),"")=0,"",IFERROR(INDEX(Consulta!$A:$DP,MATCH('MM01'!$B103,Consulta!$C:$C,0),'MM01'!G$2),""))</f>
        <v/>
      </c>
      <c r="H103" s="49" t="str">
        <f>IF(IFERROR(INDEX(Consulta!$A:$DP,MATCH('MM01'!$B103,Consulta!$C:$C,0),'MM01'!H$2),"")=0,"",IFERROR(INDEX(Consulta!$A:$DP,MATCH('MM01'!$B103,Consulta!$C:$C,0),'MM01'!H$2),""))</f>
        <v/>
      </c>
      <c r="I103" s="49" t="str">
        <f t="shared" si="41"/>
        <v/>
      </c>
      <c r="J103" s="49" t="str">
        <f>IF(IFERROR(INDEX(Consulta!$A:$DP,MATCH('MM01'!$B103,Consulta!$C:$C,0),'MM01'!J$2),"")=0,"",IFERROR(INDEX(Consulta!$A:$DP,MATCH('MM01'!$B103,Consulta!$C:$C,0),'MM01'!J$2),""))</f>
        <v/>
      </c>
      <c r="K103" s="49" t="str">
        <f t="shared" si="42"/>
        <v/>
      </c>
      <c r="M103" s="45" t="s">
        <v>101</v>
      </c>
      <c r="N103" s="45" t="s">
        <v>102</v>
      </c>
      <c r="O103" s="45" t="s">
        <v>103</v>
      </c>
      <c r="P103" s="45" t="s">
        <v>104</v>
      </c>
      <c r="Q103" s="45" t="s">
        <v>105</v>
      </c>
      <c r="R103" s="45" t="s">
        <v>106</v>
      </c>
      <c r="S103" s="45" t="s">
        <v>107</v>
      </c>
      <c r="T103" s="45"/>
      <c r="U103" s="45"/>
      <c r="V103" s="45"/>
      <c r="W103" s="45"/>
      <c r="X103" s="45" t="s">
        <v>112</v>
      </c>
      <c r="Y103" s="45" t="s">
        <v>113</v>
      </c>
      <c r="Z103" s="45" t="s">
        <v>114</v>
      </c>
      <c r="AA103" s="45" t="s">
        <v>115</v>
      </c>
      <c r="AB103" s="45" t="s">
        <v>117</v>
      </c>
      <c r="AC103" s="45" t="s">
        <v>118</v>
      </c>
      <c r="AD103" s="45" t="s">
        <v>119</v>
      </c>
      <c r="AE103" s="45" t="s">
        <v>120</v>
      </c>
      <c r="AF103" s="45" t="s">
        <v>121</v>
      </c>
      <c r="AG103" s="45" t="s">
        <v>122</v>
      </c>
      <c r="AH103" s="45" t="s">
        <v>123</v>
      </c>
      <c r="AI103" s="45" t="s">
        <v>124</v>
      </c>
      <c r="AJ103" s="45" t="s">
        <v>125</v>
      </c>
      <c r="AK103" s="45" t="s">
        <v>126</v>
      </c>
      <c r="AL103" s="45"/>
      <c r="AM103" s="45"/>
      <c r="AO103" s="44" t="s">
        <v>100</v>
      </c>
      <c r="AP103" s="43" t="str">
        <f>IF(IFERROR(INDEX(Consulta!$A:$DP,MATCH('MM01'!$B103,Consulta!$C:$C,0),'MM01'!AP$2),"")=0,"",IFERROR(INDEX(Consulta!$A:$DP,MATCH('MM01'!$B103,Consulta!$C:$C,0),'MM01'!AP$2),""))</f>
        <v/>
      </c>
      <c r="AQ103" s="45"/>
      <c r="AR103" s="43" t="str">
        <f>IF(IFERROR(INDEX(Consulta!$A:$DP,MATCH('MM01'!$B103,Consulta!$C:$C,0),'MM01'!AR$2),"")=0,"",IFERROR(INDEX(Consulta!$A:$DP,MATCH('MM01'!$B103,Consulta!$C:$C,0),'MM01'!AR$2),""))</f>
        <v/>
      </c>
      <c r="AS103" s="43" t="str">
        <f>IF(IFERROR(INDEX(Consulta!$A:$DP,MATCH('MM01'!$B103,Consulta!$C:$C,0),'MM01'!AS$2),"")=0,"",IF(AR103="68",5102,IFERROR(INDEX(Consulta!$A:$DP,MATCH('MM01'!$B103,Consulta!$C:$C,0),'MM01'!AS$2),"")))</f>
        <v/>
      </c>
      <c r="AT103" s="45"/>
      <c r="AU103" s="46" t="str">
        <f t="shared" ca="1" si="43"/>
        <v/>
      </c>
      <c r="AV103" s="47" t="s">
        <v>795</v>
      </c>
      <c r="AW103" s="43" t="str">
        <f>IF(IFERROR(INDEX(Consulta!$A:$DP,MATCH('MM01'!$B103,Consulta!$C:$C,0),'MM01'!AW$2),"")=0,"",IFERROR(ROUND(INDEX(Consulta!$A:$DP,MATCH('MM01'!$B103,Consulta!$C:$C,0),'MM01'!AW$2),3),""))</f>
        <v/>
      </c>
      <c r="AX103" s="43" t="str">
        <f t="shared" si="44"/>
        <v/>
      </c>
      <c r="AY103" s="48" t="s">
        <v>299</v>
      </c>
      <c r="AZ103" s="48"/>
      <c r="BA103" s="43" t="str">
        <f>IF(IFERROR(INDEX(Consulta!$A:$DP,MATCH('MM01'!$B103,Consulta!$C:$C,0),'MM01'!BA$2),"")=0,"",IFERROR(INDEX(Consulta!$A:$DP,MATCH('MM01'!$B103,Consulta!$C:$C,0),'MM01'!BA$2),""))</f>
        <v/>
      </c>
      <c r="BB103" s="43" t="str">
        <f t="shared" si="45"/>
        <v/>
      </c>
      <c r="BC103" s="43" t="str">
        <f t="shared" si="46"/>
        <v/>
      </c>
      <c r="BD103" s="43" t="str">
        <f t="shared" si="47"/>
        <v/>
      </c>
      <c r="BE103" s="43" t="str">
        <f t="shared" si="48"/>
        <v>M</v>
      </c>
      <c r="BF103" s="43" t="str">
        <f t="shared" si="49"/>
        <v/>
      </c>
      <c r="BG103" s="43" t="str">
        <f t="shared" si="50"/>
        <v/>
      </c>
      <c r="BH103" s="43" t="str">
        <f t="shared" si="51"/>
        <v/>
      </c>
      <c r="BI103" s="43" t="str">
        <f t="shared" si="52"/>
        <v>M</v>
      </c>
      <c r="BK103" s="45" t="s">
        <v>324</v>
      </c>
      <c r="BL103" s="43" t="str">
        <f>IF(IFERROR(INDEX(Consulta!$A:$DP,MATCH('MM01'!$B103,Consulta!$C:$C,0),'MM01'!BL$2),"")=0,"",IFERROR(INDEX(Consulta!$A:$DP,MATCH('MM01'!$B103,Consulta!$C:$C,0),'MM01'!BL$2),""))</f>
        <v/>
      </c>
      <c r="BM103" s="45"/>
      <c r="BN103" s="46" t="str">
        <f t="shared" ca="1" si="53"/>
        <v/>
      </c>
      <c r="BO103" s="49" t="str">
        <f t="shared" si="54"/>
        <v/>
      </c>
      <c r="BP103" s="50">
        <v>1</v>
      </c>
      <c r="BQ103" s="50" t="s">
        <v>194</v>
      </c>
      <c r="BR103" s="79" t="str">
        <f t="shared" si="81"/>
        <v>01</v>
      </c>
      <c r="BS103" s="50" t="s">
        <v>795</v>
      </c>
      <c r="BT103" s="44">
        <v>1</v>
      </c>
      <c r="BU103" s="44" t="s">
        <v>371</v>
      </c>
      <c r="BV103" s="50" t="s">
        <v>197</v>
      </c>
      <c r="BW103" s="50" t="s">
        <v>197</v>
      </c>
      <c r="BX103" s="43" t="str">
        <f>IF(IFERROR(INDEX(Consulta!$A:$DP,MATCH('MM01'!$B103,Consulta!$C:$C,0),'MM01'!BX$2),"")=0,"",IFERROR(INDEX(Consulta!$A:$DP,MATCH('MM01'!$B103,Consulta!$C:$C,0),'MM01'!BX$2),""))</f>
        <v/>
      </c>
      <c r="BY103" s="44" t="s">
        <v>391</v>
      </c>
      <c r="BZ103" s="50">
        <v>0</v>
      </c>
      <c r="CA103" s="45" t="s">
        <v>402</v>
      </c>
      <c r="CB103" s="45" t="s">
        <v>84</v>
      </c>
      <c r="CC103" s="43" t="str">
        <f t="shared" si="55"/>
        <v/>
      </c>
      <c r="CD103" s="45" t="s">
        <v>38</v>
      </c>
      <c r="CE103" s="45">
        <v>1</v>
      </c>
      <c r="CF103" s="45" t="s">
        <v>495</v>
      </c>
      <c r="CG103" s="45"/>
      <c r="CH103" s="44">
        <v>2</v>
      </c>
      <c r="CI103" s="49" t="str">
        <f t="shared" si="56"/>
        <v/>
      </c>
      <c r="CJ103" s="49" t="str">
        <f t="shared" si="57"/>
        <v/>
      </c>
      <c r="CK103" s="45"/>
      <c r="CL103" s="44">
        <v>1</v>
      </c>
      <c r="CM103" s="50" t="s">
        <v>514</v>
      </c>
      <c r="CN103" s="44" t="s">
        <v>371</v>
      </c>
      <c r="CO103" s="44">
        <v>2</v>
      </c>
      <c r="CP103" s="44">
        <v>42</v>
      </c>
      <c r="CQ103" s="44">
        <v>10</v>
      </c>
      <c r="CR103" s="43" t="str">
        <f t="shared" si="58"/>
        <v>K00_P_</v>
      </c>
      <c r="CS103" s="45">
        <v>5000</v>
      </c>
      <c r="CT103" s="43" t="str">
        <f>IF(IFERROR(INDEX(Consulta!$A:$DP,MATCH('MM01'!$B103,Consulta!$C:$C,0),'MM01'!CT$2),"")=0,"",IFERROR(INDEX(Consulta!$A:$DP,MATCH('MM01'!$B103,Consulta!$C:$C,0),'MM01'!CT$2),""))</f>
        <v/>
      </c>
      <c r="CU103" s="43" t="str">
        <f>IF(IFERROR(INDEX(Consulta!$A:$DP,MATCH('MM01'!$B103,Consulta!$C:$C,0),'MM01'!CU$2),"")=0,"",IFERROR(INDEX(Consulta!$A:$DP,MATCH('MM01'!$B103,Consulta!$C:$C,0),'MM01'!CU$2),""))</f>
        <v/>
      </c>
      <c r="CV103" s="43" t="str">
        <f>IF(IFERROR(INDEX(Consulta!$A:$DP,MATCH('MM01'!$B103,Consulta!$C:$C,0),'MM01'!CV$2),"")=0,"",IFERROR(INDEX(Consulta!$A:$DP,MATCH('MM01'!$B103,Consulta!$C:$C,0),'MM01'!CV$2),""))</f>
        <v/>
      </c>
      <c r="CW103" s="43" t="str">
        <f>IF(IFERROR(INDEX(Consulta!$A:$DP,MATCH('MM01'!$B103,Consulta!$C:$C,0),'MM01'!CW$2),"")=0,"",IFERROR(INDEX(Consulta!$A:$DP,MATCH('MM01'!$B103,Consulta!$C:$C,0),'MM01'!CW$2),""))</f>
        <v/>
      </c>
      <c r="CX103" s="43" t="str">
        <f t="shared" si="59"/>
        <v/>
      </c>
      <c r="CY103" s="43" t="str">
        <f t="shared" si="60"/>
        <v/>
      </c>
      <c r="CZ103" s="43" t="str">
        <f t="shared" si="61"/>
        <v/>
      </c>
      <c r="DA103" s="43" t="str">
        <f>IF(IFERROR(INDEX(Consulta!$A:$DP,MATCH('MM01'!$B103,Consulta!$C:$C,0),'MM01'!DA$2),"")=0,"",IFERROR(INDEX(Consulta!$A:$DP,MATCH('MM01'!$B103,Consulta!$C:$C,0),'MM01'!DA$2),""))</f>
        <v/>
      </c>
      <c r="DB103" s="43" t="str">
        <f t="shared" si="62"/>
        <v/>
      </c>
      <c r="DC103" s="43" t="str">
        <f>IF(IFERROR(INDEX(Consulta!$A:$DP,MATCH('MM01'!$B103,Consulta!$C:$C,0),'MM01'!DC$2),"")=0,"",IFERROR(INDEX(Consulta!$A:$DP,MATCH('MM01'!$B103,Consulta!$C:$C,0),'MM01'!DC$2),""))</f>
        <v/>
      </c>
      <c r="DD103" s="45">
        <v>0</v>
      </c>
      <c r="DE103" s="45">
        <v>0</v>
      </c>
      <c r="DF103" s="43" t="str">
        <f t="shared" si="63"/>
        <v/>
      </c>
      <c r="DG103" s="43" t="str">
        <f t="shared" si="64"/>
        <v/>
      </c>
      <c r="DH103" s="57"/>
      <c r="DI103" s="43" t="str">
        <f t="shared" ca="1" si="65"/>
        <v/>
      </c>
      <c r="DJ103" s="43" t="str">
        <f t="shared" si="66"/>
        <v/>
      </c>
      <c r="DK103" s="43" t="str">
        <f t="shared" si="67"/>
        <v/>
      </c>
      <c r="DL103" s="57"/>
      <c r="DM103" s="43" t="str">
        <f t="shared" ca="1" si="68"/>
        <v/>
      </c>
      <c r="DN103" s="43" t="str">
        <f t="shared" si="69"/>
        <v/>
      </c>
      <c r="DO103" s="43" t="str">
        <f t="shared" si="70"/>
        <v/>
      </c>
      <c r="DP103" s="57"/>
      <c r="DQ103" s="43" t="str">
        <f t="shared" ca="1" si="71"/>
        <v/>
      </c>
      <c r="DR103" s="43" t="str">
        <f t="shared" si="72"/>
        <v/>
      </c>
      <c r="DS103" s="43" t="str">
        <f t="shared" si="73"/>
        <v/>
      </c>
      <c r="DT103" s="57"/>
      <c r="DU103" s="43" t="str">
        <f t="shared" ca="1" si="74"/>
        <v/>
      </c>
      <c r="DV103" s="43" t="str">
        <f t="shared" si="75"/>
        <v/>
      </c>
      <c r="DX103" s="44">
        <v>1</v>
      </c>
      <c r="DY103" s="44" t="s">
        <v>773</v>
      </c>
      <c r="DZ103" s="43">
        <f t="shared" si="76"/>
        <v>0.01</v>
      </c>
      <c r="EA103" s="43" t="str">
        <f t="shared" si="77"/>
        <v>M</v>
      </c>
      <c r="EB103" s="43" t="str">
        <f>IF(IFERROR(INDEX(Consulta!$A:$DP,MATCH('MM01'!$B103,Consulta!$C:$C,0),'MM01'!EB$2),"")=0,"7925",IF(IFERROR(INDEX(Consulta!$A:$DP,MATCH('MM01'!$B103,Consulta!$C:$C,0),'MM01'!EB$2),"")="68","7910","7925"))</f>
        <v>7925</v>
      </c>
      <c r="EC103" s="44">
        <v>100</v>
      </c>
      <c r="ED103" s="62">
        <v>1</v>
      </c>
      <c r="EE103" s="43">
        <f t="shared" si="78"/>
        <v>100</v>
      </c>
      <c r="EF103" s="44">
        <v>1</v>
      </c>
      <c r="EG103" s="44">
        <v>0</v>
      </c>
      <c r="EH103" s="44" t="s">
        <v>875</v>
      </c>
      <c r="EI103" s="45">
        <v>0</v>
      </c>
      <c r="EJ103" s="43">
        <f t="shared" si="79"/>
        <v>5000</v>
      </c>
      <c r="EK103" s="69"/>
    </row>
    <row r="104" spans="1:141" x14ac:dyDescent="0.2">
      <c r="A104" s="7" t="str">
        <f t="shared" si="80"/>
        <v>Execução 100</v>
      </c>
      <c r="B104" s="42"/>
      <c r="C104" s="43" t="str">
        <f>IF(IFERROR(INDEX(Consulta!$A:$DP,MATCH('MM01'!$B104,Consulta!$C:$C,0),'MM01'!C$2),"")=0,"",IFERROR(INDEX(Consulta!$A:$DP,MATCH('MM01'!$B104,Consulta!$C:$C,0),'MM01'!C$2),""))</f>
        <v/>
      </c>
      <c r="D104" s="43" t="str">
        <f>IF(IFERROR(INDEX(Consulta!$A:$DP,MATCH('MM01'!$B104,Consulta!$C:$C,0),'MM01'!D$2),"")=0,"",IFERROR(INDEX(Consulta!$A:$DP,MATCH('MM01'!$B104,Consulta!$C:$C,0),'MM01'!D$2),""))</f>
        <v/>
      </c>
      <c r="E104" s="43" t="str">
        <f>IF(IFERROR(INDEX(Consulta!$A:$DP,MATCH('MM01'!$B104,Consulta!$C:$C,0),'MM01'!E$2),"")=0,"",IFERROR(INDEX(Consulta!$A:$DP,MATCH('MM01'!$B104,Consulta!$C:$C,0),'MM01'!E$2),""))</f>
        <v/>
      </c>
      <c r="F104" s="44" t="s">
        <v>100</v>
      </c>
      <c r="G104" s="49" t="str">
        <f>IF(IFERROR(INDEX(Consulta!$A:$DP,MATCH('MM01'!$B104,Consulta!$C:$C,0),'MM01'!G$2),"")=0,"",IFERROR(INDEX(Consulta!$A:$DP,MATCH('MM01'!$B104,Consulta!$C:$C,0),'MM01'!G$2),""))</f>
        <v/>
      </c>
      <c r="H104" s="49" t="str">
        <f>IF(IFERROR(INDEX(Consulta!$A:$DP,MATCH('MM01'!$B104,Consulta!$C:$C,0),'MM01'!H$2),"")=0,"",IFERROR(INDEX(Consulta!$A:$DP,MATCH('MM01'!$B104,Consulta!$C:$C,0),'MM01'!H$2),""))</f>
        <v/>
      </c>
      <c r="I104" s="49" t="str">
        <f t="shared" si="41"/>
        <v/>
      </c>
      <c r="J104" s="49" t="str">
        <f>IF(IFERROR(INDEX(Consulta!$A:$DP,MATCH('MM01'!$B104,Consulta!$C:$C,0),'MM01'!J$2),"")=0,"",IFERROR(INDEX(Consulta!$A:$DP,MATCH('MM01'!$B104,Consulta!$C:$C,0),'MM01'!J$2),""))</f>
        <v/>
      </c>
      <c r="K104" s="49" t="str">
        <f t="shared" si="42"/>
        <v/>
      </c>
      <c r="M104" s="45" t="s">
        <v>101</v>
      </c>
      <c r="N104" s="45" t="s">
        <v>102</v>
      </c>
      <c r="O104" s="45" t="s">
        <v>103</v>
      </c>
      <c r="P104" s="45" t="s">
        <v>104</v>
      </c>
      <c r="Q104" s="45" t="s">
        <v>105</v>
      </c>
      <c r="R104" s="45" t="s">
        <v>106</v>
      </c>
      <c r="S104" s="45" t="s">
        <v>107</v>
      </c>
      <c r="T104" s="45"/>
      <c r="U104" s="45"/>
      <c r="V104" s="45"/>
      <c r="W104" s="45"/>
      <c r="X104" s="45" t="s">
        <v>112</v>
      </c>
      <c r="Y104" s="45" t="s">
        <v>113</v>
      </c>
      <c r="Z104" s="45" t="s">
        <v>114</v>
      </c>
      <c r="AA104" s="45" t="s">
        <v>115</v>
      </c>
      <c r="AB104" s="45" t="s">
        <v>117</v>
      </c>
      <c r="AC104" s="45" t="s">
        <v>118</v>
      </c>
      <c r="AD104" s="45" t="s">
        <v>119</v>
      </c>
      <c r="AE104" s="45" t="s">
        <v>120</v>
      </c>
      <c r="AF104" s="45" t="s">
        <v>121</v>
      </c>
      <c r="AG104" s="45" t="s">
        <v>122</v>
      </c>
      <c r="AH104" s="45" t="s">
        <v>123</v>
      </c>
      <c r="AI104" s="45" t="s">
        <v>124</v>
      </c>
      <c r="AJ104" s="45" t="s">
        <v>125</v>
      </c>
      <c r="AK104" s="45" t="s">
        <v>126</v>
      </c>
      <c r="AL104" s="45"/>
      <c r="AM104" s="45"/>
      <c r="AO104" s="44" t="s">
        <v>100</v>
      </c>
      <c r="AP104" s="43" t="str">
        <f>IF(IFERROR(INDEX(Consulta!$A:$DP,MATCH('MM01'!$B104,Consulta!$C:$C,0),'MM01'!AP$2),"")=0,"",IFERROR(INDEX(Consulta!$A:$DP,MATCH('MM01'!$B104,Consulta!$C:$C,0),'MM01'!AP$2),""))</f>
        <v/>
      </c>
      <c r="AQ104" s="45"/>
      <c r="AR104" s="43" t="str">
        <f>IF(IFERROR(INDEX(Consulta!$A:$DP,MATCH('MM01'!$B104,Consulta!$C:$C,0),'MM01'!AR$2),"")=0,"",IFERROR(INDEX(Consulta!$A:$DP,MATCH('MM01'!$B104,Consulta!$C:$C,0),'MM01'!AR$2),""))</f>
        <v/>
      </c>
      <c r="AS104" s="43" t="str">
        <f>IF(IFERROR(INDEX(Consulta!$A:$DP,MATCH('MM01'!$B104,Consulta!$C:$C,0),'MM01'!AS$2),"")=0,"",IF(AR104="68",5102,IFERROR(INDEX(Consulta!$A:$DP,MATCH('MM01'!$B104,Consulta!$C:$C,0),'MM01'!AS$2),"")))</f>
        <v/>
      </c>
      <c r="AT104" s="45"/>
      <c r="AU104" s="46" t="str">
        <f t="shared" ca="1" si="43"/>
        <v/>
      </c>
      <c r="AV104" s="47" t="s">
        <v>795</v>
      </c>
      <c r="AW104" s="43" t="str">
        <f>IF(IFERROR(INDEX(Consulta!$A:$DP,MATCH('MM01'!$B104,Consulta!$C:$C,0),'MM01'!AW$2),"")=0,"",IFERROR(ROUND(INDEX(Consulta!$A:$DP,MATCH('MM01'!$B104,Consulta!$C:$C,0),'MM01'!AW$2),3),""))</f>
        <v/>
      </c>
      <c r="AX104" s="43" t="str">
        <f t="shared" si="44"/>
        <v/>
      </c>
      <c r="AY104" s="48" t="s">
        <v>299</v>
      </c>
      <c r="AZ104" s="48"/>
      <c r="BA104" s="43" t="str">
        <f>IF(IFERROR(INDEX(Consulta!$A:$DP,MATCH('MM01'!$B104,Consulta!$C:$C,0),'MM01'!BA$2),"")=0,"",IFERROR(INDEX(Consulta!$A:$DP,MATCH('MM01'!$B104,Consulta!$C:$C,0),'MM01'!BA$2),""))</f>
        <v/>
      </c>
      <c r="BB104" s="43" t="str">
        <f t="shared" si="45"/>
        <v/>
      </c>
      <c r="BC104" s="43" t="str">
        <f t="shared" si="46"/>
        <v/>
      </c>
      <c r="BD104" s="43" t="str">
        <f t="shared" si="47"/>
        <v/>
      </c>
      <c r="BE104" s="43" t="str">
        <f t="shared" si="48"/>
        <v>M</v>
      </c>
      <c r="BF104" s="43" t="str">
        <f t="shared" si="49"/>
        <v/>
      </c>
      <c r="BG104" s="43" t="str">
        <f t="shared" si="50"/>
        <v/>
      </c>
      <c r="BH104" s="43" t="str">
        <f t="shared" si="51"/>
        <v/>
      </c>
      <c r="BI104" s="43" t="str">
        <f t="shared" si="52"/>
        <v>M</v>
      </c>
      <c r="BK104" s="45" t="s">
        <v>324</v>
      </c>
      <c r="BL104" s="43" t="str">
        <f>IF(IFERROR(INDEX(Consulta!$A:$DP,MATCH('MM01'!$B104,Consulta!$C:$C,0),'MM01'!BL$2),"")=0,"",IFERROR(INDEX(Consulta!$A:$DP,MATCH('MM01'!$B104,Consulta!$C:$C,0),'MM01'!BL$2),""))</f>
        <v/>
      </c>
      <c r="BM104" s="45"/>
      <c r="BN104" s="46" t="str">
        <f t="shared" ca="1" si="53"/>
        <v/>
      </c>
      <c r="BO104" s="49" t="str">
        <f t="shared" si="54"/>
        <v/>
      </c>
      <c r="BP104" s="50">
        <v>1</v>
      </c>
      <c r="BQ104" s="50" t="s">
        <v>194</v>
      </c>
      <c r="BR104" s="79" t="str">
        <f t="shared" si="81"/>
        <v>01</v>
      </c>
      <c r="BS104" s="50" t="s">
        <v>795</v>
      </c>
      <c r="BT104" s="44">
        <v>1</v>
      </c>
      <c r="BU104" s="44" t="s">
        <v>371</v>
      </c>
      <c r="BV104" s="50" t="s">
        <v>197</v>
      </c>
      <c r="BW104" s="50" t="s">
        <v>197</v>
      </c>
      <c r="BX104" s="43" t="str">
        <f>IF(IFERROR(INDEX(Consulta!$A:$DP,MATCH('MM01'!$B104,Consulta!$C:$C,0),'MM01'!BX$2),"")=0,"",IFERROR(INDEX(Consulta!$A:$DP,MATCH('MM01'!$B104,Consulta!$C:$C,0),'MM01'!BX$2),""))</f>
        <v/>
      </c>
      <c r="BY104" s="44" t="s">
        <v>391</v>
      </c>
      <c r="BZ104" s="50">
        <v>0</v>
      </c>
      <c r="CA104" s="45" t="s">
        <v>402</v>
      </c>
      <c r="CB104" s="45" t="s">
        <v>84</v>
      </c>
      <c r="CC104" s="43" t="str">
        <f t="shared" si="55"/>
        <v/>
      </c>
      <c r="CD104" s="45" t="s">
        <v>38</v>
      </c>
      <c r="CE104" s="45">
        <v>1</v>
      </c>
      <c r="CF104" s="45" t="s">
        <v>495</v>
      </c>
      <c r="CG104" s="45"/>
      <c r="CH104" s="44">
        <v>2</v>
      </c>
      <c r="CI104" s="49" t="str">
        <f t="shared" si="56"/>
        <v/>
      </c>
      <c r="CJ104" s="49" t="str">
        <f t="shared" si="57"/>
        <v/>
      </c>
      <c r="CK104" s="45"/>
      <c r="CL104" s="44">
        <v>1</v>
      </c>
      <c r="CM104" s="50" t="s">
        <v>514</v>
      </c>
      <c r="CN104" s="44" t="s">
        <v>371</v>
      </c>
      <c r="CO104" s="44">
        <v>2</v>
      </c>
      <c r="CP104" s="44">
        <v>42</v>
      </c>
      <c r="CQ104" s="44">
        <v>10</v>
      </c>
      <c r="CR104" s="43" t="str">
        <f t="shared" si="58"/>
        <v>K00_P_</v>
      </c>
      <c r="CS104" s="45">
        <v>5000</v>
      </c>
      <c r="CT104" s="43" t="str">
        <f>IF(IFERROR(INDEX(Consulta!$A:$DP,MATCH('MM01'!$B104,Consulta!$C:$C,0),'MM01'!CT$2),"")=0,"",IFERROR(INDEX(Consulta!$A:$DP,MATCH('MM01'!$B104,Consulta!$C:$C,0),'MM01'!CT$2),""))</f>
        <v/>
      </c>
      <c r="CU104" s="43" t="str">
        <f>IF(IFERROR(INDEX(Consulta!$A:$DP,MATCH('MM01'!$B104,Consulta!$C:$C,0),'MM01'!CU$2),"")=0,"",IFERROR(INDEX(Consulta!$A:$DP,MATCH('MM01'!$B104,Consulta!$C:$C,0),'MM01'!CU$2),""))</f>
        <v/>
      </c>
      <c r="CV104" s="43" t="str">
        <f>IF(IFERROR(INDEX(Consulta!$A:$DP,MATCH('MM01'!$B104,Consulta!$C:$C,0),'MM01'!CV$2),"")=0,"",IFERROR(INDEX(Consulta!$A:$DP,MATCH('MM01'!$B104,Consulta!$C:$C,0),'MM01'!CV$2),""))</f>
        <v/>
      </c>
      <c r="CW104" s="43" t="str">
        <f>IF(IFERROR(INDEX(Consulta!$A:$DP,MATCH('MM01'!$B104,Consulta!$C:$C,0),'MM01'!CW$2),"")=0,"",IFERROR(INDEX(Consulta!$A:$DP,MATCH('MM01'!$B104,Consulta!$C:$C,0),'MM01'!CW$2),""))</f>
        <v/>
      </c>
      <c r="CX104" s="43" t="str">
        <f t="shared" si="59"/>
        <v/>
      </c>
      <c r="CY104" s="43" t="str">
        <f t="shared" si="60"/>
        <v/>
      </c>
      <c r="CZ104" s="43" t="str">
        <f t="shared" si="61"/>
        <v/>
      </c>
      <c r="DA104" s="43" t="str">
        <f>IF(IFERROR(INDEX(Consulta!$A:$DP,MATCH('MM01'!$B104,Consulta!$C:$C,0),'MM01'!DA$2),"")=0,"",IFERROR(INDEX(Consulta!$A:$DP,MATCH('MM01'!$B104,Consulta!$C:$C,0),'MM01'!DA$2),""))</f>
        <v/>
      </c>
      <c r="DB104" s="43" t="str">
        <f t="shared" si="62"/>
        <v/>
      </c>
      <c r="DC104" s="43" t="str">
        <f>IF(IFERROR(INDEX(Consulta!$A:$DP,MATCH('MM01'!$B104,Consulta!$C:$C,0),'MM01'!DC$2),"")=0,"",IFERROR(INDEX(Consulta!$A:$DP,MATCH('MM01'!$B104,Consulta!$C:$C,0),'MM01'!DC$2),""))</f>
        <v/>
      </c>
      <c r="DD104" s="45">
        <v>0</v>
      </c>
      <c r="DE104" s="45">
        <v>0</v>
      </c>
      <c r="DF104" s="43" t="str">
        <f t="shared" si="63"/>
        <v/>
      </c>
      <c r="DG104" s="43" t="str">
        <f t="shared" si="64"/>
        <v/>
      </c>
      <c r="DH104" s="57"/>
      <c r="DI104" s="43" t="str">
        <f t="shared" ca="1" si="65"/>
        <v/>
      </c>
      <c r="DJ104" s="43" t="str">
        <f t="shared" si="66"/>
        <v/>
      </c>
      <c r="DK104" s="43" t="str">
        <f t="shared" si="67"/>
        <v/>
      </c>
      <c r="DL104" s="57"/>
      <c r="DM104" s="43" t="str">
        <f t="shared" ca="1" si="68"/>
        <v/>
      </c>
      <c r="DN104" s="43" t="str">
        <f t="shared" si="69"/>
        <v/>
      </c>
      <c r="DO104" s="43" t="str">
        <f t="shared" si="70"/>
        <v/>
      </c>
      <c r="DP104" s="57"/>
      <c r="DQ104" s="43" t="str">
        <f t="shared" ca="1" si="71"/>
        <v/>
      </c>
      <c r="DR104" s="43" t="str">
        <f t="shared" si="72"/>
        <v/>
      </c>
      <c r="DS104" s="43" t="str">
        <f t="shared" si="73"/>
        <v/>
      </c>
      <c r="DT104" s="57"/>
      <c r="DU104" s="43" t="str">
        <f t="shared" ca="1" si="74"/>
        <v/>
      </c>
      <c r="DV104" s="43" t="str">
        <f t="shared" si="75"/>
        <v/>
      </c>
      <c r="DX104" s="44">
        <v>1</v>
      </c>
      <c r="DY104" s="44" t="s">
        <v>773</v>
      </c>
      <c r="DZ104" s="43">
        <f t="shared" si="76"/>
        <v>0.01</v>
      </c>
      <c r="EA104" s="43" t="str">
        <f t="shared" si="77"/>
        <v>M</v>
      </c>
      <c r="EB104" s="43" t="str">
        <f>IF(IFERROR(INDEX(Consulta!$A:$DP,MATCH('MM01'!$B104,Consulta!$C:$C,0),'MM01'!EB$2),"")=0,"7925",IF(IFERROR(INDEX(Consulta!$A:$DP,MATCH('MM01'!$B104,Consulta!$C:$C,0),'MM01'!EB$2),"")="68","7910","7925"))</f>
        <v>7925</v>
      </c>
      <c r="EC104" s="44">
        <v>100</v>
      </c>
      <c r="ED104" s="62">
        <v>1</v>
      </c>
      <c r="EE104" s="43">
        <f t="shared" si="78"/>
        <v>100</v>
      </c>
      <c r="EF104" s="44">
        <v>1</v>
      </c>
      <c r="EG104" s="44">
        <v>0</v>
      </c>
      <c r="EH104" s="44" t="s">
        <v>875</v>
      </c>
      <c r="EI104" s="45">
        <v>0</v>
      </c>
      <c r="EJ104" s="43">
        <f t="shared" si="79"/>
        <v>5000</v>
      </c>
      <c r="EK104" s="70"/>
    </row>
    <row r="105" spans="1:141" x14ac:dyDescent="0.2">
      <c r="A105" s="7" t="str">
        <f>"Execução "&amp;ROW()-4</f>
        <v>Execução 101</v>
      </c>
      <c r="B105" s="42"/>
      <c r="C105" s="43" t="str">
        <f>IF(IFERROR(INDEX(Consulta!$A:$DP,MATCH('MM01'!$B105,Consulta!$C:$C,0),'MM01'!C$2),"")=0,"",IFERROR(INDEX(Consulta!$A:$DP,MATCH('MM01'!$B105,Consulta!$C:$C,0),'MM01'!C$2),""))</f>
        <v/>
      </c>
      <c r="D105" s="43" t="str">
        <f>IF(IFERROR(INDEX(Consulta!$A:$DP,MATCH('MM01'!$B105,Consulta!$C:$C,0),'MM01'!D$2),"")=0,"",IFERROR(INDEX(Consulta!$A:$DP,MATCH('MM01'!$B105,Consulta!$C:$C,0),'MM01'!D$2),""))</f>
        <v/>
      </c>
      <c r="E105" s="43" t="str">
        <f>IF(IFERROR(INDEX(Consulta!$A:$DP,MATCH('MM01'!$B105,Consulta!$C:$C,0),'MM01'!E$2),"")=0,"",IFERROR(INDEX(Consulta!$A:$DP,MATCH('MM01'!$B105,Consulta!$C:$C,0),'MM01'!E$2),""))</f>
        <v/>
      </c>
      <c r="F105" s="44" t="s">
        <v>100</v>
      </c>
      <c r="G105" s="49" t="str">
        <f>IF(IFERROR(INDEX(Consulta!$A:$DP,MATCH('MM01'!$B105,Consulta!$C:$C,0),'MM01'!G$2),"")=0,"",IFERROR(INDEX(Consulta!$A:$DP,MATCH('MM01'!$B105,Consulta!$C:$C,0),'MM01'!G$2),""))</f>
        <v/>
      </c>
      <c r="H105" s="49" t="str">
        <f>IF(IFERROR(INDEX(Consulta!$A:$DP,MATCH('MM01'!$B105,Consulta!$C:$C,0),'MM01'!H$2),"")=0,"",IFERROR(INDEX(Consulta!$A:$DP,MATCH('MM01'!$B105,Consulta!$C:$C,0),'MM01'!H$2),""))</f>
        <v/>
      </c>
      <c r="I105" s="49" t="str">
        <f>G105</f>
        <v/>
      </c>
      <c r="J105" s="49" t="str">
        <f>IF(IFERROR(INDEX(Consulta!$A:$DP,MATCH('MM01'!$B105,Consulta!$C:$C,0),'MM01'!J$2),"")=0,"",IFERROR(INDEX(Consulta!$A:$DP,MATCH('MM01'!$B105,Consulta!$C:$C,0),'MM01'!J$2),""))</f>
        <v/>
      </c>
      <c r="K105" s="49" t="str">
        <f>RIGHT(G105,3)</f>
        <v/>
      </c>
      <c r="M105" s="45" t="s">
        <v>101</v>
      </c>
      <c r="N105" s="45" t="s">
        <v>102</v>
      </c>
      <c r="O105" s="45" t="s">
        <v>103</v>
      </c>
      <c r="P105" s="45" t="s">
        <v>104</v>
      </c>
      <c r="Q105" s="45" t="s">
        <v>105</v>
      </c>
      <c r="R105" s="45" t="s">
        <v>106</v>
      </c>
      <c r="S105" s="45" t="s">
        <v>107</v>
      </c>
      <c r="T105" s="45"/>
      <c r="U105" s="45"/>
      <c r="V105" s="45"/>
      <c r="W105" s="45"/>
      <c r="X105" s="45" t="s">
        <v>112</v>
      </c>
      <c r="Y105" s="45" t="s">
        <v>113</v>
      </c>
      <c r="Z105" s="45" t="s">
        <v>114</v>
      </c>
      <c r="AA105" s="45" t="s">
        <v>115</v>
      </c>
      <c r="AB105" s="45" t="s">
        <v>117</v>
      </c>
      <c r="AC105" s="45" t="s">
        <v>118</v>
      </c>
      <c r="AD105" s="45" t="s">
        <v>119</v>
      </c>
      <c r="AE105" s="45" t="s">
        <v>120</v>
      </c>
      <c r="AF105" s="45" t="s">
        <v>121</v>
      </c>
      <c r="AG105" s="45" t="s">
        <v>122</v>
      </c>
      <c r="AH105" s="45" t="s">
        <v>123</v>
      </c>
      <c r="AI105" s="45" t="s">
        <v>124</v>
      </c>
      <c r="AJ105" s="45" t="s">
        <v>125</v>
      </c>
      <c r="AK105" s="45" t="s">
        <v>126</v>
      </c>
      <c r="AL105" s="45"/>
      <c r="AM105" s="45"/>
      <c r="AO105" s="44" t="s">
        <v>100</v>
      </c>
      <c r="AP105" s="43" t="str">
        <f>IF(IFERROR(INDEX(Consulta!$A:$DP,MATCH('MM01'!$B105,Consulta!$C:$C,0),'MM01'!AP$2),"")=0,"",IFERROR(INDEX(Consulta!$A:$DP,MATCH('MM01'!$B105,Consulta!$C:$C,0),'MM01'!AP$2),""))</f>
        <v/>
      </c>
      <c r="AQ105" s="45"/>
      <c r="AR105" s="43" t="str">
        <f>IF(IFERROR(INDEX(Consulta!$A:$DP,MATCH('MM01'!$B105,Consulta!$C:$C,0),'MM01'!AR$2),"")=0,"",IFERROR(INDEX(Consulta!$A:$DP,MATCH('MM01'!$B105,Consulta!$C:$C,0),'MM01'!AR$2),""))</f>
        <v/>
      </c>
      <c r="AS105" s="43" t="str">
        <f>IF(IFERROR(INDEX(Consulta!$A:$DP,MATCH('MM01'!$B105,Consulta!$C:$C,0),'MM01'!AS$2),"")=0,"",IF(AR105="68",5102,IFERROR(INDEX(Consulta!$A:$DP,MATCH('MM01'!$B105,Consulta!$C:$C,0),'MM01'!AS$2),"")))</f>
        <v/>
      </c>
      <c r="AT105" s="45"/>
      <c r="AU105" s="46" t="str">
        <f ca="1">IF(AT105&lt;&gt;0,TEXT(TODAY(),"DD.MM.AAAA"),"")</f>
        <v/>
      </c>
      <c r="AV105" s="47" t="s">
        <v>795</v>
      </c>
      <c r="AW105" s="43" t="str">
        <f>IF(IFERROR(INDEX(Consulta!$A:$DP,MATCH('MM01'!$B105,Consulta!$C:$C,0),'MM01'!AW$2),"")=0,"",IFERROR(ROUND(INDEX(Consulta!$A:$DP,MATCH('MM01'!$B105,Consulta!$C:$C,0),'MM01'!AW$2),3),""))</f>
        <v/>
      </c>
      <c r="AX105" s="43" t="str">
        <f>IFERROR(IF(AW105&lt;&gt;0,ROUND(AW105,3),""),"")</f>
        <v/>
      </c>
      <c r="AY105" s="48" t="s">
        <v>299</v>
      </c>
      <c r="AZ105" s="48"/>
      <c r="BA105" s="43" t="str">
        <f>IF(IFERROR(INDEX(Consulta!$A:$DP,MATCH('MM01'!$B105,Consulta!$C:$C,0),'MM01'!BA$2),"")=0,"",IFERROR(INDEX(Consulta!$A:$DP,MATCH('MM01'!$B105,Consulta!$C:$C,0),'MM01'!BA$2),""))</f>
        <v/>
      </c>
      <c r="BB105" s="43" t="str">
        <f>IFERROR(ROUND(AW105,3)*1000,"")</f>
        <v/>
      </c>
      <c r="BC105" s="43" t="str">
        <f>IF(BB105="","",AY105)</f>
        <v/>
      </c>
      <c r="BD105" s="43" t="str">
        <f>IF(BB105="","",IF(BB105&lt;100000,1000,100))</f>
        <v/>
      </c>
      <c r="BE105" s="43" t="str">
        <f>AO105</f>
        <v>M</v>
      </c>
      <c r="BF105" s="43" t="str">
        <f>IF(BH105="","",IF(D105&lt;&gt;"KMAT",IF(BH105&lt;100000,1000,100),""))</f>
        <v/>
      </c>
      <c r="BG105" s="43" t="str">
        <f>IF(BF105="","",IF(D105&lt;&gt;"KMAT","PC",""))</f>
        <v/>
      </c>
      <c r="BH105" s="43" t="str">
        <f>IF(D105&lt;&gt;"KMAT",E105,"")</f>
        <v/>
      </c>
      <c r="BI105" s="43" t="str">
        <f>AO105</f>
        <v>M</v>
      </c>
      <c r="BK105" s="45" t="s">
        <v>324</v>
      </c>
      <c r="BL105" s="43" t="str">
        <f>IF(IFERROR(INDEX(Consulta!$A:$DP,MATCH('MM01'!$B105,Consulta!$C:$C,0),'MM01'!BL$2),"")=0,"",IFERROR(INDEX(Consulta!$A:$DP,MATCH('MM01'!$B105,Consulta!$C:$C,0),'MM01'!BL$2),""))</f>
        <v/>
      </c>
      <c r="BM105" s="45"/>
      <c r="BN105" s="46" t="str">
        <f ca="1">IF(BM105&lt;&gt;0,TEXT(TODAY(),"DD.MM.AAAA"),"")</f>
        <v/>
      </c>
      <c r="BO105" s="49" t="str">
        <f>G105</f>
        <v/>
      </c>
      <c r="BP105" s="50">
        <v>1</v>
      </c>
      <c r="BQ105" s="50" t="s">
        <v>194</v>
      </c>
      <c r="BR105" s="79" t="str">
        <f t="shared" si="81"/>
        <v>01</v>
      </c>
      <c r="BS105" s="50" t="s">
        <v>795</v>
      </c>
      <c r="BT105" s="44">
        <v>1</v>
      </c>
      <c r="BU105" s="44" t="s">
        <v>371</v>
      </c>
      <c r="BV105" s="50" t="s">
        <v>197</v>
      </c>
      <c r="BW105" s="50" t="s">
        <v>197</v>
      </c>
      <c r="BX105" s="43" t="str">
        <f>IF(IFERROR(INDEX(Consulta!$A:$DP,MATCH('MM01'!$B105,Consulta!$C:$C,0),'MM01'!BX$2),"")=0,"",IFERROR(INDEX(Consulta!$A:$DP,MATCH('MM01'!$B105,Consulta!$C:$C,0),'MM01'!BX$2),""))</f>
        <v/>
      </c>
      <c r="BY105" s="44" t="s">
        <v>391</v>
      </c>
      <c r="BZ105" s="50">
        <v>0</v>
      </c>
      <c r="CA105" s="45" t="s">
        <v>402</v>
      </c>
      <c r="CB105" s="45" t="s">
        <v>84</v>
      </c>
      <c r="CC105" s="43" t="str">
        <f>RIGHT(G105,3)</f>
        <v/>
      </c>
      <c r="CD105" s="45" t="s">
        <v>38</v>
      </c>
      <c r="CE105" s="45">
        <v>1</v>
      </c>
      <c r="CF105" s="45" t="s">
        <v>495</v>
      </c>
      <c r="CG105" s="45"/>
      <c r="CH105" s="44">
        <v>2</v>
      </c>
      <c r="CI105" s="49" t="str">
        <f>H105</f>
        <v/>
      </c>
      <c r="CJ105" s="49" t="str">
        <f>H105</f>
        <v/>
      </c>
      <c r="CK105" s="45"/>
      <c r="CL105" s="44">
        <v>1</v>
      </c>
      <c r="CM105" s="50" t="s">
        <v>514</v>
      </c>
      <c r="CN105" s="44" t="s">
        <v>371</v>
      </c>
      <c r="CO105" s="44">
        <v>2</v>
      </c>
      <c r="CP105" s="44">
        <v>42</v>
      </c>
      <c r="CQ105" s="44">
        <v>10</v>
      </c>
      <c r="CR105" s="43" t="str">
        <f>"K00_P_"&amp;G105</f>
        <v>K00_P_</v>
      </c>
      <c r="CS105" s="45">
        <v>5000</v>
      </c>
      <c r="CT105" s="43" t="str">
        <f>IF(IFERROR(INDEX(Consulta!$A:$DP,MATCH('MM01'!$B105,Consulta!$C:$C,0),'MM01'!CT$2),"")=0,"",IFERROR(INDEX(Consulta!$A:$DP,MATCH('MM01'!$B105,Consulta!$C:$C,0),'MM01'!CT$2),""))</f>
        <v/>
      </c>
      <c r="CU105" s="43" t="str">
        <f>IF(IFERROR(INDEX(Consulta!$A:$DP,MATCH('MM01'!$B105,Consulta!$C:$C,0),'MM01'!CU$2),"")=0,"",IFERROR(INDEX(Consulta!$A:$DP,MATCH('MM01'!$B105,Consulta!$C:$C,0),'MM01'!CU$2),""))</f>
        <v/>
      </c>
      <c r="CV105" s="43" t="str">
        <f>IF(IFERROR(INDEX(Consulta!$A:$DP,MATCH('MM01'!$B105,Consulta!$C:$C,0),'MM01'!CV$2),"")=0,"",IFERROR(INDEX(Consulta!$A:$DP,MATCH('MM01'!$B105,Consulta!$C:$C,0),'MM01'!CV$2),""))</f>
        <v/>
      </c>
      <c r="CW105" s="43" t="str">
        <f>IF(IFERROR(INDEX(Consulta!$A:$DP,MATCH('MM01'!$B105,Consulta!$C:$C,0),'MM01'!CW$2),"")=0,"",IFERROR(INDEX(Consulta!$A:$DP,MATCH('MM01'!$B105,Consulta!$C:$C,0),'MM01'!CW$2),""))</f>
        <v/>
      </c>
      <c r="CX105" s="43" t="str">
        <f>IF(OR(CT105="",CU105="",CV105="",CW105=""),"",CT105&amp;" / "&amp;CU105&amp;" / "&amp;CV105&amp;" / "&amp;CW105)</f>
        <v/>
      </c>
      <c r="CY105" s="43" t="str">
        <f>IF(OR(D105="MFER",D105="KMAT"),"INITIAL",IF(OR(D105="FERT",D105="HAWZ"),"0000999999",""))</f>
        <v/>
      </c>
      <c r="CZ105" s="43" t="str">
        <f>IF(OR(D105="MFER",D105="KMAT"),"INIT",IF(OR(D105="FERT",D105="HAWZ"),"999999",""))</f>
        <v/>
      </c>
      <c r="DA105" s="43" t="str">
        <f>IF(IFERROR(INDEX(Consulta!$A:$DP,MATCH('MM01'!$B105,Consulta!$C:$C,0),'MM01'!DA$2),"")=0,"",IFERROR(INDEX(Consulta!$A:$DP,MATCH('MM01'!$B105,Consulta!$C:$C,0),'MM01'!DA$2),""))</f>
        <v/>
      </c>
      <c r="DB105" s="43" t="str">
        <f>IF(E105=0,"",E105)</f>
        <v/>
      </c>
      <c r="DC105" s="43" t="str">
        <f>IF(IFERROR(INDEX(Consulta!$A:$DP,MATCH('MM01'!$B105,Consulta!$C:$C,0),'MM01'!DC$2),"")=0,"",IFERROR(INDEX(Consulta!$A:$DP,MATCH('MM01'!$B105,Consulta!$C:$C,0),'MM01'!DC$2),""))</f>
        <v/>
      </c>
      <c r="DD105" s="45">
        <v>0</v>
      </c>
      <c r="DE105" s="45">
        <v>0</v>
      </c>
      <c r="DF105" s="43" t="str">
        <f>IFERROR(ROUND(AW105,2),"")</f>
        <v/>
      </c>
      <c r="DG105" s="43">
        <f>IF(DH105&lt;&gt;0,1,"")</f>
        <v>1</v>
      </c>
      <c r="DH105" s="57" t="s">
        <v>746</v>
      </c>
      <c r="DI105" s="43" t="str">
        <f ca="1">IF(DH105&lt;&gt;0,TEXT(TODAY(),"dd.mm.aaaa"),"")</f>
        <v>27.04.2022</v>
      </c>
      <c r="DJ105" s="43" t="str">
        <f>IF(DH105&lt;&gt;0,"31.12.9999","")</f>
        <v>31.12.9999</v>
      </c>
      <c r="DK105" s="43" t="str">
        <f>IF(DL105&lt;&gt;0,2,"")</f>
        <v/>
      </c>
      <c r="DL105" s="57"/>
      <c r="DM105" s="43" t="str">
        <f ca="1">IF(DL105&lt;&gt;0,TEXT(TODAY(),"dd.mm.aaaa"),"")</f>
        <v/>
      </c>
      <c r="DN105" s="43" t="str">
        <f>IF(DL105&lt;&gt;0,"31.12.9999","")</f>
        <v/>
      </c>
      <c r="DO105" s="43" t="str">
        <f>IF(DP105&lt;&gt;0,3,"")</f>
        <v/>
      </c>
      <c r="DP105" s="57"/>
      <c r="DQ105" s="43" t="str">
        <f ca="1">IF(DP105&lt;&gt;0,TEXT(TODAY(),"dd.mm.aaaa"),"")</f>
        <v/>
      </c>
      <c r="DR105" s="43" t="str">
        <f>IF(DP105&lt;&gt;0,"31.12.9999","")</f>
        <v/>
      </c>
      <c r="DS105" s="43" t="str">
        <f>IF(DT105&lt;&gt;0,4,"")</f>
        <v/>
      </c>
      <c r="DT105" s="57"/>
      <c r="DU105" s="43" t="str">
        <f ca="1">IF(DT105&lt;&gt;0,TEXT(TODAY(),"dd.mm.aaaa"),"")</f>
        <v/>
      </c>
      <c r="DV105" s="43" t="str">
        <f>IF(DT105&lt;&gt;0,"31.12.9999","")</f>
        <v/>
      </c>
      <c r="DX105" s="44">
        <v>1</v>
      </c>
      <c r="DY105" s="44" t="s">
        <v>773</v>
      </c>
      <c r="DZ105" s="43">
        <f>IF(OR(AO105="M",AO105="KG"),0.01,1)</f>
        <v>0.01</v>
      </c>
      <c r="EA105" s="43" t="str">
        <f>AO105</f>
        <v>M</v>
      </c>
      <c r="EB105" s="43" t="str">
        <f>IF(IFERROR(INDEX(Consulta!$A:$DP,MATCH('MM01'!$B105,Consulta!$C:$C,0),'MM01'!EB$2),"")=0,"7925",IF(IFERROR(INDEX(Consulta!$A:$DP,MATCH('MM01'!$B105,Consulta!$C:$C,0),'MM01'!EB$2),"")="68","7910","7925"))</f>
        <v>7925</v>
      </c>
      <c r="EC105" s="44">
        <v>100</v>
      </c>
      <c r="ED105" s="62">
        <v>1</v>
      </c>
      <c r="EE105" s="43">
        <f>EC105</f>
        <v>100</v>
      </c>
      <c r="EF105" s="44">
        <v>1</v>
      </c>
      <c r="EG105" s="44">
        <v>0</v>
      </c>
      <c r="EH105" s="44" t="s">
        <v>875</v>
      </c>
      <c r="EI105" s="45">
        <v>0</v>
      </c>
      <c r="EJ105" s="43">
        <f>CS105</f>
        <v>5000</v>
      </c>
      <c r="EK105" s="68"/>
    </row>
    <row r="106" spans="1:141" x14ac:dyDescent="0.2">
      <c r="A106" s="7" t="str">
        <f t="shared" ref="A106:A154" si="82">"Execução "&amp;ROW()-4</f>
        <v>Execução 102</v>
      </c>
      <c r="B106" s="42"/>
      <c r="C106" s="43" t="str">
        <f>IF(IFERROR(INDEX(Consulta!$A:$DP,MATCH('MM01'!$B106,Consulta!$C:$C,0),'MM01'!C$2),"")=0,"",IFERROR(INDEX(Consulta!$A:$DP,MATCH('MM01'!$B106,Consulta!$C:$C,0),'MM01'!C$2),""))</f>
        <v/>
      </c>
      <c r="D106" s="43" t="str">
        <f>IF(IFERROR(INDEX(Consulta!$A:$DP,MATCH('MM01'!$B106,Consulta!$C:$C,0),'MM01'!D$2),"")=0,"",IFERROR(INDEX(Consulta!$A:$DP,MATCH('MM01'!$B106,Consulta!$C:$C,0),'MM01'!D$2),""))</f>
        <v/>
      </c>
      <c r="E106" s="43" t="str">
        <f>IF(IFERROR(INDEX(Consulta!$A:$DP,MATCH('MM01'!$B106,Consulta!$C:$C,0),'MM01'!E$2),"")=0,"",IFERROR(INDEX(Consulta!$A:$DP,MATCH('MM01'!$B106,Consulta!$C:$C,0),'MM01'!E$2),""))</f>
        <v/>
      </c>
      <c r="F106" s="44" t="s">
        <v>100</v>
      </c>
      <c r="G106" s="49" t="str">
        <f>IF(IFERROR(INDEX(Consulta!$A:$DP,MATCH('MM01'!$B106,Consulta!$C:$C,0),'MM01'!G$2),"")=0,"",IFERROR(INDEX(Consulta!$A:$DP,MATCH('MM01'!$B106,Consulta!$C:$C,0),'MM01'!G$2),""))</f>
        <v/>
      </c>
      <c r="H106" s="49" t="str">
        <f>IF(IFERROR(INDEX(Consulta!$A:$DP,MATCH('MM01'!$B106,Consulta!$C:$C,0),'MM01'!H$2),"")=0,"",IFERROR(INDEX(Consulta!$A:$DP,MATCH('MM01'!$B106,Consulta!$C:$C,0),'MM01'!H$2),""))</f>
        <v/>
      </c>
      <c r="I106" s="49" t="str">
        <f t="shared" ref="I106:I154" si="83">G106</f>
        <v/>
      </c>
      <c r="J106" s="49" t="str">
        <f>IF(IFERROR(INDEX(Consulta!$A:$DP,MATCH('MM01'!$B106,Consulta!$C:$C,0),'MM01'!J$2),"")=0,"",IFERROR(INDEX(Consulta!$A:$DP,MATCH('MM01'!$B106,Consulta!$C:$C,0),'MM01'!J$2),""))</f>
        <v/>
      </c>
      <c r="K106" s="49" t="str">
        <f t="shared" ref="K106:K154" si="84">RIGHT(G106,3)</f>
        <v/>
      </c>
      <c r="M106" s="45" t="s">
        <v>101</v>
      </c>
      <c r="N106" s="45" t="s">
        <v>102</v>
      </c>
      <c r="O106" s="45" t="s">
        <v>103</v>
      </c>
      <c r="P106" s="45" t="s">
        <v>104</v>
      </c>
      <c r="Q106" s="45" t="s">
        <v>105</v>
      </c>
      <c r="R106" s="45" t="s">
        <v>106</v>
      </c>
      <c r="S106" s="45" t="s">
        <v>107</v>
      </c>
      <c r="T106" s="45"/>
      <c r="U106" s="45"/>
      <c r="V106" s="45"/>
      <c r="W106" s="45"/>
      <c r="X106" s="45" t="s">
        <v>112</v>
      </c>
      <c r="Y106" s="45" t="s">
        <v>113</v>
      </c>
      <c r="Z106" s="45" t="s">
        <v>114</v>
      </c>
      <c r="AA106" s="45" t="s">
        <v>115</v>
      </c>
      <c r="AB106" s="45" t="s">
        <v>117</v>
      </c>
      <c r="AC106" s="45" t="s">
        <v>118</v>
      </c>
      <c r="AD106" s="45" t="s">
        <v>119</v>
      </c>
      <c r="AE106" s="45" t="s">
        <v>120</v>
      </c>
      <c r="AF106" s="45" t="s">
        <v>121</v>
      </c>
      <c r="AG106" s="45" t="s">
        <v>122</v>
      </c>
      <c r="AH106" s="45" t="s">
        <v>123</v>
      </c>
      <c r="AI106" s="45" t="s">
        <v>124</v>
      </c>
      <c r="AJ106" s="45" t="s">
        <v>125</v>
      </c>
      <c r="AK106" s="45" t="s">
        <v>126</v>
      </c>
      <c r="AL106" s="45"/>
      <c r="AM106" s="45"/>
      <c r="AO106" s="44" t="s">
        <v>100</v>
      </c>
      <c r="AP106" s="43" t="str">
        <f>IF(IFERROR(INDEX(Consulta!$A:$DP,MATCH('MM01'!$B106,Consulta!$C:$C,0),'MM01'!AP$2),"")=0,"",IFERROR(INDEX(Consulta!$A:$DP,MATCH('MM01'!$B106,Consulta!$C:$C,0),'MM01'!AP$2),""))</f>
        <v/>
      </c>
      <c r="AQ106" s="45"/>
      <c r="AR106" s="43" t="str">
        <f>IF(IFERROR(INDEX(Consulta!$A:$DP,MATCH('MM01'!$B106,Consulta!$C:$C,0),'MM01'!AR$2),"")=0,"",IFERROR(INDEX(Consulta!$A:$DP,MATCH('MM01'!$B106,Consulta!$C:$C,0),'MM01'!AR$2),""))</f>
        <v/>
      </c>
      <c r="AS106" s="43" t="str">
        <f>IF(IFERROR(INDEX(Consulta!$A:$DP,MATCH('MM01'!$B106,Consulta!$C:$C,0),'MM01'!AS$2),"")=0,"",IF(AR106="68",5102,IFERROR(INDEX(Consulta!$A:$DP,MATCH('MM01'!$B106,Consulta!$C:$C,0),'MM01'!AS$2),"")))</f>
        <v/>
      </c>
      <c r="AT106" s="45"/>
      <c r="AU106" s="46" t="str">
        <f t="shared" ref="AU106:AU154" ca="1" si="85">IF(AT106&lt;&gt;0,TEXT(TODAY(),"DD.MM.AAAA"),"")</f>
        <v/>
      </c>
      <c r="AV106" s="47" t="s">
        <v>795</v>
      </c>
      <c r="AW106" s="43" t="str">
        <f>IF(IFERROR(INDEX(Consulta!$A:$DP,MATCH('MM01'!$B106,Consulta!$C:$C,0),'MM01'!AW$2),"")=0,"",IFERROR(ROUND(INDEX(Consulta!$A:$DP,MATCH('MM01'!$B106,Consulta!$C:$C,0),'MM01'!AW$2),3),""))</f>
        <v/>
      </c>
      <c r="AX106" s="43" t="str">
        <f t="shared" ref="AX106:AX154" si="86">IFERROR(IF(AW106&lt;&gt;0,ROUND(AW106,3),""),"")</f>
        <v/>
      </c>
      <c r="AY106" s="48" t="s">
        <v>299</v>
      </c>
      <c r="AZ106" s="48"/>
      <c r="BA106" s="43" t="str">
        <f>IF(IFERROR(INDEX(Consulta!$A:$DP,MATCH('MM01'!$B106,Consulta!$C:$C,0),'MM01'!BA$2),"")=0,"",IFERROR(INDEX(Consulta!$A:$DP,MATCH('MM01'!$B106,Consulta!$C:$C,0),'MM01'!BA$2),""))</f>
        <v/>
      </c>
      <c r="BB106" s="43" t="str">
        <f t="shared" ref="BB106:BB154" si="87">IFERROR(ROUND(AW106,3)*1000,"")</f>
        <v/>
      </c>
      <c r="BC106" s="43" t="str">
        <f t="shared" ref="BC106:BC154" si="88">IF(BB106="","",AY106)</f>
        <v/>
      </c>
      <c r="BD106" s="43" t="str">
        <f t="shared" ref="BD106:BD154" si="89">IF(BB106="","",IF(BB106&lt;100000,1000,100))</f>
        <v/>
      </c>
      <c r="BE106" s="43" t="str">
        <f t="shared" ref="BE106:BE154" si="90">AO106</f>
        <v>M</v>
      </c>
      <c r="BF106" s="43" t="str">
        <f t="shared" ref="BF106:BF154" si="91">IF(BH106="","",IF(D106&lt;&gt;"KMAT",IF(BH106&lt;100000,1000,100),""))</f>
        <v/>
      </c>
      <c r="BG106" s="43" t="str">
        <f t="shared" ref="BG106:BG154" si="92">IF(BF106="","",IF(D106&lt;&gt;"KMAT","PC",""))</f>
        <v/>
      </c>
      <c r="BH106" s="43" t="str">
        <f t="shared" ref="BH106:BH154" si="93">IF(D106&lt;&gt;"KMAT",E106,"")</f>
        <v/>
      </c>
      <c r="BI106" s="43" t="str">
        <f t="shared" ref="BI106:BI154" si="94">AO106</f>
        <v>M</v>
      </c>
      <c r="BK106" s="45" t="s">
        <v>324</v>
      </c>
      <c r="BL106" s="43" t="str">
        <f>IF(IFERROR(INDEX(Consulta!$A:$DP,MATCH('MM01'!$B106,Consulta!$C:$C,0),'MM01'!BL$2),"")=0,"",IFERROR(INDEX(Consulta!$A:$DP,MATCH('MM01'!$B106,Consulta!$C:$C,0),'MM01'!BL$2),""))</f>
        <v/>
      </c>
      <c r="BM106" s="45"/>
      <c r="BN106" s="46" t="str">
        <f t="shared" ref="BN106:BN154" ca="1" si="95">IF(BM106&lt;&gt;0,TEXT(TODAY(),"DD.MM.AAAA"),"")</f>
        <v/>
      </c>
      <c r="BO106" s="49" t="str">
        <f t="shared" ref="BO106:BO154" si="96">G106</f>
        <v/>
      </c>
      <c r="BP106" s="50">
        <v>1</v>
      </c>
      <c r="BQ106" s="50" t="s">
        <v>194</v>
      </c>
      <c r="BR106" s="79" t="str">
        <f t="shared" si="81"/>
        <v>01</v>
      </c>
      <c r="BS106" s="50" t="s">
        <v>795</v>
      </c>
      <c r="BT106" s="44">
        <v>1</v>
      </c>
      <c r="BU106" s="44" t="s">
        <v>371</v>
      </c>
      <c r="BV106" s="50" t="s">
        <v>197</v>
      </c>
      <c r="BW106" s="50" t="s">
        <v>197</v>
      </c>
      <c r="BX106" s="43" t="str">
        <f>IF(IFERROR(INDEX(Consulta!$A:$DP,MATCH('MM01'!$B106,Consulta!$C:$C,0),'MM01'!BX$2),"")=0,"",IFERROR(INDEX(Consulta!$A:$DP,MATCH('MM01'!$B106,Consulta!$C:$C,0),'MM01'!BX$2),""))</f>
        <v/>
      </c>
      <c r="BY106" s="44" t="s">
        <v>391</v>
      </c>
      <c r="BZ106" s="50">
        <v>0</v>
      </c>
      <c r="CA106" s="45" t="s">
        <v>402</v>
      </c>
      <c r="CB106" s="45" t="s">
        <v>84</v>
      </c>
      <c r="CC106" s="43" t="str">
        <f t="shared" ref="CC106:CC154" si="97">RIGHT(G106,3)</f>
        <v/>
      </c>
      <c r="CD106" s="45" t="s">
        <v>38</v>
      </c>
      <c r="CE106" s="45">
        <v>1</v>
      </c>
      <c r="CF106" s="45" t="s">
        <v>495</v>
      </c>
      <c r="CG106" s="45"/>
      <c r="CH106" s="44">
        <v>2</v>
      </c>
      <c r="CI106" s="49" t="str">
        <f t="shared" ref="CI106:CI154" si="98">H106</f>
        <v/>
      </c>
      <c r="CJ106" s="49" t="str">
        <f t="shared" ref="CJ106:CJ154" si="99">H106</f>
        <v/>
      </c>
      <c r="CK106" s="45"/>
      <c r="CL106" s="44">
        <v>1</v>
      </c>
      <c r="CM106" s="50" t="s">
        <v>514</v>
      </c>
      <c r="CN106" s="44" t="s">
        <v>371</v>
      </c>
      <c r="CO106" s="44">
        <v>2</v>
      </c>
      <c r="CP106" s="44">
        <v>42</v>
      </c>
      <c r="CQ106" s="44">
        <v>10</v>
      </c>
      <c r="CR106" s="43" t="str">
        <f t="shared" ref="CR106:CR154" si="100">"K00_P_"&amp;G106</f>
        <v>K00_P_</v>
      </c>
      <c r="CS106" s="45">
        <v>5000</v>
      </c>
      <c r="CT106" s="43" t="str">
        <f>IF(IFERROR(INDEX(Consulta!$A:$DP,MATCH('MM01'!$B106,Consulta!$C:$C,0),'MM01'!CT$2),"")=0,"",IFERROR(INDEX(Consulta!$A:$DP,MATCH('MM01'!$B106,Consulta!$C:$C,0),'MM01'!CT$2),""))</f>
        <v/>
      </c>
      <c r="CU106" s="43" t="str">
        <f>IF(IFERROR(INDEX(Consulta!$A:$DP,MATCH('MM01'!$B106,Consulta!$C:$C,0),'MM01'!CU$2),"")=0,"",IFERROR(INDEX(Consulta!$A:$DP,MATCH('MM01'!$B106,Consulta!$C:$C,0),'MM01'!CU$2),""))</f>
        <v/>
      </c>
      <c r="CV106" s="43" t="str">
        <f>IF(IFERROR(INDEX(Consulta!$A:$DP,MATCH('MM01'!$B106,Consulta!$C:$C,0),'MM01'!CV$2),"")=0,"",IFERROR(INDEX(Consulta!$A:$DP,MATCH('MM01'!$B106,Consulta!$C:$C,0),'MM01'!CV$2),""))</f>
        <v/>
      </c>
      <c r="CW106" s="43" t="str">
        <f>IF(IFERROR(INDEX(Consulta!$A:$DP,MATCH('MM01'!$B106,Consulta!$C:$C,0),'MM01'!CW$2),"")=0,"",IFERROR(INDEX(Consulta!$A:$DP,MATCH('MM01'!$B106,Consulta!$C:$C,0),'MM01'!CW$2),""))</f>
        <v/>
      </c>
      <c r="CX106" s="43" t="str">
        <f t="shared" ref="CX106:CX154" si="101">IF(OR(CT106="",CU106="",CV106="",CW106=""),"",CT106&amp;" / "&amp;CU106&amp;" / "&amp;CV106&amp;" / "&amp;CW106)</f>
        <v/>
      </c>
      <c r="CY106" s="43" t="str">
        <f t="shared" ref="CY106:CY154" si="102">IF(OR(D106="MFER",D106="KMAT"),"INITIAL",IF(OR(D106="FERT",D106="HAWZ"),"0000999999",""))</f>
        <v/>
      </c>
      <c r="CZ106" s="43" t="str">
        <f t="shared" ref="CZ106:CZ154" si="103">IF(OR(D106="MFER",D106="KMAT"),"INIT",IF(OR(D106="FERT",D106="HAWZ"),"999999",""))</f>
        <v/>
      </c>
      <c r="DA106" s="43" t="str">
        <f>IF(IFERROR(INDEX(Consulta!$A:$DP,MATCH('MM01'!$B106,Consulta!$C:$C,0),'MM01'!DA$2),"")=0,"",IFERROR(INDEX(Consulta!$A:$DP,MATCH('MM01'!$B106,Consulta!$C:$C,0),'MM01'!DA$2),""))</f>
        <v/>
      </c>
      <c r="DB106" s="43" t="str">
        <f t="shared" ref="DB106:DB154" si="104">IF(E106=0,"",E106)</f>
        <v/>
      </c>
      <c r="DC106" s="43" t="str">
        <f>IF(IFERROR(INDEX(Consulta!$A:$DP,MATCH('MM01'!$B106,Consulta!$C:$C,0),'MM01'!DC$2),"")=0,"",IFERROR(INDEX(Consulta!$A:$DP,MATCH('MM01'!$B106,Consulta!$C:$C,0),'MM01'!DC$2),""))</f>
        <v/>
      </c>
      <c r="DD106" s="45">
        <v>0</v>
      </c>
      <c r="DE106" s="45">
        <v>0</v>
      </c>
      <c r="DF106" s="43" t="str">
        <f t="shared" ref="DF106:DF154" si="105">IFERROR(ROUND(AW106,2),"")</f>
        <v/>
      </c>
      <c r="DG106" s="43">
        <f t="shared" ref="DG106:DG154" si="106">IF(DH106&lt;&gt;0,1,"")</f>
        <v>1</v>
      </c>
      <c r="DH106" s="57" t="s">
        <v>746</v>
      </c>
      <c r="DI106" s="43" t="str">
        <f t="shared" ref="DI106:DI154" ca="1" si="107">IF(DH106&lt;&gt;0,TEXT(TODAY(),"dd.mm.aaaa"),"")</f>
        <v>27.04.2022</v>
      </c>
      <c r="DJ106" s="43" t="str">
        <f t="shared" ref="DJ106:DJ154" si="108">IF(DH106&lt;&gt;0,"31.12.9999","")</f>
        <v>31.12.9999</v>
      </c>
      <c r="DK106" s="43" t="str">
        <f t="shared" ref="DK106:DK154" si="109">IF(DL106&lt;&gt;0,2,"")</f>
        <v/>
      </c>
      <c r="DL106" s="57"/>
      <c r="DM106" s="43" t="str">
        <f t="shared" ref="DM106:DM154" ca="1" si="110">IF(DL106&lt;&gt;0,TEXT(TODAY(),"dd.mm.aaaa"),"")</f>
        <v/>
      </c>
      <c r="DN106" s="43" t="str">
        <f t="shared" ref="DN106:DN154" si="111">IF(DL106&lt;&gt;0,"31.12.9999","")</f>
        <v/>
      </c>
      <c r="DO106" s="43" t="str">
        <f t="shared" ref="DO106:DO154" si="112">IF(DP106&lt;&gt;0,3,"")</f>
        <v/>
      </c>
      <c r="DP106" s="57"/>
      <c r="DQ106" s="43" t="str">
        <f t="shared" ref="DQ106:DQ154" ca="1" si="113">IF(DP106&lt;&gt;0,TEXT(TODAY(),"dd.mm.aaaa"),"")</f>
        <v/>
      </c>
      <c r="DR106" s="43" t="str">
        <f t="shared" ref="DR106:DR154" si="114">IF(DP106&lt;&gt;0,"31.12.9999","")</f>
        <v/>
      </c>
      <c r="DS106" s="43" t="str">
        <f t="shared" ref="DS106:DS154" si="115">IF(DT106&lt;&gt;0,4,"")</f>
        <v/>
      </c>
      <c r="DT106" s="57"/>
      <c r="DU106" s="43" t="str">
        <f t="shared" ref="DU106:DU154" ca="1" si="116">IF(DT106&lt;&gt;0,TEXT(TODAY(),"dd.mm.aaaa"),"")</f>
        <v/>
      </c>
      <c r="DV106" s="43" t="str">
        <f t="shared" ref="DV106:DV154" si="117">IF(DT106&lt;&gt;0,"31.12.9999","")</f>
        <v/>
      </c>
      <c r="DX106" s="44">
        <v>1</v>
      </c>
      <c r="DY106" s="44" t="s">
        <v>773</v>
      </c>
      <c r="DZ106" s="43">
        <f t="shared" ref="DZ106:DZ154" si="118">IF(OR(AO106="M",AO106="KG"),0.01,1)</f>
        <v>0.01</v>
      </c>
      <c r="EA106" s="43" t="str">
        <f t="shared" ref="EA106:EA154" si="119">AO106</f>
        <v>M</v>
      </c>
      <c r="EB106" s="43" t="str">
        <f>IF(IFERROR(INDEX(Consulta!$A:$DP,MATCH('MM01'!$B106,Consulta!$C:$C,0),'MM01'!EB$2),"")=0,"7925",IF(IFERROR(INDEX(Consulta!$A:$DP,MATCH('MM01'!$B106,Consulta!$C:$C,0),'MM01'!EB$2),"")="68","7910","7925"))</f>
        <v>7925</v>
      </c>
      <c r="EC106" s="44">
        <v>100</v>
      </c>
      <c r="ED106" s="62">
        <v>1</v>
      </c>
      <c r="EE106" s="43">
        <f t="shared" ref="EE106:EE154" si="120">EC106</f>
        <v>100</v>
      </c>
      <c r="EF106" s="44">
        <v>1</v>
      </c>
      <c r="EG106" s="44">
        <v>0</v>
      </c>
      <c r="EH106" s="44" t="s">
        <v>875</v>
      </c>
      <c r="EI106" s="45">
        <v>0</v>
      </c>
      <c r="EJ106" s="43">
        <f t="shared" ref="EJ106:EJ154" si="121">CS106</f>
        <v>5000</v>
      </c>
      <c r="EK106" s="69"/>
    </row>
    <row r="107" spans="1:141" x14ac:dyDescent="0.2">
      <c r="A107" s="7" t="str">
        <f t="shared" si="82"/>
        <v>Execução 103</v>
      </c>
      <c r="B107" s="42"/>
      <c r="C107" s="43" t="str">
        <f>IF(IFERROR(INDEX(Consulta!$A:$DP,MATCH('MM01'!$B107,Consulta!$C:$C,0),'MM01'!C$2),"")=0,"",IFERROR(INDEX(Consulta!$A:$DP,MATCH('MM01'!$B107,Consulta!$C:$C,0),'MM01'!C$2),""))</f>
        <v/>
      </c>
      <c r="D107" s="43" t="str">
        <f>IF(IFERROR(INDEX(Consulta!$A:$DP,MATCH('MM01'!$B107,Consulta!$C:$C,0),'MM01'!D$2),"")=0,"",IFERROR(INDEX(Consulta!$A:$DP,MATCH('MM01'!$B107,Consulta!$C:$C,0),'MM01'!D$2),""))</f>
        <v/>
      </c>
      <c r="E107" s="43" t="str">
        <f>IF(IFERROR(INDEX(Consulta!$A:$DP,MATCH('MM01'!$B107,Consulta!$C:$C,0),'MM01'!E$2),"")=0,"",IFERROR(INDEX(Consulta!$A:$DP,MATCH('MM01'!$B107,Consulta!$C:$C,0),'MM01'!E$2),""))</f>
        <v/>
      </c>
      <c r="F107" s="44" t="s">
        <v>100</v>
      </c>
      <c r="G107" s="49" t="str">
        <f>IF(IFERROR(INDEX(Consulta!$A:$DP,MATCH('MM01'!$B107,Consulta!$C:$C,0),'MM01'!G$2),"")=0,"",IFERROR(INDEX(Consulta!$A:$DP,MATCH('MM01'!$B107,Consulta!$C:$C,0),'MM01'!G$2),""))</f>
        <v/>
      </c>
      <c r="H107" s="49" t="str">
        <f>IF(IFERROR(INDEX(Consulta!$A:$DP,MATCH('MM01'!$B107,Consulta!$C:$C,0),'MM01'!H$2),"")=0,"",IFERROR(INDEX(Consulta!$A:$DP,MATCH('MM01'!$B107,Consulta!$C:$C,0),'MM01'!H$2),""))</f>
        <v/>
      </c>
      <c r="I107" s="49" t="str">
        <f t="shared" si="83"/>
        <v/>
      </c>
      <c r="J107" s="49" t="str">
        <f>IF(IFERROR(INDEX(Consulta!$A:$DP,MATCH('MM01'!$B107,Consulta!$C:$C,0),'MM01'!J$2),"")=0,"",IFERROR(INDEX(Consulta!$A:$DP,MATCH('MM01'!$B107,Consulta!$C:$C,0),'MM01'!J$2),""))</f>
        <v/>
      </c>
      <c r="K107" s="49" t="str">
        <f t="shared" si="84"/>
        <v/>
      </c>
      <c r="M107" s="45" t="s">
        <v>101</v>
      </c>
      <c r="N107" s="45" t="s">
        <v>102</v>
      </c>
      <c r="O107" s="45" t="s">
        <v>103</v>
      </c>
      <c r="P107" s="45" t="s">
        <v>104</v>
      </c>
      <c r="Q107" s="45" t="s">
        <v>105</v>
      </c>
      <c r="R107" s="45" t="s">
        <v>106</v>
      </c>
      <c r="S107" s="45" t="s">
        <v>107</v>
      </c>
      <c r="T107" s="45"/>
      <c r="U107" s="45"/>
      <c r="V107" s="45"/>
      <c r="W107" s="45"/>
      <c r="X107" s="45" t="s">
        <v>112</v>
      </c>
      <c r="Y107" s="45" t="s">
        <v>113</v>
      </c>
      <c r="Z107" s="45" t="s">
        <v>114</v>
      </c>
      <c r="AA107" s="45" t="s">
        <v>115</v>
      </c>
      <c r="AB107" s="45" t="s">
        <v>117</v>
      </c>
      <c r="AC107" s="45" t="s">
        <v>118</v>
      </c>
      <c r="AD107" s="45" t="s">
        <v>119</v>
      </c>
      <c r="AE107" s="45" t="s">
        <v>120</v>
      </c>
      <c r="AF107" s="45" t="s">
        <v>121</v>
      </c>
      <c r="AG107" s="45" t="s">
        <v>122</v>
      </c>
      <c r="AH107" s="45" t="s">
        <v>123</v>
      </c>
      <c r="AI107" s="45" t="s">
        <v>124</v>
      </c>
      <c r="AJ107" s="45" t="s">
        <v>125</v>
      </c>
      <c r="AK107" s="45" t="s">
        <v>126</v>
      </c>
      <c r="AL107" s="45"/>
      <c r="AM107" s="45"/>
      <c r="AO107" s="44" t="s">
        <v>100</v>
      </c>
      <c r="AP107" s="43" t="str">
        <f>IF(IFERROR(INDEX(Consulta!$A:$DP,MATCH('MM01'!$B107,Consulta!$C:$C,0),'MM01'!AP$2),"")=0,"",IFERROR(INDEX(Consulta!$A:$DP,MATCH('MM01'!$B107,Consulta!$C:$C,0),'MM01'!AP$2),""))</f>
        <v/>
      </c>
      <c r="AQ107" s="45"/>
      <c r="AR107" s="43" t="str">
        <f>IF(IFERROR(INDEX(Consulta!$A:$DP,MATCH('MM01'!$B107,Consulta!$C:$C,0),'MM01'!AR$2),"")=0,"",IFERROR(INDEX(Consulta!$A:$DP,MATCH('MM01'!$B107,Consulta!$C:$C,0),'MM01'!AR$2),""))</f>
        <v/>
      </c>
      <c r="AS107" s="43" t="str">
        <f>IF(IFERROR(INDEX(Consulta!$A:$DP,MATCH('MM01'!$B107,Consulta!$C:$C,0),'MM01'!AS$2),"")=0,"",IF(AR107="68",5102,IFERROR(INDEX(Consulta!$A:$DP,MATCH('MM01'!$B107,Consulta!$C:$C,0),'MM01'!AS$2),"")))</f>
        <v/>
      </c>
      <c r="AT107" s="45"/>
      <c r="AU107" s="46" t="str">
        <f t="shared" ca="1" si="85"/>
        <v/>
      </c>
      <c r="AV107" s="47" t="s">
        <v>795</v>
      </c>
      <c r="AW107" s="43" t="str">
        <f>IF(IFERROR(INDEX(Consulta!$A:$DP,MATCH('MM01'!$B107,Consulta!$C:$C,0),'MM01'!AW$2),"")=0,"",IFERROR(ROUND(INDEX(Consulta!$A:$DP,MATCH('MM01'!$B107,Consulta!$C:$C,0),'MM01'!AW$2),3),""))</f>
        <v/>
      </c>
      <c r="AX107" s="43" t="str">
        <f t="shared" si="86"/>
        <v/>
      </c>
      <c r="AY107" s="48" t="s">
        <v>299</v>
      </c>
      <c r="AZ107" s="48"/>
      <c r="BA107" s="43" t="str">
        <f>IF(IFERROR(INDEX(Consulta!$A:$DP,MATCH('MM01'!$B107,Consulta!$C:$C,0),'MM01'!BA$2),"")=0,"",IFERROR(INDEX(Consulta!$A:$DP,MATCH('MM01'!$B107,Consulta!$C:$C,0),'MM01'!BA$2),""))</f>
        <v/>
      </c>
      <c r="BB107" s="43" t="str">
        <f t="shared" si="87"/>
        <v/>
      </c>
      <c r="BC107" s="43" t="str">
        <f t="shared" si="88"/>
        <v/>
      </c>
      <c r="BD107" s="43" t="str">
        <f t="shared" si="89"/>
        <v/>
      </c>
      <c r="BE107" s="43" t="str">
        <f t="shared" si="90"/>
        <v>M</v>
      </c>
      <c r="BF107" s="43" t="str">
        <f t="shared" si="91"/>
        <v/>
      </c>
      <c r="BG107" s="43" t="str">
        <f t="shared" si="92"/>
        <v/>
      </c>
      <c r="BH107" s="43" t="str">
        <f t="shared" si="93"/>
        <v/>
      </c>
      <c r="BI107" s="43" t="str">
        <f t="shared" si="94"/>
        <v>M</v>
      </c>
      <c r="BK107" s="45" t="s">
        <v>324</v>
      </c>
      <c r="BL107" s="43" t="str">
        <f>IF(IFERROR(INDEX(Consulta!$A:$DP,MATCH('MM01'!$B107,Consulta!$C:$C,0),'MM01'!BL$2),"")=0,"",IFERROR(INDEX(Consulta!$A:$DP,MATCH('MM01'!$B107,Consulta!$C:$C,0),'MM01'!BL$2),""))</f>
        <v/>
      </c>
      <c r="BM107" s="45"/>
      <c r="BN107" s="46" t="str">
        <f t="shared" ca="1" si="95"/>
        <v/>
      </c>
      <c r="BO107" s="49" t="str">
        <f t="shared" si="96"/>
        <v/>
      </c>
      <c r="BP107" s="50">
        <v>1</v>
      </c>
      <c r="BQ107" s="50" t="s">
        <v>194</v>
      </c>
      <c r="BR107" s="79" t="str">
        <f t="shared" si="81"/>
        <v>01</v>
      </c>
      <c r="BS107" s="50" t="s">
        <v>795</v>
      </c>
      <c r="BT107" s="44">
        <v>1</v>
      </c>
      <c r="BU107" s="44" t="s">
        <v>371</v>
      </c>
      <c r="BV107" s="50" t="s">
        <v>197</v>
      </c>
      <c r="BW107" s="50" t="s">
        <v>197</v>
      </c>
      <c r="BX107" s="43" t="str">
        <f>IF(IFERROR(INDEX(Consulta!$A:$DP,MATCH('MM01'!$B107,Consulta!$C:$C,0),'MM01'!BX$2),"")=0,"",IFERROR(INDEX(Consulta!$A:$DP,MATCH('MM01'!$B107,Consulta!$C:$C,0),'MM01'!BX$2),""))</f>
        <v/>
      </c>
      <c r="BY107" s="44" t="s">
        <v>391</v>
      </c>
      <c r="BZ107" s="50">
        <v>0</v>
      </c>
      <c r="CA107" s="45" t="s">
        <v>402</v>
      </c>
      <c r="CB107" s="45" t="s">
        <v>84</v>
      </c>
      <c r="CC107" s="43" t="str">
        <f t="shared" si="97"/>
        <v/>
      </c>
      <c r="CD107" s="45" t="s">
        <v>38</v>
      </c>
      <c r="CE107" s="45">
        <v>1</v>
      </c>
      <c r="CF107" s="45" t="s">
        <v>495</v>
      </c>
      <c r="CG107" s="45"/>
      <c r="CH107" s="44">
        <v>2</v>
      </c>
      <c r="CI107" s="49" t="str">
        <f t="shared" si="98"/>
        <v/>
      </c>
      <c r="CJ107" s="49" t="str">
        <f t="shared" si="99"/>
        <v/>
      </c>
      <c r="CK107" s="45"/>
      <c r="CL107" s="44">
        <v>1</v>
      </c>
      <c r="CM107" s="50" t="s">
        <v>514</v>
      </c>
      <c r="CN107" s="44" t="s">
        <v>371</v>
      </c>
      <c r="CO107" s="44">
        <v>2</v>
      </c>
      <c r="CP107" s="44">
        <v>42</v>
      </c>
      <c r="CQ107" s="44">
        <v>10</v>
      </c>
      <c r="CR107" s="43" t="str">
        <f t="shared" si="100"/>
        <v>K00_P_</v>
      </c>
      <c r="CS107" s="45">
        <v>5000</v>
      </c>
      <c r="CT107" s="43" t="str">
        <f>IF(IFERROR(INDEX(Consulta!$A:$DP,MATCH('MM01'!$B107,Consulta!$C:$C,0),'MM01'!CT$2),"")=0,"",IFERROR(INDEX(Consulta!$A:$DP,MATCH('MM01'!$B107,Consulta!$C:$C,0),'MM01'!CT$2),""))</f>
        <v/>
      </c>
      <c r="CU107" s="43" t="str">
        <f>IF(IFERROR(INDEX(Consulta!$A:$DP,MATCH('MM01'!$B107,Consulta!$C:$C,0),'MM01'!CU$2),"")=0,"",IFERROR(INDEX(Consulta!$A:$DP,MATCH('MM01'!$B107,Consulta!$C:$C,0),'MM01'!CU$2),""))</f>
        <v/>
      </c>
      <c r="CV107" s="43" t="str">
        <f>IF(IFERROR(INDEX(Consulta!$A:$DP,MATCH('MM01'!$B107,Consulta!$C:$C,0),'MM01'!CV$2),"")=0,"",IFERROR(INDEX(Consulta!$A:$DP,MATCH('MM01'!$B107,Consulta!$C:$C,0),'MM01'!CV$2),""))</f>
        <v/>
      </c>
      <c r="CW107" s="43" t="str">
        <f>IF(IFERROR(INDEX(Consulta!$A:$DP,MATCH('MM01'!$B107,Consulta!$C:$C,0),'MM01'!CW$2),"")=0,"",IFERROR(INDEX(Consulta!$A:$DP,MATCH('MM01'!$B107,Consulta!$C:$C,0),'MM01'!CW$2),""))</f>
        <v/>
      </c>
      <c r="CX107" s="43" t="str">
        <f t="shared" si="101"/>
        <v/>
      </c>
      <c r="CY107" s="43" t="str">
        <f t="shared" si="102"/>
        <v/>
      </c>
      <c r="CZ107" s="43" t="str">
        <f t="shared" si="103"/>
        <v/>
      </c>
      <c r="DA107" s="43" t="str">
        <f>IF(IFERROR(INDEX(Consulta!$A:$DP,MATCH('MM01'!$B107,Consulta!$C:$C,0),'MM01'!DA$2),"")=0,"",IFERROR(INDEX(Consulta!$A:$DP,MATCH('MM01'!$B107,Consulta!$C:$C,0),'MM01'!DA$2),""))</f>
        <v/>
      </c>
      <c r="DB107" s="43" t="str">
        <f t="shared" si="104"/>
        <v/>
      </c>
      <c r="DC107" s="43" t="str">
        <f>IF(IFERROR(INDEX(Consulta!$A:$DP,MATCH('MM01'!$B107,Consulta!$C:$C,0),'MM01'!DC$2),"")=0,"",IFERROR(INDEX(Consulta!$A:$DP,MATCH('MM01'!$B107,Consulta!$C:$C,0),'MM01'!DC$2),""))</f>
        <v/>
      </c>
      <c r="DD107" s="45">
        <v>0</v>
      </c>
      <c r="DE107" s="45">
        <v>0</v>
      </c>
      <c r="DF107" s="43" t="str">
        <f t="shared" si="105"/>
        <v/>
      </c>
      <c r="DG107" s="43" t="str">
        <f t="shared" si="106"/>
        <v/>
      </c>
      <c r="DH107" s="57"/>
      <c r="DI107" s="43" t="str">
        <f t="shared" ca="1" si="107"/>
        <v/>
      </c>
      <c r="DJ107" s="43" t="str">
        <f t="shared" si="108"/>
        <v/>
      </c>
      <c r="DK107" s="43" t="str">
        <f t="shared" si="109"/>
        <v/>
      </c>
      <c r="DL107" s="57"/>
      <c r="DM107" s="43" t="str">
        <f t="shared" ca="1" si="110"/>
        <v/>
      </c>
      <c r="DN107" s="43" t="str">
        <f t="shared" si="111"/>
        <v/>
      </c>
      <c r="DO107" s="43" t="str">
        <f t="shared" si="112"/>
        <v/>
      </c>
      <c r="DP107" s="57"/>
      <c r="DQ107" s="43" t="str">
        <f t="shared" ca="1" si="113"/>
        <v/>
      </c>
      <c r="DR107" s="43" t="str">
        <f t="shared" si="114"/>
        <v/>
      </c>
      <c r="DS107" s="43" t="str">
        <f t="shared" si="115"/>
        <v/>
      </c>
      <c r="DT107" s="57"/>
      <c r="DU107" s="43" t="str">
        <f t="shared" ca="1" si="116"/>
        <v/>
      </c>
      <c r="DV107" s="43" t="str">
        <f t="shared" si="117"/>
        <v/>
      </c>
      <c r="DX107" s="44">
        <v>1</v>
      </c>
      <c r="DY107" s="44" t="s">
        <v>773</v>
      </c>
      <c r="DZ107" s="43">
        <f t="shared" si="118"/>
        <v>0.01</v>
      </c>
      <c r="EA107" s="43" t="str">
        <f t="shared" si="119"/>
        <v>M</v>
      </c>
      <c r="EB107" s="43" t="str">
        <f>IF(IFERROR(INDEX(Consulta!$A:$DP,MATCH('MM01'!$B107,Consulta!$C:$C,0),'MM01'!EB$2),"")=0,"7925",IF(IFERROR(INDEX(Consulta!$A:$DP,MATCH('MM01'!$B107,Consulta!$C:$C,0),'MM01'!EB$2),"")="68","7910","7925"))</f>
        <v>7925</v>
      </c>
      <c r="EC107" s="44">
        <v>100</v>
      </c>
      <c r="ED107" s="62">
        <v>1</v>
      </c>
      <c r="EE107" s="43">
        <f t="shared" si="120"/>
        <v>100</v>
      </c>
      <c r="EF107" s="44">
        <v>1</v>
      </c>
      <c r="EG107" s="44">
        <v>0</v>
      </c>
      <c r="EH107" s="44" t="s">
        <v>875</v>
      </c>
      <c r="EI107" s="45">
        <v>0</v>
      </c>
      <c r="EJ107" s="43">
        <f t="shared" si="121"/>
        <v>5000</v>
      </c>
      <c r="EK107" s="69"/>
    </row>
    <row r="108" spans="1:141" x14ac:dyDescent="0.2">
      <c r="A108" s="7" t="str">
        <f t="shared" si="82"/>
        <v>Execução 104</v>
      </c>
      <c r="B108" s="42"/>
      <c r="C108" s="43" t="str">
        <f>IF(IFERROR(INDEX(Consulta!$A:$DP,MATCH('MM01'!$B108,Consulta!$C:$C,0),'MM01'!C$2),"")=0,"",IFERROR(INDEX(Consulta!$A:$DP,MATCH('MM01'!$B108,Consulta!$C:$C,0),'MM01'!C$2),""))</f>
        <v/>
      </c>
      <c r="D108" s="43" t="str">
        <f>IF(IFERROR(INDEX(Consulta!$A:$DP,MATCH('MM01'!$B108,Consulta!$C:$C,0),'MM01'!D$2),"")=0,"",IFERROR(INDEX(Consulta!$A:$DP,MATCH('MM01'!$B108,Consulta!$C:$C,0),'MM01'!D$2),""))</f>
        <v/>
      </c>
      <c r="E108" s="43" t="str">
        <f>IF(IFERROR(INDEX(Consulta!$A:$DP,MATCH('MM01'!$B108,Consulta!$C:$C,0),'MM01'!E$2),"")=0,"",IFERROR(INDEX(Consulta!$A:$DP,MATCH('MM01'!$B108,Consulta!$C:$C,0),'MM01'!E$2),""))</f>
        <v/>
      </c>
      <c r="F108" s="44" t="s">
        <v>100</v>
      </c>
      <c r="G108" s="49" t="str">
        <f>IF(IFERROR(INDEX(Consulta!$A:$DP,MATCH('MM01'!$B108,Consulta!$C:$C,0),'MM01'!G$2),"")=0,"",IFERROR(INDEX(Consulta!$A:$DP,MATCH('MM01'!$B108,Consulta!$C:$C,0),'MM01'!G$2),""))</f>
        <v/>
      </c>
      <c r="H108" s="49" t="str">
        <f>IF(IFERROR(INDEX(Consulta!$A:$DP,MATCH('MM01'!$B108,Consulta!$C:$C,0),'MM01'!H$2),"")=0,"",IFERROR(INDEX(Consulta!$A:$DP,MATCH('MM01'!$B108,Consulta!$C:$C,0),'MM01'!H$2),""))</f>
        <v/>
      </c>
      <c r="I108" s="49" t="str">
        <f t="shared" si="83"/>
        <v/>
      </c>
      <c r="J108" s="49" t="str">
        <f>IF(IFERROR(INDEX(Consulta!$A:$DP,MATCH('MM01'!$B108,Consulta!$C:$C,0),'MM01'!J$2),"")=0,"",IFERROR(INDEX(Consulta!$A:$DP,MATCH('MM01'!$B108,Consulta!$C:$C,0),'MM01'!J$2),""))</f>
        <v/>
      </c>
      <c r="K108" s="49" t="str">
        <f t="shared" si="84"/>
        <v/>
      </c>
      <c r="M108" s="45" t="s">
        <v>101</v>
      </c>
      <c r="N108" s="45" t="s">
        <v>102</v>
      </c>
      <c r="O108" s="45" t="s">
        <v>103</v>
      </c>
      <c r="P108" s="45" t="s">
        <v>104</v>
      </c>
      <c r="Q108" s="45" t="s">
        <v>105</v>
      </c>
      <c r="R108" s="45" t="s">
        <v>106</v>
      </c>
      <c r="S108" s="45" t="s">
        <v>107</v>
      </c>
      <c r="T108" s="45"/>
      <c r="U108" s="45"/>
      <c r="V108" s="45"/>
      <c r="W108" s="45"/>
      <c r="X108" s="45" t="s">
        <v>112</v>
      </c>
      <c r="Y108" s="45" t="s">
        <v>113</v>
      </c>
      <c r="Z108" s="45" t="s">
        <v>114</v>
      </c>
      <c r="AA108" s="45" t="s">
        <v>115</v>
      </c>
      <c r="AB108" s="45" t="s">
        <v>117</v>
      </c>
      <c r="AC108" s="45" t="s">
        <v>118</v>
      </c>
      <c r="AD108" s="45" t="s">
        <v>119</v>
      </c>
      <c r="AE108" s="45" t="s">
        <v>120</v>
      </c>
      <c r="AF108" s="45" t="s">
        <v>121</v>
      </c>
      <c r="AG108" s="45" t="s">
        <v>122</v>
      </c>
      <c r="AH108" s="45" t="s">
        <v>123</v>
      </c>
      <c r="AI108" s="45" t="s">
        <v>124</v>
      </c>
      <c r="AJ108" s="45" t="s">
        <v>125</v>
      </c>
      <c r="AK108" s="45" t="s">
        <v>126</v>
      </c>
      <c r="AL108" s="45"/>
      <c r="AM108" s="45"/>
      <c r="AO108" s="44" t="s">
        <v>100</v>
      </c>
      <c r="AP108" s="43" t="str">
        <f>IF(IFERROR(INDEX(Consulta!$A:$DP,MATCH('MM01'!$B108,Consulta!$C:$C,0),'MM01'!AP$2),"")=0,"",IFERROR(INDEX(Consulta!$A:$DP,MATCH('MM01'!$B108,Consulta!$C:$C,0),'MM01'!AP$2),""))</f>
        <v/>
      </c>
      <c r="AQ108" s="45"/>
      <c r="AR108" s="43" t="str">
        <f>IF(IFERROR(INDEX(Consulta!$A:$DP,MATCH('MM01'!$B108,Consulta!$C:$C,0),'MM01'!AR$2),"")=0,"",IFERROR(INDEX(Consulta!$A:$DP,MATCH('MM01'!$B108,Consulta!$C:$C,0),'MM01'!AR$2),""))</f>
        <v/>
      </c>
      <c r="AS108" s="43" t="str">
        <f>IF(IFERROR(INDEX(Consulta!$A:$DP,MATCH('MM01'!$B108,Consulta!$C:$C,0),'MM01'!AS$2),"")=0,"",IF(AR108="68",5102,IFERROR(INDEX(Consulta!$A:$DP,MATCH('MM01'!$B108,Consulta!$C:$C,0),'MM01'!AS$2),"")))</f>
        <v/>
      </c>
      <c r="AT108" s="45"/>
      <c r="AU108" s="46" t="str">
        <f t="shared" ca="1" si="85"/>
        <v/>
      </c>
      <c r="AV108" s="47" t="s">
        <v>795</v>
      </c>
      <c r="AW108" s="43" t="str">
        <f>IF(IFERROR(INDEX(Consulta!$A:$DP,MATCH('MM01'!$B108,Consulta!$C:$C,0),'MM01'!AW$2),"")=0,"",IFERROR(ROUND(INDEX(Consulta!$A:$DP,MATCH('MM01'!$B108,Consulta!$C:$C,0),'MM01'!AW$2),3),""))</f>
        <v/>
      </c>
      <c r="AX108" s="43" t="str">
        <f t="shared" si="86"/>
        <v/>
      </c>
      <c r="AY108" s="48" t="s">
        <v>299</v>
      </c>
      <c r="AZ108" s="48"/>
      <c r="BA108" s="43" t="str">
        <f>IF(IFERROR(INDEX(Consulta!$A:$DP,MATCH('MM01'!$B108,Consulta!$C:$C,0),'MM01'!BA$2),"")=0,"",IFERROR(INDEX(Consulta!$A:$DP,MATCH('MM01'!$B108,Consulta!$C:$C,0),'MM01'!BA$2),""))</f>
        <v/>
      </c>
      <c r="BB108" s="43" t="str">
        <f t="shared" si="87"/>
        <v/>
      </c>
      <c r="BC108" s="43" t="str">
        <f t="shared" si="88"/>
        <v/>
      </c>
      <c r="BD108" s="43" t="str">
        <f t="shared" si="89"/>
        <v/>
      </c>
      <c r="BE108" s="43" t="str">
        <f t="shared" si="90"/>
        <v>M</v>
      </c>
      <c r="BF108" s="43" t="str">
        <f t="shared" si="91"/>
        <v/>
      </c>
      <c r="BG108" s="43" t="str">
        <f t="shared" si="92"/>
        <v/>
      </c>
      <c r="BH108" s="43" t="str">
        <f t="shared" si="93"/>
        <v/>
      </c>
      <c r="BI108" s="43" t="str">
        <f t="shared" si="94"/>
        <v>M</v>
      </c>
      <c r="BK108" s="45" t="s">
        <v>324</v>
      </c>
      <c r="BL108" s="43" t="str">
        <f>IF(IFERROR(INDEX(Consulta!$A:$DP,MATCH('MM01'!$B108,Consulta!$C:$C,0),'MM01'!BL$2),"")=0,"",IFERROR(INDEX(Consulta!$A:$DP,MATCH('MM01'!$B108,Consulta!$C:$C,0),'MM01'!BL$2),""))</f>
        <v/>
      </c>
      <c r="BM108" s="45"/>
      <c r="BN108" s="46" t="str">
        <f t="shared" ca="1" si="95"/>
        <v/>
      </c>
      <c r="BO108" s="49" t="str">
        <f t="shared" si="96"/>
        <v/>
      </c>
      <c r="BP108" s="50">
        <v>1</v>
      </c>
      <c r="BQ108" s="50" t="s">
        <v>194</v>
      </c>
      <c r="BR108" s="79" t="str">
        <f t="shared" si="81"/>
        <v>01</v>
      </c>
      <c r="BS108" s="50" t="s">
        <v>795</v>
      </c>
      <c r="BT108" s="44">
        <v>1</v>
      </c>
      <c r="BU108" s="44" t="s">
        <v>371</v>
      </c>
      <c r="BV108" s="50" t="s">
        <v>197</v>
      </c>
      <c r="BW108" s="50" t="s">
        <v>197</v>
      </c>
      <c r="BX108" s="43" t="str">
        <f>IF(IFERROR(INDEX(Consulta!$A:$DP,MATCH('MM01'!$B108,Consulta!$C:$C,0),'MM01'!BX$2),"")=0,"",IFERROR(INDEX(Consulta!$A:$DP,MATCH('MM01'!$B108,Consulta!$C:$C,0),'MM01'!BX$2),""))</f>
        <v/>
      </c>
      <c r="BY108" s="44" t="s">
        <v>391</v>
      </c>
      <c r="BZ108" s="50">
        <v>0</v>
      </c>
      <c r="CA108" s="45" t="s">
        <v>402</v>
      </c>
      <c r="CB108" s="45" t="s">
        <v>84</v>
      </c>
      <c r="CC108" s="43" t="str">
        <f t="shared" si="97"/>
        <v/>
      </c>
      <c r="CD108" s="45" t="s">
        <v>38</v>
      </c>
      <c r="CE108" s="45">
        <v>1</v>
      </c>
      <c r="CF108" s="45" t="s">
        <v>495</v>
      </c>
      <c r="CG108" s="45"/>
      <c r="CH108" s="44">
        <v>2</v>
      </c>
      <c r="CI108" s="49" t="str">
        <f t="shared" si="98"/>
        <v/>
      </c>
      <c r="CJ108" s="49" t="str">
        <f t="shared" si="99"/>
        <v/>
      </c>
      <c r="CK108" s="45"/>
      <c r="CL108" s="44">
        <v>1</v>
      </c>
      <c r="CM108" s="50" t="s">
        <v>514</v>
      </c>
      <c r="CN108" s="44" t="s">
        <v>371</v>
      </c>
      <c r="CO108" s="44">
        <v>2</v>
      </c>
      <c r="CP108" s="44">
        <v>42</v>
      </c>
      <c r="CQ108" s="44">
        <v>10</v>
      </c>
      <c r="CR108" s="43" t="str">
        <f t="shared" si="100"/>
        <v>K00_P_</v>
      </c>
      <c r="CS108" s="45">
        <v>5000</v>
      </c>
      <c r="CT108" s="43" t="str">
        <f>IF(IFERROR(INDEX(Consulta!$A:$DP,MATCH('MM01'!$B108,Consulta!$C:$C,0),'MM01'!CT$2),"")=0,"",IFERROR(INDEX(Consulta!$A:$DP,MATCH('MM01'!$B108,Consulta!$C:$C,0),'MM01'!CT$2),""))</f>
        <v/>
      </c>
      <c r="CU108" s="43" t="str">
        <f>IF(IFERROR(INDEX(Consulta!$A:$DP,MATCH('MM01'!$B108,Consulta!$C:$C,0),'MM01'!CU$2),"")=0,"",IFERROR(INDEX(Consulta!$A:$DP,MATCH('MM01'!$B108,Consulta!$C:$C,0),'MM01'!CU$2),""))</f>
        <v/>
      </c>
      <c r="CV108" s="43" t="str">
        <f>IF(IFERROR(INDEX(Consulta!$A:$DP,MATCH('MM01'!$B108,Consulta!$C:$C,0),'MM01'!CV$2),"")=0,"",IFERROR(INDEX(Consulta!$A:$DP,MATCH('MM01'!$B108,Consulta!$C:$C,0),'MM01'!CV$2),""))</f>
        <v/>
      </c>
      <c r="CW108" s="43" t="str">
        <f>IF(IFERROR(INDEX(Consulta!$A:$DP,MATCH('MM01'!$B108,Consulta!$C:$C,0),'MM01'!CW$2),"")=0,"",IFERROR(INDEX(Consulta!$A:$DP,MATCH('MM01'!$B108,Consulta!$C:$C,0),'MM01'!CW$2),""))</f>
        <v/>
      </c>
      <c r="CX108" s="43" t="str">
        <f t="shared" si="101"/>
        <v/>
      </c>
      <c r="CY108" s="43" t="str">
        <f t="shared" si="102"/>
        <v/>
      </c>
      <c r="CZ108" s="43" t="str">
        <f t="shared" si="103"/>
        <v/>
      </c>
      <c r="DA108" s="43" t="str">
        <f>IF(IFERROR(INDEX(Consulta!$A:$DP,MATCH('MM01'!$B108,Consulta!$C:$C,0),'MM01'!DA$2),"")=0,"",IFERROR(INDEX(Consulta!$A:$DP,MATCH('MM01'!$B108,Consulta!$C:$C,0),'MM01'!DA$2),""))</f>
        <v/>
      </c>
      <c r="DB108" s="43" t="str">
        <f t="shared" si="104"/>
        <v/>
      </c>
      <c r="DC108" s="43" t="str">
        <f>IF(IFERROR(INDEX(Consulta!$A:$DP,MATCH('MM01'!$B108,Consulta!$C:$C,0),'MM01'!DC$2),"")=0,"",IFERROR(INDEX(Consulta!$A:$DP,MATCH('MM01'!$B108,Consulta!$C:$C,0),'MM01'!DC$2),""))</f>
        <v/>
      </c>
      <c r="DD108" s="45">
        <v>0</v>
      </c>
      <c r="DE108" s="45">
        <v>0</v>
      </c>
      <c r="DF108" s="43" t="str">
        <f t="shared" si="105"/>
        <v/>
      </c>
      <c r="DG108" s="43" t="str">
        <f t="shared" si="106"/>
        <v/>
      </c>
      <c r="DH108" s="57"/>
      <c r="DI108" s="43" t="str">
        <f t="shared" ca="1" si="107"/>
        <v/>
      </c>
      <c r="DJ108" s="43" t="str">
        <f t="shared" si="108"/>
        <v/>
      </c>
      <c r="DK108" s="43" t="str">
        <f t="shared" si="109"/>
        <v/>
      </c>
      <c r="DL108" s="57"/>
      <c r="DM108" s="43" t="str">
        <f t="shared" ca="1" si="110"/>
        <v/>
      </c>
      <c r="DN108" s="43" t="str">
        <f t="shared" si="111"/>
        <v/>
      </c>
      <c r="DO108" s="43" t="str">
        <f t="shared" si="112"/>
        <v/>
      </c>
      <c r="DP108" s="57"/>
      <c r="DQ108" s="43" t="str">
        <f t="shared" ca="1" si="113"/>
        <v/>
      </c>
      <c r="DR108" s="43" t="str">
        <f t="shared" si="114"/>
        <v/>
      </c>
      <c r="DS108" s="43" t="str">
        <f t="shared" si="115"/>
        <v/>
      </c>
      <c r="DT108" s="57"/>
      <c r="DU108" s="43" t="str">
        <f t="shared" ca="1" si="116"/>
        <v/>
      </c>
      <c r="DV108" s="43" t="str">
        <f t="shared" si="117"/>
        <v/>
      </c>
      <c r="DX108" s="44">
        <v>1</v>
      </c>
      <c r="DY108" s="44" t="s">
        <v>773</v>
      </c>
      <c r="DZ108" s="43">
        <f t="shared" si="118"/>
        <v>0.01</v>
      </c>
      <c r="EA108" s="43" t="str">
        <f t="shared" si="119"/>
        <v>M</v>
      </c>
      <c r="EB108" s="43" t="str">
        <f>IF(IFERROR(INDEX(Consulta!$A:$DP,MATCH('MM01'!$B108,Consulta!$C:$C,0),'MM01'!EB$2),"")=0,"7925",IF(IFERROR(INDEX(Consulta!$A:$DP,MATCH('MM01'!$B108,Consulta!$C:$C,0),'MM01'!EB$2),"")="68","7910","7925"))</f>
        <v>7925</v>
      </c>
      <c r="EC108" s="44">
        <v>100</v>
      </c>
      <c r="ED108" s="62">
        <v>1</v>
      </c>
      <c r="EE108" s="43">
        <f t="shared" si="120"/>
        <v>100</v>
      </c>
      <c r="EF108" s="44">
        <v>1</v>
      </c>
      <c r="EG108" s="44">
        <v>0</v>
      </c>
      <c r="EH108" s="44" t="s">
        <v>875</v>
      </c>
      <c r="EI108" s="45">
        <v>0</v>
      </c>
      <c r="EJ108" s="43">
        <f t="shared" si="121"/>
        <v>5000</v>
      </c>
      <c r="EK108" s="69"/>
    </row>
    <row r="109" spans="1:141" x14ac:dyDescent="0.2">
      <c r="A109" s="7" t="str">
        <f t="shared" si="82"/>
        <v>Execução 105</v>
      </c>
      <c r="B109" s="42"/>
      <c r="C109" s="43" t="str">
        <f>IF(IFERROR(INDEX(Consulta!$A:$DP,MATCH('MM01'!$B109,Consulta!$C:$C,0),'MM01'!C$2),"")=0,"",IFERROR(INDEX(Consulta!$A:$DP,MATCH('MM01'!$B109,Consulta!$C:$C,0),'MM01'!C$2),""))</f>
        <v/>
      </c>
      <c r="D109" s="43" t="str">
        <f>IF(IFERROR(INDEX(Consulta!$A:$DP,MATCH('MM01'!$B109,Consulta!$C:$C,0),'MM01'!D$2),"")=0,"",IFERROR(INDEX(Consulta!$A:$DP,MATCH('MM01'!$B109,Consulta!$C:$C,0),'MM01'!D$2),""))</f>
        <v/>
      </c>
      <c r="E109" s="43" t="str">
        <f>IF(IFERROR(INDEX(Consulta!$A:$DP,MATCH('MM01'!$B109,Consulta!$C:$C,0),'MM01'!E$2),"")=0,"",IFERROR(INDEX(Consulta!$A:$DP,MATCH('MM01'!$B109,Consulta!$C:$C,0),'MM01'!E$2),""))</f>
        <v/>
      </c>
      <c r="F109" s="44" t="s">
        <v>100</v>
      </c>
      <c r="G109" s="49" t="str">
        <f>IF(IFERROR(INDEX(Consulta!$A:$DP,MATCH('MM01'!$B109,Consulta!$C:$C,0),'MM01'!G$2),"")=0,"",IFERROR(INDEX(Consulta!$A:$DP,MATCH('MM01'!$B109,Consulta!$C:$C,0),'MM01'!G$2),""))</f>
        <v/>
      </c>
      <c r="H109" s="49" t="str">
        <f>IF(IFERROR(INDEX(Consulta!$A:$DP,MATCH('MM01'!$B109,Consulta!$C:$C,0),'MM01'!H$2),"")=0,"",IFERROR(INDEX(Consulta!$A:$DP,MATCH('MM01'!$B109,Consulta!$C:$C,0),'MM01'!H$2),""))</f>
        <v/>
      </c>
      <c r="I109" s="49" t="str">
        <f t="shared" si="83"/>
        <v/>
      </c>
      <c r="J109" s="49" t="str">
        <f>IF(IFERROR(INDEX(Consulta!$A:$DP,MATCH('MM01'!$B109,Consulta!$C:$C,0),'MM01'!J$2),"")=0,"",IFERROR(INDEX(Consulta!$A:$DP,MATCH('MM01'!$B109,Consulta!$C:$C,0),'MM01'!J$2),""))</f>
        <v/>
      </c>
      <c r="K109" s="49" t="str">
        <f t="shared" si="84"/>
        <v/>
      </c>
      <c r="M109" s="45" t="s">
        <v>101</v>
      </c>
      <c r="N109" s="45" t="s">
        <v>102</v>
      </c>
      <c r="O109" s="45" t="s">
        <v>103</v>
      </c>
      <c r="P109" s="45" t="s">
        <v>104</v>
      </c>
      <c r="Q109" s="45" t="s">
        <v>105</v>
      </c>
      <c r="R109" s="45" t="s">
        <v>106</v>
      </c>
      <c r="S109" s="45" t="s">
        <v>107</v>
      </c>
      <c r="T109" s="45"/>
      <c r="U109" s="45"/>
      <c r="V109" s="45"/>
      <c r="W109" s="45"/>
      <c r="X109" s="45" t="s">
        <v>112</v>
      </c>
      <c r="Y109" s="45" t="s">
        <v>113</v>
      </c>
      <c r="Z109" s="45" t="s">
        <v>114</v>
      </c>
      <c r="AA109" s="45" t="s">
        <v>115</v>
      </c>
      <c r="AB109" s="45" t="s">
        <v>117</v>
      </c>
      <c r="AC109" s="45" t="s">
        <v>118</v>
      </c>
      <c r="AD109" s="45" t="s">
        <v>119</v>
      </c>
      <c r="AE109" s="45" t="s">
        <v>120</v>
      </c>
      <c r="AF109" s="45" t="s">
        <v>121</v>
      </c>
      <c r="AG109" s="45" t="s">
        <v>122</v>
      </c>
      <c r="AH109" s="45" t="s">
        <v>123</v>
      </c>
      <c r="AI109" s="45" t="s">
        <v>124</v>
      </c>
      <c r="AJ109" s="45" t="s">
        <v>125</v>
      </c>
      <c r="AK109" s="45" t="s">
        <v>126</v>
      </c>
      <c r="AL109" s="45"/>
      <c r="AM109" s="45"/>
      <c r="AO109" s="44" t="s">
        <v>100</v>
      </c>
      <c r="AP109" s="43" t="str">
        <f>IF(IFERROR(INDEX(Consulta!$A:$DP,MATCH('MM01'!$B109,Consulta!$C:$C,0),'MM01'!AP$2),"")=0,"",IFERROR(INDEX(Consulta!$A:$DP,MATCH('MM01'!$B109,Consulta!$C:$C,0),'MM01'!AP$2),""))</f>
        <v/>
      </c>
      <c r="AQ109" s="45"/>
      <c r="AR109" s="43" t="str">
        <f>IF(IFERROR(INDEX(Consulta!$A:$DP,MATCH('MM01'!$B109,Consulta!$C:$C,0),'MM01'!AR$2),"")=0,"",IFERROR(INDEX(Consulta!$A:$DP,MATCH('MM01'!$B109,Consulta!$C:$C,0),'MM01'!AR$2),""))</f>
        <v/>
      </c>
      <c r="AS109" s="43" t="str">
        <f>IF(IFERROR(INDEX(Consulta!$A:$DP,MATCH('MM01'!$B109,Consulta!$C:$C,0),'MM01'!AS$2),"")=0,"",IF(AR109="68",5102,IFERROR(INDEX(Consulta!$A:$DP,MATCH('MM01'!$B109,Consulta!$C:$C,0),'MM01'!AS$2),"")))</f>
        <v/>
      </c>
      <c r="AT109" s="45"/>
      <c r="AU109" s="46" t="str">
        <f t="shared" ca="1" si="85"/>
        <v/>
      </c>
      <c r="AV109" s="47" t="s">
        <v>795</v>
      </c>
      <c r="AW109" s="43" t="str">
        <f>IF(IFERROR(INDEX(Consulta!$A:$DP,MATCH('MM01'!$B109,Consulta!$C:$C,0),'MM01'!AW$2),"")=0,"",IFERROR(ROUND(INDEX(Consulta!$A:$DP,MATCH('MM01'!$B109,Consulta!$C:$C,0),'MM01'!AW$2),3),""))</f>
        <v/>
      </c>
      <c r="AX109" s="43" t="str">
        <f t="shared" si="86"/>
        <v/>
      </c>
      <c r="AY109" s="48" t="s">
        <v>299</v>
      </c>
      <c r="AZ109" s="48"/>
      <c r="BA109" s="43" t="str">
        <f>IF(IFERROR(INDEX(Consulta!$A:$DP,MATCH('MM01'!$B109,Consulta!$C:$C,0),'MM01'!BA$2),"")=0,"",IFERROR(INDEX(Consulta!$A:$DP,MATCH('MM01'!$B109,Consulta!$C:$C,0),'MM01'!BA$2),""))</f>
        <v/>
      </c>
      <c r="BB109" s="43" t="str">
        <f t="shared" si="87"/>
        <v/>
      </c>
      <c r="BC109" s="43" t="str">
        <f t="shared" si="88"/>
        <v/>
      </c>
      <c r="BD109" s="43" t="str">
        <f t="shared" si="89"/>
        <v/>
      </c>
      <c r="BE109" s="43" t="str">
        <f t="shared" si="90"/>
        <v>M</v>
      </c>
      <c r="BF109" s="43" t="str">
        <f t="shared" si="91"/>
        <v/>
      </c>
      <c r="BG109" s="43" t="str">
        <f t="shared" si="92"/>
        <v/>
      </c>
      <c r="BH109" s="43" t="str">
        <f t="shared" si="93"/>
        <v/>
      </c>
      <c r="BI109" s="43" t="str">
        <f t="shared" si="94"/>
        <v>M</v>
      </c>
      <c r="BK109" s="45" t="s">
        <v>324</v>
      </c>
      <c r="BL109" s="43" t="str">
        <f>IF(IFERROR(INDEX(Consulta!$A:$DP,MATCH('MM01'!$B109,Consulta!$C:$C,0),'MM01'!BL$2),"")=0,"",IFERROR(INDEX(Consulta!$A:$DP,MATCH('MM01'!$B109,Consulta!$C:$C,0),'MM01'!BL$2),""))</f>
        <v/>
      </c>
      <c r="BM109" s="45"/>
      <c r="BN109" s="46" t="str">
        <f t="shared" ca="1" si="95"/>
        <v/>
      </c>
      <c r="BO109" s="49" t="str">
        <f t="shared" si="96"/>
        <v/>
      </c>
      <c r="BP109" s="50">
        <v>1</v>
      </c>
      <c r="BQ109" s="50" t="s">
        <v>194</v>
      </c>
      <c r="BR109" s="79" t="str">
        <f t="shared" si="81"/>
        <v>01</v>
      </c>
      <c r="BS109" s="50" t="s">
        <v>795</v>
      </c>
      <c r="BT109" s="44">
        <v>1</v>
      </c>
      <c r="BU109" s="44" t="s">
        <v>371</v>
      </c>
      <c r="BV109" s="50" t="s">
        <v>197</v>
      </c>
      <c r="BW109" s="50" t="s">
        <v>197</v>
      </c>
      <c r="BX109" s="43" t="str">
        <f>IF(IFERROR(INDEX(Consulta!$A:$DP,MATCH('MM01'!$B109,Consulta!$C:$C,0),'MM01'!BX$2),"")=0,"",IFERROR(INDEX(Consulta!$A:$DP,MATCH('MM01'!$B109,Consulta!$C:$C,0),'MM01'!BX$2),""))</f>
        <v/>
      </c>
      <c r="BY109" s="44" t="s">
        <v>391</v>
      </c>
      <c r="BZ109" s="50">
        <v>0</v>
      </c>
      <c r="CA109" s="45" t="s">
        <v>402</v>
      </c>
      <c r="CB109" s="45" t="s">
        <v>84</v>
      </c>
      <c r="CC109" s="43" t="str">
        <f t="shared" si="97"/>
        <v/>
      </c>
      <c r="CD109" s="45" t="s">
        <v>38</v>
      </c>
      <c r="CE109" s="45">
        <v>1</v>
      </c>
      <c r="CF109" s="45" t="s">
        <v>495</v>
      </c>
      <c r="CG109" s="45"/>
      <c r="CH109" s="44">
        <v>2</v>
      </c>
      <c r="CI109" s="49" t="str">
        <f t="shared" si="98"/>
        <v/>
      </c>
      <c r="CJ109" s="49" t="str">
        <f t="shared" si="99"/>
        <v/>
      </c>
      <c r="CK109" s="45"/>
      <c r="CL109" s="44">
        <v>1</v>
      </c>
      <c r="CM109" s="50" t="s">
        <v>514</v>
      </c>
      <c r="CN109" s="44" t="s">
        <v>371</v>
      </c>
      <c r="CO109" s="44">
        <v>2</v>
      </c>
      <c r="CP109" s="44">
        <v>42</v>
      </c>
      <c r="CQ109" s="44">
        <v>10</v>
      </c>
      <c r="CR109" s="43" t="str">
        <f t="shared" si="100"/>
        <v>K00_P_</v>
      </c>
      <c r="CS109" s="45">
        <v>5000</v>
      </c>
      <c r="CT109" s="43" t="str">
        <f>IF(IFERROR(INDEX(Consulta!$A:$DP,MATCH('MM01'!$B109,Consulta!$C:$C,0),'MM01'!CT$2),"")=0,"",IFERROR(INDEX(Consulta!$A:$DP,MATCH('MM01'!$B109,Consulta!$C:$C,0),'MM01'!CT$2),""))</f>
        <v/>
      </c>
      <c r="CU109" s="43" t="str">
        <f>IF(IFERROR(INDEX(Consulta!$A:$DP,MATCH('MM01'!$B109,Consulta!$C:$C,0),'MM01'!CU$2),"")=0,"",IFERROR(INDEX(Consulta!$A:$DP,MATCH('MM01'!$B109,Consulta!$C:$C,0),'MM01'!CU$2),""))</f>
        <v/>
      </c>
      <c r="CV109" s="43" t="str">
        <f>IF(IFERROR(INDEX(Consulta!$A:$DP,MATCH('MM01'!$B109,Consulta!$C:$C,0),'MM01'!CV$2),"")=0,"",IFERROR(INDEX(Consulta!$A:$DP,MATCH('MM01'!$B109,Consulta!$C:$C,0),'MM01'!CV$2),""))</f>
        <v/>
      </c>
      <c r="CW109" s="43" t="str">
        <f>IF(IFERROR(INDEX(Consulta!$A:$DP,MATCH('MM01'!$B109,Consulta!$C:$C,0),'MM01'!CW$2),"")=0,"",IFERROR(INDEX(Consulta!$A:$DP,MATCH('MM01'!$B109,Consulta!$C:$C,0),'MM01'!CW$2),""))</f>
        <v/>
      </c>
      <c r="CX109" s="43" t="str">
        <f t="shared" si="101"/>
        <v/>
      </c>
      <c r="CY109" s="43" t="str">
        <f t="shared" si="102"/>
        <v/>
      </c>
      <c r="CZ109" s="43" t="str">
        <f t="shared" si="103"/>
        <v/>
      </c>
      <c r="DA109" s="43" t="str">
        <f>IF(IFERROR(INDEX(Consulta!$A:$DP,MATCH('MM01'!$B109,Consulta!$C:$C,0),'MM01'!DA$2),"")=0,"",IFERROR(INDEX(Consulta!$A:$DP,MATCH('MM01'!$B109,Consulta!$C:$C,0),'MM01'!DA$2),""))</f>
        <v/>
      </c>
      <c r="DB109" s="43" t="str">
        <f t="shared" si="104"/>
        <v/>
      </c>
      <c r="DC109" s="43" t="str">
        <f>IF(IFERROR(INDEX(Consulta!$A:$DP,MATCH('MM01'!$B109,Consulta!$C:$C,0),'MM01'!DC$2),"")=0,"",IFERROR(INDEX(Consulta!$A:$DP,MATCH('MM01'!$B109,Consulta!$C:$C,0),'MM01'!DC$2),""))</f>
        <v/>
      </c>
      <c r="DD109" s="45">
        <v>0</v>
      </c>
      <c r="DE109" s="45">
        <v>0</v>
      </c>
      <c r="DF109" s="43" t="str">
        <f t="shared" si="105"/>
        <v/>
      </c>
      <c r="DG109" s="43" t="str">
        <f t="shared" si="106"/>
        <v/>
      </c>
      <c r="DH109" s="57"/>
      <c r="DI109" s="43" t="str">
        <f t="shared" ca="1" si="107"/>
        <v/>
      </c>
      <c r="DJ109" s="43" t="str">
        <f t="shared" si="108"/>
        <v/>
      </c>
      <c r="DK109" s="43" t="str">
        <f t="shared" si="109"/>
        <v/>
      </c>
      <c r="DL109" s="57"/>
      <c r="DM109" s="43" t="str">
        <f t="shared" ca="1" si="110"/>
        <v/>
      </c>
      <c r="DN109" s="43" t="str">
        <f t="shared" si="111"/>
        <v/>
      </c>
      <c r="DO109" s="43" t="str">
        <f t="shared" si="112"/>
        <v/>
      </c>
      <c r="DP109" s="57"/>
      <c r="DQ109" s="43" t="str">
        <f t="shared" ca="1" si="113"/>
        <v/>
      </c>
      <c r="DR109" s="43" t="str">
        <f t="shared" si="114"/>
        <v/>
      </c>
      <c r="DS109" s="43" t="str">
        <f t="shared" si="115"/>
        <v/>
      </c>
      <c r="DT109" s="57"/>
      <c r="DU109" s="43" t="str">
        <f t="shared" ca="1" si="116"/>
        <v/>
      </c>
      <c r="DV109" s="43" t="str">
        <f t="shared" si="117"/>
        <v/>
      </c>
      <c r="DX109" s="44">
        <v>1</v>
      </c>
      <c r="DY109" s="44" t="s">
        <v>773</v>
      </c>
      <c r="DZ109" s="43">
        <f t="shared" si="118"/>
        <v>0.01</v>
      </c>
      <c r="EA109" s="43" t="str">
        <f t="shared" si="119"/>
        <v>M</v>
      </c>
      <c r="EB109" s="43" t="str">
        <f>IF(IFERROR(INDEX(Consulta!$A:$DP,MATCH('MM01'!$B109,Consulta!$C:$C,0),'MM01'!EB$2),"")=0,"7925",IF(IFERROR(INDEX(Consulta!$A:$DP,MATCH('MM01'!$B109,Consulta!$C:$C,0),'MM01'!EB$2),"")="68","7910","7925"))</f>
        <v>7925</v>
      </c>
      <c r="EC109" s="44">
        <v>100</v>
      </c>
      <c r="ED109" s="62">
        <v>1</v>
      </c>
      <c r="EE109" s="43">
        <f t="shared" si="120"/>
        <v>100</v>
      </c>
      <c r="EF109" s="44">
        <v>1</v>
      </c>
      <c r="EG109" s="44">
        <v>0</v>
      </c>
      <c r="EH109" s="44" t="s">
        <v>875</v>
      </c>
      <c r="EI109" s="45">
        <v>0</v>
      </c>
      <c r="EJ109" s="43">
        <f t="shared" si="121"/>
        <v>5000</v>
      </c>
      <c r="EK109" s="69"/>
    </row>
    <row r="110" spans="1:141" x14ac:dyDescent="0.2">
      <c r="A110" s="7" t="str">
        <f t="shared" si="82"/>
        <v>Execução 106</v>
      </c>
      <c r="B110" s="42"/>
      <c r="C110" s="43" t="str">
        <f>IF(IFERROR(INDEX(Consulta!$A:$DP,MATCH('MM01'!$B110,Consulta!$C:$C,0),'MM01'!C$2),"")=0,"",IFERROR(INDEX(Consulta!$A:$DP,MATCH('MM01'!$B110,Consulta!$C:$C,0),'MM01'!C$2),""))</f>
        <v/>
      </c>
      <c r="D110" s="43" t="str">
        <f>IF(IFERROR(INDEX(Consulta!$A:$DP,MATCH('MM01'!$B110,Consulta!$C:$C,0),'MM01'!D$2),"")=0,"",IFERROR(INDEX(Consulta!$A:$DP,MATCH('MM01'!$B110,Consulta!$C:$C,0),'MM01'!D$2),""))</f>
        <v/>
      </c>
      <c r="E110" s="43" t="str">
        <f>IF(IFERROR(INDEX(Consulta!$A:$DP,MATCH('MM01'!$B110,Consulta!$C:$C,0),'MM01'!E$2),"")=0,"",IFERROR(INDEX(Consulta!$A:$DP,MATCH('MM01'!$B110,Consulta!$C:$C,0),'MM01'!E$2),""))</f>
        <v/>
      </c>
      <c r="F110" s="44" t="s">
        <v>100</v>
      </c>
      <c r="G110" s="49" t="str">
        <f>IF(IFERROR(INDEX(Consulta!$A:$DP,MATCH('MM01'!$B110,Consulta!$C:$C,0),'MM01'!G$2),"")=0,"",IFERROR(INDEX(Consulta!$A:$DP,MATCH('MM01'!$B110,Consulta!$C:$C,0),'MM01'!G$2),""))</f>
        <v/>
      </c>
      <c r="H110" s="49" t="str">
        <f>IF(IFERROR(INDEX(Consulta!$A:$DP,MATCH('MM01'!$B110,Consulta!$C:$C,0),'MM01'!H$2),"")=0,"",IFERROR(INDEX(Consulta!$A:$DP,MATCH('MM01'!$B110,Consulta!$C:$C,0),'MM01'!H$2),""))</f>
        <v/>
      </c>
      <c r="I110" s="49" t="str">
        <f t="shared" si="83"/>
        <v/>
      </c>
      <c r="J110" s="49" t="str">
        <f>IF(IFERROR(INDEX(Consulta!$A:$DP,MATCH('MM01'!$B110,Consulta!$C:$C,0),'MM01'!J$2),"")=0,"",IFERROR(INDEX(Consulta!$A:$DP,MATCH('MM01'!$B110,Consulta!$C:$C,0),'MM01'!J$2),""))</f>
        <v/>
      </c>
      <c r="K110" s="49" t="str">
        <f t="shared" si="84"/>
        <v/>
      </c>
      <c r="M110" s="45" t="s">
        <v>101</v>
      </c>
      <c r="N110" s="45" t="s">
        <v>102</v>
      </c>
      <c r="O110" s="45" t="s">
        <v>103</v>
      </c>
      <c r="P110" s="45" t="s">
        <v>104</v>
      </c>
      <c r="Q110" s="45" t="s">
        <v>105</v>
      </c>
      <c r="R110" s="45" t="s">
        <v>106</v>
      </c>
      <c r="S110" s="45" t="s">
        <v>107</v>
      </c>
      <c r="T110" s="45"/>
      <c r="U110" s="45"/>
      <c r="V110" s="45"/>
      <c r="W110" s="45"/>
      <c r="X110" s="45" t="s">
        <v>112</v>
      </c>
      <c r="Y110" s="45" t="s">
        <v>113</v>
      </c>
      <c r="Z110" s="45" t="s">
        <v>114</v>
      </c>
      <c r="AA110" s="45" t="s">
        <v>115</v>
      </c>
      <c r="AB110" s="45" t="s">
        <v>117</v>
      </c>
      <c r="AC110" s="45" t="s">
        <v>118</v>
      </c>
      <c r="AD110" s="45" t="s">
        <v>119</v>
      </c>
      <c r="AE110" s="45" t="s">
        <v>120</v>
      </c>
      <c r="AF110" s="45" t="s">
        <v>121</v>
      </c>
      <c r="AG110" s="45" t="s">
        <v>122</v>
      </c>
      <c r="AH110" s="45" t="s">
        <v>123</v>
      </c>
      <c r="AI110" s="45" t="s">
        <v>124</v>
      </c>
      <c r="AJ110" s="45" t="s">
        <v>125</v>
      </c>
      <c r="AK110" s="45" t="s">
        <v>126</v>
      </c>
      <c r="AL110" s="45"/>
      <c r="AM110" s="45"/>
      <c r="AO110" s="44" t="s">
        <v>100</v>
      </c>
      <c r="AP110" s="43" t="str">
        <f>IF(IFERROR(INDEX(Consulta!$A:$DP,MATCH('MM01'!$B110,Consulta!$C:$C,0),'MM01'!AP$2),"")=0,"",IFERROR(INDEX(Consulta!$A:$DP,MATCH('MM01'!$B110,Consulta!$C:$C,0),'MM01'!AP$2),""))</f>
        <v/>
      </c>
      <c r="AQ110" s="45"/>
      <c r="AR110" s="43" t="str">
        <f>IF(IFERROR(INDEX(Consulta!$A:$DP,MATCH('MM01'!$B110,Consulta!$C:$C,0),'MM01'!AR$2),"")=0,"",IFERROR(INDEX(Consulta!$A:$DP,MATCH('MM01'!$B110,Consulta!$C:$C,0),'MM01'!AR$2),""))</f>
        <v/>
      </c>
      <c r="AS110" s="43" t="str">
        <f>IF(IFERROR(INDEX(Consulta!$A:$DP,MATCH('MM01'!$B110,Consulta!$C:$C,0),'MM01'!AS$2),"")=0,"",IF(AR110="68",5102,IFERROR(INDEX(Consulta!$A:$DP,MATCH('MM01'!$B110,Consulta!$C:$C,0),'MM01'!AS$2),"")))</f>
        <v/>
      </c>
      <c r="AT110" s="45"/>
      <c r="AU110" s="46" t="str">
        <f t="shared" ca="1" si="85"/>
        <v/>
      </c>
      <c r="AV110" s="47" t="s">
        <v>795</v>
      </c>
      <c r="AW110" s="43" t="str">
        <f>IF(IFERROR(INDEX(Consulta!$A:$DP,MATCH('MM01'!$B110,Consulta!$C:$C,0),'MM01'!AW$2),"")=0,"",IFERROR(ROUND(INDEX(Consulta!$A:$DP,MATCH('MM01'!$B110,Consulta!$C:$C,0),'MM01'!AW$2),3),""))</f>
        <v/>
      </c>
      <c r="AX110" s="43" t="str">
        <f t="shared" si="86"/>
        <v/>
      </c>
      <c r="AY110" s="48" t="s">
        <v>299</v>
      </c>
      <c r="AZ110" s="48"/>
      <c r="BA110" s="43" t="str">
        <f>IF(IFERROR(INDEX(Consulta!$A:$DP,MATCH('MM01'!$B110,Consulta!$C:$C,0),'MM01'!BA$2),"")=0,"",IFERROR(INDEX(Consulta!$A:$DP,MATCH('MM01'!$B110,Consulta!$C:$C,0),'MM01'!BA$2),""))</f>
        <v/>
      </c>
      <c r="BB110" s="43" t="str">
        <f t="shared" si="87"/>
        <v/>
      </c>
      <c r="BC110" s="43" t="str">
        <f t="shared" si="88"/>
        <v/>
      </c>
      <c r="BD110" s="43" t="str">
        <f t="shared" si="89"/>
        <v/>
      </c>
      <c r="BE110" s="43" t="str">
        <f t="shared" si="90"/>
        <v>M</v>
      </c>
      <c r="BF110" s="43" t="str">
        <f t="shared" si="91"/>
        <v/>
      </c>
      <c r="BG110" s="43" t="str">
        <f t="shared" si="92"/>
        <v/>
      </c>
      <c r="BH110" s="43" t="str">
        <f t="shared" si="93"/>
        <v/>
      </c>
      <c r="BI110" s="43" t="str">
        <f t="shared" si="94"/>
        <v>M</v>
      </c>
      <c r="BK110" s="45" t="s">
        <v>324</v>
      </c>
      <c r="BL110" s="43" t="str">
        <f>IF(IFERROR(INDEX(Consulta!$A:$DP,MATCH('MM01'!$B110,Consulta!$C:$C,0),'MM01'!BL$2),"")=0,"",IFERROR(INDEX(Consulta!$A:$DP,MATCH('MM01'!$B110,Consulta!$C:$C,0),'MM01'!BL$2),""))</f>
        <v/>
      </c>
      <c r="BM110" s="45"/>
      <c r="BN110" s="46" t="str">
        <f t="shared" ca="1" si="95"/>
        <v/>
      </c>
      <c r="BO110" s="49" t="str">
        <f t="shared" si="96"/>
        <v/>
      </c>
      <c r="BP110" s="50">
        <v>1</v>
      </c>
      <c r="BQ110" s="50" t="s">
        <v>194</v>
      </c>
      <c r="BR110" s="79" t="str">
        <f t="shared" si="81"/>
        <v>01</v>
      </c>
      <c r="BS110" s="50" t="s">
        <v>795</v>
      </c>
      <c r="BT110" s="44">
        <v>1</v>
      </c>
      <c r="BU110" s="44" t="s">
        <v>371</v>
      </c>
      <c r="BV110" s="50" t="s">
        <v>197</v>
      </c>
      <c r="BW110" s="50" t="s">
        <v>197</v>
      </c>
      <c r="BX110" s="43" t="str">
        <f>IF(IFERROR(INDEX(Consulta!$A:$DP,MATCH('MM01'!$B110,Consulta!$C:$C,0),'MM01'!BX$2),"")=0,"",IFERROR(INDEX(Consulta!$A:$DP,MATCH('MM01'!$B110,Consulta!$C:$C,0),'MM01'!BX$2),""))</f>
        <v/>
      </c>
      <c r="BY110" s="44" t="s">
        <v>391</v>
      </c>
      <c r="BZ110" s="50">
        <v>0</v>
      </c>
      <c r="CA110" s="45" t="s">
        <v>402</v>
      </c>
      <c r="CB110" s="45" t="s">
        <v>84</v>
      </c>
      <c r="CC110" s="43" t="str">
        <f t="shared" si="97"/>
        <v/>
      </c>
      <c r="CD110" s="45" t="s">
        <v>38</v>
      </c>
      <c r="CE110" s="45">
        <v>1</v>
      </c>
      <c r="CF110" s="45" t="s">
        <v>495</v>
      </c>
      <c r="CG110" s="45"/>
      <c r="CH110" s="44">
        <v>2</v>
      </c>
      <c r="CI110" s="49" t="str">
        <f t="shared" si="98"/>
        <v/>
      </c>
      <c r="CJ110" s="49" t="str">
        <f t="shared" si="99"/>
        <v/>
      </c>
      <c r="CK110" s="45"/>
      <c r="CL110" s="44">
        <v>1</v>
      </c>
      <c r="CM110" s="50" t="s">
        <v>514</v>
      </c>
      <c r="CN110" s="44" t="s">
        <v>371</v>
      </c>
      <c r="CO110" s="44">
        <v>2</v>
      </c>
      <c r="CP110" s="44">
        <v>42</v>
      </c>
      <c r="CQ110" s="44">
        <v>10</v>
      </c>
      <c r="CR110" s="43" t="str">
        <f t="shared" si="100"/>
        <v>K00_P_</v>
      </c>
      <c r="CS110" s="45">
        <v>5000</v>
      </c>
      <c r="CT110" s="43" t="str">
        <f>IF(IFERROR(INDEX(Consulta!$A:$DP,MATCH('MM01'!$B110,Consulta!$C:$C,0),'MM01'!CT$2),"")=0,"",IFERROR(INDEX(Consulta!$A:$DP,MATCH('MM01'!$B110,Consulta!$C:$C,0),'MM01'!CT$2),""))</f>
        <v/>
      </c>
      <c r="CU110" s="43" t="str">
        <f>IF(IFERROR(INDEX(Consulta!$A:$DP,MATCH('MM01'!$B110,Consulta!$C:$C,0),'MM01'!CU$2),"")=0,"",IFERROR(INDEX(Consulta!$A:$DP,MATCH('MM01'!$B110,Consulta!$C:$C,0),'MM01'!CU$2),""))</f>
        <v/>
      </c>
      <c r="CV110" s="43" t="str">
        <f>IF(IFERROR(INDEX(Consulta!$A:$DP,MATCH('MM01'!$B110,Consulta!$C:$C,0),'MM01'!CV$2),"")=0,"",IFERROR(INDEX(Consulta!$A:$DP,MATCH('MM01'!$B110,Consulta!$C:$C,0),'MM01'!CV$2),""))</f>
        <v/>
      </c>
      <c r="CW110" s="43" t="str">
        <f>IF(IFERROR(INDEX(Consulta!$A:$DP,MATCH('MM01'!$B110,Consulta!$C:$C,0),'MM01'!CW$2),"")=0,"",IFERROR(INDEX(Consulta!$A:$DP,MATCH('MM01'!$B110,Consulta!$C:$C,0),'MM01'!CW$2),""))</f>
        <v/>
      </c>
      <c r="CX110" s="43" t="str">
        <f t="shared" si="101"/>
        <v/>
      </c>
      <c r="CY110" s="43" t="str">
        <f t="shared" si="102"/>
        <v/>
      </c>
      <c r="CZ110" s="43" t="str">
        <f t="shared" si="103"/>
        <v/>
      </c>
      <c r="DA110" s="43" t="str">
        <f>IF(IFERROR(INDEX(Consulta!$A:$DP,MATCH('MM01'!$B110,Consulta!$C:$C,0),'MM01'!DA$2),"")=0,"",IFERROR(INDEX(Consulta!$A:$DP,MATCH('MM01'!$B110,Consulta!$C:$C,0),'MM01'!DA$2),""))</f>
        <v/>
      </c>
      <c r="DB110" s="43" t="str">
        <f t="shared" si="104"/>
        <v/>
      </c>
      <c r="DC110" s="43" t="str">
        <f>IF(IFERROR(INDEX(Consulta!$A:$DP,MATCH('MM01'!$B110,Consulta!$C:$C,0),'MM01'!DC$2),"")=0,"",IFERROR(INDEX(Consulta!$A:$DP,MATCH('MM01'!$B110,Consulta!$C:$C,0),'MM01'!DC$2),""))</f>
        <v/>
      </c>
      <c r="DD110" s="45">
        <v>0</v>
      </c>
      <c r="DE110" s="45">
        <v>0</v>
      </c>
      <c r="DF110" s="43" t="str">
        <f t="shared" si="105"/>
        <v/>
      </c>
      <c r="DG110" s="43" t="str">
        <f t="shared" si="106"/>
        <v/>
      </c>
      <c r="DH110" s="57"/>
      <c r="DI110" s="43" t="str">
        <f t="shared" ca="1" si="107"/>
        <v/>
      </c>
      <c r="DJ110" s="43" t="str">
        <f t="shared" si="108"/>
        <v/>
      </c>
      <c r="DK110" s="43" t="str">
        <f t="shared" si="109"/>
        <v/>
      </c>
      <c r="DL110" s="57"/>
      <c r="DM110" s="43" t="str">
        <f t="shared" ca="1" si="110"/>
        <v/>
      </c>
      <c r="DN110" s="43" t="str">
        <f t="shared" si="111"/>
        <v/>
      </c>
      <c r="DO110" s="43" t="str">
        <f t="shared" si="112"/>
        <v/>
      </c>
      <c r="DP110" s="57"/>
      <c r="DQ110" s="43" t="str">
        <f t="shared" ca="1" si="113"/>
        <v/>
      </c>
      <c r="DR110" s="43" t="str">
        <f t="shared" si="114"/>
        <v/>
      </c>
      <c r="DS110" s="43" t="str">
        <f t="shared" si="115"/>
        <v/>
      </c>
      <c r="DT110" s="57"/>
      <c r="DU110" s="43" t="str">
        <f t="shared" ca="1" si="116"/>
        <v/>
      </c>
      <c r="DV110" s="43" t="str">
        <f t="shared" si="117"/>
        <v/>
      </c>
      <c r="DX110" s="44">
        <v>1</v>
      </c>
      <c r="DY110" s="44" t="s">
        <v>773</v>
      </c>
      <c r="DZ110" s="43">
        <f t="shared" si="118"/>
        <v>0.01</v>
      </c>
      <c r="EA110" s="43" t="str">
        <f t="shared" si="119"/>
        <v>M</v>
      </c>
      <c r="EB110" s="43" t="str">
        <f>IF(IFERROR(INDEX(Consulta!$A:$DP,MATCH('MM01'!$B110,Consulta!$C:$C,0),'MM01'!EB$2),"")=0,"7925",IF(IFERROR(INDEX(Consulta!$A:$DP,MATCH('MM01'!$B110,Consulta!$C:$C,0),'MM01'!EB$2),"")="68","7910","7925"))</f>
        <v>7925</v>
      </c>
      <c r="EC110" s="44">
        <v>100</v>
      </c>
      <c r="ED110" s="62">
        <v>1</v>
      </c>
      <c r="EE110" s="43">
        <f t="shared" si="120"/>
        <v>100</v>
      </c>
      <c r="EF110" s="44">
        <v>1</v>
      </c>
      <c r="EG110" s="44">
        <v>0</v>
      </c>
      <c r="EH110" s="44" t="s">
        <v>875</v>
      </c>
      <c r="EI110" s="45">
        <v>0</v>
      </c>
      <c r="EJ110" s="43">
        <f t="shared" si="121"/>
        <v>5000</v>
      </c>
      <c r="EK110" s="69"/>
    </row>
    <row r="111" spans="1:141" x14ac:dyDescent="0.2">
      <c r="A111" s="7" t="str">
        <f t="shared" si="82"/>
        <v>Execução 107</v>
      </c>
      <c r="B111" s="42"/>
      <c r="C111" s="43" t="str">
        <f>IF(IFERROR(INDEX(Consulta!$A:$DP,MATCH('MM01'!$B111,Consulta!$C:$C,0),'MM01'!C$2),"")=0,"",IFERROR(INDEX(Consulta!$A:$DP,MATCH('MM01'!$B111,Consulta!$C:$C,0),'MM01'!C$2),""))</f>
        <v/>
      </c>
      <c r="D111" s="43" t="str">
        <f>IF(IFERROR(INDEX(Consulta!$A:$DP,MATCH('MM01'!$B111,Consulta!$C:$C,0),'MM01'!D$2),"")=0,"",IFERROR(INDEX(Consulta!$A:$DP,MATCH('MM01'!$B111,Consulta!$C:$C,0),'MM01'!D$2),""))</f>
        <v/>
      </c>
      <c r="E111" s="43" t="str">
        <f>IF(IFERROR(INDEX(Consulta!$A:$DP,MATCH('MM01'!$B111,Consulta!$C:$C,0),'MM01'!E$2),"")=0,"",IFERROR(INDEX(Consulta!$A:$DP,MATCH('MM01'!$B111,Consulta!$C:$C,0),'MM01'!E$2),""))</f>
        <v/>
      </c>
      <c r="F111" s="44" t="s">
        <v>100</v>
      </c>
      <c r="G111" s="49" t="str">
        <f>IF(IFERROR(INDEX(Consulta!$A:$DP,MATCH('MM01'!$B111,Consulta!$C:$C,0),'MM01'!G$2),"")=0,"",IFERROR(INDEX(Consulta!$A:$DP,MATCH('MM01'!$B111,Consulta!$C:$C,0),'MM01'!G$2),""))</f>
        <v/>
      </c>
      <c r="H111" s="49" t="str">
        <f>IF(IFERROR(INDEX(Consulta!$A:$DP,MATCH('MM01'!$B111,Consulta!$C:$C,0),'MM01'!H$2),"")=0,"",IFERROR(INDEX(Consulta!$A:$DP,MATCH('MM01'!$B111,Consulta!$C:$C,0),'MM01'!H$2),""))</f>
        <v/>
      </c>
      <c r="I111" s="49" t="str">
        <f t="shared" si="83"/>
        <v/>
      </c>
      <c r="J111" s="49" t="str">
        <f>IF(IFERROR(INDEX(Consulta!$A:$DP,MATCH('MM01'!$B111,Consulta!$C:$C,0),'MM01'!J$2),"")=0,"",IFERROR(INDEX(Consulta!$A:$DP,MATCH('MM01'!$B111,Consulta!$C:$C,0),'MM01'!J$2),""))</f>
        <v/>
      </c>
      <c r="K111" s="49" t="str">
        <f t="shared" si="84"/>
        <v/>
      </c>
      <c r="M111" s="45" t="s">
        <v>101</v>
      </c>
      <c r="N111" s="45" t="s">
        <v>102</v>
      </c>
      <c r="O111" s="45" t="s">
        <v>103</v>
      </c>
      <c r="P111" s="45" t="s">
        <v>104</v>
      </c>
      <c r="Q111" s="45" t="s">
        <v>105</v>
      </c>
      <c r="R111" s="45" t="s">
        <v>106</v>
      </c>
      <c r="S111" s="45" t="s">
        <v>107</v>
      </c>
      <c r="T111" s="45"/>
      <c r="U111" s="45"/>
      <c r="V111" s="45"/>
      <c r="W111" s="45"/>
      <c r="X111" s="45" t="s">
        <v>112</v>
      </c>
      <c r="Y111" s="45" t="s">
        <v>113</v>
      </c>
      <c r="Z111" s="45" t="s">
        <v>114</v>
      </c>
      <c r="AA111" s="45" t="s">
        <v>115</v>
      </c>
      <c r="AB111" s="45" t="s">
        <v>117</v>
      </c>
      <c r="AC111" s="45" t="s">
        <v>118</v>
      </c>
      <c r="AD111" s="45" t="s">
        <v>119</v>
      </c>
      <c r="AE111" s="45" t="s">
        <v>120</v>
      </c>
      <c r="AF111" s="45" t="s">
        <v>121</v>
      </c>
      <c r="AG111" s="45" t="s">
        <v>122</v>
      </c>
      <c r="AH111" s="45" t="s">
        <v>123</v>
      </c>
      <c r="AI111" s="45" t="s">
        <v>124</v>
      </c>
      <c r="AJ111" s="45" t="s">
        <v>125</v>
      </c>
      <c r="AK111" s="45" t="s">
        <v>126</v>
      </c>
      <c r="AL111" s="45"/>
      <c r="AM111" s="45"/>
      <c r="AO111" s="44" t="s">
        <v>100</v>
      </c>
      <c r="AP111" s="43" t="str">
        <f>IF(IFERROR(INDEX(Consulta!$A:$DP,MATCH('MM01'!$B111,Consulta!$C:$C,0),'MM01'!AP$2),"")=0,"",IFERROR(INDEX(Consulta!$A:$DP,MATCH('MM01'!$B111,Consulta!$C:$C,0),'MM01'!AP$2),""))</f>
        <v/>
      </c>
      <c r="AQ111" s="45"/>
      <c r="AR111" s="43" t="str">
        <f>IF(IFERROR(INDEX(Consulta!$A:$DP,MATCH('MM01'!$B111,Consulta!$C:$C,0),'MM01'!AR$2),"")=0,"",IFERROR(INDEX(Consulta!$A:$DP,MATCH('MM01'!$B111,Consulta!$C:$C,0),'MM01'!AR$2),""))</f>
        <v/>
      </c>
      <c r="AS111" s="43" t="str">
        <f>IF(IFERROR(INDEX(Consulta!$A:$DP,MATCH('MM01'!$B111,Consulta!$C:$C,0),'MM01'!AS$2),"")=0,"",IF(AR111="68",5102,IFERROR(INDEX(Consulta!$A:$DP,MATCH('MM01'!$B111,Consulta!$C:$C,0),'MM01'!AS$2),"")))</f>
        <v/>
      </c>
      <c r="AT111" s="45"/>
      <c r="AU111" s="46" t="str">
        <f t="shared" ca="1" si="85"/>
        <v/>
      </c>
      <c r="AV111" s="47" t="s">
        <v>795</v>
      </c>
      <c r="AW111" s="43" t="str">
        <f>IF(IFERROR(INDEX(Consulta!$A:$DP,MATCH('MM01'!$B111,Consulta!$C:$C,0),'MM01'!AW$2),"")=0,"",IFERROR(ROUND(INDEX(Consulta!$A:$DP,MATCH('MM01'!$B111,Consulta!$C:$C,0),'MM01'!AW$2),3),""))</f>
        <v/>
      </c>
      <c r="AX111" s="43" t="str">
        <f t="shared" si="86"/>
        <v/>
      </c>
      <c r="AY111" s="48" t="s">
        <v>299</v>
      </c>
      <c r="AZ111" s="48"/>
      <c r="BA111" s="43" t="str">
        <f>IF(IFERROR(INDEX(Consulta!$A:$DP,MATCH('MM01'!$B111,Consulta!$C:$C,0),'MM01'!BA$2),"")=0,"",IFERROR(INDEX(Consulta!$A:$DP,MATCH('MM01'!$B111,Consulta!$C:$C,0),'MM01'!BA$2),""))</f>
        <v/>
      </c>
      <c r="BB111" s="43" t="str">
        <f t="shared" si="87"/>
        <v/>
      </c>
      <c r="BC111" s="43" t="str">
        <f t="shared" si="88"/>
        <v/>
      </c>
      <c r="BD111" s="43" t="str">
        <f t="shared" si="89"/>
        <v/>
      </c>
      <c r="BE111" s="43" t="str">
        <f t="shared" si="90"/>
        <v>M</v>
      </c>
      <c r="BF111" s="43" t="str">
        <f t="shared" si="91"/>
        <v/>
      </c>
      <c r="BG111" s="43" t="str">
        <f t="shared" si="92"/>
        <v/>
      </c>
      <c r="BH111" s="43" t="str">
        <f t="shared" si="93"/>
        <v/>
      </c>
      <c r="BI111" s="43" t="str">
        <f t="shared" si="94"/>
        <v>M</v>
      </c>
      <c r="BK111" s="45" t="s">
        <v>324</v>
      </c>
      <c r="BL111" s="43" t="str">
        <f>IF(IFERROR(INDEX(Consulta!$A:$DP,MATCH('MM01'!$B111,Consulta!$C:$C,0),'MM01'!BL$2),"")=0,"",IFERROR(INDEX(Consulta!$A:$DP,MATCH('MM01'!$B111,Consulta!$C:$C,0),'MM01'!BL$2),""))</f>
        <v/>
      </c>
      <c r="BM111" s="45"/>
      <c r="BN111" s="46" t="str">
        <f t="shared" ca="1" si="95"/>
        <v/>
      </c>
      <c r="BO111" s="49" t="str">
        <f t="shared" si="96"/>
        <v/>
      </c>
      <c r="BP111" s="50">
        <v>1</v>
      </c>
      <c r="BQ111" s="50" t="s">
        <v>194</v>
      </c>
      <c r="BR111" s="79" t="str">
        <f t="shared" si="81"/>
        <v>01</v>
      </c>
      <c r="BS111" s="50" t="s">
        <v>795</v>
      </c>
      <c r="BT111" s="44">
        <v>1</v>
      </c>
      <c r="BU111" s="44" t="s">
        <v>371</v>
      </c>
      <c r="BV111" s="50" t="s">
        <v>197</v>
      </c>
      <c r="BW111" s="50" t="s">
        <v>197</v>
      </c>
      <c r="BX111" s="43" t="str">
        <f>IF(IFERROR(INDEX(Consulta!$A:$DP,MATCH('MM01'!$B111,Consulta!$C:$C,0),'MM01'!BX$2),"")=0,"",IFERROR(INDEX(Consulta!$A:$DP,MATCH('MM01'!$B111,Consulta!$C:$C,0),'MM01'!BX$2),""))</f>
        <v/>
      </c>
      <c r="BY111" s="44" t="s">
        <v>391</v>
      </c>
      <c r="BZ111" s="50">
        <v>0</v>
      </c>
      <c r="CA111" s="45" t="s">
        <v>402</v>
      </c>
      <c r="CB111" s="45" t="s">
        <v>84</v>
      </c>
      <c r="CC111" s="43" t="str">
        <f t="shared" si="97"/>
        <v/>
      </c>
      <c r="CD111" s="45" t="s">
        <v>38</v>
      </c>
      <c r="CE111" s="45">
        <v>1</v>
      </c>
      <c r="CF111" s="45" t="s">
        <v>495</v>
      </c>
      <c r="CG111" s="45"/>
      <c r="CH111" s="44">
        <v>2</v>
      </c>
      <c r="CI111" s="49" t="str">
        <f t="shared" si="98"/>
        <v/>
      </c>
      <c r="CJ111" s="49" t="str">
        <f t="shared" si="99"/>
        <v/>
      </c>
      <c r="CK111" s="45"/>
      <c r="CL111" s="44">
        <v>1</v>
      </c>
      <c r="CM111" s="50" t="s">
        <v>514</v>
      </c>
      <c r="CN111" s="44" t="s">
        <v>371</v>
      </c>
      <c r="CO111" s="44">
        <v>2</v>
      </c>
      <c r="CP111" s="44">
        <v>42</v>
      </c>
      <c r="CQ111" s="44">
        <v>10</v>
      </c>
      <c r="CR111" s="43" t="str">
        <f t="shared" si="100"/>
        <v>K00_P_</v>
      </c>
      <c r="CS111" s="45">
        <v>5000</v>
      </c>
      <c r="CT111" s="43" t="str">
        <f>IF(IFERROR(INDEX(Consulta!$A:$DP,MATCH('MM01'!$B111,Consulta!$C:$C,0),'MM01'!CT$2),"")=0,"",IFERROR(INDEX(Consulta!$A:$DP,MATCH('MM01'!$B111,Consulta!$C:$C,0),'MM01'!CT$2),""))</f>
        <v/>
      </c>
      <c r="CU111" s="43" t="str">
        <f>IF(IFERROR(INDEX(Consulta!$A:$DP,MATCH('MM01'!$B111,Consulta!$C:$C,0),'MM01'!CU$2),"")=0,"",IFERROR(INDEX(Consulta!$A:$DP,MATCH('MM01'!$B111,Consulta!$C:$C,0),'MM01'!CU$2),""))</f>
        <v/>
      </c>
      <c r="CV111" s="43" t="str">
        <f>IF(IFERROR(INDEX(Consulta!$A:$DP,MATCH('MM01'!$B111,Consulta!$C:$C,0),'MM01'!CV$2),"")=0,"",IFERROR(INDEX(Consulta!$A:$DP,MATCH('MM01'!$B111,Consulta!$C:$C,0),'MM01'!CV$2),""))</f>
        <v/>
      </c>
      <c r="CW111" s="43" t="str">
        <f>IF(IFERROR(INDEX(Consulta!$A:$DP,MATCH('MM01'!$B111,Consulta!$C:$C,0),'MM01'!CW$2),"")=0,"",IFERROR(INDEX(Consulta!$A:$DP,MATCH('MM01'!$B111,Consulta!$C:$C,0),'MM01'!CW$2),""))</f>
        <v/>
      </c>
      <c r="CX111" s="43" t="str">
        <f t="shared" si="101"/>
        <v/>
      </c>
      <c r="CY111" s="43" t="str">
        <f t="shared" si="102"/>
        <v/>
      </c>
      <c r="CZ111" s="43" t="str">
        <f t="shared" si="103"/>
        <v/>
      </c>
      <c r="DA111" s="43" t="str">
        <f>IF(IFERROR(INDEX(Consulta!$A:$DP,MATCH('MM01'!$B111,Consulta!$C:$C,0),'MM01'!DA$2),"")=0,"",IFERROR(INDEX(Consulta!$A:$DP,MATCH('MM01'!$B111,Consulta!$C:$C,0),'MM01'!DA$2),""))</f>
        <v/>
      </c>
      <c r="DB111" s="43" t="str">
        <f t="shared" si="104"/>
        <v/>
      </c>
      <c r="DC111" s="43" t="str">
        <f>IF(IFERROR(INDEX(Consulta!$A:$DP,MATCH('MM01'!$B111,Consulta!$C:$C,0),'MM01'!DC$2),"")=0,"",IFERROR(INDEX(Consulta!$A:$DP,MATCH('MM01'!$B111,Consulta!$C:$C,0),'MM01'!DC$2),""))</f>
        <v/>
      </c>
      <c r="DD111" s="45">
        <v>0</v>
      </c>
      <c r="DE111" s="45">
        <v>0</v>
      </c>
      <c r="DF111" s="43" t="str">
        <f t="shared" si="105"/>
        <v/>
      </c>
      <c r="DG111" s="43" t="str">
        <f t="shared" si="106"/>
        <v/>
      </c>
      <c r="DH111" s="57"/>
      <c r="DI111" s="43" t="str">
        <f t="shared" ca="1" si="107"/>
        <v/>
      </c>
      <c r="DJ111" s="43" t="str">
        <f t="shared" si="108"/>
        <v/>
      </c>
      <c r="DK111" s="43" t="str">
        <f t="shared" si="109"/>
        <v/>
      </c>
      <c r="DL111" s="57"/>
      <c r="DM111" s="43" t="str">
        <f t="shared" ca="1" si="110"/>
        <v/>
      </c>
      <c r="DN111" s="43" t="str">
        <f t="shared" si="111"/>
        <v/>
      </c>
      <c r="DO111" s="43" t="str">
        <f t="shared" si="112"/>
        <v/>
      </c>
      <c r="DP111" s="57"/>
      <c r="DQ111" s="43" t="str">
        <f t="shared" ca="1" si="113"/>
        <v/>
      </c>
      <c r="DR111" s="43" t="str">
        <f t="shared" si="114"/>
        <v/>
      </c>
      <c r="DS111" s="43" t="str">
        <f t="shared" si="115"/>
        <v/>
      </c>
      <c r="DT111" s="57"/>
      <c r="DU111" s="43" t="str">
        <f t="shared" ca="1" si="116"/>
        <v/>
      </c>
      <c r="DV111" s="43" t="str">
        <f t="shared" si="117"/>
        <v/>
      </c>
      <c r="DX111" s="44">
        <v>1</v>
      </c>
      <c r="DY111" s="44" t="s">
        <v>773</v>
      </c>
      <c r="DZ111" s="43">
        <f t="shared" si="118"/>
        <v>0.01</v>
      </c>
      <c r="EA111" s="43" t="str">
        <f t="shared" si="119"/>
        <v>M</v>
      </c>
      <c r="EB111" s="43" t="str">
        <f>IF(IFERROR(INDEX(Consulta!$A:$DP,MATCH('MM01'!$B111,Consulta!$C:$C,0),'MM01'!EB$2),"")=0,"7925",IF(IFERROR(INDEX(Consulta!$A:$DP,MATCH('MM01'!$B111,Consulta!$C:$C,0),'MM01'!EB$2),"")="68","7910","7925"))</f>
        <v>7925</v>
      </c>
      <c r="EC111" s="44">
        <v>100</v>
      </c>
      <c r="ED111" s="62">
        <v>1</v>
      </c>
      <c r="EE111" s="43">
        <f t="shared" si="120"/>
        <v>100</v>
      </c>
      <c r="EF111" s="44">
        <v>1</v>
      </c>
      <c r="EG111" s="44">
        <v>0</v>
      </c>
      <c r="EH111" s="44" t="s">
        <v>875</v>
      </c>
      <c r="EI111" s="45">
        <v>0</v>
      </c>
      <c r="EJ111" s="43">
        <f t="shared" si="121"/>
        <v>5000</v>
      </c>
      <c r="EK111" s="69"/>
    </row>
    <row r="112" spans="1:141" x14ac:dyDescent="0.2">
      <c r="A112" s="7" t="str">
        <f t="shared" si="82"/>
        <v>Execução 108</v>
      </c>
      <c r="B112" s="42"/>
      <c r="C112" s="43" t="str">
        <f>IF(IFERROR(INDEX(Consulta!$A:$DP,MATCH('MM01'!$B112,Consulta!$C:$C,0),'MM01'!C$2),"")=0,"",IFERROR(INDEX(Consulta!$A:$DP,MATCH('MM01'!$B112,Consulta!$C:$C,0),'MM01'!C$2),""))</f>
        <v/>
      </c>
      <c r="D112" s="43" t="str">
        <f>IF(IFERROR(INDEX(Consulta!$A:$DP,MATCH('MM01'!$B112,Consulta!$C:$C,0),'MM01'!D$2),"")=0,"",IFERROR(INDEX(Consulta!$A:$DP,MATCH('MM01'!$B112,Consulta!$C:$C,0),'MM01'!D$2),""))</f>
        <v/>
      </c>
      <c r="E112" s="43" t="str">
        <f>IF(IFERROR(INDEX(Consulta!$A:$DP,MATCH('MM01'!$B112,Consulta!$C:$C,0),'MM01'!E$2),"")=0,"",IFERROR(INDEX(Consulta!$A:$DP,MATCH('MM01'!$B112,Consulta!$C:$C,0),'MM01'!E$2),""))</f>
        <v/>
      </c>
      <c r="F112" s="44" t="s">
        <v>100</v>
      </c>
      <c r="G112" s="49" t="str">
        <f>IF(IFERROR(INDEX(Consulta!$A:$DP,MATCH('MM01'!$B112,Consulta!$C:$C,0),'MM01'!G$2),"")=0,"",IFERROR(INDEX(Consulta!$A:$DP,MATCH('MM01'!$B112,Consulta!$C:$C,0),'MM01'!G$2),""))</f>
        <v/>
      </c>
      <c r="H112" s="49" t="str">
        <f>IF(IFERROR(INDEX(Consulta!$A:$DP,MATCH('MM01'!$B112,Consulta!$C:$C,0),'MM01'!H$2),"")=0,"",IFERROR(INDEX(Consulta!$A:$DP,MATCH('MM01'!$B112,Consulta!$C:$C,0),'MM01'!H$2),""))</f>
        <v/>
      </c>
      <c r="I112" s="49" t="str">
        <f t="shared" si="83"/>
        <v/>
      </c>
      <c r="J112" s="49" t="str">
        <f>IF(IFERROR(INDEX(Consulta!$A:$DP,MATCH('MM01'!$B112,Consulta!$C:$C,0),'MM01'!J$2),"")=0,"",IFERROR(INDEX(Consulta!$A:$DP,MATCH('MM01'!$B112,Consulta!$C:$C,0),'MM01'!J$2),""))</f>
        <v/>
      </c>
      <c r="K112" s="49" t="str">
        <f t="shared" si="84"/>
        <v/>
      </c>
      <c r="M112" s="45" t="s">
        <v>101</v>
      </c>
      <c r="N112" s="45" t="s">
        <v>102</v>
      </c>
      <c r="O112" s="45" t="s">
        <v>103</v>
      </c>
      <c r="P112" s="45" t="s">
        <v>104</v>
      </c>
      <c r="Q112" s="45" t="s">
        <v>105</v>
      </c>
      <c r="R112" s="45" t="s">
        <v>106</v>
      </c>
      <c r="S112" s="45" t="s">
        <v>107</v>
      </c>
      <c r="T112" s="45"/>
      <c r="U112" s="45"/>
      <c r="V112" s="45"/>
      <c r="W112" s="45"/>
      <c r="X112" s="45" t="s">
        <v>112</v>
      </c>
      <c r="Y112" s="45" t="s">
        <v>113</v>
      </c>
      <c r="Z112" s="45" t="s">
        <v>114</v>
      </c>
      <c r="AA112" s="45" t="s">
        <v>115</v>
      </c>
      <c r="AB112" s="45" t="s">
        <v>117</v>
      </c>
      <c r="AC112" s="45" t="s">
        <v>118</v>
      </c>
      <c r="AD112" s="45" t="s">
        <v>119</v>
      </c>
      <c r="AE112" s="45" t="s">
        <v>120</v>
      </c>
      <c r="AF112" s="45" t="s">
        <v>121</v>
      </c>
      <c r="AG112" s="45" t="s">
        <v>122</v>
      </c>
      <c r="AH112" s="45" t="s">
        <v>123</v>
      </c>
      <c r="AI112" s="45" t="s">
        <v>124</v>
      </c>
      <c r="AJ112" s="45" t="s">
        <v>125</v>
      </c>
      <c r="AK112" s="45" t="s">
        <v>126</v>
      </c>
      <c r="AL112" s="45"/>
      <c r="AM112" s="45"/>
      <c r="AO112" s="44" t="s">
        <v>100</v>
      </c>
      <c r="AP112" s="43" t="str">
        <f>IF(IFERROR(INDEX(Consulta!$A:$DP,MATCH('MM01'!$B112,Consulta!$C:$C,0),'MM01'!AP$2),"")=0,"",IFERROR(INDEX(Consulta!$A:$DP,MATCH('MM01'!$B112,Consulta!$C:$C,0),'MM01'!AP$2),""))</f>
        <v/>
      </c>
      <c r="AQ112" s="45"/>
      <c r="AR112" s="43" t="str">
        <f>IF(IFERROR(INDEX(Consulta!$A:$DP,MATCH('MM01'!$B112,Consulta!$C:$C,0),'MM01'!AR$2),"")=0,"",IFERROR(INDEX(Consulta!$A:$DP,MATCH('MM01'!$B112,Consulta!$C:$C,0),'MM01'!AR$2),""))</f>
        <v/>
      </c>
      <c r="AS112" s="43" t="str">
        <f>IF(IFERROR(INDEX(Consulta!$A:$DP,MATCH('MM01'!$B112,Consulta!$C:$C,0),'MM01'!AS$2),"")=0,"",IF(AR112="68",5102,IFERROR(INDEX(Consulta!$A:$DP,MATCH('MM01'!$B112,Consulta!$C:$C,0),'MM01'!AS$2),"")))</f>
        <v/>
      </c>
      <c r="AT112" s="45"/>
      <c r="AU112" s="46" t="str">
        <f t="shared" ca="1" si="85"/>
        <v/>
      </c>
      <c r="AV112" s="47" t="s">
        <v>795</v>
      </c>
      <c r="AW112" s="43" t="str">
        <f>IF(IFERROR(INDEX(Consulta!$A:$DP,MATCH('MM01'!$B112,Consulta!$C:$C,0),'MM01'!AW$2),"")=0,"",IFERROR(ROUND(INDEX(Consulta!$A:$DP,MATCH('MM01'!$B112,Consulta!$C:$C,0),'MM01'!AW$2),3),""))</f>
        <v/>
      </c>
      <c r="AX112" s="43" t="str">
        <f t="shared" si="86"/>
        <v/>
      </c>
      <c r="AY112" s="48" t="s">
        <v>299</v>
      </c>
      <c r="AZ112" s="48"/>
      <c r="BA112" s="43" t="str">
        <f>IF(IFERROR(INDEX(Consulta!$A:$DP,MATCH('MM01'!$B112,Consulta!$C:$C,0),'MM01'!BA$2),"")=0,"",IFERROR(INDEX(Consulta!$A:$DP,MATCH('MM01'!$B112,Consulta!$C:$C,0),'MM01'!BA$2),""))</f>
        <v/>
      </c>
      <c r="BB112" s="43" t="str">
        <f t="shared" si="87"/>
        <v/>
      </c>
      <c r="BC112" s="43" t="str">
        <f t="shared" si="88"/>
        <v/>
      </c>
      <c r="BD112" s="43" t="str">
        <f t="shared" si="89"/>
        <v/>
      </c>
      <c r="BE112" s="43" t="str">
        <f t="shared" si="90"/>
        <v>M</v>
      </c>
      <c r="BF112" s="43" t="str">
        <f t="shared" si="91"/>
        <v/>
      </c>
      <c r="BG112" s="43" t="str">
        <f t="shared" si="92"/>
        <v/>
      </c>
      <c r="BH112" s="43" t="str">
        <f t="shared" si="93"/>
        <v/>
      </c>
      <c r="BI112" s="43" t="str">
        <f t="shared" si="94"/>
        <v>M</v>
      </c>
      <c r="BK112" s="45" t="s">
        <v>324</v>
      </c>
      <c r="BL112" s="43" t="str">
        <f>IF(IFERROR(INDEX(Consulta!$A:$DP,MATCH('MM01'!$B112,Consulta!$C:$C,0),'MM01'!BL$2),"")=0,"",IFERROR(INDEX(Consulta!$A:$DP,MATCH('MM01'!$B112,Consulta!$C:$C,0),'MM01'!BL$2),""))</f>
        <v/>
      </c>
      <c r="BM112" s="45"/>
      <c r="BN112" s="46" t="str">
        <f t="shared" ca="1" si="95"/>
        <v/>
      </c>
      <c r="BO112" s="49" t="str">
        <f t="shared" si="96"/>
        <v/>
      </c>
      <c r="BP112" s="50">
        <v>1</v>
      </c>
      <c r="BQ112" s="50" t="s">
        <v>194</v>
      </c>
      <c r="BR112" s="79" t="str">
        <f t="shared" si="81"/>
        <v>01</v>
      </c>
      <c r="BS112" s="50" t="s">
        <v>795</v>
      </c>
      <c r="BT112" s="44">
        <v>1</v>
      </c>
      <c r="BU112" s="44" t="s">
        <v>371</v>
      </c>
      <c r="BV112" s="50" t="s">
        <v>197</v>
      </c>
      <c r="BW112" s="50" t="s">
        <v>197</v>
      </c>
      <c r="BX112" s="43" t="str">
        <f>IF(IFERROR(INDEX(Consulta!$A:$DP,MATCH('MM01'!$B112,Consulta!$C:$C,0),'MM01'!BX$2),"")=0,"",IFERROR(INDEX(Consulta!$A:$DP,MATCH('MM01'!$B112,Consulta!$C:$C,0),'MM01'!BX$2),""))</f>
        <v/>
      </c>
      <c r="BY112" s="44" t="s">
        <v>391</v>
      </c>
      <c r="BZ112" s="50">
        <v>0</v>
      </c>
      <c r="CA112" s="45" t="s">
        <v>402</v>
      </c>
      <c r="CB112" s="45" t="s">
        <v>84</v>
      </c>
      <c r="CC112" s="43" t="str">
        <f t="shared" si="97"/>
        <v/>
      </c>
      <c r="CD112" s="45" t="s">
        <v>38</v>
      </c>
      <c r="CE112" s="45">
        <v>1</v>
      </c>
      <c r="CF112" s="45" t="s">
        <v>495</v>
      </c>
      <c r="CG112" s="45"/>
      <c r="CH112" s="44">
        <v>2</v>
      </c>
      <c r="CI112" s="49" t="str">
        <f t="shared" si="98"/>
        <v/>
      </c>
      <c r="CJ112" s="49" t="str">
        <f t="shared" si="99"/>
        <v/>
      </c>
      <c r="CK112" s="45"/>
      <c r="CL112" s="44">
        <v>1</v>
      </c>
      <c r="CM112" s="50" t="s">
        <v>514</v>
      </c>
      <c r="CN112" s="44" t="s">
        <v>371</v>
      </c>
      <c r="CO112" s="44">
        <v>2</v>
      </c>
      <c r="CP112" s="44">
        <v>42</v>
      </c>
      <c r="CQ112" s="44">
        <v>10</v>
      </c>
      <c r="CR112" s="43" t="str">
        <f t="shared" si="100"/>
        <v>K00_P_</v>
      </c>
      <c r="CS112" s="45">
        <v>5000</v>
      </c>
      <c r="CT112" s="43" t="str">
        <f>IF(IFERROR(INDEX(Consulta!$A:$DP,MATCH('MM01'!$B112,Consulta!$C:$C,0),'MM01'!CT$2),"")=0,"",IFERROR(INDEX(Consulta!$A:$DP,MATCH('MM01'!$B112,Consulta!$C:$C,0),'MM01'!CT$2),""))</f>
        <v/>
      </c>
      <c r="CU112" s="43" t="str">
        <f>IF(IFERROR(INDEX(Consulta!$A:$DP,MATCH('MM01'!$B112,Consulta!$C:$C,0),'MM01'!CU$2),"")=0,"",IFERROR(INDEX(Consulta!$A:$DP,MATCH('MM01'!$B112,Consulta!$C:$C,0),'MM01'!CU$2),""))</f>
        <v/>
      </c>
      <c r="CV112" s="43" t="str">
        <f>IF(IFERROR(INDEX(Consulta!$A:$DP,MATCH('MM01'!$B112,Consulta!$C:$C,0),'MM01'!CV$2),"")=0,"",IFERROR(INDEX(Consulta!$A:$DP,MATCH('MM01'!$B112,Consulta!$C:$C,0),'MM01'!CV$2),""))</f>
        <v/>
      </c>
      <c r="CW112" s="43" t="str">
        <f>IF(IFERROR(INDEX(Consulta!$A:$DP,MATCH('MM01'!$B112,Consulta!$C:$C,0),'MM01'!CW$2),"")=0,"",IFERROR(INDEX(Consulta!$A:$DP,MATCH('MM01'!$B112,Consulta!$C:$C,0),'MM01'!CW$2),""))</f>
        <v/>
      </c>
      <c r="CX112" s="43" t="str">
        <f t="shared" si="101"/>
        <v/>
      </c>
      <c r="CY112" s="43" t="str">
        <f t="shared" si="102"/>
        <v/>
      </c>
      <c r="CZ112" s="43" t="str">
        <f t="shared" si="103"/>
        <v/>
      </c>
      <c r="DA112" s="43" t="str">
        <f>IF(IFERROR(INDEX(Consulta!$A:$DP,MATCH('MM01'!$B112,Consulta!$C:$C,0),'MM01'!DA$2),"")=0,"",IFERROR(INDEX(Consulta!$A:$DP,MATCH('MM01'!$B112,Consulta!$C:$C,0),'MM01'!DA$2),""))</f>
        <v/>
      </c>
      <c r="DB112" s="43" t="str">
        <f t="shared" si="104"/>
        <v/>
      </c>
      <c r="DC112" s="43" t="str">
        <f>IF(IFERROR(INDEX(Consulta!$A:$DP,MATCH('MM01'!$B112,Consulta!$C:$C,0),'MM01'!DC$2),"")=0,"",IFERROR(INDEX(Consulta!$A:$DP,MATCH('MM01'!$B112,Consulta!$C:$C,0),'MM01'!DC$2),""))</f>
        <v/>
      </c>
      <c r="DD112" s="45">
        <v>0</v>
      </c>
      <c r="DE112" s="45">
        <v>0</v>
      </c>
      <c r="DF112" s="43" t="str">
        <f t="shared" si="105"/>
        <v/>
      </c>
      <c r="DG112" s="43" t="str">
        <f t="shared" si="106"/>
        <v/>
      </c>
      <c r="DH112" s="57"/>
      <c r="DI112" s="43" t="str">
        <f t="shared" ca="1" si="107"/>
        <v/>
      </c>
      <c r="DJ112" s="43" t="str">
        <f t="shared" si="108"/>
        <v/>
      </c>
      <c r="DK112" s="43" t="str">
        <f t="shared" si="109"/>
        <v/>
      </c>
      <c r="DL112" s="57"/>
      <c r="DM112" s="43" t="str">
        <f t="shared" ca="1" si="110"/>
        <v/>
      </c>
      <c r="DN112" s="43" t="str">
        <f t="shared" si="111"/>
        <v/>
      </c>
      <c r="DO112" s="43" t="str">
        <f t="shared" si="112"/>
        <v/>
      </c>
      <c r="DP112" s="57"/>
      <c r="DQ112" s="43" t="str">
        <f t="shared" ca="1" si="113"/>
        <v/>
      </c>
      <c r="DR112" s="43" t="str">
        <f t="shared" si="114"/>
        <v/>
      </c>
      <c r="DS112" s="43" t="str">
        <f t="shared" si="115"/>
        <v/>
      </c>
      <c r="DT112" s="57"/>
      <c r="DU112" s="43" t="str">
        <f t="shared" ca="1" si="116"/>
        <v/>
      </c>
      <c r="DV112" s="43" t="str">
        <f t="shared" si="117"/>
        <v/>
      </c>
      <c r="DX112" s="44">
        <v>1</v>
      </c>
      <c r="DY112" s="44" t="s">
        <v>773</v>
      </c>
      <c r="DZ112" s="43">
        <f t="shared" si="118"/>
        <v>0.01</v>
      </c>
      <c r="EA112" s="43" t="str">
        <f t="shared" si="119"/>
        <v>M</v>
      </c>
      <c r="EB112" s="43" t="str">
        <f>IF(IFERROR(INDEX(Consulta!$A:$DP,MATCH('MM01'!$B112,Consulta!$C:$C,0),'MM01'!EB$2),"")=0,"7925",IF(IFERROR(INDEX(Consulta!$A:$DP,MATCH('MM01'!$B112,Consulta!$C:$C,0),'MM01'!EB$2),"")="68","7910","7925"))</f>
        <v>7925</v>
      </c>
      <c r="EC112" s="44">
        <v>100</v>
      </c>
      <c r="ED112" s="62">
        <v>1</v>
      </c>
      <c r="EE112" s="43">
        <f t="shared" si="120"/>
        <v>100</v>
      </c>
      <c r="EF112" s="44">
        <v>1</v>
      </c>
      <c r="EG112" s="44">
        <v>0</v>
      </c>
      <c r="EH112" s="44" t="s">
        <v>875</v>
      </c>
      <c r="EI112" s="45">
        <v>0</v>
      </c>
      <c r="EJ112" s="43">
        <f t="shared" si="121"/>
        <v>5000</v>
      </c>
      <c r="EK112" s="69"/>
    </row>
    <row r="113" spans="1:141" x14ac:dyDescent="0.2">
      <c r="A113" s="7" t="str">
        <f t="shared" si="82"/>
        <v>Execução 109</v>
      </c>
      <c r="B113" s="42"/>
      <c r="C113" s="43" t="str">
        <f>IF(IFERROR(INDEX(Consulta!$A:$DP,MATCH('MM01'!$B113,Consulta!$C:$C,0),'MM01'!C$2),"")=0,"",IFERROR(INDEX(Consulta!$A:$DP,MATCH('MM01'!$B113,Consulta!$C:$C,0),'MM01'!C$2),""))</f>
        <v/>
      </c>
      <c r="D113" s="43" t="str">
        <f>IF(IFERROR(INDEX(Consulta!$A:$DP,MATCH('MM01'!$B113,Consulta!$C:$C,0),'MM01'!D$2),"")=0,"",IFERROR(INDEX(Consulta!$A:$DP,MATCH('MM01'!$B113,Consulta!$C:$C,0),'MM01'!D$2),""))</f>
        <v/>
      </c>
      <c r="E113" s="43" t="str">
        <f>IF(IFERROR(INDEX(Consulta!$A:$DP,MATCH('MM01'!$B113,Consulta!$C:$C,0),'MM01'!E$2),"")=0,"",IFERROR(INDEX(Consulta!$A:$DP,MATCH('MM01'!$B113,Consulta!$C:$C,0),'MM01'!E$2),""))</f>
        <v/>
      </c>
      <c r="F113" s="44" t="s">
        <v>100</v>
      </c>
      <c r="G113" s="49" t="str">
        <f>IF(IFERROR(INDEX(Consulta!$A:$DP,MATCH('MM01'!$B113,Consulta!$C:$C,0),'MM01'!G$2),"")=0,"",IFERROR(INDEX(Consulta!$A:$DP,MATCH('MM01'!$B113,Consulta!$C:$C,0),'MM01'!G$2),""))</f>
        <v/>
      </c>
      <c r="H113" s="49" t="str">
        <f>IF(IFERROR(INDEX(Consulta!$A:$DP,MATCH('MM01'!$B113,Consulta!$C:$C,0),'MM01'!H$2),"")=0,"",IFERROR(INDEX(Consulta!$A:$DP,MATCH('MM01'!$B113,Consulta!$C:$C,0),'MM01'!H$2),""))</f>
        <v/>
      </c>
      <c r="I113" s="49" t="str">
        <f t="shared" si="83"/>
        <v/>
      </c>
      <c r="J113" s="49" t="str">
        <f>IF(IFERROR(INDEX(Consulta!$A:$DP,MATCH('MM01'!$B113,Consulta!$C:$C,0),'MM01'!J$2),"")=0,"",IFERROR(INDEX(Consulta!$A:$DP,MATCH('MM01'!$B113,Consulta!$C:$C,0),'MM01'!J$2),""))</f>
        <v/>
      </c>
      <c r="K113" s="49" t="str">
        <f t="shared" si="84"/>
        <v/>
      </c>
      <c r="M113" s="45" t="s">
        <v>101</v>
      </c>
      <c r="N113" s="45" t="s">
        <v>102</v>
      </c>
      <c r="O113" s="45" t="s">
        <v>103</v>
      </c>
      <c r="P113" s="45" t="s">
        <v>104</v>
      </c>
      <c r="Q113" s="45" t="s">
        <v>105</v>
      </c>
      <c r="R113" s="45" t="s">
        <v>106</v>
      </c>
      <c r="S113" s="45" t="s">
        <v>107</v>
      </c>
      <c r="T113" s="45"/>
      <c r="U113" s="45"/>
      <c r="V113" s="45"/>
      <c r="W113" s="45"/>
      <c r="X113" s="45" t="s">
        <v>112</v>
      </c>
      <c r="Y113" s="45" t="s">
        <v>113</v>
      </c>
      <c r="Z113" s="45" t="s">
        <v>114</v>
      </c>
      <c r="AA113" s="45" t="s">
        <v>115</v>
      </c>
      <c r="AB113" s="45" t="s">
        <v>117</v>
      </c>
      <c r="AC113" s="45" t="s">
        <v>118</v>
      </c>
      <c r="AD113" s="45" t="s">
        <v>119</v>
      </c>
      <c r="AE113" s="45" t="s">
        <v>120</v>
      </c>
      <c r="AF113" s="45" t="s">
        <v>121</v>
      </c>
      <c r="AG113" s="45" t="s">
        <v>122</v>
      </c>
      <c r="AH113" s="45" t="s">
        <v>123</v>
      </c>
      <c r="AI113" s="45" t="s">
        <v>124</v>
      </c>
      <c r="AJ113" s="45" t="s">
        <v>125</v>
      </c>
      <c r="AK113" s="45" t="s">
        <v>126</v>
      </c>
      <c r="AL113" s="45"/>
      <c r="AM113" s="45"/>
      <c r="AO113" s="44" t="s">
        <v>100</v>
      </c>
      <c r="AP113" s="43" t="str">
        <f>IF(IFERROR(INDEX(Consulta!$A:$DP,MATCH('MM01'!$B113,Consulta!$C:$C,0),'MM01'!AP$2),"")=0,"",IFERROR(INDEX(Consulta!$A:$DP,MATCH('MM01'!$B113,Consulta!$C:$C,0),'MM01'!AP$2),""))</f>
        <v/>
      </c>
      <c r="AQ113" s="45"/>
      <c r="AR113" s="43" t="str">
        <f>IF(IFERROR(INDEX(Consulta!$A:$DP,MATCH('MM01'!$B113,Consulta!$C:$C,0),'MM01'!AR$2),"")=0,"",IFERROR(INDEX(Consulta!$A:$DP,MATCH('MM01'!$B113,Consulta!$C:$C,0),'MM01'!AR$2),""))</f>
        <v/>
      </c>
      <c r="AS113" s="43" t="str">
        <f>IF(IFERROR(INDEX(Consulta!$A:$DP,MATCH('MM01'!$B113,Consulta!$C:$C,0),'MM01'!AS$2),"")=0,"",IF(AR113="68",5102,IFERROR(INDEX(Consulta!$A:$DP,MATCH('MM01'!$B113,Consulta!$C:$C,0),'MM01'!AS$2),"")))</f>
        <v/>
      </c>
      <c r="AT113" s="45"/>
      <c r="AU113" s="46" t="str">
        <f t="shared" ca="1" si="85"/>
        <v/>
      </c>
      <c r="AV113" s="47" t="s">
        <v>795</v>
      </c>
      <c r="AW113" s="43" t="str">
        <f>IF(IFERROR(INDEX(Consulta!$A:$DP,MATCH('MM01'!$B113,Consulta!$C:$C,0),'MM01'!AW$2),"")=0,"",IFERROR(ROUND(INDEX(Consulta!$A:$DP,MATCH('MM01'!$B113,Consulta!$C:$C,0),'MM01'!AW$2),3),""))</f>
        <v/>
      </c>
      <c r="AX113" s="43" t="str">
        <f t="shared" si="86"/>
        <v/>
      </c>
      <c r="AY113" s="48" t="s">
        <v>299</v>
      </c>
      <c r="AZ113" s="48"/>
      <c r="BA113" s="43" t="str">
        <f>IF(IFERROR(INDEX(Consulta!$A:$DP,MATCH('MM01'!$B113,Consulta!$C:$C,0),'MM01'!BA$2),"")=0,"",IFERROR(INDEX(Consulta!$A:$DP,MATCH('MM01'!$B113,Consulta!$C:$C,0),'MM01'!BA$2),""))</f>
        <v/>
      </c>
      <c r="BB113" s="43" t="str">
        <f t="shared" si="87"/>
        <v/>
      </c>
      <c r="BC113" s="43" t="str">
        <f t="shared" si="88"/>
        <v/>
      </c>
      <c r="BD113" s="43" t="str">
        <f t="shared" si="89"/>
        <v/>
      </c>
      <c r="BE113" s="43" t="str">
        <f t="shared" si="90"/>
        <v>M</v>
      </c>
      <c r="BF113" s="43" t="str">
        <f t="shared" si="91"/>
        <v/>
      </c>
      <c r="BG113" s="43" t="str">
        <f t="shared" si="92"/>
        <v/>
      </c>
      <c r="BH113" s="43" t="str">
        <f t="shared" si="93"/>
        <v/>
      </c>
      <c r="BI113" s="43" t="str">
        <f t="shared" si="94"/>
        <v>M</v>
      </c>
      <c r="BK113" s="45" t="s">
        <v>324</v>
      </c>
      <c r="BL113" s="43" t="str">
        <f>IF(IFERROR(INDEX(Consulta!$A:$DP,MATCH('MM01'!$B113,Consulta!$C:$C,0),'MM01'!BL$2),"")=0,"",IFERROR(INDEX(Consulta!$A:$DP,MATCH('MM01'!$B113,Consulta!$C:$C,0),'MM01'!BL$2),""))</f>
        <v/>
      </c>
      <c r="BM113" s="45"/>
      <c r="BN113" s="46" t="str">
        <f t="shared" ca="1" si="95"/>
        <v/>
      </c>
      <c r="BO113" s="49" t="str">
        <f t="shared" si="96"/>
        <v/>
      </c>
      <c r="BP113" s="50">
        <v>1</v>
      </c>
      <c r="BQ113" s="50" t="s">
        <v>194</v>
      </c>
      <c r="BR113" s="79" t="str">
        <f t="shared" si="81"/>
        <v>01</v>
      </c>
      <c r="BS113" s="50" t="s">
        <v>795</v>
      </c>
      <c r="BT113" s="44">
        <v>1</v>
      </c>
      <c r="BU113" s="44" t="s">
        <v>371</v>
      </c>
      <c r="BV113" s="50" t="s">
        <v>197</v>
      </c>
      <c r="BW113" s="50" t="s">
        <v>197</v>
      </c>
      <c r="BX113" s="43" t="str">
        <f>IF(IFERROR(INDEX(Consulta!$A:$DP,MATCH('MM01'!$B113,Consulta!$C:$C,0),'MM01'!BX$2),"")=0,"",IFERROR(INDEX(Consulta!$A:$DP,MATCH('MM01'!$B113,Consulta!$C:$C,0),'MM01'!BX$2),""))</f>
        <v/>
      </c>
      <c r="BY113" s="44" t="s">
        <v>391</v>
      </c>
      <c r="BZ113" s="50">
        <v>0</v>
      </c>
      <c r="CA113" s="45" t="s">
        <v>402</v>
      </c>
      <c r="CB113" s="45" t="s">
        <v>84</v>
      </c>
      <c r="CC113" s="43" t="str">
        <f t="shared" si="97"/>
        <v/>
      </c>
      <c r="CD113" s="45" t="s">
        <v>38</v>
      </c>
      <c r="CE113" s="45">
        <v>1</v>
      </c>
      <c r="CF113" s="45" t="s">
        <v>495</v>
      </c>
      <c r="CG113" s="45"/>
      <c r="CH113" s="44">
        <v>2</v>
      </c>
      <c r="CI113" s="49" t="str">
        <f t="shared" si="98"/>
        <v/>
      </c>
      <c r="CJ113" s="49" t="str">
        <f t="shared" si="99"/>
        <v/>
      </c>
      <c r="CK113" s="45"/>
      <c r="CL113" s="44">
        <v>1</v>
      </c>
      <c r="CM113" s="50" t="s">
        <v>514</v>
      </c>
      <c r="CN113" s="44" t="s">
        <v>371</v>
      </c>
      <c r="CO113" s="44">
        <v>2</v>
      </c>
      <c r="CP113" s="44">
        <v>42</v>
      </c>
      <c r="CQ113" s="44">
        <v>10</v>
      </c>
      <c r="CR113" s="43" t="str">
        <f t="shared" si="100"/>
        <v>K00_P_</v>
      </c>
      <c r="CS113" s="45">
        <v>5000</v>
      </c>
      <c r="CT113" s="43" t="str">
        <f>IF(IFERROR(INDEX(Consulta!$A:$DP,MATCH('MM01'!$B113,Consulta!$C:$C,0),'MM01'!CT$2),"")=0,"",IFERROR(INDEX(Consulta!$A:$DP,MATCH('MM01'!$B113,Consulta!$C:$C,0),'MM01'!CT$2),""))</f>
        <v/>
      </c>
      <c r="CU113" s="43" t="str">
        <f>IF(IFERROR(INDEX(Consulta!$A:$DP,MATCH('MM01'!$B113,Consulta!$C:$C,0),'MM01'!CU$2),"")=0,"",IFERROR(INDEX(Consulta!$A:$DP,MATCH('MM01'!$B113,Consulta!$C:$C,0),'MM01'!CU$2),""))</f>
        <v/>
      </c>
      <c r="CV113" s="43" t="str">
        <f>IF(IFERROR(INDEX(Consulta!$A:$DP,MATCH('MM01'!$B113,Consulta!$C:$C,0),'MM01'!CV$2),"")=0,"",IFERROR(INDEX(Consulta!$A:$DP,MATCH('MM01'!$B113,Consulta!$C:$C,0),'MM01'!CV$2),""))</f>
        <v/>
      </c>
      <c r="CW113" s="43" t="str">
        <f>IF(IFERROR(INDEX(Consulta!$A:$DP,MATCH('MM01'!$B113,Consulta!$C:$C,0),'MM01'!CW$2),"")=0,"",IFERROR(INDEX(Consulta!$A:$DP,MATCH('MM01'!$B113,Consulta!$C:$C,0),'MM01'!CW$2),""))</f>
        <v/>
      </c>
      <c r="CX113" s="43" t="str">
        <f t="shared" si="101"/>
        <v/>
      </c>
      <c r="CY113" s="43" t="str">
        <f t="shared" si="102"/>
        <v/>
      </c>
      <c r="CZ113" s="43" t="str">
        <f t="shared" si="103"/>
        <v/>
      </c>
      <c r="DA113" s="43" t="str">
        <f>IF(IFERROR(INDEX(Consulta!$A:$DP,MATCH('MM01'!$B113,Consulta!$C:$C,0),'MM01'!DA$2),"")=0,"",IFERROR(INDEX(Consulta!$A:$DP,MATCH('MM01'!$B113,Consulta!$C:$C,0),'MM01'!DA$2),""))</f>
        <v/>
      </c>
      <c r="DB113" s="43" t="str">
        <f t="shared" si="104"/>
        <v/>
      </c>
      <c r="DC113" s="43" t="str">
        <f>IF(IFERROR(INDEX(Consulta!$A:$DP,MATCH('MM01'!$B113,Consulta!$C:$C,0),'MM01'!DC$2),"")=0,"",IFERROR(INDEX(Consulta!$A:$DP,MATCH('MM01'!$B113,Consulta!$C:$C,0),'MM01'!DC$2),""))</f>
        <v/>
      </c>
      <c r="DD113" s="45">
        <v>0</v>
      </c>
      <c r="DE113" s="45">
        <v>0</v>
      </c>
      <c r="DF113" s="43" t="str">
        <f t="shared" si="105"/>
        <v/>
      </c>
      <c r="DG113" s="43" t="str">
        <f t="shared" si="106"/>
        <v/>
      </c>
      <c r="DH113" s="57"/>
      <c r="DI113" s="43" t="str">
        <f t="shared" ca="1" si="107"/>
        <v/>
      </c>
      <c r="DJ113" s="43" t="str">
        <f t="shared" si="108"/>
        <v/>
      </c>
      <c r="DK113" s="43" t="str">
        <f t="shared" si="109"/>
        <v/>
      </c>
      <c r="DL113" s="57"/>
      <c r="DM113" s="43" t="str">
        <f t="shared" ca="1" si="110"/>
        <v/>
      </c>
      <c r="DN113" s="43" t="str">
        <f t="shared" si="111"/>
        <v/>
      </c>
      <c r="DO113" s="43" t="str">
        <f t="shared" si="112"/>
        <v/>
      </c>
      <c r="DP113" s="57"/>
      <c r="DQ113" s="43" t="str">
        <f t="shared" ca="1" si="113"/>
        <v/>
      </c>
      <c r="DR113" s="43" t="str">
        <f t="shared" si="114"/>
        <v/>
      </c>
      <c r="DS113" s="43" t="str">
        <f t="shared" si="115"/>
        <v/>
      </c>
      <c r="DT113" s="57"/>
      <c r="DU113" s="43" t="str">
        <f t="shared" ca="1" si="116"/>
        <v/>
      </c>
      <c r="DV113" s="43" t="str">
        <f t="shared" si="117"/>
        <v/>
      </c>
      <c r="DX113" s="44">
        <v>1</v>
      </c>
      <c r="DY113" s="44" t="s">
        <v>773</v>
      </c>
      <c r="DZ113" s="43">
        <f t="shared" si="118"/>
        <v>0.01</v>
      </c>
      <c r="EA113" s="43" t="str">
        <f t="shared" si="119"/>
        <v>M</v>
      </c>
      <c r="EB113" s="43" t="str">
        <f>IF(IFERROR(INDEX(Consulta!$A:$DP,MATCH('MM01'!$B113,Consulta!$C:$C,0),'MM01'!EB$2),"")=0,"7925",IF(IFERROR(INDEX(Consulta!$A:$DP,MATCH('MM01'!$B113,Consulta!$C:$C,0),'MM01'!EB$2),"")="68","7910","7925"))</f>
        <v>7925</v>
      </c>
      <c r="EC113" s="44">
        <v>100</v>
      </c>
      <c r="ED113" s="62">
        <v>1</v>
      </c>
      <c r="EE113" s="43">
        <f t="shared" si="120"/>
        <v>100</v>
      </c>
      <c r="EF113" s="44">
        <v>1</v>
      </c>
      <c r="EG113" s="44">
        <v>0</v>
      </c>
      <c r="EH113" s="44" t="s">
        <v>875</v>
      </c>
      <c r="EI113" s="45">
        <v>0</v>
      </c>
      <c r="EJ113" s="43">
        <f t="shared" si="121"/>
        <v>5000</v>
      </c>
      <c r="EK113" s="69"/>
    </row>
    <row r="114" spans="1:141" x14ac:dyDescent="0.2">
      <c r="A114" s="7" t="str">
        <f t="shared" si="82"/>
        <v>Execução 110</v>
      </c>
      <c r="B114" s="42"/>
      <c r="C114" s="43" t="str">
        <f>IF(IFERROR(INDEX(Consulta!$A:$DP,MATCH('MM01'!$B114,Consulta!$C:$C,0),'MM01'!C$2),"")=0,"",IFERROR(INDEX(Consulta!$A:$DP,MATCH('MM01'!$B114,Consulta!$C:$C,0),'MM01'!C$2),""))</f>
        <v/>
      </c>
      <c r="D114" s="43" t="str">
        <f>IF(IFERROR(INDEX(Consulta!$A:$DP,MATCH('MM01'!$B114,Consulta!$C:$C,0),'MM01'!D$2),"")=0,"",IFERROR(INDEX(Consulta!$A:$DP,MATCH('MM01'!$B114,Consulta!$C:$C,0),'MM01'!D$2),""))</f>
        <v/>
      </c>
      <c r="E114" s="43" t="str">
        <f>IF(IFERROR(INDEX(Consulta!$A:$DP,MATCH('MM01'!$B114,Consulta!$C:$C,0),'MM01'!E$2),"")=0,"",IFERROR(INDEX(Consulta!$A:$DP,MATCH('MM01'!$B114,Consulta!$C:$C,0),'MM01'!E$2),""))</f>
        <v/>
      </c>
      <c r="F114" s="44" t="s">
        <v>100</v>
      </c>
      <c r="G114" s="49" t="str">
        <f>IF(IFERROR(INDEX(Consulta!$A:$DP,MATCH('MM01'!$B114,Consulta!$C:$C,0),'MM01'!G$2),"")=0,"",IFERROR(INDEX(Consulta!$A:$DP,MATCH('MM01'!$B114,Consulta!$C:$C,0),'MM01'!G$2),""))</f>
        <v/>
      </c>
      <c r="H114" s="49" t="str">
        <f>IF(IFERROR(INDEX(Consulta!$A:$DP,MATCH('MM01'!$B114,Consulta!$C:$C,0),'MM01'!H$2),"")=0,"",IFERROR(INDEX(Consulta!$A:$DP,MATCH('MM01'!$B114,Consulta!$C:$C,0),'MM01'!H$2),""))</f>
        <v/>
      </c>
      <c r="I114" s="49" t="str">
        <f t="shared" si="83"/>
        <v/>
      </c>
      <c r="J114" s="49" t="str">
        <f>IF(IFERROR(INDEX(Consulta!$A:$DP,MATCH('MM01'!$B114,Consulta!$C:$C,0),'MM01'!J$2),"")=0,"",IFERROR(INDEX(Consulta!$A:$DP,MATCH('MM01'!$B114,Consulta!$C:$C,0),'MM01'!J$2),""))</f>
        <v/>
      </c>
      <c r="K114" s="49" t="str">
        <f t="shared" si="84"/>
        <v/>
      </c>
      <c r="M114" s="45" t="s">
        <v>101</v>
      </c>
      <c r="N114" s="45" t="s">
        <v>102</v>
      </c>
      <c r="O114" s="45" t="s">
        <v>103</v>
      </c>
      <c r="P114" s="45" t="s">
        <v>104</v>
      </c>
      <c r="Q114" s="45" t="s">
        <v>105</v>
      </c>
      <c r="R114" s="45" t="s">
        <v>106</v>
      </c>
      <c r="S114" s="45" t="s">
        <v>107</v>
      </c>
      <c r="T114" s="45"/>
      <c r="U114" s="45"/>
      <c r="V114" s="45"/>
      <c r="W114" s="45"/>
      <c r="X114" s="45" t="s">
        <v>112</v>
      </c>
      <c r="Y114" s="45" t="s">
        <v>113</v>
      </c>
      <c r="Z114" s="45" t="s">
        <v>114</v>
      </c>
      <c r="AA114" s="45" t="s">
        <v>115</v>
      </c>
      <c r="AB114" s="45" t="s">
        <v>117</v>
      </c>
      <c r="AC114" s="45" t="s">
        <v>118</v>
      </c>
      <c r="AD114" s="45" t="s">
        <v>119</v>
      </c>
      <c r="AE114" s="45" t="s">
        <v>120</v>
      </c>
      <c r="AF114" s="45" t="s">
        <v>121</v>
      </c>
      <c r="AG114" s="45" t="s">
        <v>122</v>
      </c>
      <c r="AH114" s="45" t="s">
        <v>123</v>
      </c>
      <c r="AI114" s="45" t="s">
        <v>124</v>
      </c>
      <c r="AJ114" s="45" t="s">
        <v>125</v>
      </c>
      <c r="AK114" s="45" t="s">
        <v>126</v>
      </c>
      <c r="AL114" s="45"/>
      <c r="AM114" s="45"/>
      <c r="AO114" s="44" t="s">
        <v>100</v>
      </c>
      <c r="AP114" s="43" t="str">
        <f>IF(IFERROR(INDEX(Consulta!$A:$DP,MATCH('MM01'!$B114,Consulta!$C:$C,0),'MM01'!AP$2),"")=0,"",IFERROR(INDEX(Consulta!$A:$DP,MATCH('MM01'!$B114,Consulta!$C:$C,0),'MM01'!AP$2),""))</f>
        <v/>
      </c>
      <c r="AQ114" s="45"/>
      <c r="AR114" s="43" t="str">
        <f>IF(IFERROR(INDEX(Consulta!$A:$DP,MATCH('MM01'!$B114,Consulta!$C:$C,0),'MM01'!AR$2),"")=0,"",IFERROR(INDEX(Consulta!$A:$DP,MATCH('MM01'!$B114,Consulta!$C:$C,0),'MM01'!AR$2),""))</f>
        <v/>
      </c>
      <c r="AS114" s="43" t="str">
        <f>IF(IFERROR(INDEX(Consulta!$A:$DP,MATCH('MM01'!$B114,Consulta!$C:$C,0),'MM01'!AS$2),"")=0,"",IF(AR114="68",5102,IFERROR(INDEX(Consulta!$A:$DP,MATCH('MM01'!$B114,Consulta!$C:$C,0),'MM01'!AS$2),"")))</f>
        <v/>
      </c>
      <c r="AT114" s="45"/>
      <c r="AU114" s="46" t="str">
        <f t="shared" ca="1" si="85"/>
        <v/>
      </c>
      <c r="AV114" s="47" t="s">
        <v>795</v>
      </c>
      <c r="AW114" s="43" t="str">
        <f>IF(IFERROR(INDEX(Consulta!$A:$DP,MATCH('MM01'!$B114,Consulta!$C:$C,0),'MM01'!AW$2),"")=0,"",IFERROR(ROUND(INDEX(Consulta!$A:$DP,MATCH('MM01'!$B114,Consulta!$C:$C,0),'MM01'!AW$2),3),""))</f>
        <v/>
      </c>
      <c r="AX114" s="43" t="str">
        <f t="shared" si="86"/>
        <v/>
      </c>
      <c r="AY114" s="48" t="s">
        <v>299</v>
      </c>
      <c r="AZ114" s="48"/>
      <c r="BA114" s="43" t="str">
        <f>IF(IFERROR(INDEX(Consulta!$A:$DP,MATCH('MM01'!$B114,Consulta!$C:$C,0),'MM01'!BA$2),"")=0,"",IFERROR(INDEX(Consulta!$A:$DP,MATCH('MM01'!$B114,Consulta!$C:$C,0),'MM01'!BA$2),""))</f>
        <v/>
      </c>
      <c r="BB114" s="43" t="str">
        <f t="shared" si="87"/>
        <v/>
      </c>
      <c r="BC114" s="43" t="str">
        <f t="shared" si="88"/>
        <v/>
      </c>
      <c r="BD114" s="43" t="str">
        <f t="shared" si="89"/>
        <v/>
      </c>
      <c r="BE114" s="43" t="str">
        <f t="shared" si="90"/>
        <v>M</v>
      </c>
      <c r="BF114" s="43" t="str">
        <f t="shared" si="91"/>
        <v/>
      </c>
      <c r="BG114" s="43" t="str">
        <f t="shared" si="92"/>
        <v/>
      </c>
      <c r="BH114" s="43" t="str">
        <f t="shared" si="93"/>
        <v/>
      </c>
      <c r="BI114" s="43" t="str">
        <f t="shared" si="94"/>
        <v>M</v>
      </c>
      <c r="BK114" s="45" t="s">
        <v>324</v>
      </c>
      <c r="BL114" s="43" t="str">
        <f>IF(IFERROR(INDEX(Consulta!$A:$DP,MATCH('MM01'!$B114,Consulta!$C:$C,0),'MM01'!BL$2),"")=0,"",IFERROR(INDEX(Consulta!$A:$DP,MATCH('MM01'!$B114,Consulta!$C:$C,0),'MM01'!BL$2),""))</f>
        <v/>
      </c>
      <c r="BM114" s="45"/>
      <c r="BN114" s="46" t="str">
        <f t="shared" ca="1" si="95"/>
        <v/>
      </c>
      <c r="BO114" s="49" t="str">
        <f t="shared" si="96"/>
        <v/>
      </c>
      <c r="BP114" s="50">
        <v>1</v>
      </c>
      <c r="BQ114" s="50" t="s">
        <v>194</v>
      </c>
      <c r="BR114" s="79" t="str">
        <f t="shared" si="81"/>
        <v>01</v>
      </c>
      <c r="BS114" s="50" t="s">
        <v>795</v>
      </c>
      <c r="BT114" s="44">
        <v>1</v>
      </c>
      <c r="BU114" s="44" t="s">
        <v>371</v>
      </c>
      <c r="BV114" s="50" t="s">
        <v>197</v>
      </c>
      <c r="BW114" s="50" t="s">
        <v>197</v>
      </c>
      <c r="BX114" s="43" t="str">
        <f>IF(IFERROR(INDEX(Consulta!$A:$DP,MATCH('MM01'!$B114,Consulta!$C:$C,0),'MM01'!BX$2),"")=0,"",IFERROR(INDEX(Consulta!$A:$DP,MATCH('MM01'!$B114,Consulta!$C:$C,0),'MM01'!BX$2),""))</f>
        <v/>
      </c>
      <c r="BY114" s="44" t="s">
        <v>391</v>
      </c>
      <c r="BZ114" s="50">
        <v>0</v>
      </c>
      <c r="CA114" s="45" t="s">
        <v>402</v>
      </c>
      <c r="CB114" s="45" t="s">
        <v>84</v>
      </c>
      <c r="CC114" s="43" t="str">
        <f t="shared" si="97"/>
        <v/>
      </c>
      <c r="CD114" s="45" t="s">
        <v>38</v>
      </c>
      <c r="CE114" s="45">
        <v>1</v>
      </c>
      <c r="CF114" s="45" t="s">
        <v>495</v>
      </c>
      <c r="CG114" s="45"/>
      <c r="CH114" s="44">
        <v>2</v>
      </c>
      <c r="CI114" s="49" t="str">
        <f t="shared" si="98"/>
        <v/>
      </c>
      <c r="CJ114" s="49" t="str">
        <f t="shared" si="99"/>
        <v/>
      </c>
      <c r="CK114" s="45"/>
      <c r="CL114" s="44">
        <v>1</v>
      </c>
      <c r="CM114" s="50" t="s">
        <v>514</v>
      </c>
      <c r="CN114" s="44" t="s">
        <v>371</v>
      </c>
      <c r="CO114" s="44">
        <v>2</v>
      </c>
      <c r="CP114" s="44">
        <v>42</v>
      </c>
      <c r="CQ114" s="44">
        <v>10</v>
      </c>
      <c r="CR114" s="43" t="str">
        <f t="shared" si="100"/>
        <v>K00_P_</v>
      </c>
      <c r="CS114" s="45">
        <v>5000</v>
      </c>
      <c r="CT114" s="43" t="str">
        <f>IF(IFERROR(INDEX(Consulta!$A:$DP,MATCH('MM01'!$B114,Consulta!$C:$C,0),'MM01'!CT$2),"")=0,"",IFERROR(INDEX(Consulta!$A:$DP,MATCH('MM01'!$B114,Consulta!$C:$C,0),'MM01'!CT$2),""))</f>
        <v/>
      </c>
      <c r="CU114" s="43" t="str">
        <f>IF(IFERROR(INDEX(Consulta!$A:$DP,MATCH('MM01'!$B114,Consulta!$C:$C,0),'MM01'!CU$2),"")=0,"",IFERROR(INDEX(Consulta!$A:$DP,MATCH('MM01'!$B114,Consulta!$C:$C,0),'MM01'!CU$2),""))</f>
        <v/>
      </c>
      <c r="CV114" s="43" t="str">
        <f>IF(IFERROR(INDEX(Consulta!$A:$DP,MATCH('MM01'!$B114,Consulta!$C:$C,0),'MM01'!CV$2),"")=0,"",IFERROR(INDEX(Consulta!$A:$DP,MATCH('MM01'!$B114,Consulta!$C:$C,0),'MM01'!CV$2),""))</f>
        <v/>
      </c>
      <c r="CW114" s="43" t="str">
        <f>IF(IFERROR(INDEX(Consulta!$A:$DP,MATCH('MM01'!$B114,Consulta!$C:$C,0),'MM01'!CW$2),"")=0,"",IFERROR(INDEX(Consulta!$A:$DP,MATCH('MM01'!$B114,Consulta!$C:$C,0),'MM01'!CW$2),""))</f>
        <v/>
      </c>
      <c r="CX114" s="43" t="str">
        <f t="shared" si="101"/>
        <v/>
      </c>
      <c r="CY114" s="43" t="str">
        <f t="shared" si="102"/>
        <v/>
      </c>
      <c r="CZ114" s="43" t="str">
        <f t="shared" si="103"/>
        <v/>
      </c>
      <c r="DA114" s="43" t="str">
        <f>IF(IFERROR(INDEX(Consulta!$A:$DP,MATCH('MM01'!$B114,Consulta!$C:$C,0),'MM01'!DA$2),"")=0,"",IFERROR(INDEX(Consulta!$A:$DP,MATCH('MM01'!$B114,Consulta!$C:$C,0),'MM01'!DA$2),""))</f>
        <v/>
      </c>
      <c r="DB114" s="43" t="str">
        <f t="shared" si="104"/>
        <v/>
      </c>
      <c r="DC114" s="43" t="str">
        <f>IF(IFERROR(INDEX(Consulta!$A:$DP,MATCH('MM01'!$B114,Consulta!$C:$C,0),'MM01'!DC$2),"")=0,"",IFERROR(INDEX(Consulta!$A:$DP,MATCH('MM01'!$B114,Consulta!$C:$C,0),'MM01'!DC$2),""))</f>
        <v/>
      </c>
      <c r="DD114" s="45">
        <v>0</v>
      </c>
      <c r="DE114" s="45">
        <v>0</v>
      </c>
      <c r="DF114" s="43" t="str">
        <f t="shared" si="105"/>
        <v/>
      </c>
      <c r="DG114" s="43" t="str">
        <f t="shared" si="106"/>
        <v/>
      </c>
      <c r="DH114" s="57"/>
      <c r="DI114" s="43" t="str">
        <f t="shared" ca="1" si="107"/>
        <v/>
      </c>
      <c r="DJ114" s="43" t="str">
        <f t="shared" si="108"/>
        <v/>
      </c>
      <c r="DK114" s="43" t="str">
        <f t="shared" si="109"/>
        <v/>
      </c>
      <c r="DL114" s="57"/>
      <c r="DM114" s="43" t="str">
        <f t="shared" ca="1" si="110"/>
        <v/>
      </c>
      <c r="DN114" s="43" t="str">
        <f t="shared" si="111"/>
        <v/>
      </c>
      <c r="DO114" s="43" t="str">
        <f t="shared" si="112"/>
        <v/>
      </c>
      <c r="DP114" s="57"/>
      <c r="DQ114" s="43" t="str">
        <f t="shared" ca="1" si="113"/>
        <v/>
      </c>
      <c r="DR114" s="43" t="str">
        <f t="shared" si="114"/>
        <v/>
      </c>
      <c r="DS114" s="43" t="str">
        <f t="shared" si="115"/>
        <v/>
      </c>
      <c r="DT114" s="57"/>
      <c r="DU114" s="43" t="str">
        <f t="shared" ca="1" si="116"/>
        <v/>
      </c>
      <c r="DV114" s="43" t="str">
        <f t="shared" si="117"/>
        <v/>
      </c>
      <c r="DX114" s="44">
        <v>1</v>
      </c>
      <c r="DY114" s="44" t="s">
        <v>773</v>
      </c>
      <c r="DZ114" s="43">
        <f t="shared" si="118"/>
        <v>0.01</v>
      </c>
      <c r="EA114" s="43" t="str">
        <f t="shared" si="119"/>
        <v>M</v>
      </c>
      <c r="EB114" s="43" t="str">
        <f>IF(IFERROR(INDEX(Consulta!$A:$DP,MATCH('MM01'!$B114,Consulta!$C:$C,0),'MM01'!EB$2),"")=0,"7925",IF(IFERROR(INDEX(Consulta!$A:$DP,MATCH('MM01'!$B114,Consulta!$C:$C,0),'MM01'!EB$2),"")="68","7910","7925"))</f>
        <v>7925</v>
      </c>
      <c r="EC114" s="44">
        <v>100</v>
      </c>
      <c r="ED114" s="62">
        <v>1</v>
      </c>
      <c r="EE114" s="43">
        <f t="shared" si="120"/>
        <v>100</v>
      </c>
      <c r="EF114" s="44">
        <v>1</v>
      </c>
      <c r="EG114" s="44">
        <v>0</v>
      </c>
      <c r="EH114" s="44" t="s">
        <v>875</v>
      </c>
      <c r="EI114" s="45">
        <v>0</v>
      </c>
      <c r="EJ114" s="43">
        <f t="shared" si="121"/>
        <v>5000</v>
      </c>
      <c r="EK114" s="69"/>
    </row>
    <row r="115" spans="1:141" x14ac:dyDescent="0.2">
      <c r="A115" s="7" t="str">
        <f t="shared" si="82"/>
        <v>Execução 111</v>
      </c>
      <c r="B115" s="42"/>
      <c r="C115" s="43" t="str">
        <f>IF(IFERROR(INDEX(Consulta!$A:$DP,MATCH('MM01'!$B115,Consulta!$C:$C,0),'MM01'!C$2),"")=0,"",IFERROR(INDEX(Consulta!$A:$DP,MATCH('MM01'!$B115,Consulta!$C:$C,0),'MM01'!C$2),""))</f>
        <v/>
      </c>
      <c r="D115" s="43" t="str">
        <f>IF(IFERROR(INDEX(Consulta!$A:$DP,MATCH('MM01'!$B115,Consulta!$C:$C,0),'MM01'!D$2),"")=0,"",IFERROR(INDEX(Consulta!$A:$DP,MATCH('MM01'!$B115,Consulta!$C:$C,0),'MM01'!D$2),""))</f>
        <v/>
      </c>
      <c r="E115" s="43" t="str">
        <f>IF(IFERROR(INDEX(Consulta!$A:$DP,MATCH('MM01'!$B115,Consulta!$C:$C,0),'MM01'!E$2),"")=0,"",IFERROR(INDEX(Consulta!$A:$DP,MATCH('MM01'!$B115,Consulta!$C:$C,0),'MM01'!E$2),""))</f>
        <v/>
      </c>
      <c r="F115" s="44" t="s">
        <v>100</v>
      </c>
      <c r="G115" s="49" t="str">
        <f>IF(IFERROR(INDEX(Consulta!$A:$DP,MATCH('MM01'!$B115,Consulta!$C:$C,0),'MM01'!G$2),"")=0,"",IFERROR(INDEX(Consulta!$A:$DP,MATCH('MM01'!$B115,Consulta!$C:$C,0),'MM01'!G$2),""))</f>
        <v/>
      </c>
      <c r="H115" s="49" t="str">
        <f>IF(IFERROR(INDEX(Consulta!$A:$DP,MATCH('MM01'!$B115,Consulta!$C:$C,0),'MM01'!H$2),"")=0,"",IFERROR(INDEX(Consulta!$A:$DP,MATCH('MM01'!$B115,Consulta!$C:$C,0),'MM01'!H$2),""))</f>
        <v/>
      </c>
      <c r="I115" s="49" t="str">
        <f t="shared" si="83"/>
        <v/>
      </c>
      <c r="J115" s="49" t="str">
        <f>IF(IFERROR(INDEX(Consulta!$A:$DP,MATCH('MM01'!$B115,Consulta!$C:$C,0),'MM01'!J$2),"")=0,"",IFERROR(INDEX(Consulta!$A:$DP,MATCH('MM01'!$B115,Consulta!$C:$C,0),'MM01'!J$2),""))</f>
        <v/>
      </c>
      <c r="K115" s="49" t="str">
        <f t="shared" si="84"/>
        <v/>
      </c>
      <c r="M115" s="45" t="s">
        <v>101</v>
      </c>
      <c r="N115" s="45" t="s">
        <v>102</v>
      </c>
      <c r="O115" s="45" t="s">
        <v>103</v>
      </c>
      <c r="P115" s="45" t="s">
        <v>104</v>
      </c>
      <c r="Q115" s="45" t="s">
        <v>105</v>
      </c>
      <c r="R115" s="45" t="s">
        <v>106</v>
      </c>
      <c r="S115" s="45" t="s">
        <v>107</v>
      </c>
      <c r="T115" s="45"/>
      <c r="U115" s="45"/>
      <c r="V115" s="45"/>
      <c r="W115" s="45"/>
      <c r="X115" s="45" t="s">
        <v>112</v>
      </c>
      <c r="Y115" s="45" t="s">
        <v>113</v>
      </c>
      <c r="Z115" s="45" t="s">
        <v>114</v>
      </c>
      <c r="AA115" s="45" t="s">
        <v>115</v>
      </c>
      <c r="AB115" s="45" t="s">
        <v>117</v>
      </c>
      <c r="AC115" s="45" t="s">
        <v>118</v>
      </c>
      <c r="AD115" s="45" t="s">
        <v>119</v>
      </c>
      <c r="AE115" s="45" t="s">
        <v>120</v>
      </c>
      <c r="AF115" s="45" t="s">
        <v>121</v>
      </c>
      <c r="AG115" s="45" t="s">
        <v>122</v>
      </c>
      <c r="AH115" s="45" t="s">
        <v>123</v>
      </c>
      <c r="AI115" s="45" t="s">
        <v>124</v>
      </c>
      <c r="AJ115" s="45" t="s">
        <v>125</v>
      </c>
      <c r="AK115" s="45" t="s">
        <v>126</v>
      </c>
      <c r="AL115" s="45"/>
      <c r="AM115" s="45"/>
      <c r="AO115" s="44" t="s">
        <v>100</v>
      </c>
      <c r="AP115" s="43" t="str">
        <f>IF(IFERROR(INDEX(Consulta!$A:$DP,MATCH('MM01'!$B115,Consulta!$C:$C,0),'MM01'!AP$2),"")=0,"",IFERROR(INDEX(Consulta!$A:$DP,MATCH('MM01'!$B115,Consulta!$C:$C,0),'MM01'!AP$2),""))</f>
        <v/>
      </c>
      <c r="AQ115" s="45"/>
      <c r="AR115" s="43" t="str">
        <f>IF(IFERROR(INDEX(Consulta!$A:$DP,MATCH('MM01'!$B115,Consulta!$C:$C,0),'MM01'!AR$2),"")=0,"",IFERROR(INDEX(Consulta!$A:$DP,MATCH('MM01'!$B115,Consulta!$C:$C,0),'MM01'!AR$2),""))</f>
        <v/>
      </c>
      <c r="AS115" s="43" t="str">
        <f>IF(IFERROR(INDEX(Consulta!$A:$DP,MATCH('MM01'!$B115,Consulta!$C:$C,0),'MM01'!AS$2),"")=0,"",IF(AR115="68",5102,IFERROR(INDEX(Consulta!$A:$DP,MATCH('MM01'!$B115,Consulta!$C:$C,0),'MM01'!AS$2),"")))</f>
        <v/>
      </c>
      <c r="AT115" s="45"/>
      <c r="AU115" s="46" t="str">
        <f t="shared" ca="1" si="85"/>
        <v/>
      </c>
      <c r="AV115" s="47" t="s">
        <v>795</v>
      </c>
      <c r="AW115" s="43" t="str">
        <f>IF(IFERROR(INDEX(Consulta!$A:$DP,MATCH('MM01'!$B115,Consulta!$C:$C,0),'MM01'!AW$2),"")=0,"",IFERROR(ROUND(INDEX(Consulta!$A:$DP,MATCH('MM01'!$B115,Consulta!$C:$C,0),'MM01'!AW$2),3),""))</f>
        <v/>
      </c>
      <c r="AX115" s="43" t="str">
        <f t="shared" si="86"/>
        <v/>
      </c>
      <c r="AY115" s="48" t="s">
        <v>299</v>
      </c>
      <c r="AZ115" s="48"/>
      <c r="BA115" s="43" t="str">
        <f>IF(IFERROR(INDEX(Consulta!$A:$DP,MATCH('MM01'!$B115,Consulta!$C:$C,0),'MM01'!BA$2),"")=0,"",IFERROR(INDEX(Consulta!$A:$DP,MATCH('MM01'!$B115,Consulta!$C:$C,0),'MM01'!BA$2),""))</f>
        <v/>
      </c>
      <c r="BB115" s="43" t="str">
        <f t="shared" si="87"/>
        <v/>
      </c>
      <c r="BC115" s="43" t="str">
        <f t="shared" si="88"/>
        <v/>
      </c>
      <c r="BD115" s="43" t="str">
        <f t="shared" si="89"/>
        <v/>
      </c>
      <c r="BE115" s="43" t="str">
        <f t="shared" si="90"/>
        <v>M</v>
      </c>
      <c r="BF115" s="43" t="str">
        <f t="shared" si="91"/>
        <v/>
      </c>
      <c r="BG115" s="43" t="str">
        <f t="shared" si="92"/>
        <v/>
      </c>
      <c r="BH115" s="43" t="str">
        <f t="shared" si="93"/>
        <v/>
      </c>
      <c r="BI115" s="43" t="str">
        <f t="shared" si="94"/>
        <v>M</v>
      </c>
      <c r="BK115" s="45" t="s">
        <v>324</v>
      </c>
      <c r="BL115" s="43" t="str">
        <f>IF(IFERROR(INDEX(Consulta!$A:$DP,MATCH('MM01'!$B115,Consulta!$C:$C,0),'MM01'!BL$2),"")=0,"",IFERROR(INDEX(Consulta!$A:$DP,MATCH('MM01'!$B115,Consulta!$C:$C,0),'MM01'!BL$2),""))</f>
        <v/>
      </c>
      <c r="BM115" s="45"/>
      <c r="BN115" s="46" t="str">
        <f t="shared" ca="1" si="95"/>
        <v/>
      </c>
      <c r="BO115" s="49" t="str">
        <f t="shared" si="96"/>
        <v/>
      </c>
      <c r="BP115" s="50">
        <v>1</v>
      </c>
      <c r="BQ115" s="50" t="s">
        <v>194</v>
      </c>
      <c r="BR115" s="79" t="str">
        <f t="shared" si="81"/>
        <v>01</v>
      </c>
      <c r="BS115" s="50" t="s">
        <v>795</v>
      </c>
      <c r="BT115" s="44">
        <v>1</v>
      </c>
      <c r="BU115" s="44" t="s">
        <v>371</v>
      </c>
      <c r="BV115" s="50" t="s">
        <v>197</v>
      </c>
      <c r="BW115" s="50" t="s">
        <v>197</v>
      </c>
      <c r="BX115" s="43" t="str">
        <f>IF(IFERROR(INDEX(Consulta!$A:$DP,MATCH('MM01'!$B115,Consulta!$C:$C,0),'MM01'!BX$2),"")=0,"",IFERROR(INDEX(Consulta!$A:$DP,MATCH('MM01'!$B115,Consulta!$C:$C,0),'MM01'!BX$2),""))</f>
        <v/>
      </c>
      <c r="BY115" s="44" t="s">
        <v>391</v>
      </c>
      <c r="BZ115" s="50">
        <v>0</v>
      </c>
      <c r="CA115" s="45" t="s">
        <v>402</v>
      </c>
      <c r="CB115" s="45" t="s">
        <v>84</v>
      </c>
      <c r="CC115" s="43" t="str">
        <f t="shared" si="97"/>
        <v/>
      </c>
      <c r="CD115" s="45" t="s">
        <v>38</v>
      </c>
      <c r="CE115" s="45">
        <v>1</v>
      </c>
      <c r="CF115" s="45" t="s">
        <v>495</v>
      </c>
      <c r="CG115" s="45"/>
      <c r="CH115" s="44">
        <v>2</v>
      </c>
      <c r="CI115" s="49" t="str">
        <f t="shared" si="98"/>
        <v/>
      </c>
      <c r="CJ115" s="49" t="str">
        <f t="shared" si="99"/>
        <v/>
      </c>
      <c r="CK115" s="45"/>
      <c r="CL115" s="44">
        <v>1</v>
      </c>
      <c r="CM115" s="50" t="s">
        <v>514</v>
      </c>
      <c r="CN115" s="44" t="s">
        <v>371</v>
      </c>
      <c r="CO115" s="44">
        <v>2</v>
      </c>
      <c r="CP115" s="44">
        <v>42</v>
      </c>
      <c r="CQ115" s="44">
        <v>10</v>
      </c>
      <c r="CR115" s="43" t="str">
        <f t="shared" si="100"/>
        <v>K00_P_</v>
      </c>
      <c r="CS115" s="45">
        <v>5000</v>
      </c>
      <c r="CT115" s="43" t="str">
        <f>IF(IFERROR(INDEX(Consulta!$A:$DP,MATCH('MM01'!$B115,Consulta!$C:$C,0),'MM01'!CT$2),"")=0,"",IFERROR(INDEX(Consulta!$A:$DP,MATCH('MM01'!$B115,Consulta!$C:$C,0),'MM01'!CT$2),""))</f>
        <v/>
      </c>
      <c r="CU115" s="43" t="str">
        <f>IF(IFERROR(INDEX(Consulta!$A:$DP,MATCH('MM01'!$B115,Consulta!$C:$C,0),'MM01'!CU$2),"")=0,"",IFERROR(INDEX(Consulta!$A:$DP,MATCH('MM01'!$B115,Consulta!$C:$C,0),'MM01'!CU$2),""))</f>
        <v/>
      </c>
      <c r="CV115" s="43" t="str">
        <f>IF(IFERROR(INDEX(Consulta!$A:$DP,MATCH('MM01'!$B115,Consulta!$C:$C,0),'MM01'!CV$2),"")=0,"",IFERROR(INDEX(Consulta!$A:$DP,MATCH('MM01'!$B115,Consulta!$C:$C,0),'MM01'!CV$2),""))</f>
        <v/>
      </c>
      <c r="CW115" s="43" t="str">
        <f>IF(IFERROR(INDEX(Consulta!$A:$DP,MATCH('MM01'!$B115,Consulta!$C:$C,0),'MM01'!CW$2),"")=0,"",IFERROR(INDEX(Consulta!$A:$DP,MATCH('MM01'!$B115,Consulta!$C:$C,0),'MM01'!CW$2),""))</f>
        <v/>
      </c>
      <c r="CX115" s="43" t="str">
        <f t="shared" si="101"/>
        <v/>
      </c>
      <c r="CY115" s="43" t="str">
        <f t="shared" si="102"/>
        <v/>
      </c>
      <c r="CZ115" s="43" t="str">
        <f t="shared" si="103"/>
        <v/>
      </c>
      <c r="DA115" s="43" t="str">
        <f>IF(IFERROR(INDEX(Consulta!$A:$DP,MATCH('MM01'!$B115,Consulta!$C:$C,0),'MM01'!DA$2),"")=0,"",IFERROR(INDEX(Consulta!$A:$DP,MATCH('MM01'!$B115,Consulta!$C:$C,0),'MM01'!DA$2),""))</f>
        <v/>
      </c>
      <c r="DB115" s="43" t="str">
        <f t="shared" si="104"/>
        <v/>
      </c>
      <c r="DC115" s="43" t="str">
        <f>IF(IFERROR(INDEX(Consulta!$A:$DP,MATCH('MM01'!$B115,Consulta!$C:$C,0),'MM01'!DC$2),"")=0,"",IFERROR(INDEX(Consulta!$A:$DP,MATCH('MM01'!$B115,Consulta!$C:$C,0),'MM01'!DC$2),""))</f>
        <v/>
      </c>
      <c r="DD115" s="45">
        <v>0</v>
      </c>
      <c r="DE115" s="45">
        <v>0</v>
      </c>
      <c r="DF115" s="43" t="str">
        <f t="shared" si="105"/>
        <v/>
      </c>
      <c r="DG115" s="43" t="str">
        <f t="shared" si="106"/>
        <v/>
      </c>
      <c r="DH115" s="57"/>
      <c r="DI115" s="43" t="str">
        <f t="shared" ca="1" si="107"/>
        <v/>
      </c>
      <c r="DJ115" s="43" t="str">
        <f t="shared" si="108"/>
        <v/>
      </c>
      <c r="DK115" s="43" t="str">
        <f t="shared" si="109"/>
        <v/>
      </c>
      <c r="DL115" s="57"/>
      <c r="DM115" s="43" t="str">
        <f t="shared" ca="1" si="110"/>
        <v/>
      </c>
      <c r="DN115" s="43" t="str">
        <f t="shared" si="111"/>
        <v/>
      </c>
      <c r="DO115" s="43" t="str">
        <f t="shared" si="112"/>
        <v/>
      </c>
      <c r="DP115" s="57"/>
      <c r="DQ115" s="43" t="str">
        <f t="shared" ca="1" si="113"/>
        <v/>
      </c>
      <c r="DR115" s="43" t="str">
        <f t="shared" si="114"/>
        <v/>
      </c>
      <c r="DS115" s="43" t="str">
        <f t="shared" si="115"/>
        <v/>
      </c>
      <c r="DT115" s="57"/>
      <c r="DU115" s="43" t="str">
        <f t="shared" ca="1" si="116"/>
        <v/>
      </c>
      <c r="DV115" s="43" t="str">
        <f t="shared" si="117"/>
        <v/>
      </c>
      <c r="DX115" s="44">
        <v>1</v>
      </c>
      <c r="DY115" s="44" t="s">
        <v>773</v>
      </c>
      <c r="DZ115" s="43">
        <f t="shared" si="118"/>
        <v>0.01</v>
      </c>
      <c r="EA115" s="43" t="str">
        <f t="shared" si="119"/>
        <v>M</v>
      </c>
      <c r="EB115" s="43" t="str">
        <f>IF(IFERROR(INDEX(Consulta!$A:$DP,MATCH('MM01'!$B115,Consulta!$C:$C,0),'MM01'!EB$2),"")=0,"7925",IF(IFERROR(INDEX(Consulta!$A:$DP,MATCH('MM01'!$B115,Consulta!$C:$C,0),'MM01'!EB$2),"")="68","7910","7925"))</f>
        <v>7925</v>
      </c>
      <c r="EC115" s="44">
        <v>100</v>
      </c>
      <c r="ED115" s="62">
        <v>1</v>
      </c>
      <c r="EE115" s="43">
        <f t="shared" si="120"/>
        <v>100</v>
      </c>
      <c r="EF115" s="44">
        <v>1</v>
      </c>
      <c r="EG115" s="44">
        <v>0</v>
      </c>
      <c r="EH115" s="44" t="s">
        <v>875</v>
      </c>
      <c r="EI115" s="45">
        <v>0</v>
      </c>
      <c r="EJ115" s="43">
        <f t="shared" si="121"/>
        <v>5000</v>
      </c>
      <c r="EK115" s="69"/>
    </row>
    <row r="116" spans="1:141" x14ac:dyDescent="0.2">
      <c r="A116" s="7" t="str">
        <f t="shared" si="82"/>
        <v>Execução 112</v>
      </c>
      <c r="B116" s="42"/>
      <c r="C116" s="43" t="str">
        <f>IF(IFERROR(INDEX(Consulta!$A:$DP,MATCH('MM01'!$B116,Consulta!$C:$C,0),'MM01'!C$2),"")=0,"",IFERROR(INDEX(Consulta!$A:$DP,MATCH('MM01'!$B116,Consulta!$C:$C,0),'MM01'!C$2),""))</f>
        <v/>
      </c>
      <c r="D116" s="43" t="str">
        <f>IF(IFERROR(INDEX(Consulta!$A:$DP,MATCH('MM01'!$B116,Consulta!$C:$C,0),'MM01'!D$2),"")=0,"",IFERROR(INDEX(Consulta!$A:$DP,MATCH('MM01'!$B116,Consulta!$C:$C,0),'MM01'!D$2),""))</f>
        <v/>
      </c>
      <c r="E116" s="43" t="str">
        <f>IF(IFERROR(INDEX(Consulta!$A:$DP,MATCH('MM01'!$B116,Consulta!$C:$C,0),'MM01'!E$2),"")=0,"",IFERROR(INDEX(Consulta!$A:$DP,MATCH('MM01'!$B116,Consulta!$C:$C,0),'MM01'!E$2),""))</f>
        <v/>
      </c>
      <c r="F116" s="44" t="s">
        <v>100</v>
      </c>
      <c r="G116" s="49" t="str">
        <f>IF(IFERROR(INDEX(Consulta!$A:$DP,MATCH('MM01'!$B116,Consulta!$C:$C,0),'MM01'!G$2),"")=0,"",IFERROR(INDEX(Consulta!$A:$DP,MATCH('MM01'!$B116,Consulta!$C:$C,0),'MM01'!G$2),""))</f>
        <v/>
      </c>
      <c r="H116" s="49" t="str">
        <f>IF(IFERROR(INDEX(Consulta!$A:$DP,MATCH('MM01'!$B116,Consulta!$C:$C,0),'MM01'!H$2),"")=0,"",IFERROR(INDEX(Consulta!$A:$DP,MATCH('MM01'!$B116,Consulta!$C:$C,0),'MM01'!H$2),""))</f>
        <v/>
      </c>
      <c r="I116" s="49" t="str">
        <f t="shared" si="83"/>
        <v/>
      </c>
      <c r="J116" s="49" t="str">
        <f>IF(IFERROR(INDEX(Consulta!$A:$DP,MATCH('MM01'!$B116,Consulta!$C:$C,0),'MM01'!J$2),"")=0,"",IFERROR(INDEX(Consulta!$A:$DP,MATCH('MM01'!$B116,Consulta!$C:$C,0),'MM01'!J$2),""))</f>
        <v/>
      </c>
      <c r="K116" s="49" t="str">
        <f t="shared" si="84"/>
        <v/>
      </c>
      <c r="M116" s="45" t="s">
        <v>101</v>
      </c>
      <c r="N116" s="45" t="s">
        <v>102</v>
      </c>
      <c r="O116" s="45" t="s">
        <v>103</v>
      </c>
      <c r="P116" s="45" t="s">
        <v>104</v>
      </c>
      <c r="Q116" s="45" t="s">
        <v>105</v>
      </c>
      <c r="R116" s="45" t="s">
        <v>106</v>
      </c>
      <c r="S116" s="45" t="s">
        <v>107</v>
      </c>
      <c r="T116" s="45"/>
      <c r="U116" s="45"/>
      <c r="V116" s="45"/>
      <c r="W116" s="45"/>
      <c r="X116" s="45" t="s">
        <v>112</v>
      </c>
      <c r="Y116" s="45" t="s">
        <v>113</v>
      </c>
      <c r="Z116" s="45" t="s">
        <v>114</v>
      </c>
      <c r="AA116" s="45" t="s">
        <v>115</v>
      </c>
      <c r="AB116" s="45" t="s">
        <v>117</v>
      </c>
      <c r="AC116" s="45" t="s">
        <v>118</v>
      </c>
      <c r="AD116" s="45" t="s">
        <v>119</v>
      </c>
      <c r="AE116" s="45" t="s">
        <v>120</v>
      </c>
      <c r="AF116" s="45" t="s">
        <v>121</v>
      </c>
      <c r="AG116" s="45" t="s">
        <v>122</v>
      </c>
      <c r="AH116" s="45" t="s">
        <v>123</v>
      </c>
      <c r="AI116" s="45" t="s">
        <v>124</v>
      </c>
      <c r="AJ116" s="45" t="s">
        <v>125</v>
      </c>
      <c r="AK116" s="45" t="s">
        <v>126</v>
      </c>
      <c r="AL116" s="45"/>
      <c r="AM116" s="45"/>
      <c r="AO116" s="44" t="s">
        <v>100</v>
      </c>
      <c r="AP116" s="43" t="str">
        <f>IF(IFERROR(INDEX(Consulta!$A:$DP,MATCH('MM01'!$B116,Consulta!$C:$C,0),'MM01'!AP$2),"")=0,"",IFERROR(INDEX(Consulta!$A:$DP,MATCH('MM01'!$B116,Consulta!$C:$C,0),'MM01'!AP$2),""))</f>
        <v/>
      </c>
      <c r="AQ116" s="45"/>
      <c r="AR116" s="43" t="str">
        <f>IF(IFERROR(INDEX(Consulta!$A:$DP,MATCH('MM01'!$B116,Consulta!$C:$C,0),'MM01'!AR$2),"")=0,"",IFERROR(INDEX(Consulta!$A:$DP,MATCH('MM01'!$B116,Consulta!$C:$C,0),'MM01'!AR$2),""))</f>
        <v/>
      </c>
      <c r="AS116" s="43" t="str">
        <f>IF(IFERROR(INDEX(Consulta!$A:$DP,MATCH('MM01'!$B116,Consulta!$C:$C,0),'MM01'!AS$2),"")=0,"",IF(AR116="68",5102,IFERROR(INDEX(Consulta!$A:$DP,MATCH('MM01'!$B116,Consulta!$C:$C,0),'MM01'!AS$2),"")))</f>
        <v/>
      </c>
      <c r="AT116" s="45"/>
      <c r="AU116" s="46" t="str">
        <f t="shared" ca="1" si="85"/>
        <v/>
      </c>
      <c r="AV116" s="47" t="s">
        <v>795</v>
      </c>
      <c r="AW116" s="43" t="str">
        <f>IF(IFERROR(INDEX(Consulta!$A:$DP,MATCH('MM01'!$B116,Consulta!$C:$C,0),'MM01'!AW$2),"")=0,"",IFERROR(ROUND(INDEX(Consulta!$A:$DP,MATCH('MM01'!$B116,Consulta!$C:$C,0),'MM01'!AW$2),3),""))</f>
        <v/>
      </c>
      <c r="AX116" s="43" t="str">
        <f t="shared" si="86"/>
        <v/>
      </c>
      <c r="AY116" s="48" t="s">
        <v>299</v>
      </c>
      <c r="AZ116" s="48"/>
      <c r="BA116" s="43" t="str">
        <f>IF(IFERROR(INDEX(Consulta!$A:$DP,MATCH('MM01'!$B116,Consulta!$C:$C,0),'MM01'!BA$2),"")=0,"",IFERROR(INDEX(Consulta!$A:$DP,MATCH('MM01'!$B116,Consulta!$C:$C,0),'MM01'!BA$2),""))</f>
        <v/>
      </c>
      <c r="BB116" s="43" t="str">
        <f t="shared" si="87"/>
        <v/>
      </c>
      <c r="BC116" s="43" t="str">
        <f t="shared" si="88"/>
        <v/>
      </c>
      <c r="BD116" s="43" t="str">
        <f t="shared" si="89"/>
        <v/>
      </c>
      <c r="BE116" s="43" t="str">
        <f t="shared" si="90"/>
        <v>M</v>
      </c>
      <c r="BF116" s="43" t="str">
        <f t="shared" si="91"/>
        <v/>
      </c>
      <c r="BG116" s="43" t="str">
        <f t="shared" si="92"/>
        <v/>
      </c>
      <c r="BH116" s="43" t="str">
        <f t="shared" si="93"/>
        <v/>
      </c>
      <c r="BI116" s="43" t="str">
        <f t="shared" si="94"/>
        <v>M</v>
      </c>
      <c r="BK116" s="45" t="s">
        <v>324</v>
      </c>
      <c r="BL116" s="43" t="str">
        <f>IF(IFERROR(INDEX(Consulta!$A:$DP,MATCH('MM01'!$B116,Consulta!$C:$C,0),'MM01'!BL$2),"")=0,"",IFERROR(INDEX(Consulta!$A:$DP,MATCH('MM01'!$B116,Consulta!$C:$C,0),'MM01'!BL$2),""))</f>
        <v/>
      </c>
      <c r="BM116" s="45"/>
      <c r="BN116" s="46" t="str">
        <f t="shared" ca="1" si="95"/>
        <v/>
      </c>
      <c r="BO116" s="49" t="str">
        <f t="shared" si="96"/>
        <v/>
      </c>
      <c r="BP116" s="50">
        <v>1</v>
      </c>
      <c r="BQ116" s="50" t="s">
        <v>194</v>
      </c>
      <c r="BR116" s="79" t="str">
        <f t="shared" si="81"/>
        <v>01</v>
      </c>
      <c r="BS116" s="50" t="s">
        <v>795</v>
      </c>
      <c r="BT116" s="44">
        <v>1</v>
      </c>
      <c r="BU116" s="44" t="s">
        <v>371</v>
      </c>
      <c r="BV116" s="50" t="s">
        <v>197</v>
      </c>
      <c r="BW116" s="50" t="s">
        <v>197</v>
      </c>
      <c r="BX116" s="43" t="str">
        <f>IF(IFERROR(INDEX(Consulta!$A:$DP,MATCH('MM01'!$B116,Consulta!$C:$C,0),'MM01'!BX$2),"")=0,"",IFERROR(INDEX(Consulta!$A:$DP,MATCH('MM01'!$B116,Consulta!$C:$C,0),'MM01'!BX$2),""))</f>
        <v/>
      </c>
      <c r="BY116" s="44" t="s">
        <v>391</v>
      </c>
      <c r="BZ116" s="50">
        <v>0</v>
      </c>
      <c r="CA116" s="45" t="s">
        <v>402</v>
      </c>
      <c r="CB116" s="45" t="s">
        <v>84</v>
      </c>
      <c r="CC116" s="43" t="str">
        <f t="shared" si="97"/>
        <v/>
      </c>
      <c r="CD116" s="45" t="s">
        <v>38</v>
      </c>
      <c r="CE116" s="45">
        <v>1</v>
      </c>
      <c r="CF116" s="45" t="s">
        <v>495</v>
      </c>
      <c r="CG116" s="45"/>
      <c r="CH116" s="44">
        <v>2</v>
      </c>
      <c r="CI116" s="49" t="str">
        <f t="shared" si="98"/>
        <v/>
      </c>
      <c r="CJ116" s="49" t="str">
        <f t="shared" si="99"/>
        <v/>
      </c>
      <c r="CK116" s="45"/>
      <c r="CL116" s="44">
        <v>1</v>
      </c>
      <c r="CM116" s="50" t="s">
        <v>514</v>
      </c>
      <c r="CN116" s="44" t="s">
        <v>371</v>
      </c>
      <c r="CO116" s="44">
        <v>2</v>
      </c>
      <c r="CP116" s="44">
        <v>42</v>
      </c>
      <c r="CQ116" s="44">
        <v>10</v>
      </c>
      <c r="CR116" s="43" t="str">
        <f t="shared" si="100"/>
        <v>K00_P_</v>
      </c>
      <c r="CS116" s="45">
        <v>5000</v>
      </c>
      <c r="CT116" s="43" t="str">
        <f>IF(IFERROR(INDEX(Consulta!$A:$DP,MATCH('MM01'!$B116,Consulta!$C:$C,0),'MM01'!CT$2),"")=0,"",IFERROR(INDEX(Consulta!$A:$DP,MATCH('MM01'!$B116,Consulta!$C:$C,0),'MM01'!CT$2),""))</f>
        <v/>
      </c>
      <c r="CU116" s="43" t="str">
        <f>IF(IFERROR(INDEX(Consulta!$A:$DP,MATCH('MM01'!$B116,Consulta!$C:$C,0),'MM01'!CU$2),"")=0,"",IFERROR(INDEX(Consulta!$A:$DP,MATCH('MM01'!$B116,Consulta!$C:$C,0),'MM01'!CU$2),""))</f>
        <v/>
      </c>
      <c r="CV116" s="43" t="str">
        <f>IF(IFERROR(INDEX(Consulta!$A:$DP,MATCH('MM01'!$B116,Consulta!$C:$C,0),'MM01'!CV$2),"")=0,"",IFERROR(INDEX(Consulta!$A:$DP,MATCH('MM01'!$B116,Consulta!$C:$C,0),'MM01'!CV$2),""))</f>
        <v/>
      </c>
      <c r="CW116" s="43" t="str">
        <f>IF(IFERROR(INDEX(Consulta!$A:$DP,MATCH('MM01'!$B116,Consulta!$C:$C,0),'MM01'!CW$2),"")=0,"",IFERROR(INDEX(Consulta!$A:$DP,MATCH('MM01'!$B116,Consulta!$C:$C,0),'MM01'!CW$2),""))</f>
        <v/>
      </c>
      <c r="CX116" s="43" t="str">
        <f t="shared" si="101"/>
        <v/>
      </c>
      <c r="CY116" s="43" t="str">
        <f t="shared" si="102"/>
        <v/>
      </c>
      <c r="CZ116" s="43" t="str">
        <f t="shared" si="103"/>
        <v/>
      </c>
      <c r="DA116" s="43" t="str">
        <f>IF(IFERROR(INDEX(Consulta!$A:$DP,MATCH('MM01'!$B116,Consulta!$C:$C,0),'MM01'!DA$2),"")=0,"",IFERROR(INDEX(Consulta!$A:$DP,MATCH('MM01'!$B116,Consulta!$C:$C,0),'MM01'!DA$2),""))</f>
        <v/>
      </c>
      <c r="DB116" s="43" t="str">
        <f t="shared" si="104"/>
        <v/>
      </c>
      <c r="DC116" s="43" t="str">
        <f>IF(IFERROR(INDEX(Consulta!$A:$DP,MATCH('MM01'!$B116,Consulta!$C:$C,0),'MM01'!DC$2),"")=0,"",IFERROR(INDEX(Consulta!$A:$DP,MATCH('MM01'!$B116,Consulta!$C:$C,0),'MM01'!DC$2),""))</f>
        <v/>
      </c>
      <c r="DD116" s="45">
        <v>0</v>
      </c>
      <c r="DE116" s="45">
        <v>0</v>
      </c>
      <c r="DF116" s="43" t="str">
        <f t="shared" si="105"/>
        <v/>
      </c>
      <c r="DG116" s="43" t="str">
        <f t="shared" si="106"/>
        <v/>
      </c>
      <c r="DH116" s="57"/>
      <c r="DI116" s="43" t="str">
        <f t="shared" ca="1" si="107"/>
        <v/>
      </c>
      <c r="DJ116" s="43" t="str">
        <f t="shared" si="108"/>
        <v/>
      </c>
      <c r="DK116" s="43" t="str">
        <f t="shared" si="109"/>
        <v/>
      </c>
      <c r="DL116" s="57"/>
      <c r="DM116" s="43" t="str">
        <f t="shared" ca="1" si="110"/>
        <v/>
      </c>
      <c r="DN116" s="43" t="str">
        <f t="shared" si="111"/>
        <v/>
      </c>
      <c r="DO116" s="43" t="str">
        <f t="shared" si="112"/>
        <v/>
      </c>
      <c r="DP116" s="57"/>
      <c r="DQ116" s="43" t="str">
        <f t="shared" ca="1" si="113"/>
        <v/>
      </c>
      <c r="DR116" s="43" t="str">
        <f t="shared" si="114"/>
        <v/>
      </c>
      <c r="DS116" s="43" t="str">
        <f t="shared" si="115"/>
        <v/>
      </c>
      <c r="DT116" s="57"/>
      <c r="DU116" s="43" t="str">
        <f t="shared" ca="1" si="116"/>
        <v/>
      </c>
      <c r="DV116" s="43" t="str">
        <f t="shared" si="117"/>
        <v/>
      </c>
      <c r="DX116" s="44">
        <v>1</v>
      </c>
      <c r="DY116" s="44" t="s">
        <v>773</v>
      </c>
      <c r="DZ116" s="43">
        <f t="shared" si="118"/>
        <v>0.01</v>
      </c>
      <c r="EA116" s="43" t="str">
        <f t="shared" si="119"/>
        <v>M</v>
      </c>
      <c r="EB116" s="43" t="str">
        <f>IF(IFERROR(INDEX(Consulta!$A:$DP,MATCH('MM01'!$B116,Consulta!$C:$C,0),'MM01'!EB$2),"")=0,"7925",IF(IFERROR(INDEX(Consulta!$A:$DP,MATCH('MM01'!$B116,Consulta!$C:$C,0),'MM01'!EB$2),"")="68","7910","7925"))</f>
        <v>7925</v>
      </c>
      <c r="EC116" s="44">
        <v>100</v>
      </c>
      <c r="ED116" s="62">
        <v>1</v>
      </c>
      <c r="EE116" s="43">
        <f t="shared" si="120"/>
        <v>100</v>
      </c>
      <c r="EF116" s="44">
        <v>1</v>
      </c>
      <c r="EG116" s="44">
        <v>0</v>
      </c>
      <c r="EH116" s="44" t="s">
        <v>875</v>
      </c>
      <c r="EI116" s="45">
        <v>0</v>
      </c>
      <c r="EJ116" s="43">
        <f t="shared" si="121"/>
        <v>5000</v>
      </c>
      <c r="EK116" s="69"/>
    </row>
    <row r="117" spans="1:141" x14ac:dyDescent="0.2">
      <c r="A117" s="7" t="str">
        <f t="shared" si="82"/>
        <v>Execução 113</v>
      </c>
      <c r="B117" s="42"/>
      <c r="C117" s="43" t="str">
        <f>IF(IFERROR(INDEX(Consulta!$A:$DP,MATCH('MM01'!$B117,Consulta!$C:$C,0),'MM01'!C$2),"")=0,"",IFERROR(INDEX(Consulta!$A:$DP,MATCH('MM01'!$B117,Consulta!$C:$C,0),'MM01'!C$2),""))</f>
        <v/>
      </c>
      <c r="D117" s="43" t="str">
        <f>IF(IFERROR(INDEX(Consulta!$A:$DP,MATCH('MM01'!$B117,Consulta!$C:$C,0),'MM01'!D$2),"")=0,"",IFERROR(INDEX(Consulta!$A:$DP,MATCH('MM01'!$B117,Consulta!$C:$C,0),'MM01'!D$2),""))</f>
        <v/>
      </c>
      <c r="E117" s="43" t="str">
        <f>IF(IFERROR(INDEX(Consulta!$A:$DP,MATCH('MM01'!$B117,Consulta!$C:$C,0),'MM01'!E$2),"")=0,"",IFERROR(INDEX(Consulta!$A:$DP,MATCH('MM01'!$B117,Consulta!$C:$C,0),'MM01'!E$2),""))</f>
        <v/>
      </c>
      <c r="F117" s="44" t="s">
        <v>100</v>
      </c>
      <c r="G117" s="49" t="str">
        <f>IF(IFERROR(INDEX(Consulta!$A:$DP,MATCH('MM01'!$B117,Consulta!$C:$C,0),'MM01'!G$2),"")=0,"",IFERROR(INDEX(Consulta!$A:$DP,MATCH('MM01'!$B117,Consulta!$C:$C,0),'MM01'!G$2),""))</f>
        <v/>
      </c>
      <c r="H117" s="49" t="str">
        <f>IF(IFERROR(INDEX(Consulta!$A:$DP,MATCH('MM01'!$B117,Consulta!$C:$C,0),'MM01'!H$2),"")=0,"",IFERROR(INDEX(Consulta!$A:$DP,MATCH('MM01'!$B117,Consulta!$C:$C,0),'MM01'!H$2),""))</f>
        <v/>
      </c>
      <c r="I117" s="49" t="str">
        <f t="shared" si="83"/>
        <v/>
      </c>
      <c r="J117" s="49" t="str">
        <f>IF(IFERROR(INDEX(Consulta!$A:$DP,MATCH('MM01'!$B117,Consulta!$C:$C,0),'MM01'!J$2),"")=0,"",IFERROR(INDEX(Consulta!$A:$DP,MATCH('MM01'!$B117,Consulta!$C:$C,0),'MM01'!J$2),""))</f>
        <v/>
      </c>
      <c r="K117" s="49" t="str">
        <f t="shared" si="84"/>
        <v/>
      </c>
      <c r="M117" s="45" t="s">
        <v>101</v>
      </c>
      <c r="N117" s="45" t="s">
        <v>102</v>
      </c>
      <c r="O117" s="45" t="s">
        <v>103</v>
      </c>
      <c r="P117" s="45" t="s">
        <v>104</v>
      </c>
      <c r="Q117" s="45" t="s">
        <v>105</v>
      </c>
      <c r="R117" s="45" t="s">
        <v>106</v>
      </c>
      <c r="S117" s="45" t="s">
        <v>107</v>
      </c>
      <c r="T117" s="45"/>
      <c r="U117" s="45"/>
      <c r="V117" s="45"/>
      <c r="W117" s="45"/>
      <c r="X117" s="45" t="s">
        <v>112</v>
      </c>
      <c r="Y117" s="45" t="s">
        <v>113</v>
      </c>
      <c r="Z117" s="45" t="s">
        <v>114</v>
      </c>
      <c r="AA117" s="45" t="s">
        <v>115</v>
      </c>
      <c r="AB117" s="45" t="s">
        <v>117</v>
      </c>
      <c r="AC117" s="45" t="s">
        <v>118</v>
      </c>
      <c r="AD117" s="45" t="s">
        <v>119</v>
      </c>
      <c r="AE117" s="45" t="s">
        <v>120</v>
      </c>
      <c r="AF117" s="45" t="s">
        <v>121</v>
      </c>
      <c r="AG117" s="45" t="s">
        <v>122</v>
      </c>
      <c r="AH117" s="45" t="s">
        <v>123</v>
      </c>
      <c r="AI117" s="45" t="s">
        <v>124</v>
      </c>
      <c r="AJ117" s="45" t="s">
        <v>125</v>
      </c>
      <c r="AK117" s="45" t="s">
        <v>126</v>
      </c>
      <c r="AL117" s="45"/>
      <c r="AM117" s="45"/>
      <c r="AO117" s="44" t="s">
        <v>100</v>
      </c>
      <c r="AP117" s="43" t="str">
        <f>IF(IFERROR(INDEX(Consulta!$A:$DP,MATCH('MM01'!$B117,Consulta!$C:$C,0),'MM01'!AP$2),"")=0,"",IFERROR(INDEX(Consulta!$A:$DP,MATCH('MM01'!$B117,Consulta!$C:$C,0),'MM01'!AP$2),""))</f>
        <v/>
      </c>
      <c r="AQ117" s="45"/>
      <c r="AR117" s="43" t="str">
        <f>IF(IFERROR(INDEX(Consulta!$A:$DP,MATCH('MM01'!$B117,Consulta!$C:$C,0),'MM01'!AR$2),"")=0,"",IFERROR(INDEX(Consulta!$A:$DP,MATCH('MM01'!$B117,Consulta!$C:$C,0),'MM01'!AR$2),""))</f>
        <v/>
      </c>
      <c r="AS117" s="43" t="str">
        <f>IF(IFERROR(INDEX(Consulta!$A:$DP,MATCH('MM01'!$B117,Consulta!$C:$C,0),'MM01'!AS$2),"")=0,"",IF(AR117="68",5102,IFERROR(INDEX(Consulta!$A:$DP,MATCH('MM01'!$B117,Consulta!$C:$C,0),'MM01'!AS$2),"")))</f>
        <v/>
      </c>
      <c r="AT117" s="45"/>
      <c r="AU117" s="46" t="str">
        <f t="shared" ca="1" si="85"/>
        <v/>
      </c>
      <c r="AV117" s="47" t="s">
        <v>795</v>
      </c>
      <c r="AW117" s="43" t="str">
        <f>IF(IFERROR(INDEX(Consulta!$A:$DP,MATCH('MM01'!$B117,Consulta!$C:$C,0),'MM01'!AW$2),"")=0,"",IFERROR(ROUND(INDEX(Consulta!$A:$DP,MATCH('MM01'!$B117,Consulta!$C:$C,0),'MM01'!AW$2),3),""))</f>
        <v/>
      </c>
      <c r="AX117" s="43" t="str">
        <f t="shared" si="86"/>
        <v/>
      </c>
      <c r="AY117" s="48" t="s">
        <v>299</v>
      </c>
      <c r="AZ117" s="48"/>
      <c r="BA117" s="43" t="str">
        <f>IF(IFERROR(INDEX(Consulta!$A:$DP,MATCH('MM01'!$B117,Consulta!$C:$C,0),'MM01'!BA$2),"")=0,"",IFERROR(INDEX(Consulta!$A:$DP,MATCH('MM01'!$B117,Consulta!$C:$C,0),'MM01'!BA$2),""))</f>
        <v/>
      </c>
      <c r="BB117" s="43" t="str">
        <f t="shared" si="87"/>
        <v/>
      </c>
      <c r="BC117" s="43" t="str">
        <f t="shared" si="88"/>
        <v/>
      </c>
      <c r="BD117" s="43" t="str">
        <f t="shared" si="89"/>
        <v/>
      </c>
      <c r="BE117" s="43" t="str">
        <f t="shared" si="90"/>
        <v>M</v>
      </c>
      <c r="BF117" s="43" t="str">
        <f t="shared" si="91"/>
        <v/>
      </c>
      <c r="BG117" s="43" t="str">
        <f t="shared" si="92"/>
        <v/>
      </c>
      <c r="BH117" s="43" t="str">
        <f t="shared" si="93"/>
        <v/>
      </c>
      <c r="BI117" s="43" t="str">
        <f t="shared" si="94"/>
        <v>M</v>
      </c>
      <c r="BK117" s="45" t="s">
        <v>324</v>
      </c>
      <c r="BL117" s="43" t="str">
        <f>IF(IFERROR(INDEX(Consulta!$A:$DP,MATCH('MM01'!$B117,Consulta!$C:$C,0),'MM01'!BL$2),"")=0,"",IFERROR(INDEX(Consulta!$A:$DP,MATCH('MM01'!$B117,Consulta!$C:$C,0),'MM01'!BL$2),""))</f>
        <v/>
      </c>
      <c r="BM117" s="45"/>
      <c r="BN117" s="46" t="str">
        <f t="shared" ca="1" si="95"/>
        <v/>
      </c>
      <c r="BO117" s="49" t="str">
        <f t="shared" si="96"/>
        <v/>
      </c>
      <c r="BP117" s="50">
        <v>1</v>
      </c>
      <c r="BQ117" s="50" t="s">
        <v>194</v>
      </c>
      <c r="BR117" s="79" t="str">
        <f t="shared" si="81"/>
        <v>01</v>
      </c>
      <c r="BS117" s="50" t="s">
        <v>795</v>
      </c>
      <c r="BT117" s="44">
        <v>1</v>
      </c>
      <c r="BU117" s="44" t="s">
        <v>371</v>
      </c>
      <c r="BV117" s="50" t="s">
        <v>197</v>
      </c>
      <c r="BW117" s="50" t="s">
        <v>197</v>
      </c>
      <c r="BX117" s="43" t="str">
        <f>IF(IFERROR(INDEX(Consulta!$A:$DP,MATCH('MM01'!$B117,Consulta!$C:$C,0),'MM01'!BX$2),"")=0,"",IFERROR(INDEX(Consulta!$A:$DP,MATCH('MM01'!$B117,Consulta!$C:$C,0),'MM01'!BX$2),""))</f>
        <v/>
      </c>
      <c r="BY117" s="44" t="s">
        <v>391</v>
      </c>
      <c r="BZ117" s="50">
        <v>0</v>
      </c>
      <c r="CA117" s="45" t="s">
        <v>402</v>
      </c>
      <c r="CB117" s="45" t="s">
        <v>84</v>
      </c>
      <c r="CC117" s="43" t="str">
        <f t="shared" si="97"/>
        <v/>
      </c>
      <c r="CD117" s="45" t="s">
        <v>38</v>
      </c>
      <c r="CE117" s="45">
        <v>1</v>
      </c>
      <c r="CF117" s="45" t="s">
        <v>495</v>
      </c>
      <c r="CG117" s="45"/>
      <c r="CH117" s="44">
        <v>2</v>
      </c>
      <c r="CI117" s="49" t="str">
        <f t="shared" si="98"/>
        <v/>
      </c>
      <c r="CJ117" s="49" t="str">
        <f t="shared" si="99"/>
        <v/>
      </c>
      <c r="CK117" s="45"/>
      <c r="CL117" s="44">
        <v>1</v>
      </c>
      <c r="CM117" s="50" t="s">
        <v>514</v>
      </c>
      <c r="CN117" s="44" t="s">
        <v>371</v>
      </c>
      <c r="CO117" s="44">
        <v>2</v>
      </c>
      <c r="CP117" s="44">
        <v>42</v>
      </c>
      <c r="CQ117" s="44">
        <v>10</v>
      </c>
      <c r="CR117" s="43" t="str">
        <f t="shared" si="100"/>
        <v>K00_P_</v>
      </c>
      <c r="CS117" s="45">
        <v>5000</v>
      </c>
      <c r="CT117" s="43" t="str">
        <f>IF(IFERROR(INDEX(Consulta!$A:$DP,MATCH('MM01'!$B117,Consulta!$C:$C,0),'MM01'!CT$2),"")=0,"",IFERROR(INDEX(Consulta!$A:$DP,MATCH('MM01'!$B117,Consulta!$C:$C,0),'MM01'!CT$2),""))</f>
        <v/>
      </c>
      <c r="CU117" s="43" t="str">
        <f>IF(IFERROR(INDEX(Consulta!$A:$DP,MATCH('MM01'!$B117,Consulta!$C:$C,0),'MM01'!CU$2),"")=0,"",IFERROR(INDEX(Consulta!$A:$DP,MATCH('MM01'!$B117,Consulta!$C:$C,0),'MM01'!CU$2),""))</f>
        <v/>
      </c>
      <c r="CV117" s="43" t="str">
        <f>IF(IFERROR(INDEX(Consulta!$A:$DP,MATCH('MM01'!$B117,Consulta!$C:$C,0),'MM01'!CV$2),"")=0,"",IFERROR(INDEX(Consulta!$A:$DP,MATCH('MM01'!$B117,Consulta!$C:$C,0),'MM01'!CV$2),""))</f>
        <v/>
      </c>
      <c r="CW117" s="43" t="str">
        <f>IF(IFERROR(INDEX(Consulta!$A:$DP,MATCH('MM01'!$B117,Consulta!$C:$C,0),'MM01'!CW$2),"")=0,"",IFERROR(INDEX(Consulta!$A:$DP,MATCH('MM01'!$B117,Consulta!$C:$C,0),'MM01'!CW$2),""))</f>
        <v/>
      </c>
      <c r="CX117" s="43" t="str">
        <f t="shared" si="101"/>
        <v/>
      </c>
      <c r="CY117" s="43" t="str">
        <f t="shared" si="102"/>
        <v/>
      </c>
      <c r="CZ117" s="43" t="str">
        <f t="shared" si="103"/>
        <v/>
      </c>
      <c r="DA117" s="43" t="str">
        <f>IF(IFERROR(INDEX(Consulta!$A:$DP,MATCH('MM01'!$B117,Consulta!$C:$C,0),'MM01'!DA$2),"")=0,"",IFERROR(INDEX(Consulta!$A:$DP,MATCH('MM01'!$B117,Consulta!$C:$C,0),'MM01'!DA$2),""))</f>
        <v/>
      </c>
      <c r="DB117" s="43" t="str">
        <f t="shared" si="104"/>
        <v/>
      </c>
      <c r="DC117" s="43" t="str">
        <f>IF(IFERROR(INDEX(Consulta!$A:$DP,MATCH('MM01'!$B117,Consulta!$C:$C,0),'MM01'!DC$2),"")=0,"",IFERROR(INDEX(Consulta!$A:$DP,MATCH('MM01'!$B117,Consulta!$C:$C,0),'MM01'!DC$2),""))</f>
        <v/>
      </c>
      <c r="DD117" s="45">
        <v>0</v>
      </c>
      <c r="DE117" s="45">
        <v>0</v>
      </c>
      <c r="DF117" s="43" t="str">
        <f t="shared" si="105"/>
        <v/>
      </c>
      <c r="DG117" s="43" t="str">
        <f t="shared" si="106"/>
        <v/>
      </c>
      <c r="DH117" s="57"/>
      <c r="DI117" s="43" t="str">
        <f t="shared" ca="1" si="107"/>
        <v/>
      </c>
      <c r="DJ117" s="43" t="str">
        <f t="shared" si="108"/>
        <v/>
      </c>
      <c r="DK117" s="43" t="str">
        <f t="shared" si="109"/>
        <v/>
      </c>
      <c r="DL117" s="57"/>
      <c r="DM117" s="43" t="str">
        <f t="shared" ca="1" si="110"/>
        <v/>
      </c>
      <c r="DN117" s="43" t="str">
        <f t="shared" si="111"/>
        <v/>
      </c>
      <c r="DO117" s="43" t="str">
        <f t="shared" si="112"/>
        <v/>
      </c>
      <c r="DP117" s="57"/>
      <c r="DQ117" s="43" t="str">
        <f t="shared" ca="1" si="113"/>
        <v/>
      </c>
      <c r="DR117" s="43" t="str">
        <f t="shared" si="114"/>
        <v/>
      </c>
      <c r="DS117" s="43" t="str">
        <f t="shared" si="115"/>
        <v/>
      </c>
      <c r="DT117" s="57"/>
      <c r="DU117" s="43" t="str">
        <f t="shared" ca="1" si="116"/>
        <v/>
      </c>
      <c r="DV117" s="43" t="str">
        <f t="shared" si="117"/>
        <v/>
      </c>
      <c r="DX117" s="44">
        <v>1</v>
      </c>
      <c r="DY117" s="44" t="s">
        <v>773</v>
      </c>
      <c r="DZ117" s="43">
        <f t="shared" si="118"/>
        <v>0.01</v>
      </c>
      <c r="EA117" s="43" t="str">
        <f t="shared" si="119"/>
        <v>M</v>
      </c>
      <c r="EB117" s="43" t="str">
        <f>IF(IFERROR(INDEX(Consulta!$A:$DP,MATCH('MM01'!$B117,Consulta!$C:$C,0),'MM01'!EB$2),"")=0,"7925",IF(IFERROR(INDEX(Consulta!$A:$DP,MATCH('MM01'!$B117,Consulta!$C:$C,0),'MM01'!EB$2),"")="68","7910","7925"))</f>
        <v>7925</v>
      </c>
      <c r="EC117" s="44">
        <v>100</v>
      </c>
      <c r="ED117" s="62">
        <v>1</v>
      </c>
      <c r="EE117" s="43">
        <f t="shared" si="120"/>
        <v>100</v>
      </c>
      <c r="EF117" s="44">
        <v>1</v>
      </c>
      <c r="EG117" s="44">
        <v>0</v>
      </c>
      <c r="EH117" s="44" t="s">
        <v>875</v>
      </c>
      <c r="EI117" s="45">
        <v>0</v>
      </c>
      <c r="EJ117" s="43">
        <f t="shared" si="121"/>
        <v>5000</v>
      </c>
      <c r="EK117" s="69"/>
    </row>
    <row r="118" spans="1:141" x14ac:dyDescent="0.2">
      <c r="A118" s="7" t="str">
        <f t="shared" si="82"/>
        <v>Execução 114</v>
      </c>
      <c r="B118" s="42"/>
      <c r="C118" s="43" t="str">
        <f>IF(IFERROR(INDEX(Consulta!$A:$DP,MATCH('MM01'!$B118,Consulta!$C:$C,0),'MM01'!C$2),"")=0,"",IFERROR(INDEX(Consulta!$A:$DP,MATCH('MM01'!$B118,Consulta!$C:$C,0),'MM01'!C$2),""))</f>
        <v/>
      </c>
      <c r="D118" s="43" t="str">
        <f>IF(IFERROR(INDEX(Consulta!$A:$DP,MATCH('MM01'!$B118,Consulta!$C:$C,0),'MM01'!D$2),"")=0,"",IFERROR(INDEX(Consulta!$A:$DP,MATCH('MM01'!$B118,Consulta!$C:$C,0),'MM01'!D$2),""))</f>
        <v/>
      </c>
      <c r="E118" s="43" t="str">
        <f>IF(IFERROR(INDEX(Consulta!$A:$DP,MATCH('MM01'!$B118,Consulta!$C:$C,0),'MM01'!E$2),"")=0,"",IFERROR(INDEX(Consulta!$A:$DP,MATCH('MM01'!$B118,Consulta!$C:$C,0),'MM01'!E$2),""))</f>
        <v/>
      </c>
      <c r="F118" s="44" t="s">
        <v>100</v>
      </c>
      <c r="G118" s="49" t="str">
        <f>IF(IFERROR(INDEX(Consulta!$A:$DP,MATCH('MM01'!$B118,Consulta!$C:$C,0),'MM01'!G$2),"")=0,"",IFERROR(INDEX(Consulta!$A:$DP,MATCH('MM01'!$B118,Consulta!$C:$C,0),'MM01'!G$2),""))</f>
        <v/>
      </c>
      <c r="H118" s="49" t="str">
        <f>IF(IFERROR(INDEX(Consulta!$A:$DP,MATCH('MM01'!$B118,Consulta!$C:$C,0),'MM01'!H$2),"")=0,"",IFERROR(INDEX(Consulta!$A:$DP,MATCH('MM01'!$B118,Consulta!$C:$C,0),'MM01'!H$2),""))</f>
        <v/>
      </c>
      <c r="I118" s="49" t="str">
        <f t="shared" si="83"/>
        <v/>
      </c>
      <c r="J118" s="49" t="str">
        <f>IF(IFERROR(INDEX(Consulta!$A:$DP,MATCH('MM01'!$B118,Consulta!$C:$C,0),'MM01'!J$2),"")=0,"",IFERROR(INDEX(Consulta!$A:$DP,MATCH('MM01'!$B118,Consulta!$C:$C,0),'MM01'!J$2),""))</f>
        <v/>
      </c>
      <c r="K118" s="49" t="str">
        <f t="shared" si="84"/>
        <v/>
      </c>
      <c r="M118" s="45" t="s">
        <v>101</v>
      </c>
      <c r="N118" s="45" t="s">
        <v>102</v>
      </c>
      <c r="O118" s="45" t="s">
        <v>103</v>
      </c>
      <c r="P118" s="45" t="s">
        <v>104</v>
      </c>
      <c r="Q118" s="45" t="s">
        <v>105</v>
      </c>
      <c r="R118" s="45" t="s">
        <v>106</v>
      </c>
      <c r="S118" s="45" t="s">
        <v>107</v>
      </c>
      <c r="T118" s="45"/>
      <c r="U118" s="45"/>
      <c r="V118" s="45"/>
      <c r="W118" s="45"/>
      <c r="X118" s="45" t="s">
        <v>112</v>
      </c>
      <c r="Y118" s="45" t="s">
        <v>113</v>
      </c>
      <c r="Z118" s="45" t="s">
        <v>114</v>
      </c>
      <c r="AA118" s="45" t="s">
        <v>115</v>
      </c>
      <c r="AB118" s="45" t="s">
        <v>117</v>
      </c>
      <c r="AC118" s="45" t="s">
        <v>118</v>
      </c>
      <c r="AD118" s="45" t="s">
        <v>119</v>
      </c>
      <c r="AE118" s="45" t="s">
        <v>120</v>
      </c>
      <c r="AF118" s="45" t="s">
        <v>121</v>
      </c>
      <c r="AG118" s="45" t="s">
        <v>122</v>
      </c>
      <c r="AH118" s="45" t="s">
        <v>123</v>
      </c>
      <c r="AI118" s="45" t="s">
        <v>124</v>
      </c>
      <c r="AJ118" s="45" t="s">
        <v>125</v>
      </c>
      <c r="AK118" s="45" t="s">
        <v>126</v>
      </c>
      <c r="AL118" s="45"/>
      <c r="AM118" s="45"/>
      <c r="AO118" s="44" t="s">
        <v>100</v>
      </c>
      <c r="AP118" s="43" t="str">
        <f>IF(IFERROR(INDEX(Consulta!$A:$DP,MATCH('MM01'!$B118,Consulta!$C:$C,0),'MM01'!AP$2),"")=0,"",IFERROR(INDEX(Consulta!$A:$DP,MATCH('MM01'!$B118,Consulta!$C:$C,0),'MM01'!AP$2),""))</f>
        <v/>
      </c>
      <c r="AQ118" s="45"/>
      <c r="AR118" s="43" t="str">
        <f>IF(IFERROR(INDEX(Consulta!$A:$DP,MATCH('MM01'!$B118,Consulta!$C:$C,0),'MM01'!AR$2),"")=0,"",IFERROR(INDEX(Consulta!$A:$DP,MATCH('MM01'!$B118,Consulta!$C:$C,0),'MM01'!AR$2),""))</f>
        <v/>
      </c>
      <c r="AS118" s="43" t="str">
        <f>IF(IFERROR(INDEX(Consulta!$A:$DP,MATCH('MM01'!$B118,Consulta!$C:$C,0),'MM01'!AS$2),"")=0,"",IF(AR118="68",5102,IFERROR(INDEX(Consulta!$A:$DP,MATCH('MM01'!$B118,Consulta!$C:$C,0),'MM01'!AS$2),"")))</f>
        <v/>
      </c>
      <c r="AT118" s="45"/>
      <c r="AU118" s="46" t="str">
        <f t="shared" ca="1" si="85"/>
        <v/>
      </c>
      <c r="AV118" s="47" t="s">
        <v>795</v>
      </c>
      <c r="AW118" s="43" t="str">
        <f>IF(IFERROR(INDEX(Consulta!$A:$DP,MATCH('MM01'!$B118,Consulta!$C:$C,0),'MM01'!AW$2),"")=0,"",IFERROR(ROUND(INDEX(Consulta!$A:$DP,MATCH('MM01'!$B118,Consulta!$C:$C,0),'MM01'!AW$2),3),""))</f>
        <v/>
      </c>
      <c r="AX118" s="43" t="str">
        <f t="shared" si="86"/>
        <v/>
      </c>
      <c r="AY118" s="48" t="s">
        <v>299</v>
      </c>
      <c r="AZ118" s="48"/>
      <c r="BA118" s="43" t="str">
        <f>IF(IFERROR(INDEX(Consulta!$A:$DP,MATCH('MM01'!$B118,Consulta!$C:$C,0),'MM01'!BA$2),"")=0,"",IFERROR(INDEX(Consulta!$A:$DP,MATCH('MM01'!$B118,Consulta!$C:$C,0),'MM01'!BA$2),""))</f>
        <v/>
      </c>
      <c r="BB118" s="43" t="str">
        <f t="shared" si="87"/>
        <v/>
      </c>
      <c r="BC118" s="43" t="str">
        <f t="shared" si="88"/>
        <v/>
      </c>
      <c r="BD118" s="43" t="str">
        <f t="shared" si="89"/>
        <v/>
      </c>
      <c r="BE118" s="43" t="str">
        <f t="shared" si="90"/>
        <v>M</v>
      </c>
      <c r="BF118" s="43" t="str">
        <f t="shared" si="91"/>
        <v/>
      </c>
      <c r="BG118" s="43" t="str">
        <f t="shared" si="92"/>
        <v/>
      </c>
      <c r="BH118" s="43" t="str">
        <f t="shared" si="93"/>
        <v/>
      </c>
      <c r="BI118" s="43" t="str">
        <f t="shared" si="94"/>
        <v>M</v>
      </c>
      <c r="BK118" s="45" t="s">
        <v>324</v>
      </c>
      <c r="BL118" s="43" t="str">
        <f>IF(IFERROR(INDEX(Consulta!$A:$DP,MATCH('MM01'!$B118,Consulta!$C:$C,0),'MM01'!BL$2),"")=0,"",IFERROR(INDEX(Consulta!$A:$DP,MATCH('MM01'!$B118,Consulta!$C:$C,0),'MM01'!BL$2),""))</f>
        <v/>
      </c>
      <c r="BM118" s="45"/>
      <c r="BN118" s="46" t="str">
        <f t="shared" ca="1" si="95"/>
        <v/>
      </c>
      <c r="BO118" s="49" t="str">
        <f t="shared" si="96"/>
        <v/>
      </c>
      <c r="BP118" s="50">
        <v>1</v>
      </c>
      <c r="BQ118" s="50" t="s">
        <v>194</v>
      </c>
      <c r="BR118" s="79" t="str">
        <f t="shared" si="81"/>
        <v>01</v>
      </c>
      <c r="BS118" s="50" t="s">
        <v>795</v>
      </c>
      <c r="BT118" s="44">
        <v>1</v>
      </c>
      <c r="BU118" s="44" t="s">
        <v>371</v>
      </c>
      <c r="BV118" s="50" t="s">
        <v>197</v>
      </c>
      <c r="BW118" s="50" t="s">
        <v>197</v>
      </c>
      <c r="BX118" s="43" t="str">
        <f>IF(IFERROR(INDEX(Consulta!$A:$DP,MATCH('MM01'!$B118,Consulta!$C:$C,0),'MM01'!BX$2),"")=0,"",IFERROR(INDEX(Consulta!$A:$DP,MATCH('MM01'!$B118,Consulta!$C:$C,0),'MM01'!BX$2),""))</f>
        <v/>
      </c>
      <c r="BY118" s="44" t="s">
        <v>391</v>
      </c>
      <c r="BZ118" s="50">
        <v>0</v>
      </c>
      <c r="CA118" s="45" t="s">
        <v>402</v>
      </c>
      <c r="CB118" s="45" t="s">
        <v>84</v>
      </c>
      <c r="CC118" s="43" t="str">
        <f t="shared" si="97"/>
        <v/>
      </c>
      <c r="CD118" s="45" t="s">
        <v>38</v>
      </c>
      <c r="CE118" s="45">
        <v>1</v>
      </c>
      <c r="CF118" s="45" t="s">
        <v>495</v>
      </c>
      <c r="CG118" s="45"/>
      <c r="CH118" s="44">
        <v>2</v>
      </c>
      <c r="CI118" s="49" t="str">
        <f t="shared" si="98"/>
        <v/>
      </c>
      <c r="CJ118" s="49" t="str">
        <f t="shared" si="99"/>
        <v/>
      </c>
      <c r="CK118" s="45"/>
      <c r="CL118" s="44">
        <v>1</v>
      </c>
      <c r="CM118" s="50" t="s">
        <v>514</v>
      </c>
      <c r="CN118" s="44" t="s">
        <v>371</v>
      </c>
      <c r="CO118" s="44">
        <v>2</v>
      </c>
      <c r="CP118" s="44">
        <v>42</v>
      </c>
      <c r="CQ118" s="44">
        <v>10</v>
      </c>
      <c r="CR118" s="43" t="str">
        <f t="shared" si="100"/>
        <v>K00_P_</v>
      </c>
      <c r="CS118" s="45">
        <v>5000</v>
      </c>
      <c r="CT118" s="43" t="str">
        <f>IF(IFERROR(INDEX(Consulta!$A:$DP,MATCH('MM01'!$B118,Consulta!$C:$C,0),'MM01'!CT$2),"")=0,"",IFERROR(INDEX(Consulta!$A:$DP,MATCH('MM01'!$B118,Consulta!$C:$C,0),'MM01'!CT$2),""))</f>
        <v/>
      </c>
      <c r="CU118" s="43" t="str">
        <f>IF(IFERROR(INDEX(Consulta!$A:$DP,MATCH('MM01'!$B118,Consulta!$C:$C,0),'MM01'!CU$2),"")=0,"",IFERROR(INDEX(Consulta!$A:$DP,MATCH('MM01'!$B118,Consulta!$C:$C,0),'MM01'!CU$2),""))</f>
        <v/>
      </c>
      <c r="CV118" s="43" t="str">
        <f>IF(IFERROR(INDEX(Consulta!$A:$DP,MATCH('MM01'!$B118,Consulta!$C:$C,0),'MM01'!CV$2),"")=0,"",IFERROR(INDEX(Consulta!$A:$DP,MATCH('MM01'!$B118,Consulta!$C:$C,0),'MM01'!CV$2),""))</f>
        <v/>
      </c>
      <c r="CW118" s="43" t="str">
        <f>IF(IFERROR(INDEX(Consulta!$A:$DP,MATCH('MM01'!$B118,Consulta!$C:$C,0),'MM01'!CW$2),"")=0,"",IFERROR(INDEX(Consulta!$A:$DP,MATCH('MM01'!$B118,Consulta!$C:$C,0),'MM01'!CW$2),""))</f>
        <v/>
      </c>
      <c r="CX118" s="43" t="str">
        <f t="shared" si="101"/>
        <v/>
      </c>
      <c r="CY118" s="43" t="str">
        <f t="shared" si="102"/>
        <v/>
      </c>
      <c r="CZ118" s="43" t="str">
        <f t="shared" si="103"/>
        <v/>
      </c>
      <c r="DA118" s="43" t="str">
        <f>IF(IFERROR(INDEX(Consulta!$A:$DP,MATCH('MM01'!$B118,Consulta!$C:$C,0),'MM01'!DA$2),"")=0,"",IFERROR(INDEX(Consulta!$A:$DP,MATCH('MM01'!$B118,Consulta!$C:$C,0),'MM01'!DA$2),""))</f>
        <v/>
      </c>
      <c r="DB118" s="43" t="str">
        <f t="shared" si="104"/>
        <v/>
      </c>
      <c r="DC118" s="43" t="str">
        <f>IF(IFERROR(INDEX(Consulta!$A:$DP,MATCH('MM01'!$B118,Consulta!$C:$C,0),'MM01'!DC$2),"")=0,"",IFERROR(INDEX(Consulta!$A:$DP,MATCH('MM01'!$B118,Consulta!$C:$C,0),'MM01'!DC$2),""))</f>
        <v/>
      </c>
      <c r="DD118" s="45">
        <v>0</v>
      </c>
      <c r="DE118" s="45">
        <v>0</v>
      </c>
      <c r="DF118" s="43" t="str">
        <f t="shared" si="105"/>
        <v/>
      </c>
      <c r="DG118" s="43" t="str">
        <f t="shared" si="106"/>
        <v/>
      </c>
      <c r="DH118" s="57"/>
      <c r="DI118" s="43" t="str">
        <f t="shared" ca="1" si="107"/>
        <v/>
      </c>
      <c r="DJ118" s="43" t="str">
        <f t="shared" si="108"/>
        <v/>
      </c>
      <c r="DK118" s="43" t="str">
        <f t="shared" si="109"/>
        <v/>
      </c>
      <c r="DL118" s="57"/>
      <c r="DM118" s="43" t="str">
        <f t="shared" ca="1" si="110"/>
        <v/>
      </c>
      <c r="DN118" s="43" t="str">
        <f t="shared" si="111"/>
        <v/>
      </c>
      <c r="DO118" s="43" t="str">
        <f t="shared" si="112"/>
        <v/>
      </c>
      <c r="DP118" s="57"/>
      <c r="DQ118" s="43" t="str">
        <f t="shared" ca="1" si="113"/>
        <v/>
      </c>
      <c r="DR118" s="43" t="str">
        <f t="shared" si="114"/>
        <v/>
      </c>
      <c r="DS118" s="43" t="str">
        <f t="shared" si="115"/>
        <v/>
      </c>
      <c r="DT118" s="57"/>
      <c r="DU118" s="43" t="str">
        <f t="shared" ca="1" si="116"/>
        <v/>
      </c>
      <c r="DV118" s="43" t="str">
        <f t="shared" si="117"/>
        <v/>
      </c>
      <c r="DX118" s="44">
        <v>1</v>
      </c>
      <c r="DY118" s="44" t="s">
        <v>773</v>
      </c>
      <c r="DZ118" s="43">
        <f t="shared" si="118"/>
        <v>0.01</v>
      </c>
      <c r="EA118" s="43" t="str">
        <f t="shared" si="119"/>
        <v>M</v>
      </c>
      <c r="EB118" s="43" t="str">
        <f>IF(IFERROR(INDEX(Consulta!$A:$DP,MATCH('MM01'!$B118,Consulta!$C:$C,0),'MM01'!EB$2),"")=0,"7925",IF(IFERROR(INDEX(Consulta!$A:$DP,MATCH('MM01'!$B118,Consulta!$C:$C,0),'MM01'!EB$2),"")="68","7910","7925"))</f>
        <v>7925</v>
      </c>
      <c r="EC118" s="44">
        <v>100</v>
      </c>
      <c r="ED118" s="62">
        <v>1</v>
      </c>
      <c r="EE118" s="43">
        <f t="shared" si="120"/>
        <v>100</v>
      </c>
      <c r="EF118" s="44">
        <v>1</v>
      </c>
      <c r="EG118" s="44">
        <v>0</v>
      </c>
      <c r="EH118" s="44" t="s">
        <v>875</v>
      </c>
      <c r="EI118" s="45">
        <v>0</v>
      </c>
      <c r="EJ118" s="43">
        <f t="shared" si="121"/>
        <v>5000</v>
      </c>
      <c r="EK118" s="69"/>
    </row>
    <row r="119" spans="1:141" x14ac:dyDescent="0.2">
      <c r="A119" s="7" t="str">
        <f t="shared" si="82"/>
        <v>Execução 115</v>
      </c>
      <c r="B119" s="42"/>
      <c r="C119" s="43" t="str">
        <f>IF(IFERROR(INDEX(Consulta!$A:$DP,MATCH('MM01'!$B119,Consulta!$C:$C,0),'MM01'!C$2),"")=0,"",IFERROR(INDEX(Consulta!$A:$DP,MATCH('MM01'!$B119,Consulta!$C:$C,0),'MM01'!C$2),""))</f>
        <v/>
      </c>
      <c r="D119" s="43" t="str">
        <f>IF(IFERROR(INDEX(Consulta!$A:$DP,MATCH('MM01'!$B119,Consulta!$C:$C,0),'MM01'!D$2),"")=0,"",IFERROR(INDEX(Consulta!$A:$DP,MATCH('MM01'!$B119,Consulta!$C:$C,0),'MM01'!D$2),""))</f>
        <v/>
      </c>
      <c r="E119" s="43" t="str">
        <f>IF(IFERROR(INDEX(Consulta!$A:$DP,MATCH('MM01'!$B119,Consulta!$C:$C,0),'MM01'!E$2),"")=0,"",IFERROR(INDEX(Consulta!$A:$DP,MATCH('MM01'!$B119,Consulta!$C:$C,0),'MM01'!E$2),""))</f>
        <v/>
      </c>
      <c r="F119" s="44" t="s">
        <v>100</v>
      </c>
      <c r="G119" s="49" t="str">
        <f>IF(IFERROR(INDEX(Consulta!$A:$DP,MATCH('MM01'!$B119,Consulta!$C:$C,0),'MM01'!G$2),"")=0,"",IFERROR(INDEX(Consulta!$A:$DP,MATCH('MM01'!$B119,Consulta!$C:$C,0),'MM01'!G$2),""))</f>
        <v/>
      </c>
      <c r="H119" s="49" t="str">
        <f>IF(IFERROR(INDEX(Consulta!$A:$DP,MATCH('MM01'!$B119,Consulta!$C:$C,0),'MM01'!H$2),"")=0,"",IFERROR(INDEX(Consulta!$A:$DP,MATCH('MM01'!$B119,Consulta!$C:$C,0),'MM01'!H$2),""))</f>
        <v/>
      </c>
      <c r="I119" s="49" t="str">
        <f t="shared" si="83"/>
        <v/>
      </c>
      <c r="J119" s="49" t="str">
        <f>IF(IFERROR(INDEX(Consulta!$A:$DP,MATCH('MM01'!$B119,Consulta!$C:$C,0),'MM01'!J$2),"")=0,"",IFERROR(INDEX(Consulta!$A:$DP,MATCH('MM01'!$B119,Consulta!$C:$C,0),'MM01'!J$2),""))</f>
        <v/>
      </c>
      <c r="K119" s="49" t="str">
        <f t="shared" si="84"/>
        <v/>
      </c>
      <c r="M119" s="45" t="s">
        <v>101</v>
      </c>
      <c r="N119" s="45" t="s">
        <v>102</v>
      </c>
      <c r="O119" s="45" t="s">
        <v>103</v>
      </c>
      <c r="P119" s="45" t="s">
        <v>104</v>
      </c>
      <c r="Q119" s="45" t="s">
        <v>105</v>
      </c>
      <c r="R119" s="45" t="s">
        <v>106</v>
      </c>
      <c r="S119" s="45" t="s">
        <v>107</v>
      </c>
      <c r="T119" s="45"/>
      <c r="U119" s="45"/>
      <c r="V119" s="45"/>
      <c r="W119" s="45"/>
      <c r="X119" s="45" t="s">
        <v>112</v>
      </c>
      <c r="Y119" s="45" t="s">
        <v>113</v>
      </c>
      <c r="Z119" s="45" t="s">
        <v>114</v>
      </c>
      <c r="AA119" s="45" t="s">
        <v>115</v>
      </c>
      <c r="AB119" s="45" t="s">
        <v>117</v>
      </c>
      <c r="AC119" s="45" t="s">
        <v>118</v>
      </c>
      <c r="AD119" s="45" t="s">
        <v>119</v>
      </c>
      <c r="AE119" s="45" t="s">
        <v>120</v>
      </c>
      <c r="AF119" s="45" t="s">
        <v>121</v>
      </c>
      <c r="AG119" s="45" t="s">
        <v>122</v>
      </c>
      <c r="AH119" s="45" t="s">
        <v>123</v>
      </c>
      <c r="AI119" s="45" t="s">
        <v>124</v>
      </c>
      <c r="AJ119" s="45" t="s">
        <v>125</v>
      </c>
      <c r="AK119" s="45" t="s">
        <v>126</v>
      </c>
      <c r="AL119" s="45"/>
      <c r="AM119" s="45"/>
      <c r="AO119" s="44" t="s">
        <v>100</v>
      </c>
      <c r="AP119" s="43" t="str">
        <f>IF(IFERROR(INDEX(Consulta!$A:$DP,MATCH('MM01'!$B119,Consulta!$C:$C,0),'MM01'!AP$2),"")=0,"",IFERROR(INDEX(Consulta!$A:$DP,MATCH('MM01'!$B119,Consulta!$C:$C,0),'MM01'!AP$2),""))</f>
        <v/>
      </c>
      <c r="AQ119" s="45"/>
      <c r="AR119" s="43" t="str">
        <f>IF(IFERROR(INDEX(Consulta!$A:$DP,MATCH('MM01'!$B119,Consulta!$C:$C,0),'MM01'!AR$2),"")=0,"",IFERROR(INDEX(Consulta!$A:$DP,MATCH('MM01'!$B119,Consulta!$C:$C,0),'MM01'!AR$2),""))</f>
        <v/>
      </c>
      <c r="AS119" s="43" t="str">
        <f>IF(IFERROR(INDEX(Consulta!$A:$DP,MATCH('MM01'!$B119,Consulta!$C:$C,0),'MM01'!AS$2),"")=0,"",IF(AR119="68",5102,IFERROR(INDEX(Consulta!$A:$DP,MATCH('MM01'!$B119,Consulta!$C:$C,0),'MM01'!AS$2),"")))</f>
        <v/>
      </c>
      <c r="AT119" s="45"/>
      <c r="AU119" s="46" t="str">
        <f t="shared" ca="1" si="85"/>
        <v/>
      </c>
      <c r="AV119" s="47" t="s">
        <v>795</v>
      </c>
      <c r="AW119" s="43" t="str">
        <f>IF(IFERROR(INDEX(Consulta!$A:$DP,MATCH('MM01'!$B119,Consulta!$C:$C,0),'MM01'!AW$2),"")=0,"",IFERROR(ROUND(INDEX(Consulta!$A:$DP,MATCH('MM01'!$B119,Consulta!$C:$C,0),'MM01'!AW$2),3),""))</f>
        <v/>
      </c>
      <c r="AX119" s="43" t="str">
        <f t="shared" si="86"/>
        <v/>
      </c>
      <c r="AY119" s="48" t="s">
        <v>299</v>
      </c>
      <c r="AZ119" s="48"/>
      <c r="BA119" s="43" t="str">
        <f>IF(IFERROR(INDEX(Consulta!$A:$DP,MATCH('MM01'!$B119,Consulta!$C:$C,0),'MM01'!BA$2),"")=0,"",IFERROR(INDEX(Consulta!$A:$DP,MATCH('MM01'!$B119,Consulta!$C:$C,0),'MM01'!BA$2),""))</f>
        <v/>
      </c>
      <c r="BB119" s="43" t="str">
        <f t="shared" si="87"/>
        <v/>
      </c>
      <c r="BC119" s="43" t="str">
        <f t="shared" si="88"/>
        <v/>
      </c>
      <c r="BD119" s="43" t="str">
        <f t="shared" si="89"/>
        <v/>
      </c>
      <c r="BE119" s="43" t="str">
        <f t="shared" si="90"/>
        <v>M</v>
      </c>
      <c r="BF119" s="43" t="str">
        <f t="shared" si="91"/>
        <v/>
      </c>
      <c r="BG119" s="43" t="str">
        <f t="shared" si="92"/>
        <v/>
      </c>
      <c r="BH119" s="43" t="str">
        <f t="shared" si="93"/>
        <v/>
      </c>
      <c r="BI119" s="43" t="str">
        <f t="shared" si="94"/>
        <v>M</v>
      </c>
      <c r="BK119" s="45" t="s">
        <v>324</v>
      </c>
      <c r="BL119" s="43" t="str">
        <f>IF(IFERROR(INDEX(Consulta!$A:$DP,MATCH('MM01'!$B119,Consulta!$C:$C,0),'MM01'!BL$2),"")=0,"",IFERROR(INDEX(Consulta!$A:$DP,MATCH('MM01'!$B119,Consulta!$C:$C,0),'MM01'!BL$2),""))</f>
        <v/>
      </c>
      <c r="BM119" s="45"/>
      <c r="BN119" s="46" t="str">
        <f t="shared" ca="1" si="95"/>
        <v/>
      </c>
      <c r="BO119" s="49" t="str">
        <f t="shared" si="96"/>
        <v/>
      </c>
      <c r="BP119" s="50">
        <v>1</v>
      </c>
      <c r="BQ119" s="50" t="s">
        <v>194</v>
      </c>
      <c r="BR119" s="79" t="str">
        <f t="shared" si="81"/>
        <v>01</v>
      </c>
      <c r="BS119" s="50" t="s">
        <v>795</v>
      </c>
      <c r="BT119" s="44">
        <v>1</v>
      </c>
      <c r="BU119" s="44" t="s">
        <v>371</v>
      </c>
      <c r="BV119" s="50" t="s">
        <v>197</v>
      </c>
      <c r="BW119" s="50" t="s">
        <v>197</v>
      </c>
      <c r="BX119" s="43" t="str">
        <f>IF(IFERROR(INDEX(Consulta!$A:$DP,MATCH('MM01'!$B119,Consulta!$C:$C,0),'MM01'!BX$2),"")=0,"",IFERROR(INDEX(Consulta!$A:$DP,MATCH('MM01'!$B119,Consulta!$C:$C,0),'MM01'!BX$2),""))</f>
        <v/>
      </c>
      <c r="BY119" s="44" t="s">
        <v>391</v>
      </c>
      <c r="BZ119" s="50">
        <v>0</v>
      </c>
      <c r="CA119" s="45" t="s">
        <v>402</v>
      </c>
      <c r="CB119" s="45" t="s">
        <v>84</v>
      </c>
      <c r="CC119" s="43" t="str">
        <f t="shared" si="97"/>
        <v/>
      </c>
      <c r="CD119" s="45" t="s">
        <v>38</v>
      </c>
      <c r="CE119" s="45">
        <v>1</v>
      </c>
      <c r="CF119" s="45" t="s">
        <v>495</v>
      </c>
      <c r="CG119" s="45"/>
      <c r="CH119" s="44">
        <v>2</v>
      </c>
      <c r="CI119" s="49" t="str">
        <f t="shared" si="98"/>
        <v/>
      </c>
      <c r="CJ119" s="49" t="str">
        <f t="shared" si="99"/>
        <v/>
      </c>
      <c r="CK119" s="45"/>
      <c r="CL119" s="44">
        <v>1</v>
      </c>
      <c r="CM119" s="50" t="s">
        <v>514</v>
      </c>
      <c r="CN119" s="44" t="s">
        <v>371</v>
      </c>
      <c r="CO119" s="44">
        <v>2</v>
      </c>
      <c r="CP119" s="44">
        <v>42</v>
      </c>
      <c r="CQ119" s="44">
        <v>10</v>
      </c>
      <c r="CR119" s="43" t="str">
        <f t="shared" si="100"/>
        <v>K00_P_</v>
      </c>
      <c r="CS119" s="45">
        <v>5000</v>
      </c>
      <c r="CT119" s="43" t="str">
        <f>IF(IFERROR(INDEX(Consulta!$A:$DP,MATCH('MM01'!$B119,Consulta!$C:$C,0),'MM01'!CT$2),"")=0,"",IFERROR(INDEX(Consulta!$A:$DP,MATCH('MM01'!$B119,Consulta!$C:$C,0),'MM01'!CT$2),""))</f>
        <v/>
      </c>
      <c r="CU119" s="43" t="str">
        <f>IF(IFERROR(INDEX(Consulta!$A:$DP,MATCH('MM01'!$B119,Consulta!$C:$C,0),'MM01'!CU$2),"")=0,"",IFERROR(INDEX(Consulta!$A:$DP,MATCH('MM01'!$B119,Consulta!$C:$C,0),'MM01'!CU$2),""))</f>
        <v/>
      </c>
      <c r="CV119" s="43" t="str">
        <f>IF(IFERROR(INDEX(Consulta!$A:$DP,MATCH('MM01'!$B119,Consulta!$C:$C,0),'MM01'!CV$2),"")=0,"",IFERROR(INDEX(Consulta!$A:$DP,MATCH('MM01'!$B119,Consulta!$C:$C,0),'MM01'!CV$2),""))</f>
        <v/>
      </c>
      <c r="CW119" s="43" t="str">
        <f>IF(IFERROR(INDEX(Consulta!$A:$DP,MATCH('MM01'!$B119,Consulta!$C:$C,0),'MM01'!CW$2),"")=0,"",IFERROR(INDEX(Consulta!$A:$DP,MATCH('MM01'!$B119,Consulta!$C:$C,0),'MM01'!CW$2),""))</f>
        <v/>
      </c>
      <c r="CX119" s="43" t="str">
        <f t="shared" si="101"/>
        <v/>
      </c>
      <c r="CY119" s="43" t="str">
        <f t="shared" si="102"/>
        <v/>
      </c>
      <c r="CZ119" s="43" t="str">
        <f t="shared" si="103"/>
        <v/>
      </c>
      <c r="DA119" s="43" t="str">
        <f>IF(IFERROR(INDEX(Consulta!$A:$DP,MATCH('MM01'!$B119,Consulta!$C:$C,0),'MM01'!DA$2),"")=0,"",IFERROR(INDEX(Consulta!$A:$DP,MATCH('MM01'!$B119,Consulta!$C:$C,0),'MM01'!DA$2),""))</f>
        <v/>
      </c>
      <c r="DB119" s="43" t="str">
        <f t="shared" si="104"/>
        <v/>
      </c>
      <c r="DC119" s="43" t="str">
        <f>IF(IFERROR(INDEX(Consulta!$A:$DP,MATCH('MM01'!$B119,Consulta!$C:$C,0),'MM01'!DC$2),"")=0,"",IFERROR(INDEX(Consulta!$A:$DP,MATCH('MM01'!$B119,Consulta!$C:$C,0),'MM01'!DC$2),""))</f>
        <v/>
      </c>
      <c r="DD119" s="45">
        <v>0</v>
      </c>
      <c r="DE119" s="45">
        <v>0</v>
      </c>
      <c r="DF119" s="43" t="str">
        <f t="shared" si="105"/>
        <v/>
      </c>
      <c r="DG119" s="43" t="str">
        <f t="shared" si="106"/>
        <v/>
      </c>
      <c r="DH119" s="57"/>
      <c r="DI119" s="43" t="str">
        <f t="shared" ca="1" si="107"/>
        <v/>
      </c>
      <c r="DJ119" s="43" t="str">
        <f t="shared" si="108"/>
        <v/>
      </c>
      <c r="DK119" s="43" t="str">
        <f t="shared" si="109"/>
        <v/>
      </c>
      <c r="DL119" s="57"/>
      <c r="DM119" s="43" t="str">
        <f t="shared" ca="1" si="110"/>
        <v/>
      </c>
      <c r="DN119" s="43" t="str">
        <f t="shared" si="111"/>
        <v/>
      </c>
      <c r="DO119" s="43" t="str">
        <f t="shared" si="112"/>
        <v/>
      </c>
      <c r="DP119" s="57"/>
      <c r="DQ119" s="43" t="str">
        <f t="shared" ca="1" si="113"/>
        <v/>
      </c>
      <c r="DR119" s="43" t="str">
        <f t="shared" si="114"/>
        <v/>
      </c>
      <c r="DS119" s="43" t="str">
        <f t="shared" si="115"/>
        <v/>
      </c>
      <c r="DT119" s="57"/>
      <c r="DU119" s="43" t="str">
        <f t="shared" ca="1" si="116"/>
        <v/>
      </c>
      <c r="DV119" s="43" t="str">
        <f t="shared" si="117"/>
        <v/>
      </c>
      <c r="DX119" s="44">
        <v>1</v>
      </c>
      <c r="DY119" s="44" t="s">
        <v>773</v>
      </c>
      <c r="DZ119" s="43">
        <f t="shared" si="118"/>
        <v>0.01</v>
      </c>
      <c r="EA119" s="43" t="str">
        <f t="shared" si="119"/>
        <v>M</v>
      </c>
      <c r="EB119" s="43" t="str">
        <f>IF(IFERROR(INDEX(Consulta!$A:$DP,MATCH('MM01'!$B119,Consulta!$C:$C,0),'MM01'!EB$2),"")=0,"7925",IF(IFERROR(INDEX(Consulta!$A:$DP,MATCH('MM01'!$B119,Consulta!$C:$C,0),'MM01'!EB$2),"")="68","7910","7925"))</f>
        <v>7925</v>
      </c>
      <c r="EC119" s="44">
        <v>100</v>
      </c>
      <c r="ED119" s="62">
        <v>1</v>
      </c>
      <c r="EE119" s="43">
        <f t="shared" si="120"/>
        <v>100</v>
      </c>
      <c r="EF119" s="44">
        <v>1</v>
      </c>
      <c r="EG119" s="44">
        <v>0</v>
      </c>
      <c r="EH119" s="44" t="s">
        <v>875</v>
      </c>
      <c r="EI119" s="45">
        <v>0</v>
      </c>
      <c r="EJ119" s="43">
        <f t="shared" si="121"/>
        <v>5000</v>
      </c>
      <c r="EK119" s="69"/>
    </row>
    <row r="120" spans="1:141" x14ac:dyDescent="0.2">
      <c r="A120" s="7" t="str">
        <f t="shared" si="82"/>
        <v>Execução 116</v>
      </c>
      <c r="B120" s="42"/>
      <c r="C120" s="43" t="str">
        <f>IF(IFERROR(INDEX(Consulta!$A:$DP,MATCH('MM01'!$B120,Consulta!$C:$C,0),'MM01'!C$2),"")=0,"",IFERROR(INDEX(Consulta!$A:$DP,MATCH('MM01'!$B120,Consulta!$C:$C,0),'MM01'!C$2),""))</f>
        <v/>
      </c>
      <c r="D120" s="43" t="str">
        <f>IF(IFERROR(INDEX(Consulta!$A:$DP,MATCH('MM01'!$B120,Consulta!$C:$C,0),'MM01'!D$2),"")=0,"",IFERROR(INDEX(Consulta!$A:$DP,MATCH('MM01'!$B120,Consulta!$C:$C,0),'MM01'!D$2),""))</f>
        <v/>
      </c>
      <c r="E120" s="43" t="str">
        <f>IF(IFERROR(INDEX(Consulta!$A:$DP,MATCH('MM01'!$B120,Consulta!$C:$C,0),'MM01'!E$2),"")=0,"",IFERROR(INDEX(Consulta!$A:$DP,MATCH('MM01'!$B120,Consulta!$C:$C,0),'MM01'!E$2),""))</f>
        <v/>
      </c>
      <c r="F120" s="44" t="s">
        <v>100</v>
      </c>
      <c r="G120" s="49" t="str">
        <f>IF(IFERROR(INDEX(Consulta!$A:$DP,MATCH('MM01'!$B120,Consulta!$C:$C,0),'MM01'!G$2),"")=0,"",IFERROR(INDEX(Consulta!$A:$DP,MATCH('MM01'!$B120,Consulta!$C:$C,0),'MM01'!G$2),""))</f>
        <v/>
      </c>
      <c r="H120" s="49" t="str">
        <f>IF(IFERROR(INDEX(Consulta!$A:$DP,MATCH('MM01'!$B120,Consulta!$C:$C,0),'MM01'!H$2),"")=0,"",IFERROR(INDEX(Consulta!$A:$DP,MATCH('MM01'!$B120,Consulta!$C:$C,0),'MM01'!H$2),""))</f>
        <v/>
      </c>
      <c r="I120" s="49" t="str">
        <f t="shared" si="83"/>
        <v/>
      </c>
      <c r="J120" s="49" t="str">
        <f>IF(IFERROR(INDEX(Consulta!$A:$DP,MATCH('MM01'!$B120,Consulta!$C:$C,0),'MM01'!J$2),"")=0,"",IFERROR(INDEX(Consulta!$A:$DP,MATCH('MM01'!$B120,Consulta!$C:$C,0),'MM01'!J$2),""))</f>
        <v/>
      </c>
      <c r="K120" s="49" t="str">
        <f t="shared" si="84"/>
        <v/>
      </c>
      <c r="M120" s="45" t="s">
        <v>101</v>
      </c>
      <c r="N120" s="45" t="s">
        <v>102</v>
      </c>
      <c r="O120" s="45" t="s">
        <v>103</v>
      </c>
      <c r="P120" s="45" t="s">
        <v>104</v>
      </c>
      <c r="Q120" s="45" t="s">
        <v>105</v>
      </c>
      <c r="R120" s="45" t="s">
        <v>106</v>
      </c>
      <c r="S120" s="45" t="s">
        <v>107</v>
      </c>
      <c r="T120" s="45"/>
      <c r="U120" s="45"/>
      <c r="V120" s="45"/>
      <c r="W120" s="45"/>
      <c r="X120" s="45" t="s">
        <v>112</v>
      </c>
      <c r="Y120" s="45" t="s">
        <v>113</v>
      </c>
      <c r="Z120" s="45" t="s">
        <v>114</v>
      </c>
      <c r="AA120" s="45" t="s">
        <v>115</v>
      </c>
      <c r="AB120" s="45" t="s">
        <v>117</v>
      </c>
      <c r="AC120" s="45" t="s">
        <v>118</v>
      </c>
      <c r="AD120" s="45" t="s">
        <v>119</v>
      </c>
      <c r="AE120" s="45" t="s">
        <v>120</v>
      </c>
      <c r="AF120" s="45" t="s">
        <v>121</v>
      </c>
      <c r="AG120" s="45" t="s">
        <v>122</v>
      </c>
      <c r="AH120" s="45" t="s">
        <v>123</v>
      </c>
      <c r="AI120" s="45" t="s">
        <v>124</v>
      </c>
      <c r="AJ120" s="45" t="s">
        <v>125</v>
      </c>
      <c r="AK120" s="45" t="s">
        <v>126</v>
      </c>
      <c r="AL120" s="45"/>
      <c r="AM120" s="45"/>
      <c r="AO120" s="44" t="s">
        <v>100</v>
      </c>
      <c r="AP120" s="43" t="str">
        <f>IF(IFERROR(INDEX(Consulta!$A:$DP,MATCH('MM01'!$B120,Consulta!$C:$C,0),'MM01'!AP$2),"")=0,"",IFERROR(INDEX(Consulta!$A:$DP,MATCH('MM01'!$B120,Consulta!$C:$C,0),'MM01'!AP$2),""))</f>
        <v/>
      </c>
      <c r="AQ120" s="45"/>
      <c r="AR120" s="43" t="str">
        <f>IF(IFERROR(INDEX(Consulta!$A:$DP,MATCH('MM01'!$B120,Consulta!$C:$C,0),'MM01'!AR$2),"")=0,"",IFERROR(INDEX(Consulta!$A:$DP,MATCH('MM01'!$B120,Consulta!$C:$C,0),'MM01'!AR$2),""))</f>
        <v/>
      </c>
      <c r="AS120" s="43" t="str">
        <f>IF(IFERROR(INDEX(Consulta!$A:$DP,MATCH('MM01'!$B120,Consulta!$C:$C,0),'MM01'!AS$2),"")=0,"",IF(AR120="68",5102,IFERROR(INDEX(Consulta!$A:$DP,MATCH('MM01'!$B120,Consulta!$C:$C,0),'MM01'!AS$2),"")))</f>
        <v/>
      </c>
      <c r="AT120" s="45"/>
      <c r="AU120" s="46" t="str">
        <f t="shared" ca="1" si="85"/>
        <v/>
      </c>
      <c r="AV120" s="47" t="s">
        <v>795</v>
      </c>
      <c r="AW120" s="43" t="str">
        <f>IF(IFERROR(INDEX(Consulta!$A:$DP,MATCH('MM01'!$B120,Consulta!$C:$C,0),'MM01'!AW$2),"")=0,"",IFERROR(ROUND(INDEX(Consulta!$A:$DP,MATCH('MM01'!$B120,Consulta!$C:$C,0),'MM01'!AW$2),3),""))</f>
        <v/>
      </c>
      <c r="AX120" s="43" t="str">
        <f t="shared" si="86"/>
        <v/>
      </c>
      <c r="AY120" s="48" t="s">
        <v>299</v>
      </c>
      <c r="AZ120" s="48"/>
      <c r="BA120" s="43" t="str">
        <f>IF(IFERROR(INDEX(Consulta!$A:$DP,MATCH('MM01'!$B120,Consulta!$C:$C,0),'MM01'!BA$2),"")=0,"",IFERROR(INDEX(Consulta!$A:$DP,MATCH('MM01'!$B120,Consulta!$C:$C,0),'MM01'!BA$2),""))</f>
        <v/>
      </c>
      <c r="BB120" s="43" t="str">
        <f t="shared" si="87"/>
        <v/>
      </c>
      <c r="BC120" s="43" t="str">
        <f t="shared" si="88"/>
        <v/>
      </c>
      <c r="BD120" s="43" t="str">
        <f t="shared" si="89"/>
        <v/>
      </c>
      <c r="BE120" s="43" t="str">
        <f t="shared" si="90"/>
        <v>M</v>
      </c>
      <c r="BF120" s="43" t="str">
        <f t="shared" si="91"/>
        <v/>
      </c>
      <c r="BG120" s="43" t="str">
        <f t="shared" si="92"/>
        <v/>
      </c>
      <c r="BH120" s="43" t="str">
        <f t="shared" si="93"/>
        <v/>
      </c>
      <c r="BI120" s="43" t="str">
        <f t="shared" si="94"/>
        <v>M</v>
      </c>
      <c r="BK120" s="45" t="s">
        <v>324</v>
      </c>
      <c r="BL120" s="43" t="str">
        <f>IF(IFERROR(INDEX(Consulta!$A:$DP,MATCH('MM01'!$B120,Consulta!$C:$C,0),'MM01'!BL$2),"")=0,"",IFERROR(INDEX(Consulta!$A:$DP,MATCH('MM01'!$B120,Consulta!$C:$C,0),'MM01'!BL$2),""))</f>
        <v/>
      </c>
      <c r="BM120" s="45"/>
      <c r="BN120" s="46" t="str">
        <f t="shared" ca="1" si="95"/>
        <v/>
      </c>
      <c r="BO120" s="49" t="str">
        <f t="shared" si="96"/>
        <v/>
      </c>
      <c r="BP120" s="50">
        <v>1</v>
      </c>
      <c r="BQ120" s="50" t="s">
        <v>194</v>
      </c>
      <c r="BR120" s="79" t="str">
        <f t="shared" si="81"/>
        <v>01</v>
      </c>
      <c r="BS120" s="50" t="s">
        <v>795</v>
      </c>
      <c r="BT120" s="44">
        <v>1</v>
      </c>
      <c r="BU120" s="44" t="s">
        <v>371</v>
      </c>
      <c r="BV120" s="50" t="s">
        <v>197</v>
      </c>
      <c r="BW120" s="50" t="s">
        <v>197</v>
      </c>
      <c r="BX120" s="43" t="str">
        <f>IF(IFERROR(INDEX(Consulta!$A:$DP,MATCH('MM01'!$B120,Consulta!$C:$C,0),'MM01'!BX$2),"")=0,"",IFERROR(INDEX(Consulta!$A:$DP,MATCH('MM01'!$B120,Consulta!$C:$C,0),'MM01'!BX$2),""))</f>
        <v/>
      </c>
      <c r="BY120" s="44" t="s">
        <v>391</v>
      </c>
      <c r="BZ120" s="50">
        <v>0</v>
      </c>
      <c r="CA120" s="45" t="s">
        <v>402</v>
      </c>
      <c r="CB120" s="45" t="s">
        <v>84</v>
      </c>
      <c r="CC120" s="43" t="str">
        <f t="shared" si="97"/>
        <v/>
      </c>
      <c r="CD120" s="45" t="s">
        <v>38</v>
      </c>
      <c r="CE120" s="45">
        <v>1</v>
      </c>
      <c r="CF120" s="45" t="s">
        <v>495</v>
      </c>
      <c r="CG120" s="45"/>
      <c r="CH120" s="44">
        <v>2</v>
      </c>
      <c r="CI120" s="49" t="str">
        <f t="shared" si="98"/>
        <v/>
      </c>
      <c r="CJ120" s="49" t="str">
        <f t="shared" si="99"/>
        <v/>
      </c>
      <c r="CK120" s="45"/>
      <c r="CL120" s="44">
        <v>1</v>
      </c>
      <c r="CM120" s="50" t="s">
        <v>514</v>
      </c>
      <c r="CN120" s="44" t="s">
        <v>371</v>
      </c>
      <c r="CO120" s="44">
        <v>2</v>
      </c>
      <c r="CP120" s="44">
        <v>42</v>
      </c>
      <c r="CQ120" s="44">
        <v>10</v>
      </c>
      <c r="CR120" s="43" t="str">
        <f t="shared" si="100"/>
        <v>K00_P_</v>
      </c>
      <c r="CS120" s="45">
        <v>5000</v>
      </c>
      <c r="CT120" s="43" t="str">
        <f>IF(IFERROR(INDEX(Consulta!$A:$DP,MATCH('MM01'!$B120,Consulta!$C:$C,0),'MM01'!CT$2),"")=0,"",IFERROR(INDEX(Consulta!$A:$DP,MATCH('MM01'!$B120,Consulta!$C:$C,0),'MM01'!CT$2),""))</f>
        <v/>
      </c>
      <c r="CU120" s="43" t="str">
        <f>IF(IFERROR(INDEX(Consulta!$A:$DP,MATCH('MM01'!$B120,Consulta!$C:$C,0),'MM01'!CU$2),"")=0,"",IFERROR(INDEX(Consulta!$A:$DP,MATCH('MM01'!$B120,Consulta!$C:$C,0),'MM01'!CU$2),""))</f>
        <v/>
      </c>
      <c r="CV120" s="43" t="str">
        <f>IF(IFERROR(INDEX(Consulta!$A:$DP,MATCH('MM01'!$B120,Consulta!$C:$C,0),'MM01'!CV$2),"")=0,"",IFERROR(INDEX(Consulta!$A:$DP,MATCH('MM01'!$B120,Consulta!$C:$C,0),'MM01'!CV$2),""))</f>
        <v/>
      </c>
      <c r="CW120" s="43" t="str">
        <f>IF(IFERROR(INDEX(Consulta!$A:$DP,MATCH('MM01'!$B120,Consulta!$C:$C,0),'MM01'!CW$2),"")=0,"",IFERROR(INDEX(Consulta!$A:$DP,MATCH('MM01'!$B120,Consulta!$C:$C,0),'MM01'!CW$2),""))</f>
        <v/>
      </c>
      <c r="CX120" s="43" t="str">
        <f t="shared" si="101"/>
        <v/>
      </c>
      <c r="CY120" s="43" t="str">
        <f t="shared" si="102"/>
        <v/>
      </c>
      <c r="CZ120" s="43" t="str">
        <f t="shared" si="103"/>
        <v/>
      </c>
      <c r="DA120" s="43" t="str">
        <f>IF(IFERROR(INDEX(Consulta!$A:$DP,MATCH('MM01'!$B120,Consulta!$C:$C,0),'MM01'!DA$2),"")=0,"",IFERROR(INDEX(Consulta!$A:$DP,MATCH('MM01'!$B120,Consulta!$C:$C,0),'MM01'!DA$2),""))</f>
        <v/>
      </c>
      <c r="DB120" s="43" t="str">
        <f t="shared" si="104"/>
        <v/>
      </c>
      <c r="DC120" s="43" t="str">
        <f>IF(IFERROR(INDEX(Consulta!$A:$DP,MATCH('MM01'!$B120,Consulta!$C:$C,0),'MM01'!DC$2),"")=0,"",IFERROR(INDEX(Consulta!$A:$DP,MATCH('MM01'!$B120,Consulta!$C:$C,0),'MM01'!DC$2),""))</f>
        <v/>
      </c>
      <c r="DD120" s="45">
        <v>0</v>
      </c>
      <c r="DE120" s="45">
        <v>0</v>
      </c>
      <c r="DF120" s="43" t="str">
        <f t="shared" si="105"/>
        <v/>
      </c>
      <c r="DG120" s="43" t="str">
        <f t="shared" si="106"/>
        <v/>
      </c>
      <c r="DH120" s="57"/>
      <c r="DI120" s="43" t="str">
        <f t="shared" ca="1" si="107"/>
        <v/>
      </c>
      <c r="DJ120" s="43" t="str">
        <f t="shared" si="108"/>
        <v/>
      </c>
      <c r="DK120" s="43" t="str">
        <f t="shared" si="109"/>
        <v/>
      </c>
      <c r="DL120" s="57"/>
      <c r="DM120" s="43" t="str">
        <f t="shared" ca="1" si="110"/>
        <v/>
      </c>
      <c r="DN120" s="43" t="str">
        <f t="shared" si="111"/>
        <v/>
      </c>
      <c r="DO120" s="43" t="str">
        <f t="shared" si="112"/>
        <v/>
      </c>
      <c r="DP120" s="57"/>
      <c r="DQ120" s="43" t="str">
        <f t="shared" ca="1" si="113"/>
        <v/>
      </c>
      <c r="DR120" s="43" t="str">
        <f t="shared" si="114"/>
        <v/>
      </c>
      <c r="DS120" s="43" t="str">
        <f t="shared" si="115"/>
        <v/>
      </c>
      <c r="DT120" s="57"/>
      <c r="DU120" s="43" t="str">
        <f t="shared" ca="1" si="116"/>
        <v/>
      </c>
      <c r="DV120" s="43" t="str">
        <f t="shared" si="117"/>
        <v/>
      </c>
      <c r="DX120" s="44">
        <v>1</v>
      </c>
      <c r="DY120" s="44" t="s">
        <v>773</v>
      </c>
      <c r="DZ120" s="43">
        <f t="shared" si="118"/>
        <v>0.01</v>
      </c>
      <c r="EA120" s="43" t="str">
        <f t="shared" si="119"/>
        <v>M</v>
      </c>
      <c r="EB120" s="43" t="str">
        <f>IF(IFERROR(INDEX(Consulta!$A:$DP,MATCH('MM01'!$B120,Consulta!$C:$C,0),'MM01'!EB$2),"")=0,"7925",IF(IFERROR(INDEX(Consulta!$A:$DP,MATCH('MM01'!$B120,Consulta!$C:$C,0),'MM01'!EB$2),"")="68","7910","7925"))</f>
        <v>7925</v>
      </c>
      <c r="EC120" s="44">
        <v>100</v>
      </c>
      <c r="ED120" s="62">
        <v>1</v>
      </c>
      <c r="EE120" s="43">
        <f t="shared" si="120"/>
        <v>100</v>
      </c>
      <c r="EF120" s="44">
        <v>1</v>
      </c>
      <c r="EG120" s="44">
        <v>0</v>
      </c>
      <c r="EH120" s="44" t="s">
        <v>875</v>
      </c>
      <c r="EI120" s="45">
        <v>0</v>
      </c>
      <c r="EJ120" s="43">
        <f t="shared" si="121"/>
        <v>5000</v>
      </c>
      <c r="EK120" s="69"/>
    </row>
    <row r="121" spans="1:141" x14ac:dyDescent="0.2">
      <c r="A121" s="7" t="str">
        <f t="shared" si="82"/>
        <v>Execução 117</v>
      </c>
      <c r="B121" s="42"/>
      <c r="C121" s="43" t="str">
        <f>IF(IFERROR(INDEX(Consulta!$A:$DP,MATCH('MM01'!$B121,Consulta!$C:$C,0),'MM01'!C$2),"")=0,"",IFERROR(INDEX(Consulta!$A:$DP,MATCH('MM01'!$B121,Consulta!$C:$C,0),'MM01'!C$2),""))</f>
        <v/>
      </c>
      <c r="D121" s="43" t="str">
        <f>IF(IFERROR(INDEX(Consulta!$A:$DP,MATCH('MM01'!$B121,Consulta!$C:$C,0),'MM01'!D$2),"")=0,"",IFERROR(INDEX(Consulta!$A:$DP,MATCH('MM01'!$B121,Consulta!$C:$C,0),'MM01'!D$2),""))</f>
        <v/>
      </c>
      <c r="E121" s="43" t="str">
        <f>IF(IFERROR(INDEX(Consulta!$A:$DP,MATCH('MM01'!$B121,Consulta!$C:$C,0),'MM01'!E$2),"")=0,"",IFERROR(INDEX(Consulta!$A:$DP,MATCH('MM01'!$B121,Consulta!$C:$C,0),'MM01'!E$2),""))</f>
        <v/>
      </c>
      <c r="F121" s="44" t="s">
        <v>100</v>
      </c>
      <c r="G121" s="49" t="str">
        <f>IF(IFERROR(INDEX(Consulta!$A:$DP,MATCH('MM01'!$B121,Consulta!$C:$C,0),'MM01'!G$2),"")=0,"",IFERROR(INDEX(Consulta!$A:$DP,MATCH('MM01'!$B121,Consulta!$C:$C,0),'MM01'!G$2),""))</f>
        <v/>
      </c>
      <c r="H121" s="49" t="str">
        <f>IF(IFERROR(INDEX(Consulta!$A:$DP,MATCH('MM01'!$B121,Consulta!$C:$C,0),'MM01'!H$2),"")=0,"",IFERROR(INDEX(Consulta!$A:$DP,MATCH('MM01'!$B121,Consulta!$C:$C,0),'MM01'!H$2),""))</f>
        <v/>
      </c>
      <c r="I121" s="49" t="str">
        <f t="shared" si="83"/>
        <v/>
      </c>
      <c r="J121" s="49" t="str">
        <f>IF(IFERROR(INDEX(Consulta!$A:$DP,MATCH('MM01'!$B121,Consulta!$C:$C,0),'MM01'!J$2),"")=0,"",IFERROR(INDEX(Consulta!$A:$DP,MATCH('MM01'!$B121,Consulta!$C:$C,0),'MM01'!J$2),""))</f>
        <v/>
      </c>
      <c r="K121" s="49" t="str">
        <f t="shared" si="84"/>
        <v/>
      </c>
      <c r="M121" s="45" t="s">
        <v>101</v>
      </c>
      <c r="N121" s="45" t="s">
        <v>102</v>
      </c>
      <c r="O121" s="45" t="s">
        <v>103</v>
      </c>
      <c r="P121" s="45" t="s">
        <v>104</v>
      </c>
      <c r="Q121" s="45" t="s">
        <v>105</v>
      </c>
      <c r="R121" s="45" t="s">
        <v>106</v>
      </c>
      <c r="S121" s="45" t="s">
        <v>107</v>
      </c>
      <c r="T121" s="45"/>
      <c r="U121" s="45"/>
      <c r="V121" s="45"/>
      <c r="W121" s="45"/>
      <c r="X121" s="45" t="s">
        <v>112</v>
      </c>
      <c r="Y121" s="45" t="s">
        <v>113</v>
      </c>
      <c r="Z121" s="45" t="s">
        <v>114</v>
      </c>
      <c r="AA121" s="45" t="s">
        <v>115</v>
      </c>
      <c r="AB121" s="45" t="s">
        <v>117</v>
      </c>
      <c r="AC121" s="45" t="s">
        <v>118</v>
      </c>
      <c r="AD121" s="45" t="s">
        <v>119</v>
      </c>
      <c r="AE121" s="45" t="s">
        <v>120</v>
      </c>
      <c r="AF121" s="45" t="s">
        <v>121</v>
      </c>
      <c r="AG121" s="45" t="s">
        <v>122</v>
      </c>
      <c r="AH121" s="45" t="s">
        <v>123</v>
      </c>
      <c r="AI121" s="45" t="s">
        <v>124</v>
      </c>
      <c r="AJ121" s="45" t="s">
        <v>125</v>
      </c>
      <c r="AK121" s="45" t="s">
        <v>126</v>
      </c>
      <c r="AL121" s="45"/>
      <c r="AM121" s="45"/>
      <c r="AO121" s="44" t="s">
        <v>100</v>
      </c>
      <c r="AP121" s="43" t="str">
        <f>IF(IFERROR(INDEX(Consulta!$A:$DP,MATCH('MM01'!$B121,Consulta!$C:$C,0),'MM01'!AP$2),"")=0,"",IFERROR(INDEX(Consulta!$A:$DP,MATCH('MM01'!$B121,Consulta!$C:$C,0),'MM01'!AP$2),""))</f>
        <v/>
      </c>
      <c r="AQ121" s="45"/>
      <c r="AR121" s="43" t="str">
        <f>IF(IFERROR(INDEX(Consulta!$A:$DP,MATCH('MM01'!$B121,Consulta!$C:$C,0),'MM01'!AR$2),"")=0,"",IFERROR(INDEX(Consulta!$A:$DP,MATCH('MM01'!$B121,Consulta!$C:$C,0),'MM01'!AR$2),""))</f>
        <v/>
      </c>
      <c r="AS121" s="43" t="str">
        <f>IF(IFERROR(INDEX(Consulta!$A:$DP,MATCH('MM01'!$B121,Consulta!$C:$C,0),'MM01'!AS$2),"")=0,"",IF(AR121="68",5102,IFERROR(INDEX(Consulta!$A:$DP,MATCH('MM01'!$B121,Consulta!$C:$C,0),'MM01'!AS$2),"")))</f>
        <v/>
      </c>
      <c r="AT121" s="45"/>
      <c r="AU121" s="46" t="str">
        <f t="shared" ca="1" si="85"/>
        <v/>
      </c>
      <c r="AV121" s="47" t="s">
        <v>795</v>
      </c>
      <c r="AW121" s="43" t="str">
        <f>IF(IFERROR(INDEX(Consulta!$A:$DP,MATCH('MM01'!$B121,Consulta!$C:$C,0),'MM01'!AW$2),"")=0,"",IFERROR(ROUND(INDEX(Consulta!$A:$DP,MATCH('MM01'!$B121,Consulta!$C:$C,0),'MM01'!AW$2),3),""))</f>
        <v/>
      </c>
      <c r="AX121" s="43" t="str">
        <f t="shared" si="86"/>
        <v/>
      </c>
      <c r="AY121" s="48" t="s">
        <v>299</v>
      </c>
      <c r="AZ121" s="48"/>
      <c r="BA121" s="43" t="str">
        <f>IF(IFERROR(INDEX(Consulta!$A:$DP,MATCH('MM01'!$B121,Consulta!$C:$C,0),'MM01'!BA$2),"")=0,"",IFERROR(INDEX(Consulta!$A:$DP,MATCH('MM01'!$B121,Consulta!$C:$C,0),'MM01'!BA$2),""))</f>
        <v/>
      </c>
      <c r="BB121" s="43" t="str">
        <f t="shared" si="87"/>
        <v/>
      </c>
      <c r="BC121" s="43" t="str">
        <f t="shared" si="88"/>
        <v/>
      </c>
      <c r="BD121" s="43" t="str">
        <f t="shared" si="89"/>
        <v/>
      </c>
      <c r="BE121" s="43" t="str">
        <f t="shared" si="90"/>
        <v>M</v>
      </c>
      <c r="BF121" s="43" t="str">
        <f t="shared" si="91"/>
        <v/>
      </c>
      <c r="BG121" s="43" t="str">
        <f t="shared" si="92"/>
        <v/>
      </c>
      <c r="BH121" s="43" t="str">
        <f t="shared" si="93"/>
        <v/>
      </c>
      <c r="BI121" s="43" t="str">
        <f t="shared" si="94"/>
        <v>M</v>
      </c>
      <c r="BK121" s="45" t="s">
        <v>324</v>
      </c>
      <c r="BL121" s="43" t="str">
        <f>IF(IFERROR(INDEX(Consulta!$A:$DP,MATCH('MM01'!$B121,Consulta!$C:$C,0),'MM01'!BL$2),"")=0,"",IFERROR(INDEX(Consulta!$A:$DP,MATCH('MM01'!$B121,Consulta!$C:$C,0),'MM01'!BL$2),""))</f>
        <v/>
      </c>
      <c r="BM121" s="45"/>
      <c r="BN121" s="46" t="str">
        <f t="shared" ca="1" si="95"/>
        <v/>
      </c>
      <c r="BO121" s="49" t="str">
        <f t="shared" si="96"/>
        <v/>
      </c>
      <c r="BP121" s="50">
        <v>1</v>
      </c>
      <c r="BQ121" s="50" t="s">
        <v>194</v>
      </c>
      <c r="BR121" s="79" t="str">
        <f t="shared" si="81"/>
        <v>01</v>
      </c>
      <c r="BS121" s="50" t="s">
        <v>795</v>
      </c>
      <c r="BT121" s="44">
        <v>1</v>
      </c>
      <c r="BU121" s="44" t="s">
        <v>371</v>
      </c>
      <c r="BV121" s="50" t="s">
        <v>197</v>
      </c>
      <c r="BW121" s="50" t="s">
        <v>197</v>
      </c>
      <c r="BX121" s="43" t="str">
        <f>IF(IFERROR(INDEX(Consulta!$A:$DP,MATCH('MM01'!$B121,Consulta!$C:$C,0),'MM01'!BX$2),"")=0,"",IFERROR(INDEX(Consulta!$A:$DP,MATCH('MM01'!$B121,Consulta!$C:$C,0),'MM01'!BX$2),""))</f>
        <v/>
      </c>
      <c r="BY121" s="44" t="s">
        <v>391</v>
      </c>
      <c r="BZ121" s="50">
        <v>0</v>
      </c>
      <c r="CA121" s="45" t="s">
        <v>402</v>
      </c>
      <c r="CB121" s="45" t="s">
        <v>84</v>
      </c>
      <c r="CC121" s="43" t="str">
        <f t="shared" si="97"/>
        <v/>
      </c>
      <c r="CD121" s="45" t="s">
        <v>38</v>
      </c>
      <c r="CE121" s="45">
        <v>1</v>
      </c>
      <c r="CF121" s="45" t="s">
        <v>495</v>
      </c>
      <c r="CG121" s="45"/>
      <c r="CH121" s="44">
        <v>2</v>
      </c>
      <c r="CI121" s="49" t="str">
        <f t="shared" si="98"/>
        <v/>
      </c>
      <c r="CJ121" s="49" t="str">
        <f t="shared" si="99"/>
        <v/>
      </c>
      <c r="CK121" s="45"/>
      <c r="CL121" s="44">
        <v>1</v>
      </c>
      <c r="CM121" s="50" t="s">
        <v>514</v>
      </c>
      <c r="CN121" s="44" t="s">
        <v>371</v>
      </c>
      <c r="CO121" s="44">
        <v>2</v>
      </c>
      <c r="CP121" s="44">
        <v>42</v>
      </c>
      <c r="CQ121" s="44">
        <v>10</v>
      </c>
      <c r="CR121" s="43" t="str">
        <f t="shared" si="100"/>
        <v>K00_P_</v>
      </c>
      <c r="CS121" s="45">
        <v>5000</v>
      </c>
      <c r="CT121" s="43" t="str">
        <f>IF(IFERROR(INDEX(Consulta!$A:$DP,MATCH('MM01'!$B121,Consulta!$C:$C,0),'MM01'!CT$2),"")=0,"",IFERROR(INDEX(Consulta!$A:$DP,MATCH('MM01'!$B121,Consulta!$C:$C,0),'MM01'!CT$2),""))</f>
        <v/>
      </c>
      <c r="CU121" s="43" t="str">
        <f>IF(IFERROR(INDEX(Consulta!$A:$DP,MATCH('MM01'!$B121,Consulta!$C:$C,0),'MM01'!CU$2),"")=0,"",IFERROR(INDEX(Consulta!$A:$DP,MATCH('MM01'!$B121,Consulta!$C:$C,0),'MM01'!CU$2),""))</f>
        <v/>
      </c>
      <c r="CV121" s="43" t="str">
        <f>IF(IFERROR(INDEX(Consulta!$A:$DP,MATCH('MM01'!$B121,Consulta!$C:$C,0),'MM01'!CV$2),"")=0,"",IFERROR(INDEX(Consulta!$A:$DP,MATCH('MM01'!$B121,Consulta!$C:$C,0),'MM01'!CV$2),""))</f>
        <v/>
      </c>
      <c r="CW121" s="43" t="str">
        <f>IF(IFERROR(INDEX(Consulta!$A:$DP,MATCH('MM01'!$B121,Consulta!$C:$C,0),'MM01'!CW$2),"")=0,"",IFERROR(INDEX(Consulta!$A:$DP,MATCH('MM01'!$B121,Consulta!$C:$C,0),'MM01'!CW$2),""))</f>
        <v/>
      </c>
      <c r="CX121" s="43" t="str">
        <f t="shared" si="101"/>
        <v/>
      </c>
      <c r="CY121" s="43" t="str">
        <f t="shared" si="102"/>
        <v/>
      </c>
      <c r="CZ121" s="43" t="str">
        <f t="shared" si="103"/>
        <v/>
      </c>
      <c r="DA121" s="43" t="str">
        <f>IF(IFERROR(INDEX(Consulta!$A:$DP,MATCH('MM01'!$B121,Consulta!$C:$C,0),'MM01'!DA$2),"")=0,"",IFERROR(INDEX(Consulta!$A:$DP,MATCH('MM01'!$B121,Consulta!$C:$C,0),'MM01'!DA$2),""))</f>
        <v/>
      </c>
      <c r="DB121" s="43" t="str">
        <f t="shared" si="104"/>
        <v/>
      </c>
      <c r="DC121" s="43" t="str">
        <f>IF(IFERROR(INDEX(Consulta!$A:$DP,MATCH('MM01'!$B121,Consulta!$C:$C,0),'MM01'!DC$2),"")=0,"",IFERROR(INDEX(Consulta!$A:$DP,MATCH('MM01'!$B121,Consulta!$C:$C,0),'MM01'!DC$2),""))</f>
        <v/>
      </c>
      <c r="DD121" s="45">
        <v>0</v>
      </c>
      <c r="DE121" s="45">
        <v>0</v>
      </c>
      <c r="DF121" s="43" t="str">
        <f t="shared" si="105"/>
        <v/>
      </c>
      <c r="DG121" s="43" t="str">
        <f t="shared" si="106"/>
        <v/>
      </c>
      <c r="DH121" s="57"/>
      <c r="DI121" s="43" t="str">
        <f t="shared" ca="1" si="107"/>
        <v/>
      </c>
      <c r="DJ121" s="43" t="str">
        <f t="shared" si="108"/>
        <v/>
      </c>
      <c r="DK121" s="43" t="str">
        <f t="shared" si="109"/>
        <v/>
      </c>
      <c r="DL121" s="57"/>
      <c r="DM121" s="43" t="str">
        <f t="shared" ca="1" si="110"/>
        <v/>
      </c>
      <c r="DN121" s="43" t="str">
        <f t="shared" si="111"/>
        <v/>
      </c>
      <c r="DO121" s="43" t="str">
        <f t="shared" si="112"/>
        <v/>
      </c>
      <c r="DP121" s="57"/>
      <c r="DQ121" s="43" t="str">
        <f t="shared" ca="1" si="113"/>
        <v/>
      </c>
      <c r="DR121" s="43" t="str">
        <f t="shared" si="114"/>
        <v/>
      </c>
      <c r="DS121" s="43" t="str">
        <f t="shared" si="115"/>
        <v/>
      </c>
      <c r="DT121" s="57"/>
      <c r="DU121" s="43" t="str">
        <f t="shared" ca="1" si="116"/>
        <v/>
      </c>
      <c r="DV121" s="43" t="str">
        <f t="shared" si="117"/>
        <v/>
      </c>
      <c r="DX121" s="44">
        <v>1</v>
      </c>
      <c r="DY121" s="44" t="s">
        <v>773</v>
      </c>
      <c r="DZ121" s="43">
        <f t="shared" si="118"/>
        <v>0.01</v>
      </c>
      <c r="EA121" s="43" t="str">
        <f t="shared" si="119"/>
        <v>M</v>
      </c>
      <c r="EB121" s="43" t="str">
        <f>IF(IFERROR(INDEX(Consulta!$A:$DP,MATCH('MM01'!$B121,Consulta!$C:$C,0),'MM01'!EB$2),"")=0,"7925",IF(IFERROR(INDEX(Consulta!$A:$DP,MATCH('MM01'!$B121,Consulta!$C:$C,0),'MM01'!EB$2),"")="68","7910","7925"))</f>
        <v>7925</v>
      </c>
      <c r="EC121" s="44">
        <v>100</v>
      </c>
      <c r="ED121" s="62">
        <v>1</v>
      </c>
      <c r="EE121" s="43">
        <f t="shared" si="120"/>
        <v>100</v>
      </c>
      <c r="EF121" s="44">
        <v>1</v>
      </c>
      <c r="EG121" s="44">
        <v>0</v>
      </c>
      <c r="EH121" s="44" t="s">
        <v>875</v>
      </c>
      <c r="EI121" s="45">
        <v>0</v>
      </c>
      <c r="EJ121" s="43">
        <f t="shared" si="121"/>
        <v>5000</v>
      </c>
      <c r="EK121" s="69"/>
    </row>
    <row r="122" spans="1:141" x14ac:dyDescent="0.2">
      <c r="A122" s="7" t="str">
        <f t="shared" si="82"/>
        <v>Execução 118</v>
      </c>
      <c r="B122" s="42"/>
      <c r="C122" s="43" t="str">
        <f>IF(IFERROR(INDEX(Consulta!$A:$DP,MATCH('MM01'!$B122,Consulta!$C:$C,0),'MM01'!C$2),"")=0,"",IFERROR(INDEX(Consulta!$A:$DP,MATCH('MM01'!$B122,Consulta!$C:$C,0),'MM01'!C$2),""))</f>
        <v/>
      </c>
      <c r="D122" s="43" t="str">
        <f>IF(IFERROR(INDEX(Consulta!$A:$DP,MATCH('MM01'!$B122,Consulta!$C:$C,0),'MM01'!D$2),"")=0,"",IFERROR(INDEX(Consulta!$A:$DP,MATCH('MM01'!$B122,Consulta!$C:$C,0),'MM01'!D$2),""))</f>
        <v/>
      </c>
      <c r="E122" s="43" t="str">
        <f>IF(IFERROR(INDEX(Consulta!$A:$DP,MATCH('MM01'!$B122,Consulta!$C:$C,0),'MM01'!E$2),"")=0,"",IFERROR(INDEX(Consulta!$A:$DP,MATCH('MM01'!$B122,Consulta!$C:$C,0),'MM01'!E$2),""))</f>
        <v/>
      </c>
      <c r="F122" s="44" t="s">
        <v>100</v>
      </c>
      <c r="G122" s="49" t="str">
        <f>IF(IFERROR(INDEX(Consulta!$A:$DP,MATCH('MM01'!$B122,Consulta!$C:$C,0),'MM01'!G$2),"")=0,"",IFERROR(INDEX(Consulta!$A:$DP,MATCH('MM01'!$B122,Consulta!$C:$C,0),'MM01'!G$2),""))</f>
        <v/>
      </c>
      <c r="H122" s="49" t="str">
        <f>IF(IFERROR(INDEX(Consulta!$A:$DP,MATCH('MM01'!$B122,Consulta!$C:$C,0),'MM01'!H$2),"")=0,"",IFERROR(INDEX(Consulta!$A:$DP,MATCH('MM01'!$B122,Consulta!$C:$C,0),'MM01'!H$2),""))</f>
        <v/>
      </c>
      <c r="I122" s="49" t="str">
        <f t="shared" si="83"/>
        <v/>
      </c>
      <c r="J122" s="49" t="str">
        <f>IF(IFERROR(INDEX(Consulta!$A:$DP,MATCH('MM01'!$B122,Consulta!$C:$C,0),'MM01'!J$2),"")=0,"",IFERROR(INDEX(Consulta!$A:$DP,MATCH('MM01'!$B122,Consulta!$C:$C,0),'MM01'!J$2),""))</f>
        <v/>
      </c>
      <c r="K122" s="49" t="str">
        <f t="shared" si="84"/>
        <v/>
      </c>
      <c r="M122" s="45" t="s">
        <v>101</v>
      </c>
      <c r="N122" s="45" t="s">
        <v>102</v>
      </c>
      <c r="O122" s="45" t="s">
        <v>103</v>
      </c>
      <c r="P122" s="45" t="s">
        <v>104</v>
      </c>
      <c r="Q122" s="45" t="s">
        <v>105</v>
      </c>
      <c r="R122" s="45" t="s">
        <v>106</v>
      </c>
      <c r="S122" s="45" t="s">
        <v>107</v>
      </c>
      <c r="T122" s="45"/>
      <c r="U122" s="45"/>
      <c r="V122" s="45"/>
      <c r="W122" s="45"/>
      <c r="X122" s="45" t="s">
        <v>112</v>
      </c>
      <c r="Y122" s="45" t="s">
        <v>113</v>
      </c>
      <c r="Z122" s="45" t="s">
        <v>114</v>
      </c>
      <c r="AA122" s="45" t="s">
        <v>115</v>
      </c>
      <c r="AB122" s="45" t="s">
        <v>117</v>
      </c>
      <c r="AC122" s="45" t="s">
        <v>118</v>
      </c>
      <c r="AD122" s="45" t="s">
        <v>119</v>
      </c>
      <c r="AE122" s="45" t="s">
        <v>120</v>
      </c>
      <c r="AF122" s="45" t="s">
        <v>121</v>
      </c>
      <c r="AG122" s="45" t="s">
        <v>122</v>
      </c>
      <c r="AH122" s="45" t="s">
        <v>123</v>
      </c>
      <c r="AI122" s="45" t="s">
        <v>124</v>
      </c>
      <c r="AJ122" s="45" t="s">
        <v>125</v>
      </c>
      <c r="AK122" s="45" t="s">
        <v>126</v>
      </c>
      <c r="AL122" s="45"/>
      <c r="AM122" s="45"/>
      <c r="AO122" s="44" t="s">
        <v>100</v>
      </c>
      <c r="AP122" s="43" t="str">
        <f>IF(IFERROR(INDEX(Consulta!$A:$DP,MATCH('MM01'!$B122,Consulta!$C:$C,0),'MM01'!AP$2),"")=0,"",IFERROR(INDEX(Consulta!$A:$DP,MATCH('MM01'!$B122,Consulta!$C:$C,0),'MM01'!AP$2),""))</f>
        <v/>
      </c>
      <c r="AQ122" s="45"/>
      <c r="AR122" s="43" t="str">
        <f>IF(IFERROR(INDEX(Consulta!$A:$DP,MATCH('MM01'!$B122,Consulta!$C:$C,0),'MM01'!AR$2),"")=0,"",IFERROR(INDEX(Consulta!$A:$DP,MATCH('MM01'!$B122,Consulta!$C:$C,0),'MM01'!AR$2),""))</f>
        <v/>
      </c>
      <c r="AS122" s="43" t="str">
        <f>IF(IFERROR(INDEX(Consulta!$A:$DP,MATCH('MM01'!$B122,Consulta!$C:$C,0),'MM01'!AS$2),"")=0,"",IF(AR122="68",5102,IFERROR(INDEX(Consulta!$A:$DP,MATCH('MM01'!$B122,Consulta!$C:$C,0),'MM01'!AS$2),"")))</f>
        <v/>
      </c>
      <c r="AT122" s="45"/>
      <c r="AU122" s="46" t="str">
        <f t="shared" ca="1" si="85"/>
        <v/>
      </c>
      <c r="AV122" s="47" t="s">
        <v>795</v>
      </c>
      <c r="AW122" s="43" t="str">
        <f>IF(IFERROR(INDEX(Consulta!$A:$DP,MATCH('MM01'!$B122,Consulta!$C:$C,0),'MM01'!AW$2),"")=0,"",IFERROR(ROUND(INDEX(Consulta!$A:$DP,MATCH('MM01'!$B122,Consulta!$C:$C,0),'MM01'!AW$2),3),""))</f>
        <v/>
      </c>
      <c r="AX122" s="43" t="str">
        <f t="shared" si="86"/>
        <v/>
      </c>
      <c r="AY122" s="48" t="s">
        <v>299</v>
      </c>
      <c r="AZ122" s="48"/>
      <c r="BA122" s="43" t="str">
        <f>IF(IFERROR(INDEX(Consulta!$A:$DP,MATCH('MM01'!$B122,Consulta!$C:$C,0),'MM01'!BA$2),"")=0,"",IFERROR(INDEX(Consulta!$A:$DP,MATCH('MM01'!$B122,Consulta!$C:$C,0),'MM01'!BA$2),""))</f>
        <v/>
      </c>
      <c r="BB122" s="43" t="str">
        <f t="shared" si="87"/>
        <v/>
      </c>
      <c r="BC122" s="43" t="str">
        <f t="shared" si="88"/>
        <v/>
      </c>
      <c r="BD122" s="43" t="str">
        <f t="shared" si="89"/>
        <v/>
      </c>
      <c r="BE122" s="43" t="str">
        <f t="shared" si="90"/>
        <v>M</v>
      </c>
      <c r="BF122" s="43" t="str">
        <f t="shared" si="91"/>
        <v/>
      </c>
      <c r="BG122" s="43" t="str">
        <f t="shared" si="92"/>
        <v/>
      </c>
      <c r="BH122" s="43" t="str">
        <f t="shared" si="93"/>
        <v/>
      </c>
      <c r="BI122" s="43" t="str">
        <f t="shared" si="94"/>
        <v>M</v>
      </c>
      <c r="BK122" s="45" t="s">
        <v>324</v>
      </c>
      <c r="BL122" s="43" t="str">
        <f>IF(IFERROR(INDEX(Consulta!$A:$DP,MATCH('MM01'!$B122,Consulta!$C:$C,0),'MM01'!BL$2),"")=0,"",IFERROR(INDEX(Consulta!$A:$DP,MATCH('MM01'!$B122,Consulta!$C:$C,0),'MM01'!BL$2),""))</f>
        <v/>
      </c>
      <c r="BM122" s="45"/>
      <c r="BN122" s="46" t="str">
        <f t="shared" ca="1" si="95"/>
        <v/>
      </c>
      <c r="BO122" s="49" t="str">
        <f t="shared" si="96"/>
        <v/>
      </c>
      <c r="BP122" s="50">
        <v>1</v>
      </c>
      <c r="BQ122" s="50" t="s">
        <v>194</v>
      </c>
      <c r="BR122" s="79" t="str">
        <f t="shared" si="81"/>
        <v>01</v>
      </c>
      <c r="BS122" s="50" t="s">
        <v>795</v>
      </c>
      <c r="BT122" s="44">
        <v>1</v>
      </c>
      <c r="BU122" s="44" t="s">
        <v>371</v>
      </c>
      <c r="BV122" s="50" t="s">
        <v>197</v>
      </c>
      <c r="BW122" s="50" t="s">
        <v>197</v>
      </c>
      <c r="BX122" s="43" t="str">
        <f>IF(IFERROR(INDEX(Consulta!$A:$DP,MATCH('MM01'!$B122,Consulta!$C:$C,0),'MM01'!BX$2),"")=0,"",IFERROR(INDEX(Consulta!$A:$DP,MATCH('MM01'!$B122,Consulta!$C:$C,0),'MM01'!BX$2),""))</f>
        <v/>
      </c>
      <c r="BY122" s="44" t="s">
        <v>391</v>
      </c>
      <c r="BZ122" s="50">
        <v>0</v>
      </c>
      <c r="CA122" s="45" t="s">
        <v>402</v>
      </c>
      <c r="CB122" s="45" t="s">
        <v>84</v>
      </c>
      <c r="CC122" s="43" t="str">
        <f t="shared" si="97"/>
        <v/>
      </c>
      <c r="CD122" s="45" t="s">
        <v>38</v>
      </c>
      <c r="CE122" s="45">
        <v>1</v>
      </c>
      <c r="CF122" s="45" t="s">
        <v>495</v>
      </c>
      <c r="CG122" s="45"/>
      <c r="CH122" s="44">
        <v>2</v>
      </c>
      <c r="CI122" s="49" t="str">
        <f t="shared" si="98"/>
        <v/>
      </c>
      <c r="CJ122" s="49" t="str">
        <f t="shared" si="99"/>
        <v/>
      </c>
      <c r="CK122" s="45"/>
      <c r="CL122" s="44">
        <v>1</v>
      </c>
      <c r="CM122" s="50" t="s">
        <v>514</v>
      </c>
      <c r="CN122" s="44" t="s">
        <v>371</v>
      </c>
      <c r="CO122" s="44">
        <v>2</v>
      </c>
      <c r="CP122" s="44">
        <v>42</v>
      </c>
      <c r="CQ122" s="44">
        <v>10</v>
      </c>
      <c r="CR122" s="43" t="str">
        <f t="shared" si="100"/>
        <v>K00_P_</v>
      </c>
      <c r="CS122" s="45">
        <v>5000</v>
      </c>
      <c r="CT122" s="43" t="str">
        <f>IF(IFERROR(INDEX(Consulta!$A:$DP,MATCH('MM01'!$B122,Consulta!$C:$C,0),'MM01'!CT$2),"")=0,"",IFERROR(INDEX(Consulta!$A:$DP,MATCH('MM01'!$B122,Consulta!$C:$C,0),'MM01'!CT$2),""))</f>
        <v/>
      </c>
      <c r="CU122" s="43" t="str">
        <f>IF(IFERROR(INDEX(Consulta!$A:$DP,MATCH('MM01'!$B122,Consulta!$C:$C,0),'MM01'!CU$2),"")=0,"",IFERROR(INDEX(Consulta!$A:$DP,MATCH('MM01'!$B122,Consulta!$C:$C,0),'MM01'!CU$2),""))</f>
        <v/>
      </c>
      <c r="CV122" s="43" t="str">
        <f>IF(IFERROR(INDEX(Consulta!$A:$DP,MATCH('MM01'!$B122,Consulta!$C:$C,0),'MM01'!CV$2),"")=0,"",IFERROR(INDEX(Consulta!$A:$DP,MATCH('MM01'!$B122,Consulta!$C:$C,0),'MM01'!CV$2),""))</f>
        <v/>
      </c>
      <c r="CW122" s="43" t="str">
        <f>IF(IFERROR(INDEX(Consulta!$A:$DP,MATCH('MM01'!$B122,Consulta!$C:$C,0),'MM01'!CW$2),"")=0,"",IFERROR(INDEX(Consulta!$A:$DP,MATCH('MM01'!$B122,Consulta!$C:$C,0),'MM01'!CW$2),""))</f>
        <v/>
      </c>
      <c r="CX122" s="43" t="str">
        <f t="shared" si="101"/>
        <v/>
      </c>
      <c r="CY122" s="43" t="str">
        <f t="shared" si="102"/>
        <v/>
      </c>
      <c r="CZ122" s="43" t="str">
        <f t="shared" si="103"/>
        <v/>
      </c>
      <c r="DA122" s="43" t="str">
        <f>IF(IFERROR(INDEX(Consulta!$A:$DP,MATCH('MM01'!$B122,Consulta!$C:$C,0),'MM01'!DA$2),"")=0,"",IFERROR(INDEX(Consulta!$A:$DP,MATCH('MM01'!$B122,Consulta!$C:$C,0),'MM01'!DA$2),""))</f>
        <v/>
      </c>
      <c r="DB122" s="43" t="str">
        <f t="shared" si="104"/>
        <v/>
      </c>
      <c r="DC122" s="43" t="str">
        <f>IF(IFERROR(INDEX(Consulta!$A:$DP,MATCH('MM01'!$B122,Consulta!$C:$C,0),'MM01'!DC$2),"")=0,"",IFERROR(INDEX(Consulta!$A:$DP,MATCH('MM01'!$B122,Consulta!$C:$C,0),'MM01'!DC$2),""))</f>
        <v/>
      </c>
      <c r="DD122" s="45">
        <v>0</v>
      </c>
      <c r="DE122" s="45">
        <v>0</v>
      </c>
      <c r="DF122" s="43" t="str">
        <f t="shared" si="105"/>
        <v/>
      </c>
      <c r="DG122" s="43" t="str">
        <f t="shared" si="106"/>
        <v/>
      </c>
      <c r="DH122" s="57"/>
      <c r="DI122" s="43" t="str">
        <f t="shared" ca="1" si="107"/>
        <v/>
      </c>
      <c r="DJ122" s="43" t="str">
        <f t="shared" si="108"/>
        <v/>
      </c>
      <c r="DK122" s="43" t="str">
        <f t="shared" si="109"/>
        <v/>
      </c>
      <c r="DL122" s="57"/>
      <c r="DM122" s="43" t="str">
        <f t="shared" ca="1" si="110"/>
        <v/>
      </c>
      <c r="DN122" s="43" t="str">
        <f t="shared" si="111"/>
        <v/>
      </c>
      <c r="DO122" s="43" t="str">
        <f t="shared" si="112"/>
        <v/>
      </c>
      <c r="DP122" s="57"/>
      <c r="DQ122" s="43" t="str">
        <f t="shared" ca="1" si="113"/>
        <v/>
      </c>
      <c r="DR122" s="43" t="str">
        <f t="shared" si="114"/>
        <v/>
      </c>
      <c r="DS122" s="43" t="str">
        <f t="shared" si="115"/>
        <v/>
      </c>
      <c r="DT122" s="57"/>
      <c r="DU122" s="43" t="str">
        <f t="shared" ca="1" si="116"/>
        <v/>
      </c>
      <c r="DV122" s="43" t="str">
        <f t="shared" si="117"/>
        <v/>
      </c>
      <c r="DX122" s="44">
        <v>1</v>
      </c>
      <c r="DY122" s="44" t="s">
        <v>773</v>
      </c>
      <c r="DZ122" s="43">
        <f t="shared" si="118"/>
        <v>0.01</v>
      </c>
      <c r="EA122" s="43" t="str">
        <f t="shared" si="119"/>
        <v>M</v>
      </c>
      <c r="EB122" s="43" t="str">
        <f>IF(IFERROR(INDEX(Consulta!$A:$DP,MATCH('MM01'!$B122,Consulta!$C:$C,0),'MM01'!EB$2),"")=0,"7925",IF(IFERROR(INDEX(Consulta!$A:$DP,MATCH('MM01'!$B122,Consulta!$C:$C,0),'MM01'!EB$2),"")="68","7910","7925"))</f>
        <v>7925</v>
      </c>
      <c r="EC122" s="44">
        <v>100</v>
      </c>
      <c r="ED122" s="62">
        <v>1</v>
      </c>
      <c r="EE122" s="43">
        <f t="shared" si="120"/>
        <v>100</v>
      </c>
      <c r="EF122" s="44">
        <v>1</v>
      </c>
      <c r="EG122" s="44">
        <v>0</v>
      </c>
      <c r="EH122" s="44" t="s">
        <v>875</v>
      </c>
      <c r="EI122" s="45">
        <v>0</v>
      </c>
      <c r="EJ122" s="43">
        <f t="shared" si="121"/>
        <v>5000</v>
      </c>
      <c r="EK122" s="69"/>
    </row>
    <row r="123" spans="1:141" x14ac:dyDescent="0.2">
      <c r="A123" s="7" t="str">
        <f t="shared" si="82"/>
        <v>Execução 119</v>
      </c>
      <c r="B123" s="42"/>
      <c r="C123" s="43" t="str">
        <f>IF(IFERROR(INDEX(Consulta!$A:$DP,MATCH('MM01'!$B123,Consulta!$C:$C,0),'MM01'!C$2),"")=0,"",IFERROR(INDEX(Consulta!$A:$DP,MATCH('MM01'!$B123,Consulta!$C:$C,0),'MM01'!C$2),""))</f>
        <v/>
      </c>
      <c r="D123" s="43" t="str">
        <f>IF(IFERROR(INDEX(Consulta!$A:$DP,MATCH('MM01'!$B123,Consulta!$C:$C,0),'MM01'!D$2),"")=0,"",IFERROR(INDEX(Consulta!$A:$DP,MATCH('MM01'!$B123,Consulta!$C:$C,0),'MM01'!D$2),""))</f>
        <v/>
      </c>
      <c r="E123" s="43" t="str">
        <f>IF(IFERROR(INDEX(Consulta!$A:$DP,MATCH('MM01'!$B123,Consulta!$C:$C,0),'MM01'!E$2),"")=0,"",IFERROR(INDEX(Consulta!$A:$DP,MATCH('MM01'!$B123,Consulta!$C:$C,0),'MM01'!E$2),""))</f>
        <v/>
      </c>
      <c r="F123" s="44" t="s">
        <v>100</v>
      </c>
      <c r="G123" s="49" t="str">
        <f>IF(IFERROR(INDEX(Consulta!$A:$DP,MATCH('MM01'!$B123,Consulta!$C:$C,0),'MM01'!G$2),"")=0,"",IFERROR(INDEX(Consulta!$A:$DP,MATCH('MM01'!$B123,Consulta!$C:$C,0),'MM01'!G$2),""))</f>
        <v/>
      </c>
      <c r="H123" s="49" t="str">
        <f>IF(IFERROR(INDEX(Consulta!$A:$DP,MATCH('MM01'!$B123,Consulta!$C:$C,0),'MM01'!H$2),"")=0,"",IFERROR(INDEX(Consulta!$A:$DP,MATCH('MM01'!$B123,Consulta!$C:$C,0),'MM01'!H$2),""))</f>
        <v/>
      </c>
      <c r="I123" s="49" t="str">
        <f t="shared" si="83"/>
        <v/>
      </c>
      <c r="J123" s="49" t="str">
        <f>IF(IFERROR(INDEX(Consulta!$A:$DP,MATCH('MM01'!$B123,Consulta!$C:$C,0),'MM01'!J$2),"")=0,"",IFERROR(INDEX(Consulta!$A:$DP,MATCH('MM01'!$B123,Consulta!$C:$C,0),'MM01'!J$2),""))</f>
        <v/>
      </c>
      <c r="K123" s="49" t="str">
        <f t="shared" si="84"/>
        <v/>
      </c>
      <c r="M123" s="45" t="s">
        <v>101</v>
      </c>
      <c r="N123" s="45" t="s">
        <v>102</v>
      </c>
      <c r="O123" s="45" t="s">
        <v>103</v>
      </c>
      <c r="P123" s="45" t="s">
        <v>104</v>
      </c>
      <c r="Q123" s="45" t="s">
        <v>105</v>
      </c>
      <c r="R123" s="45" t="s">
        <v>106</v>
      </c>
      <c r="S123" s="45" t="s">
        <v>107</v>
      </c>
      <c r="T123" s="45"/>
      <c r="U123" s="45"/>
      <c r="V123" s="45"/>
      <c r="W123" s="45"/>
      <c r="X123" s="45" t="s">
        <v>112</v>
      </c>
      <c r="Y123" s="45" t="s">
        <v>113</v>
      </c>
      <c r="Z123" s="45" t="s">
        <v>114</v>
      </c>
      <c r="AA123" s="45" t="s">
        <v>115</v>
      </c>
      <c r="AB123" s="45" t="s">
        <v>117</v>
      </c>
      <c r="AC123" s="45" t="s">
        <v>118</v>
      </c>
      <c r="AD123" s="45" t="s">
        <v>119</v>
      </c>
      <c r="AE123" s="45" t="s">
        <v>120</v>
      </c>
      <c r="AF123" s="45" t="s">
        <v>121</v>
      </c>
      <c r="AG123" s="45" t="s">
        <v>122</v>
      </c>
      <c r="AH123" s="45" t="s">
        <v>123</v>
      </c>
      <c r="AI123" s="45" t="s">
        <v>124</v>
      </c>
      <c r="AJ123" s="45" t="s">
        <v>125</v>
      </c>
      <c r="AK123" s="45" t="s">
        <v>126</v>
      </c>
      <c r="AL123" s="45"/>
      <c r="AM123" s="45"/>
      <c r="AO123" s="44" t="s">
        <v>100</v>
      </c>
      <c r="AP123" s="43" t="str">
        <f>IF(IFERROR(INDEX(Consulta!$A:$DP,MATCH('MM01'!$B123,Consulta!$C:$C,0),'MM01'!AP$2),"")=0,"",IFERROR(INDEX(Consulta!$A:$DP,MATCH('MM01'!$B123,Consulta!$C:$C,0),'MM01'!AP$2),""))</f>
        <v/>
      </c>
      <c r="AQ123" s="45"/>
      <c r="AR123" s="43" t="str">
        <f>IF(IFERROR(INDEX(Consulta!$A:$DP,MATCH('MM01'!$B123,Consulta!$C:$C,0),'MM01'!AR$2),"")=0,"",IFERROR(INDEX(Consulta!$A:$DP,MATCH('MM01'!$B123,Consulta!$C:$C,0),'MM01'!AR$2),""))</f>
        <v/>
      </c>
      <c r="AS123" s="43" t="str">
        <f>IF(IFERROR(INDEX(Consulta!$A:$DP,MATCH('MM01'!$B123,Consulta!$C:$C,0),'MM01'!AS$2),"")=0,"",IF(AR123="68",5102,IFERROR(INDEX(Consulta!$A:$DP,MATCH('MM01'!$B123,Consulta!$C:$C,0),'MM01'!AS$2),"")))</f>
        <v/>
      </c>
      <c r="AT123" s="45"/>
      <c r="AU123" s="46" t="str">
        <f t="shared" ca="1" si="85"/>
        <v/>
      </c>
      <c r="AV123" s="47" t="s">
        <v>795</v>
      </c>
      <c r="AW123" s="43" t="str">
        <f>IF(IFERROR(INDEX(Consulta!$A:$DP,MATCH('MM01'!$B123,Consulta!$C:$C,0),'MM01'!AW$2),"")=0,"",IFERROR(ROUND(INDEX(Consulta!$A:$DP,MATCH('MM01'!$B123,Consulta!$C:$C,0),'MM01'!AW$2),3),""))</f>
        <v/>
      </c>
      <c r="AX123" s="43" t="str">
        <f t="shared" si="86"/>
        <v/>
      </c>
      <c r="AY123" s="48" t="s">
        <v>299</v>
      </c>
      <c r="AZ123" s="48"/>
      <c r="BA123" s="43" t="str">
        <f>IF(IFERROR(INDEX(Consulta!$A:$DP,MATCH('MM01'!$B123,Consulta!$C:$C,0),'MM01'!BA$2),"")=0,"",IFERROR(INDEX(Consulta!$A:$DP,MATCH('MM01'!$B123,Consulta!$C:$C,0),'MM01'!BA$2),""))</f>
        <v/>
      </c>
      <c r="BB123" s="43" t="str">
        <f t="shared" si="87"/>
        <v/>
      </c>
      <c r="BC123" s="43" t="str">
        <f t="shared" si="88"/>
        <v/>
      </c>
      <c r="BD123" s="43" t="str">
        <f t="shared" si="89"/>
        <v/>
      </c>
      <c r="BE123" s="43" t="str">
        <f t="shared" si="90"/>
        <v>M</v>
      </c>
      <c r="BF123" s="43" t="str">
        <f t="shared" si="91"/>
        <v/>
      </c>
      <c r="BG123" s="43" t="str">
        <f t="shared" si="92"/>
        <v/>
      </c>
      <c r="BH123" s="43" t="str">
        <f t="shared" si="93"/>
        <v/>
      </c>
      <c r="BI123" s="43" t="str">
        <f t="shared" si="94"/>
        <v>M</v>
      </c>
      <c r="BK123" s="45" t="s">
        <v>324</v>
      </c>
      <c r="BL123" s="43" t="str">
        <f>IF(IFERROR(INDEX(Consulta!$A:$DP,MATCH('MM01'!$B123,Consulta!$C:$C,0),'MM01'!BL$2),"")=0,"",IFERROR(INDEX(Consulta!$A:$DP,MATCH('MM01'!$B123,Consulta!$C:$C,0),'MM01'!BL$2),""))</f>
        <v/>
      </c>
      <c r="BM123" s="45"/>
      <c r="BN123" s="46" t="str">
        <f t="shared" ca="1" si="95"/>
        <v/>
      </c>
      <c r="BO123" s="49" t="str">
        <f t="shared" si="96"/>
        <v/>
      </c>
      <c r="BP123" s="50">
        <v>1</v>
      </c>
      <c r="BQ123" s="50" t="s">
        <v>194</v>
      </c>
      <c r="BR123" s="79" t="str">
        <f t="shared" si="81"/>
        <v>01</v>
      </c>
      <c r="BS123" s="50" t="s">
        <v>795</v>
      </c>
      <c r="BT123" s="44">
        <v>1</v>
      </c>
      <c r="BU123" s="44" t="s">
        <v>371</v>
      </c>
      <c r="BV123" s="50" t="s">
        <v>197</v>
      </c>
      <c r="BW123" s="50" t="s">
        <v>197</v>
      </c>
      <c r="BX123" s="43" t="str">
        <f>IF(IFERROR(INDEX(Consulta!$A:$DP,MATCH('MM01'!$B123,Consulta!$C:$C,0),'MM01'!BX$2),"")=0,"",IFERROR(INDEX(Consulta!$A:$DP,MATCH('MM01'!$B123,Consulta!$C:$C,0),'MM01'!BX$2),""))</f>
        <v/>
      </c>
      <c r="BY123" s="44" t="s">
        <v>391</v>
      </c>
      <c r="BZ123" s="50">
        <v>0</v>
      </c>
      <c r="CA123" s="45" t="s">
        <v>402</v>
      </c>
      <c r="CB123" s="45" t="s">
        <v>84</v>
      </c>
      <c r="CC123" s="43" t="str">
        <f t="shared" si="97"/>
        <v/>
      </c>
      <c r="CD123" s="45" t="s">
        <v>38</v>
      </c>
      <c r="CE123" s="45">
        <v>1</v>
      </c>
      <c r="CF123" s="45" t="s">
        <v>495</v>
      </c>
      <c r="CG123" s="45"/>
      <c r="CH123" s="44">
        <v>2</v>
      </c>
      <c r="CI123" s="49" t="str">
        <f t="shared" si="98"/>
        <v/>
      </c>
      <c r="CJ123" s="49" t="str">
        <f t="shared" si="99"/>
        <v/>
      </c>
      <c r="CK123" s="45"/>
      <c r="CL123" s="44">
        <v>1</v>
      </c>
      <c r="CM123" s="50" t="s">
        <v>514</v>
      </c>
      <c r="CN123" s="44" t="s">
        <v>371</v>
      </c>
      <c r="CO123" s="44">
        <v>2</v>
      </c>
      <c r="CP123" s="44">
        <v>42</v>
      </c>
      <c r="CQ123" s="44">
        <v>10</v>
      </c>
      <c r="CR123" s="43" t="str">
        <f t="shared" si="100"/>
        <v>K00_P_</v>
      </c>
      <c r="CS123" s="45">
        <v>5000</v>
      </c>
      <c r="CT123" s="43" t="str">
        <f>IF(IFERROR(INDEX(Consulta!$A:$DP,MATCH('MM01'!$B123,Consulta!$C:$C,0),'MM01'!CT$2),"")=0,"",IFERROR(INDEX(Consulta!$A:$DP,MATCH('MM01'!$B123,Consulta!$C:$C,0),'MM01'!CT$2),""))</f>
        <v/>
      </c>
      <c r="CU123" s="43" t="str">
        <f>IF(IFERROR(INDEX(Consulta!$A:$DP,MATCH('MM01'!$B123,Consulta!$C:$C,0),'MM01'!CU$2),"")=0,"",IFERROR(INDEX(Consulta!$A:$DP,MATCH('MM01'!$B123,Consulta!$C:$C,0),'MM01'!CU$2),""))</f>
        <v/>
      </c>
      <c r="CV123" s="43" t="str">
        <f>IF(IFERROR(INDEX(Consulta!$A:$DP,MATCH('MM01'!$B123,Consulta!$C:$C,0),'MM01'!CV$2),"")=0,"",IFERROR(INDEX(Consulta!$A:$DP,MATCH('MM01'!$B123,Consulta!$C:$C,0),'MM01'!CV$2),""))</f>
        <v/>
      </c>
      <c r="CW123" s="43" t="str">
        <f>IF(IFERROR(INDEX(Consulta!$A:$DP,MATCH('MM01'!$B123,Consulta!$C:$C,0),'MM01'!CW$2),"")=0,"",IFERROR(INDEX(Consulta!$A:$DP,MATCH('MM01'!$B123,Consulta!$C:$C,0),'MM01'!CW$2),""))</f>
        <v/>
      </c>
      <c r="CX123" s="43" t="str">
        <f t="shared" si="101"/>
        <v/>
      </c>
      <c r="CY123" s="43" t="str">
        <f t="shared" si="102"/>
        <v/>
      </c>
      <c r="CZ123" s="43" t="str">
        <f t="shared" si="103"/>
        <v/>
      </c>
      <c r="DA123" s="43" t="str">
        <f>IF(IFERROR(INDEX(Consulta!$A:$DP,MATCH('MM01'!$B123,Consulta!$C:$C,0),'MM01'!DA$2),"")=0,"",IFERROR(INDEX(Consulta!$A:$DP,MATCH('MM01'!$B123,Consulta!$C:$C,0),'MM01'!DA$2),""))</f>
        <v/>
      </c>
      <c r="DB123" s="43" t="str">
        <f t="shared" si="104"/>
        <v/>
      </c>
      <c r="DC123" s="43" t="str">
        <f>IF(IFERROR(INDEX(Consulta!$A:$DP,MATCH('MM01'!$B123,Consulta!$C:$C,0),'MM01'!DC$2),"")=0,"",IFERROR(INDEX(Consulta!$A:$DP,MATCH('MM01'!$B123,Consulta!$C:$C,0),'MM01'!DC$2),""))</f>
        <v/>
      </c>
      <c r="DD123" s="45">
        <v>0</v>
      </c>
      <c r="DE123" s="45">
        <v>0</v>
      </c>
      <c r="DF123" s="43" t="str">
        <f t="shared" si="105"/>
        <v/>
      </c>
      <c r="DG123" s="43" t="str">
        <f t="shared" si="106"/>
        <v/>
      </c>
      <c r="DH123" s="57"/>
      <c r="DI123" s="43" t="str">
        <f t="shared" ca="1" si="107"/>
        <v/>
      </c>
      <c r="DJ123" s="43" t="str">
        <f t="shared" si="108"/>
        <v/>
      </c>
      <c r="DK123" s="43" t="str">
        <f t="shared" si="109"/>
        <v/>
      </c>
      <c r="DL123" s="57"/>
      <c r="DM123" s="43" t="str">
        <f t="shared" ca="1" si="110"/>
        <v/>
      </c>
      <c r="DN123" s="43" t="str">
        <f t="shared" si="111"/>
        <v/>
      </c>
      <c r="DO123" s="43" t="str">
        <f t="shared" si="112"/>
        <v/>
      </c>
      <c r="DP123" s="57"/>
      <c r="DQ123" s="43" t="str">
        <f t="shared" ca="1" si="113"/>
        <v/>
      </c>
      <c r="DR123" s="43" t="str">
        <f t="shared" si="114"/>
        <v/>
      </c>
      <c r="DS123" s="43" t="str">
        <f t="shared" si="115"/>
        <v/>
      </c>
      <c r="DT123" s="57"/>
      <c r="DU123" s="43" t="str">
        <f t="shared" ca="1" si="116"/>
        <v/>
      </c>
      <c r="DV123" s="43" t="str">
        <f t="shared" si="117"/>
        <v/>
      </c>
      <c r="DX123" s="44">
        <v>1</v>
      </c>
      <c r="DY123" s="44" t="s">
        <v>773</v>
      </c>
      <c r="DZ123" s="43">
        <f t="shared" si="118"/>
        <v>0.01</v>
      </c>
      <c r="EA123" s="43" t="str">
        <f t="shared" si="119"/>
        <v>M</v>
      </c>
      <c r="EB123" s="43" t="str">
        <f>IF(IFERROR(INDEX(Consulta!$A:$DP,MATCH('MM01'!$B123,Consulta!$C:$C,0),'MM01'!EB$2),"")=0,"7925",IF(IFERROR(INDEX(Consulta!$A:$DP,MATCH('MM01'!$B123,Consulta!$C:$C,0),'MM01'!EB$2),"")="68","7910","7925"))</f>
        <v>7925</v>
      </c>
      <c r="EC123" s="44">
        <v>100</v>
      </c>
      <c r="ED123" s="62">
        <v>1</v>
      </c>
      <c r="EE123" s="43">
        <f t="shared" si="120"/>
        <v>100</v>
      </c>
      <c r="EF123" s="44">
        <v>1</v>
      </c>
      <c r="EG123" s="44">
        <v>0</v>
      </c>
      <c r="EH123" s="44" t="s">
        <v>875</v>
      </c>
      <c r="EI123" s="45">
        <v>0</v>
      </c>
      <c r="EJ123" s="43">
        <f t="shared" si="121"/>
        <v>5000</v>
      </c>
      <c r="EK123" s="69"/>
    </row>
    <row r="124" spans="1:141" x14ac:dyDescent="0.2">
      <c r="A124" s="7" t="str">
        <f t="shared" si="82"/>
        <v>Execução 120</v>
      </c>
      <c r="B124" s="42"/>
      <c r="C124" s="43" t="str">
        <f>IF(IFERROR(INDEX(Consulta!$A:$DP,MATCH('MM01'!$B124,Consulta!$C:$C,0),'MM01'!C$2),"")=0,"",IFERROR(INDEX(Consulta!$A:$DP,MATCH('MM01'!$B124,Consulta!$C:$C,0),'MM01'!C$2),""))</f>
        <v/>
      </c>
      <c r="D124" s="43" t="str">
        <f>IF(IFERROR(INDEX(Consulta!$A:$DP,MATCH('MM01'!$B124,Consulta!$C:$C,0),'MM01'!D$2),"")=0,"",IFERROR(INDEX(Consulta!$A:$DP,MATCH('MM01'!$B124,Consulta!$C:$C,0),'MM01'!D$2),""))</f>
        <v/>
      </c>
      <c r="E124" s="43" t="str">
        <f>IF(IFERROR(INDEX(Consulta!$A:$DP,MATCH('MM01'!$B124,Consulta!$C:$C,0),'MM01'!E$2),"")=0,"",IFERROR(INDEX(Consulta!$A:$DP,MATCH('MM01'!$B124,Consulta!$C:$C,0),'MM01'!E$2),""))</f>
        <v/>
      </c>
      <c r="F124" s="44" t="s">
        <v>100</v>
      </c>
      <c r="G124" s="49" t="str">
        <f>IF(IFERROR(INDEX(Consulta!$A:$DP,MATCH('MM01'!$B124,Consulta!$C:$C,0),'MM01'!G$2),"")=0,"",IFERROR(INDEX(Consulta!$A:$DP,MATCH('MM01'!$B124,Consulta!$C:$C,0),'MM01'!G$2),""))</f>
        <v/>
      </c>
      <c r="H124" s="49" t="str">
        <f>IF(IFERROR(INDEX(Consulta!$A:$DP,MATCH('MM01'!$B124,Consulta!$C:$C,0),'MM01'!H$2),"")=0,"",IFERROR(INDEX(Consulta!$A:$DP,MATCH('MM01'!$B124,Consulta!$C:$C,0),'MM01'!H$2),""))</f>
        <v/>
      </c>
      <c r="I124" s="49" t="str">
        <f t="shared" si="83"/>
        <v/>
      </c>
      <c r="J124" s="49" t="str">
        <f>IF(IFERROR(INDEX(Consulta!$A:$DP,MATCH('MM01'!$B124,Consulta!$C:$C,0),'MM01'!J$2),"")=0,"",IFERROR(INDEX(Consulta!$A:$DP,MATCH('MM01'!$B124,Consulta!$C:$C,0),'MM01'!J$2),""))</f>
        <v/>
      </c>
      <c r="K124" s="49" t="str">
        <f t="shared" si="84"/>
        <v/>
      </c>
      <c r="M124" s="45" t="s">
        <v>101</v>
      </c>
      <c r="N124" s="45" t="s">
        <v>102</v>
      </c>
      <c r="O124" s="45" t="s">
        <v>103</v>
      </c>
      <c r="P124" s="45" t="s">
        <v>104</v>
      </c>
      <c r="Q124" s="45" t="s">
        <v>105</v>
      </c>
      <c r="R124" s="45" t="s">
        <v>106</v>
      </c>
      <c r="S124" s="45" t="s">
        <v>107</v>
      </c>
      <c r="T124" s="45"/>
      <c r="U124" s="45"/>
      <c r="V124" s="45"/>
      <c r="W124" s="45"/>
      <c r="X124" s="45" t="s">
        <v>112</v>
      </c>
      <c r="Y124" s="45" t="s">
        <v>113</v>
      </c>
      <c r="Z124" s="45" t="s">
        <v>114</v>
      </c>
      <c r="AA124" s="45" t="s">
        <v>115</v>
      </c>
      <c r="AB124" s="45" t="s">
        <v>117</v>
      </c>
      <c r="AC124" s="45" t="s">
        <v>118</v>
      </c>
      <c r="AD124" s="45" t="s">
        <v>119</v>
      </c>
      <c r="AE124" s="45" t="s">
        <v>120</v>
      </c>
      <c r="AF124" s="45" t="s">
        <v>121</v>
      </c>
      <c r="AG124" s="45" t="s">
        <v>122</v>
      </c>
      <c r="AH124" s="45" t="s">
        <v>123</v>
      </c>
      <c r="AI124" s="45" t="s">
        <v>124</v>
      </c>
      <c r="AJ124" s="45" t="s">
        <v>125</v>
      </c>
      <c r="AK124" s="45" t="s">
        <v>126</v>
      </c>
      <c r="AL124" s="45"/>
      <c r="AM124" s="45"/>
      <c r="AO124" s="44" t="s">
        <v>100</v>
      </c>
      <c r="AP124" s="43" t="str">
        <f>IF(IFERROR(INDEX(Consulta!$A:$DP,MATCH('MM01'!$B124,Consulta!$C:$C,0),'MM01'!AP$2),"")=0,"",IFERROR(INDEX(Consulta!$A:$DP,MATCH('MM01'!$B124,Consulta!$C:$C,0),'MM01'!AP$2),""))</f>
        <v/>
      </c>
      <c r="AQ124" s="45"/>
      <c r="AR124" s="43" t="str">
        <f>IF(IFERROR(INDEX(Consulta!$A:$DP,MATCH('MM01'!$B124,Consulta!$C:$C,0),'MM01'!AR$2),"")=0,"",IFERROR(INDEX(Consulta!$A:$DP,MATCH('MM01'!$B124,Consulta!$C:$C,0),'MM01'!AR$2),""))</f>
        <v/>
      </c>
      <c r="AS124" s="43" t="str">
        <f>IF(IFERROR(INDEX(Consulta!$A:$DP,MATCH('MM01'!$B124,Consulta!$C:$C,0),'MM01'!AS$2),"")=0,"",IF(AR124="68",5102,IFERROR(INDEX(Consulta!$A:$DP,MATCH('MM01'!$B124,Consulta!$C:$C,0),'MM01'!AS$2),"")))</f>
        <v/>
      </c>
      <c r="AT124" s="45"/>
      <c r="AU124" s="46" t="str">
        <f t="shared" ca="1" si="85"/>
        <v/>
      </c>
      <c r="AV124" s="47" t="s">
        <v>795</v>
      </c>
      <c r="AW124" s="43" t="str">
        <f>IF(IFERROR(INDEX(Consulta!$A:$DP,MATCH('MM01'!$B124,Consulta!$C:$C,0),'MM01'!AW$2),"")=0,"",IFERROR(ROUND(INDEX(Consulta!$A:$DP,MATCH('MM01'!$B124,Consulta!$C:$C,0),'MM01'!AW$2),3),""))</f>
        <v/>
      </c>
      <c r="AX124" s="43" t="str">
        <f t="shared" si="86"/>
        <v/>
      </c>
      <c r="AY124" s="48" t="s">
        <v>299</v>
      </c>
      <c r="AZ124" s="48"/>
      <c r="BA124" s="43" t="str">
        <f>IF(IFERROR(INDEX(Consulta!$A:$DP,MATCH('MM01'!$B124,Consulta!$C:$C,0),'MM01'!BA$2),"")=0,"",IFERROR(INDEX(Consulta!$A:$DP,MATCH('MM01'!$B124,Consulta!$C:$C,0),'MM01'!BA$2),""))</f>
        <v/>
      </c>
      <c r="BB124" s="43" t="str">
        <f t="shared" si="87"/>
        <v/>
      </c>
      <c r="BC124" s="43" t="str">
        <f t="shared" si="88"/>
        <v/>
      </c>
      <c r="BD124" s="43" t="str">
        <f t="shared" si="89"/>
        <v/>
      </c>
      <c r="BE124" s="43" t="str">
        <f t="shared" si="90"/>
        <v>M</v>
      </c>
      <c r="BF124" s="43" t="str">
        <f t="shared" si="91"/>
        <v/>
      </c>
      <c r="BG124" s="43" t="str">
        <f t="shared" si="92"/>
        <v/>
      </c>
      <c r="BH124" s="43" t="str">
        <f t="shared" si="93"/>
        <v/>
      </c>
      <c r="BI124" s="43" t="str">
        <f t="shared" si="94"/>
        <v>M</v>
      </c>
      <c r="BK124" s="45" t="s">
        <v>324</v>
      </c>
      <c r="BL124" s="43" t="str">
        <f>IF(IFERROR(INDEX(Consulta!$A:$DP,MATCH('MM01'!$B124,Consulta!$C:$C,0),'MM01'!BL$2),"")=0,"",IFERROR(INDEX(Consulta!$A:$DP,MATCH('MM01'!$B124,Consulta!$C:$C,0),'MM01'!BL$2),""))</f>
        <v/>
      </c>
      <c r="BM124" s="45"/>
      <c r="BN124" s="46" t="str">
        <f t="shared" ca="1" si="95"/>
        <v/>
      </c>
      <c r="BO124" s="49" t="str">
        <f t="shared" si="96"/>
        <v/>
      </c>
      <c r="BP124" s="50">
        <v>1</v>
      </c>
      <c r="BQ124" s="50" t="s">
        <v>194</v>
      </c>
      <c r="BR124" s="79" t="str">
        <f t="shared" si="81"/>
        <v>01</v>
      </c>
      <c r="BS124" s="50" t="s">
        <v>795</v>
      </c>
      <c r="BT124" s="44">
        <v>1</v>
      </c>
      <c r="BU124" s="44" t="s">
        <v>371</v>
      </c>
      <c r="BV124" s="50" t="s">
        <v>197</v>
      </c>
      <c r="BW124" s="50" t="s">
        <v>197</v>
      </c>
      <c r="BX124" s="43" t="str">
        <f>IF(IFERROR(INDEX(Consulta!$A:$DP,MATCH('MM01'!$B124,Consulta!$C:$C,0),'MM01'!BX$2),"")=0,"",IFERROR(INDEX(Consulta!$A:$DP,MATCH('MM01'!$B124,Consulta!$C:$C,0),'MM01'!BX$2),""))</f>
        <v/>
      </c>
      <c r="BY124" s="44" t="s">
        <v>391</v>
      </c>
      <c r="BZ124" s="50">
        <v>0</v>
      </c>
      <c r="CA124" s="45" t="s">
        <v>402</v>
      </c>
      <c r="CB124" s="45" t="s">
        <v>84</v>
      </c>
      <c r="CC124" s="43" t="str">
        <f t="shared" si="97"/>
        <v/>
      </c>
      <c r="CD124" s="45" t="s">
        <v>38</v>
      </c>
      <c r="CE124" s="45">
        <v>1</v>
      </c>
      <c r="CF124" s="45" t="s">
        <v>495</v>
      </c>
      <c r="CG124" s="45"/>
      <c r="CH124" s="44">
        <v>2</v>
      </c>
      <c r="CI124" s="49" t="str">
        <f t="shared" si="98"/>
        <v/>
      </c>
      <c r="CJ124" s="49" t="str">
        <f t="shared" si="99"/>
        <v/>
      </c>
      <c r="CK124" s="45"/>
      <c r="CL124" s="44">
        <v>1</v>
      </c>
      <c r="CM124" s="50" t="s">
        <v>514</v>
      </c>
      <c r="CN124" s="44" t="s">
        <v>371</v>
      </c>
      <c r="CO124" s="44">
        <v>2</v>
      </c>
      <c r="CP124" s="44">
        <v>42</v>
      </c>
      <c r="CQ124" s="44">
        <v>10</v>
      </c>
      <c r="CR124" s="43" t="str">
        <f t="shared" si="100"/>
        <v>K00_P_</v>
      </c>
      <c r="CS124" s="45">
        <v>5000</v>
      </c>
      <c r="CT124" s="43" t="str">
        <f>IF(IFERROR(INDEX(Consulta!$A:$DP,MATCH('MM01'!$B124,Consulta!$C:$C,0),'MM01'!CT$2),"")=0,"",IFERROR(INDEX(Consulta!$A:$DP,MATCH('MM01'!$B124,Consulta!$C:$C,0),'MM01'!CT$2),""))</f>
        <v/>
      </c>
      <c r="CU124" s="43" t="str">
        <f>IF(IFERROR(INDEX(Consulta!$A:$DP,MATCH('MM01'!$B124,Consulta!$C:$C,0),'MM01'!CU$2),"")=0,"",IFERROR(INDEX(Consulta!$A:$DP,MATCH('MM01'!$B124,Consulta!$C:$C,0),'MM01'!CU$2),""))</f>
        <v/>
      </c>
      <c r="CV124" s="43" t="str">
        <f>IF(IFERROR(INDEX(Consulta!$A:$DP,MATCH('MM01'!$B124,Consulta!$C:$C,0),'MM01'!CV$2),"")=0,"",IFERROR(INDEX(Consulta!$A:$DP,MATCH('MM01'!$B124,Consulta!$C:$C,0),'MM01'!CV$2),""))</f>
        <v/>
      </c>
      <c r="CW124" s="43" t="str">
        <f>IF(IFERROR(INDEX(Consulta!$A:$DP,MATCH('MM01'!$B124,Consulta!$C:$C,0),'MM01'!CW$2),"")=0,"",IFERROR(INDEX(Consulta!$A:$DP,MATCH('MM01'!$B124,Consulta!$C:$C,0),'MM01'!CW$2),""))</f>
        <v/>
      </c>
      <c r="CX124" s="43" t="str">
        <f t="shared" si="101"/>
        <v/>
      </c>
      <c r="CY124" s="43" t="str">
        <f t="shared" si="102"/>
        <v/>
      </c>
      <c r="CZ124" s="43" t="str">
        <f t="shared" si="103"/>
        <v/>
      </c>
      <c r="DA124" s="43" t="str">
        <f>IF(IFERROR(INDEX(Consulta!$A:$DP,MATCH('MM01'!$B124,Consulta!$C:$C,0),'MM01'!DA$2),"")=0,"",IFERROR(INDEX(Consulta!$A:$DP,MATCH('MM01'!$B124,Consulta!$C:$C,0),'MM01'!DA$2),""))</f>
        <v/>
      </c>
      <c r="DB124" s="43" t="str">
        <f t="shared" si="104"/>
        <v/>
      </c>
      <c r="DC124" s="43" t="str">
        <f>IF(IFERROR(INDEX(Consulta!$A:$DP,MATCH('MM01'!$B124,Consulta!$C:$C,0),'MM01'!DC$2),"")=0,"",IFERROR(INDEX(Consulta!$A:$DP,MATCH('MM01'!$B124,Consulta!$C:$C,0),'MM01'!DC$2),""))</f>
        <v/>
      </c>
      <c r="DD124" s="45">
        <v>0</v>
      </c>
      <c r="DE124" s="45">
        <v>0</v>
      </c>
      <c r="DF124" s="43" t="str">
        <f t="shared" si="105"/>
        <v/>
      </c>
      <c r="DG124" s="43" t="str">
        <f t="shared" si="106"/>
        <v/>
      </c>
      <c r="DH124" s="57"/>
      <c r="DI124" s="43" t="str">
        <f t="shared" ca="1" si="107"/>
        <v/>
      </c>
      <c r="DJ124" s="43" t="str">
        <f t="shared" si="108"/>
        <v/>
      </c>
      <c r="DK124" s="43" t="str">
        <f t="shared" si="109"/>
        <v/>
      </c>
      <c r="DL124" s="57"/>
      <c r="DM124" s="43" t="str">
        <f t="shared" ca="1" si="110"/>
        <v/>
      </c>
      <c r="DN124" s="43" t="str">
        <f t="shared" si="111"/>
        <v/>
      </c>
      <c r="DO124" s="43" t="str">
        <f t="shared" si="112"/>
        <v/>
      </c>
      <c r="DP124" s="57"/>
      <c r="DQ124" s="43" t="str">
        <f t="shared" ca="1" si="113"/>
        <v/>
      </c>
      <c r="DR124" s="43" t="str">
        <f t="shared" si="114"/>
        <v/>
      </c>
      <c r="DS124" s="43" t="str">
        <f t="shared" si="115"/>
        <v/>
      </c>
      <c r="DT124" s="57"/>
      <c r="DU124" s="43" t="str">
        <f t="shared" ca="1" si="116"/>
        <v/>
      </c>
      <c r="DV124" s="43" t="str">
        <f t="shared" si="117"/>
        <v/>
      </c>
      <c r="DX124" s="44">
        <v>1</v>
      </c>
      <c r="DY124" s="44" t="s">
        <v>773</v>
      </c>
      <c r="DZ124" s="43">
        <f t="shared" si="118"/>
        <v>0.01</v>
      </c>
      <c r="EA124" s="43" t="str">
        <f t="shared" si="119"/>
        <v>M</v>
      </c>
      <c r="EB124" s="43" t="str">
        <f>IF(IFERROR(INDEX(Consulta!$A:$DP,MATCH('MM01'!$B124,Consulta!$C:$C,0),'MM01'!EB$2),"")=0,"7925",IF(IFERROR(INDEX(Consulta!$A:$DP,MATCH('MM01'!$B124,Consulta!$C:$C,0),'MM01'!EB$2),"")="68","7910","7925"))</f>
        <v>7925</v>
      </c>
      <c r="EC124" s="44">
        <v>100</v>
      </c>
      <c r="ED124" s="62">
        <v>1</v>
      </c>
      <c r="EE124" s="43">
        <f t="shared" si="120"/>
        <v>100</v>
      </c>
      <c r="EF124" s="44">
        <v>1</v>
      </c>
      <c r="EG124" s="44">
        <v>0</v>
      </c>
      <c r="EH124" s="44" t="s">
        <v>875</v>
      </c>
      <c r="EI124" s="45">
        <v>0</v>
      </c>
      <c r="EJ124" s="43">
        <f t="shared" si="121"/>
        <v>5000</v>
      </c>
      <c r="EK124" s="69"/>
    </row>
    <row r="125" spans="1:141" x14ac:dyDescent="0.2">
      <c r="A125" s="7" t="str">
        <f t="shared" si="82"/>
        <v>Execução 121</v>
      </c>
      <c r="B125" s="42"/>
      <c r="C125" s="43" t="str">
        <f>IF(IFERROR(INDEX(Consulta!$A:$DP,MATCH('MM01'!$B125,Consulta!$C:$C,0),'MM01'!C$2),"")=0,"",IFERROR(INDEX(Consulta!$A:$DP,MATCH('MM01'!$B125,Consulta!$C:$C,0),'MM01'!C$2),""))</f>
        <v/>
      </c>
      <c r="D125" s="43" t="str">
        <f>IF(IFERROR(INDEX(Consulta!$A:$DP,MATCH('MM01'!$B125,Consulta!$C:$C,0),'MM01'!D$2),"")=0,"",IFERROR(INDEX(Consulta!$A:$DP,MATCH('MM01'!$B125,Consulta!$C:$C,0),'MM01'!D$2),""))</f>
        <v/>
      </c>
      <c r="E125" s="43" t="str">
        <f>IF(IFERROR(INDEX(Consulta!$A:$DP,MATCH('MM01'!$B125,Consulta!$C:$C,0),'MM01'!E$2),"")=0,"",IFERROR(INDEX(Consulta!$A:$DP,MATCH('MM01'!$B125,Consulta!$C:$C,0),'MM01'!E$2),""))</f>
        <v/>
      </c>
      <c r="F125" s="44" t="s">
        <v>100</v>
      </c>
      <c r="G125" s="49" t="str">
        <f>IF(IFERROR(INDEX(Consulta!$A:$DP,MATCH('MM01'!$B125,Consulta!$C:$C,0),'MM01'!G$2),"")=0,"",IFERROR(INDEX(Consulta!$A:$DP,MATCH('MM01'!$B125,Consulta!$C:$C,0),'MM01'!G$2),""))</f>
        <v/>
      </c>
      <c r="H125" s="49" t="str">
        <f>IF(IFERROR(INDEX(Consulta!$A:$DP,MATCH('MM01'!$B125,Consulta!$C:$C,0),'MM01'!H$2),"")=0,"",IFERROR(INDEX(Consulta!$A:$DP,MATCH('MM01'!$B125,Consulta!$C:$C,0),'MM01'!H$2),""))</f>
        <v/>
      </c>
      <c r="I125" s="49" t="str">
        <f t="shared" si="83"/>
        <v/>
      </c>
      <c r="J125" s="49" t="str">
        <f>IF(IFERROR(INDEX(Consulta!$A:$DP,MATCH('MM01'!$B125,Consulta!$C:$C,0),'MM01'!J$2),"")=0,"",IFERROR(INDEX(Consulta!$A:$DP,MATCH('MM01'!$B125,Consulta!$C:$C,0),'MM01'!J$2),""))</f>
        <v/>
      </c>
      <c r="K125" s="49" t="str">
        <f t="shared" si="84"/>
        <v/>
      </c>
      <c r="M125" s="45" t="s">
        <v>101</v>
      </c>
      <c r="N125" s="45" t="s">
        <v>102</v>
      </c>
      <c r="O125" s="45" t="s">
        <v>103</v>
      </c>
      <c r="P125" s="45" t="s">
        <v>104</v>
      </c>
      <c r="Q125" s="45" t="s">
        <v>105</v>
      </c>
      <c r="R125" s="45" t="s">
        <v>106</v>
      </c>
      <c r="S125" s="45" t="s">
        <v>107</v>
      </c>
      <c r="T125" s="45"/>
      <c r="U125" s="45"/>
      <c r="V125" s="45"/>
      <c r="W125" s="45"/>
      <c r="X125" s="45" t="s">
        <v>112</v>
      </c>
      <c r="Y125" s="45" t="s">
        <v>113</v>
      </c>
      <c r="Z125" s="45" t="s">
        <v>114</v>
      </c>
      <c r="AA125" s="45" t="s">
        <v>115</v>
      </c>
      <c r="AB125" s="45" t="s">
        <v>117</v>
      </c>
      <c r="AC125" s="45" t="s">
        <v>118</v>
      </c>
      <c r="AD125" s="45" t="s">
        <v>119</v>
      </c>
      <c r="AE125" s="45" t="s">
        <v>120</v>
      </c>
      <c r="AF125" s="45" t="s">
        <v>121</v>
      </c>
      <c r="AG125" s="45" t="s">
        <v>122</v>
      </c>
      <c r="AH125" s="45" t="s">
        <v>123</v>
      </c>
      <c r="AI125" s="45" t="s">
        <v>124</v>
      </c>
      <c r="AJ125" s="45" t="s">
        <v>125</v>
      </c>
      <c r="AK125" s="45" t="s">
        <v>126</v>
      </c>
      <c r="AL125" s="45"/>
      <c r="AM125" s="45"/>
      <c r="AO125" s="44" t="s">
        <v>100</v>
      </c>
      <c r="AP125" s="43" t="str">
        <f>IF(IFERROR(INDEX(Consulta!$A:$DP,MATCH('MM01'!$B125,Consulta!$C:$C,0),'MM01'!AP$2),"")=0,"",IFERROR(INDEX(Consulta!$A:$DP,MATCH('MM01'!$B125,Consulta!$C:$C,0),'MM01'!AP$2),""))</f>
        <v/>
      </c>
      <c r="AQ125" s="45"/>
      <c r="AR125" s="43" t="str">
        <f>IF(IFERROR(INDEX(Consulta!$A:$DP,MATCH('MM01'!$B125,Consulta!$C:$C,0),'MM01'!AR$2),"")=0,"",IFERROR(INDEX(Consulta!$A:$DP,MATCH('MM01'!$B125,Consulta!$C:$C,0),'MM01'!AR$2),""))</f>
        <v/>
      </c>
      <c r="AS125" s="43" t="str">
        <f>IF(IFERROR(INDEX(Consulta!$A:$DP,MATCH('MM01'!$B125,Consulta!$C:$C,0),'MM01'!AS$2),"")=0,"",IF(AR125="68",5102,IFERROR(INDEX(Consulta!$A:$DP,MATCH('MM01'!$B125,Consulta!$C:$C,0),'MM01'!AS$2),"")))</f>
        <v/>
      </c>
      <c r="AT125" s="45"/>
      <c r="AU125" s="46" t="str">
        <f t="shared" ca="1" si="85"/>
        <v/>
      </c>
      <c r="AV125" s="47" t="s">
        <v>795</v>
      </c>
      <c r="AW125" s="43" t="str">
        <f>IF(IFERROR(INDEX(Consulta!$A:$DP,MATCH('MM01'!$B125,Consulta!$C:$C,0),'MM01'!AW$2),"")=0,"",IFERROR(ROUND(INDEX(Consulta!$A:$DP,MATCH('MM01'!$B125,Consulta!$C:$C,0),'MM01'!AW$2),3),""))</f>
        <v/>
      </c>
      <c r="AX125" s="43" t="str">
        <f t="shared" si="86"/>
        <v/>
      </c>
      <c r="AY125" s="48" t="s">
        <v>299</v>
      </c>
      <c r="AZ125" s="48"/>
      <c r="BA125" s="43" t="str">
        <f>IF(IFERROR(INDEX(Consulta!$A:$DP,MATCH('MM01'!$B125,Consulta!$C:$C,0),'MM01'!BA$2),"")=0,"",IFERROR(INDEX(Consulta!$A:$DP,MATCH('MM01'!$B125,Consulta!$C:$C,0),'MM01'!BA$2),""))</f>
        <v/>
      </c>
      <c r="BB125" s="43" t="str">
        <f t="shared" si="87"/>
        <v/>
      </c>
      <c r="BC125" s="43" t="str">
        <f t="shared" si="88"/>
        <v/>
      </c>
      <c r="BD125" s="43" t="str">
        <f t="shared" si="89"/>
        <v/>
      </c>
      <c r="BE125" s="43" t="str">
        <f t="shared" si="90"/>
        <v>M</v>
      </c>
      <c r="BF125" s="43" t="str">
        <f t="shared" si="91"/>
        <v/>
      </c>
      <c r="BG125" s="43" t="str">
        <f t="shared" si="92"/>
        <v/>
      </c>
      <c r="BH125" s="43" t="str">
        <f t="shared" si="93"/>
        <v/>
      </c>
      <c r="BI125" s="43" t="str">
        <f t="shared" si="94"/>
        <v>M</v>
      </c>
      <c r="BK125" s="45" t="s">
        <v>324</v>
      </c>
      <c r="BL125" s="43" t="str">
        <f>IF(IFERROR(INDEX(Consulta!$A:$DP,MATCH('MM01'!$B125,Consulta!$C:$C,0),'MM01'!BL$2),"")=0,"",IFERROR(INDEX(Consulta!$A:$DP,MATCH('MM01'!$B125,Consulta!$C:$C,0),'MM01'!BL$2),""))</f>
        <v/>
      </c>
      <c r="BM125" s="45"/>
      <c r="BN125" s="46" t="str">
        <f t="shared" ca="1" si="95"/>
        <v/>
      </c>
      <c r="BO125" s="49" t="str">
        <f t="shared" si="96"/>
        <v/>
      </c>
      <c r="BP125" s="50">
        <v>1</v>
      </c>
      <c r="BQ125" s="50" t="s">
        <v>194</v>
      </c>
      <c r="BR125" s="79" t="str">
        <f t="shared" si="81"/>
        <v>01</v>
      </c>
      <c r="BS125" s="50" t="s">
        <v>795</v>
      </c>
      <c r="BT125" s="44">
        <v>1</v>
      </c>
      <c r="BU125" s="44" t="s">
        <v>371</v>
      </c>
      <c r="BV125" s="50" t="s">
        <v>197</v>
      </c>
      <c r="BW125" s="50" t="s">
        <v>197</v>
      </c>
      <c r="BX125" s="43" t="str">
        <f>IF(IFERROR(INDEX(Consulta!$A:$DP,MATCH('MM01'!$B125,Consulta!$C:$C,0),'MM01'!BX$2),"")=0,"",IFERROR(INDEX(Consulta!$A:$DP,MATCH('MM01'!$B125,Consulta!$C:$C,0),'MM01'!BX$2),""))</f>
        <v/>
      </c>
      <c r="BY125" s="44" t="s">
        <v>391</v>
      </c>
      <c r="BZ125" s="50">
        <v>0</v>
      </c>
      <c r="CA125" s="45" t="s">
        <v>402</v>
      </c>
      <c r="CB125" s="45" t="s">
        <v>84</v>
      </c>
      <c r="CC125" s="43" t="str">
        <f t="shared" si="97"/>
        <v/>
      </c>
      <c r="CD125" s="45" t="s">
        <v>38</v>
      </c>
      <c r="CE125" s="45">
        <v>1</v>
      </c>
      <c r="CF125" s="45" t="s">
        <v>495</v>
      </c>
      <c r="CG125" s="45"/>
      <c r="CH125" s="44">
        <v>2</v>
      </c>
      <c r="CI125" s="49" t="str">
        <f t="shared" si="98"/>
        <v/>
      </c>
      <c r="CJ125" s="49" t="str">
        <f t="shared" si="99"/>
        <v/>
      </c>
      <c r="CK125" s="45"/>
      <c r="CL125" s="44">
        <v>1</v>
      </c>
      <c r="CM125" s="50" t="s">
        <v>514</v>
      </c>
      <c r="CN125" s="44" t="s">
        <v>371</v>
      </c>
      <c r="CO125" s="44">
        <v>2</v>
      </c>
      <c r="CP125" s="44">
        <v>42</v>
      </c>
      <c r="CQ125" s="44">
        <v>10</v>
      </c>
      <c r="CR125" s="43" t="str">
        <f t="shared" si="100"/>
        <v>K00_P_</v>
      </c>
      <c r="CS125" s="45">
        <v>5000</v>
      </c>
      <c r="CT125" s="43" t="str">
        <f>IF(IFERROR(INDEX(Consulta!$A:$DP,MATCH('MM01'!$B125,Consulta!$C:$C,0),'MM01'!CT$2),"")=0,"",IFERROR(INDEX(Consulta!$A:$DP,MATCH('MM01'!$B125,Consulta!$C:$C,0),'MM01'!CT$2),""))</f>
        <v/>
      </c>
      <c r="CU125" s="43" t="str">
        <f>IF(IFERROR(INDEX(Consulta!$A:$DP,MATCH('MM01'!$B125,Consulta!$C:$C,0),'MM01'!CU$2),"")=0,"",IFERROR(INDEX(Consulta!$A:$DP,MATCH('MM01'!$B125,Consulta!$C:$C,0),'MM01'!CU$2),""))</f>
        <v/>
      </c>
      <c r="CV125" s="43" t="str">
        <f>IF(IFERROR(INDEX(Consulta!$A:$DP,MATCH('MM01'!$B125,Consulta!$C:$C,0),'MM01'!CV$2),"")=0,"",IFERROR(INDEX(Consulta!$A:$DP,MATCH('MM01'!$B125,Consulta!$C:$C,0),'MM01'!CV$2),""))</f>
        <v/>
      </c>
      <c r="CW125" s="43" t="str">
        <f>IF(IFERROR(INDEX(Consulta!$A:$DP,MATCH('MM01'!$B125,Consulta!$C:$C,0),'MM01'!CW$2),"")=0,"",IFERROR(INDEX(Consulta!$A:$DP,MATCH('MM01'!$B125,Consulta!$C:$C,0),'MM01'!CW$2),""))</f>
        <v/>
      </c>
      <c r="CX125" s="43" t="str">
        <f t="shared" si="101"/>
        <v/>
      </c>
      <c r="CY125" s="43" t="str">
        <f t="shared" si="102"/>
        <v/>
      </c>
      <c r="CZ125" s="43" t="str">
        <f t="shared" si="103"/>
        <v/>
      </c>
      <c r="DA125" s="43" t="str">
        <f>IF(IFERROR(INDEX(Consulta!$A:$DP,MATCH('MM01'!$B125,Consulta!$C:$C,0),'MM01'!DA$2),"")=0,"",IFERROR(INDEX(Consulta!$A:$DP,MATCH('MM01'!$B125,Consulta!$C:$C,0),'MM01'!DA$2),""))</f>
        <v/>
      </c>
      <c r="DB125" s="43" t="str">
        <f t="shared" si="104"/>
        <v/>
      </c>
      <c r="DC125" s="43" t="str">
        <f>IF(IFERROR(INDEX(Consulta!$A:$DP,MATCH('MM01'!$B125,Consulta!$C:$C,0),'MM01'!DC$2),"")=0,"",IFERROR(INDEX(Consulta!$A:$DP,MATCH('MM01'!$B125,Consulta!$C:$C,0),'MM01'!DC$2),""))</f>
        <v/>
      </c>
      <c r="DD125" s="45">
        <v>0</v>
      </c>
      <c r="DE125" s="45">
        <v>0</v>
      </c>
      <c r="DF125" s="43" t="str">
        <f t="shared" si="105"/>
        <v/>
      </c>
      <c r="DG125" s="43" t="str">
        <f t="shared" si="106"/>
        <v/>
      </c>
      <c r="DH125" s="57"/>
      <c r="DI125" s="43" t="str">
        <f t="shared" ca="1" si="107"/>
        <v/>
      </c>
      <c r="DJ125" s="43" t="str">
        <f t="shared" si="108"/>
        <v/>
      </c>
      <c r="DK125" s="43" t="str">
        <f t="shared" si="109"/>
        <v/>
      </c>
      <c r="DL125" s="57"/>
      <c r="DM125" s="43" t="str">
        <f t="shared" ca="1" si="110"/>
        <v/>
      </c>
      <c r="DN125" s="43" t="str">
        <f t="shared" si="111"/>
        <v/>
      </c>
      <c r="DO125" s="43" t="str">
        <f t="shared" si="112"/>
        <v/>
      </c>
      <c r="DP125" s="57"/>
      <c r="DQ125" s="43" t="str">
        <f t="shared" ca="1" si="113"/>
        <v/>
      </c>
      <c r="DR125" s="43" t="str">
        <f t="shared" si="114"/>
        <v/>
      </c>
      <c r="DS125" s="43" t="str">
        <f t="shared" si="115"/>
        <v/>
      </c>
      <c r="DT125" s="57"/>
      <c r="DU125" s="43" t="str">
        <f t="shared" ca="1" si="116"/>
        <v/>
      </c>
      <c r="DV125" s="43" t="str">
        <f t="shared" si="117"/>
        <v/>
      </c>
      <c r="DX125" s="44">
        <v>1</v>
      </c>
      <c r="DY125" s="44" t="s">
        <v>773</v>
      </c>
      <c r="DZ125" s="43">
        <f t="shared" si="118"/>
        <v>0.01</v>
      </c>
      <c r="EA125" s="43" t="str">
        <f t="shared" si="119"/>
        <v>M</v>
      </c>
      <c r="EB125" s="43" t="str">
        <f>IF(IFERROR(INDEX(Consulta!$A:$DP,MATCH('MM01'!$B125,Consulta!$C:$C,0),'MM01'!EB$2),"")=0,"7925",IF(IFERROR(INDEX(Consulta!$A:$DP,MATCH('MM01'!$B125,Consulta!$C:$C,0),'MM01'!EB$2),"")="68","7910","7925"))</f>
        <v>7925</v>
      </c>
      <c r="EC125" s="44">
        <v>100</v>
      </c>
      <c r="ED125" s="62">
        <v>1</v>
      </c>
      <c r="EE125" s="43">
        <f t="shared" si="120"/>
        <v>100</v>
      </c>
      <c r="EF125" s="44">
        <v>1</v>
      </c>
      <c r="EG125" s="44">
        <v>0</v>
      </c>
      <c r="EH125" s="44" t="s">
        <v>875</v>
      </c>
      <c r="EI125" s="45">
        <v>0</v>
      </c>
      <c r="EJ125" s="43">
        <f t="shared" si="121"/>
        <v>5000</v>
      </c>
      <c r="EK125" s="69"/>
    </row>
    <row r="126" spans="1:141" x14ac:dyDescent="0.2">
      <c r="A126" s="7" t="str">
        <f t="shared" si="82"/>
        <v>Execução 122</v>
      </c>
      <c r="B126" s="42"/>
      <c r="C126" s="43" t="str">
        <f>IF(IFERROR(INDEX(Consulta!$A:$DP,MATCH('MM01'!$B126,Consulta!$C:$C,0),'MM01'!C$2),"")=0,"",IFERROR(INDEX(Consulta!$A:$DP,MATCH('MM01'!$B126,Consulta!$C:$C,0),'MM01'!C$2),""))</f>
        <v/>
      </c>
      <c r="D126" s="43" t="str">
        <f>IF(IFERROR(INDEX(Consulta!$A:$DP,MATCH('MM01'!$B126,Consulta!$C:$C,0),'MM01'!D$2),"")=0,"",IFERROR(INDEX(Consulta!$A:$DP,MATCH('MM01'!$B126,Consulta!$C:$C,0),'MM01'!D$2),""))</f>
        <v/>
      </c>
      <c r="E126" s="43" t="str">
        <f>IF(IFERROR(INDEX(Consulta!$A:$DP,MATCH('MM01'!$B126,Consulta!$C:$C,0),'MM01'!E$2),"")=0,"",IFERROR(INDEX(Consulta!$A:$DP,MATCH('MM01'!$B126,Consulta!$C:$C,0),'MM01'!E$2),""))</f>
        <v/>
      </c>
      <c r="F126" s="44" t="s">
        <v>100</v>
      </c>
      <c r="G126" s="49" t="str">
        <f>IF(IFERROR(INDEX(Consulta!$A:$DP,MATCH('MM01'!$B126,Consulta!$C:$C,0),'MM01'!G$2),"")=0,"",IFERROR(INDEX(Consulta!$A:$DP,MATCH('MM01'!$B126,Consulta!$C:$C,0),'MM01'!G$2),""))</f>
        <v/>
      </c>
      <c r="H126" s="49" t="str">
        <f>IF(IFERROR(INDEX(Consulta!$A:$DP,MATCH('MM01'!$B126,Consulta!$C:$C,0),'MM01'!H$2),"")=0,"",IFERROR(INDEX(Consulta!$A:$DP,MATCH('MM01'!$B126,Consulta!$C:$C,0),'MM01'!H$2),""))</f>
        <v/>
      </c>
      <c r="I126" s="49" t="str">
        <f t="shared" si="83"/>
        <v/>
      </c>
      <c r="J126" s="49" t="str">
        <f>IF(IFERROR(INDEX(Consulta!$A:$DP,MATCH('MM01'!$B126,Consulta!$C:$C,0),'MM01'!J$2),"")=0,"",IFERROR(INDEX(Consulta!$A:$DP,MATCH('MM01'!$B126,Consulta!$C:$C,0),'MM01'!J$2),""))</f>
        <v/>
      </c>
      <c r="K126" s="49" t="str">
        <f t="shared" si="84"/>
        <v/>
      </c>
      <c r="M126" s="45" t="s">
        <v>101</v>
      </c>
      <c r="N126" s="45" t="s">
        <v>102</v>
      </c>
      <c r="O126" s="45" t="s">
        <v>103</v>
      </c>
      <c r="P126" s="45" t="s">
        <v>104</v>
      </c>
      <c r="Q126" s="45" t="s">
        <v>105</v>
      </c>
      <c r="R126" s="45" t="s">
        <v>106</v>
      </c>
      <c r="S126" s="45" t="s">
        <v>107</v>
      </c>
      <c r="T126" s="45"/>
      <c r="U126" s="45"/>
      <c r="V126" s="45"/>
      <c r="W126" s="45"/>
      <c r="X126" s="45" t="s">
        <v>112</v>
      </c>
      <c r="Y126" s="45" t="s">
        <v>113</v>
      </c>
      <c r="Z126" s="45" t="s">
        <v>114</v>
      </c>
      <c r="AA126" s="45" t="s">
        <v>115</v>
      </c>
      <c r="AB126" s="45" t="s">
        <v>117</v>
      </c>
      <c r="AC126" s="45" t="s">
        <v>118</v>
      </c>
      <c r="AD126" s="45" t="s">
        <v>119</v>
      </c>
      <c r="AE126" s="45" t="s">
        <v>120</v>
      </c>
      <c r="AF126" s="45" t="s">
        <v>121</v>
      </c>
      <c r="AG126" s="45" t="s">
        <v>122</v>
      </c>
      <c r="AH126" s="45" t="s">
        <v>123</v>
      </c>
      <c r="AI126" s="45" t="s">
        <v>124</v>
      </c>
      <c r="AJ126" s="45" t="s">
        <v>125</v>
      </c>
      <c r="AK126" s="45" t="s">
        <v>126</v>
      </c>
      <c r="AL126" s="45"/>
      <c r="AM126" s="45"/>
      <c r="AO126" s="44" t="s">
        <v>100</v>
      </c>
      <c r="AP126" s="43" t="str">
        <f>IF(IFERROR(INDEX(Consulta!$A:$DP,MATCH('MM01'!$B126,Consulta!$C:$C,0),'MM01'!AP$2),"")=0,"",IFERROR(INDEX(Consulta!$A:$DP,MATCH('MM01'!$B126,Consulta!$C:$C,0),'MM01'!AP$2),""))</f>
        <v/>
      </c>
      <c r="AQ126" s="45"/>
      <c r="AR126" s="43" t="str">
        <f>IF(IFERROR(INDEX(Consulta!$A:$DP,MATCH('MM01'!$B126,Consulta!$C:$C,0),'MM01'!AR$2),"")=0,"",IFERROR(INDEX(Consulta!$A:$DP,MATCH('MM01'!$B126,Consulta!$C:$C,0),'MM01'!AR$2),""))</f>
        <v/>
      </c>
      <c r="AS126" s="43" t="str">
        <f>IF(IFERROR(INDEX(Consulta!$A:$DP,MATCH('MM01'!$B126,Consulta!$C:$C,0),'MM01'!AS$2),"")=0,"",IF(AR126="68",5102,IFERROR(INDEX(Consulta!$A:$DP,MATCH('MM01'!$B126,Consulta!$C:$C,0),'MM01'!AS$2),"")))</f>
        <v/>
      </c>
      <c r="AT126" s="45"/>
      <c r="AU126" s="46" t="str">
        <f t="shared" ca="1" si="85"/>
        <v/>
      </c>
      <c r="AV126" s="47" t="s">
        <v>795</v>
      </c>
      <c r="AW126" s="43" t="str">
        <f>IF(IFERROR(INDEX(Consulta!$A:$DP,MATCH('MM01'!$B126,Consulta!$C:$C,0),'MM01'!AW$2),"")=0,"",IFERROR(ROUND(INDEX(Consulta!$A:$DP,MATCH('MM01'!$B126,Consulta!$C:$C,0),'MM01'!AW$2),3),""))</f>
        <v/>
      </c>
      <c r="AX126" s="43" t="str">
        <f t="shared" si="86"/>
        <v/>
      </c>
      <c r="AY126" s="48" t="s">
        <v>299</v>
      </c>
      <c r="AZ126" s="48"/>
      <c r="BA126" s="43" t="str">
        <f>IF(IFERROR(INDEX(Consulta!$A:$DP,MATCH('MM01'!$B126,Consulta!$C:$C,0),'MM01'!BA$2),"")=0,"",IFERROR(INDEX(Consulta!$A:$DP,MATCH('MM01'!$B126,Consulta!$C:$C,0),'MM01'!BA$2),""))</f>
        <v/>
      </c>
      <c r="BB126" s="43" t="str">
        <f t="shared" si="87"/>
        <v/>
      </c>
      <c r="BC126" s="43" t="str">
        <f t="shared" si="88"/>
        <v/>
      </c>
      <c r="BD126" s="43" t="str">
        <f t="shared" si="89"/>
        <v/>
      </c>
      <c r="BE126" s="43" t="str">
        <f t="shared" si="90"/>
        <v>M</v>
      </c>
      <c r="BF126" s="43" t="str">
        <f t="shared" si="91"/>
        <v/>
      </c>
      <c r="BG126" s="43" t="str">
        <f t="shared" si="92"/>
        <v/>
      </c>
      <c r="BH126" s="43" t="str">
        <f t="shared" si="93"/>
        <v/>
      </c>
      <c r="BI126" s="43" t="str">
        <f t="shared" si="94"/>
        <v>M</v>
      </c>
      <c r="BK126" s="45" t="s">
        <v>324</v>
      </c>
      <c r="BL126" s="43" t="str">
        <f>IF(IFERROR(INDEX(Consulta!$A:$DP,MATCH('MM01'!$B126,Consulta!$C:$C,0),'MM01'!BL$2),"")=0,"",IFERROR(INDEX(Consulta!$A:$DP,MATCH('MM01'!$B126,Consulta!$C:$C,0),'MM01'!BL$2),""))</f>
        <v/>
      </c>
      <c r="BM126" s="45"/>
      <c r="BN126" s="46" t="str">
        <f t="shared" ca="1" si="95"/>
        <v/>
      </c>
      <c r="BO126" s="49" t="str">
        <f t="shared" si="96"/>
        <v/>
      </c>
      <c r="BP126" s="50">
        <v>1</v>
      </c>
      <c r="BQ126" s="50" t="s">
        <v>194</v>
      </c>
      <c r="BR126" s="79" t="str">
        <f t="shared" si="81"/>
        <v>01</v>
      </c>
      <c r="BS126" s="50" t="s">
        <v>795</v>
      </c>
      <c r="BT126" s="44">
        <v>1</v>
      </c>
      <c r="BU126" s="44" t="s">
        <v>371</v>
      </c>
      <c r="BV126" s="50" t="s">
        <v>197</v>
      </c>
      <c r="BW126" s="50" t="s">
        <v>197</v>
      </c>
      <c r="BX126" s="43" t="str">
        <f>IF(IFERROR(INDEX(Consulta!$A:$DP,MATCH('MM01'!$B126,Consulta!$C:$C,0),'MM01'!BX$2),"")=0,"",IFERROR(INDEX(Consulta!$A:$DP,MATCH('MM01'!$B126,Consulta!$C:$C,0),'MM01'!BX$2),""))</f>
        <v/>
      </c>
      <c r="BY126" s="44" t="s">
        <v>391</v>
      </c>
      <c r="BZ126" s="50">
        <v>0</v>
      </c>
      <c r="CA126" s="45" t="s">
        <v>402</v>
      </c>
      <c r="CB126" s="45" t="s">
        <v>84</v>
      </c>
      <c r="CC126" s="43" t="str">
        <f t="shared" si="97"/>
        <v/>
      </c>
      <c r="CD126" s="45" t="s">
        <v>38</v>
      </c>
      <c r="CE126" s="45">
        <v>1</v>
      </c>
      <c r="CF126" s="45" t="s">
        <v>495</v>
      </c>
      <c r="CG126" s="45"/>
      <c r="CH126" s="44">
        <v>2</v>
      </c>
      <c r="CI126" s="49" t="str">
        <f t="shared" si="98"/>
        <v/>
      </c>
      <c r="CJ126" s="49" t="str">
        <f t="shared" si="99"/>
        <v/>
      </c>
      <c r="CK126" s="45"/>
      <c r="CL126" s="44">
        <v>1</v>
      </c>
      <c r="CM126" s="50" t="s">
        <v>514</v>
      </c>
      <c r="CN126" s="44" t="s">
        <v>371</v>
      </c>
      <c r="CO126" s="44">
        <v>2</v>
      </c>
      <c r="CP126" s="44">
        <v>42</v>
      </c>
      <c r="CQ126" s="44">
        <v>10</v>
      </c>
      <c r="CR126" s="43" t="str">
        <f t="shared" si="100"/>
        <v>K00_P_</v>
      </c>
      <c r="CS126" s="45">
        <v>5000</v>
      </c>
      <c r="CT126" s="43" t="str">
        <f>IF(IFERROR(INDEX(Consulta!$A:$DP,MATCH('MM01'!$B126,Consulta!$C:$C,0),'MM01'!CT$2),"")=0,"",IFERROR(INDEX(Consulta!$A:$DP,MATCH('MM01'!$B126,Consulta!$C:$C,0),'MM01'!CT$2),""))</f>
        <v/>
      </c>
      <c r="CU126" s="43" t="str">
        <f>IF(IFERROR(INDEX(Consulta!$A:$DP,MATCH('MM01'!$B126,Consulta!$C:$C,0),'MM01'!CU$2),"")=0,"",IFERROR(INDEX(Consulta!$A:$DP,MATCH('MM01'!$B126,Consulta!$C:$C,0),'MM01'!CU$2),""))</f>
        <v/>
      </c>
      <c r="CV126" s="43" t="str">
        <f>IF(IFERROR(INDEX(Consulta!$A:$DP,MATCH('MM01'!$B126,Consulta!$C:$C,0),'MM01'!CV$2),"")=0,"",IFERROR(INDEX(Consulta!$A:$DP,MATCH('MM01'!$B126,Consulta!$C:$C,0),'MM01'!CV$2),""))</f>
        <v/>
      </c>
      <c r="CW126" s="43" t="str">
        <f>IF(IFERROR(INDEX(Consulta!$A:$DP,MATCH('MM01'!$B126,Consulta!$C:$C,0),'MM01'!CW$2),"")=0,"",IFERROR(INDEX(Consulta!$A:$DP,MATCH('MM01'!$B126,Consulta!$C:$C,0),'MM01'!CW$2),""))</f>
        <v/>
      </c>
      <c r="CX126" s="43" t="str">
        <f t="shared" si="101"/>
        <v/>
      </c>
      <c r="CY126" s="43" t="str">
        <f t="shared" si="102"/>
        <v/>
      </c>
      <c r="CZ126" s="43" t="str">
        <f t="shared" si="103"/>
        <v/>
      </c>
      <c r="DA126" s="43" t="str">
        <f>IF(IFERROR(INDEX(Consulta!$A:$DP,MATCH('MM01'!$B126,Consulta!$C:$C,0),'MM01'!DA$2),"")=0,"",IFERROR(INDEX(Consulta!$A:$DP,MATCH('MM01'!$B126,Consulta!$C:$C,0),'MM01'!DA$2),""))</f>
        <v/>
      </c>
      <c r="DB126" s="43" t="str">
        <f t="shared" si="104"/>
        <v/>
      </c>
      <c r="DC126" s="43" t="str">
        <f>IF(IFERROR(INDEX(Consulta!$A:$DP,MATCH('MM01'!$B126,Consulta!$C:$C,0),'MM01'!DC$2),"")=0,"",IFERROR(INDEX(Consulta!$A:$DP,MATCH('MM01'!$B126,Consulta!$C:$C,0),'MM01'!DC$2),""))</f>
        <v/>
      </c>
      <c r="DD126" s="45">
        <v>0</v>
      </c>
      <c r="DE126" s="45">
        <v>0</v>
      </c>
      <c r="DF126" s="43" t="str">
        <f t="shared" si="105"/>
        <v/>
      </c>
      <c r="DG126" s="43" t="str">
        <f t="shared" si="106"/>
        <v/>
      </c>
      <c r="DH126" s="57"/>
      <c r="DI126" s="43" t="str">
        <f t="shared" ca="1" si="107"/>
        <v/>
      </c>
      <c r="DJ126" s="43" t="str">
        <f t="shared" si="108"/>
        <v/>
      </c>
      <c r="DK126" s="43" t="str">
        <f t="shared" si="109"/>
        <v/>
      </c>
      <c r="DL126" s="57"/>
      <c r="DM126" s="43" t="str">
        <f t="shared" ca="1" si="110"/>
        <v/>
      </c>
      <c r="DN126" s="43" t="str">
        <f t="shared" si="111"/>
        <v/>
      </c>
      <c r="DO126" s="43" t="str">
        <f t="shared" si="112"/>
        <v/>
      </c>
      <c r="DP126" s="57"/>
      <c r="DQ126" s="43" t="str">
        <f t="shared" ca="1" si="113"/>
        <v/>
      </c>
      <c r="DR126" s="43" t="str">
        <f t="shared" si="114"/>
        <v/>
      </c>
      <c r="DS126" s="43" t="str">
        <f t="shared" si="115"/>
        <v/>
      </c>
      <c r="DT126" s="57"/>
      <c r="DU126" s="43" t="str">
        <f t="shared" ca="1" si="116"/>
        <v/>
      </c>
      <c r="DV126" s="43" t="str">
        <f t="shared" si="117"/>
        <v/>
      </c>
      <c r="DX126" s="44">
        <v>1</v>
      </c>
      <c r="DY126" s="44" t="s">
        <v>773</v>
      </c>
      <c r="DZ126" s="43">
        <f t="shared" si="118"/>
        <v>0.01</v>
      </c>
      <c r="EA126" s="43" t="str">
        <f t="shared" si="119"/>
        <v>M</v>
      </c>
      <c r="EB126" s="43" t="str">
        <f>IF(IFERROR(INDEX(Consulta!$A:$DP,MATCH('MM01'!$B126,Consulta!$C:$C,0),'MM01'!EB$2),"")=0,"7925",IF(IFERROR(INDEX(Consulta!$A:$DP,MATCH('MM01'!$B126,Consulta!$C:$C,0),'MM01'!EB$2),"")="68","7910","7925"))</f>
        <v>7925</v>
      </c>
      <c r="EC126" s="44">
        <v>100</v>
      </c>
      <c r="ED126" s="62">
        <v>1</v>
      </c>
      <c r="EE126" s="43">
        <f t="shared" si="120"/>
        <v>100</v>
      </c>
      <c r="EF126" s="44">
        <v>1</v>
      </c>
      <c r="EG126" s="44">
        <v>0</v>
      </c>
      <c r="EH126" s="44" t="s">
        <v>875</v>
      </c>
      <c r="EI126" s="45">
        <v>0</v>
      </c>
      <c r="EJ126" s="43">
        <f t="shared" si="121"/>
        <v>5000</v>
      </c>
      <c r="EK126" s="69"/>
    </row>
    <row r="127" spans="1:141" x14ac:dyDescent="0.2">
      <c r="A127" s="7" t="str">
        <f t="shared" si="82"/>
        <v>Execução 123</v>
      </c>
      <c r="B127" s="42"/>
      <c r="C127" s="43" t="str">
        <f>IF(IFERROR(INDEX(Consulta!$A:$DP,MATCH('MM01'!$B127,Consulta!$C:$C,0),'MM01'!C$2),"")=0,"",IFERROR(INDEX(Consulta!$A:$DP,MATCH('MM01'!$B127,Consulta!$C:$C,0),'MM01'!C$2),""))</f>
        <v/>
      </c>
      <c r="D127" s="43" t="str">
        <f>IF(IFERROR(INDEX(Consulta!$A:$DP,MATCH('MM01'!$B127,Consulta!$C:$C,0),'MM01'!D$2),"")=0,"",IFERROR(INDEX(Consulta!$A:$DP,MATCH('MM01'!$B127,Consulta!$C:$C,0),'MM01'!D$2),""))</f>
        <v/>
      </c>
      <c r="E127" s="43" t="str">
        <f>IF(IFERROR(INDEX(Consulta!$A:$DP,MATCH('MM01'!$B127,Consulta!$C:$C,0),'MM01'!E$2),"")=0,"",IFERROR(INDEX(Consulta!$A:$DP,MATCH('MM01'!$B127,Consulta!$C:$C,0),'MM01'!E$2),""))</f>
        <v/>
      </c>
      <c r="F127" s="44" t="s">
        <v>100</v>
      </c>
      <c r="G127" s="49" t="str">
        <f>IF(IFERROR(INDEX(Consulta!$A:$DP,MATCH('MM01'!$B127,Consulta!$C:$C,0),'MM01'!G$2),"")=0,"",IFERROR(INDEX(Consulta!$A:$DP,MATCH('MM01'!$B127,Consulta!$C:$C,0),'MM01'!G$2),""))</f>
        <v/>
      </c>
      <c r="H127" s="49" t="str">
        <f>IF(IFERROR(INDEX(Consulta!$A:$DP,MATCH('MM01'!$B127,Consulta!$C:$C,0),'MM01'!H$2),"")=0,"",IFERROR(INDEX(Consulta!$A:$DP,MATCH('MM01'!$B127,Consulta!$C:$C,0),'MM01'!H$2),""))</f>
        <v/>
      </c>
      <c r="I127" s="49" t="str">
        <f t="shared" si="83"/>
        <v/>
      </c>
      <c r="J127" s="49" t="str">
        <f>IF(IFERROR(INDEX(Consulta!$A:$DP,MATCH('MM01'!$B127,Consulta!$C:$C,0),'MM01'!J$2),"")=0,"",IFERROR(INDEX(Consulta!$A:$DP,MATCH('MM01'!$B127,Consulta!$C:$C,0),'MM01'!J$2),""))</f>
        <v/>
      </c>
      <c r="K127" s="49" t="str">
        <f t="shared" si="84"/>
        <v/>
      </c>
      <c r="M127" s="45" t="s">
        <v>101</v>
      </c>
      <c r="N127" s="45" t="s">
        <v>102</v>
      </c>
      <c r="O127" s="45" t="s">
        <v>103</v>
      </c>
      <c r="P127" s="45" t="s">
        <v>104</v>
      </c>
      <c r="Q127" s="45" t="s">
        <v>105</v>
      </c>
      <c r="R127" s="45" t="s">
        <v>106</v>
      </c>
      <c r="S127" s="45" t="s">
        <v>107</v>
      </c>
      <c r="T127" s="45"/>
      <c r="U127" s="45"/>
      <c r="V127" s="45"/>
      <c r="W127" s="45"/>
      <c r="X127" s="45" t="s">
        <v>112</v>
      </c>
      <c r="Y127" s="45" t="s">
        <v>113</v>
      </c>
      <c r="Z127" s="45" t="s">
        <v>114</v>
      </c>
      <c r="AA127" s="45" t="s">
        <v>115</v>
      </c>
      <c r="AB127" s="45" t="s">
        <v>117</v>
      </c>
      <c r="AC127" s="45" t="s">
        <v>118</v>
      </c>
      <c r="AD127" s="45" t="s">
        <v>119</v>
      </c>
      <c r="AE127" s="45" t="s">
        <v>120</v>
      </c>
      <c r="AF127" s="45" t="s">
        <v>121</v>
      </c>
      <c r="AG127" s="45" t="s">
        <v>122</v>
      </c>
      <c r="AH127" s="45" t="s">
        <v>123</v>
      </c>
      <c r="AI127" s="45" t="s">
        <v>124</v>
      </c>
      <c r="AJ127" s="45" t="s">
        <v>125</v>
      </c>
      <c r="AK127" s="45" t="s">
        <v>126</v>
      </c>
      <c r="AL127" s="45"/>
      <c r="AM127" s="45"/>
      <c r="AO127" s="44" t="s">
        <v>100</v>
      </c>
      <c r="AP127" s="43" t="str">
        <f>IF(IFERROR(INDEX(Consulta!$A:$DP,MATCH('MM01'!$B127,Consulta!$C:$C,0),'MM01'!AP$2),"")=0,"",IFERROR(INDEX(Consulta!$A:$DP,MATCH('MM01'!$B127,Consulta!$C:$C,0),'MM01'!AP$2),""))</f>
        <v/>
      </c>
      <c r="AQ127" s="45"/>
      <c r="AR127" s="43" t="str">
        <f>IF(IFERROR(INDEX(Consulta!$A:$DP,MATCH('MM01'!$B127,Consulta!$C:$C,0),'MM01'!AR$2),"")=0,"",IFERROR(INDEX(Consulta!$A:$DP,MATCH('MM01'!$B127,Consulta!$C:$C,0),'MM01'!AR$2),""))</f>
        <v/>
      </c>
      <c r="AS127" s="43" t="str">
        <f>IF(IFERROR(INDEX(Consulta!$A:$DP,MATCH('MM01'!$B127,Consulta!$C:$C,0),'MM01'!AS$2),"")=0,"",IF(AR127="68",5102,IFERROR(INDEX(Consulta!$A:$DP,MATCH('MM01'!$B127,Consulta!$C:$C,0),'MM01'!AS$2),"")))</f>
        <v/>
      </c>
      <c r="AT127" s="45"/>
      <c r="AU127" s="46" t="str">
        <f t="shared" ca="1" si="85"/>
        <v/>
      </c>
      <c r="AV127" s="47" t="s">
        <v>795</v>
      </c>
      <c r="AW127" s="43" t="str">
        <f>IF(IFERROR(INDEX(Consulta!$A:$DP,MATCH('MM01'!$B127,Consulta!$C:$C,0),'MM01'!AW$2),"")=0,"",IFERROR(ROUND(INDEX(Consulta!$A:$DP,MATCH('MM01'!$B127,Consulta!$C:$C,0),'MM01'!AW$2),3),""))</f>
        <v/>
      </c>
      <c r="AX127" s="43" t="str">
        <f t="shared" si="86"/>
        <v/>
      </c>
      <c r="AY127" s="48" t="s">
        <v>299</v>
      </c>
      <c r="AZ127" s="48"/>
      <c r="BA127" s="43" t="str">
        <f>IF(IFERROR(INDEX(Consulta!$A:$DP,MATCH('MM01'!$B127,Consulta!$C:$C,0),'MM01'!BA$2),"")=0,"",IFERROR(INDEX(Consulta!$A:$DP,MATCH('MM01'!$B127,Consulta!$C:$C,0),'MM01'!BA$2),""))</f>
        <v/>
      </c>
      <c r="BB127" s="43" t="str">
        <f t="shared" si="87"/>
        <v/>
      </c>
      <c r="BC127" s="43" t="str">
        <f t="shared" si="88"/>
        <v/>
      </c>
      <c r="BD127" s="43" t="str">
        <f t="shared" si="89"/>
        <v/>
      </c>
      <c r="BE127" s="43" t="str">
        <f t="shared" si="90"/>
        <v>M</v>
      </c>
      <c r="BF127" s="43" t="str">
        <f t="shared" si="91"/>
        <v/>
      </c>
      <c r="BG127" s="43" t="str">
        <f t="shared" si="92"/>
        <v/>
      </c>
      <c r="BH127" s="43" t="str">
        <f t="shared" si="93"/>
        <v/>
      </c>
      <c r="BI127" s="43" t="str">
        <f t="shared" si="94"/>
        <v>M</v>
      </c>
      <c r="BK127" s="45" t="s">
        <v>324</v>
      </c>
      <c r="BL127" s="43" t="str">
        <f>IF(IFERROR(INDEX(Consulta!$A:$DP,MATCH('MM01'!$B127,Consulta!$C:$C,0),'MM01'!BL$2),"")=0,"",IFERROR(INDEX(Consulta!$A:$DP,MATCH('MM01'!$B127,Consulta!$C:$C,0),'MM01'!BL$2),""))</f>
        <v/>
      </c>
      <c r="BM127" s="45"/>
      <c r="BN127" s="46" t="str">
        <f t="shared" ca="1" si="95"/>
        <v/>
      </c>
      <c r="BO127" s="49" t="str">
        <f t="shared" si="96"/>
        <v/>
      </c>
      <c r="BP127" s="50">
        <v>1</v>
      </c>
      <c r="BQ127" s="50" t="s">
        <v>194</v>
      </c>
      <c r="BR127" s="79" t="str">
        <f t="shared" si="81"/>
        <v>01</v>
      </c>
      <c r="BS127" s="50" t="s">
        <v>795</v>
      </c>
      <c r="BT127" s="44">
        <v>1</v>
      </c>
      <c r="BU127" s="44" t="s">
        <v>371</v>
      </c>
      <c r="BV127" s="50" t="s">
        <v>197</v>
      </c>
      <c r="BW127" s="50" t="s">
        <v>197</v>
      </c>
      <c r="BX127" s="43" t="str">
        <f>IF(IFERROR(INDEX(Consulta!$A:$DP,MATCH('MM01'!$B127,Consulta!$C:$C,0),'MM01'!BX$2),"")=0,"",IFERROR(INDEX(Consulta!$A:$DP,MATCH('MM01'!$B127,Consulta!$C:$C,0),'MM01'!BX$2),""))</f>
        <v/>
      </c>
      <c r="BY127" s="44" t="s">
        <v>391</v>
      </c>
      <c r="BZ127" s="50">
        <v>0</v>
      </c>
      <c r="CA127" s="45" t="s">
        <v>402</v>
      </c>
      <c r="CB127" s="45" t="s">
        <v>84</v>
      </c>
      <c r="CC127" s="43" t="str">
        <f t="shared" si="97"/>
        <v/>
      </c>
      <c r="CD127" s="45" t="s">
        <v>38</v>
      </c>
      <c r="CE127" s="45">
        <v>1</v>
      </c>
      <c r="CF127" s="45" t="s">
        <v>495</v>
      </c>
      <c r="CG127" s="45"/>
      <c r="CH127" s="44">
        <v>2</v>
      </c>
      <c r="CI127" s="49" t="str">
        <f t="shared" si="98"/>
        <v/>
      </c>
      <c r="CJ127" s="49" t="str">
        <f t="shared" si="99"/>
        <v/>
      </c>
      <c r="CK127" s="45"/>
      <c r="CL127" s="44">
        <v>1</v>
      </c>
      <c r="CM127" s="50" t="s">
        <v>514</v>
      </c>
      <c r="CN127" s="44" t="s">
        <v>371</v>
      </c>
      <c r="CO127" s="44">
        <v>2</v>
      </c>
      <c r="CP127" s="44">
        <v>42</v>
      </c>
      <c r="CQ127" s="44">
        <v>10</v>
      </c>
      <c r="CR127" s="43" t="str">
        <f t="shared" si="100"/>
        <v>K00_P_</v>
      </c>
      <c r="CS127" s="45">
        <v>5000</v>
      </c>
      <c r="CT127" s="43" t="str">
        <f>IF(IFERROR(INDEX(Consulta!$A:$DP,MATCH('MM01'!$B127,Consulta!$C:$C,0),'MM01'!CT$2),"")=0,"",IFERROR(INDEX(Consulta!$A:$DP,MATCH('MM01'!$B127,Consulta!$C:$C,0),'MM01'!CT$2),""))</f>
        <v/>
      </c>
      <c r="CU127" s="43" t="str">
        <f>IF(IFERROR(INDEX(Consulta!$A:$DP,MATCH('MM01'!$B127,Consulta!$C:$C,0),'MM01'!CU$2),"")=0,"",IFERROR(INDEX(Consulta!$A:$DP,MATCH('MM01'!$B127,Consulta!$C:$C,0),'MM01'!CU$2),""))</f>
        <v/>
      </c>
      <c r="CV127" s="43" t="str">
        <f>IF(IFERROR(INDEX(Consulta!$A:$DP,MATCH('MM01'!$B127,Consulta!$C:$C,0),'MM01'!CV$2),"")=0,"",IFERROR(INDEX(Consulta!$A:$DP,MATCH('MM01'!$B127,Consulta!$C:$C,0),'MM01'!CV$2),""))</f>
        <v/>
      </c>
      <c r="CW127" s="43" t="str">
        <f>IF(IFERROR(INDEX(Consulta!$A:$DP,MATCH('MM01'!$B127,Consulta!$C:$C,0),'MM01'!CW$2),"")=0,"",IFERROR(INDEX(Consulta!$A:$DP,MATCH('MM01'!$B127,Consulta!$C:$C,0),'MM01'!CW$2),""))</f>
        <v/>
      </c>
      <c r="CX127" s="43" t="str">
        <f t="shared" si="101"/>
        <v/>
      </c>
      <c r="CY127" s="43" t="str">
        <f t="shared" si="102"/>
        <v/>
      </c>
      <c r="CZ127" s="43" t="str">
        <f t="shared" si="103"/>
        <v/>
      </c>
      <c r="DA127" s="43" t="str">
        <f>IF(IFERROR(INDEX(Consulta!$A:$DP,MATCH('MM01'!$B127,Consulta!$C:$C,0),'MM01'!DA$2),"")=0,"",IFERROR(INDEX(Consulta!$A:$DP,MATCH('MM01'!$B127,Consulta!$C:$C,0),'MM01'!DA$2),""))</f>
        <v/>
      </c>
      <c r="DB127" s="43" t="str">
        <f t="shared" si="104"/>
        <v/>
      </c>
      <c r="DC127" s="43" t="str">
        <f>IF(IFERROR(INDEX(Consulta!$A:$DP,MATCH('MM01'!$B127,Consulta!$C:$C,0),'MM01'!DC$2),"")=0,"",IFERROR(INDEX(Consulta!$A:$DP,MATCH('MM01'!$B127,Consulta!$C:$C,0),'MM01'!DC$2),""))</f>
        <v/>
      </c>
      <c r="DD127" s="45">
        <v>0</v>
      </c>
      <c r="DE127" s="45">
        <v>0</v>
      </c>
      <c r="DF127" s="43" t="str">
        <f t="shared" si="105"/>
        <v/>
      </c>
      <c r="DG127" s="43" t="str">
        <f t="shared" si="106"/>
        <v/>
      </c>
      <c r="DH127" s="57"/>
      <c r="DI127" s="43" t="str">
        <f t="shared" ca="1" si="107"/>
        <v/>
      </c>
      <c r="DJ127" s="43" t="str">
        <f t="shared" si="108"/>
        <v/>
      </c>
      <c r="DK127" s="43" t="str">
        <f t="shared" si="109"/>
        <v/>
      </c>
      <c r="DL127" s="57"/>
      <c r="DM127" s="43" t="str">
        <f t="shared" ca="1" si="110"/>
        <v/>
      </c>
      <c r="DN127" s="43" t="str">
        <f t="shared" si="111"/>
        <v/>
      </c>
      <c r="DO127" s="43" t="str">
        <f t="shared" si="112"/>
        <v/>
      </c>
      <c r="DP127" s="57"/>
      <c r="DQ127" s="43" t="str">
        <f t="shared" ca="1" si="113"/>
        <v/>
      </c>
      <c r="DR127" s="43" t="str">
        <f t="shared" si="114"/>
        <v/>
      </c>
      <c r="DS127" s="43" t="str">
        <f t="shared" si="115"/>
        <v/>
      </c>
      <c r="DT127" s="57"/>
      <c r="DU127" s="43" t="str">
        <f t="shared" ca="1" si="116"/>
        <v/>
      </c>
      <c r="DV127" s="43" t="str">
        <f t="shared" si="117"/>
        <v/>
      </c>
      <c r="DX127" s="44">
        <v>1</v>
      </c>
      <c r="DY127" s="44" t="s">
        <v>773</v>
      </c>
      <c r="DZ127" s="43">
        <f t="shared" si="118"/>
        <v>0.01</v>
      </c>
      <c r="EA127" s="43" t="str">
        <f t="shared" si="119"/>
        <v>M</v>
      </c>
      <c r="EB127" s="43" t="str">
        <f>IF(IFERROR(INDEX(Consulta!$A:$DP,MATCH('MM01'!$B127,Consulta!$C:$C,0),'MM01'!EB$2),"")=0,"7925",IF(IFERROR(INDEX(Consulta!$A:$DP,MATCH('MM01'!$B127,Consulta!$C:$C,0),'MM01'!EB$2),"")="68","7910","7925"))</f>
        <v>7925</v>
      </c>
      <c r="EC127" s="44">
        <v>100</v>
      </c>
      <c r="ED127" s="62">
        <v>1</v>
      </c>
      <c r="EE127" s="43">
        <f t="shared" si="120"/>
        <v>100</v>
      </c>
      <c r="EF127" s="44">
        <v>1</v>
      </c>
      <c r="EG127" s="44">
        <v>0</v>
      </c>
      <c r="EH127" s="44" t="s">
        <v>875</v>
      </c>
      <c r="EI127" s="45">
        <v>0</v>
      </c>
      <c r="EJ127" s="43">
        <f t="shared" si="121"/>
        <v>5000</v>
      </c>
      <c r="EK127" s="69"/>
    </row>
    <row r="128" spans="1:141" x14ac:dyDescent="0.2">
      <c r="A128" s="7" t="str">
        <f t="shared" si="82"/>
        <v>Execução 124</v>
      </c>
      <c r="B128" s="42"/>
      <c r="C128" s="43" t="str">
        <f>IF(IFERROR(INDEX(Consulta!$A:$DP,MATCH('MM01'!$B128,Consulta!$C:$C,0),'MM01'!C$2),"")=0,"",IFERROR(INDEX(Consulta!$A:$DP,MATCH('MM01'!$B128,Consulta!$C:$C,0),'MM01'!C$2),""))</f>
        <v/>
      </c>
      <c r="D128" s="43" t="str">
        <f>IF(IFERROR(INDEX(Consulta!$A:$DP,MATCH('MM01'!$B128,Consulta!$C:$C,0),'MM01'!D$2),"")=0,"",IFERROR(INDEX(Consulta!$A:$DP,MATCH('MM01'!$B128,Consulta!$C:$C,0),'MM01'!D$2),""))</f>
        <v/>
      </c>
      <c r="E128" s="43" t="str">
        <f>IF(IFERROR(INDEX(Consulta!$A:$DP,MATCH('MM01'!$B128,Consulta!$C:$C,0),'MM01'!E$2),"")=0,"",IFERROR(INDEX(Consulta!$A:$DP,MATCH('MM01'!$B128,Consulta!$C:$C,0),'MM01'!E$2),""))</f>
        <v/>
      </c>
      <c r="F128" s="44" t="s">
        <v>100</v>
      </c>
      <c r="G128" s="49" t="str">
        <f>IF(IFERROR(INDEX(Consulta!$A:$DP,MATCH('MM01'!$B128,Consulta!$C:$C,0),'MM01'!G$2),"")=0,"",IFERROR(INDEX(Consulta!$A:$DP,MATCH('MM01'!$B128,Consulta!$C:$C,0),'MM01'!G$2),""))</f>
        <v/>
      </c>
      <c r="H128" s="49" t="str">
        <f>IF(IFERROR(INDEX(Consulta!$A:$DP,MATCH('MM01'!$B128,Consulta!$C:$C,0),'MM01'!H$2),"")=0,"",IFERROR(INDEX(Consulta!$A:$DP,MATCH('MM01'!$B128,Consulta!$C:$C,0),'MM01'!H$2),""))</f>
        <v/>
      </c>
      <c r="I128" s="49" t="str">
        <f t="shared" si="83"/>
        <v/>
      </c>
      <c r="J128" s="49" t="str">
        <f>IF(IFERROR(INDEX(Consulta!$A:$DP,MATCH('MM01'!$B128,Consulta!$C:$C,0),'MM01'!J$2),"")=0,"",IFERROR(INDEX(Consulta!$A:$DP,MATCH('MM01'!$B128,Consulta!$C:$C,0),'MM01'!J$2),""))</f>
        <v/>
      </c>
      <c r="K128" s="49" t="str">
        <f t="shared" si="84"/>
        <v/>
      </c>
      <c r="M128" s="45" t="s">
        <v>101</v>
      </c>
      <c r="N128" s="45" t="s">
        <v>102</v>
      </c>
      <c r="O128" s="45" t="s">
        <v>103</v>
      </c>
      <c r="P128" s="45" t="s">
        <v>104</v>
      </c>
      <c r="Q128" s="45" t="s">
        <v>105</v>
      </c>
      <c r="R128" s="45" t="s">
        <v>106</v>
      </c>
      <c r="S128" s="45" t="s">
        <v>107</v>
      </c>
      <c r="T128" s="45"/>
      <c r="U128" s="45"/>
      <c r="V128" s="45"/>
      <c r="W128" s="45"/>
      <c r="X128" s="45" t="s">
        <v>112</v>
      </c>
      <c r="Y128" s="45" t="s">
        <v>113</v>
      </c>
      <c r="Z128" s="45" t="s">
        <v>114</v>
      </c>
      <c r="AA128" s="45" t="s">
        <v>115</v>
      </c>
      <c r="AB128" s="45" t="s">
        <v>117</v>
      </c>
      <c r="AC128" s="45" t="s">
        <v>118</v>
      </c>
      <c r="AD128" s="45" t="s">
        <v>119</v>
      </c>
      <c r="AE128" s="45" t="s">
        <v>120</v>
      </c>
      <c r="AF128" s="45" t="s">
        <v>121</v>
      </c>
      <c r="AG128" s="45" t="s">
        <v>122</v>
      </c>
      <c r="AH128" s="45" t="s">
        <v>123</v>
      </c>
      <c r="AI128" s="45" t="s">
        <v>124</v>
      </c>
      <c r="AJ128" s="45" t="s">
        <v>125</v>
      </c>
      <c r="AK128" s="45" t="s">
        <v>126</v>
      </c>
      <c r="AL128" s="45"/>
      <c r="AM128" s="45"/>
      <c r="AO128" s="44" t="s">
        <v>100</v>
      </c>
      <c r="AP128" s="43" t="str">
        <f>IF(IFERROR(INDEX(Consulta!$A:$DP,MATCH('MM01'!$B128,Consulta!$C:$C,0),'MM01'!AP$2),"")=0,"",IFERROR(INDEX(Consulta!$A:$DP,MATCH('MM01'!$B128,Consulta!$C:$C,0),'MM01'!AP$2),""))</f>
        <v/>
      </c>
      <c r="AQ128" s="45"/>
      <c r="AR128" s="43" t="str">
        <f>IF(IFERROR(INDEX(Consulta!$A:$DP,MATCH('MM01'!$B128,Consulta!$C:$C,0),'MM01'!AR$2),"")=0,"",IFERROR(INDEX(Consulta!$A:$DP,MATCH('MM01'!$B128,Consulta!$C:$C,0),'MM01'!AR$2),""))</f>
        <v/>
      </c>
      <c r="AS128" s="43" t="str">
        <f>IF(IFERROR(INDEX(Consulta!$A:$DP,MATCH('MM01'!$B128,Consulta!$C:$C,0),'MM01'!AS$2),"")=0,"",IF(AR128="68",5102,IFERROR(INDEX(Consulta!$A:$DP,MATCH('MM01'!$B128,Consulta!$C:$C,0),'MM01'!AS$2),"")))</f>
        <v/>
      </c>
      <c r="AT128" s="45"/>
      <c r="AU128" s="46" t="str">
        <f t="shared" ca="1" si="85"/>
        <v/>
      </c>
      <c r="AV128" s="47" t="s">
        <v>795</v>
      </c>
      <c r="AW128" s="43" t="str">
        <f>IF(IFERROR(INDEX(Consulta!$A:$DP,MATCH('MM01'!$B128,Consulta!$C:$C,0),'MM01'!AW$2),"")=0,"",IFERROR(ROUND(INDEX(Consulta!$A:$DP,MATCH('MM01'!$B128,Consulta!$C:$C,0),'MM01'!AW$2),3),""))</f>
        <v/>
      </c>
      <c r="AX128" s="43" t="str">
        <f t="shared" si="86"/>
        <v/>
      </c>
      <c r="AY128" s="48" t="s">
        <v>299</v>
      </c>
      <c r="AZ128" s="48"/>
      <c r="BA128" s="43" t="str">
        <f>IF(IFERROR(INDEX(Consulta!$A:$DP,MATCH('MM01'!$B128,Consulta!$C:$C,0),'MM01'!BA$2),"")=0,"",IFERROR(INDEX(Consulta!$A:$DP,MATCH('MM01'!$B128,Consulta!$C:$C,0),'MM01'!BA$2),""))</f>
        <v/>
      </c>
      <c r="BB128" s="43" t="str">
        <f t="shared" si="87"/>
        <v/>
      </c>
      <c r="BC128" s="43" t="str">
        <f t="shared" si="88"/>
        <v/>
      </c>
      <c r="BD128" s="43" t="str">
        <f t="shared" si="89"/>
        <v/>
      </c>
      <c r="BE128" s="43" t="str">
        <f t="shared" si="90"/>
        <v>M</v>
      </c>
      <c r="BF128" s="43" t="str">
        <f t="shared" si="91"/>
        <v/>
      </c>
      <c r="BG128" s="43" t="str">
        <f t="shared" si="92"/>
        <v/>
      </c>
      <c r="BH128" s="43" t="str">
        <f t="shared" si="93"/>
        <v/>
      </c>
      <c r="BI128" s="43" t="str">
        <f t="shared" si="94"/>
        <v>M</v>
      </c>
      <c r="BK128" s="45" t="s">
        <v>324</v>
      </c>
      <c r="BL128" s="43" t="str">
        <f>IF(IFERROR(INDEX(Consulta!$A:$DP,MATCH('MM01'!$B128,Consulta!$C:$C,0),'MM01'!BL$2),"")=0,"",IFERROR(INDEX(Consulta!$A:$DP,MATCH('MM01'!$B128,Consulta!$C:$C,0),'MM01'!BL$2),""))</f>
        <v/>
      </c>
      <c r="BM128" s="45"/>
      <c r="BN128" s="46" t="str">
        <f t="shared" ca="1" si="95"/>
        <v/>
      </c>
      <c r="BO128" s="49" t="str">
        <f t="shared" si="96"/>
        <v/>
      </c>
      <c r="BP128" s="50">
        <v>1</v>
      </c>
      <c r="BQ128" s="50" t="s">
        <v>194</v>
      </c>
      <c r="BR128" s="79" t="str">
        <f t="shared" si="81"/>
        <v>01</v>
      </c>
      <c r="BS128" s="50" t="s">
        <v>795</v>
      </c>
      <c r="BT128" s="44">
        <v>1</v>
      </c>
      <c r="BU128" s="44" t="s">
        <v>371</v>
      </c>
      <c r="BV128" s="50" t="s">
        <v>197</v>
      </c>
      <c r="BW128" s="50" t="s">
        <v>197</v>
      </c>
      <c r="BX128" s="43" t="str">
        <f>IF(IFERROR(INDEX(Consulta!$A:$DP,MATCH('MM01'!$B128,Consulta!$C:$C,0),'MM01'!BX$2),"")=0,"",IFERROR(INDEX(Consulta!$A:$DP,MATCH('MM01'!$B128,Consulta!$C:$C,0),'MM01'!BX$2),""))</f>
        <v/>
      </c>
      <c r="BY128" s="44" t="s">
        <v>391</v>
      </c>
      <c r="BZ128" s="50">
        <v>0</v>
      </c>
      <c r="CA128" s="45" t="s">
        <v>402</v>
      </c>
      <c r="CB128" s="45" t="s">
        <v>84</v>
      </c>
      <c r="CC128" s="43" t="str">
        <f t="shared" si="97"/>
        <v/>
      </c>
      <c r="CD128" s="45" t="s">
        <v>38</v>
      </c>
      <c r="CE128" s="45">
        <v>1</v>
      </c>
      <c r="CF128" s="45" t="s">
        <v>495</v>
      </c>
      <c r="CG128" s="45"/>
      <c r="CH128" s="44">
        <v>2</v>
      </c>
      <c r="CI128" s="49" t="str">
        <f t="shared" si="98"/>
        <v/>
      </c>
      <c r="CJ128" s="49" t="str">
        <f t="shared" si="99"/>
        <v/>
      </c>
      <c r="CK128" s="45"/>
      <c r="CL128" s="44">
        <v>1</v>
      </c>
      <c r="CM128" s="50" t="s">
        <v>514</v>
      </c>
      <c r="CN128" s="44" t="s">
        <v>371</v>
      </c>
      <c r="CO128" s="44">
        <v>2</v>
      </c>
      <c r="CP128" s="44">
        <v>42</v>
      </c>
      <c r="CQ128" s="44">
        <v>10</v>
      </c>
      <c r="CR128" s="43" t="str">
        <f t="shared" si="100"/>
        <v>K00_P_</v>
      </c>
      <c r="CS128" s="45">
        <v>5000</v>
      </c>
      <c r="CT128" s="43" t="str">
        <f>IF(IFERROR(INDEX(Consulta!$A:$DP,MATCH('MM01'!$B128,Consulta!$C:$C,0),'MM01'!CT$2),"")=0,"",IFERROR(INDEX(Consulta!$A:$DP,MATCH('MM01'!$B128,Consulta!$C:$C,0),'MM01'!CT$2),""))</f>
        <v/>
      </c>
      <c r="CU128" s="43" t="str">
        <f>IF(IFERROR(INDEX(Consulta!$A:$DP,MATCH('MM01'!$B128,Consulta!$C:$C,0),'MM01'!CU$2),"")=0,"",IFERROR(INDEX(Consulta!$A:$DP,MATCH('MM01'!$B128,Consulta!$C:$C,0),'MM01'!CU$2),""))</f>
        <v/>
      </c>
      <c r="CV128" s="43" t="str">
        <f>IF(IFERROR(INDEX(Consulta!$A:$DP,MATCH('MM01'!$B128,Consulta!$C:$C,0),'MM01'!CV$2),"")=0,"",IFERROR(INDEX(Consulta!$A:$DP,MATCH('MM01'!$B128,Consulta!$C:$C,0),'MM01'!CV$2),""))</f>
        <v/>
      </c>
      <c r="CW128" s="43" t="str">
        <f>IF(IFERROR(INDEX(Consulta!$A:$DP,MATCH('MM01'!$B128,Consulta!$C:$C,0),'MM01'!CW$2),"")=0,"",IFERROR(INDEX(Consulta!$A:$DP,MATCH('MM01'!$B128,Consulta!$C:$C,0),'MM01'!CW$2),""))</f>
        <v/>
      </c>
      <c r="CX128" s="43" t="str">
        <f t="shared" si="101"/>
        <v/>
      </c>
      <c r="CY128" s="43" t="str">
        <f t="shared" si="102"/>
        <v/>
      </c>
      <c r="CZ128" s="43" t="str">
        <f t="shared" si="103"/>
        <v/>
      </c>
      <c r="DA128" s="43" t="str">
        <f>IF(IFERROR(INDEX(Consulta!$A:$DP,MATCH('MM01'!$B128,Consulta!$C:$C,0),'MM01'!DA$2),"")=0,"",IFERROR(INDEX(Consulta!$A:$DP,MATCH('MM01'!$B128,Consulta!$C:$C,0),'MM01'!DA$2),""))</f>
        <v/>
      </c>
      <c r="DB128" s="43" t="str">
        <f t="shared" si="104"/>
        <v/>
      </c>
      <c r="DC128" s="43" t="str">
        <f>IF(IFERROR(INDEX(Consulta!$A:$DP,MATCH('MM01'!$B128,Consulta!$C:$C,0),'MM01'!DC$2),"")=0,"",IFERROR(INDEX(Consulta!$A:$DP,MATCH('MM01'!$B128,Consulta!$C:$C,0),'MM01'!DC$2),""))</f>
        <v/>
      </c>
      <c r="DD128" s="45">
        <v>0</v>
      </c>
      <c r="DE128" s="45">
        <v>0</v>
      </c>
      <c r="DF128" s="43" t="str">
        <f t="shared" si="105"/>
        <v/>
      </c>
      <c r="DG128" s="43" t="str">
        <f t="shared" si="106"/>
        <v/>
      </c>
      <c r="DH128" s="57"/>
      <c r="DI128" s="43" t="str">
        <f t="shared" ca="1" si="107"/>
        <v/>
      </c>
      <c r="DJ128" s="43" t="str">
        <f t="shared" si="108"/>
        <v/>
      </c>
      <c r="DK128" s="43" t="str">
        <f t="shared" si="109"/>
        <v/>
      </c>
      <c r="DL128" s="57"/>
      <c r="DM128" s="43" t="str">
        <f t="shared" ca="1" si="110"/>
        <v/>
      </c>
      <c r="DN128" s="43" t="str">
        <f t="shared" si="111"/>
        <v/>
      </c>
      <c r="DO128" s="43" t="str">
        <f t="shared" si="112"/>
        <v/>
      </c>
      <c r="DP128" s="57"/>
      <c r="DQ128" s="43" t="str">
        <f t="shared" ca="1" si="113"/>
        <v/>
      </c>
      <c r="DR128" s="43" t="str">
        <f t="shared" si="114"/>
        <v/>
      </c>
      <c r="DS128" s="43" t="str">
        <f t="shared" si="115"/>
        <v/>
      </c>
      <c r="DT128" s="57"/>
      <c r="DU128" s="43" t="str">
        <f t="shared" ca="1" si="116"/>
        <v/>
      </c>
      <c r="DV128" s="43" t="str">
        <f t="shared" si="117"/>
        <v/>
      </c>
      <c r="DX128" s="44">
        <v>1</v>
      </c>
      <c r="DY128" s="44" t="s">
        <v>773</v>
      </c>
      <c r="DZ128" s="43">
        <f t="shared" si="118"/>
        <v>0.01</v>
      </c>
      <c r="EA128" s="43" t="str">
        <f t="shared" si="119"/>
        <v>M</v>
      </c>
      <c r="EB128" s="43" t="str">
        <f>IF(IFERROR(INDEX(Consulta!$A:$DP,MATCH('MM01'!$B128,Consulta!$C:$C,0),'MM01'!EB$2),"")=0,"7925",IF(IFERROR(INDEX(Consulta!$A:$DP,MATCH('MM01'!$B128,Consulta!$C:$C,0),'MM01'!EB$2),"")="68","7910","7925"))</f>
        <v>7925</v>
      </c>
      <c r="EC128" s="44">
        <v>100</v>
      </c>
      <c r="ED128" s="62">
        <v>1</v>
      </c>
      <c r="EE128" s="43">
        <f t="shared" si="120"/>
        <v>100</v>
      </c>
      <c r="EF128" s="44">
        <v>1</v>
      </c>
      <c r="EG128" s="44">
        <v>0</v>
      </c>
      <c r="EH128" s="44" t="s">
        <v>875</v>
      </c>
      <c r="EI128" s="45">
        <v>0</v>
      </c>
      <c r="EJ128" s="43">
        <f t="shared" si="121"/>
        <v>5000</v>
      </c>
      <c r="EK128" s="69"/>
    </row>
    <row r="129" spans="1:141" x14ac:dyDescent="0.2">
      <c r="A129" s="7" t="str">
        <f t="shared" si="82"/>
        <v>Execução 125</v>
      </c>
      <c r="B129" s="42"/>
      <c r="C129" s="43" t="str">
        <f>IF(IFERROR(INDEX(Consulta!$A:$DP,MATCH('MM01'!$B129,Consulta!$C:$C,0),'MM01'!C$2),"")=0,"",IFERROR(INDEX(Consulta!$A:$DP,MATCH('MM01'!$B129,Consulta!$C:$C,0),'MM01'!C$2),""))</f>
        <v/>
      </c>
      <c r="D129" s="43" t="str">
        <f>IF(IFERROR(INDEX(Consulta!$A:$DP,MATCH('MM01'!$B129,Consulta!$C:$C,0),'MM01'!D$2),"")=0,"",IFERROR(INDEX(Consulta!$A:$DP,MATCH('MM01'!$B129,Consulta!$C:$C,0),'MM01'!D$2),""))</f>
        <v/>
      </c>
      <c r="E129" s="43" t="str">
        <f>IF(IFERROR(INDEX(Consulta!$A:$DP,MATCH('MM01'!$B129,Consulta!$C:$C,0),'MM01'!E$2),"")=0,"",IFERROR(INDEX(Consulta!$A:$DP,MATCH('MM01'!$B129,Consulta!$C:$C,0),'MM01'!E$2),""))</f>
        <v/>
      </c>
      <c r="F129" s="44" t="s">
        <v>100</v>
      </c>
      <c r="G129" s="49" t="str">
        <f>IF(IFERROR(INDEX(Consulta!$A:$DP,MATCH('MM01'!$B129,Consulta!$C:$C,0),'MM01'!G$2),"")=0,"",IFERROR(INDEX(Consulta!$A:$DP,MATCH('MM01'!$B129,Consulta!$C:$C,0),'MM01'!G$2),""))</f>
        <v/>
      </c>
      <c r="H129" s="49" t="str">
        <f>IF(IFERROR(INDEX(Consulta!$A:$DP,MATCH('MM01'!$B129,Consulta!$C:$C,0),'MM01'!H$2),"")=0,"",IFERROR(INDEX(Consulta!$A:$DP,MATCH('MM01'!$B129,Consulta!$C:$C,0),'MM01'!H$2),""))</f>
        <v/>
      </c>
      <c r="I129" s="49" t="str">
        <f t="shared" si="83"/>
        <v/>
      </c>
      <c r="J129" s="49" t="str">
        <f>IF(IFERROR(INDEX(Consulta!$A:$DP,MATCH('MM01'!$B129,Consulta!$C:$C,0),'MM01'!J$2),"")=0,"",IFERROR(INDEX(Consulta!$A:$DP,MATCH('MM01'!$B129,Consulta!$C:$C,0),'MM01'!J$2),""))</f>
        <v/>
      </c>
      <c r="K129" s="49" t="str">
        <f t="shared" si="84"/>
        <v/>
      </c>
      <c r="M129" s="45" t="s">
        <v>101</v>
      </c>
      <c r="N129" s="45" t="s">
        <v>102</v>
      </c>
      <c r="O129" s="45" t="s">
        <v>103</v>
      </c>
      <c r="P129" s="45" t="s">
        <v>104</v>
      </c>
      <c r="Q129" s="45" t="s">
        <v>105</v>
      </c>
      <c r="R129" s="45" t="s">
        <v>106</v>
      </c>
      <c r="S129" s="45" t="s">
        <v>107</v>
      </c>
      <c r="T129" s="45"/>
      <c r="U129" s="45"/>
      <c r="V129" s="45"/>
      <c r="W129" s="45"/>
      <c r="X129" s="45" t="s">
        <v>112</v>
      </c>
      <c r="Y129" s="45" t="s">
        <v>113</v>
      </c>
      <c r="Z129" s="45" t="s">
        <v>114</v>
      </c>
      <c r="AA129" s="45" t="s">
        <v>115</v>
      </c>
      <c r="AB129" s="45" t="s">
        <v>117</v>
      </c>
      <c r="AC129" s="45" t="s">
        <v>118</v>
      </c>
      <c r="AD129" s="45" t="s">
        <v>119</v>
      </c>
      <c r="AE129" s="45" t="s">
        <v>120</v>
      </c>
      <c r="AF129" s="45" t="s">
        <v>121</v>
      </c>
      <c r="AG129" s="45" t="s">
        <v>122</v>
      </c>
      <c r="AH129" s="45" t="s">
        <v>123</v>
      </c>
      <c r="AI129" s="45" t="s">
        <v>124</v>
      </c>
      <c r="AJ129" s="45" t="s">
        <v>125</v>
      </c>
      <c r="AK129" s="45" t="s">
        <v>126</v>
      </c>
      <c r="AL129" s="45"/>
      <c r="AM129" s="45"/>
      <c r="AO129" s="44" t="s">
        <v>100</v>
      </c>
      <c r="AP129" s="43" t="str">
        <f>IF(IFERROR(INDEX(Consulta!$A:$DP,MATCH('MM01'!$B129,Consulta!$C:$C,0),'MM01'!AP$2),"")=0,"",IFERROR(INDEX(Consulta!$A:$DP,MATCH('MM01'!$B129,Consulta!$C:$C,0),'MM01'!AP$2),""))</f>
        <v/>
      </c>
      <c r="AQ129" s="45"/>
      <c r="AR129" s="43" t="str">
        <f>IF(IFERROR(INDEX(Consulta!$A:$DP,MATCH('MM01'!$B129,Consulta!$C:$C,0),'MM01'!AR$2),"")=0,"",IFERROR(INDEX(Consulta!$A:$DP,MATCH('MM01'!$B129,Consulta!$C:$C,0),'MM01'!AR$2),""))</f>
        <v/>
      </c>
      <c r="AS129" s="43" t="str">
        <f>IF(IFERROR(INDEX(Consulta!$A:$DP,MATCH('MM01'!$B129,Consulta!$C:$C,0),'MM01'!AS$2),"")=0,"",IF(AR129="68",5102,IFERROR(INDEX(Consulta!$A:$DP,MATCH('MM01'!$B129,Consulta!$C:$C,0),'MM01'!AS$2),"")))</f>
        <v/>
      </c>
      <c r="AT129" s="45"/>
      <c r="AU129" s="46" t="str">
        <f t="shared" ca="1" si="85"/>
        <v/>
      </c>
      <c r="AV129" s="47" t="s">
        <v>795</v>
      </c>
      <c r="AW129" s="43" t="str">
        <f>IF(IFERROR(INDEX(Consulta!$A:$DP,MATCH('MM01'!$B129,Consulta!$C:$C,0),'MM01'!AW$2),"")=0,"",IFERROR(ROUND(INDEX(Consulta!$A:$DP,MATCH('MM01'!$B129,Consulta!$C:$C,0),'MM01'!AW$2),3),""))</f>
        <v/>
      </c>
      <c r="AX129" s="43" t="str">
        <f t="shared" si="86"/>
        <v/>
      </c>
      <c r="AY129" s="48" t="s">
        <v>299</v>
      </c>
      <c r="AZ129" s="48"/>
      <c r="BA129" s="43" t="str">
        <f>IF(IFERROR(INDEX(Consulta!$A:$DP,MATCH('MM01'!$B129,Consulta!$C:$C,0),'MM01'!BA$2),"")=0,"",IFERROR(INDEX(Consulta!$A:$DP,MATCH('MM01'!$B129,Consulta!$C:$C,0),'MM01'!BA$2),""))</f>
        <v/>
      </c>
      <c r="BB129" s="43" t="str">
        <f t="shared" si="87"/>
        <v/>
      </c>
      <c r="BC129" s="43" t="str">
        <f t="shared" si="88"/>
        <v/>
      </c>
      <c r="BD129" s="43" t="str">
        <f t="shared" si="89"/>
        <v/>
      </c>
      <c r="BE129" s="43" t="str">
        <f t="shared" si="90"/>
        <v>M</v>
      </c>
      <c r="BF129" s="43" t="str">
        <f t="shared" si="91"/>
        <v/>
      </c>
      <c r="BG129" s="43" t="str">
        <f t="shared" si="92"/>
        <v/>
      </c>
      <c r="BH129" s="43" t="str">
        <f t="shared" si="93"/>
        <v/>
      </c>
      <c r="BI129" s="43" t="str">
        <f t="shared" si="94"/>
        <v>M</v>
      </c>
      <c r="BK129" s="45" t="s">
        <v>324</v>
      </c>
      <c r="BL129" s="43" t="str">
        <f>IF(IFERROR(INDEX(Consulta!$A:$DP,MATCH('MM01'!$B129,Consulta!$C:$C,0),'MM01'!BL$2),"")=0,"",IFERROR(INDEX(Consulta!$A:$DP,MATCH('MM01'!$B129,Consulta!$C:$C,0),'MM01'!BL$2),""))</f>
        <v/>
      </c>
      <c r="BM129" s="45"/>
      <c r="BN129" s="46" t="str">
        <f t="shared" ca="1" si="95"/>
        <v/>
      </c>
      <c r="BO129" s="49" t="str">
        <f t="shared" si="96"/>
        <v/>
      </c>
      <c r="BP129" s="50">
        <v>1</v>
      </c>
      <c r="BQ129" s="50" t="s">
        <v>194</v>
      </c>
      <c r="BR129" s="79" t="str">
        <f t="shared" si="81"/>
        <v>01</v>
      </c>
      <c r="BS129" s="50" t="s">
        <v>795</v>
      </c>
      <c r="BT129" s="44">
        <v>1</v>
      </c>
      <c r="BU129" s="44" t="s">
        <v>371</v>
      </c>
      <c r="BV129" s="50" t="s">
        <v>197</v>
      </c>
      <c r="BW129" s="50" t="s">
        <v>197</v>
      </c>
      <c r="BX129" s="43" t="str">
        <f>IF(IFERROR(INDEX(Consulta!$A:$DP,MATCH('MM01'!$B129,Consulta!$C:$C,0),'MM01'!BX$2),"")=0,"",IFERROR(INDEX(Consulta!$A:$DP,MATCH('MM01'!$B129,Consulta!$C:$C,0),'MM01'!BX$2),""))</f>
        <v/>
      </c>
      <c r="BY129" s="44" t="s">
        <v>391</v>
      </c>
      <c r="BZ129" s="50">
        <v>0</v>
      </c>
      <c r="CA129" s="45" t="s">
        <v>402</v>
      </c>
      <c r="CB129" s="45" t="s">
        <v>84</v>
      </c>
      <c r="CC129" s="43" t="str">
        <f t="shared" si="97"/>
        <v/>
      </c>
      <c r="CD129" s="45" t="s">
        <v>38</v>
      </c>
      <c r="CE129" s="45">
        <v>1</v>
      </c>
      <c r="CF129" s="45" t="s">
        <v>495</v>
      </c>
      <c r="CG129" s="45"/>
      <c r="CH129" s="44">
        <v>2</v>
      </c>
      <c r="CI129" s="49" t="str">
        <f t="shared" si="98"/>
        <v/>
      </c>
      <c r="CJ129" s="49" t="str">
        <f t="shared" si="99"/>
        <v/>
      </c>
      <c r="CK129" s="45"/>
      <c r="CL129" s="44">
        <v>1</v>
      </c>
      <c r="CM129" s="50" t="s">
        <v>514</v>
      </c>
      <c r="CN129" s="44" t="s">
        <v>371</v>
      </c>
      <c r="CO129" s="44">
        <v>2</v>
      </c>
      <c r="CP129" s="44">
        <v>42</v>
      </c>
      <c r="CQ129" s="44">
        <v>10</v>
      </c>
      <c r="CR129" s="43" t="str">
        <f t="shared" si="100"/>
        <v>K00_P_</v>
      </c>
      <c r="CS129" s="45">
        <v>5000</v>
      </c>
      <c r="CT129" s="43" t="str">
        <f>IF(IFERROR(INDEX(Consulta!$A:$DP,MATCH('MM01'!$B129,Consulta!$C:$C,0),'MM01'!CT$2),"")=0,"",IFERROR(INDEX(Consulta!$A:$DP,MATCH('MM01'!$B129,Consulta!$C:$C,0),'MM01'!CT$2),""))</f>
        <v/>
      </c>
      <c r="CU129" s="43" t="str">
        <f>IF(IFERROR(INDEX(Consulta!$A:$DP,MATCH('MM01'!$B129,Consulta!$C:$C,0),'MM01'!CU$2),"")=0,"",IFERROR(INDEX(Consulta!$A:$DP,MATCH('MM01'!$B129,Consulta!$C:$C,0),'MM01'!CU$2),""))</f>
        <v/>
      </c>
      <c r="CV129" s="43" t="str">
        <f>IF(IFERROR(INDEX(Consulta!$A:$DP,MATCH('MM01'!$B129,Consulta!$C:$C,0),'MM01'!CV$2),"")=0,"",IFERROR(INDEX(Consulta!$A:$DP,MATCH('MM01'!$B129,Consulta!$C:$C,0),'MM01'!CV$2),""))</f>
        <v/>
      </c>
      <c r="CW129" s="43" t="str">
        <f>IF(IFERROR(INDEX(Consulta!$A:$DP,MATCH('MM01'!$B129,Consulta!$C:$C,0),'MM01'!CW$2),"")=0,"",IFERROR(INDEX(Consulta!$A:$DP,MATCH('MM01'!$B129,Consulta!$C:$C,0),'MM01'!CW$2),""))</f>
        <v/>
      </c>
      <c r="CX129" s="43" t="str">
        <f t="shared" si="101"/>
        <v/>
      </c>
      <c r="CY129" s="43" t="str">
        <f t="shared" si="102"/>
        <v/>
      </c>
      <c r="CZ129" s="43" t="str">
        <f t="shared" si="103"/>
        <v/>
      </c>
      <c r="DA129" s="43" t="str">
        <f>IF(IFERROR(INDEX(Consulta!$A:$DP,MATCH('MM01'!$B129,Consulta!$C:$C,0),'MM01'!DA$2),"")=0,"",IFERROR(INDEX(Consulta!$A:$DP,MATCH('MM01'!$B129,Consulta!$C:$C,0),'MM01'!DA$2),""))</f>
        <v/>
      </c>
      <c r="DB129" s="43" t="str">
        <f t="shared" si="104"/>
        <v/>
      </c>
      <c r="DC129" s="43" t="str">
        <f>IF(IFERROR(INDEX(Consulta!$A:$DP,MATCH('MM01'!$B129,Consulta!$C:$C,0),'MM01'!DC$2),"")=0,"",IFERROR(INDEX(Consulta!$A:$DP,MATCH('MM01'!$B129,Consulta!$C:$C,0),'MM01'!DC$2),""))</f>
        <v/>
      </c>
      <c r="DD129" s="45">
        <v>0</v>
      </c>
      <c r="DE129" s="45">
        <v>0</v>
      </c>
      <c r="DF129" s="43" t="str">
        <f t="shared" si="105"/>
        <v/>
      </c>
      <c r="DG129" s="43" t="str">
        <f t="shared" si="106"/>
        <v/>
      </c>
      <c r="DH129" s="57"/>
      <c r="DI129" s="43" t="str">
        <f t="shared" ca="1" si="107"/>
        <v/>
      </c>
      <c r="DJ129" s="43" t="str">
        <f t="shared" si="108"/>
        <v/>
      </c>
      <c r="DK129" s="43" t="str">
        <f t="shared" si="109"/>
        <v/>
      </c>
      <c r="DL129" s="57"/>
      <c r="DM129" s="43" t="str">
        <f t="shared" ca="1" si="110"/>
        <v/>
      </c>
      <c r="DN129" s="43" t="str">
        <f t="shared" si="111"/>
        <v/>
      </c>
      <c r="DO129" s="43" t="str">
        <f t="shared" si="112"/>
        <v/>
      </c>
      <c r="DP129" s="57"/>
      <c r="DQ129" s="43" t="str">
        <f t="shared" ca="1" si="113"/>
        <v/>
      </c>
      <c r="DR129" s="43" t="str">
        <f t="shared" si="114"/>
        <v/>
      </c>
      <c r="DS129" s="43" t="str">
        <f t="shared" si="115"/>
        <v/>
      </c>
      <c r="DT129" s="57"/>
      <c r="DU129" s="43" t="str">
        <f t="shared" ca="1" si="116"/>
        <v/>
      </c>
      <c r="DV129" s="43" t="str">
        <f t="shared" si="117"/>
        <v/>
      </c>
      <c r="DX129" s="44">
        <v>1</v>
      </c>
      <c r="DY129" s="44" t="s">
        <v>773</v>
      </c>
      <c r="DZ129" s="43">
        <f t="shared" si="118"/>
        <v>0.01</v>
      </c>
      <c r="EA129" s="43" t="str">
        <f t="shared" si="119"/>
        <v>M</v>
      </c>
      <c r="EB129" s="43" t="str">
        <f>IF(IFERROR(INDEX(Consulta!$A:$DP,MATCH('MM01'!$B129,Consulta!$C:$C,0),'MM01'!EB$2),"")=0,"7925",IF(IFERROR(INDEX(Consulta!$A:$DP,MATCH('MM01'!$B129,Consulta!$C:$C,0),'MM01'!EB$2),"")="68","7910","7925"))</f>
        <v>7925</v>
      </c>
      <c r="EC129" s="44">
        <v>100</v>
      </c>
      <c r="ED129" s="62">
        <v>1</v>
      </c>
      <c r="EE129" s="43">
        <f t="shared" si="120"/>
        <v>100</v>
      </c>
      <c r="EF129" s="44">
        <v>1</v>
      </c>
      <c r="EG129" s="44">
        <v>0</v>
      </c>
      <c r="EH129" s="44" t="s">
        <v>875</v>
      </c>
      <c r="EI129" s="45">
        <v>0</v>
      </c>
      <c r="EJ129" s="43">
        <f t="shared" si="121"/>
        <v>5000</v>
      </c>
      <c r="EK129" s="69"/>
    </row>
    <row r="130" spans="1:141" x14ac:dyDescent="0.2">
      <c r="A130" s="7" t="str">
        <f t="shared" si="82"/>
        <v>Execução 126</v>
      </c>
      <c r="B130" s="42"/>
      <c r="C130" s="43" t="str">
        <f>IF(IFERROR(INDEX(Consulta!$A:$DP,MATCH('MM01'!$B130,Consulta!$C:$C,0),'MM01'!C$2),"")=0,"",IFERROR(INDEX(Consulta!$A:$DP,MATCH('MM01'!$B130,Consulta!$C:$C,0),'MM01'!C$2),""))</f>
        <v/>
      </c>
      <c r="D130" s="43" t="str">
        <f>IF(IFERROR(INDEX(Consulta!$A:$DP,MATCH('MM01'!$B130,Consulta!$C:$C,0),'MM01'!D$2),"")=0,"",IFERROR(INDEX(Consulta!$A:$DP,MATCH('MM01'!$B130,Consulta!$C:$C,0),'MM01'!D$2),""))</f>
        <v/>
      </c>
      <c r="E130" s="43" t="str">
        <f>IF(IFERROR(INDEX(Consulta!$A:$DP,MATCH('MM01'!$B130,Consulta!$C:$C,0),'MM01'!E$2),"")=0,"",IFERROR(INDEX(Consulta!$A:$DP,MATCH('MM01'!$B130,Consulta!$C:$C,0),'MM01'!E$2),""))</f>
        <v/>
      </c>
      <c r="F130" s="44" t="s">
        <v>100</v>
      </c>
      <c r="G130" s="49" t="str">
        <f>IF(IFERROR(INDEX(Consulta!$A:$DP,MATCH('MM01'!$B130,Consulta!$C:$C,0),'MM01'!G$2),"")=0,"",IFERROR(INDEX(Consulta!$A:$DP,MATCH('MM01'!$B130,Consulta!$C:$C,0),'MM01'!G$2),""))</f>
        <v/>
      </c>
      <c r="H130" s="49" t="str">
        <f>IF(IFERROR(INDEX(Consulta!$A:$DP,MATCH('MM01'!$B130,Consulta!$C:$C,0),'MM01'!H$2),"")=0,"",IFERROR(INDEX(Consulta!$A:$DP,MATCH('MM01'!$B130,Consulta!$C:$C,0),'MM01'!H$2),""))</f>
        <v/>
      </c>
      <c r="I130" s="49" t="str">
        <f t="shared" si="83"/>
        <v/>
      </c>
      <c r="J130" s="49" t="str">
        <f>IF(IFERROR(INDEX(Consulta!$A:$DP,MATCH('MM01'!$B130,Consulta!$C:$C,0),'MM01'!J$2),"")=0,"",IFERROR(INDEX(Consulta!$A:$DP,MATCH('MM01'!$B130,Consulta!$C:$C,0),'MM01'!J$2),""))</f>
        <v/>
      </c>
      <c r="K130" s="49" t="str">
        <f t="shared" si="84"/>
        <v/>
      </c>
      <c r="M130" s="45" t="s">
        <v>101</v>
      </c>
      <c r="N130" s="45" t="s">
        <v>102</v>
      </c>
      <c r="O130" s="45" t="s">
        <v>103</v>
      </c>
      <c r="P130" s="45" t="s">
        <v>104</v>
      </c>
      <c r="Q130" s="45" t="s">
        <v>105</v>
      </c>
      <c r="R130" s="45" t="s">
        <v>106</v>
      </c>
      <c r="S130" s="45" t="s">
        <v>107</v>
      </c>
      <c r="T130" s="45"/>
      <c r="U130" s="45"/>
      <c r="V130" s="45"/>
      <c r="W130" s="45"/>
      <c r="X130" s="45" t="s">
        <v>112</v>
      </c>
      <c r="Y130" s="45" t="s">
        <v>113</v>
      </c>
      <c r="Z130" s="45" t="s">
        <v>114</v>
      </c>
      <c r="AA130" s="45" t="s">
        <v>115</v>
      </c>
      <c r="AB130" s="45" t="s">
        <v>117</v>
      </c>
      <c r="AC130" s="45" t="s">
        <v>118</v>
      </c>
      <c r="AD130" s="45" t="s">
        <v>119</v>
      </c>
      <c r="AE130" s="45" t="s">
        <v>120</v>
      </c>
      <c r="AF130" s="45" t="s">
        <v>121</v>
      </c>
      <c r="AG130" s="45" t="s">
        <v>122</v>
      </c>
      <c r="AH130" s="45" t="s">
        <v>123</v>
      </c>
      <c r="AI130" s="45" t="s">
        <v>124</v>
      </c>
      <c r="AJ130" s="45" t="s">
        <v>125</v>
      </c>
      <c r="AK130" s="45" t="s">
        <v>126</v>
      </c>
      <c r="AL130" s="45"/>
      <c r="AM130" s="45"/>
      <c r="AO130" s="44" t="s">
        <v>100</v>
      </c>
      <c r="AP130" s="43" t="str">
        <f>IF(IFERROR(INDEX(Consulta!$A:$DP,MATCH('MM01'!$B130,Consulta!$C:$C,0),'MM01'!AP$2),"")=0,"",IFERROR(INDEX(Consulta!$A:$DP,MATCH('MM01'!$B130,Consulta!$C:$C,0),'MM01'!AP$2),""))</f>
        <v/>
      </c>
      <c r="AQ130" s="45"/>
      <c r="AR130" s="43" t="str">
        <f>IF(IFERROR(INDEX(Consulta!$A:$DP,MATCH('MM01'!$B130,Consulta!$C:$C,0),'MM01'!AR$2),"")=0,"",IFERROR(INDEX(Consulta!$A:$DP,MATCH('MM01'!$B130,Consulta!$C:$C,0),'MM01'!AR$2),""))</f>
        <v/>
      </c>
      <c r="AS130" s="43" t="str">
        <f>IF(IFERROR(INDEX(Consulta!$A:$DP,MATCH('MM01'!$B130,Consulta!$C:$C,0),'MM01'!AS$2),"")=0,"",IF(AR130="68",5102,IFERROR(INDEX(Consulta!$A:$DP,MATCH('MM01'!$B130,Consulta!$C:$C,0),'MM01'!AS$2),"")))</f>
        <v/>
      </c>
      <c r="AT130" s="45"/>
      <c r="AU130" s="46" t="str">
        <f t="shared" ca="1" si="85"/>
        <v/>
      </c>
      <c r="AV130" s="47" t="s">
        <v>795</v>
      </c>
      <c r="AW130" s="43" t="str">
        <f>IF(IFERROR(INDEX(Consulta!$A:$DP,MATCH('MM01'!$B130,Consulta!$C:$C,0),'MM01'!AW$2),"")=0,"",IFERROR(ROUND(INDEX(Consulta!$A:$DP,MATCH('MM01'!$B130,Consulta!$C:$C,0),'MM01'!AW$2),3),""))</f>
        <v/>
      </c>
      <c r="AX130" s="43" t="str">
        <f t="shared" si="86"/>
        <v/>
      </c>
      <c r="AY130" s="48" t="s">
        <v>299</v>
      </c>
      <c r="AZ130" s="48"/>
      <c r="BA130" s="43" t="str">
        <f>IF(IFERROR(INDEX(Consulta!$A:$DP,MATCH('MM01'!$B130,Consulta!$C:$C,0),'MM01'!BA$2),"")=0,"",IFERROR(INDEX(Consulta!$A:$DP,MATCH('MM01'!$B130,Consulta!$C:$C,0),'MM01'!BA$2),""))</f>
        <v/>
      </c>
      <c r="BB130" s="43" t="str">
        <f t="shared" si="87"/>
        <v/>
      </c>
      <c r="BC130" s="43" t="str">
        <f t="shared" si="88"/>
        <v/>
      </c>
      <c r="BD130" s="43" t="str">
        <f t="shared" si="89"/>
        <v/>
      </c>
      <c r="BE130" s="43" t="str">
        <f t="shared" si="90"/>
        <v>M</v>
      </c>
      <c r="BF130" s="43" t="str">
        <f t="shared" si="91"/>
        <v/>
      </c>
      <c r="BG130" s="43" t="str">
        <f t="shared" si="92"/>
        <v/>
      </c>
      <c r="BH130" s="43" t="str">
        <f t="shared" si="93"/>
        <v/>
      </c>
      <c r="BI130" s="43" t="str">
        <f t="shared" si="94"/>
        <v>M</v>
      </c>
      <c r="BK130" s="45" t="s">
        <v>324</v>
      </c>
      <c r="BL130" s="43" t="str">
        <f>IF(IFERROR(INDEX(Consulta!$A:$DP,MATCH('MM01'!$B130,Consulta!$C:$C,0),'MM01'!BL$2),"")=0,"",IFERROR(INDEX(Consulta!$A:$DP,MATCH('MM01'!$B130,Consulta!$C:$C,0),'MM01'!BL$2),""))</f>
        <v/>
      </c>
      <c r="BM130" s="45"/>
      <c r="BN130" s="46" t="str">
        <f t="shared" ca="1" si="95"/>
        <v/>
      </c>
      <c r="BO130" s="49" t="str">
        <f t="shared" si="96"/>
        <v/>
      </c>
      <c r="BP130" s="50">
        <v>1</v>
      </c>
      <c r="BQ130" s="50" t="s">
        <v>194</v>
      </c>
      <c r="BR130" s="79" t="str">
        <f t="shared" si="81"/>
        <v>01</v>
      </c>
      <c r="BS130" s="50" t="s">
        <v>795</v>
      </c>
      <c r="BT130" s="44">
        <v>1</v>
      </c>
      <c r="BU130" s="44" t="s">
        <v>371</v>
      </c>
      <c r="BV130" s="50" t="s">
        <v>197</v>
      </c>
      <c r="BW130" s="50" t="s">
        <v>197</v>
      </c>
      <c r="BX130" s="43" t="str">
        <f>IF(IFERROR(INDEX(Consulta!$A:$DP,MATCH('MM01'!$B130,Consulta!$C:$C,0),'MM01'!BX$2),"")=0,"",IFERROR(INDEX(Consulta!$A:$DP,MATCH('MM01'!$B130,Consulta!$C:$C,0),'MM01'!BX$2),""))</f>
        <v/>
      </c>
      <c r="BY130" s="44" t="s">
        <v>391</v>
      </c>
      <c r="BZ130" s="50">
        <v>0</v>
      </c>
      <c r="CA130" s="45" t="s">
        <v>402</v>
      </c>
      <c r="CB130" s="45" t="s">
        <v>84</v>
      </c>
      <c r="CC130" s="43" t="str">
        <f t="shared" si="97"/>
        <v/>
      </c>
      <c r="CD130" s="45" t="s">
        <v>38</v>
      </c>
      <c r="CE130" s="45">
        <v>1</v>
      </c>
      <c r="CF130" s="45" t="s">
        <v>495</v>
      </c>
      <c r="CG130" s="45"/>
      <c r="CH130" s="44">
        <v>2</v>
      </c>
      <c r="CI130" s="49" t="str">
        <f t="shared" si="98"/>
        <v/>
      </c>
      <c r="CJ130" s="49" t="str">
        <f t="shared" si="99"/>
        <v/>
      </c>
      <c r="CK130" s="45"/>
      <c r="CL130" s="44">
        <v>1</v>
      </c>
      <c r="CM130" s="50" t="s">
        <v>514</v>
      </c>
      <c r="CN130" s="44" t="s">
        <v>371</v>
      </c>
      <c r="CO130" s="44">
        <v>2</v>
      </c>
      <c r="CP130" s="44">
        <v>42</v>
      </c>
      <c r="CQ130" s="44">
        <v>10</v>
      </c>
      <c r="CR130" s="43" t="str">
        <f t="shared" si="100"/>
        <v>K00_P_</v>
      </c>
      <c r="CS130" s="45">
        <v>5000</v>
      </c>
      <c r="CT130" s="43" t="str">
        <f>IF(IFERROR(INDEX(Consulta!$A:$DP,MATCH('MM01'!$B130,Consulta!$C:$C,0),'MM01'!CT$2),"")=0,"",IFERROR(INDEX(Consulta!$A:$DP,MATCH('MM01'!$B130,Consulta!$C:$C,0),'MM01'!CT$2),""))</f>
        <v/>
      </c>
      <c r="CU130" s="43" t="str">
        <f>IF(IFERROR(INDEX(Consulta!$A:$DP,MATCH('MM01'!$B130,Consulta!$C:$C,0),'MM01'!CU$2),"")=0,"",IFERROR(INDEX(Consulta!$A:$DP,MATCH('MM01'!$B130,Consulta!$C:$C,0),'MM01'!CU$2),""))</f>
        <v/>
      </c>
      <c r="CV130" s="43" t="str">
        <f>IF(IFERROR(INDEX(Consulta!$A:$DP,MATCH('MM01'!$B130,Consulta!$C:$C,0),'MM01'!CV$2),"")=0,"",IFERROR(INDEX(Consulta!$A:$DP,MATCH('MM01'!$B130,Consulta!$C:$C,0),'MM01'!CV$2),""))</f>
        <v/>
      </c>
      <c r="CW130" s="43" t="str">
        <f>IF(IFERROR(INDEX(Consulta!$A:$DP,MATCH('MM01'!$B130,Consulta!$C:$C,0),'MM01'!CW$2),"")=0,"",IFERROR(INDEX(Consulta!$A:$DP,MATCH('MM01'!$B130,Consulta!$C:$C,0),'MM01'!CW$2),""))</f>
        <v/>
      </c>
      <c r="CX130" s="43" t="str">
        <f t="shared" si="101"/>
        <v/>
      </c>
      <c r="CY130" s="43" t="str">
        <f t="shared" si="102"/>
        <v/>
      </c>
      <c r="CZ130" s="43" t="str">
        <f t="shared" si="103"/>
        <v/>
      </c>
      <c r="DA130" s="43" t="str">
        <f>IF(IFERROR(INDEX(Consulta!$A:$DP,MATCH('MM01'!$B130,Consulta!$C:$C,0),'MM01'!DA$2),"")=0,"",IFERROR(INDEX(Consulta!$A:$DP,MATCH('MM01'!$B130,Consulta!$C:$C,0),'MM01'!DA$2),""))</f>
        <v/>
      </c>
      <c r="DB130" s="43" t="str">
        <f t="shared" si="104"/>
        <v/>
      </c>
      <c r="DC130" s="43" t="str">
        <f>IF(IFERROR(INDEX(Consulta!$A:$DP,MATCH('MM01'!$B130,Consulta!$C:$C,0),'MM01'!DC$2),"")=0,"",IFERROR(INDEX(Consulta!$A:$DP,MATCH('MM01'!$B130,Consulta!$C:$C,0),'MM01'!DC$2),""))</f>
        <v/>
      </c>
      <c r="DD130" s="45">
        <v>0</v>
      </c>
      <c r="DE130" s="45">
        <v>0</v>
      </c>
      <c r="DF130" s="43" t="str">
        <f t="shared" si="105"/>
        <v/>
      </c>
      <c r="DG130" s="43" t="str">
        <f t="shared" si="106"/>
        <v/>
      </c>
      <c r="DH130" s="57"/>
      <c r="DI130" s="43" t="str">
        <f t="shared" ca="1" si="107"/>
        <v/>
      </c>
      <c r="DJ130" s="43" t="str">
        <f t="shared" si="108"/>
        <v/>
      </c>
      <c r="DK130" s="43" t="str">
        <f t="shared" si="109"/>
        <v/>
      </c>
      <c r="DL130" s="57"/>
      <c r="DM130" s="43" t="str">
        <f t="shared" ca="1" si="110"/>
        <v/>
      </c>
      <c r="DN130" s="43" t="str">
        <f t="shared" si="111"/>
        <v/>
      </c>
      <c r="DO130" s="43" t="str">
        <f t="shared" si="112"/>
        <v/>
      </c>
      <c r="DP130" s="57"/>
      <c r="DQ130" s="43" t="str">
        <f t="shared" ca="1" si="113"/>
        <v/>
      </c>
      <c r="DR130" s="43" t="str">
        <f t="shared" si="114"/>
        <v/>
      </c>
      <c r="DS130" s="43" t="str">
        <f t="shared" si="115"/>
        <v/>
      </c>
      <c r="DT130" s="57"/>
      <c r="DU130" s="43" t="str">
        <f t="shared" ca="1" si="116"/>
        <v/>
      </c>
      <c r="DV130" s="43" t="str">
        <f t="shared" si="117"/>
        <v/>
      </c>
      <c r="DX130" s="44">
        <v>1</v>
      </c>
      <c r="DY130" s="44" t="s">
        <v>773</v>
      </c>
      <c r="DZ130" s="43">
        <f t="shared" si="118"/>
        <v>0.01</v>
      </c>
      <c r="EA130" s="43" t="str">
        <f t="shared" si="119"/>
        <v>M</v>
      </c>
      <c r="EB130" s="43" t="str">
        <f>IF(IFERROR(INDEX(Consulta!$A:$DP,MATCH('MM01'!$B130,Consulta!$C:$C,0),'MM01'!EB$2),"")=0,"7925",IF(IFERROR(INDEX(Consulta!$A:$DP,MATCH('MM01'!$B130,Consulta!$C:$C,0),'MM01'!EB$2),"")="68","7910","7925"))</f>
        <v>7925</v>
      </c>
      <c r="EC130" s="44">
        <v>100</v>
      </c>
      <c r="ED130" s="62">
        <v>1</v>
      </c>
      <c r="EE130" s="43">
        <f t="shared" si="120"/>
        <v>100</v>
      </c>
      <c r="EF130" s="44">
        <v>1</v>
      </c>
      <c r="EG130" s="44">
        <v>0</v>
      </c>
      <c r="EH130" s="44" t="s">
        <v>875</v>
      </c>
      <c r="EI130" s="45">
        <v>0</v>
      </c>
      <c r="EJ130" s="43">
        <f t="shared" si="121"/>
        <v>5000</v>
      </c>
      <c r="EK130" s="69"/>
    </row>
    <row r="131" spans="1:141" x14ac:dyDescent="0.2">
      <c r="A131" s="7" t="str">
        <f t="shared" si="82"/>
        <v>Execução 127</v>
      </c>
      <c r="B131" s="42"/>
      <c r="C131" s="43" t="str">
        <f>IF(IFERROR(INDEX(Consulta!$A:$DP,MATCH('MM01'!$B131,Consulta!$C:$C,0),'MM01'!C$2),"")=0,"",IFERROR(INDEX(Consulta!$A:$DP,MATCH('MM01'!$B131,Consulta!$C:$C,0),'MM01'!C$2),""))</f>
        <v/>
      </c>
      <c r="D131" s="43" t="str">
        <f>IF(IFERROR(INDEX(Consulta!$A:$DP,MATCH('MM01'!$B131,Consulta!$C:$C,0),'MM01'!D$2),"")=0,"",IFERROR(INDEX(Consulta!$A:$DP,MATCH('MM01'!$B131,Consulta!$C:$C,0),'MM01'!D$2),""))</f>
        <v/>
      </c>
      <c r="E131" s="43" t="str">
        <f>IF(IFERROR(INDEX(Consulta!$A:$DP,MATCH('MM01'!$B131,Consulta!$C:$C,0),'MM01'!E$2),"")=0,"",IFERROR(INDEX(Consulta!$A:$DP,MATCH('MM01'!$B131,Consulta!$C:$C,0),'MM01'!E$2),""))</f>
        <v/>
      </c>
      <c r="F131" s="44" t="s">
        <v>100</v>
      </c>
      <c r="G131" s="49" t="str">
        <f>IF(IFERROR(INDEX(Consulta!$A:$DP,MATCH('MM01'!$B131,Consulta!$C:$C,0),'MM01'!G$2),"")=0,"",IFERROR(INDEX(Consulta!$A:$DP,MATCH('MM01'!$B131,Consulta!$C:$C,0),'MM01'!G$2),""))</f>
        <v/>
      </c>
      <c r="H131" s="49" t="str">
        <f>IF(IFERROR(INDEX(Consulta!$A:$DP,MATCH('MM01'!$B131,Consulta!$C:$C,0),'MM01'!H$2),"")=0,"",IFERROR(INDEX(Consulta!$A:$DP,MATCH('MM01'!$B131,Consulta!$C:$C,0),'MM01'!H$2),""))</f>
        <v/>
      </c>
      <c r="I131" s="49" t="str">
        <f t="shared" si="83"/>
        <v/>
      </c>
      <c r="J131" s="49" t="str">
        <f>IF(IFERROR(INDEX(Consulta!$A:$DP,MATCH('MM01'!$B131,Consulta!$C:$C,0),'MM01'!J$2),"")=0,"",IFERROR(INDEX(Consulta!$A:$DP,MATCH('MM01'!$B131,Consulta!$C:$C,0),'MM01'!J$2),""))</f>
        <v/>
      </c>
      <c r="K131" s="49" t="str">
        <f t="shared" si="84"/>
        <v/>
      </c>
      <c r="M131" s="45" t="s">
        <v>101</v>
      </c>
      <c r="N131" s="45" t="s">
        <v>102</v>
      </c>
      <c r="O131" s="45" t="s">
        <v>103</v>
      </c>
      <c r="P131" s="45" t="s">
        <v>104</v>
      </c>
      <c r="Q131" s="45" t="s">
        <v>105</v>
      </c>
      <c r="R131" s="45" t="s">
        <v>106</v>
      </c>
      <c r="S131" s="45" t="s">
        <v>107</v>
      </c>
      <c r="T131" s="45"/>
      <c r="U131" s="45"/>
      <c r="V131" s="45"/>
      <c r="W131" s="45"/>
      <c r="X131" s="45" t="s">
        <v>112</v>
      </c>
      <c r="Y131" s="45" t="s">
        <v>113</v>
      </c>
      <c r="Z131" s="45" t="s">
        <v>114</v>
      </c>
      <c r="AA131" s="45" t="s">
        <v>115</v>
      </c>
      <c r="AB131" s="45" t="s">
        <v>117</v>
      </c>
      <c r="AC131" s="45" t="s">
        <v>118</v>
      </c>
      <c r="AD131" s="45" t="s">
        <v>119</v>
      </c>
      <c r="AE131" s="45" t="s">
        <v>120</v>
      </c>
      <c r="AF131" s="45" t="s">
        <v>121</v>
      </c>
      <c r="AG131" s="45" t="s">
        <v>122</v>
      </c>
      <c r="AH131" s="45" t="s">
        <v>123</v>
      </c>
      <c r="AI131" s="45" t="s">
        <v>124</v>
      </c>
      <c r="AJ131" s="45" t="s">
        <v>125</v>
      </c>
      <c r="AK131" s="45" t="s">
        <v>126</v>
      </c>
      <c r="AL131" s="45"/>
      <c r="AM131" s="45"/>
      <c r="AO131" s="44" t="s">
        <v>100</v>
      </c>
      <c r="AP131" s="43" t="str">
        <f>IF(IFERROR(INDEX(Consulta!$A:$DP,MATCH('MM01'!$B131,Consulta!$C:$C,0),'MM01'!AP$2),"")=0,"",IFERROR(INDEX(Consulta!$A:$DP,MATCH('MM01'!$B131,Consulta!$C:$C,0),'MM01'!AP$2),""))</f>
        <v/>
      </c>
      <c r="AQ131" s="45"/>
      <c r="AR131" s="43" t="str">
        <f>IF(IFERROR(INDEX(Consulta!$A:$DP,MATCH('MM01'!$B131,Consulta!$C:$C,0),'MM01'!AR$2),"")=0,"",IFERROR(INDEX(Consulta!$A:$DP,MATCH('MM01'!$B131,Consulta!$C:$C,0),'MM01'!AR$2),""))</f>
        <v/>
      </c>
      <c r="AS131" s="43" t="str">
        <f>IF(IFERROR(INDEX(Consulta!$A:$DP,MATCH('MM01'!$B131,Consulta!$C:$C,0),'MM01'!AS$2),"")=0,"",IF(AR131="68",5102,IFERROR(INDEX(Consulta!$A:$DP,MATCH('MM01'!$B131,Consulta!$C:$C,0),'MM01'!AS$2),"")))</f>
        <v/>
      </c>
      <c r="AT131" s="45"/>
      <c r="AU131" s="46" t="str">
        <f t="shared" ca="1" si="85"/>
        <v/>
      </c>
      <c r="AV131" s="47" t="s">
        <v>795</v>
      </c>
      <c r="AW131" s="43" t="str">
        <f>IF(IFERROR(INDEX(Consulta!$A:$DP,MATCH('MM01'!$B131,Consulta!$C:$C,0),'MM01'!AW$2),"")=0,"",IFERROR(ROUND(INDEX(Consulta!$A:$DP,MATCH('MM01'!$B131,Consulta!$C:$C,0),'MM01'!AW$2),3),""))</f>
        <v/>
      </c>
      <c r="AX131" s="43" t="str">
        <f t="shared" si="86"/>
        <v/>
      </c>
      <c r="AY131" s="48" t="s">
        <v>299</v>
      </c>
      <c r="AZ131" s="48"/>
      <c r="BA131" s="43" t="str">
        <f>IF(IFERROR(INDEX(Consulta!$A:$DP,MATCH('MM01'!$B131,Consulta!$C:$C,0),'MM01'!BA$2),"")=0,"",IFERROR(INDEX(Consulta!$A:$DP,MATCH('MM01'!$B131,Consulta!$C:$C,0),'MM01'!BA$2),""))</f>
        <v/>
      </c>
      <c r="BB131" s="43" t="str">
        <f t="shared" si="87"/>
        <v/>
      </c>
      <c r="BC131" s="43" t="str">
        <f t="shared" si="88"/>
        <v/>
      </c>
      <c r="BD131" s="43" t="str">
        <f t="shared" si="89"/>
        <v/>
      </c>
      <c r="BE131" s="43" t="str">
        <f t="shared" si="90"/>
        <v>M</v>
      </c>
      <c r="BF131" s="43" t="str">
        <f t="shared" si="91"/>
        <v/>
      </c>
      <c r="BG131" s="43" t="str">
        <f t="shared" si="92"/>
        <v/>
      </c>
      <c r="BH131" s="43" t="str">
        <f t="shared" si="93"/>
        <v/>
      </c>
      <c r="BI131" s="43" t="str">
        <f t="shared" si="94"/>
        <v>M</v>
      </c>
      <c r="BK131" s="45" t="s">
        <v>324</v>
      </c>
      <c r="BL131" s="43" t="str">
        <f>IF(IFERROR(INDEX(Consulta!$A:$DP,MATCH('MM01'!$B131,Consulta!$C:$C,0),'MM01'!BL$2),"")=0,"",IFERROR(INDEX(Consulta!$A:$DP,MATCH('MM01'!$B131,Consulta!$C:$C,0),'MM01'!BL$2),""))</f>
        <v/>
      </c>
      <c r="BM131" s="45"/>
      <c r="BN131" s="46" t="str">
        <f t="shared" ca="1" si="95"/>
        <v/>
      </c>
      <c r="BO131" s="49" t="str">
        <f t="shared" si="96"/>
        <v/>
      </c>
      <c r="BP131" s="50">
        <v>1</v>
      </c>
      <c r="BQ131" s="50" t="s">
        <v>194</v>
      </c>
      <c r="BR131" s="79" t="str">
        <f t="shared" si="81"/>
        <v>01</v>
      </c>
      <c r="BS131" s="50" t="s">
        <v>795</v>
      </c>
      <c r="BT131" s="44">
        <v>1</v>
      </c>
      <c r="BU131" s="44" t="s">
        <v>371</v>
      </c>
      <c r="BV131" s="50" t="s">
        <v>197</v>
      </c>
      <c r="BW131" s="50" t="s">
        <v>197</v>
      </c>
      <c r="BX131" s="43" t="str">
        <f>IF(IFERROR(INDEX(Consulta!$A:$DP,MATCH('MM01'!$B131,Consulta!$C:$C,0),'MM01'!BX$2),"")=0,"",IFERROR(INDEX(Consulta!$A:$DP,MATCH('MM01'!$B131,Consulta!$C:$C,0),'MM01'!BX$2),""))</f>
        <v/>
      </c>
      <c r="BY131" s="44" t="s">
        <v>391</v>
      </c>
      <c r="BZ131" s="50">
        <v>0</v>
      </c>
      <c r="CA131" s="45" t="s">
        <v>402</v>
      </c>
      <c r="CB131" s="45" t="s">
        <v>84</v>
      </c>
      <c r="CC131" s="43" t="str">
        <f t="shared" si="97"/>
        <v/>
      </c>
      <c r="CD131" s="45" t="s">
        <v>38</v>
      </c>
      <c r="CE131" s="45">
        <v>1</v>
      </c>
      <c r="CF131" s="45" t="s">
        <v>495</v>
      </c>
      <c r="CG131" s="45"/>
      <c r="CH131" s="44">
        <v>2</v>
      </c>
      <c r="CI131" s="49" t="str">
        <f t="shared" si="98"/>
        <v/>
      </c>
      <c r="CJ131" s="49" t="str">
        <f t="shared" si="99"/>
        <v/>
      </c>
      <c r="CK131" s="45"/>
      <c r="CL131" s="44">
        <v>1</v>
      </c>
      <c r="CM131" s="50" t="s">
        <v>514</v>
      </c>
      <c r="CN131" s="44" t="s">
        <v>371</v>
      </c>
      <c r="CO131" s="44">
        <v>2</v>
      </c>
      <c r="CP131" s="44">
        <v>42</v>
      </c>
      <c r="CQ131" s="44">
        <v>10</v>
      </c>
      <c r="CR131" s="43" t="str">
        <f t="shared" si="100"/>
        <v>K00_P_</v>
      </c>
      <c r="CS131" s="45">
        <v>5000</v>
      </c>
      <c r="CT131" s="43" t="str">
        <f>IF(IFERROR(INDEX(Consulta!$A:$DP,MATCH('MM01'!$B131,Consulta!$C:$C,0),'MM01'!CT$2),"")=0,"",IFERROR(INDEX(Consulta!$A:$DP,MATCH('MM01'!$B131,Consulta!$C:$C,0),'MM01'!CT$2),""))</f>
        <v/>
      </c>
      <c r="CU131" s="43" t="str">
        <f>IF(IFERROR(INDEX(Consulta!$A:$DP,MATCH('MM01'!$B131,Consulta!$C:$C,0),'MM01'!CU$2),"")=0,"",IFERROR(INDEX(Consulta!$A:$DP,MATCH('MM01'!$B131,Consulta!$C:$C,0),'MM01'!CU$2),""))</f>
        <v/>
      </c>
      <c r="CV131" s="43" t="str">
        <f>IF(IFERROR(INDEX(Consulta!$A:$DP,MATCH('MM01'!$B131,Consulta!$C:$C,0),'MM01'!CV$2),"")=0,"",IFERROR(INDEX(Consulta!$A:$DP,MATCH('MM01'!$B131,Consulta!$C:$C,0),'MM01'!CV$2),""))</f>
        <v/>
      </c>
      <c r="CW131" s="43" t="str">
        <f>IF(IFERROR(INDEX(Consulta!$A:$DP,MATCH('MM01'!$B131,Consulta!$C:$C,0),'MM01'!CW$2),"")=0,"",IFERROR(INDEX(Consulta!$A:$DP,MATCH('MM01'!$B131,Consulta!$C:$C,0),'MM01'!CW$2),""))</f>
        <v/>
      </c>
      <c r="CX131" s="43" t="str">
        <f t="shared" si="101"/>
        <v/>
      </c>
      <c r="CY131" s="43" t="str">
        <f t="shared" si="102"/>
        <v/>
      </c>
      <c r="CZ131" s="43" t="str">
        <f t="shared" si="103"/>
        <v/>
      </c>
      <c r="DA131" s="43" t="str">
        <f>IF(IFERROR(INDEX(Consulta!$A:$DP,MATCH('MM01'!$B131,Consulta!$C:$C,0),'MM01'!DA$2),"")=0,"",IFERROR(INDEX(Consulta!$A:$DP,MATCH('MM01'!$B131,Consulta!$C:$C,0),'MM01'!DA$2),""))</f>
        <v/>
      </c>
      <c r="DB131" s="43" t="str">
        <f t="shared" si="104"/>
        <v/>
      </c>
      <c r="DC131" s="43" t="str">
        <f>IF(IFERROR(INDEX(Consulta!$A:$DP,MATCH('MM01'!$B131,Consulta!$C:$C,0),'MM01'!DC$2),"")=0,"",IFERROR(INDEX(Consulta!$A:$DP,MATCH('MM01'!$B131,Consulta!$C:$C,0),'MM01'!DC$2),""))</f>
        <v/>
      </c>
      <c r="DD131" s="45">
        <v>0</v>
      </c>
      <c r="DE131" s="45">
        <v>0</v>
      </c>
      <c r="DF131" s="43" t="str">
        <f t="shared" si="105"/>
        <v/>
      </c>
      <c r="DG131" s="43" t="str">
        <f t="shared" si="106"/>
        <v/>
      </c>
      <c r="DH131" s="57"/>
      <c r="DI131" s="43" t="str">
        <f t="shared" ca="1" si="107"/>
        <v/>
      </c>
      <c r="DJ131" s="43" t="str">
        <f t="shared" si="108"/>
        <v/>
      </c>
      <c r="DK131" s="43" t="str">
        <f t="shared" si="109"/>
        <v/>
      </c>
      <c r="DL131" s="57"/>
      <c r="DM131" s="43" t="str">
        <f t="shared" ca="1" si="110"/>
        <v/>
      </c>
      <c r="DN131" s="43" t="str">
        <f t="shared" si="111"/>
        <v/>
      </c>
      <c r="DO131" s="43" t="str">
        <f t="shared" si="112"/>
        <v/>
      </c>
      <c r="DP131" s="57"/>
      <c r="DQ131" s="43" t="str">
        <f t="shared" ca="1" si="113"/>
        <v/>
      </c>
      <c r="DR131" s="43" t="str">
        <f t="shared" si="114"/>
        <v/>
      </c>
      <c r="DS131" s="43" t="str">
        <f t="shared" si="115"/>
        <v/>
      </c>
      <c r="DT131" s="57"/>
      <c r="DU131" s="43" t="str">
        <f t="shared" ca="1" si="116"/>
        <v/>
      </c>
      <c r="DV131" s="43" t="str">
        <f t="shared" si="117"/>
        <v/>
      </c>
      <c r="DX131" s="44">
        <v>1</v>
      </c>
      <c r="DY131" s="44" t="s">
        <v>773</v>
      </c>
      <c r="DZ131" s="43">
        <f t="shared" si="118"/>
        <v>0.01</v>
      </c>
      <c r="EA131" s="43" t="str">
        <f t="shared" si="119"/>
        <v>M</v>
      </c>
      <c r="EB131" s="43" t="str">
        <f>IF(IFERROR(INDEX(Consulta!$A:$DP,MATCH('MM01'!$B131,Consulta!$C:$C,0),'MM01'!EB$2),"")=0,"7925",IF(IFERROR(INDEX(Consulta!$A:$DP,MATCH('MM01'!$B131,Consulta!$C:$C,0),'MM01'!EB$2),"")="68","7910","7925"))</f>
        <v>7925</v>
      </c>
      <c r="EC131" s="44">
        <v>100</v>
      </c>
      <c r="ED131" s="62">
        <v>1</v>
      </c>
      <c r="EE131" s="43">
        <f t="shared" si="120"/>
        <v>100</v>
      </c>
      <c r="EF131" s="44">
        <v>1</v>
      </c>
      <c r="EG131" s="44">
        <v>0</v>
      </c>
      <c r="EH131" s="44" t="s">
        <v>875</v>
      </c>
      <c r="EI131" s="45">
        <v>0</v>
      </c>
      <c r="EJ131" s="43">
        <f t="shared" si="121"/>
        <v>5000</v>
      </c>
      <c r="EK131" s="69"/>
    </row>
    <row r="132" spans="1:141" x14ac:dyDescent="0.2">
      <c r="A132" s="7" t="str">
        <f t="shared" si="82"/>
        <v>Execução 128</v>
      </c>
      <c r="B132" s="42"/>
      <c r="C132" s="43" t="str">
        <f>IF(IFERROR(INDEX(Consulta!$A:$DP,MATCH('MM01'!$B132,Consulta!$C:$C,0),'MM01'!C$2),"")=0,"",IFERROR(INDEX(Consulta!$A:$DP,MATCH('MM01'!$B132,Consulta!$C:$C,0),'MM01'!C$2),""))</f>
        <v/>
      </c>
      <c r="D132" s="43" t="str">
        <f>IF(IFERROR(INDEX(Consulta!$A:$DP,MATCH('MM01'!$B132,Consulta!$C:$C,0),'MM01'!D$2),"")=0,"",IFERROR(INDEX(Consulta!$A:$DP,MATCH('MM01'!$B132,Consulta!$C:$C,0),'MM01'!D$2),""))</f>
        <v/>
      </c>
      <c r="E132" s="43" t="str">
        <f>IF(IFERROR(INDEX(Consulta!$A:$DP,MATCH('MM01'!$B132,Consulta!$C:$C,0),'MM01'!E$2),"")=0,"",IFERROR(INDEX(Consulta!$A:$DP,MATCH('MM01'!$B132,Consulta!$C:$C,0),'MM01'!E$2),""))</f>
        <v/>
      </c>
      <c r="F132" s="44" t="s">
        <v>100</v>
      </c>
      <c r="G132" s="49" t="str">
        <f>IF(IFERROR(INDEX(Consulta!$A:$DP,MATCH('MM01'!$B132,Consulta!$C:$C,0),'MM01'!G$2),"")=0,"",IFERROR(INDEX(Consulta!$A:$DP,MATCH('MM01'!$B132,Consulta!$C:$C,0),'MM01'!G$2),""))</f>
        <v/>
      </c>
      <c r="H132" s="49" t="str">
        <f>IF(IFERROR(INDEX(Consulta!$A:$DP,MATCH('MM01'!$B132,Consulta!$C:$C,0),'MM01'!H$2),"")=0,"",IFERROR(INDEX(Consulta!$A:$DP,MATCH('MM01'!$B132,Consulta!$C:$C,0),'MM01'!H$2),""))</f>
        <v/>
      </c>
      <c r="I132" s="49" t="str">
        <f t="shared" si="83"/>
        <v/>
      </c>
      <c r="J132" s="49" t="str">
        <f>IF(IFERROR(INDEX(Consulta!$A:$DP,MATCH('MM01'!$B132,Consulta!$C:$C,0),'MM01'!J$2),"")=0,"",IFERROR(INDEX(Consulta!$A:$DP,MATCH('MM01'!$B132,Consulta!$C:$C,0),'MM01'!J$2),""))</f>
        <v/>
      </c>
      <c r="K132" s="49" t="str">
        <f t="shared" si="84"/>
        <v/>
      </c>
      <c r="M132" s="45" t="s">
        <v>101</v>
      </c>
      <c r="N132" s="45" t="s">
        <v>102</v>
      </c>
      <c r="O132" s="45" t="s">
        <v>103</v>
      </c>
      <c r="P132" s="45" t="s">
        <v>104</v>
      </c>
      <c r="Q132" s="45" t="s">
        <v>105</v>
      </c>
      <c r="R132" s="45" t="s">
        <v>106</v>
      </c>
      <c r="S132" s="45" t="s">
        <v>107</v>
      </c>
      <c r="T132" s="45"/>
      <c r="U132" s="45"/>
      <c r="V132" s="45"/>
      <c r="W132" s="45"/>
      <c r="X132" s="45" t="s">
        <v>112</v>
      </c>
      <c r="Y132" s="45" t="s">
        <v>113</v>
      </c>
      <c r="Z132" s="45" t="s">
        <v>114</v>
      </c>
      <c r="AA132" s="45" t="s">
        <v>115</v>
      </c>
      <c r="AB132" s="45" t="s">
        <v>117</v>
      </c>
      <c r="AC132" s="45" t="s">
        <v>118</v>
      </c>
      <c r="AD132" s="45" t="s">
        <v>119</v>
      </c>
      <c r="AE132" s="45" t="s">
        <v>120</v>
      </c>
      <c r="AF132" s="45" t="s">
        <v>121</v>
      </c>
      <c r="AG132" s="45" t="s">
        <v>122</v>
      </c>
      <c r="AH132" s="45" t="s">
        <v>123</v>
      </c>
      <c r="AI132" s="45" t="s">
        <v>124</v>
      </c>
      <c r="AJ132" s="45" t="s">
        <v>125</v>
      </c>
      <c r="AK132" s="45" t="s">
        <v>126</v>
      </c>
      <c r="AL132" s="45"/>
      <c r="AM132" s="45"/>
      <c r="AO132" s="44" t="s">
        <v>100</v>
      </c>
      <c r="AP132" s="43" t="str">
        <f>IF(IFERROR(INDEX(Consulta!$A:$DP,MATCH('MM01'!$B132,Consulta!$C:$C,0),'MM01'!AP$2),"")=0,"",IFERROR(INDEX(Consulta!$A:$DP,MATCH('MM01'!$B132,Consulta!$C:$C,0),'MM01'!AP$2),""))</f>
        <v/>
      </c>
      <c r="AQ132" s="45"/>
      <c r="AR132" s="43" t="str">
        <f>IF(IFERROR(INDEX(Consulta!$A:$DP,MATCH('MM01'!$B132,Consulta!$C:$C,0),'MM01'!AR$2),"")=0,"",IFERROR(INDEX(Consulta!$A:$DP,MATCH('MM01'!$B132,Consulta!$C:$C,0),'MM01'!AR$2),""))</f>
        <v/>
      </c>
      <c r="AS132" s="43" t="str">
        <f>IF(IFERROR(INDEX(Consulta!$A:$DP,MATCH('MM01'!$B132,Consulta!$C:$C,0),'MM01'!AS$2),"")=0,"",IF(AR132="68",5102,IFERROR(INDEX(Consulta!$A:$DP,MATCH('MM01'!$B132,Consulta!$C:$C,0),'MM01'!AS$2),"")))</f>
        <v/>
      </c>
      <c r="AT132" s="45"/>
      <c r="AU132" s="46" t="str">
        <f t="shared" ca="1" si="85"/>
        <v/>
      </c>
      <c r="AV132" s="47" t="s">
        <v>795</v>
      </c>
      <c r="AW132" s="43" t="str">
        <f>IF(IFERROR(INDEX(Consulta!$A:$DP,MATCH('MM01'!$B132,Consulta!$C:$C,0),'MM01'!AW$2),"")=0,"",IFERROR(ROUND(INDEX(Consulta!$A:$DP,MATCH('MM01'!$B132,Consulta!$C:$C,0),'MM01'!AW$2),3),""))</f>
        <v/>
      </c>
      <c r="AX132" s="43" t="str">
        <f t="shared" si="86"/>
        <v/>
      </c>
      <c r="AY132" s="48" t="s">
        <v>299</v>
      </c>
      <c r="AZ132" s="48"/>
      <c r="BA132" s="43" t="str">
        <f>IF(IFERROR(INDEX(Consulta!$A:$DP,MATCH('MM01'!$B132,Consulta!$C:$C,0),'MM01'!BA$2),"")=0,"",IFERROR(INDEX(Consulta!$A:$DP,MATCH('MM01'!$B132,Consulta!$C:$C,0),'MM01'!BA$2),""))</f>
        <v/>
      </c>
      <c r="BB132" s="43" t="str">
        <f t="shared" si="87"/>
        <v/>
      </c>
      <c r="BC132" s="43" t="str">
        <f t="shared" si="88"/>
        <v/>
      </c>
      <c r="BD132" s="43" t="str">
        <f t="shared" si="89"/>
        <v/>
      </c>
      <c r="BE132" s="43" t="str">
        <f t="shared" si="90"/>
        <v>M</v>
      </c>
      <c r="BF132" s="43" t="str">
        <f t="shared" si="91"/>
        <v/>
      </c>
      <c r="BG132" s="43" t="str">
        <f t="shared" si="92"/>
        <v/>
      </c>
      <c r="BH132" s="43" t="str">
        <f t="shared" si="93"/>
        <v/>
      </c>
      <c r="BI132" s="43" t="str">
        <f t="shared" si="94"/>
        <v>M</v>
      </c>
      <c r="BK132" s="45" t="s">
        <v>324</v>
      </c>
      <c r="BL132" s="43" t="str">
        <f>IF(IFERROR(INDEX(Consulta!$A:$DP,MATCH('MM01'!$B132,Consulta!$C:$C,0),'MM01'!BL$2),"")=0,"",IFERROR(INDEX(Consulta!$A:$DP,MATCH('MM01'!$B132,Consulta!$C:$C,0),'MM01'!BL$2),""))</f>
        <v/>
      </c>
      <c r="BM132" s="45"/>
      <c r="BN132" s="46" t="str">
        <f t="shared" ca="1" si="95"/>
        <v/>
      </c>
      <c r="BO132" s="49" t="str">
        <f t="shared" si="96"/>
        <v/>
      </c>
      <c r="BP132" s="50">
        <v>1</v>
      </c>
      <c r="BQ132" s="50" t="s">
        <v>194</v>
      </c>
      <c r="BR132" s="79" t="str">
        <f t="shared" si="81"/>
        <v>01</v>
      </c>
      <c r="BS132" s="50" t="s">
        <v>795</v>
      </c>
      <c r="BT132" s="44">
        <v>1</v>
      </c>
      <c r="BU132" s="44" t="s">
        <v>371</v>
      </c>
      <c r="BV132" s="50" t="s">
        <v>197</v>
      </c>
      <c r="BW132" s="50" t="s">
        <v>197</v>
      </c>
      <c r="BX132" s="43" t="str">
        <f>IF(IFERROR(INDEX(Consulta!$A:$DP,MATCH('MM01'!$B132,Consulta!$C:$C,0),'MM01'!BX$2),"")=0,"",IFERROR(INDEX(Consulta!$A:$DP,MATCH('MM01'!$B132,Consulta!$C:$C,0),'MM01'!BX$2),""))</f>
        <v/>
      </c>
      <c r="BY132" s="44" t="s">
        <v>391</v>
      </c>
      <c r="BZ132" s="50">
        <v>0</v>
      </c>
      <c r="CA132" s="45" t="s">
        <v>402</v>
      </c>
      <c r="CB132" s="45" t="s">
        <v>84</v>
      </c>
      <c r="CC132" s="43" t="str">
        <f t="shared" si="97"/>
        <v/>
      </c>
      <c r="CD132" s="45" t="s">
        <v>38</v>
      </c>
      <c r="CE132" s="45">
        <v>1</v>
      </c>
      <c r="CF132" s="45" t="s">
        <v>495</v>
      </c>
      <c r="CG132" s="45"/>
      <c r="CH132" s="44">
        <v>2</v>
      </c>
      <c r="CI132" s="49" t="str">
        <f t="shared" si="98"/>
        <v/>
      </c>
      <c r="CJ132" s="49" t="str">
        <f t="shared" si="99"/>
        <v/>
      </c>
      <c r="CK132" s="45"/>
      <c r="CL132" s="44">
        <v>1</v>
      </c>
      <c r="CM132" s="50" t="s">
        <v>514</v>
      </c>
      <c r="CN132" s="44" t="s">
        <v>371</v>
      </c>
      <c r="CO132" s="44">
        <v>2</v>
      </c>
      <c r="CP132" s="44">
        <v>42</v>
      </c>
      <c r="CQ132" s="44">
        <v>10</v>
      </c>
      <c r="CR132" s="43" t="str">
        <f t="shared" si="100"/>
        <v>K00_P_</v>
      </c>
      <c r="CS132" s="45">
        <v>5000</v>
      </c>
      <c r="CT132" s="43" t="str">
        <f>IF(IFERROR(INDEX(Consulta!$A:$DP,MATCH('MM01'!$B132,Consulta!$C:$C,0),'MM01'!CT$2),"")=0,"",IFERROR(INDEX(Consulta!$A:$DP,MATCH('MM01'!$B132,Consulta!$C:$C,0),'MM01'!CT$2),""))</f>
        <v/>
      </c>
      <c r="CU132" s="43" t="str">
        <f>IF(IFERROR(INDEX(Consulta!$A:$DP,MATCH('MM01'!$B132,Consulta!$C:$C,0),'MM01'!CU$2),"")=0,"",IFERROR(INDEX(Consulta!$A:$DP,MATCH('MM01'!$B132,Consulta!$C:$C,0),'MM01'!CU$2),""))</f>
        <v/>
      </c>
      <c r="CV132" s="43" t="str">
        <f>IF(IFERROR(INDEX(Consulta!$A:$DP,MATCH('MM01'!$B132,Consulta!$C:$C,0),'MM01'!CV$2),"")=0,"",IFERROR(INDEX(Consulta!$A:$DP,MATCH('MM01'!$B132,Consulta!$C:$C,0),'MM01'!CV$2),""))</f>
        <v/>
      </c>
      <c r="CW132" s="43" t="str">
        <f>IF(IFERROR(INDEX(Consulta!$A:$DP,MATCH('MM01'!$B132,Consulta!$C:$C,0),'MM01'!CW$2),"")=0,"",IFERROR(INDEX(Consulta!$A:$DP,MATCH('MM01'!$B132,Consulta!$C:$C,0),'MM01'!CW$2),""))</f>
        <v/>
      </c>
      <c r="CX132" s="43" t="str">
        <f t="shared" si="101"/>
        <v/>
      </c>
      <c r="CY132" s="43" t="str">
        <f t="shared" si="102"/>
        <v/>
      </c>
      <c r="CZ132" s="43" t="str">
        <f t="shared" si="103"/>
        <v/>
      </c>
      <c r="DA132" s="43" t="str">
        <f>IF(IFERROR(INDEX(Consulta!$A:$DP,MATCH('MM01'!$B132,Consulta!$C:$C,0),'MM01'!DA$2),"")=0,"",IFERROR(INDEX(Consulta!$A:$DP,MATCH('MM01'!$B132,Consulta!$C:$C,0),'MM01'!DA$2),""))</f>
        <v/>
      </c>
      <c r="DB132" s="43" t="str">
        <f t="shared" si="104"/>
        <v/>
      </c>
      <c r="DC132" s="43" t="str">
        <f>IF(IFERROR(INDEX(Consulta!$A:$DP,MATCH('MM01'!$B132,Consulta!$C:$C,0),'MM01'!DC$2),"")=0,"",IFERROR(INDEX(Consulta!$A:$DP,MATCH('MM01'!$B132,Consulta!$C:$C,0),'MM01'!DC$2),""))</f>
        <v/>
      </c>
      <c r="DD132" s="45">
        <v>0</v>
      </c>
      <c r="DE132" s="45">
        <v>0</v>
      </c>
      <c r="DF132" s="43" t="str">
        <f t="shared" si="105"/>
        <v/>
      </c>
      <c r="DG132" s="43" t="str">
        <f t="shared" si="106"/>
        <v/>
      </c>
      <c r="DH132" s="57"/>
      <c r="DI132" s="43" t="str">
        <f t="shared" ca="1" si="107"/>
        <v/>
      </c>
      <c r="DJ132" s="43" t="str">
        <f t="shared" si="108"/>
        <v/>
      </c>
      <c r="DK132" s="43" t="str">
        <f t="shared" si="109"/>
        <v/>
      </c>
      <c r="DL132" s="57"/>
      <c r="DM132" s="43" t="str">
        <f t="shared" ca="1" si="110"/>
        <v/>
      </c>
      <c r="DN132" s="43" t="str">
        <f t="shared" si="111"/>
        <v/>
      </c>
      <c r="DO132" s="43" t="str">
        <f t="shared" si="112"/>
        <v/>
      </c>
      <c r="DP132" s="57"/>
      <c r="DQ132" s="43" t="str">
        <f t="shared" ca="1" si="113"/>
        <v/>
      </c>
      <c r="DR132" s="43" t="str">
        <f t="shared" si="114"/>
        <v/>
      </c>
      <c r="DS132" s="43" t="str">
        <f t="shared" si="115"/>
        <v/>
      </c>
      <c r="DT132" s="57"/>
      <c r="DU132" s="43" t="str">
        <f t="shared" ca="1" si="116"/>
        <v/>
      </c>
      <c r="DV132" s="43" t="str">
        <f t="shared" si="117"/>
        <v/>
      </c>
      <c r="DX132" s="44">
        <v>1</v>
      </c>
      <c r="DY132" s="44" t="s">
        <v>773</v>
      </c>
      <c r="DZ132" s="43">
        <f t="shared" si="118"/>
        <v>0.01</v>
      </c>
      <c r="EA132" s="43" t="str">
        <f t="shared" si="119"/>
        <v>M</v>
      </c>
      <c r="EB132" s="43" t="str">
        <f>IF(IFERROR(INDEX(Consulta!$A:$DP,MATCH('MM01'!$B132,Consulta!$C:$C,0),'MM01'!EB$2),"")=0,"7925",IF(IFERROR(INDEX(Consulta!$A:$DP,MATCH('MM01'!$B132,Consulta!$C:$C,0),'MM01'!EB$2),"")="68","7910","7925"))</f>
        <v>7925</v>
      </c>
      <c r="EC132" s="44">
        <v>100</v>
      </c>
      <c r="ED132" s="62">
        <v>1</v>
      </c>
      <c r="EE132" s="43">
        <f t="shared" si="120"/>
        <v>100</v>
      </c>
      <c r="EF132" s="44">
        <v>1</v>
      </c>
      <c r="EG132" s="44">
        <v>0</v>
      </c>
      <c r="EH132" s="44" t="s">
        <v>875</v>
      </c>
      <c r="EI132" s="45">
        <v>0</v>
      </c>
      <c r="EJ132" s="43">
        <f t="shared" si="121"/>
        <v>5000</v>
      </c>
      <c r="EK132" s="69"/>
    </row>
    <row r="133" spans="1:141" x14ac:dyDescent="0.2">
      <c r="A133" s="7" t="str">
        <f t="shared" si="82"/>
        <v>Execução 129</v>
      </c>
      <c r="B133" s="42"/>
      <c r="C133" s="43" t="str">
        <f>IF(IFERROR(INDEX(Consulta!$A:$DP,MATCH('MM01'!$B133,Consulta!$C:$C,0),'MM01'!C$2),"")=0,"",IFERROR(INDEX(Consulta!$A:$DP,MATCH('MM01'!$B133,Consulta!$C:$C,0),'MM01'!C$2),""))</f>
        <v/>
      </c>
      <c r="D133" s="43" t="str">
        <f>IF(IFERROR(INDEX(Consulta!$A:$DP,MATCH('MM01'!$B133,Consulta!$C:$C,0),'MM01'!D$2),"")=0,"",IFERROR(INDEX(Consulta!$A:$DP,MATCH('MM01'!$B133,Consulta!$C:$C,0),'MM01'!D$2),""))</f>
        <v/>
      </c>
      <c r="E133" s="43" t="str">
        <f>IF(IFERROR(INDEX(Consulta!$A:$DP,MATCH('MM01'!$B133,Consulta!$C:$C,0),'MM01'!E$2),"")=0,"",IFERROR(INDEX(Consulta!$A:$DP,MATCH('MM01'!$B133,Consulta!$C:$C,0),'MM01'!E$2),""))</f>
        <v/>
      </c>
      <c r="F133" s="44" t="s">
        <v>100</v>
      </c>
      <c r="G133" s="49" t="str">
        <f>IF(IFERROR(INDEX(Consulta!$A:$DP,MATCH('MM01'!$B133,Consulta!$C:$C,0),'MM01'!G$2),"")=0,"",IFERROR(INDEX(Consulta!$A:$DP,MATCH('MM01'!$B133,Consulta!$C:$C,0),'MM01'!G$2),""))</f>
        <v/>
      </c>
      <c r="H133" s="49" t="str">
        <f>IF(IFERROR(INDEX(Consulta!$A:$DP,MATCH('MM01'!$B133,Consulta!$C:$C,0),'MM01'!H$2),"")=0,"",IFERROR(INDEX(Consulta!$A:$DP,MATCH('MM01'!$B133,Consulta!$C:$C,0),'MM01'!H$2),""))</f>
        <v/>
      </c>
      <c r="I133" s="49" t="str">
        <f t="shared" si="83"/>
        <v/>
      </c>
      <c r="J133" s="49" t="str">
        <f>IF(IFERROR(INDEX(Consulta!$A:$DP,MATCH('MM01'!$B133,Consulta!$C:$C,0),'MM01'!J$2),"")=0,"",IFERROR(INDEX(Consulta!$A:$DP,MATCH('MM01'!$B133,Consulta!$C:$C,0),'MM01'!J$2),""))</f>
        <v/>
      </c>
      <c r="K133" s="49" t="str">
        <f t="shared" si="84"/>
        <v/>
      </c>
      <c r="M133" s="45" t="s">
        <v>101</v>
      </c>
      <c r="N133" s="45" t="s">
        <v>102</v>
      </c>
      <c r="O133" s="45" t="s">
        <v>103</v>
      </c>
      <c r="P133" s="45" t="s">
        <v>104</v>
      </c>
      <c r="Q133" s="45" t="s">
        <v>105</v>
      </c>
      <c r="R133" s="45" t="s">
        <v>106</v>
      </c>
      <c r="S133" s="45" t="s">
        <v>107</v>
      </c>
      <c r="T133" s="45"/>
      <c r="U133" s="45"/>
      <c r="V133" s="45"/>
      <c r="W133" s="45"/>
      <c r="X133" s="45" t="s">
        <v>112</v>
      </c>
      <c r="Y133" s="45" t="s">
        <v>113</v>
      </c>
      <c r="Z133" s="45" t="s">
        <v>114</v>
      </c>
      <c r="AA133" s="45" t="s">
        <v>115</v>
      </c>
      <c r="AB133" s="45" t="s">
        <v>117</v>
      </c>
      <c r="AC133" s="45" t="s">
        <v>118</v>
      </c>
      <c r="AD133" s="45" t="s">
        <v>119</v>
      </c>
      <c r="AE133" s="45" t="s">
        <v>120</v>
      </c>
      <c r="AF133" s="45" t="s">
        <v>121</v>
      </c>
      <c r="AG133" s="45" t="s">
        <v>122</v>
      </c>
      <c r="AH133" s="45" t="s">
        <v>123</v>
      </c>
      <c r="AI133" s="45" t="s">
        <v>124</v>
      </c>
      <c r="AJ133" s="45" t="s">
        <v>125</v>
      </c>
      <c r="AK133" s="45" t="s">
        <v>126</v>
      </c>
      <c r="AL133" s="45"/>
      <c r="AM133" s="45"/>
      <c r="AO133" s="44" t="s">
        <v>100</v>
      </c>
      <c r="AP133" s="43" t="str">
        <f>IF(IFERROR(INDEX(Consulta!$A:$DP,MATCH('MM01'!$B133,Consulta!$C:$C,0),'MM01'!AP$2),"")=0,"",IFERROR(INDEX(Consulta!$A:$DP,MATCH('MM01'!$B133,Consulta!$C:$C,0),'MM01'!AP$2),""))</f>
        <v/>
      </c>
      <c r="AQ133" s="45"/>
      <c r="AR133" s="43" t="str">
        <f>IF(IFERROR(INDEX(Consulta!$A:$DP,MATCH('MM01'!$B133,Consulta!$C:$C,0),'MM01'!AR$2),"")=0,"",IFERROR(INDEX(Consulta!$A:$DP,MATCH('MM01'!$B133,Consulta!$C:$C,0),'MM01'!AR$2),""))</f>
        <v/>
      </c>
      <c r="AS133" s="43" t="str">
        <f>IF(IFERROR(INDEX(Consulta!$A:$DP,MATCH('MM01'!$B133,Consulta!$C:$C,0),'MM01'!AS$2),"")=0,"",IF(AR133="68",5102,IFERROR(INDEX(Consulta!$A:$DP,MATCH('MM01'!$B133,Consulta!$C:$C,0),'MM01'!AS$2),"")))</f>
        <v/>
      </c>
      <c r="AT133" s="45"/>
      <c r="AU133" s="46" t="str">
        <f t="shared" ca="1" si="85"/>
        <v/>
      </c>
      <c r="AV133" s="47" t="s">
        <v>795</v>
      </c>
      <c r="AW133" s="43" t="str">
        <f>IF(IFERROR(INDEX(Consulta!$A:$DP,MATCH('MM01'!$B133,Consulta!$C:$C,0),'MM01'!AW$2),"")=0,"",IFERROR(ROUND(INDEX(Consulta!$A:$DP,MATCH('MM01'!$B133,Consulta!$C:$C,0),'MM01'!AW$2),3),""))</f>
        <v/>
      </c>
      <c r="AX133" s="43" t="str">
        <f t="shared" si="86"/>
        <v/>
      </c>
      <c r="AY133" s="48" t="s">
        <v>299</v>
      </c>
      <c r="AZ133" s="48"/>
      <c r="BA133" s="43" t="str">
        <f>IF(IFERROR(INDEX(Consulta!$A:$DP,MATCH('MM01'!$B133,Consulta!$C:$C,0),'MM01'!BA$2),"")=0,"",IFERROR(INDEX(Consulta!$A:$DP,MATCH('MM01'!$B133,Consulta!$C:$C,0),'MM01'!BA$2),""))</f>
        <v/>
      </c>
      <c r="BB133" s="43" t="str">
        <f t="shared" si="87"/>
        <v/>
      </c>
      <c r="BC133" s="43" t="str">
        <f t="shared" si="88"/>
        <v/>
      </c>
      <c r="BD133" s="43" t="str">
        <f t="shared" si="89"/>
        <v/>
      </c>
      <c r="BE133" s="43" t="str">
        <f t="shared" si="90"/>
        <v>M</v>
      </c>
      <c r="BF133" s="43" t="str">
        <f t="shared" si="91"/>
        <v/>
      </c>
      <c r="BG133" s="43" t="str">
        <f t="shared" si="92"/>
        <v/>
      </c>
      <c r="BH133" s="43" t="str">
        <f t="shared" si="93"/>
        <v/>
      </c>
      <c r="BI133" s="43" t="str">
        <f t="shared" si="94"/>
        <v>M</v>
      </c>
      <c r="BK133" s="45" t="s">
        <v>324</v>
      </c>
      <c r="BL133" s="43" t="str">
        <f>IF(IFERROR(INDEX(Consulta!$A:$DP,MATCH('MM01'!$B133,Consulta!$C:$C,0),'MM01'!BL$2),"")=0,"",IFERROR(INDEX(Consulta!$A:$DP,MATCH('MM01'!$B133,Consulta!$C:$C,0),'MM01'!BL$2),""))</f>
        <v/>
      </c>
      <c r="BM133" s="45"/>
      <c r="BN133" s="46" t="str">
        <f t="shared" ca="1" si="95"/>
        <v/>
      </c>
      <c r="BO133" s="49" t="str">
        <f t="shared" si="96"/>
        <v/>
      </c>
      <c r="BP133" s="50">
        <v>1</v>
      </c>
      <c r="BQ133" s="50" t="s">
        <v>194</v>
      </c>
      <c r="BR133" s="79" t="str">
        <f t="shared" si="81"/>
        <v>01</v>
      </c>
      <c r="BS133" s="50" t="s">
        <v>795</v>
      </c>
      <c r="BT133" s="44">
        <v>1</v>
      </c>
      <c r="BU133" s="44" t="s">
        <v>371</v>
      </c>
      <c r="BV133" s="50" t="s">
        <v>197</v>
      </c>
      <c r="BW133" s="50" t="s">
        <v>197</v>
      </c>
      <c r="BX133" s="43" t="str">
        <f>IF(IFERROR(INDEX(Consulta!$A:$DP,MATCH('MM01'!$B133,Consulta!$C:$C,0),'MM01'!BX$2),"")=0,"",IFERROR(INDEX(Consulta!$A:$DP,MATCH('MM01'!$B133,Consulta!$C:$C,0),'MM01'!BX$2),""))</f>
        <v/>
      </c>
      <c r="BY133" s="44" t="s">
        <v>391</v>
      </c>
      <c r="BZ133" s="50">
        <v>0</v>
      </c>
      <c r="CA133" s="45" t="s">
        <v>402</v>
      </c>
      <c r="CB133" s="45" t="s">
        <v>84</v>
      </c>
      <c r="CC133" s="43" t="str">
        <f t="shared" si="97"/>
        <v/>
      </c>
      <c r="CD133" s="45" t="s">
        <v>38</v>
      </c>
      <c r="CE133" s="45">
        <v>1</v>
      </c>
      <c r="CF133" s="45" t="s">
        <v>495</v>
      </c>
      <c r="CG133" s="45"/>
      <c r="CH133" s="44">
        <v>2</v>
      </c>
      <c r="CI133" s="49" t="str">
        <f t="shared" si="98"/>
        <v/>
      </c>
      <c r="CJ133" s="49" t="str">
        <f t="shared" si="99"/>
        <v/>
      </c>
      <c r="CK133" s="45"/>
      <c r="CL133" s="44">
        <v>1</v>
      </c>
      <c r="CM133" s="50" t="s">
        <v>514</v>
      </c>
      <c r="CN133" s="44" t="s">
        <v>371</v>
      </c>
      <c r="CO133" s="44">
        <v>2</v>
      </c>
      <c r="CP133" s="44">
        <v>42</v>
      </c>
      <c r="CQ133" s="44">
        <v>10</v>
      </c>
      <c r="CR133" s="43" t="str">
        <f t="shared" si="100"/>
        <v>K00_P_</v>
      </c>
      <c r="CS133" s="45">
        <v>5000</v>
      </c>
      <c r="CT133" s="43" t="str">
        <f>IF(IFERROR(INDEX(Consulta!$A:$DP,MATCH('MM01'!$B133,Consulta!$C:$C,0),'MM01'!CT$2),"")=0,"",IFERROR(INDEX(Consulta!$A:$DP,MATCH('MM01'!$B133,Consulta!$C:$C,0),'MM01'!CT$2),""))</f>
        <v/>
      </c>
      <c r="CU133" s="43" t="str">
        <f>IF(IFERROR(INDEX(Consulta!$A:$DP,MATCH('MM01'!$B133,Consulta!$C:$C,0),'MM01'!CU$2),"")=0,"",IFERROR(INDEX(Consulta!$A:$DP,MATCH('MM01'!$B133,Consulta!$C:$C,0),'MM01'!CU$2),""))</f>
        <v/>
      </c>
      <c r="CV133" s="43" t="str">
        <f>IF(IFERROR(INDEX(Consulta!$A:$DP,MATCH('MM01'!$B133,Consulta!$C:$C,0),'MM01'!CV$2),"")=0,"",IFERROR(INDEX(Consulta!$A:$DP,MATCH('MM01'!$B133,Consulta!$C:$C,0),'MM01'!CV$2),""))</f>
        <v/>
      </c>
      <c r="CW133" s="43" t="str">
        <f>IF(IFERROR(INDEX(Consulta!$A:$DP,MATCH('MM01'!$B133,Consulta!$C:$C,0),'MM01'!CW$2),"")=0,"",IFERROR(INDEX(Consulta!$A:$DP,MATCH('MM01'!$B133,Consulta!$C:$C,0),'MM01'!CW$2),""))</f>
        <v/>
      </c>
      <c r="CX133" s="43" t="str">
        <f t="shared" si="101"/>
        <v/>
      </c>
      <c r="CY133" s="43" t="str">
        <f t="shared" si="102"/>
        <v/>
      </c>
      <c r="CZ133" s="43" t="str">
        <f t="shared" si="103"/>
        <v/>
      </c>
      <c r="DA133" s="43" t="str">
        <f>IF(IFERROR(INDEX(Consulta!$A:$DP,MATCH('MM01'!$B133,Consulta!$C:$C,0),'MM01'!DA$2),"")=0,"",IFERROR(INDEX(Consulta!$A:$DP,MATCH('MM01'!$B133,Consulta!$C:$C,0),'MM01'!DA$2),""))</f>
        <v/>
      </c>
      <c r="DB133" s="43" t="str">
        <f t="shared" si="104"/>
        <v/>
      </c>
      <c r="DC133" s="43" t="str">
        <f>IF(IFERROR(INDEX(Consulta!$A:$DP,MATCH('MM01'!$B133,Consulta!$C:$C,0),'MM01'!DC$2),"")=0,"",IFERROR(INDEX(Consulta!$A:$DP,MATCH('MM01'!$B133,Consulta!$C:$C,0),'MM01'!DC$2),""))</f>
        <v/>
      </c>
      <c r="DD133" s="45">
        <v>0</v>
      </c>
      <c r="DE133" s="45">
        <v>0</v>
      </c>
      <c r="DF133" s="43" t="str">
        <f t="shared" si="105"/>
        <v/>
      </c>
      <c r="DG133" s="43" t="str">
        <f t="shared" si="106"/>
        <v/>
      </c>
      <c r="DH133" s="57"/>
      <c r="DI133" s="43" t="str">
        <f t="shared" ca="1" si="107"/>
        <v/>
      </c>
      <c r="DJ133" s="43" t="str">
        <f t="shared" si="108"/>
        <v/>
      </c>
      <c r="DK133" s="43" t="str">
        <f t="shared" si="109"/>
        <v/>
      </c>
      <c r="DL133" s="57"/>
      <c r="DM133" s="43" t="str">
        <f t="shared" ca="1" si="110"/>
        <v/>
      </c>
      <c r="DN133" s="43" t="str">
        <f t="shared" si="111"/>
        <v/>
      </c>
      <c r="DO133" s="43" t="str">
        <f t="shared" si="112"/>
        <v/>
      </c>
      <c r="DP133" s="57"/>
      <c r="DQ133" s="43" t="str">
        <f t="shared" ca="1" si="113"/>
        <v/>
      </c>
      <c r="DR133" s="43" t="str">
        <f t="shared" si="114"/>
        <v/>
      </c>
      <c r="DS133" s="43" t="str">
        <f t="shared" si="115"/>
        <v/>
      </c>
      <c r="DT133" s="57"/>
      <c r="DU133" s="43" t="str">
        <f t="shared" ca="1" si="116"/>
        <v/>
      </c>
      <c r="DV133" s="43" t="str">
        <f t="shared" si="117"/>
        <v/>
      </c>
      <c r="DX133" s="44">
        <v>1</v>
      </c>
      <c r="DY133" s="44" t="s">
        <v>773</v>
      </c>
      <c r="DZ133" s="43">
        <f t="shared" si="118"/>
        <v>0.01</v>
      </c>
      <c r="EA133" s="43" t="str">
        <f t="shared" si="119"/>
        <v>M</v>
      </c>
      <c r="EB133" s="43" t="str">
        <f>IF(IFERROR(INDEX(Consulta!$A:$DP,MATCH('MM01'!$B133,Consulta!$C:$C,0),'MM01'!EB$2),"")=0,"7925",IF(IFERROR(INDEX(Consulta!$A:$DP,MATCH('MM01'!$B133,Consulta!$C:$C,0),'MM01'!EB$2),"")="68","7910","7925"))</f>
        <v>7925</v>
      </c>
      <c r="EC133" s="44">
        <v>100</v>
      </c>
      <c r="ED133" s="62">
        <v>1</v>
      </c>
      <c r="EE133" s="43">
        <f t="shared" si="120"/>
        <v>100</v>
      </c>
      <c r="EF133" s="44">
        <v>1</v>
      </c>
      <c r="EG133" s="44">
        <v>0</v>
      </c>
      <c r="EH133" s="44" t="s">
        <v>875</v>
      </c>
      <c r="EI133" s="45">
        <v>0</v>
      </c>
      <c r="EJ133" s="43">
        <f t="shared" si="121"/>
        <v>5000</v>
      </c>
      <c r="EK133" s="69"/>
    </row>
    <row r="134" spans="1:141" x14ac:dyDescent="0.2">
      <c r="A134" s="7" t="str">
        <f t="shared" si="82"/>
        <v>Execução 130</v>
      </c>
      <c r="B134" s="42"/>
      <c r="C134" s="43" t="str">
        <f>IF(IFERROR(INDEX(Consulta!$A:$DP,MATCH('MM01'!$B134,Consulta!$C:$C,0),'MM01'!C$2),"")=0,"",IFERROR(INDEX(Consulta!$A:$DP,MATCH('MM01'!$B134,Consulta!$C:$C,0),'MM01'!C$2),""))</f>
        <v/>
      </c>
      <c r="D134" s="43" t="str">
        <f>IF(IFERROR(INDEX(Consulta!$A:$DP,MATCH('MM01'!$B134,Consulta!$C:$C,0),'MM01'!D$2),"")=0,"",IFERROR(INDEX(Consulta!$A:$DP,MATCH('MM01'!$B134,Consulta!$C:$C,0),'MM01'!D$2),""))</f>
        <v/>
      </c>
      <c r="E134" s="43" t="str">
        <f>IF(IFERROR(INDEX(Consulta!$A:$DP,MATCH('MM01'!$B134,Consulta!$C:$C,0),'MM01'!E$2),"")=0,"",IFERROR(INDEX(Consulta!$A:$DP,MATCH('MM01'!$B134,Consulta!$C:$C,0),'MM01'!E$2),""))</f>
        <v/>
      </c>
      <c r="F134" s="44" t="s">
        <v>100</v>
      </c>
      <c r="G134" s="49" t="str">
        <f>IF(IFERROR(INDEX(Consulta!$A:$DP,MATCH('MM01'!$B134,Consulta!$C:$C,0),'MM01'!G$2),"")=0,"",IFERROR(INDEX(Consulta!$A:$DP,MATCH('MM01'!$B134,Consulta!$C:$C,0),'MM01'!G$2),""))</f>
        <v/>
      </c>
      <c r="H134" s="49" t="str">
        <f>IF(IFERROR(INDEX(Consulta!$A:$DP,MATCH('MM01'!$B134,Consulta!$C:$C,0),'MM01'!H$2),"")=0,"",IFERROR(INDEX(Consulta!$A:$DP,MATCH('MM01'!$B134,Consulta!$C:$C,0),'MM01'!H$2),""))</f>
        <v/>
      </c>
      <c r="I134" s="49" t="str">
        <f t="shared" si="83"/>
        <v/>
      </c>
      <c r="J134" s="49" t="str">
        <f>IF(IFERROR(INDEX(Consulta!$A:$DP,MATCH('MM01'!$B134,Consulta!$C:$C,0),'MM01'!J$2),"")=0,"",IFERROR(INDEX(Consulta!$A:$DP,MATCH('MM01'!$B134,Consulta!$C:$C,0),'MM01'!J$2),""))</f>
        <v/>
      </c>
      <c r="K134" s="49" t="str">
        <f t="shared" si="84"/>
        <v/>
      </c>
      <c r="M134" s="45" t="s">
        <v>101</v>
      </c>
      <c r="N134" s="45" t="s">
        <v>102</v>
      </c>
      <c r="O134" s="45" t="s">
        <v>103</v>
      </c>
      <c r="P134" s="45" t="s">
        <v>104</v>
      </c>
      <c r="Q134" s="45" t="s">
        <v>105</v>
      </c>
      <c r="R134" s="45" t="s">
        <v>106</v>
      </c>
      <c r="S134" s="45" t="s">
        <v>107</v>
      </c>
      <c r="T134" s="45"/>
      <c r="U134" s="45"/>
      <c r="V134" s="45"/>
      <c r="W134" s="45"/>
      <c r="X134" s="45" t="s">
        <v>112</v>
      </c>
      <c r="Y134" s="45" t="s">
        <v>113</v>
      </c>
      <c r="Z134" s="45" t="s">
        <v>114</v>
      </c>
      <c r="AA134" s="45" t="s">
        <v>115</v>
      </c>
      <c r="AB134" s="45" t="s">
        <v>117</v>
      </c>
      <c r="AC134" s="45" t="s">
        <v>118</v>
      </c>
      <c r="AD134" s="45" t="s">
        <v>119</v>
      </c>
      <c r="AE134" s="45" t="s">
        <v>120</v>
      </c>
      <c r="AF134" s="45" t="s">
        <v>121</v>
      </c>
      <c r="AG134" s="45" t="s">
        <v>122</v>
      </c>
      <c r="AH134" s="45" t="s">
        <v>123</v>
      </c>
      <c r="AI134" s="45" t="s">
        <v>124</v>
      </c>
      <c r="AJ134" s="45" t="s">
        <v>125</v>
      </c>
      <c r="AK134" s="45" t="s">
        <v>126</v>
      </c>
      <c r="AL134" s="45"/>
      <c r="AM134" s="45"/>
      <c r="AO134" s="44" t="s">
        <v>100</v>
      </c>
      <c r="AP134" s="43" t="str">
        <f>IF(IFERROR(INDEX(Consulta!$A:$DP,MATCH('MM01'!$B134,Consulta!$C:$C,0),'MM01'!AP$2),"")=0,"",IFERROR(INDEX(Consulta!$A:$DP,MATCH('MM01'!$B134,Consulta!$C:$C,0),'MM01'!AP$2),""))</f>
        <v/>
      </c>
      <c r="AQ134" s="45"/>
      <c r="AR134" s="43" t="str">
        <f>IF(IFERROR(INDEX(Consulta!$A:$DP,MATCH('MM01'!$B134,Consulta!$C:$C,0),'MM01'!AR$2),"")=0,"",IFERROR(INDEX(Consulta!$A:$DP,MATCH('MM01'!$B134,Consulta!$C:$C,0),'MM01'!AR$2),""))</f>
        <v/>
      </c>
      <c r="AS134" s="43" t="str">
        <f>IF(IFERROR(INDEX(Consulta!$A:$DP,MATCH('MM01'!$B134,Consulta!$C:$C,0),'MM01'!AS$2),"")=0,"",IF(AR134="68",5102,IFERROR(INDEX(Consulta!$A:$DP,MATCH('MM01'!$B134,Consulta!$C:$C,0),'MM01'!AS$2),"")))</f>
        <v/>
      </c>
      <c r="AT134" s="45"/>
      <c r="AU134" s="46" t="str">
        <f t="shared" ca="1" si="85"/>
        <v/>
      </c>
      <c r="AV134" s="47" t="s">
        <v>795</v>
      </c>
      <c r="AW134" s="43" t="str">
        <f>IF(IFERROR(INDEX(Consulta!$A:$DP,MATCH('MM01'!$B134,Consulta!$C:$C,0),'MM01'!AW$2),"")=0,"",IFERROR(ROUND(INDEX(Consulta!$A:$DP,MATCH('MM01'!$B134,Consulta!$C:$C,0),'MM01'!AW$2),3),""))</f>
        <v/>
      </c>
      <c r="AX134" s="43" t="str">
        <f t="shared" si="86"/>
        <v/>
      </c>
      <c r="AY134" s="48" t="s">
        <v>299</v>
      </c>
      <c r="AZ134" s="48"/>
      <c r="BA134" s="43" t="str">
        <f>IF(IFERROR(INDEX(Consulta!$A:$DP,MATCH('MM01'!$B134,Consulta!$C:$C,0),'MM01'!BA$2),"")=0,"",IFERROR(INDEX(Consulta!$A:$DP,MATCH('MM01'!$B134,Consulta!$C:$C,0),'MM01'!BA$2),""))</f>
        <v/>
      </c>
      <c r="BB134" s="43" t="str">
        <f t="shared" si="87"/>
        <v/>
      </c>
      <c r="BC134" s="43" t="str">
        <f t="shared" si="88"/>
        <v/>
      </c>
      <c r="BD134" s="43" t="str">
        <f t="shared" si="89"/>
        <v/>
      </c>
      <c r="BE134" s="43" t="str">
        <f t="shared" si="90"/>
        <v>M</v>
      </c>
      <c r="BF134" s="43" t="str">
        <f t="shared" si="91"/>
        <v/>
      </c>
      <c r="BG134" s="43" t="str">
        <f t="shared" si="92"/>
        <v/>
      </c>
      <c r="BH134" s="43" t="str">
        <f t="shared" si="93"/>
        <v/>
      </c>
      <c r="BI134" s="43" t="str">
        <f t="shared" si="94"/>
        <v>M</v>
      </c>
      <c r="BK134" s="45" t="s">
        <v>324</v>
      </c>
      <c r="BL134" s="43" t="str">
        <f>IF(IFERROR(INDEX(Consulta!$A:$DP,MATCH('MM01'!$B134,Consulta!$C:$C,0),'MM01'!BL$2),"")=0,"",IFERROR(INDEX(Consulta!$A:$DP,MATCH('MM01'!$B134,Consulta!$C:$C,0),'MM01'!BL$2),""))</f>
        <v/>
      </c>
      <c r="BM134" s="45"/>
      <c r="BN134" s="46" t="str">
        <f t="shared" ca="1" si="95"/>
        <v/>
      </c>
      <c r="BO134" s="49" t="str">
        <f t="shared" si="96"/>
        <v/>
      </c>
      <c r="BP134" s="50">
        <v>1</v>
      </c>
      <c r="BQ134" s="50" t="s">
        <v>194</v>
      </c>
      <c r="BR134" s="79" t="str">
        <f t="shared" ref="BR134:BR154" si="122">IF(AR134=68,20,"01")</f>
        <v>01</v>
      </c>
      <c r="BS134" s="50" t="s">
        <v>795</v>
      </c>
      <c r="BT134" s="44">
        <v>1</v>
      </c>
      <c r="BU134" s="44" t="s">
        <v>371</v>
      </c>
      <c r="BV134" s="50" t="s">
        <v>197</v>
      </c>
      <c r="BW134" s="50" t="s">
        <v>197</v>
      </c>
      <c r="BX134" s="43" t="str">
        <f>IF(IFERROR(INDEX(Consulta!$A:$DP,MATCH('MM01'!$B134,Consulta!$C:$C,0),'MM01'!BX$2),"")=0,"",IFERROR(INDEX(Consulta!$A:$DP,MATCH('MM01'!$B134,Consulta!$C:$C,0),'MM01'!BX$2),""))</f>
        <v/>
      </c>
      <c r="BY134" s="44" t="s">
        <v>391</v>
      </c>
      <c r="BZ134" s="50">
        <v>0</v>
      </c>
      <c r="CA134" s="45" t="s">
        <v>402</v>
      </c>
      <c r="CB134" s="45" t="s">
        <v>84</v>
      </c>
      <c r="CC134" s="43" t="str">
        <f t="shared" si="97"/>
        <v/>
      </c>
      <c r="CD134" s="45" t="s">
        <v>38</v>
      </c>
      <c r="CE134" s="45">
        <v>1</v>
      </c>
      <c r="CF134" s="45" t="s">
        <v>495</v>
      </c>
      <c r="CG134" s="45"/>
      <c r="CH134" s="44">
        <v>2</v>
      </c>
      <c r="CI134" s="49" t="str">
        <f t="shared" si="98"/>
        <v/>
      </c>
      <c r="CJ134" s="49" t="str">
        <f t="shared" si="99"/>
        <v/>
      </c>
      <c r="CK134" s="45"/>
      <c r="CL134" s="44">
        <v>1</v>
      </c>
      <c r="CM134" s="50" t="s">
        <v>514</v>
      </c>
      <c r="CN134" s="44" t="s">
        <v>371</v>
      </c>
      <c r="CO134" s="44">
        <v>2</v>
      </c>
      <c r="CP134" s="44">
        <v>42</v>
      </c>
      <c r="CQ134" s="44">
        <v>10</v>
      </c>
      <c r="CR134" s="43" t="str">
        <f t="shared" si="100"/>
        <v>K00_P_</v>
      </c>
      <c r="CS134" s="45">
        <v>5000</v>
      </c>
      <c r="CT134" s="43" t="str">
        <f>IF(IFERROR(INDEX(Consulta!$A:$DP,MATCH('MM01'!$B134,Consulta!$C:$C,0),'MM01'!CT$2),"")=0,"",IFERROR(INDEX(Consulta!$A:$DP,MATCH('MM01'!$B134,Consulta!$C:$C,0),'MM01'!CT$2),""))</f>
        <v/>
      </c>
      <c r="CU134" s="43" t="str">
        <f>IF(IFERROR(INDEX(Consulta!$A:$DP,MATCH('MM01'!$B134,Consulta!$C:$C,0),'MM01'!CU$2),"")=0,"",IFERROR(INDEX(Consulta!$A:$DP,MATCH('MM01'!$B134,Consulta!$C:$C,0),'MM01'!CU$2),""))</f>
        <v/>
      </c>
      <c r="CV134" s="43" t="str">
        <f>IF(IFERROR(INDEX(Consulta!$A:$DP,MATCH('MM01'!$B134,Consulta!$C:$C,0),'MM01'!CV$2),"")=0,"",IFERROR(INDEX(Consulta!$A:$DP,MATCH('MM01'!$B134,Consulta!$C:$C,0),'MM01'!CV$2),""))</f>
        <v/>
      </c>
      <c r="CW134" s="43" t="str">
        <f>IF(IFERROR(INDEX(Consulta!$A:$DP,MATCH('MM01'!$B134,Consulta!$C:$C,0),'MM01'!CW$2),"")=0,"",IFERROR(INDEX(Consulta!$A:$DP,MATCH('MM01'!$B134,Consulta!$C:$C,0),'MM01'!CW$2),""))</f>
        <v/>
      </c>
      <c r="CX134" s="43" t="str">
        <f t="shared" si="101"/>
        <v/>
      </c>
      <c r="CY134" s="43" t="str">
        <f t="shared" si="102"/>
        <v/>
      </c>
      <c r="CZ134" s="43" t="str">
        <f t="shared" si="103"/>
        <v/>
      </c>
      <c r="DA134" s="43" t="str">
        <f>IF(IFERROR(INDEX(Consulta!$A:$DP,MATCH('MM01'!$B134,Consulta!$C:$C,0),'MM01'!DA$2),"")=0,"",IFERROR(INDEX(Consulta!$A:$DP,MATCH('MM01'!$B134,Consulta!$C:$C,0),'MM01'!DA$2),""))</f>
        <v/>
      </c>
      <c r="DB134" s="43" t="str">
        <f t="shared" si="104"/>
        <v/>
      </c>
      <c r="DC134" s="43" t="str">
        <f>IF(IFERROR(INDEX(Consulta!$A:$DP,MATCH('MM01'!$B134,Consulta!$C:$C,0),'MM01'!DC$2),"")=0,"",IFERROR(INDEX(Consulta!$A:$DP,MATCH('MM01'!$B134,Consulta!$C:$C,0),'MM01'!DC$2),""))</f>
        <v/>
      </c>
      <c r="DD134" s="45">
        <v>0</v>
      </c>
      <c r="DE134" s="45">
        <v>0</v>
      </c>
      <c r="DF134" s="43" t="str">
        <f t="shared" si="105"/>
        <v/>
      </c>
      <c r="DG134" s="43" t="str">
        <f t="shared" si="106"/>
        <v/>
      </c>
      <c r="DH134" s="57"/>
      <c r="DI134" s="43" t="str">
        <f t="shared" ca="1" si="107"/>
        <v/>
      </c>
      <c r="DJ134" s="43" t="str">
        <f t="shared" si="108"/>
        <v/>
      </c>
      <c r="DK134" s="43" t="str">
        <f t="shared" si="109"/>
        <v/>
      </c>
      <c r="DL134" s="57"/>
      <c r="DM134" s="43" t="str">
        <f t="shared" ca="1" si="110"/>
        <v/>
      </c>
      <c r="DN134" s="43" t="str">
        <f t="shared" si="111"/>
        <v/>
      </c>
      <c r="DO134" s="43" t="str">
        <f t="shared" si="112"/>
        <v/>
      </c>
      <c r="DP134" s="57"/>
      <c r="DQ134" s="43" t="str">
        <f t="shared" ca="1" si="113"/>
        <v/>
      </c>
      <c r="DR134" s="43" t="str">
        <f t="shared" si="114"/>
        <v/>
      </c>
      <c r="DS134" s="43" t="str">
        <f t="shared" si="115"/>
        <v/>
      </c>
      <c r="DT134" s="57"/>
      <c r="DU134" s="43" t="str">
        <f t="shared" ca="1" si="116"/>
        <v/>
      </c>
      <c r="DV134" s="43" t="str">
        <f t="shared" si="117"/>
        <v/>
      </c>
      <c r="DX134" s="44">
        <v>1</v>
      </c>
      <c r="DY134" s="44" t="s">
        <v>773</v>
      </c>
      <c r="DZ134" s="43">
        <f t="shared" si="118"/>
        <v>0.01</v>
      </c>
      <c r="EA134" s="43" t="str">
        <f t="shared" si="119"/>
        <v>M</v>
      </c>
      <c r="EB134" s="43" t="str">
        <f>IF(IFERROR(INDEX(Consulta!$A:$DP,MATCH('MM01'!$B134,Consulta!$C:$C,0),'MM01'!EB$2),"")=0,"7925",IF(IFERROR(INDEX(Consulta!$A:$DP,MATCH('MM01'!$B134,Consulta!$C:$C,0),'MM01'!EB$2),"")="68","7910","7925"))</f>
        <v>7925</v>
      </c>
      <c r="EC134" s="44">
        <v>100</v>
      </c>
      <c r="ED134" s="62">
        <v>1</v>
      </c>
      <c r="EE134" s="43">
        <f t="shared" si="120"/>
        <v>100</v>
      </c>
      <c r="EF134" s="44">
        <v>1</v>
      </c>
      <c r="EG134" s="44">
        <v>0</v>
      </c>
      <c r="EH134" s="44" t="s">
        <v>875</v>
      </c>
      <c r="EI134" s="45">
        <v>0</v>
      </c>
      <c r="EJ134" s="43">
        <f t="shared" si="121"/>
        <v>5000</v>
      </c>
      <c r="EK134" s="69"/>
    </row>
    <row r="135" spans="1:141" x14ac:dyDescent="0.2">
      <c r="A135" s="7" t="str">
        <f t="shared" si="82"/>
        <v>Execução 131</v>
      </c>
      <c r="B135" s="42"/>
      <c r="C135" s="43" t="str">
        <f>IF(IFERROR(INDEX(Consulta!$A:$DP,MATCH('MM01'!$B135,Consulta!$C:$C,0),'MM01'!C$2),"")=0,"",IFERROR(INDEX(Consulta!$A:$DP,MATCH('MM01'!$B135,Consulta!$C:$C,0),'MM01'!C$2),""))</f>
        <v/>
      </c>
      <c r="D135" s="43" t="str">
        <f>IF(IFERROR(INDEX(Consulta!$A:$DP,MATCH('MM01'!$B135,Consulta!$C:$C,0),'MM01'!D$2),"")=0,"",IFERROR(INDEX(Consulta!$A:$DP,MATCH('MM01'!$B135,Consulta!$C:$C,0),'MM01'!D$2),""))</f>
        <v/>
      </c>
      <c r="E135" s="43" t="str">
        <f>IF(IFERROR(INDEX(Consulta!$A:$DP,MATCH('MM01'!$B135,Consulta!$C:$C,0),'MM01'!E$2),"")=0,"",IFERROR(INDEX(Consulta!$A:$DP,MATCH('MM01'!$B135,Consulta!$C:$C,0),'MM01'!E$2),""))</f>
        <v/>
      </c>
      <c r="F135" s="44" t="s">
        <v>100</v>
      </c>
      <c r="G135" s="49" t="str">
        <f>IF(IFERROR(INDEX(Consulta!$A:$DP,MATCH('MM01'!$B135,Consulta!$C:$C,0),'MM01'!G$2),"")=0,"",IFERROR(INDEX(Consulta!$A:$DP,MATCH('MM01'!$B135,Consulta!$C:$C,0),'MM01'!G$2),""))</f>
        <v/>
      </c>
      <c r="H135" s="49" t="str">
        <f>IF(IFERROR(INDEX(Consulta!$A:$DP,MATCH('MM01'!$B135,Consulta!$C:$C,0),'MM01'!H$2),"")=0,"",IFERROR(INDEX(Consulta!$A:$DP,MATCH('MM01'!$B135,Consulta!$C:$C,0),'MM01'!H$2),""))</f>
        <v/>
      </c>
      <c r="I135" s="49" t="str">
        <f t="shared" si="83"/>
        <v/>
      </c>
      <c r="J135" s="49" t="str">
        <f>IF(IFERROR(INDEX(Consulta!$A:$DP,MATCH('MM01'!$B135,Consulta!$C:$C,0),'MM01'!J$2),"")=0,"",IFERROR(INDEX(Consulta!$A:$DP,MATCH('MM01'!$B135,Consulta!$C:$C,0),'MM01'!J$2),""))</f>
        <v/>
      </c>
      <c r="K135" s="49" t="str">
        <f t="shared" si="84"/>
        <v/>
      </c>
      <c r="M135" s="45" t="s">
        <v>101</v>
      </c>
      <c r="N135" s="45" t="s">
        <v>102</v>
      </c>
      <c r="O135" s="45" t="s">
        <v>103</v>
      </c>
      <c r="P135" s="45" t="s">
        <v>104</v>
      </c>
      <c r="Q135" s="45" t="s">
        <v>105</v>
      </c>
      <c r="R135" s="45" t="s">
        <v>106</v>
      </c>
      <c r="S135" s="45" t="s">
        <v>107</v>
      </c>
      <c r="T135" s="45"/>
      <c r="U135" s="45"/>
      <c r="V135" s="45"/>
      <c r="W135" s="45"/>
      <c r="X135" s="45" t="s">
        <v>112</v>
      </c>
      <c r="Y135" s="45" t="s">
        <v>113</v>
      </c>
      <c r="Z135" s="45" t="s">
        <v>114</v>
      </c>
      <c r="AA135" s="45" t="s">
        <v>115</v>
      </c>
      <c r="AB135" s="45" t="s">
        <v>117</v>
      </c>
      <c r="AC135" s="45" t="s">
        <v>118</v>
      </c>
      <c r="AD135" s="45" t="s">
        <v>119</v>
      </c>
      <c r="AE135" s="45" t="s">
        <v>120</v>
      </c>
      <c r="AF135" s="45" t="s">
        <v>121</v>
      </c>
      <c r="AG135" s="45" t="s">
        <v>122</v>
      </c>
      <c r="AH135" s="45" t="s">
        <v>123</v>
      </c>
      <c r="AI135" s="45" t="s">
        <v>124</v>
      </c>
      <c r="AJ135" s="45" t="s">
        <v>125</v>
      </c>
      <c r="AK135" s="45" t="s">
        <v>126</v>
      </c>
      <c r="AL135" s="45"/>
      <c r="AM135" s="45"/>
      <c r="AO135" s="44" t="s">
        <v>100</v>
      </c>
      <c r="AP135" s="43" t="str">
        <f>IF(IFERROR(INDEX(Consulta!$A:$DP,MATCH('MM01'!$B135,Consulta!$C:$C,0),'MM01'!AP$2),"")=0,"",IFERROR(INDEX(Consulta!$A:$DP,MATCH('MM01'!$B135,Consulta!$C:$C,0),'MM01'!AP$2),""))</f>
        <v/>
      </c>
      <c r="AQ135" s="45"/>
      <c r="AR135" s="43" t="str">
        <f>IF(IFERROR(INDEX(Consulta!$A:$DP,MATCH('MM01'!$B135,Consulta!$C:$C,0),'MM01'!AR$2),"")=0,"",IFERROR(INDEX(Consulta!$A:$DP,MATCH('MM01'!$B135,Consulta!$C:$C,0),'MM01'!AR$2),""))</f>
        <v/>
      </c>
      <c r="AS135" s="43" t="str">
        <f>IF(IFERROR(INDEX(Consulta!$A:$DP,MATCH('MM01'!$B135,Consulta!$C:$C,0),'MM01'!AS$2),"")=0,"",IF(AR135="68",5102,IFERROR(INDEX(Consulta!$A:$DP,MATCH('MM01'!$B135,Consulta!$C:$C,0),'MM01'!AS$2),"")))</f>
        <v/>
      </c>
      <c r="AT135" s="45"/>
      <c r="AU135" s="46" t="str">
        <f t="shared" ca="1" si="85"/>
        <v/>
      </c>
      <c r="AV135" s="47" t="s">
        <v>795</v>
      </c>
      <c r="AW135" s="43" t="str">
        <f>IF(IFERROR(INDEX(Consulta!$A:$DP,MATCH('MM01'!$B135,Consulta!$C:$C,0),'MM01'!AW$2),"")=0,"",IFERROR(ROUND(INDEX(Consulta!$A:$DP,MATCH('MM01'!$B135,Consulta!$C:$C,0),'MM01'!AW$2),3),""))</f>
        <v/>
      </c>
      <c r="AX135" s="43" t="str">
        <f t="shared" si="86"/>
        <v/>
      </c>
      <c r="AY135" s="48" t="s">
        <v>299</v>
      </c>
      <c r="AZ135" s="48"/>
      <c r="BA135" s="43" t="str">
        <f>IF(IFERROR(INDEX(Consulta!$A:$DP,MATCH('MM01'!$B135,Consulta!$C:$C,0),'MM01'!BA$2),"")=0,"",IFERROR(INDEX(Consulta!$A:$DP,MATCH('MM01'!$B135,Consulta!$C:$C,0),'MM01'!BA$2),""))</f>
        <v/>
      </c>
      <c r="BB135" s="43" t="str">
        <f t="shared" si="87"/>
        <v/>
      </c>
      <c r="BC135" s="43" t="str">
        <f t="shared" si="88"/>
        <v/>
      </c>
      <c r="BD135" s="43" t="str">
        <f t="shared" si="89"/>
        <v/>
      </c>
      <c r="BE135" s="43" t="str">
        <f t="shared" si="90"/>
        <v>M</v>
      </c>
      <c r="BF135" s="43" t="str">
        <f t="shared" si="91"/>
        <v/>
      </c>
      <c r="BG135" s="43" t="str">
        <f t="shared" si="92"/>
        <v/>
      </c>
      <c r="BH135" s="43" t="str">
        <f t="shared" si="93"/>
        <v/>
      </c>
      <c r="BI135" s="43" t="str">
        <f t="shared" si="94"/>
        <v>M</v>
      </c>
      <c r="BK135" s="45" t="s">
        <v>324</v>
      </c>
      <c r="BL135" s="43" t="str">
        <f>IF(IFERROR(INDEX(Consulta!$A:$DP,MATCH('MM01'!$B135,Consulta!$C:$C,0),'MM01'!BL$2),"")=0,"",IFERROR(INDEX(Consulta!$A:$DP,MATCH('MM01'!$B135,Consulta!$C:$C,0),'MM01'!BL$2),""))</f>
        <v/>
      </c>
      <c r="BM135" s="45"/>
      <c r="BN135" s="46" t="str">
        <f t="shared" ca="1" si="95"/>
        <v/>
      </c>
      <c r="BO135" s="49" t="str">
        <f t="shared" si="96"/>
        <v/>
      </c>
      <c r="BP135" s="50">
        <v>1</v>
      </c>
      <c r="BQ135" s="50" t="s">
        <v>194</v>
      </c>
      <c r="BR135" s="79" t="str">
        <f t="shared" si="122"/>
        <v>01</v>
      </c>
      <c r="BS135" s="50" t="s">
        <v>795</v>
      </c>
      <c r="BT135" s="44">
        <v>1</v>
      </c>
      <c r="BU135" s="44" t="s">
        <v>371</v>
      </c>
      <c r="BV135" s="50" t="s">
        <v>197</v>
      </c>
      <c r="BW135" s="50" t="s">
        <v>197</v>
      </c>
      <c r="BX135" s="43" t="str">
        <f>IF(IFERROR(INDEX(Consulta!$A:$DP,MATCH('MM01'!$B135,Consulta!$C:$C,0),'MM01'!BX$2),"")=0,"",IFERROR(INDEX(Consulta!$A:$DP,MATCH('MM01'!$B135,Consulta!$C:$C,0),'MM01'!BX$2),""))</f>
        <v/>
      </c>
      <c r="BY135" s="44" t="s">
        <v>391</v>
      </c>
      <c r="BZ135" s="50">
        <v>0</v>
      </c>
      <c r="CA135" s="45" t="s">
        <v>402</v>
      </c>
      <c r="CB135" s="45" t="s">
        <v>84</v>
      </c>
      <c r="CC135" s="43" t="str">
        <f t="shared" si="97"/>
        <v/>
      </c>
      <c r="CD135" s="45" t="s">
        <v>38</v>
      </c>
      <c r="CE135" s="45">
        <v>1</v>
      </c>
      <c r="CF135" s="45" t="s">
        <v>495</v>
      </c>
      <c r="CG135" s="45"/>
      <c r="CH135" s="44">
        <v>2</v>
      </c>
      <c r="CI135" s="49" t="str">
        <f t="shared" si="98"/>
        <v/>
      </c>
      <c r="CJ135" s="49" t="str">
        <f t="shared" si="99"/>
        <v/>
      </c>
      <c r="CK135" s="45"/>
      <c r="CL135" s="44">
        <v>1</v>
      </c>
      <c r="CM135" s="50" t="s">
        <v>514</v>
      </c>
      <c r="CN135" s="44" t="s">
        <v>371</v>
      </c>
      <c r="CO135" s="44">
        <v>2</v>
      </c>
      <c r="CP135" s="44">
        <v>42</v>
      </c>
      <c r="CQ135" s="44">
        <v>10</v>
      </c>
      <c r="CR135" s="43" t="str">
        <f t="shared" si="100"/>
        <v>K00_P_</v>
      </c>
      <c r="CS135" s="45">
        <v>5000</v>
      </c>
      <c r="CT135" s="43" t="str">
        <f>IF(IFERROR(INDEX(Consulta!$A:$DP,MATCH('MM01'!$B135,Consulta!$C:$C,0),'MM01'!CT$2),"")=0,"",IFERROR(INDEX(Consulta!$A:$DP,MATCH('MM01'!$B135,Consulta!$C:$C,0),'MM01'!CT$2),""))</f>
        <v/>
      </c>
      <c r="CU135" s="43" t="str">
        <f>IF(IFERROR(INDEX(Consulta!$A:$DP,MATCH('MM01'!$B135,Consulta!$C:$C,0),'MM01'!CU$2),"")=0,"",IFERROR(INDEX(Consulta!$A:$DP,MATCH('MM01'!$B135,Consulta!$C:$C,0),'MM01'!CU$2),""))</f>
        <v/>
      </c>
      <c r="CV135" s="43" t="str">
        <f>IF(IFERROR(INDEX(Consulta!$A:$DP,MATCH('MM01'!$B135,Consulta!$C:$C,0),'MM01'!CV$2),"")=0,"",IFERROR(INDEX(Consulta!$A:$DP,MATCH('MM01'!$B135,Consulta!$C:$C,0),'MM01'!CV$2),""))</f>
        <v/>
      </c>
      <c r="CW135" s="43" t="str">
        <f>IF(IFERROR(INDEX(Consulta!$A:$DP,MATCH('MM01'!$B135,Consulta!$C:$C,0),'MM01'!CW$2),"")=0,"",IFERROR(INDEX(Consulta!$A:$DP,MATCH('MM01'!$B135,Consulta!$C:$C,0),'MM01'!CW$2),""))</f>
        <v/>
      </c>
      <c r="CX135" s="43" t="str">
        <f t="shared" si="101"/>
        <v/>
      </c>
      <c r="CY135" s="43" t="str">
        <f t="shared" si="102"/>
        <v/>
      </c>
      <c r="CZ135" s="43" t="str">
        <f t="shared" si="103"/>
        <v/>
      </c>
      <c r="DA135" s="43" t="str">
        <f>IF(IFERROR(INDEX(Consulta!$A:$DP,MATCH('MM01'!$B135,Consulta!$C:$C,0),'MM01'!DA$2),"")=0,"",IFERROR(INDEX(Consulta!$A:$DP,MATCH('MM01'!$B135,Consulta!$C:$C,0),'MM01'!DA$2),""))</f>
        <v/>
      </c>
      <c r="DB135" s="43" t="str">
        <f t="shared" si="104"/>
        <v/>
      </c>
      <c r="DC135" s="43" t="str">
        <f>IF(IFERROR(INDEX(Consulta!$A:$DP,MATCH('MM01'!$B135,Consulta!$C:$C,0),'MM01'!DC$2),"")=0,"",IFERROR(INDEX(Consulta!$A:$DP,MATCH('MM01'!$B135,Consulta!$C:$C,0),'MM01'!DC$2),""))</f>
        <v/>
      </c>
      <c r="DD135" s="45">
        <v>0</v>
      </c>
      <c r="DE135" s="45">
        <v>0</v>
      </c>
      <c r="DF135" s="43" t="str">
        <f t="shared" si="105"/>
        <v/>
      </c>
      <c r="DG135" s="43" t="str">
        <f t="shared" si="106"/>
        <v/>
      </c>
      <c r="DH135" s="57"/>
      <c r="DI135" s="43" t="str">
        <f t="shared" ca="1" si="107"/>
        <v/>
      </c>
      <c r="DJ135" s="43" t="str">
        <f t="shared" si="108"/>
        <v/>
      </c>
      <c r="DK135" s="43" t="str">
        <f t="shared" si="109"/>
        <v/>
      </c>
      <c r="DL135" s="57"/>
      <c r="DM135" s="43" t="str">
        <f t="shared" ca="1" si="110"/>
        <v/>
      </c>
      <c r="DN135" s="43" t="str">
        <f t="shared" si="111"/>
        <v/>
      </c>
      <c r="DO135" s="43" t="str">
        <f t="shared" si="112"/>
        <v/>
      </c>
      <c r="DP135" s="57"/>
      <c r="DQ135" s="43" t="str">
        <f t="shared" ca="1" si="113"/>
        <v/>
      </c>
      <c r="DR135" s="43" t="str">
        <f t="shared" si="114"/>
        <v/>
      </c>
      <c r="DS135" s="43" t="str">
        <f t="shared" si="115"/>
        <v/>
      </c>
      <c r="DT135" s="57"/>
      <c r="DU135" s="43" t="str">
        <f t="shared" ca="1" si="116"/>
        <v/>
      </c>
      <c r="DV135" s="43" t="str">
        <f t="shared" si="117"/>
        <v/>
      </c>
      <c r="DX135" s="44">
        <v>1</v>
      </c>
      <c r="DY135" s="44" t="s">
        <v>773</v>
      </c>
      <c r="DZ135" s="43">
        <f t="shared" si="118"/>
        <v>0.01</v>
      </c>
      <c r="EA135" s="43" t="str">
        <f t="shared" si="119"/>
        <v>M</v>
      </c>
      <c r="EB135" s="43" t="str">
        <f>IF(IFERROR(INDEX(Consulta!$A:$DP,MATCH('MM01'!$B135,Consulta!$C:$C,0),'MM01'!EB$2),"")=0,"7925",IF(IFERROR(INDEX(Consulta!$A:$DP,MATCH('MM01'!$B135,Consulta!$C:$C,0),'MM01'!EB$2),"")="68","7910","7925"))</f>
        <v>7925</v>
      </c>
      <c r="EC135" s="44">
        <v>100</v>
      </c>
      <c r="ED135" s="62">
        <v>1</v>
      </c>
      <c r="EE135" s="43">
        <f t="shared" si="120"/>
        <v>100</v>
      </c>
      <c r="EF135" s="44">
        <v>1</v>
      </c>
      <c r="EG135" s="44">
        <v>0</v>
      </c>
      <c r="EH135" s="44" t="s">
        <v>875</v>
      </c>
      <c r="EI135" s="45">
        <v>0</v>
      </c>
      <c r="EJ135" s="43">
        <f t="shared" si="121"/>
        <v>5000</v>
      </c>
      <c r="EK135" s="69"/>
    </row>
    <row r="136" spans="1:141" x14ac:dyDescent="0.2">
      <c r="A136" s="7" t="str">
        <f t="shared" si="82"/>
        <v>Execução 132</v>
      </c>
      <c r="B136" s="42"/>
      <c r="C136" s="43" t="str">
        <f>IF(IFERROR(INDEX(Consulta!$A:$DP,MATCH('MM01'!$B136,Consulta!$C:$C,0),'MM01'!C$2),"")=0,"",IFERROR(INDEX(Consulta!$A:$DP,MATCH('MM01'!$B136,Consulta!$C:$C,0),'MM01'!C$2),""))</f>
        <v/>
      </c>
      <c r="D136" s="43" t="str">
        <f>IF(IFERROR(INDEX(Consulta!$A:$DP,MATCH('MM01'!$B136,Consulta!$C:$C,0),'MM01'!D$2),"")=0,"",IFERROR(INDEX(Consulta!$A:$DP,MATCH('MM01'!$B136,Consulta!$C:$C,0),'MM01'!D$2),""))</f>
        <v/>
      </c>
      <c r="E136" s="43" t="str">
        <f>IF(IFERROR(INDEX(Consulta!$A:$DP,MATCH('MM01'!$B136,Consulta!$C:$C,0),'MM01'!E$2),"")=0,"",IFERROR(INDEX(Consulta!$A:$DP,MATCH('MM01'!$B136,Consulta!$C:$C,0),'MM01'!E$2),""))</f>
        <v/>
      </c>
      <c r="F136" s="44" t="s">
        <v>100</v>
      </c>
      <c r="G136" s="49" t="str">
        <f>IF(IFERROR(INDEX(Consulta!$A:$DP,MATCH('MM01'!$B136,Consulta!$C:$C,0),'MM01'!G$2),"")=0,"",IFERROR(INDEX(Consulta!$A:$DP,MATCH('MM01'!$B136,Consulta!$C:$C,0),'MM01'!G$2),""))</f>
        <v/>
      </c>
      <c r="H136" s="49" t="str">
        <f>IF(IFERROR(INDEX(Consulta!$A:$DP,MATCH('MM01'!$B136,Consulta!$C:$C,0),'MM01'!H$2),"")=0,"",IFERROR(INDEX(Consulta!$A:$DP,MATCH('MM01'!$B136,Consulta!$C:$C,0),'MM01'!H$2),""))</f>
        <v/>
      </c>
      <c r="I136" s="49" t="str">
        <f t="shared" si="83"/>
        <v/>
      </c>
      <c r="J136" s="49" t="str">
        <f>IF(IFERROR(INDEX(Consulta!$A:$DP,MATCH('MM01'!$B136,Consulta!$C:$C,0),'MM01'!J$2),"")=0,"",IFERROR(INDEX(Consulta!$A:$DP,MATCH('MM01'!$B136,Consulta!$C:$C,0),'MM01'!J$2),""))</f>
        <v/>
      </c>
      <c r="K136" s="49" t="str">
        <f t="shared" si="84"/>
        <v/>
      </c>
      <c r="M136" s="45" t="s">
        <v>101</v>
      </c>
      <c r="N136" s="45" t="s">
        <v>102</v>
      </c>
      <c r="O136" s="45" t="s">
        <v>103</v>
      </c>
      <c r="P136" s="45" t="s">
        <v>104</v>
      </c>
      <c r="Q136" s="45" t="s">
        <v>105</v>
      </c>
      <c r="R136" s="45" t="s">
        <v>106</v>
      </c>
      <c r="S136" s="45" t="s">
        <v>107</v>
      </c>
      <c r="T136" s="45"/>
      <c r="U136" s="45"/>
      <c r="V136" s="45"/>
      <c r="W136" s="45"/>
      <c r="X136" s="45" t="s">
        <v>112</v>
      </c>
      <c r="Y136" s="45" t="s">
        <v>113</v>
      </c>
      <c r="Z136" s="45" t="s">
        <v>114</v>
      </c>
      <c r="AA136" s="45" t="s">
        <v>115</v>
      </c>
      <c r="AB136" s="45" t="s">
        <v>117</v>
      </c>
      <c r="AC136" s="45" t="s">
        <v>118</v>
      </c>
      <c r="AD136" s="45" t="s">
        <v>119</v>
      </c>
      <c r="AE136" s="45" t="s">
        <v>120</v>
      </c>
      <c r="AF136" s="45" t="s">
        <v>121</v>
      </c>
      <c r="AG136" s="45" t="s">
        <v>122</v>
      </c>
      <c r="AH136" s="45" t="s">
        <v>123</v>
      </c>
      <c r="AI136" s="45" t="s">
        <v>124</v>
      </c>
      <c r="AJ136" s="45" t="s">
        <v>125</v>
      </c>
      <c r="AK136" s="45" t="s">
        <v>126</v>
      </c>
      <c r="AL136" s="45"/>
      <c r="AM136" s="45"/>
      <c r="AO136" s="44" t="s">
        <v>100</v>
      </c>
      <c r="AP136" s="43" t="str">
        <f>IF(IFERROR(INDEX(Consulta!$A:$DP,MATCH('MM01'!$B136,Consulta!$C:$C,0),'MM01'!AP$2),"")=0,"",IFERROR(INDEX(Consulta!$A:$DP,MATCH('MM01'!$B136,Consulta!$C:$C,0),'MM01'!AP$2),""))</f>
        <v/>
      </c>
      <c r="AQ136" s="45"/>
      <c r="AR136" s="43" t="str">
        <f>IF(IFERROR(INDEX(Consulta!$A:$DP,MATCH('MM01'!$B136,Consulta!$C:$C,0),'MM01'!AR$2),"")=0,"",IFERROR(INDEX(Consulta!$A:$DP,MATCH('MM01'!$B136,Consulta!$C:$C,0),'MM01'!AR$2),""))</f>
        <v/>
      </c>
      <c r="AS136" s="43" t="str">
        <f>IF(IFERROR(INDEX(Consulta!$A:$DP,MATCH('MM01'!$B136,Consulta!$C:$C,0),'MM01'!AS$2),"")=0,"",IF(AR136="68",5102,IFERROR(INDEX(Consulta!$A:$DP,MATCH('MM01'!$B136,Consulta!$C:$C,0),'MM01'!AS$2),"")))</f>
        <v/>
      </c>
      <c r="AT136" s="45"/>
      <c r="AU136" s="46" t="str">
        <f t="shared" ca="1" si="85"/>
        <v/>
      </c>
      <c r="AV136" s="47" t="s">
        <v>795</v>
      </c>
      <c r="AW136" s="43" t="str">
        <f>IF(IFERROR(INDEX(Consulta!$A:$DP,MATCH('MM01'!$B136,Consulta!$C:$C,0),'MM01'!AW$2),"")=0,"",IFERROR(ROUND(INDEX(Consulta!$A:$DP,MATCH('MM01'!$B136,Consulta!$C:$C,0),'MM01'!AW$2),3),""))</f>
        <v/>
      </c>
      <c r="AX136" s="43" t="str">
        <f t="shared" si="86"/>
        <v/>
      </c>
      <c r="AY136" s="48" t="s">
        <v>299</v>
      </c>
      <c r="AZ136" s="48"/>
      <c r="BA136" s="43" t="str">
        <f>IF(IFERROR(INDEX(Consulta!$A:$DP,MATCH('MM01'!$B136,Consulta!$C:$C,0),'MM01'!BA$2),"")=0,"",IFERROR(INDEX(Consulta!$A:$DP,MATCH('MM01'!$B136,Consulta!$C:$C,0),'MM01'!BA$2),""))</f>
        <v/>
      </c>
      <c r="BB136" s="43" t="str">
        <f t="shared" si="87"/>
        <v/>
      </c>
      <c r="BC136" s="43" t="str">
        <f t="shared" si="88"/>
        <v/>
      </c>
      <c r="BD136" s="43" t="str">
        <f t="shared" si="89"/>
        <v/>
      </c>
      <c r="BE136" s="43" t="str">
        <f t="shared" si="90"/>
        <v>M</v>
      </c>
      <c r="BF136" s="43" t="str">
        <f t="shared" si="91"/>
        <v/>
      </c>
      <c r="BG136" s="43" t="str">
        <f t="shared" si="92"/>
        <v/>
      </c>
      <c r="BH136" s="43" t="str">
        <f t="shared" si="93"/>
        <v/>
      </c>
      <c r="BI136" s="43" t="str">
        <f t="shared" si="94"/>
        <v>M</v>
      </c>
      <c r="BK136" s="45" t="s">
        <v>324</v>
      </c>
      <c r="BL136" s="43" t="str">
        <f>IF(IFERROR(INDEX(Consulta!$A:$DP,MATCH('MM01'!$B136,Consulta!$C:$C,0),'MM01'!BL$2),"")=0,"",IFERROR(INDEX(Consulta!$A:$DP,MATCH('MM01'!$B136,Consulta!$C:$C,0),'MM01'!BL$2),""))</f>
        <v/>
      </c>
      <c r="BM136" s="45"/>
      <c r="BN136" s="46" t="str">
        <f t="shared" ca="1" si="95"/>
        <v/>
      </c>
      <c r="BO136" s="49" t="str">
        <f t="shared" si="96"/>
        <v/>
      </c>
      <c r="BP136" s="50">
        <v>1</v>
      </c>
      <c r="BQ136" s="50" t="s">
        <v>194</v>
      </c>
      <c r="BR136" s="79" t="str">
        <f t="shared" si="122"/>
        <v>01</v>
      </c>
      <c r="BS136" s="50" t="s">
        <v>795</v>
      </c>
      <c r="BT136" s="44">
        <v>1</v>
      </c>
      <c r="BU136" s="44" t="s">
        <v>371</v>
      </c>
      <c r="BV136" s="50" t="s">
        <v>197</v>
      </c>
      <c r="BW136" s="50" t="s">
        <v>197</v>
      </c>
      <c r="BX136" s="43" t="str">
        <f>IF(IFERROR(INDEX(Consulta!$A:$DP,MATCH('MM01'!$B136,Consulta!$C:$C,0),'MM01'!BX$2),"")=0,"",IFERROR(INDEX(Consulta!$A:$DP,MATCH('MM01'!$B136,Consulta!$C:$C,0),'MM01'!BX$2),""))</f>
        <v/>
      </c>
      <c r="BY136" s="44" t="s">
        <v>391</v>
      </c>
      <c r="BZ136" s="50">
        <v>0</v>
      </c>
      <c r="CA136" s="45" t="s">
        <v>402</v>
      </c>
      <c r="CB136" s="45" t="s">
        <v>84</v>
      </c>
      <c r="CC136" s="43" t="str">
        <f t="shared" si="97"/>
        <v/>
      </c>
      <c r="CD136" s="45" t="s">
        <v>38</v>
      </c>
      <c r="CE136" s="45">
        <v>1</v>
      </c>
      <c r="CF136" s="45" t="s">
        <v>495</v>
      </c>
      <c r="CG136" s="45"/>
      <c r="CH136" s="44">
        <v>2</v>
      </c>
      <c r="CI136" s="49" t="str">
        <f t="shared" si="98"/>
        <v/>
      </c>
      <c r="CJ136" s="49" t="str">
        <f t="shared" si="99"/>
        <v/>
      </c>
      <c r="CK136" s="45"/>
      <c r="CL136" s="44">
        <v>1</v>
      </c>
      <c r="CM136" s="50" t="s">
        <v>514</v>
      </c>
      <c r="CN136" s="44" t="s">
        <v>371</v>
      </c>
      <c r="CO136" s="44">
        <v>2</v>
      </c>
      <c r="CP136" s="44">
        <v>42</v>
      </c>
      <c r="CQ136" s="44">
        <v>10</v>
      </c>
      <c r="CR136" s="43" t="str">
        <f t="shared" si="100"/>
        <v>K00_P_</v>
      </c>
      <c r="CS136" s="45">
        <v>5000</v>
      </c>
      <c r="CT136" s="43" t="str">
        <f>IF(IFERROR(INDEX(Consulta!$A:$DP,MATCH('MM01'!$B136,Consulta!$C:$C,0),'MM01'!CT$2),"")=0,"",IFERROR(INDEX(Consulta!$A:$DP,MATCH('MM01'!$B136,Consulta!$C:$C,0),'MM01'!CT$2),""))</f>
        <v/>
      </c>
      <c r="CU136" s="43" t="str">
        <f>IF(IFERROR(INDEX(Consulta!$A:$DP,MATCH('MM01'!$B136,Consulta!$C:$C,0),'MM01'!CU$2),"")=0,"",IFERROR(INDEX(Consulta!$A:$DP,MATCH('MM01'!$B136,Consulta!$C:$C,0),'MM01'!CU$2),""))</f>
        <v/>
      </c>
      <c r="CV136" s="43" t="str">
        <f>IF(IFERROR(INDEX(Consulta!$A:$DP,MATCH('MM01'!$B136,Consulta!$C:$C,0),'MM01'!CV$2),"")=0,"",IFERROR(INDEX(Consulta!$A:$DP,MATCH('MM01'!$B136,Consulta!$C:$C,0),'MM01'!CV$2),""))</f>
        <v/>
      </c>
      <c r="CW136" s="43" t="str">
        <f>IF(IFERROR(INDEX(Consulta!$A:$DP,MATCH('MM01'!$B136,Consulta!$C:$C,0),'MM01'!CW$2),"")=0,"",IFERROR(INDEX(Consulta!$A:$DP,MATCH('MM01'!$B136,Consulta!$C:$C,0),'MM01'!CW$2),""))</f>
        <v/>
      </c>
      <c r="CX136" s="43" t="str">
        <f t="shared" si="101"/>
        <v/>
      </c>
      <c r="CY136" s="43" t="str">
        <f t="shared" si="102"/>
        <v/>
      </c>
      <c r="CZ136" s="43" t="str">
        <f t="shared" si="103"/>
        <v/>
      </c>
      <c r="DA136" s="43" t="str">
        <f>IF(IFERROR(INDEX(Consulta!$A:$DP,MATCH('MM01'!$B136,Consulta!$C:$C,0),'MM01'!DA$2),"")=0,"",IFERROR(INDEX(Consulta!$A:$DP,MATCH('MM01'!$B136,Consulta!$C:$C,0),'MM01'!DA$2),""))</f>
        <v/>
      </c>
      <c r="DB136" s="43" t="str">
        <f t="shared" si="104"/>
        <v/>
      </c>
      <c r="DC136" s="43" t="str">
        <f>IF(IFERROR(INDEX(Consulta!$A:$DP,MATCH('MM01'!$B136,Consulta!$C:$C,0),'MM01'!DC$2),"")=0,"",IFERROR(INDEX(Consulta!$A:$DP,MATCH('MM01'!$B136,Consulta!$C:$C,0),'MM01'!DC$2),""))</f>
        <v/>
      </c>
      <c r="DD136" s="45">
        <v>0</v>
      </c>
      <c r="DE136" s="45">
        <v>0</v>
      </c>
      <c r="DF136" s="43" t="str">
        <f t="shared" si="105"/>
        <v/>
      </c>
      <c r="DG136" s="43" t="str">
        <f t="shared" si="106"/>
        <v/>
      </c>
      <c r="DH136" s="57"/>
      <c r="DI136" s="43" t="str">
        <f t="shared" ca="1" si="107"/>
        <v/>
      </c>
      <c r="DJ136" s="43" t="str">
        <f t="shared" si="108"/>
        <v/>
      </c>
      <c r="DK136" s="43" t="str">
        <f t="shared" si="109"/>
        <v/>
      </c>
      <c r="DL136" s="57"/>
      <c r="DM136" s="43" t="str">
        <f t="shared" ca="1" si="110"/>
        <v/>
      </c>
      <c r="DN136" s="43" t="str">
        <f t="shared" si="111"/>
        <v/>
      </c>
      <c r="DO136" s="43" t="str">
        <f t="shared" si="112"/>
        <v/>
      </c>
      <c r="DP136" s="57"/>
      <c r="DQ136" s="43" t="str">
        <f t="shared" ca="1" si="113"/>
        <v/>
      </c>
      <c r="DR136" s="43" t="str">
        <f t="shared" si="114"/>
        <v/>
      </c>
      <c r="DS136" s="43" t="str">
        <f t="shared" si="115"/>
        <v/>
      </c>
      <c r="DT136" s="57"/>
      <c r="DU136" s="43" t="str">
        <f t="shared" ca="1" si="116"/>
        <v/>
      </c>
      <c r="DV136" s="43" t="str">
        <f t="shared" si="117"/>
        <v/>
      </c>
      <c r="DX136" s="44">
        <v>1</v>
      </c>
      <c r="DY136" s="44" t="s">
        <v>773</v>
      </c>
      <c r="DZ136" s="43">
        <f t="shared" si="118"/>
        <v>0.01</v>
      </c>
      <c r="EA136" s="43" t="str">
        <f t="shared" si="119"/>
        <v>M</v>
      </c>
      <c r="EB136" s="43" t="str">
        <f>IF(IFERROR(INDEX(Consulta!$A:$DP,MATCH('MM01'!$B136,Consulta!$C:$C,0),'MM01'!EB$2),"")=0,"7925",IF(IFERROR(INDEX(Consulta!$A:$DP,MATCH('MM01'!$B136,Consulta!$C:$C,0),'MM01'!EB$2),"")="68","7910","7925"))</f>
        <v>7925</v>
      </c>
      <c r="EC136" s="44">
        <v>100</v>
      </c>
      <c r="ED136" s="62">
        <v>1</v>
      </c>
      <c r="EE136" s="43">
        <f t="shared" si="120"/>
        <v>100</v>
      </c>
      <c r="EF136" s="44">
        <v>1</v>
      </c>
      <c r="EG136" s="44">
        <v>0</v>
      </c>
      <c r="EH136" s="44" t="s">
        <v>875</v>
      </c>
      <c r="EI136" s="45">
        <v>0</v>
      </c>
      <c r="EJ136" s="43">
        <f t="shared" si="121"/>
        <v>5000</v>
      </c>
      <c r="EK136" s="69"/>
    </row>
    <row r="137" spans="1:141" x14ac:dyDescent="0.2">
      <c r="A137" s="7" t="str">
        <f t="shared" si="82"/>
        <v>Execução 133</v>
      </c>
      <c r="B137" s="42"/>
      <c r="C137" s="43" t="str">
        <f>IF(IFERROR(INDEX(Consulta!$A:$DP,MATCH('MM01'!$B137,Consulta!$C:$C,0),'MM01'!C$2),"")=0,"",IFERROR(INDEX(Consulta!$A:$DP,MATCH('MM01'!$B137,Consulta!$C:$C,0),'MM01'!C$2),""))</f>
        <v/>
      </c>
      <c r="D137" s="43" t="str">
        <f>IF(IFERROR(INDEX(Consulta!$A:$DP,MATCH('MM01'!$B137,Consulta!$C:$C,0),'MM01'!D$2),"")=0,"",IFERROR(INDEX(Consulta!$A:$DP,MATCH('MM01'!$B137,Consulta!$C:$C,0),'MM01'!D$2),""))</f>
        <v/>
      </c>
      <c r="E137" s="43" t="str">
        <f>IF(IFERROR(INDEX(Consulta!$A:$DP,MATCH('MM01'!$B137,Consulta!$C:$C,0),'MM01'!E$2),"")=0,"",IFERROR(INDEX(Consulta!$A:$DP,MATCH('MM01'!$B137,Consulta!$C:$C,0),'MM01'!E$2),""))</f>
        <v/>
      </c>
      <c r="F137" s="44" t="s">
        <v>100</v>
      </c>
      <c r="G137" s="49" t="str">
        <f>IF(IFERROR(INDEX(Consulta!$A:$DP,MATCH('MM01'!$B137,Consulta!$C:$C,0),'MM01'!G$2),"")=0,"",IFERROR(INDEX(Consulta!$A:$DP,MATCH('MM01'!$B137,Consulta!$C:$C,0),'MM01'!G$2),""))</f>
        <v/>
      </c>
      <c r="H137" s="49" t="str">
        <f>IF(IFERROR(INDEX(Consulta!$A:$DP,MATCH('MM01'!$B137,Consulta!$C:$C,0),'MM01'!H$2),"")=0,"",IFERROR(INDEX(Consulta!$A:$DP,MATCH('MM01'!$B137,Consulta!$C:$C,0),'MM01'!H$2),""))</f>
        <v/>
      </c>
      <c r="I137" s="49" t="str">
        <f t="shared" si="83"/>
        <v/>
      </c>
      <c r="J137" s="49" t="str">
        <f>IF(IFERROR(INDEX(Consulta!$A:$DP,MATCH('MM01'!$B137,Consulta!$C:$C,0),'MM01'!J$2),"")=0,"",IFERROR(INDEX(Consulta!$A:$DP,MATCH('MM01'!$B137,Consulta!$C:$C,0),'MM01'!J$2),""))</f>
        <v/>
      </c>
      <c r="K137" s="49" t="str">
        <f t="shared" si="84"/>
        <v/>
      </c>
      <c r="M137" s="45" t="s">
        <v>101</v>
      </c>
      <c r="N137" s="45" t="s">
        <v>102</v>
      </c>
      <c r="O137" s="45" t="s">
        <v>103</v>
      </c>
      <c r="P137" s="45" t="s">
        <v>104</v>
      </c>
      <c r="Q137" s="45" t="s">
        <v>105</v>
      </c>
      <c r="R137" s="45" t="s">
        <v>106</v>
      </c>
      <c r="S137" s="45" t="s">
        <v>107</v>
      </c>
      <c r="T137" s="45"/>
      <c r="U137" s="45"/>
      <c r="V137" s="45"/>
      <c r="W137" s="45"/>
      <c r="X137" s="45" t="s">
        <v>112</v>
      </c>
      <c r="Y137" s="45" t="s">
        <v>113</v>
      </c>
      <c r="Z137" s="45" t="s">
        <v>114</v>
      </c>
      <c r="AA137" s="45" t="s">
        <v>115</v>
      </c>
      <c r="AB137" s="45" t="s">
        <v>117</v>
      </c>
      <c r="AC137" s="45" t="s">
        <v>118</v>
      </c>
      <c r="AD137" s="45" t="s">
        <v>119</v>
      </c>
      <c r="AE137" s="45" t="s">
        <v>120</v>
      </c>
      <c r="AF137" s="45" t="s">
        <v>121</v>
      </c>
      <c r="AG137" s="45" t="s">
        <v>122</v>
      </c>
      <c r="AH137" s="45" t="s">
        <v>123</v>
      </c>
      <c r="AI137" s="45" t="s">
        <v>124</v>
      </c>
      <c r="AJ137" s="45" t="s">
        <v>125</v>
      </c>
      <c r="AK137" s="45" t="s">
        <v>126</v>
      </c>
      <c r="AL137" s="45"/>
      <c r="AM137" s="45"/>
      <c r="AO137" s="44" t="s">
        <v>100</v>
      </c>
      <c r="AP137" s="43" t="str">
        <f>IF(IFERROR(INDEX(Consulta!$A:$DP,MATCH('MM01'!$B137,Consulta!$C:$C,0),'MM01'!AP$2),"")=0,"",IFERROR(INDEX(Consulta!$A:$DP,MATCH('MM01'!$B137,Consulta!$C:$C,0),'MM01'!AP$2),""))</f>
        <v/>
      </c>
      <c r="AQ137" s="45"/>
      <c r="AR137" s="43" t="str">
        <f>IF(IFERROR(INDEX(Consulta!$A:$DP,MATCH('MM01'!$B137,Consulta!$C:$C,0),'MM01'!AR$2),"")=0,"",IFERROR(INDEX(Consulta!$A:$DP,MATCH('MM01'!$B137,Consulta!$C:$C,0),'MM01'!AR$2),""))</f>
        <v/>
      </c>
      <c r="AS137" s="43" t="str">
        <f>IF(IFERROR(INDEX(Consulta!$A:$DP,MATCH('MM01'!$B137,Consulta!$C:$C,0),'MM01'!AS$2),"")=0,"",IF(AR137="68",5102,IFERROR(INDEX(Consulta!$A:$DP,MATCH('MM01'!$B137,Consulta!$C:$C,0),'MM01'!AS$2),"")))</f>
        <v/>
      </c>
      <c r="AT137" s="45"/>
      <c r="AU137" s="46" t="str">
        <f t="shared" ca="1" si="85"/>
        <v/>
      </c>
      <c r="AV137" s="47" t="s">
        <v>795</v>
      </c>
      <c r="AW137" s="43" t="str">
        <f>IF(IFERROR(INDEX(Consulta!$A:$DP,MATCH('MM01'!$B137,Consulta!$C:$C,0),'MM01'!AW$2),"")=0,"",IFERROR(ROUND(INDEX(Consulta!$A:$DP,MATCH('MM01'!$B137,Consulta!$C:$C,0),'MM01'!AW$2),3),""))</f>
        <v/>
      </c>
      <c r="AX137" s="43" t="str">
        <f t="shared" si="86"/>
        <v/>
      </c>
      <c r="AY137" s="48" t="s">
        <v>299</v>
      </c>
      <c r="AZ137" s="48"/>
      <c r="BA137" s="43" t="str">
        <f>IF(IFERROR(INDEX(Consulta!$A:$DP,MATCH('MM01'!$B137,Consulta!$C:$C,0),'MM01'!BA$2),"")=0,"",IFERROR(INDEX(Consulta!$A:$DP,MATCH('MM01'!$B137,Consulta!$C:$C,0),'MM01'!BA$2),""))</f>
        <v/>
      </c>
      <c r="BB137" s="43" t="str">
        <f t="shared" si="87"/>
        <v/>
      </c>
      <c r="BC137" s="43" t="str">
        <f t="shared" si="88"/>
        <v/>
      </c>
      <c r="BD137" s="43" t="str">
        <f t="shared" si="89"/>
        <v/>
      </c>
      <c r="BE137" s="43" t="str">
        <f t="shared" si="90"/>
        <v>M</v>
      </c>
      <c r="BF137" s="43" t="str">
        <f t="shared" si="91"/>
        <v/>
      </c>
      <c r="BG137" s="43" t="str">
        <f t="shared" si="92"/>
        <v/>
      </c>
      <c r="BH137" s="43" t="str">
        <f t="shared" si="93"/>
        <v/>
      </c>
      <c r="BI137" s="43" t="str">
        <f t="shared" si="94"/>
        <v>M</v>
      </c>
      <c r="BK137" s="45" t="s">
        <v>324</v>
      </c>
      <c r="BL137" s="43" t="str">
        <f>IF(IFERROR(INDEX(Consulta!$A:$DP,MATCH('MM01'!$B137,Consulta!$C:$C,0),'MM01'!BL$2),"")=0,"",IFERROR(INDEX(Consulta!$A:$DP,MATCH('MM01'!$B137,Consulta!$C:$C,0),'MM01'!BL$2),""))</f>
        <v/>
      </c>
      <c r="BM137" s="45"/>
      <c r="BN137" s="46" t="str">
        <f t="shared" ca="1" si="95"/>
        <v/>
      </c>
      <c r="BO137" s="49" t="str">
        <f t="shared" si="96"/>
        <v/>
      </c>
      <c r="BP137" s="50">
        <v>1</v>
      </c>
      <c r="BQ137" s="50" t="s">
        <v>194</v>
      </c>
      <c r="BR137" s="79" t="str">
        <f t="shared" si="122"/>
        <v>01</v>
      </c>
      <c r="BS137" s="50" t="s">
        <v>795</v>
      </c>
      <c r="BT137" s="44">
        <v>1</v>
      </c>
      <c r="BU137" s="44" t="s">
        <v>371</v>
      </c>
      <c r="BV137" s="50" t="s">
        <v>197</v>
      </c>
      <c r="BW137" s="50" t="s">
        <v>197</v>
      </c>
      <c r="BX137" s="43" t="str">
        <f>IF(IFERROR(INDEX(Consulta!$A:$DP,MATCH('MM01'!$B137,Consulta!$C:$C,0),'MM01'!BX$2),"")=0,"",IFERROR(INDEX(Consulta!$A:$DP,MATCH('MM01'!$B137,Consulta!$C:$C,0),'MM01'!BX$2),""))</f>
        <v/>
      </c>
      <c r="BY137" s="44" t="s">
        <v>391</v>
      </c>
      <c r="BZ137" s="50">
        <v>0</v>
      </c>
      <c r="CA137" s="45" t="s">
        <v>402</v>
      </c>
      <c r="CB137" s="45" t="s">
        <v>84</v>
      </c>
      <c r="CC137" s="43" t="str">
        <f t="shared" si="97"/>
        <v/>
      </c>
      <c r="CD137" s="45" t="s">
        <v>38</v>
      </c>
      <c r="CE137" s="45">
        <v>1</v>
      </c>
      <c r="CF137" s="45" t="s">
        <v>495</v>
      </c>
      <c r="CG137" s="45"/>
      <c r="CH137" s="44">
        <v>2</v>
      </c>
      <c r="CI137" s="49" t="str">
        <f t="shared" si="98"/>
        <v/>
      </c>
      <c r="CJ137" s="49" t="str">
        <f t="shared" si="99"/>
        <v/>
      </c>
      <c r="CK137" s="45"/>
      <c r="CL137" s="44">
        <v>1</v>
      </c>
      <c r="CM137" s="50" t="s">
        <v>514</v>
      </c>
      <c r="CN137" s="44" t="s">
        <v>371</v>
      </c>
      <c r="CO137" s="44">
        <v>2</v>
      </c>
      <c r="CP137" s="44">
        <v>42</v>
      </c>
      <c r="CQ137" s="44">
        <v>10</v>
      </c>
      <c r="CR137" s="43" t="str">
        <f t="shared" si="100"/>
        <v>K00_P_</v>
      </c>
      <c r="CS137" s="45">
        <v>5000</v>
      </c>
      <c r="CT137" s="43" t="str">
        <f>IF(IFERROR(INDEX(Consulta!$A:$DP,MATCH('MM01'!$B137,Consulta!$C:$C,0),'MM01'!CT$2),"")=0,"",IFERROR(INDEX(Consulta!$A:$DP,MATCH('MM01'!$B137,Consulta!$C:$C,0),'MM01'!CT$2),""))</f>
        <v/>
      </c>
      <c r="CU137" s="43" t="str">
        <f>IF(IFERROR(INDEX(Consulta!$A:$DP,MATCH('MM01'!$B137,Consulta!$C:$C,0),'MM01'!CU$2),"")=0,"",IFERROR(INDEX(Consulta!$A:$DP,MATCH('MM01'!$B137,Consulta!$C:$C,0),'MM01'!CU$2),""))</f>
        <v/>
      </c>
      <c r="CV137" s="43" t="str">
        <f>IF(IFERROR(INDEX(Consulta!$A:$DP,MATCH('MM01'!$B137,Consulta!$C:$C,0),'MM01'!CV$2),"")=0,"",IFERROR(INDEX(Consulta!$A:$DP,MATCH('MM01'!$B137,Consulta!$C:$C,0),'MM01'!CV$2),""))</f>
        <v/>
      </c>
      <c r="CW137" s="43" t="str">
        <f>IF(IFERROR(INDEX(Consulta!$A:$DP,MATCH('MM01'!$B137,Consulta!$C:$C,0),'MM01'!CW$2),"")=0,"",IFERROR(INDEX(Consulta!$A:$DP,MATCH('MM01'!$B137,Consulta!$C:$C,0),'MM01'!CW$2),""))</f>
        <v/>
      </c>
      <c r="CX137" s="43" t="str">
        <f t="shared" si="101"/>
        <v/>
      </c>
      <c r="CY137" s="43" t="str">
        <f t="shared" si="102"/>
        <v/>
      </c>
      <c r="CZ137" s="43" t="str">
        <f t="shared" si="103"/>
        <v/>
      </c>
      <c r="DA137" s="43" t="str">
        <f>IF(IFERROR(INDEX(Consulta!$A:$DP,MATCH('MM01'!$B137,Consulta!$C:$C,0),'MM01'!DA$2),"")=0,"",IFERROR(INDEX(Consulta!$A:$DP,MATCH('MM01'!$B137,Consulta!$C:$C,0),'MM01'!DA$2),""))</f>
        <v/>
      </c>
      <c r="DB137" s="43" t="str">
        <f t="shared" si="104"/>
        <v/>
      </c>
      <c r="DC137" s="43" t="str">
        <f>IF(IFERROR(INDEX(Consulta!$A:$DP,MATCH('MM01'!$B137,Consulta!$C:$C,0),'MM01'!DC$2),"")=0,"",IFERROR(INDEX(Consulta!$A:$DP,MATCH('MM01'!$B137,Consulta!$C:$C,0),'MM01'!DC$2),""))</f>
        <v/>
      </c>
      <c r="DD137" s="45">
        <v>0</v>
      </c>
      <c r="DE137" s="45">
        <v>0</v>
      </c>
      <c r="DF137" s="43" t="str">
        <f t="shared" si="105"/>
        <v/>
      </c>
      <c r="DG137" s="43" t="str">
        <f t="shared" si="106"/>
        <v/>
      </c>
      <c r="DH137" s="57"/>
      <c r="DI137" s="43" t="str">
        <f t="shared" ca="1" si="107"/>
        <v/>
      </c>
      <c r="DJ137" s="43" t="str">
        <f t="shared" si="108"/>
        <v/>
      </c>
      <c r="DK137" s="43" t="str">
        <f t="shared" si="109"/>
        <v/>
      </c>
      <c r="DL137" s="57"/>
      <c r="DM137" s="43" t="str">
        <f t="shared" ca="1" si="110"/>
        <v/>
      </c>
      <c r="DN137" s="43" t="str">
        <f t="shared" si="111"/>
        <v/>
      </c>
      <c r="DO137" s="43" t="str">
        <f t="shared" si="112"/>
        <v/>
      </c>
      <c r="DP137" s="57"/>
      <c r="DQ137" s="43" t="str">
        <f t="shared" ca="1" si="113"/>
        <v/>
      </c>
      <c r="DR137" s="43" t="str">
        <f t="shared" si="114"/>
        <v/>
      </c>
      <c r="DS137" s="43" t="str">
        <f t="shared" si="115"/>
        <v/>
      </c>
      <c r="DT137" s="57"/>
      <c r="DU137" s="43" t="str">
        <f t="shared" ca="1" si="116"/>
        <v/>
      </c>
      <c r="DV137" s="43" t="str">
        <f t="shared" si="117"/>
        <v/>
      </c>
      <c r="DX137" s="44">
        <v>1</v>
      </c>
      <c r="DY137" s="44" t="s">
        <v>773</v>
      </c>
      <c r="DZ137" s="43">
        <f t="shared" si="118"/>
        <v>0.01</v>
      </c>
      <c r="EA137" s="43" t="str">
        <f t="shared" si="119"/>
        <v>M</v>
      </c>
      <c r="EB137" s="43" t="str">
        <f>IF(IFERROR(INDEX(Consulta!$A:$DP,MATCH('MM01'!$B137,Consulta!$C:$C,0),'MM01'!EB$2),"")=0,"7925",IF(IFERROR(INDEX(Consulta!$A:$DP,MATCH('MM01'!$B137,Consulta!$C:$C,0),'MM01'!EB$2),"")="68","7910","7925"))</f>
        <v>7925</v>
      </c>
      <c r="EC137" s="44">
        <v>100</v>
      </c>
      <c r="ED137" s="62">
        <v>1</v>
      </c>
      <c r="EE137" s="43">
        <f t="shared" si="120"/>
        <v>100</v>
      </c>
      <c r="EF137" s="44">
        <v>1</v>
      </c>
      <c r="EG137" s="44">
        <v>0</v>
      </c>
      <c r="EH137" s="44" t="s">
        <v>875</v>
      </c>
      <c r="EI137" s="45">
        <v>0</v>
      </c>
      <c r="EJ137" s="43">
        <f t="shared" si="121"/>
        <v>5000</v>
      </c>
      <c r="EK137" s="69"/>
    </row>
    <row r="138" spans="1:141" x14ac:dyDescent="0.2">
      <c r="A138" s="7" t="str">
        <f t="shared" si="82"/>
        <v>Execução 134</v>
      </c>
      <c r="B138" s="42"/>
      <c r="C138" s="43" t="str">
        <f>IF(IFERROR(INDEX(Consulta!$A:$DP,MATCH('MM01'!$B138,Consulta!$C:$C,0),'MM01'!C$2),"")=0,"",IFERROR(INDEX(Consulta!$A:$DP,MATCH('MM01'!$B138,Consulta!$C:$C,0),'MM01'!C$2),""))</f>
        <v/>
      </c>
      <c r="D138" s="43" t="str">
        <f>IF(IFERROR(INDEX(Consulta!$A:$DP,MATCH('MM01'!$B138,Consulta!$C:$C,0),'MM01'!D$2),"")=0,"",IFERROR(INDEX(Consulta!$A:$DP,MATCH('MM01'!$B138,Consulta!$C:$C,0),'MM01'!D$2),""))</f>
        <v/>
      </c>
      <c r="E138" s="43" t="str">
        <f>IF(IFERROR(INDEX(Consulta!$A:$DP,MATCH('MM01'!$B138,Consulta!$C:$C,0),'MM01'!E$2),"")=0,"",IFERROR(INDEX(Consulta!$A:$DP,MATCH('MM01'!$B138,Consulta!$C:$C,0),'MM01'!E$2),""))</f>
        <v/>
      </c>
      <c r="F138" s="44" t="s">
        <v>100</v>
      </c>
      <c r="G138" s="49" t="str">
        <f>IF(IFERROR(INDEX(Consulta!$A:$DP,MATCH('MM01'!$B138,Consulta!$C:$C,0),'MM01'!G$2),"")=0,"",IFERROR(INDEX(Consulta!$A:$DP,MATCH('MM01'!$B138,Consulta!$C:$C,0),'MM01'!G$2),""))</f>
        <v/>
      </c>
      <c r="H138" s="49" t="str">
        <f>IF(IFERROR(INDEX(Consulta!$A:$DP,MATCH('MM01'!$B138,Consulta!$C:$C,0),'MM01'!H$2),"")=0,"",IFERROR(INDEX(Consulta!$A:$DP,MATCH('MM01'!$B138,Consulta!$C:$C,0),'MM01'!H$2),""))</f>
        <v/>
      </c>
      <c r="I138" s="49" t="str">
        <f t="shared" si="83"/>
        <v/>
      </c>
      <c r="J138" s="49" t="str">
        <f>IF(IFERROR(INDEX(Consulta!$A:$DP,MATCH('MM01'!$B138,Consulta!$C:$C,0),'MM01'!J$2),"")=0,"",IFERROR(INDEX(Consulta!$A:$DP,MATCH('MM01'!$B138,Consulta!$C:$C,0),'MM01'!J$2),""))</f>
        <v/>
      </c>
      <c r="K138" s="49" t="str">
        <f t="shared" si="84"/>
        <v/>
      </c>
      <c r="M138" s="45" t="s">
        <v>101</v>
      </c>
      <c r="N138" s="45" t="s">
        <v>102</v>
      </c>
      <c r="O138" s="45" t="s">
        <v>103</v>
      </c>
      <c r="P138" s="45" t="s">
        <v>104</v>
      </c>
      <c r="Q138" s="45" t="s">
        <v>105</v>
      </c>
      <c r="R138" s="45" t="s">
        <v>106</v>
      </c>
      <c r="S138" s="45" t="s">
        <v>107</v>
      </c>
      <c r="T138" s="45"/>
      <c r="U138" s="45"/>
      <c r="V138" s="45"/>
      <c r="W138" s="45"/>
      <c r="X138" s="45" t="s">
        <v>112</v>
      </c>
      <c r="Y138" s="45" t="s">
        <v>113</v>
      </c>
      <c r="Z138" s="45" t="s">
        <v>114</v>
      </c>
      <c r="AA138" s="45" t="s">
        <v>115</v>
      </c>
      <c r="AB138" s="45" t="s">
        <v>117</v>
      </c>
      <c r="AC138" s="45" t="s">
        <v>118</v>
      </c>
      <c r="AD138" s="45" t="s">
        <v>119</v>
      </c>
      <c r="AE138" s="45" t="s">
        <v>120</v>
      </c>
      <c r="AF138" s="45" t="s">
        <v>121</v>
      </c>
      <c r="AG138" s="45" t="s">
        <v>122</v>
      </c>
      <c r="AH138" s="45" t="s">
        <v>123</v>
      </c>
      <c r="AI138" s="45" t="s">
        <v>124</v>
      </c>
      <c r="AJ138" s="45" t="s">
        <v>125</v>
      </c>
      <c r="AK138" s="45" t="s">
        <v>126</v>
      </c>
      <c r="AL138" s="45"/>
      <c r="AM138" s="45"/>
      <c r="AO138" s="44" t="s">
        <v>100</v>
      </c>
      <c r="AP138" s="43" t="str">
        <f>IF(IFERROR(INDEX(Consulta!$A:$DP,MATCH('MM01'!$B138,Consulta!$C:$C,0),'MM01'!AP$2),"")=0,"",IFERROR(INDEX(Consulta!$A:$DP,MATCH('MM01'!$B138,Consulta!$C:$C,0),'MM01'!AP$2),""))</f>
        <v/>
      </c>
      <c r="AQ138" s="45"/>
      <c r="AR138" s="43" t="str">
        <f>IF(IFERROR(INDEX(Consulta!$A:$DP,MATCH('MM01'!$B138,Consulta!$C:$C,0),'MM01'!AR$2),"")=0,"",IFERROR(INDEX(Consulta!$A:$DP,MATCH('MM01'!$B138,Consulta!$C:$C,0),'MM01'!AR$2),""))</f>
        <v/>
      </c>
      <c r="AS138" s="43" t="str">
        <f>IF(IFERROR(INDEX(Consulta!$A:$DP,MATCH('MM01'!$B138,Consulta!$C:$C,0),'MM01'!AS$2),"")=0,"",IF(AR138="68",5102,IFERROR(INDEX(Consulta!$A:$DP,MATCH('MM01'!$B138,Consulta!$C:$C,0),'MM01'!AS$2),"")))</f>
        <v/>
      </c>
      <c r="AT138" s="45"/>
      <c r="AU138" s="46" t="str">
        <f t="shared" ca="1" si="85"/>
        <v/>
      </c>
      <c r="AV138" s="47" t="s">
        <v>795</v>
      </c>
      <c r="AW138" s="43" t="str">
        <f>IF(IFERROR(INDEX(Consulta!$A:$DP,MATCH('MM01'!$B138,Consulta!$C:$C,0),'MM01'!AW$2),"")=0,"",IFERROR(ROUND(INDEX(Consulta!$A:$DP,MATCH('MM01'!$B138,Consulta!$C:$C,0),'MM01'!AW$2),3),""))</f>
        <v/>
      </c>
      <c r="AX138" s="43" t="str">
        <f t="shared" si="86"/>
        <v/>
      </c>
      <c r="AY138" s="48" t="s">
        <v>299</v>
      </c>
      <c r="AZ138" s="48"/>
      <c r="BA138" s="43" t="str">
        <f>IF(IFERROR(INDEX(Consulta!$A:$DP,MATCH('MM01'!$B138,Consulta!$C:$C,0),'MM01'!BA$2),"")=0,"",IFERROR(INDEX(Consulta!$A:$DP,MATCH('MM01'!$B138,Consulta!$C:$C,0),'MM01'!BA$2),""))</f>
        <v/>
      </c>
      <c r="BB138" s="43" t="str">
        <f t="shared" si="87"/>
        <v/>
      </c>
      <c r="BC138" s="43" t="str">
        <f t="shared" si="88"/>
        <v/>
      </c>
      <c r="BD138" s="43" t="str">
        <f t="shared" si="89"/>
        <v/>
      </c>
      <c r="BE138" s="43" t="str">
        <f t="shared" si="90"/>
        <v>M</v>
      </c>
      <c r="BF138" s="43" t="str">
        <f t="shared" si="91"/>
        <v/>
      </c>
      <c r="BG138" s="43" t="str">
        <f t="shared" si="92"/>
        <v/>
      </c>
      <c r="BH138" s="43" t="str">
        <f t="shared" si="93"/>
        <v/>
      </c>
      <c r="BI138" s="43" t="str">
        <f t="shared" si="94"/>
        <v>M</v>
      </c>
      <c r="BK138" s="45" t="s">
        <v>324</v>
      </c>
      <c r="BL138" s="43" t="str">
        <f>IF(IFERROR(INDEX(Consulta!$A:$DP,MATCH('MM01'!$B138,Consulta!$C:$C,0),'MM01'!BL$2),"")=0,"",IFERROR(INDEX(Consulta!$A:$DP,MATCH('MM01'!$B138,Consulta!$C:$C,0),'MM01'!BL$2),""))</f>
        <v/>
      </c>
      <c r="BM138" s="45"/>
      <c r="BN138" s="46" t="str">
        <f t="shared" ca="1" si="95"/>
        <v/>
      </c>
      <c r="BO138" s="49" t="str">
        <f t="shared" si="96"/>
        <v/>
      </c>
      <c r="BP138" s="50">
        <v>1</v>
      </c>
      <c r="BQ138" s="50" t="s">
        <v>194</v>
      </c>
      <c r="BR138" s="79" t="str">
        <f t="shared" si="122"/>
        <v>01</v>
      </c>
      <c r="BS138" s="50" t="s">
        <v>795</v>
      </c>
      <c r="BT138" s="44">
        <v>1</v>
      </c>
      <c r="BU138" s="44" t="s">
        <v>371</v>
      </c>
      <c r="BV138" s="50" t="s">
        <v>197</v>
      </c>
      <c r="BW138" s="50" t="s">
        <v>197</v>
      </c>
      <c r="BX138" s="43" t="str">
        <f>IF(IFERROR(INDEX(Consulta!$A:$DP,MATCH('MM01'!$B138,Consulta!$C:$C,0),'MM01'!BX$2),"")=0,"",IFERROR(INDEX(Consulta!$A:$DP,MATCH('MM01'!$B138,Consulta!$C:$C,0),'MM01'!BX$2),""))</f>
        <v/>
      </c>
      <c r="BY138" s="44" t="s">
        <v>391</v>
      </c>
      <c r="BZ138" s="50">
        <v>0</v>
      </c>
      <c r="CA138" s="45" t="s">
        <v>402</v>
      </c>
      <c r="CB138" s="45" t="s">
        <v>84</v>
      </c>
      <c r="CC138" s="43" t="str">
        <f t="shared" si="97"/>
        <v/>
      </c>
      <c r="CD138" s="45" t="s">
        <v>38</v>
      </c>
      <c r="CE138" s="45">
        <v>1</v>
      </c>
      <c r="CF138" s="45" t="s">
        <v>495</v>
      </c>
      <c r="CG138" s="45"/>
      <c r="CH138" s="44">
        <v>2</v>
      </c>
      <c r="CI138" s="49" t="str">
        <f t="shared" si="98"/>
        <v/>
      </c>
      <c r="CJ138" s="49" t="str">
        <f t="shared" si="99"/>
        <v/>
      </c>
      <c r="CK138" s="45"/>
      <c r="CL138" s="44">
        <v>1</v>
      </c>
      <c r="CM138" s="50" t="s">
        <v>514</v>
      </c>
      <c r="CN138" s="44" t="s">
        <v>371</v>
      </c>
      <c r="CO138" s="44">
        <v>2</v>
      </c>
      <c r="CP138" s="44">
        <v>42</v>
      </c>
      <c r="CQ138" s="44">
        <v>10</v>
      </c>
      <c r="CR138" s="43" t="str">
        <f t="shared" si="100"/>
        <v>K00_P_</v>
      </c>
      <c r="CS138" s="45">
        <v>5000</v>
      </c>
      <c r="CT138" s="43" t="str">
        <f>IF(IFERROR(INDEX(Consulta!$A:$DP,MATCH('MM01'!$B138,Consulta!$C:$C,0),'MM01'!CT$2),"")=0,"",IFERROR(INDEX(Consulta!$A:$DP,MATCH('MM01'!$B138,Consulta!$C:$C,0),'MM01'!CT$2),""))</f>
        <v/>
      </c>
      <c r="CU138" s="43" t="str">
        <f>IF(IFERROR(INDEX(Consulta!$A:$DP,MATCH('MM01'!$B138,Consulta!$C:$C,0),'MM01'!CU$2),"")=0,"",IFERROR(INDEX(Consulta!$A:$DP,MATCH('MM01'!$B138,Consulta!$C:$C,0),'MM01'!CU$2),""))</f>
        <v/>
      </c>
      <c r="CV138" s="43" t="str">
        <f>IF(IFERROR(INDEX(Consulta!$A:$DP,MATCH('MM01'!$B138,Consulta!$C:$C,0),'MM01'!CV$2),"")=0,"",IFERROR(INDEX(Consulta!$A:$DP,MATCH('MM01'!$B138,Consulta!$C:$C,0),'MM01'!CV$2),""))</f>
        <v/>
      </c>
      <c r="CW138" s="43" t="str">
        <f>IF(IFERROR(INDEX(Consulta!$A:$DP,MATCH('MM01'!$B138,Consulta!$C:$C,0),'MM01'!CW$2),"")=0,"",IFERROR(INDEX(Consulta!$A:$DP,MATCH('MM01'!$B138,Consulta!$C:$C,0),'MM01'!CW$2),""))</f>
        <v/>
      </c>
      <c r="CX138" s="43" t="str">
        <f t="shared" si="101"/>
        <v/>
      </c>
      <c r="CY138" s="43" t="str">
        <f t="shared" si="102"/>
        <v/>
      </c>
      <c r="CZ138" s="43" t="str">
        <f t="shared" si="103"/>
        <v/>
      </c>
      <c r="DA138" s="43" t="str">
        <f>IF(IFERROR(INDEX(Consulta!$A:$DP,MATCH('MM01'!$B138,Consulta!$C:$C,0),'MM01'!DA$2),"")=0,"",IFERROR(INDEX(Consulta!$A:$DP,MATCH('MM01'!$B138,Consulta!$C:$C,0),'MM01'!DA$2),""))</f>
        <v/>
      </c>
      <c r="DB138" s="43" t="str">
        <f t="shared" si="104"/>
        <v/>
      </c>
      <c r="DC138" s="43" t="str">
        <f>IF(IFERROR(INDEX(Consulta!$A:$DP,MATCH('MM01'!$B138,Consulta!$C:$C,0),'MM01'!DC$2),"")=0,"",IFERROR(INDEX(Consulta!$A:$DP,MATCH('MM01'!$B138,Consulta!$C:$C,0),'MM01'!DC$2),""))</f>
        <v/>
      </c>
      <c r="DD138" s="45">
        <v>0</v>
      </c>
      <c r="DE138" s="45">
        <v>0</v>
      </c>
      <c r="DF138" s="43" t="str">
        <f t="shared" si="105"/>
        <v/>
      </c>
      <c r="DG138" s="43" t="str">
        <f t="shared" si="106"/>
        <v/>
      </c>
      <c r="DH138" s="57"/>
      <c r="DI138" s="43" t="str">
        <f t="shared" ca="1" si="107"/>
        <v/>
      </c>
      <c r="DJ138" s="43" t="str">
        <f t="shared" si="108"/>
        <v/>
      </c>
      <c r="DK138" s="43" t="str">
        <f t="shared" si="109"/>
        <v/>
      </c>
      <c r="DL138" s="57"/>
      <c r="DM138" s="43" t="str">
        <f t="shared" ca="1" si="110"/>
        <v/>
      </c>
      <c r="DN138" s="43" t="str">
        <f t="shared" si="111"/>
        <v/>
      </c>
      <c r="DO138" s="43" t="str">
        <f t="shared" si="112"/>
        <v/>
      </c>
      <c r="DP138" s="57"/>
      <c r="DQ138" s="43" t="str">
        <f t="shared" ca="1" si="113"/>
        <v/>
      </c>
      <c r="DR138" s="43" t="str">
        <f t="shared" si="114"/>
        <v/>
      </c>
      <c r="DS138" s="43" t="str">
        <f t="shared" si="115"/>
        <v/>
      </c>
      <c r="DT138" s="57"/>
      <c r="DU138" s="43" t="str">
        <f t="shared" ca="1" si="116"/>
        <v/>
      </c>
      <c r="DV138" s="43" t="str">
        <f t="shared" si="117"/>
        <v/>
      </c>
      <c r="DX138" s="44">
        <v>1</v>
      </c>
      <c r="DY138" s="44" t="s">
        <v>773</v>
      </c>
      <c r="DZ138" s="43">
        <f t="shared" si="118"/>
        <v>0.01</v>
      </c>
      <c r="EA138" s="43" t="str">
        <f t="shared" si="119"/>
        <v>M</v>
      </c>
      <c r="EB138" s="43" t="str">
        <f>IF(IFERROR(INDEX(Consulta!$A:$DP,MATCH('MM01'!$B138,Consulta!$C:$C,0),'MM01'!EB$2),"")=0,"7925",IF(IFERROR(INDEX(Consulta!$A:$DP,MATCH('MM01'!$B138,Consulta!$C:$C,0),'MM01'!EB$2),"")="68","7910","7925"))</f>
        <v>7925</v>
      </c>
      <c r="EC138" s="44">
        <v>100</v>
      </c>
      <c r="ED138" s="62">
        <v>1</v>
      </c>
      <c r="EE138" s="43">
        <f t="shared" si="120"/>
        <v>100</v>
      </c>
      <c r="EF138" s="44">
        <v>1</v>
      </c>
      <c r="EG138" s="44">
        <v>0</v>
      </c>
      <c r="EH138" s="44" t="s">
        <v>875</v>
      </c>
      <c r="EI138" s="45">
        <v>0</v>
      </c>
      <c r="EJ138" s="43">
        <f t="shared" si="121"/>
        <v>5000</v>
      </c>
      <c r="EK138" s="69"/>
    </row>
    <row r="139" spans="1:141" x14ac:dyDescent="0.2">
      <c r="A139" s="7" t="str">
        <f t="shared" si="82"/>
        <v>Execução 135</v>
      </c>
      <c r="B139" s="42"/>
      <c r="C139" s="43" t="str">
        <f>IF(IFERROR(INDEX(Consulta!$A:$DP,MATCH('MM01'!$B139,Consulta!$C:$C,0),'MM01'!C$2),"")=0,"",IFERROR(INDEX(Consulta!$A:$DP,MATCH('MM01'!$B139,Consulta!$C:$C,0),'MM01'!C$2),""))</f>
        <v/>
      </c>
      <c r="D139" s="43" t="str">
        <f>IF(IFERROR(INDEX(Consulta!$A:$DP,MATCH('MM01'!$B139,Consulta!$C:$C,0),'MM01'!D$2),"")=0,"",IFERROR(INDEX(Consulta!$A:$DP,MATCH('MM01'!$B139,Consulta!$C:$C,0),'MM01'!D$2),""))</f>
        <v/>
      </c>
      <c r="E139" s="43" t="str">
        <f>IF(IFERROR(INDEX(Consulta!$A:$DP,MATCH('MM01'!$B139,Consulta!$C:$C,0),'MM01'!E$2),"")=0,"",IFERROR(INDEX(Consulta!$A:$DP,MATCH('MM01'!$B139,Consulta!$C:$C,0),'MM01'!E$2),""))</f>
        <v/>
      </c>
      <c r="F139" s="44" t="s">
        <v>100</v>
      </c>
      <c r="G139" s="49" t="str">
        <f>IF(IFERROR(INDEX(Consulta!$A:$DP,MATCH('MM01'!$B139,Consulta!$C:$C,0),'MM01'!G$2),"")=0,"",IFERROR(INDEX(Consulta!$A:$DP,MATCH('MM01'!$B139,Consulta!$C:$C,0),'MM01'!G$2),""))</f>
        <v/>
      </c>
      <c r="H139" s="49" t="str">
        <f>IF(IFERROR(INDEX(Consulta!$A:$DP,MATCH('MM01'!$B139,Consulta!$C:$C,0),'MM01'!H$2),"")=0,"",IFERROR(INDEX(Consulta!$A:$DP,MATCH('MM01'!$B139,Consulta!$C:$C,0),'MM01'!H$2),""))</f>
        <v/>
      </c>
      <c r="I139" s="49" t="str">
        <f t="shared" si="83"/>
        <v/>
      </c>
      <c r="J139" s="49" t="str">
        <f>IF(IFERROR(INDEX(Consulta!$A:$DP,MATCH('MM01'!$B139,Consulta!$C:$C,0),'MM01'!J$2),"")=0,"",IFERROR(INDEX(Consulta!$A:$DP,MATCH('MM01'!$B139,Consulta!$C:$C,0),'MM01'!J$2),""))</f>
        <v/>
      </c>
      <c r="K139" s="49" t="str">
        <f t="shared" si="84"/>
        <v/>
      </c>
      <c r="M139" s="45" t="s">
        <v>101</v>
      </c>
      <c r="N139" s="45" t="s">
        <v>102</v>
      </c>
      <c r="O139" s="45" t="s">
        <v>103</v>
      </c>
      <c r="P139" s="45" t="s">
        <v>104</v>
      </c>
      <c r="Q139" s="45" t="s">
        <v>105</v>
      </c>
      <c r="R139" s="45" t="s">
        <v>106</v>
      </c>
      <c r="S139" s="45" t="s">
        <v>107</v>
      </c>
      <c r="T139" s="45"/>
      <c r="U139" s="45"/>
      <c r="V139" s="45"/>
      <c r="W139" s="45"/>
      <c r="X139" s="45" t="s">
        <v>112</v>
      </c>
      <c r="Y139" s="45" t="s">
        <v>113</v>
      </c>
      <c r="Z139" s="45" t="s">
        <v>114</v>
      </c>
      <c r="AA139" s="45" t="s">
        <v>115</v>
      </c>
      <c r="AB139" s="45" t="s">
        <v>117</v>
      </c>
      <c r="AC139" s="45" t="s">
        <v>118</v>
      </c>
      <c r="AD139" s="45" t="s">
        <v>119</v>
      </c>
      <c r="AE139" s="45" t="s">
        <v>120</v>
      </c>
      <c r="AF139" s="45" t="s">
        <v>121</v>
      </c>
      <c r="AG139" s="45" t="s">
        <v>122</v>
      </c>
      <c r="AH139" s="45" t="s">
        <v>123</v>
      </c>
      <c r="AI139" s="45" t="s">
        <v>124</v>
      </c>
      <c r="AJ139" s="45" t="s">
        <v>125</v>
      </c>
      <c r="AK139" s="45" t="s">
        <v>126</v>
      </c>
      <c r="AL139" s="45"/>
      <c r="AM139" s="45"/>
      <c r="AO139" s="44" t="s">
        <v>100</v>
      </c>
      <c r="AP139" s="43" t="str">
        <f>IF(IFERROR(INDEX(Consulta!$A:$DP,MATCH('MM01'!$B139,Consulta!$C:$C,0),'MM01'!AP$2),"")=0,"",IFERROR(INDEX(Consulta!$A:$DP,MATCH('MM01'!$B139,Consulta!$C:$C,0),'MM01'!AP$2),""))</f>
        <v/>
      </c>
      <c r="AQ139" s="45"/>
      <c r="AR139" s="43" t="str">
        <f>IF(IFERROR(INDEX(Consulta!$A:$DP,MATCH('MM01'!$B139,Consulta!$C:$C,0),'MM01'!AR$2),"")=0,"",IFERROR(INDEX(Consulta!$A:$DP,MATCH('MM01'!$B139,Consulta!$C:$C,0),'MM01'!AR$2),""))</f>
        <v/>
      </c>
      <c r="AS139" s="43" t="str">
        <f>IF(IFERROR(INDEX(Consulta!$A:$DP,MATCH('MM01'!$B139,Consulta!$C:$C,0),'MM01'!AS$2),"")=0,"",IF(AR139="68",5102,IFERROR(INDEX(Consulta!$A:$DP,MATCH('MM01'!$B139,Consulta!$C:$C,0),'MM01'!AS$2),"")))</f>
        <v/>
      </c>
      <c r="AT139" s="45"/>
      <c r="AU139" s="46" t="str">
        <f t="shared" ca="1" si="85"/>
        <v/>
      </c>
      <c r="AV139" s="47" t="s">
        <v>795</v>
      </c>
      <c r="AW139" s="43" t="str">
        <f>IF(IFERROR(INDEX(Consulta!$A:$DP,MATCH('MM01'!$B139,Consulta!$C:$C,0),'MM01'!AW$2),"")=0,"",IFERROR(ROUND(INDEX(Consulta!$A:$DP,MATCH('MM01'!$B139,Consulta!$C:$C,0),'MM01'!AW$2),3),""))</f>
        <v/>
      </c>
      <c r="AX139" s="43" t="str">
        <f t="shared" si="86"/>
        <v/>
      </c>
      <c r="AY139" s="48" t="s">
        <v>299</v>
      </c>
      <c r="AZ139" s="48"/>
      <c r="BA139" s="43" t="str">
        <f>IF(IFERROR(INDEX(Consulta!$A:$DP,MATCH('MM01'!$B139,Consulta!$C:$C,0),'MM01'!BA$2),"")=0,"",IFERROR(INDEX(Consulta!$A:$DP,MATCH('MM01'!$B139,Consulta!$C:$C,0),'MM01'!BA$2),""))</f>
        <v/>
      </c>
      <c r="BB139" s="43" t="str">
        <f t="shared" si="87"/>
        <v/>
      </c>
      <c r="BC139" s="43" t="str">
        <f t="shared" si="88"/>
        <v/>
      </c>
      <c r="BD139" s="43" t="str">
        <f t="shared" si="89"/>
        <v/>
      </c>
      <c r="BE139" s="43" t="str">
        <f t="shared" si="90"/>
        <v>M</v>
      </c>
      <c r="BF139" s="43" t="str">
        <f t="shared" si="91"/>
        <v/>
      </c>
      <c r="BG139" s="43" t="str">
        <f t="shared" si="92"/>
        <v/>
      </c>
      <c r="BH139" s="43" t="str">
        <f t="shared" si="93"/>
        <v/>
      </c>
      <c r="BI139" s="43" t="str">
        <f t="shared" si="94"/>
        <v>M</v>
      </c>
      <c r="BK139" s="45" t="s">
        <v>324</v>
      </c>
      <c r="BL139" s="43" t="str">
        <f>IF(IFERROR(INDEX(Consulta!$A:$DP,MATCH('MM01'!$B139,Consulta!$C:$C,0),'MM01'!BL$2),"")=0,"",IFERROR(INDEX(Consulta!$A:$DP,MATCH('MM01'!$B139,Consulta!$C:$C,0),'MM01'!BL$2),""))</f>
        <v/>
      </c>
      <c r="BM139" s="45"/>
      <c r="BN139" s="46" t="str">
        <f t="shared" ca="1" si="95"/>
        <v/>
      </c>
      <c r="BO139" s="49" t="str">
        <f t="shared" si="96"/>
        <v/>
      </c>
      <c r="BP139" s="50">
        <v>1</v>
      </c>
      <c r="BQ139" s="50" t="s">
        <v>194</v>
      </c>
      <c r="BR139" s="79" t="str">
        <f t="shared" si="122"/>
        <v>01</v>
      </c>
      <c r="BS139" s="50" t="s">
        <v>795</v>
      </c>
      <c r="BT139" s="44">
        <v>1</v>
      </c>
      <c r="BU139" s="44" t="s">
        <v>371</v>
      </c>
      <c r="BV139" s="50" t="s">
        <v>197</v>
      </c>
      <c r="BW139" s="50" t="s">
        <v>197</v>
      </c>
      <c r="BX139" s="43" t="str">
        <f>IF(IFERROR(INDEX(Consulta!$A:$DP,MATCH('MM01'!$B139,Consulta!$C:$C,0),'MM01'!BX$2),"")=0,"",IFERROR(INDEX(Consulta!$A:$DP,MATCH('MM01'!$B139,Consulta!$C:$C,0),'MM01'!BX$2),""))</f>
        <v/>
      </c>
      <c r="BY139" s="44" t="s">
        <v>391</v>
      </c>
      <c r="BZ139" s="50">
        <v>0</v>
      </c>
      <c r="CA139" s="45" t="s">
        <v>402</v>
      </c>
      <c r="CB139" s="45" t="s">
        <v>84</v>
      </c>
      <c r="CC139" s="43" t="str">
        <f t="shared" si="97"/>
        <v/>
      </c>
      <c r="CD139" s="45" t="s">
        <v>38</v>
      </c>
      <c r="CE139" s="45">
        <v>1</v>
      </c>
      <c r="CF139" s="45" t="s">
        <v>495</v>
      </c>
      <c r="CG139" s="45"/>
      <c r="CH139" s="44">
        <v>2</v>
      </c>
      <c r="CI139" s="49" t="str">
        <f t="shared" si="98"/>
        <v/>
      </c>
      <c r="CJ139" s="49" t="str">
        <f t="shared" si="99"/>
        <v/>
      </c>
      <c r="CK139" s="45"/>
      <c r="CL139" s="44">
        <v>1</v>
      </c>
      <c r="CM139" s="50" t="s">
        <v>514</v>
      </c>
      <c r="CN139" s="44" t="s">
        <v>371</v>
      </c>
      <c r="CO139" s="44">
        <v>2</v>
      </c>
      <c r="CP139" s="44">
        <v>42</v>
      </c>
      <c r="CQ139" s="44">
        <v>10</v>
      </c>
      <c r="CR139" s="43" t="str">
        <f t="shared" si="100"/>
        <v>K00_P_</v>
      </c>
      <c r="CS139" s="45">
        <v>5000</v>
      </c>
      <c r="CT139" s="43" t="str">
        <f>IF(IFERROR(INDEX(Consulta!$A:$DP,MATCH('MM01'!$B139,Consulta!$C:$C,0),'MM01'!CT$2),"")=0,"",IFERROR(INDEX(Consulta!$A:$DP,MATCH('MM01'!$B139,Consulta!$C:$C,0),'MM01'!CT$2),""))</f>
        <v/>
      </c>
      <c r="CU139" s="43" t="str">
        <f>IF(IFERROR(INDEX(Consulta!$A:$DP,MATCH('MM01'!$B139,Consulta!$C:$C,0),'MM01'!CU$2),"")=0,"",IFERROR(INDEX(Consulta!$A:$DP,MATCH('MM01'!$B139,Consulta!$C:$C,0),'MM01'!CU$2),""))</f>
        <v/>
      </c>
      <c r="CV139" s="43" t="str">
        <f>IF(IFERROR(INDEX(Consulta!$A:$DP,MATCH('MM01'!$B139,Consulta!$C:$C,0),'MM01'!CV$2),"")=0,"",IFERROR(INDEX(Consulta!$A:$DP,MATCH('MM01'!$B139,Consulta!$C:$C,0),'MM01'!CV$2),""))</f>
        <v/>
      </c>
      <c r="CW139" s="43" t="str">
        <f>IF(IFERROR(INDEX(Consulta!$A:$DP,MATCH('MM01'!$B139,Consulta!$C:$C,0),'MM01'!CW$2),"")=0,"",IFERROR(INDEX(Consulta!$A:$DP,MATCH('MM01'!$B139,Consulta!$C:$C,0),'MM01'!CW$2),""))</f>
        <v/>
      </c>
      <c r="CX139" s="43" t="str">
        <f t="shared" si="101"/>
        <v/>
      </c>
      <c r="CY139" s="43" t="str">
        <f t="shared" si="102"/>
        <v/>
      </c>
      <c r="CZ139" s="43" t="str">
        <f t="shared" si="103"/>
        <v/>
      </c>
      <c r="DA139" s="43" t="str">
        <f>IF(IFERROR(INDEX(Consulta!$A:$DP,MATCH('MM01'!$B139,Consulta!$C:$C,0),'MM01'!DA$2),"")=0,"",IFERROR(INDEX(Consulta!$A:$DP,MATCH('MM01'!$B139,Consulta!$C:$C,0),'MM01'!DA$2),""))</f>
        <v/>
      </c>
      <c r="DB139" s="43" t="str">
        <f t="shared" si="104"/>
        <v/>
      </c>
      <c r="DC139" s="43" t="str">
        <f>IF(IFERROR(INDEX(Consulta!$A:$DP,MATCH('MM01'!$B139,Consulta!$C:$C,0),'MM01'!DC$2),"")=0,"",IFERROR(INDEX(Consulta!$A:$DP,MATCH('MM01'!$B139,Consulta!$C:$C,0),'MM01'!DC$2),""))</f>
        <v/>
      </c>
      <c r="DD139" s="45">
        <v>0</v>
      </c>
      <c r="DE139" s="45">
        <v>0</v>
      </c>
      <c r="DF139" s="43" t="str">
        <f t="shared" si="105"/>
        <v/>
      </c>
      <c r="DG139" s="43" t="str">
        <f t="shared" si="106"/>
        <v/>
      </c>
      <c r="DH139" s="57"/>
      <c r="DI139" s="43" t="str">
        <f t="shared" ca="1" si="107"/>
        <v/>
      </c>
      <c r="DJ139" s="43" t="str">
        <f t="shared" si="108"/>
        <v/>
      </c>
      <c r="DK139" s="43" t="str">
        <f t="shared" si="109"/>
        <v/>
      </c>
      <c r="DL139" s="57"/>
      <c r="DM139" s="43" t="str">
        <f t="shared" ca="1" si="110"/>
        <v/>
      </c>
      <c r="DN139" s="43" t="str">
        <f t="shared" si="111"/>
        <v/>
      </c>
      <c r="DO139" s="43" t="str">
        <f t="shared" si="112"/>
        <v/>
      </c>
      <c r="DP139" s="57"/>
      <c r="DQ139" s="43" t="str">
        <f t="shared" ca="1" si="113"/>
        <v/>
      </c>
      <c r="DR139" s="43" t="str">
        <f t="shared" si="114"/>
        <v/>
      </c>
      <c r="DS139" s="43" t="str">
        <f t="shared" si="115"/>
        <v/>
      </c>
      <c r="DT139" s="57"/>
      <c r="DU139" s="43" t="str">
        <f t="shared" ca="1" si="116"/>
        <v/>
      </c>
      <c r="DV139" s="43" t="str">
        <f t="shared" si="117"/>
        <v/>
      </c>
      <c r="DX139" s="44">
        <v>1</v>
      </c>
      <c r="DY139" s="44" t="s">
        <v>773</v>
      </c>
      <c r="DZ139" s="43">
        <f t="shared" si="118"/>
        <v>0.01</v>
      </c>
      <c r="EA139" s="43" t="str">
        <f t="shared" si="119"/>
        <v>M</v>
      </c>
      <c r="EB139" s="43" t="str">
        <f>IF(IFERROR(INDEX(Consulta!$A:$DP,MATCH('MM01'!$B139,Consulta!$C:$C,0),'MM01'!EB$2),"")=0,"7925",IF(IFERROR(INDEX(Consulta!$A:$DP,MATCH('MM01'!$B139,Consulta!$C:$C,0),'MM01'!EB$2),"")="68","7910","7925"))</f>
        <v>7925</v>
      </c>
      <c r="EC139" s="44">
        <v>100</v>
      </c>
      <c r="ED139" s="62">
        <v>1</v>
      </c>
      <c r="EE139" s="43">
        <f t="shared" si="120"/>
        <v>100</v>
      </c>
      <c r="EF139" s="44">
        <v>1</v>
      </c>
      <c r="EG139" s="44">
        <v>0</v>
      </c>
      <c r="EH139" s="44" t="s">
        <v>875</v>
      </c>
      <c r="EI139" s="45">
        <v>0</v>
      </c>
      <c r="EJ139" s="43">
        <f t="shared" si="121"/>
        <v>5000</v>
      </c>
      <c r="EK139" s="69"/>
    </row>
    <row r="140" spans="1:141" x14ac:dyDescent="0.2">
      <c r="A140" s="7" t="str">
        <f t="shared" si="82"/>
        <v>Execução 136</v>
      </c>
      <c r="B140" s="42"/>
      <c r="C140" s="43" t="str">
        <f>IF(IFERROR(INDEX(Consulta!$A:$DP,MATCH('MM01'!$B140,Consulta!$C:$C,0),'MM01'!C$2),"")=0,"",IFERROR(INDEX(Consulta!$A:$DP,MATCH('MM01'!$B140,Consulta!$C:$C,0),'MM01'!C$2),""))</f>
        <v/>
      </c>
      <c r="D140" s="43" t="str">
        <f>IF(IFERROR(INDEX(Consulta!$A:$DP,MATCH('MM01'!$B140,Consulta!$C:$C,0),'MM01'!D$2),"")=0,"",IFERROR(INDEX(Consulta!$A:$DP,MATCH('MM01'!$B140,Consulta!$C:$C,0),'MM01'!D$2),""))</f>
        <v/>
      </c>
      <c r="E140" s="43" t="str">
        <f>IF(IFERROR(INDEX(Consulta!$A:$DP,MATCH('MM01'!$B140,Consulta!$C:$C,0),'MM01'!E$2),"")=0,"",IFERROR(INDEX(Consulta!$A:$DP,MATCH('MM01'!$B140,Consulta!$C:$C,0),'MM01'!E$2),""))</f>
        <v/>
      </c>
      <c r="F140" s="44" t="s">
        <v>100</v>
      </c>
      <c r="G140" s="49" t="str">
        <f>IF(IFERROR(INDEX(Consulta!$A:$DP,MATCH('MM01'!$B140,Consulta!$C:$C,0),'MM01'!G$2),"")=0,"",IFERROR(INDEX(Consulta!$A:$DP,MATCH('MM01'!$B140,Consulta!$C:$C,0),'MM01'!G$2),""))</f>
        <v/>
      </c>
      <c r="H140" s="49" t="str">
        <f>IF(IFERROR(INDEX(Consulta!$A:$DP,MATCH('MM01'!$B140,Consulta!$C:$C,0),'MM01'!H$2),"")=0,"",IFERROR(INDEX(Consulta!$A:$DP,MATCH('MM01'!$B140,Consulta!$C:$C,0),'MM01'!H$2),""))</f>
        <v/>
      </c>
      <c r="I140" s="49" t="str">
        <f t="shared" si="83"/>
        <v/>
      </c>
      <c r="J140" s="49" t="str">
        <f>IF(IFERROR(INDEX(Consulta!$A:$DP,MATCH('MM01'!$B140,Consulta!$C:$C,0),'MM01'!J$2),"")=0,"",IFERROR(INDEX(Consulta!$A:$DP,MATCH('MM01'!$B140,Consulta!$C:$C,0),'MM01'!J$2),""))</f>
        <v/>
      </c>
      <c r="K140" s="49" t="str">
        <f t="shared" si="84"/>
        <v/>
      </c>
      <c r="M140" s="45" t="s">
        <v>101</v>
      </c>
      <c r="N140" s="45" t="s">
        <v>102</v>
      </c>
      <c r="O140" s="45" t="s">
        <v>103</v>
      </c>
      <c r="P140" s="45" t="s">
        <v>104</v>
      </c>
      <c r="Q140" s="45" t="s">
        <v>105</v>
      </c>
      <c r="R140" s="45" t="s">
        <v>106</v>
      </c>
      <c r="S140" s="45" t="s">
        <v>107</v>
      </c>
      <c r="T140" s="45"/>
      <c r="U140" s="45"/>
      <c r="V140" s="45"/>
      <c r="W140" s="45"/>
      <c r="X140" s="45" t="s">
        <v>112</v>
      </c>
      <c r="Y140" s="45" t="s">
        <v>113</v>
      </c>
      <c r="Z140" s="45" t="s">
        <v>114</v>
      </c>
      <c r="AA140" s="45" t="s">
        <v>115</v>
      </c>
      <c r="AB140" s="45" t="s">
        <v>117</v>
      </c>
      <c r="AC140" s="45" t="s">
        <v>118</v>
      </c>
      <c r="AD140" s="45" t="s">
        <v>119</v>
      </c>
      <c r="AE140" s="45" t="s">
        <v>120</v>
      </c>
      <c r="AF140" s="45" t="s">
        <v>121</v>
      </c>
      <c r="AG140" s="45" t="s">
        <v>122</v>
      </c>
      <c r="AH140" s="45" t="s">
        <v>123</v>
      </c>
      <c r="AI140" s="45" t="s">
        <v>124</v>
      </c>
      <c r="AJ140" s="45" t="s">
        <v>125</v>
      </c>
      <c r="AK140" s="45" t="s">
        <v>126</v>
      </c>
      <c r="AL140" s="45"/>
      <c r="AM140" s="45"/>
      <c r="AO140" s="44" t="s">
        <v>100</v>
      </c>
      <c r="AP140" s="43" t="str">
        <f>IF(IFERROR(INDEX(Consulta!$A:$DP,MATCH('MM01'!$B140,Consulta!$C:$C,0),'MM01'!AP$2),"")=0,"",IFERROR(INDEX(Consulta!$A:$DP,MATCH('MM01'!$B140,Consulta!$C:$C,0),'MM01'!AP$2),""))</f>
        <v/>
      </c>
      <c r="AQ140" s="45"/>
      <c r="AR140" s="43" t="str">
        <f>IF(IFERROR(INDEX(Consulta!$A:$DP,MATCH('MM01'!$B140,Consulta!$C:$C,0),'MM01'!AR$2),"")=0,"",IFERROR(INDEX(Consulta!$A:$DP,MATCH('MM01'!$B140,Consulta!$C:$C,0),'MM01'!AR$2),""))</f>
        <v/>
      </c>
      <c r="AS140" s="43" t="str">
        <f>IF(IFERROR(INDEX(Consulta!$A:$DP,MATCH('MM01'!$B140,Consulta!$C:$C,0),'MM01'!AS$2),"")=0,"",IF(AR140="68",5102,IFERROR(INDEX(Consulta!$A:$DP,MATCH('MM01'!$B140,Consulta!$C:$C,0),'MM01'!AS$2),"")))</f>
        <v/>
      </c>
      <c r="AT140" s="45"/>
      <c r="AU140" s="46" t="str">
        <f t="shared" ca="1" si="85"/>
        <v/>
      </c>
      <c r="AV140" s="47" t="s">
        <v>795</v>
      </c>
      <c r="AW140" s="43" t="str">
        <f>IF(IFERROR(INDEX(Consulta!$A:$DP,MATCH('MM01'!$B140,Consulta!$C:$C,0),'MM01'!AW$2),"")=0,"",IFERROR(ROUND(INDEX(Consulta!$A:$DP,MATCH('MM01'!$B140,Consulta!$C:$C,0),'MM01'!AW$2),3),""))</f>
        <v/>
      </c>
      <c r="AX140" s="43" t="str">
        <f t="shared" si="86"/>
        <v/>
      </c>
      <c r="AY140" s="48" t="s">
        <v>299</v>
      </c>
      <c r="AZ140" s="48"/>
      <c r="BA140" s="43" t="str">
        <f>IF(IFERROR(INDEX(Consulta!$A:$DP,MATCH('MM01'!$B140,Consulta!$C:$C,0),'MM01'!BA$2),"")=0,"",IFERROR(INDEX(Consulta!$A:$DP,MATCH('MM01'!$B140,Consulta!$C:$C,0),'MM01'!BA$2),""))</f>
        <v/>
      </c>
      <c r="BB140" s="43" t="str">
        <f t="shared" si="87"/>
        <v/>
      </c>
      <c r="BC140" s="43" t="str">
        <f t="shared" si="88"/>
        <v/>
      </c>
      <c r="BD140" s="43" t="str">
        <f t="shared" si="89"/>
        <v/>
      </c>
      <c r="BE140" s="43" t="str">
        <f t="shared" si="90"/>
        <v>M</v>
      </c>
      <c r="BF140" s="43" t="str">
        <f t="shared" si="91"/>
        <v/>
      </c>
      <c r="BG140" s="43" t="str">
        <f t="shared" si="92"/>
        <v/>
      </c>
      <c r="BH140" s="43" t="str">
        <f t="shared" si="93"/>
        <v/>
      </c>
      <c r="BI140" s="43" t="str">
        <f t="shared" si="94"/>
        <v>M</v>
      </c>
      <c r="BK140" s="45" t="s">
        <v>324</v>
      </c>
      <c r="BL140" s="43" t="str">
        <f>IF(IFERROR(INDEX(Consulta!$A:$DP,MATCH('MM01'!$B140,Consulta!$C:$C,0),'MM01'!BL$2),"")=0,"",IFERROR(INDEX(Consulta!$A:$DP,MATCH('MM01'!$B140,Consulta!$C:$C,0),'MM01'!BL$2),""))</f>
        <v/>
      </c>
      <c r="BM140" s="45"/>
      <c r="BN140" s="46" t="str">
        <f t="shared" ca="1" si="95"/>
        <v/>
      </c>
      <c r="BO140" s="49" t="str">
        <f t="shared" si="96"/>
        <v/>
      </c>
      <c r="BP140" s="50">
        <v>1</v>
      </c>
      <c r="BQ140" s="50" t="s">
        <v>194</v>
      </c>
      <c r="BR140" s="79" t="str">
        <f t="shared" si="122"/>
        <v>01</v>
      </c>
      <c r="BS140" s="50" t="s">
        <v>795</v>
      </c>
      <c r="BT140" s="44">
        <v>1</v>
      </c>
      <c r="BU140" s="44" t="s">
        <v>371</v>
      </c>
      <c r="BV140" s="50" t="s">
        <v>197</v>
      </c>
      <c r="BW140" s="50" t="s">
        <v>197</v>
      </c>
      <c r="BX140" s="43" t="str">
        <f>IF(IFERROR(INDEX(Consulta!$A:$DP,MATCH('MM01'!$B140,Consulta!$C:$C,0),'MM01'!BX$2),"")=0,"",IFERROR(INDEX(Consulta!$A:$DP,MATCH('MM01'!$B140,Consulta!$C:$C,0),'MM01'!BX$2),""))</f>
        <v/>
      </c>
      <c r="BY140" s="44" t="s">
        <v>391</v>
      </c>
      <c r="BZ140" s="50">
        <v>0</v>
      </c>
      <c r="CA140" s="45" t="s">
        <v>402</v>
      </c>
      <c r="CB140" s="45" t="s">
        <v>84</v>
      </c>
      <c r="CC140" s="43" t="str">
        <f t="shared" si="97"/>
        <v/>
      </c>
      <c r="CD140" s="45" t="s">
        <v>38</v>
      </c>
      <c r="CE140" s="45">
        <v>1</v>
      </c>
      <c r="CF140" s="45" t="s">
        <v>495</v>
      </c>
      <c r="CG140" s="45"/>
      <c r="CH140" s="44">
        <v>2</v>
      </c>
      <c r="CI140" s="49" t="str">
        <f t="shared" si="98"/>
        <v/>
      </c>
      <c r="CJ140" s="49" t="str">
        <f t="shared" si="99"/>
        <v/>
      </c>
      <c r="CK140" s="45"/>
      <c r="CL140" s="44">
        <v>1</v>
      </c>
      <c r="CM140" s="50" t="s">
        <v>514</v>
      </c>
      <c r="CN140" s="44" t="s">
        <v>371</v>
      </c>
      <c r="CO140" s="44">
        <v>2</v>
      </c>
      <c r="CP140" s="44">
        <v>42</v>
      </c>
      <c r="CQ140" s="44">
        <v>10</v>
      </c>
      <c r="CR140" s="43" t="str">
        <f t="shared" si="100"/>
        <v>K00_P_</v>
      </c>
      <c r="CS140" s="45">
        <v>5000</v>
      </c>
      <c r="CT140" s="43" t="str">
        <f>IF(IFERROR(INDEX(Consulta!$A:$DP,MATCH('MM01'!$B140,Consulta!$C:$C,0),'MM01'!CT$2),"")=0,"",IFERROR(INDEX(Consulta!$A:$DP,MATCH('MM01'!$B140,Consulta!$C:$C,0),'MM01'!CT$2),""))</f>
        <v/>
      </c>
      <c r="CU140" s="43" t="str">
        <f>IF(IFERROR(INDEX(Consulta!$A:$DP,MATCH('MM01'!$B140,Consulta!$C:$C,0),'MM01'!CU$2),"")=0,"",IFERROR(INDEX(Consulta!$A:$DP,MATCH('MM01'!$B140,Consulta!$C:$C,0),'MM01'!CU$2),""))</f>
        <v/>
      </c>
      <c r="CV140" s="43" t="str">
        <f>IF(IFERROR(INDEX(Consulta!$A:$DP,MATCH('MM01'!$B140,Consulta!$C:$C,0),'MM01'!CV$2),"")=0,"",IFERROR(INDEX(Consulta!$A:$DP,MATCH('MM01'!$B140,Consulta!$C:$C,0),'MM01'!CV$2),""))</f>
        <v/>
      </c>
      <c r="CW140" s="43" t="str">
        <f>IF(IFERROR(INDEX(Consulta!$A:$DP,MATCH('MM01'!$B140,Consulta!$C:$C,0),'MM01'!CW$2),"")=0,"",IFERROR(INDEX(Consulta!$A:$DP,MATCH('MM01'!$B140,Consulta!$C:$C,0),'MM01'!CW$2),""))</f>
        <v/>
      </c>
      <c r="CX140" s="43" t="str">
        <f t="shared" si="101"/>
        <v/>
      </c>
      <c r="CY140" s="43" t="str">
        <f t="shared" si="102"/>
        <v/>
      </c>
      <c r="CZ140" s="43" t="str">
        <f t="shared" si="103"/>
        <v/>
      </c>
      <c r="DA140" s="43" t="str">
        <f>IF(IFERROR(INDEX(Consulta!$A:$DP,MATCH('MM01'!$B140,Consulta!$C:$C,0),'MM01'!DA$2),"")=0,"",IFERROR(INDEX(Consulta!$A:$DP,MATCH('MM01'!$B140,Consulta!$C:$C,0),'MM01'!DA$2),""))</f>
        <v/>
      </c>
      <c r="DB140" s="43" t="str">
        <f t="shared" si="104"/>
        <v/>
      </c>
      <c r="DC140" s="43" t="str">
        <f>IF(IFERROR(INDEX(Consulta!$A:$DP,MATCH('MM01'!$B140,Consulta!$C:$C,0),'MM01'!DC$2),"")=0,"",IFERROR(INDEX(Consulta!$A:$DP,MATCH('MM01'!$B140,Consulta!$C:$C,0),'MM01'!DC$2),""))</f>
        <v/>
      </c>
      <c r="DD140" s="45">
        <v>0</v>
      </c>
      <c r="DE140" s="45">
        <v>0</v>
      </c>
      <c r="DF140" s="43" t="str">
        <f t="shared" si="105"/>
        <v/>
      </c>
      <c r="DG140" s="43" t="str">
        <f t="shared" si="106"/>
        <v/>
      </c>
      <c r="DH140" s="57"/>
      <c r="DI140" s="43" t="str">
        <f t="shared" ca="1" si="107"/>
        <v/>
      </c>
      <c r="DJ140" s="43" t="str">
        <f t="shared" si="108"/>
        <v/>
      </c>
      <c r="DK140" s="43" t="str">
        <f t="shared" si="109"/>
        <v/>
      </c>
      <c r="DL140" s="57"/>
      <c r="DM140" s="43" t="str">
        <f t="shared" ca="1" si="110"/>
        <v/>
      </c>
      <c r="DN140" s="43" t="str">
        <f t="shared" si="111"/>
        <v/>
      </c>
      <c r="DO140" s="43" t="str">
        <f t="shared" si="112"/>
        <v/>
      </c>
      <c r="DP140" s="57"/>
      <c r="DQ140" s="43" t="str">
        <f t="shared" ca="1" si="113"/>
        <v/>
      </c>
      <c r="DR140" s="43" t="str">
        <f t="shared" si="114"/>
        <v/>
      </c>
      <c r="DS140" s="43" t="str">
        <f t="shared" si="115"/>
        <v/>
      </c>
      <c r="DT140" s="57"/>
      <c r="DU140" s="43" t="str">
        <f t="shared" ca="1" si="116"/>
        <v/>
      </c>
      <c r="DV140" s="43" t="str">
        <f t="shared" si="117"/>
        <v/>
      </c>
      <c r="DX140" s="44">
        <v>1</v>
      </c>
      <c r="DY140" s="44" t="s">
        <v>773</v>
      </c>
      <c r="DZ140" s="43">
        <f t="shared" si="118"/>
        <v>0.01</v>
      </c>
      <c r="EA140" s="43" t="str">
        <f t="shared" si="119"/>
        <v>M</v>
      </c>
      <c r="EB140" s="43" t="str">
        <f>IF(IFERROR(INDEX(Consulta!$A:$DP,MATCH('MM01'!$B140,Consulta!$C:$C,0),'MM01'!EB$2),"")=0,"7925",IF(IFERROR(INDEX(Consulta!$A:$DP,MATCH('MM01'!$B140,Consulta!$C:$C,0),'MM01'!EB$2),"")="68","7910","7925"))</f>
        <v>7925</v>
      </c>
      <c r="EC140" s="44">
        <v>100</v>
      </c>
      <c r="ED140" s="62">
        <v>1</v>
      </c>
      <c r="EE140" s="43">
        <f t="shared" si="120"/>
        <v>100</v>
      </c>
      <c r="EF140" s="44">
        <v>1</v>
      </c>
      <c r="EG140" s="44">
        <v>0</v>
      </c>
      <c r="EH140" s="44" t="s">
        <v>875</v>
      </c>
      <c r="EI140" s="45">
        <v>0</v>
      </c>
      <c r="EJ140" s="43">
        <f t="shared" si="121"/>
        <v>5000</v>
      </c>
      <c r="EK140" s="69"/>
    </row>
    <row r="141" spans="1:141" x14ac:dyDescent="0.2">
      <c r="A141" s="7" t="str">
        <f t="shared" si="82"/>
        <v>Execução 137</v>
      </c>
      <c r="B141" s="42"/>
      <c r="C141" s="43" t="str">
        <f>IF(IFERROR(INDEX(Consulta!$A:$DP,MATCH('MM01'!$B141,Consulta!$C:$C,0),'MM01'!C$2),"")=0,"",IFERROR(INDEX(Consulta!$A:$DP,MATCH('MM01'!$B141,Consulta!$C:$C,0),'MM01'!C$2),""))</f>
        <v/>
      </c>
      <c r="D141" s="43" t="str">
        <f>IF(IFERROR(INDEX(Consulta!$A:$DP,MATCH('MM01'!$B141,Consulta!$C:$C,0),'MM01'!D$2),"")=0,"",IFERROR(INDEX(Consulta!$A:$DP,MATCH('MM01'!$B141,Consulta!$C:$C,0),'MM01'!D$2),""))</f>
        <v/>
      </c>
      <c r="E141" s="43" t="str">
        <f>IF(IFERROR(INDEX(Consulta!$A:$DP,MATCH('MM01'!$B141,Consulta!$C:$C,0),'MM01'!E$2),"")=0,"",IFERROR(INDEX(Consulta!$A:$DP,MATCH('MM01'!$B141,Consulta!$C:$C,0),'MM01'!E$2),""))</f>
        <v/>
      </c>
      <c r="F141" s="44" t="s">
        <v>100</v>
      </c>
      <c r="G141" s="49" t="str">
        <f>IF(IFERROR(INDEX(Consulta!$A:$DP,MATCH('MM01'!$B141,Consulta!$C:$C,0),'MM01'!G$2),"")=0,"",IFERROR(INDEX(Consulta!$A:$DP,MATCH('MM01'!$B141,Consulta!$C:$C,0),'MM01'!G$2),""))</f>
        <v/>
      </c>
      <c r="H141" s="49" t="str">
        <f>IF(IFERROR(INDEX(Consulta!$A:$DP,MATCH('MM01'!$B141,Consulta!$C:$C,0),'MM01'!H$2),"")=0,"",IFERROR(INDEX(Consulta!$A:$DP,MATCH('MM01'!$B141,Consulta!$C:$C,0),'MM01'!H$2),""))</f>
        <v/>
      </c>
      <c r="I141" s="49" t="str">
        <f t="shared" si="83"/>
        <v/>
      </c>
      <c r="J141" s="49" t="str">
        <f>IF(IFERROR(INDEX(Consulta!$A:$DP,MATCH('MM01'!$B141,Consulta!$C:$C,0),'MM01'!J$2),"")=0,"",IFERROR(INDEX(Consulta!$A:$DP,MATCH('MM01'!$B141,Consulta!$C:$C,0),'MM01'!J$2),""))</f>
        <v/>
      </c>
      <c r="K141" s="49" t="str">
        <f t="shared" si="84"/>
        <v/>
      </c>
      <c r="M141" s="45" t="s">
        <v>101</v>
      </c>
      <c r="N141" s="45" t="s">
        <v>102</v>
      </c>
      <c r="O141" s="45" t="s">
        <v>103</v>
      </c>
      <c r="P141" s="45" t="s">
        <v>104</v>
      </c>
      <c r="Q141" s="45" t="s">
        <v>105</v>
      </c>
      <c r="R141" s="45" t="s">
        <v>106</v>
      </c>
      <c r="S141" s="45" t="s">
        <v>107</v>
      </c>
      <c r="T141" s="45"/>
      <c r="U141" s="45"/>
      <c r="V141" s="45"/>
      <c r="W141" s="45"/>
      <c r="X141" s="45" t="s">
        <v>112</v>
      </c>
      <c r="Y141" s="45" t="s">
        <v>113</v>
      </c>
      <c r="Z141" s="45" t="s">
        <v>114</v>
      </c>
      <c r="AA141" s="45" t="s">
        <v>115</v>
      </c>
      <c r="AB141" s="45" t="s">
        <v>117</v>
      </c>
      <c r="AC141" s="45" t="s">
        <v>118</v>
      </c>
      <c r="AD141" s="45" t="s">
        <v>119</v>
      </c>
      <c r="AE141" s="45" t="s">
        <v>120</v>
      </c>
      <c r="AF141" s="45" t="s">
        <v>121</v>
      </c>
      <c r="AG141" s="45" t="s">
        <v>122</v>
      </c>
      <c r="AH141" s="45" t="s">
        <v>123</v>
      </c>
      <c r="AI141" s="45" t="s">
        <v>124</v>
      </c>
      <c r="AJ141" s="45" t="s">
        <v>125</v>
      </c>
      <c r="AK141" s="45" t="s">
        <v>126</v>
      </c>
      <c r="AL141" s="45"/>
      <c r="AM141" s="45"/>
      <c r="AO141" s="44" t="s">
        <v>100</v>
      </c>
      <c r="AP141" s="43" t="str">
        <f>IF(IFERROR(INDEX(Consulta!$A:$DP,MATCH('MM01'!$B141,Consulta!$C:$C,0),'MM01'!AP$2),"")=0,"",IFERROR(INDEX(Consulta!$A:$DP,MATCH('MM01'!$B141,Consulta!$C:$C,0),'MM01'!AP$2),""))</f>
        <v/>
      </c>
      <c r="AQ141" s="45"/>
      <c r="AR141" s="43" t="str">
        <f>IF(IFERROR(INDEX(Consulta!$A:$DP,MATCH('MM01'!$B141,Consulta!$C:$C,0),'MM01'!AR$2),"")=0,"",IFERROR(INDEX(Consulta!$A:$DP,MATCH('MM01'!$B141,Consulta!$C:$C,0),'MM01'!AR$2),""))</f>
        <v/>
      </c>
      <c r="AS141" s="43" t="str">
        <f>IF(IFERROR(INDEX(Consulta!$A:$DP,MATCH('MM01'!$B141,Consulta!$C:$C,0),'MM01'!AS$2),"")=0,"",IF(AR141="68",5102,IFERROR(INDEX(Consulta!$A:$DP,MATCH('MM01'!$B141,Consulta!$C:$C,0),'MM01'!AS$2),"")))</f>
        <v/>
      </c>
      <c r="AT141" s="45"/>
      <c r="AU141" s="46" t="str">
        <f t="shared" ca="1" si="85"/>
        <v/>
      </c>
      <c r="AV141" s="47" t="s">
        <v>795</v>
      </c>
      <c r="AW141" s="43" t="str">
        <f>IF(IFERROR(INDEX(Consulta!$A:$DP,MATCH('MM01'!$B141,Consulta!$C:$C,0),'MM01'!AW$2),"")=0,"",IFERROR(ROUND(INDEX(Consulta!$A:$DP,MATCH('MM01'!$B141,Consulta!$C:$C,0),'MM01'!AW$2),3),""))</f>
        <v/>
      </c>
      <c r="AX141" s="43" t="str">
        <f t="shared" si="86"/>
        <v/>
      </c>
      <c r="AY141" s="48" t="s">
        <v>299</v>
      </c>
      <c r="AZ141" s="48"/>
      <c r="BA141" s="43" t="str">
        <f>IF(IFERROR(INDEX(Consulta!$A:$DP,MATCH('MM01'!$B141,Consulta!$C:$C,0),'MM01'!BA$2),"")=0,"",IFERROR(INDEX(Consulta!$A:$DP,MATCH('MM01'!$B141,Consulta!$C:$C,0),'MM01'!BA$2),""))</f>
        <v/>
      </c>
      <c r="BB141" s="43" t="str">
        <f t="shared" si="87"/>
        <v/>
      </c>
      <c r="BC141" s="43" t="str">
        <f t="shared" si="88"/>
        <v/>
      </c>
      <c r="BD141" s="43" t="str">
        <f t="shared" si="89"/>
        <v/>
      </c>
      <c r="BE141" s="43" t="str">
        <f t="shared" si="90"/>
        <v>M</v>
      </c>
      <c r="BF141" s="43" t="str">
        <f t="shared" si="91"/>
        <v/>
      </c>
      <c r="BG141" s="43" t="str">
        <f t="shared" si="92"/>
        <v/>
      </c>
      <c r="BH141" s="43" t="str">
        <f t="shared" si="93"/>
        <v/>
      </c>
      <c r="BI141" s="43" t="str">
        <f t="shared" si="94"/>
        <v>M</v>
      </c>
      <c r="BK141" s="45" t="s">
        <v>324</v>
      </c>
      <c r="BL141" s="43" t="str">
        <f>IF(IFERROR(INDEX(Consulta!$A:$DP,MATCH('MM01'!$B141,Consulta!$C:$C,0),'MM01'!BL$2),"")=0,"",IFERROR(INDEX(Consulta!$A:$DP,MATCH('MM01'!$B141,Consulta!$C:$C,0),'MM01'!BL$2),""))</f>
        <v/>
      </c>
      <c r="BM141" s="45"/>
      <c r="BN141" s="46" t="str">
        <f t="shared" ca="1" si="95"/>
        <v/>
      </c>
      <c r="BO141" s="49" t="str">
        <f t="shared" si="96"/>
        <v/>
      </c>
      <c r="BP141" s="50">
        <v>1</v>
      </c>
      <c r="BQ141" s="50" t="s">
        <v>194</v>
      </c>
      <c r="BR141" s="79" t="str">
        <f t="shared" si="122"/>
        <v>01</v>
      </c>
      <c r="BS141" s="50" t="s">
        <v>795</v>
      </c>
      <c r="BT141" s="44">
        <v>1</v>
      </c>
      <c r="BU141" s="44" t="s">
        <v>371</v>
      </c>
      <c r="BV141" s="50" t="s">
        <v>197</v>
      </c>
      <c r="BW141" s="50" t="s">
        <v>197</v>
      </c>
      <c r="BX141" s="43" t="str">
        <f>IF(IFERROR(INDEX(Consulta!$A:$DP,MATCH('MM01'!$B141,Consulta!$C:$C,0),'MM01'!BX$2),"")=0,"",IFERROR(INDEX(Consulta!$A:$DP,MATCH('MM01'!$B141,Consulta!$C:$C,0),'MM01'!BX$2),""))</f>
        <v/>
      </c>
      <c r="BY141" s="44" t="s">
        <v>391</v>
      </c>
      <c r="BZ141" s="50">
        <v>0</v>
      </c>
      <c r="CA141" s="45" t="s">
        <v>402</v>
      </c>
      <c r="CB141" s="45" t="s">
        <v>84</v>
      </c>
      <c r="CC141" s="43" t="str">
        <f t="shared" si="97"/>
        <v/>
      </c>
      <c r="CD141" s="45" t="s">
        <v>38</v>
      </c>
      <c r="CE141" s="45">
        <v>1</v>
      </c>
      <c r="CF141" s="45" t="s">
        <v>495</v>
      </c>
      <c r="CG141" s="45"/>
      <c r="CH141" s="44">
        <v>2</v>
      </c>
      <c r="CI141" s="49" t="str">
        <f t="shared" si="98"/>
        <v/>
      </c>
      <c r="CJ141" s="49" t="str">
        <f t="shared" si="99"/>
        <v/>
      </c>
      <c r="CK141" s="45"/>
      <c r="CL141" s="44">
        <v>1</v>
      </c>
      <c r="CM141" s="50" t="s">
        <v>514</v>
      </c>
      <c r="CN141" s="44" t="s">
        <v>371</v>
      </c>
      <c r="CO141" s="44">
        <v>2</v>
      </c>
      <c r="CP141" s="44">
        <v>42</v>
      </c>
      <c r="CQ141" s="44">
        <v>10</v>
      </c>
      <c r="CR141" s="43" t="str">
        <f t="shared" si="100"/>
        <v>K00_P_</v>
      </c>
      <c r="CS141" s="45">
        <v>5000</v>
      </c>
      <c r="CT141" s="43" t="str">
        <f>IF(IFERROR(INDEX(Consulta!$A:$DP,MATCH('MM01'!$B141,Consulta!$C:$C,0),'MM01'!CT$2),"")=0,"",IFERROR(INDEX(Consulta!$A:$DP,MATCH('MM01'!$B141,Consulta!$C:$C,0),'MM01'!CT$2),""))</f>
        <v/>
      </c>
      <c r="CU141" s="43" t="str">
        <f>IF(IFERROR(INDEX(Consulta!$A:$DP,MATCH('MM01'!$B141,Consulta!$C:$C,0),'MM01'!CU$2),"")=0,"",IFERROR(INDEX(Consulta!$A:$DP,MATCH('MM01'!$B141,Consulta!$C:$C,0),'MM01'!CU$2),""))</f>
        <v/>
      </c>
      <c r="CV141" s="43" t="str">
        <f>IF(IFERROR(INDEX(Consulta!$A:$DP,MATCH('MM01'!$B141,Consulta!$C:$C,0),'MM01'!CV$2),"")=0,"",IFERROR(INDEX(Consulta!$A:$DP,MATCH('MM01'!$B141,Consulta!$C:$C,0),'MM01'!CV$2),""))</f>
        <v/>
      </c>
      <c r="CW141" s="43" t="str">
        <f>IF(IFERROR(INDEX(Consulta!$A:$DP,MATCH('MM01'!$B141,Consulta!$C:$C,0),'MM01'!CW$2),"")=0,"",IFERROR(INDEX(Consulta!$A:$DP,MATCH('MM01'!$B141,Consulta!$C:$C,0),'MM01'!CW$2),""))</f>
        <v/>
      </c>
      <c r="CX141" s="43" t="str">
        <f t="shared" si="101"/>
        <v/>
      </c>
      <c r="CY141" s="43" t="str">
        <f t="shared" si="102"/>
        <v/>
      </c>
      <c r="CZ141" s="43" t="str">
        <f t="shared" si="103"/>
        <v/>
      </c>
      <c r="DA141" s="43" t="str">
        <f>IF(IFERROR(INDEX(Consulta!$A:$DP,MATCH('MM01'!$B141,Consulta!$C:$C,0),'MM01'!DA$2),"")=0,"",IFERROR(INDEX(Consulta!$A:$DP,MATCH('MM01'!$B141,Consulta!$C:$C,0),'MM01'!DA$2),""))</f>
        <v/>
      </c>
      <c r="DB141" s="43" t="str">
        <f t="shared" si="104"/>
        <v/>
      </c>
      <c r="DC141" s="43" t="str">
        <f>IF(IFERROR(INDEX(Consulta!$A:$DP,MATCH('MM01'!$B141,Consulta!$C:$C,0),'MM01'!DC$2),"")=0,"",IFERROR(INDEX(Consulta!$A:$DP,MATCH('MM01'!$B141,Consulta!$C:$C,0),'MM01'!DC$2),""))</f>
        <v/>
      </c>
      <c r="DD141" s="45">
        <v>0</v>
      </c>
      <c r="DE141" s="45">
        <v>0</v>
      </c>
      <c r="DF141" s="43" t="str">
        <f t="shared" si="105"/>
        <v/>
      </c>
      <c r="DG141" s="43" t="str">
        <f t="shared" si="106"/>
        <v/>
      </c>
      <c r="DH141" s="57"/>
      <c r="DI141" s="43" t="str">
        <f t="shared" ca="1" si="107"/>
        <v/>
      </c>
      <c r="DJ141" s="43" t="str">
        <f t="shared" si="108"/>
        <v/>
      </c>
      <c r="DK141" s="43" t="str">
        <f t="shared" si="109"/>
        <v/>
      </c>
      <c r="DL141" s="57"/>
      <c r="DM141" s="43" t="str">
        <f t="shared" ca="1" si="110"/>
        <v/>
      </c>
      <c r="DN141" s="43" t="str">
        <f t="shared" si="111"/>
        <v/>
      </c>
      <c r="DO141" s="43" t="str">
        <f t="shared" si="112"/>
        <v/>
      </c>
      <c r="DP141" s="57"/>
      <c r="DQ141" s="43" t="str">
        <f t="shared" ca="1" si="113"/>
        <v/>
      </c>
      <c r="DR141" s="43" t="str">
        <f t="shared" si="114"/>
        <v/>
      </c>
      <c r="DS141" s="43" t="str">
        <f t="shared" si="115"/>
        <v/>
      </c>
      <c r="DT141" s="57"/>
      <c r="DU141" s="43" t="str">
        <f t="shared" ca="1" si="116"/>
        <v/>
      </c>
      <c r="DV141" s="43" t="str">
        <f t="shared" si="117"/>
        <v/>
      </c>
      <c r="DX141" s="44">
        <v>1</v>
      </c>
      <c r="DY141" s="44" t="s">
        <v>773</v>
      </c>
      <c r="DZ141" s="43">
        <f t="shared" si="118"/>
        <v>0.01</v>
      </c>
      <c r="EA141" s="43" t="str">
        <f t="shared" si="119"/>
        <v>M</v>
      </c>
      <c r="EB141" s="43" t="str">
        <f>IF(IFERROR(INDEX(Consulta!$A:$DP,MATCH('MM01'!$B141,Consulta!$C:$C,0),'MM01'!EB$2),"")=0,"7925",IF(IFERROR(INDEX(Consulta!$A:$DP,MATCH('MM01'!$B141,Consulta!$C:$C,0),'MM01'!EB$2),"")="68","7910","7925"))</f>
        <v>7925</v>
      </c>
      <c r="EC141" s="44">
        <v>100</v>
      </c>
      <c r="ED141" s="62">
        <v>1</v>
      </c>
      <c r="EE141" s="43">
        <f t="shared" si="120"/>
        <v>100</v>
      </c>
      <c r="EF141" s="44">
        <v>1</v>
      </c>
      <c r="EG141" s="44">
        <v>0</v>
      </c>
      <c r="EH141" s="44" t="s">
        <v>875</v>
      </c>
      <c r="EI141" s="45">
        <v>0</v>
      </c>
      <c r="EJ141" s="43">
        <f t="shared" si="121"/>
        <v>5000</v>
      </c>
      <c r="EK141" s="69"/>
    </row>
    <row r="142" spans="1:141" x14ac:dyDescent="0.2">
      <c r="A142" s="7" t="str">
        <f t="shared" si="82"/>
        <v>Execução 138</v>
      </c>
      <c r="B142" s="42"/>
      <c r="C142" s="43" t="str">
        <f>IF(IFERROR(INDEX(Consulta!$A:$DP,MATCH('MM01'!$B142,Consulta!$C:$C,0),'MM01'!C$2),"")=0,"",IFERROR(INDEX(Consulta!$A:$DP,MATCH('MM01'!$B142,Consulta!$C:$C,0),'MM01'!C$2),""))</f>
        <v/>
      </c>
      <c r="D142" s="43" t="str">
        <f>IF(IFERROR(INDEX(Consulta!$A:$DP,MATCH('MM01'!$B142,Consulta!$C:$C,0),'MM01'!D$2),"")=0,"",IFERROR(INDEX(Consulta!$A:$DP,MATCH('MM01'!$B142,Consulta!$C:$C,0),'MM01'!D$2),""))</f>
        <v/>
      </c>
      <c r="E142" s="43" t="str">
        <f>IF(IFERROR(INDEX(Consulta!$A:$DP,MATCH('MM01'!$B142,Consulta!$C:$C,0),'MM01'!E$2),"")=0,"",IFERROR(INDEX(Consulta!$A:$DP,MATCH('MM01'!$B142,Consulta!$C:$C,0),'MM01'!E$2),""))</f>
        <v/>
      </c>
      <c r="F142" s="44" t="s">
        <v>100</v>
      </c>
      <c r="G142" s="49" t="str">
        <f>IF(IFERROR(INDEX(Consulta!$A:$DP,MATCH('MM01'!$B142,Consulta!$C:$C,0),'MM01'!G$2),"")=0,"",IFERROR(INDEX(Consulta!$A:$DP,MATCH('MM01'!$B142,Consulta!$C:$C,0),'MM01'!G$2),""))</f>
        <v/>
      </c>
      <c r="H142" s="49" t="str">
        <f>IF(IFERROR(INDEX(Consulta!$A:$DP,MATCH('MM01'!$B142,Consulta!$C:$C,0),'MM01'!H$2),"")=0,"",IFERROR(INDEX(Consulta!$A:$DP,MATCH('MM01'!$B142,Consulta!$C:$C,0),'MM01'!H$2),""))</f>
        <v/>
      </c>
      <c r="I142" s="49" t="str">
        <f t="shared" si="83"/>
        <v/>
      </c>
      <c r="J142" s="49" t="str">
        <f>IF(IFERROR(INDEX(Consulta!$A:$DP,MATCH('MM01'!$B142,Consulta!$C:$C,0),'MM01'!J$2),"")=0,"",IFERROR(INDEX(Consulta!$A:$DP,MATCH('MM01'!$B142,Consulta!$C:$C,0),'MM01'!J$2),""))</f>
        <v/>
      </c>
      <c r="K142" s="49" t="str">
        <f t="shared" si="84"/>
        <v/>
      </c>
      <c r="M142" s="45" t="s">
        <v>101</v>
      </c>
      <c r="N142" s="45" t="s">
        <v>102</v>
      </c>
      <c r="O142" s="45" t="s">
        <v>103</v>
      </c>
      <c r="P142" s="45" t="s">
        <v>104</v>
      </c>
      <c r="Q142" s="45" t="s">
        <v>105</v>
      </c>
      <c r="R142" s="45" t="s">
        <v>106</v>
      </c>
      <c r="S142" s="45" t="s">
        <v>107</v>
      </c>
      <c r="T142" s="45"/>
      <c r="U142" s="45"/>
      <c r="V142" s="45"/>
      <c r="W142" s="45"/>
      <c r="X142" s="45" t="s">
        <v>112</v>
      </c>
      <c r="Y142" s="45" t="s">
        <v>113</v>
      </c>
      <c r="Z142" s="45" t="s">
        <v>114</v>
      </c>
      <c r="AA142" s="45" t="s">
        <v>115</v>
      </c>
      <c r="AB142" s="45" t="s">
        <v>117</v>
      </c>
      <c r="AC142" s="45" t="s">
        <v>118</v>
      </c>
      <c r="AD142" s="45" t="s">
        <v>119</v>
      </c>
      <c r="AE142" s="45" t="s">
        <v>120</v>
      </c>
      <c r="AF142" s="45" t="s">
        <v>121</v>
      </c>
      <c r="AG142" s="45" t="s">
        <v>122</v>
      </c>
      <c r="AH142" s="45" t="s">
        <v>123</v>
      </c>
      <c r="AI142" s="45" t="s">
        <v>124</v>
      </c>
      <c r="AJ142" s="45" t="s">
        <v>125</v>
      </c>
      <c r="AK142" s="45" t="s">
        <v>126</v>
      </c>
      <c r="AL142" s="45"/>
      <c r="AM142" s="45"/>
      <c r="AO142" s="44" t="s">
        <v>100</v>
      </c>
      <c r="AP142" s="43" t="str">
        <f>IF(IFERROR(INDEX(Consulta!$A:$DP,MATCH('MM01'!$B142,Consulta!$C:$C,0),'MM01'!AP$2),"")=0,"",IFERROR(INDEX(Consulta!$A:$DP,MATCH('MM01'!$B142,Consulta!$C:$C,0),'MM01'!AP$2),""))</f>
        <v/>
      </c>
      <c r="AQ142" s="45"/>
      <c r="AR142" s="43" t="str">
        <f>IF(IFERROR(INDEX(Consulta!$A:$DP,MATCH('MM01'!$B142,Consulta!$C:$C,0),'MM01'!AR$2),"")=0,"",IFERROR(INDEX(Consulta!$A:$DP,MATCH('MM01'!$B142,Consulta!$C:$C,0),'MM01'!AR$2),""))</f>
        <v/>
      </c>
      <c r="AS142" s="43" t="str">
        <f>IF(IFERROR(INDEX(Consulta!$A:$DP,MATCH('MM01'!$B142,Consulta!$C:$C,0),'MM01'!AS$2),"")=0,"",IF(AR142="68",5102,IFERROR(INDEX(Consulta!$A:$DP,MATCH('MM01'!$B142,Consulta!$C:$C,0),'MM01'!AS$2),"")))</f>
        <v/>
      </c>
      <c r="AT142" s="45"/>
      <c r="AU142" s="46" t="str">
        <f t="shared" ca="1" si="85"/>
        <v/>
      </c>
      <c r="AV142" s="47" t="s">
        <v>795</v>
      </c>
      <c r="AW142" s="43" t="str">
        <f>IF(IFERROR(INDEX(Consulta!$A:$DP,MATCH('MM01'!$B142,Consulta!$C:$C,0),'MM01'!AW$2),"")=0,"",IFERROR(ROUND(INDEX(Consulta!$A:$DP,MATCH('MM01'!$B142,Consulta!$C:$C,0),'MM01'!AW$2),3),""))</f>
        <v/>
      </c>
      <c r="AX142" s="43" t="str">
        <f t="shared" si="86"/>
        <v/>
      </c>
      <c r="AY142" s="48" t="s">
        <v>299</v>
      </c>
      <c r="AZ142" s="48"/>
      <c r="BA142" s="43" t="str">
        <f>IF(IFERROR(INDEX(Consulta!$A:$DP,MATCH('MM01'!$B142,Consulta!$C:$C,0),'MM01'!BA$2),"")=0,"",IFERROR(INDEX(Consulta!$A:$DP,MATCH('MM01'!$B142,Consulta!$C:$C,0),'MM01'!BA$2),""))</f>
        <v/>
      </c>
      <c r="BB142" s="43" t="str">
        <f t="shared" si="87"/>
        <v/>
      </c>
      <c r="BC142" s="43" t="str">
        <f t="shared" si="88"/>
        <v/>
      </c>
      <c r="BD142" s="43" t="str">
        <f t="shared" si="89"/>
        <v/>
      </c>
      <c r="BE142" s="43" t="str">
        <f t="shared" si="90"/>
        <v>M</v>
      </c>
      <c r="BF142" s="43" t="str">
        <f t="shared" si="91"/>
        <v/>
      </c>
      <c r="BG142" s="43" t="str">
        <f t="shared" si="92"/>
        <v/>
      </c>
      <c r="BH142" s="43" t="str">
        <f t="shared" si="93"/>
        <v/>
      </c>
      <c r="BI142" s="43" t="str">
        <f t="shared" si="94"/>
        <v>M</v>
      </c>
      <c r="BK142" s="45" t="s">
        <v>324</v>
      </c>
      <c r="BL142" s="43" t="str">
        <f>IF(IFERROR(INDEX(Consulta!$A:$DP,MATCH('MM01'!$B142,Consulta!$C:$C,0),'MM01'!BL$2),"")=0,"",IFERROR(INDEX(Consulta!$A:$DP,MATCH('MM01'!$B142,Consulta!$C:$C,0),'MM01'!BL$2),""))</f>
        <v/>
      </c>
      <c r="BM142" s="45"/>
      <c r="BN142" s="46" t="str">
        <f t="shared" ca="1" si="95"/>
        <v/>
      </c>
      <c r="BO142" s="49" t="str">
        <f t="shared" si="96"/>
        <v/>
      </c>
      <c r="BP142" s="50">
        <v>1</v>
      </c>
      <c r="BQ142" s="50" t="s">
        <v>194</v>
      </c>
      <c r="BR142" s="79" t="str">
        <f t="shared" si="122"/>
        <v>01</v>
      </c>
      <c r="BS142" s="50" t="s">
        <v>795</v>
      </c>
      <c r="BT142" s="44">
        <v>1</v>
      </c>
      <c r="BU142" s="44" t="s">
        <v>371</v>
      </c>
      <c r="BV142" s="50" t="s">
        <v>197</v>
      </c>
      <c r="BW142" s="50" t="s">
        <v>197</v>
      </c>
      <c r="BX142" s="43" t="str">
        <f>IF(IFERROR(INDEX(Consulta!$A:$DP,MATCH('MM01'!$B142,Consulta!$C:$C,0),'MM01'!BX$2),"")=0,"",IFERROR(INDEX(Consulta!$A:$DP,MATCH('MM01'!$B142,Consulta!$C:$C,0),'MM01'!BX$2),""))</f>
        <v/>
      </c>
      <c r="BY142" s="44" t="s">
        <v>391</v>
      </c>
      <c r="BZ142" s="50">
        <v>0</v>
      </c>
      <c r="CA142" s="45" t="s">
        <v>402</v>
      </c>
      <c r="CB142" s="45" t="s">
        <v>84</v>
      </c>
      <c r="CC142" s="43" t="str">
        <f t="shared" si="97"/>
        <v/>
      </c>
      <c r="CD142" s="45" t="s">
        <v>38</v>
      </c>
      <c r="CE142" s="45">
        <v>1</v>
      </c>
      <c r="CF142" s="45" t="s">
        <v>495</v>
      </c>
      <c r="CG142" s="45"/>
      <c r="CH142" s="44">
        <v>2</v>
      </c>
      <c r="CI142" s="49" t="str">
        <f t="shared" si="98"/>
        <v/>
      </c>
      <c r="CJ142" s="49" t="str">
        <f t="shared" si="99"/>
        <v/>
      </c>
      <c r="CK142" s="45"/>
      <c r="CL142" s="44">
        <v>1</v>
      </c>
      <c r="CM142" s="50" t="s">
        <v>514</v>
      </c>
      <c r="CN142" s="44" t="s">
        <v>371</v>
      </c>
      <c r="CO142" s="44">
        <v>2</v>
      </c>
      <c r="CP142" s="44">
        <v>42</v>
      </c>
      <c r="CQ142" s="44">
        <v>10</v>
      </c>
      <c r="CR142" s="43" t="str">
        <f t="shared" si="100"/>
        <v>K00_P_</v>
      </c>
      <c r="CS142" s="45">
        <v>5000</v>
      </c>
      <c r="CT142" s="43" t="str">
        <f>IF(IFERROR(INDEX(Consulta!$A:$DP,MATCH('MM01'!$B142,Consulta!$C:$C,0),'MM01'!CT$2),"")=0,"",IFERROR(INDEX(Consulta!$A:$DP,MATCH('MM01'!$B142,Consulta!$C:$C,0),'MM01'!CT$2),""))</f>
        <v/>
      </c>
      <c r="CU142" s="43" t="str">
        <f>IF(IFERROR(INDEX(Consulta!$A:$DP,MATCH('MM01'!$B142,Consulta!$C:$C,0),'MM01'!CU$2),"")=0,"",IFERROR(INDEX(Consulta!$A:$DP,MATCH('MM01'!$B142,Consulta!$C:$C,0),'MM01'!CU$2),""))</f>
        <v/>
      </c>
      <c r="CV142" s="43" t="str">
        <f>IF(IFERROR(INDEX(Consulta!$A:$DP,MATCH('MM01'!$B142,Consulta!$C:$C,0),'MM01'!CV$2),"")=0,"",IFERROR(INDEX(Consulta!$A:$DP,MATCH('MM01'!$B142,Consulta!$C:$C,0),'MM01'!CV$2),""))</f>
        <v/>
      </c>
      <c r="CW142" s="43" t="str">
        <f>IF(IFERROR(INDEX(Consulta!$A:$DP,MATCH('MM01'!$B142,Consulta!$C:$C,0),'MM01'!CW$2),"")=0,"",IFERROR(INDEX(Consulta!$A:$DP,MATCH('MM01'!$B142,Consulta!$C:$C,0),'MM01'!CW$2),""))</f>
        <v/>
      </c>
      <c r="CX142" s="43" t="str">
        <f t="shared" si="101"/>
        <v/>
      </c>
      <c r="CY142" s="43" t="str">
        <f t="shared" si="102"/>
        <v/>
      </c>
      <c r="CZ142" s="43" t="str">
        <f t="shared" si="103"/>
        <v/>
      </c>
      <c r="DA142" s="43" t="str">
        <f>IF(IFERROR(INDEX(Consulta!$A:$DP,MATCH('MM01'!$B142,Consulta!$C:$C,0),'MM01'!DA$2),"")=0,"",IFERROR(INDEX(Consulta!$A:$DP,MATCH('MM01'!$B142,Consulta!$C:$C,0),'MM01'!DA$2),""))</f>
        <v/>
      </c>
      <c r="DB142" s="43" t="str">
        <f t="shared" si="104"/>
        <v/>
      </c>
      <c r="DC142" s="43" t="str">
        <f>IF(IFERROR(INDEX(Consulta!$A:$DP,MATCH('MM01'!$B142,Consulta!$C:$C,0),'MM01'!DC$2),"")=0,"",IFERROR(INDEX(Consulta!$A:$DP,MATCH('MM01'!$B142,Consulta!$C:$C,0),'MM01'!DC$2),""))</f>
        <v/>
      </c>
      <c r="DD142" s="45">
        <v>0</v>
      </c>
      <c r="DE142" s="45">
        <v>0</v>
      </c>
      <c r="DF142" s="43" t="str">
        <f t="shared" si="105"/>
        <v/>
      </c>
      <c r="DG142" s="43" t="str">
        <f t="shared" si="106"/>
        <v/>
      </c>
      <c r="DH142" s="57"/>
      <c r="DI142" s="43" t="str">
        <f t="shared" ca="1" si="107"/>
        <v/>
      </c>
      <c r="DJ142" s="43" t="str">
        <f t="shared" si="108"/>
        <v/>
      </c>
      <c r="DK142" s="43" t="str">
        <f t="shared" si="109"/>
        <v/>
      </c>
      <c r="DL142" s="57"/>
      <c r="DM142" s="43" t="str">
        <f t="shared" ca="1" si="110"/>
        <v/>
      </c>
      <c r="DN142" s="43" t="str">
        <f t="shared" si="111"/>
        <v/>
      </c>
      <c r="DO142" s="43" t="str">
        <f t="shared" si="112"/>
        <v/>
      </c>
      <c r="DP142" s="57"/>
      <c r="DQ142" s="43" t="str">
        <f t="shared" ca="1" si="113"/>
        <v/>
      </c>
      <c r="DR142" s="43" t="str">
        <f t="shared" si="114"/>
        <v/>
      </c>
      <c r="DS142" s="43" t="str">
        <f t="shared" si="115"/>
        <v/>
      </c>
      <c r="DT142" s="57"/>
      <c r="DU142" s="43" t="str">
        <f t="shared" ca="1" si="116"/>
        <v/>
      </c>
      <c r="DV142" s="43" t="str">
        <f t="shared" si="117"/>
        <v/>
      </c>
      <c r="DX142" s="44">
        <v>1</v>
      </c>
      <c r="DY142" s="44" t="s">
        <v>773</v>
      </c>
      <c r="DZ142" s="43">
        <f t="shared" si="118"/>
        <v>0.01</v>
      </c>
      <c r="EA142" s="43" t="str">
        <f t="shared" si="119"/>
        <v>M</v>
      </c>
      <c r="EB142" s="43" t="str">
        <f>IF(IFERROR(INDEX(Consulta!$A:$DP,MATCH('MM01'!$B142,Consulta!$C:$C,0),'MM01'!EB$2),"")=0,"7925",IF(IFERROR(INDEX(Consulta!$A:$DP,MATCH('MM01'!$B142,Consulta!$C:$C,0),'MM01'!EB$2),"")="68","7910","7925"))</f>
        <v>7925</v>
      </c>
      <c r="EC142" s="44">
        <v>100</v>
      </c>
      <c r="ED142" s="62">
        <v>1</v>
      </c>
      <c r="EE142" s="43">
        <f t="shared" si="120"/>
        <v>100</v>
      </c>
      <c r="EF142" s="44">
        <v>1</v>
      </c>
      <c r="EG142" s="44">
        <v>0</v>
      </c>
      <c r="EH142" s="44" t="s">
        <v>875</v>
      </c>
      <c r="EI142" s="45">
        <v>0</v>
      </c>
      <c r="EJ142" s="43">
        <f t="shared" si="121"/>
        <v>5000</v>
      </c>
      <c r="EK142" s="69"/>
    </row>
    <row r="143" spans="1:141" x14ac:dyDescent="0.2">
      <c r="A143" s="7" t="str">
        <f t="shared" si="82"/>
        <v>Execução 139</v>
      </c>
      <c r="B143" s="42"/>
      <c r="C143" s="43" t="str">
        <f>IF(IFERROR(INDEX(Consulta!$A:$DP,MATCH('MM01'!$B143,Consulta!$C:$C,0),'MM01'!C$2),"")=0,"",IFERROR(INDEX(Consulta!$A:$DP,MATCH('MM01'!$B143,Consulta!$C:$C,0),'MM01'!C$2),""))</f>
        <v/>
      </c>
      <c r="D143" s="43" t="str">
        <f>IF(IFERROR(INDEX(Consulta!$A:$DP,MATCH('MM01'!$B143,Consulta!$C:$C,0),'MM01'!D$2),"")=0,"",IFERROR(INDEX(Consulta!$A:$DP,MATCH('MM01'!$B143,Consulta!$C:$C,0),'MM01'!D$2),""))</f>
        <v/>
      </c>
      <c r="E143" s="43" t="str">
        <f>IF(IFERROR(INDEX(Consulta!$A:$DP,MATCH('MM01'!$B143,Consulta!$C:$C,0),'MM01'!E$2),"")=0,"",IFERROR(INDEX(Consulta!$A:$DP,MATCH('MM01'!$B143,Consulta!$C:$C,0),'MM01'!E$2),""))</f>
        <v/>
      </c>
      <c r="F143" s="44" t="s">
        <v>100</v>
      </c>
      <c r="G143" s="49" t="str">
        <f>IF(IFERROR(INDEX(Consulta!$A:$DP,MATCH('MM01'!$B143,Consulta!$C:$C,0),'MM01'!G$2),"")=0,"",IFERROR(INDEX(Consulta!$A:$DP,MATCH('MM01'!$B143,Consulta!$C:$C,0),'MM01'!G$2),""))</f>
        <v/>
      </c>
      <c r="H143" s="49" t="str">
        <f>IF(IFERROR(INDEX(Consulta!$A:$DP,MATCH('MM01'!$B143,Consulta!$C:$C,0),'MM01'!H$2),"")=0,"",IFERROR(INDEX(Consulta!$A:$DP,MATCH('MM01'!$B143,Consulta!$C:$C,0),'MM01'!H$2),""))</f>
        <v/>
      </c>
      <c r="I143" s="49" t="str">
        <f t="shared" si="83"/>
        <v/>
      </c>
      <c r="J143" s="49" t="str">
        <f>IF(IFERROR(INDEX(Consulta!$A:$DP,MATCH('MM01'!$B143,Consulta!$C:$C,0),'MM01'!J$2),"")=0,"",IFERROR(INDEX(Consulta!$A:$DP,MATCH('MM01'!$B143,Consulta!$C:$C,0),'MM01'!J$2),""))</f>
        <v/>
      </c>
      <c r="K143" s="49" t="str">
        <f t="shared" si="84"/>
        <v/>
      </c>
      <c r="M143" s="45" t="s">
        <v>101</v>
      </c>
      <c r="N143" s="45" t="s">
        <v>102</v>
      </c>
      <c r="O143" s="45" t="s">
        <v>103</v>
      </c>
      <c r="P143" s="45" t="s">
        <v>104</v>
      </c>
      <c r="Q143" s="45" t="s">
        <v>105</v>
      </c>
      <c r="R143" s="45" t="s">
        <v>106</v>
      </c>
      <c r="S143" s="45" t="s">
        <v>107</v>
      </c>
      <c r="T143" s="45"/>
      <c r="U143" s="45"/>
      <c r="V143" s="45"/>
      <c r="W143" s="45"/>
      <c r="X143" s="45" t="s">
        <v>112</v>
      </c>
      <c r="Y143" s="45" t="s">
        <v>113</v>
      </c>
      <c r="Z143" s="45" t="s">
        <v>114</v>
      </c>
      <c r="AA143" s="45" t="s">
        <v>115</v>
      </c>
      <c r="AB143" s="45" t="s">
        <v>117</v>
      </c>
      <c r="AC143" s="45" t="s">
        <v>118</v>
      </c>
      <c r="AD143" s="45" t="s">
        <v>119</v>
      </c>
      <c r="AE143" s="45" t="s">
        <v>120</v>
      </c>
      <c r="AF143" s="45" t="s">
        <v>121</v>
      </c>
      <c r="AG143" s="45" t="s">
        <v>122</v>
      </c>
      <c r="AH143" s="45" t="s">
        <v>123</v>
      </c>
      <c r="AI143" s="45" t="s">
        <v>124</v>
      </c>
      <c r="AJ143" s="45" t="s">
        <v>125</v>
      </c>
      <c r="AK143" s="45" t="s">
        <v>126</v>
      </c>
      <c r="AL143" s="45"/>
      <c r="AM143" s="45"/>
      <c r="AO143" s="44" t="s">
        <v>100</v>
      </c>
      <c r="AP143" s="43" t="str">
        <f>IF(IFERROR(INDEX(Consulta!$A:$DP,MATCH('MM01'!$B143,Consulta!$C:$C,0),'MM01'!AP$2),"")=0,"",IFERROR(INDEX(Consulta!$A:$DP,MATCH('MM01'!$B143,Consulta!$C:$C,0),'MM01'!AP$2),""))</f>
        <v/>
      </c>
      <c r="AQ143" s="45"/>
      <c r="AR143" s="43" t="str">
        <f>IF(IFERROR(INDEX(Consulta!$A:$DP,MATCH('MM01'!$B143,Consulta!$C:$C,0),'MM01'!AR$2),"")=0,"",IFERROR(INDEX(Consulta!$A:$DP,MATCH('MM01'!$B143,Consulta!$C:$C,0),'MM01'!AR$2),""))</f>
        <v/>
      </c>
      <c r="AS143" s="43" t="str">
        <f>IF(IFERROR(INDEX(Consulta!$A:$DP,MATCH('MM01'!$B143,Consulta!$C:$C,0),'MM01'!AS$2),"")=0,"",IF(AR143="68",5102,IFERROR(INDEX(Consulta!$A:$DP,MATCH('MM01'!$B143,Consulta!$C:$C,0),'MM01'!AS$2),"")))</f>
        <v/>
      </c>
      <c r="AT143" s="45"/>
      <c r="AU143" s="46" t="str">
        <f t="shared" ca="1" si="85"/>
        <v/>
      </c>
      <c r="AV143" s="47" t="s">
        <v>795</v>
      </c>
      <c r="AW143" s="43" t="str">
        <f>IF(IFERROR(INDEX(Consulta!$A:$DP,MATCH('MM01'!$B143,Consulta!$C:$C,0),'MM01'!AW$2),"")=0,"",IFERROR(ROUND(INDEX(Consulta!$A:$DP,MATCH('MM01'!$B143,Consulta!$C:$C,0),'MM01'!AW$2),3),""))</f>
        <v/>
      </c>
      <c r="AX143" s="43" t="str">
        <f t="shared" si="86"/>
        <v/>
      </c>
      <c r="AY143" s="48" t="s">
        <v>299</v>
      </c>
      <c r="AZ143" s="48"/>
      <c r="BA143" s="43" t="str">
        <f>IF(IFERROR(INDEX(Consulta!$A:$DP,MATCH('MM01'!$B143,Consulta!$C:$C,0),'MM01'!BA$2),"")=0,"",IFERROR(INDEX(Consulta!$A:$DP,MATCH('MM01'!$B143,Consulta!$C:$C,0),'MM01'!BA$2),""))</f>
        <v/>
      </c>
      <c r="BB143" s="43" t="str">
        <f t="shared" si="87"/>
        <v/>
      </c>
      <c r="BC143" s="43" t="str">
        <f t="shared" si="88"/>
        <v/>
      </c>
      <c r="BD143" s="43" t="str">
        <f t="shared" si="89"/>
        <v/>
      </c>
      <c r="BE143" s="43" t="str">
        <f t="shared" si="90"/>
        <v>M</v>
      </c>
      <c r="BF143" s="43" t="str">
        <f t="shared" si="91"/>
        <v/>
      </c>
      <c r="BG143" s="43" t="str">
        <f t="shared" si="92"/>
        <v/>
      </c>
      <c r="BH143" s="43" t="str">
        <f t="shared" si="93"/>
        <v/>
      </c>
      <c r="BI143" s="43" t="str">
        <f t="shared" si="94"/>
        <v>M</v>
      </c>
      <c r="BK143" s="45" t="s">
        <v>324</v>
      </c>
      <c r="BL143" s="43" t="str">
        <f>IF(IFERROR(INDEX(Consulta!$A:$DP,MATCH('MM01'!$B143,Consulta!$C:$C,0),'MM01'!BL$2),"")=0,"",IFERROR(INDEX(Consulta!$A:$DP,MATCH('MM01'!$B143,Consulta!$C:$C,0),'MM01'!BL$2),""))</f>
        <v/>
      </c>
      <c r="BM143" s="45"/>
      <c r="BN143" s="46" t="str">
        <f t="shared" ca="1" si="95"/>
        <v/>
      </c>
      <c r="BO143" s="49" t="str">
        <f t="shared" si="96"/>
        <v/>
      </c>
      <c r="BP143" s="50">
        <v>1</v>
      </c>
      <c r="BQ143" s="50" t="s">
        <v>194</v>
      </c>
      <c r="BR143" s="79" t="str">
        <f t="shared" si="122"/>
        <v>01</v>
      </c>
      <c r="BS143" s="50" t="s">
        <v>795</v>
      </c>
      <c r="BT143" s="44">
        <v>1</v>
      </c>
      <c r="BU143" s="44" t="s">
        <v>371</v>
      </c>
      <c r="BV143" s="50" t="s">
        <v>197</v>
      </c>
      <c r="BW143" s="50" t="s">
        <v>197</v>
      </c>
      <c r="BX143" s="43" t="str">
        <f>IF(IFERROR(INDEX(Consulta!$A:$DP,MATCH('MM01'!$B143,Consulta!$C:$C,0),'MM01'!BX$2),"")=0,"",IFERROR(INDEX(Consulta!$A:$DP,MATCH('MM01'!$B143,Consulta!$C:$C,0),'MM01'!BX$2),""))</f>
        <v/>
      </c>
      <c r="BY143" s="44" t="s">
        <v>391</v>
      </c>
      <c r="BZ143" s="50">
        <v>0</v>
      </c>
      <c r="CA143" s="45" t="s">
        <v>402</v>
      </c>
      <c r="CB143" s="45" t="s">
        <v>84</v>
      </c>
      <c r="CC143" s="43" t="str">
        <f t="shared" si="97"/>
        <v/>
      </c>
      <c r="CD143" s="45" t="s">
        <v>38</v>
      </c>
      <c r="CE143" s="45">
        <v>1</v>
      </c>
      <c r="CF143" s="45" t="s">
        <v>495</v>
      </c>
      <c r="CG143" s="45"/>
      <c r="CH143" s="44">
        <v>2</v>
      </c>
      <c r="CI143" s="49" t="str">
        <f t="shared" si="98"/>
        <v/>
      </c>
      <c r="CJ143" s="49" t="str">
        <f t="shared" si="99"/>
        <v/>
      </c>
      <c r="CK143" s="45"/>
      <c r="CL143" s="44">
        <v>1</v>
      </c>
      <c r="CM143" s="50" t="s">
        <v>514</v>
      </c>
      <c r="CN143" s="44" t="s">
        <v>371</v>
      </c>
      <c r="CO143" s="44">
        <v>2</v>
      </c>
      <c r="CP143" s="44">
        <v>42</v>
      </c>
      <c r="CQ143" s="44">
        <v>10</v>
      </c>
      <c r="CR143" s="43" t="str">
        <f t="shared" si="100"/>
        <v>K00_P_</v>
      </c>
      <c r="CS143" s="45">
        <v>5000</v>
      </c>
      <c r="CT143" s="43" t="str">
        <f>IF(IFERROR(INDEX(Consulta!$A:$DP,MATCH('MM01'!$B143,Consulta!$C:$C,0),'MM01'!CT$2),"")=0,"",IFERROR(INDEX(Consulta!$A:$DP,MATCH('MM01'!$B143,Consulta!$C:$C,0),'MM01'!CT$2),""))</f>
        <v/>
      </c>
      <c r="CU143" s="43" t="str">
        <f>IF(IFERROR(INDEX(Consulta!$A:$DP,MATCH('MM01'!$B143,Consulta!$C:$C,0),'MM01'!CU$2),"")=0,"",IFERROR(INDEX(Consulta!$A:$DP,MATCH('MM01'!$B143,Consulta!$C:$C,0),'MM01'!CU$2),""))</f>
        <v/>
      </c>
      <c r="CV143" s="43" t="str">
        <f>IF(IFERROR(INDEX(Consulta!$A:$DP,MATCH('MM01'!$B143,Consulta!$C:$C,0),'MM01'!CV$2),"")=0,"",IFERROR(INDEX(Consulta!$A:$DP,MATCH('MM01'!$B143,Consulta!$C:$C,0),'MM01'!CV$2),""))</f>
        <v/>
      </c>
      <c r="CW143" s="43" t="str">
        <f>IF(IFERROR(INDEX(Consulta!$A:$DP,MATCH('MM01'!$B143,Consulta!$C:$C,0),'MM01'!CW$2),"")=0,"",IFERROR(INDEX(Consulta!$A:$DP,MATCH('MM01'!$B143,Consulta!$C:$C,0),'MM01'!CW$2),""))</f>
        <v/>
      </c>
      <c r="CX143" s="43" t="str">
        <f t="shared" si="101"/>
        <v/>
      </c>
      <c r="CY143" s="43" t="str">
        <f t="shared" si="102"/>
        <v/>
      </c>
      <c r="CZ143" s="43" t="str">
        <f t="shared" si="103"/>
        <v/>
      </c>
      <c r="DA143" s="43" t="str">
        <f>IF(IFERROR(INDEX(Consulta!$A:$DP,MATCH('MM01'!$B143,Consulta!$C:$C,0),'MM01'!DA$2),"")=0,"",IFERROR(INDEX(Consulta!$A:$DP,MATCH('MM01'!$B143,Consulta!$C:$C,0),'MM01'!DA$2),""))</f>
        <v/>
      </c>
      <c r="DB143" s="43" t="str">
        <f t="shared" si="104"/>
        <v/>
      </c>
      <c r="DC143" s="43" t="str">
        <f>IF(IFERROR(INDEX(Consulta!$A:$DP,MATCH('MM01'!$B143,Consulta!$C:$C,0),'MM01'!DC$2),"")=0,"",IFERROR(INDEX(Consulta!$A:$DP,MATCH('MM01'!$B143,Consulta!$C:$C,0),'MM01'!DC$2),""))</f>
        <v/>
      </c>
      <c r="DD143" s="45">
        <v>0</v>
      </c>
      <c r="DE143" s="45">
        <v>0</v>
      </c>
      <c r="DF143" s="43" t="str">
        <f t="shared" si="105"/>
        <v/>
      </c>
      <c r="DG143" s="43" t="str">
        <f t="shared" si="106"/>
        <v/>
      </c>
      <c r="DH143" s="57"/>
      <c r="DI143" s="43" t="str">
        <f t="shared" ca="1" si="107"/>
        <v/>
      </c>
      <c r="DJ143" s="43" t="str">
        <f t="shared" si="108"/>
        <v/>
      </c>
      <c r="DK143" s="43" t="str">
        <f t="shared" si="109"/>
        <v/>
      </c>
      <c r="DL143" s="57"/>
      <c r="DM143" s="43" t="str">
        <f t="shared" ca="1" si="110"/>
        <v/>
      </c>
      <c r="DN143" s="43" t="str">
        <f t="shared" si="111"/>
        <v/>
      </c>
      <c r="DO143" s="43" t="str">
        <f t="shared" si="112"/>
        <v/>
      </c>
      <c r="DP143" s="57"/>
      <c r="DQ143" s="43" t="str">
        <f t="shared" ca="1" si="113"/>
        <v/>
      </c>
      <c r="DR143" s="43" t="str">
        <f t="shared" si="114"/>
        <v/>
      </c>
      <c r="DS143" s="43" t="str">
        <f t="shared" si="115"/>
        <v/>
      </c>
      <c r="DT143" s="57"/>
      <c r="DU143" s="43" t="str">
        <f t="shared" ca="1" si="116"/>
        <v/>
      </c>
      <c r="DV143" s="43" t="str">
        <f t="shared" si="117"/>
        <v/>
      </c>
      <c r="DX143" s="44">
        <v>1</v>
      </c>
      <c r="DY143" s="44" t="s">
        <v>773</v>
      </c>
      <c r="DZ143" s="43">
        <f t="shared" si="118"/>
        <v>0.01</v>
      </c>
      <c r="EA143" s="43" t="str">
        <f t="shared" si="119"/>
        <v>M</v>
      </c>
      <c r="EB143" s="43" t="str">
        <f>IF(IFERROR(INDEX(Consulta!$A:$DP,MATCH('MM01'!$B143,Consulta!$C:$C,0),'MM01'!EB$2),"")=0,"7925",IF(IFERROR(INDEX(Consulta!$A:$DP,MATCH('MM01'!$B143,Consulta!$C:$C,0),'MM01'!EB$2),"")="68","7910","7925"))</f>
        <v>7925</v>
      </c>
      <c r="EC143" s="44">
        <v>100</v>
      </c>
      <c r="ED143" s="62">
        <v>1</v>
      </c>
      <c r="EE143" s="43">
        <f t="shared" si="120"/>
        <v>100</v>
      </c>
      <c r="EF143" s="44">
        <v>1</v>
      </c>
      <c r="EG143" s="44">
        <v>0</v>
      </c>
      <c r="EH143" s="44" t="s">
        <v>875</v>
      </c>
      <c r="EI143" s="45">
        <v>0</v>
      </c>
      <c r="EJ143" s="43">
        <f t="shared" si="121"/>
        <v>5000</v>
      </c>
      <c r="EK143" s="69"/>
    </row>
    <row r="144" spans="1:141" x14ac:dyDescent="0.2">
      <c r="A144" s="7" t="str">
        <f t="shared" si="82"/>
        <v>Execução 140</v>
      </c>
      <c r="B144" s="42"/>
      <c r="C144" s="43" t="str">
        <f>IF(IFERROR(INDEX(Consulta!$A:$DP,MATCH('MM01'!$B144,Consulta!$C:$C,0),'MM01'!C$2),"")=0,"",IFERROR(INDEX(Consulta!$A:$DP,MATCH('MM01'!$B144,Consulta!$C:$C,0),'MM01'!C$2),""))</f>
        <v/>
      </c>
      <c r="D144" s="43" t="str">
        <f>IF(IFERROR(INDEX(Consulta!$A:$DP,MATCH('MM01'!$B144,Consulta!$C:$C,0),'MM01'!D$2),"")=0,"",IFERROR(INDEX(Consulta!$A:$DP,MATCH('MM01'!$B144,Consulta!$C:$C,0),'MM01'!D$2),""))</f>
        <v/>
      </c>
      <c r="E144" s="43" t="str">
        <f>IF(IFERROR(INDEX(Consulta!$A:$DP,MATCH('MM01'!$B144,Consulta!$C:$C,0),'MM01'!E$2),"")=0,"",IFERROR(INDEX(Consulta!$A:$DP,MATCH('MM01'!$B144,Consulta!$C:$C,0),'MM01'!E$2),""))</f>
        <v/>
      </c>
      <c r="F144" s="44" t="s">
        <v>100</v>
      </c>
      <c r="G144" s="49" t="str">
        <f>IF(IFERROR(INDEX(Consulta!$A:$DP,MATCH('MM01'!$B144,Consulta!$C:$C,0),'MM01'!G$2),"")=0,"",IFERROR(INDEX(Consulta!$A:$DP,MATCH('MM01'!$B144,Consulta!$C:$C,0),'MM01'!G$2),""))</f>
        <v/>
      </c>
      <c r="H144" s="49" t="str">
        <f>IF(IFERROR(INDEX(Consulta!$A:$DP,MATCH('MM01'!$B144,Consulta!$C:$C,0),'MM01'!H$2),"")=0,"",IFERROR(INDEX(Consulta!$A:$DP,MATCH('MM01'!$B144,Consulta!$C:$C,0),'MM01'!H$2),""))</f>
        <v/>
      </c>
      <c r="I144" s="49" t="str">
        <f t="shared" si="83"/>
        <v/>
      </c>
      <c r="J144" s="49" t="str">
        <f>IF(IFERROR(INDEX(Consulta!$A:$DP,MATCH('MM01'!$B144,Consulta!$C:$C,0),'MM01'!J$2),"")=0,"",IFERROR(INDEX(Consulta!$A:$DP,MATCH('MM01'!$B144,Consulta!$C:$C,0),'MM01'!J$2),""))</f>
        <v/>
      </c>
      <c r="K144" s="49" t="str">
        <f t="shared" si="84"/>
        <v/>
      </c>
      <c r="M144" s="45" t="s">
        <v>101</v>
      </c>
      <c r="N144" s="45" t="s">
        <v>102</v>
      </c>
      <c r="O144" s="45" t="s">
        <v>103</v>
      </c>
      <c r="P144" s="45" t="s">
        <v>104</v>
      </c>
      <c r="Q144" s="45" t="s">
        <v>105</v>
      </c>
      <c r="R144" s="45" t="s">
        <v>106</v>
      </c>
      <c r="S144" s="45" t="s">
        <v>107</v>
      </c>
      <c r="T144" s="45"/>
      <c r="U144" s="45"/>
      <c r="V144" s="45"/>
      <c r="W144" s="45"/>
      <c r="X144" s="45" t="s">
        <v>112</v>
      </c>
      <c r="Y144" s="45" t="s">
        <v>113</v>
      </c>
      <c r="Z144" s="45" t="s">
        <v>114</v>
      </c>
      <c r="AA144" s="45" t="s">
        <v>115</v>
      </c>
      <c r="AB144" s="45" t="s">
        <v>117</v>
      </c>
      <c r="AC144" s="45" t="s">
        <v>118</v>
      </c>
      <c r="AD144" s="45" t="s">
        <v>119</v>
      </c>
      <c r="AE144" s="45" t="s">
        <v>120</v>
      </c>
      <c r="AF144" s="45" t="s">
        <v>121</v>
      </c>
      <c r="AG144" s="45" t="s">
        <v>122</v>
      </c>
      <c r="AH144" s="45" t="s">
        <v>123</v>
      </c>
      <c r="AI144" s="45" t="s">
        <v>124</v>
      </c>
      <c r="AJ144" s="45" t="s">
        <v>125</v>
      </c>
      <c r="AK144" s="45" t="s">
        <v>126</v>
      </c>
      <c r="AL144" s="45"/>
      <c r="AM144" s="45"/>
      <c r="AO144" s="44" t="s">
        <v>100</v>
      </c>
      <c r="AP144" s="43" t="str">
        <f>IF(IFERROR(INDEX(Consulta!$A:$DP,MATCH('MM01'!$B144,Consulta!$C:$C,0),'MM01'!AP$2),"")=0,"",IFERROR(INDEX(Consulta!$A:$DP,MATCH('MM01'!$B144,Consulta!$C:$C,0),'MM01'!AP$2),""))</f>
        <v/>
      </c>
      <c r="AQ144" s="45"/>
      <c r="AR144" s="43" t="str">
        <f>IF(IFERROR(INDEX(Consulta!$A:$DP,MATCH('MM01'!$B144,Consulta!$C:$C,0),'MM01'!AR$2),"")=0,"",IFERROR(INDEX(Consulta!$A:$DP,MATCH('MM01'!$B144,Consulta!$C:$C,0),'MM01'!AR$2),""))</f>
        <v/>
      </c>
      <c r="AS144" s="43" t="str">
        <f>IF(IFERROR(INDEX(Consulta!$A:$DP,MATCH('MM01'!$B144,Consulta!$C:$C,0),'MM01'!AS$2),"")=0,"",IF(AR144="68",5102,IFERROR(INDEX(Consulta!$A:$DP,MATCH('MM01'!$B144,Consulta!$C:$C,0),'MM01'!AS$2),"")))</f>
        <v/>
      </c>
      <c r="AT144" s="45"/>
      <c r="AU144" s="46" t="str">
        <f t="shared" ca="1" si="85"/>
        <v/>
      </c>
      <c r="AV144" s="47" t="s">
        <v>795</v>
      </c>
      <c r="AW144" s="43" t="str">
        <f>IF(IFERROR(INDEX(Consulta!$A:$DP,MATCH('MM01'!$B144,Consulta!$C:$C,0),'MM01'!AW$2),"")=0,"",IFERROR(ROUND(INDEX(Consulta!$A:$DP,MATCH('MM01'!$B144,Consulta!$C:$C,0),'MM01'!AW$2),3),""))</f>
        <v/>
      </c>
      <c r="AX144" s="43" t="str">
        <f t="shared" si="86"/>
        <v/>
      </c>
      <c r="AY144" s="48" t="s">
        <v>299</v>
      </c>
      <c r="AZ144" s="48"/>
      <c r="BA144" s="43" t="str">
        <f>IF(IFERROR(INDEX(Consulta!$A:$DP,MATCH('MM01'!$B144,Consulta!$C:$C,0),'MM01'!BA$2),"")=0,"",IFERROR(INDEX(Consulta!$A:$DP,MATCH('MM01'!$B144,Consulta!$C:$C,0),'MM01'!BA$2),""))</f>
        <v/>
      </c>
      <c r="BB144" s="43" t="str">
        <f t="shared" si="87"/>
        <v/>
      </c>
      <c r="BC144" s="43" t="str">
        <f t="shared" si="88"/>
        <v/>
      </c>
      <c r="BD144" s="43" t="str">
        <f t="shared" si="89"/>
        <v/>
      </c>
      <c r="BE144" s="43" t="str">
        <f t="shared" si="90"/>
        <v>M</v>
      </c>
      <c r="BF144" s="43" t="str">
        <f t="shared" si="91"/>
        <v/>
      </c>
      <c r="BG144" s="43" t="str">
        <f t="shared" si="92"/>
        <v/>
      </c>
      <c r="BH144" s="43" t="str">
        <f t="shared" si="93"/>
        <v/>
      </c>
      <c r="BI144" s="43" t="str">
        <f t="shared" si="94"/>
        <v>M</v>
      </c>
      <c r="BK144" s="45" t="s">
        <v>324</v>
      </c>
      <c r="BL144" s="43" t="str">
        <f>IF(IFERROR(INDEX(Consulta!$A:$DP,MATCH('MM01'!$B144,Consulta!$C:$C,0),'MM01'!BL$2),"")=0,"",IFERROR(INDEX(Consulta!$A:$DP,MATCH('MM01'!$B144,Consulta!$C:$C,0),'MM01'!BL$2),""))</f>
        <v/>
      </c>
      <c r="BM144" s="45"/>
      <c r="BN144" s="46" t="str">
        <f t="shared" ca="1" si="95"/>
        <v/>
      </c>
      <c r="BO144" s="49" t="str">
        <f t="shared" si="96"/>
        <v/>
      </c>
      <c r="BP144" s="50">
        <v>1</v>
      </c>
      <c r="BQ144" s="50" t="s">
        <v>194</v>
      </c>
      <c r="BR144" s="79" t="str">
        <f t="shared" si="122"/>
        <v>01</v>
      </c>
      <c r="BS144" s="50" t="s">
        <v>795</v>
      </c>
      <c r="BT144" s="44">
        <v>1</v>
      </c>
      <c r="BU144" s="44" t="s">
        <v>371</v>
      </c>
      <c r="BV144" s="50" t="s">
        <v>197</v>
      </c>
      <c r="BW144" s="50" t="s">
        <v>197</v>
      </c>
      <c r="BX144" s="43" t="str">
        <f>IF(IFERROR(INDEX(Consulta!$A:$DP,MATCH('MM01'!$B144,Consulta!$C:$C,0),'MM01'!BX$2),"")=0,"",IFERROR(INDEX(Consulta!$A:$DP,MATCH('MM01'!$B144,Consulta!$C:$C,0),'MM01'!BX$2),""))</f>
        <v/>
      </c>
      <c r="BY144" s="44" t="s">
        <v>391</v>
      </c>
      <c r="BZ144" s="50">
        <v>0</v>
      </c>
      <c r="CA144" s="45" t="s">
        <v>402</v>
      </c>
      <c r="CB144" s="45" t="s">
        <v>84</v>
      </c>
      <c r="CC144" s="43" t="str">
        <f t="shared" si="97"/>
        <v/>
      </c>
      <c r="CD144" s="45" t="s">
        <v>38</v>
      </c>
      <c r="CE144" s="45">
        <v>1</v>
      </c>
      <c r="CF144" s="45" t="s">
        <v>495</v>
      </c>
      <c r="CG144" s="45"/>
      <c r="CH144" s="44">
        <v>2</v>
      </c>
      <c r="CI144" s="49" t="str">
        <f t="shared" si="98"/>
        <v/>
      </c>
      <c r="CJ144" s="49" t="str">
        <f t="shared" si="99"/>
        <v/>
      </c>
      <c r="CK144" s="45"/>
      <c r="CL144" s="44">
        <v>1</v>
      </c>
      <c r="CM144" s="50" t="s">
        <v>514</v>
      </c>
      <c r="CN144" s="44" t="s">
        <v>371</v>
      </c>
      <c r="CO144" s="44">
        <v>2</v>
      </c>
      <c r="CP144" s="44">
        <v>42</v>
      </c>
      <c r="CQ144" s="44">
        <v>10</v>
      </c>
      <c r="CR144" s="43" t="str">
        <f t="shared" si="100"/>
        <v>K00_P_</v>
      </c>
      <c r="CS144" s="45">
        <v>5000</v>
      </c>
      <c r="CT144" s="43" t="str">
        <f>IF(IFERROR(INDEX(Consulta!$A:$DP,MATCH('MM01'!$B144,Consulta!$C:$C,0),'MM01'!CT$2),"")=0,"",IFERROR(INDEX(Consulta!$A:$DP,MATCH('MM01'!$B144,Consulta!$C:$C,0),'MM01'!CT$2),""))</f>
        <v/>
      </c>
      <c r="CU144" s="43" t="str">
        <f>IF(IFERROR(INDEX(Consulta!$A:$DP,MATCH('MM01'!$B144,Consulta!$C:$C,0),'MM01'!CU$2),"")=0,"",IFERROR(INDEX(Consulta!$A:$DP,MATCH('MM01'!$B144,Consulta!$C:$C,0),'MM01'!CU$2),""))</f>
        <v/>
      </c>
      <c r="CV144" s="43" t="str">
        <f>IF(IFERROR(INDEX(Consulta!$A:$DP,MATCH('MM01'!$B144,Consulta!$C:$C,0),'MM01'!CV$2),"")=0,"",IFERROR(INDEX(Consulta!$A:$DP,MATCH('MM01'!$B144,Consulta!$C:$C,0),'MM01'!CV$2),""))</f>
        <v/>
      </c>
      <c r="CW144" s="43" t="str">
        <f>IF(IFERROR(INDEX(Consulta!$A:$DP,MATCH('MM01'!$B144,Consulta!$C:$C,0),'MM01'!CW$2),"")=0,"",IFERROR(INDEX(Consulta!$A:$DP,MATCH('MM01'!$B144,Consulta!$C:$C,0),'MM01'!CW$2),""))</f>
        <v/>
      </c>
      <c r="CX144" s="43" t="str">
        <f t="shared" si="101"/>
        <v/>
      </c>
      <c r="CY144" s="43" t="str">
        <f t="shared" si="102"/>
        <v/>
      </c>
      <c r="CZ144" s="43" t="str">
        <f t="shared" si="103"/>
        <v/>
      </c>
      <c r="DA144" s="43" t="str">
        <f>IF(IFERROR(INDEX(Consulta!$A:$DP,MATCH('MM01'!$B144,Consulta!$C:$C,0),'MM01'!DA$2),"")=0,"",IFERROR(INDEX(Consulta!$A:$DP,MATCH('MM01'!$B144,Consulta!$C:$C,0),'MM01'!DA$2),""))</f>
        <v/>
      </c>
      <c r="DB144" s="43" t="str">
        <f t="shared" si="104"/>
        <v/>
      </c>
      <c r="DC144" s="43" t="str">
        <f>IF(IFERROR(INDEX(Consulta!$A:$DP,MATCH('MM01'!$B144,Consulta!$C:$C,0),'MM01'!DC$2),"")=0,"",IFERROR(INDEX(Consulta!$A:$DP,MATCH('MM01'!$B144,Consulta!$C:$C,0),'MM01'!DC$2),""))</f>
        <v/>
      </c>
      <c r="DD144" s="45">
        <v>0</v>
      </c>
      <c r="DE144" s="45">
        <v>0</v>
      </c>
      <c r="DF144" s="43" t="str">
        <f t="shared" si="105"/>
        <v/>
      </c>
      <c r="DG144" s="43" t="str">
        <f t="shared" si="106"/>
        <v/>
      </c>
      <c r="DH144" s="57"/>
      <c r="DI144" s="43" t="str">
        <f t="shared" ca="1" si="107"/>
        <v/>
      </c>
      <c r="DJ144" s="43" t="str">
        <f t="shared" si="108"/>
        <v/>
      </c>
      <c r="DK144" s="43" t="str">
        <f t="shared" si="109"/>
        <v/>
      </c>
      <c r="DL144" s="57"/>
      <c r="DM144" s="43" t="str">
        <f t="shared" ca="1" si="110"/>
        <v/>
      </c>
      <c r="DN144" s="43" t="str">
        <f t="shared" si="111"/>
        <v/>
      </c>
      <c r="DO144" s="43" t="str">
        <f t="shared" si="112"/>
        <v/>
      </c>
      <c r="DP144" s="57"/>
      <c r="DQ144" s="43" t="str">
        <f t="shared" ca="1" si="113"/>
        <v/>
      </c>
      <c r="DR144" s="43" t="str">
        <f t="shared" si="114"/>
        <v/>
      </c>
      <c r="DS144" s="43" t="str">
        <f t="shared" si="115"/>
        <v/>
      </c>
      <c r="DT144" s="57"/>
      <c r="DU144" s="43" t="str">
        <f t="shared" ca="1" si="116"/>
        <v/>
      </c>
      <c r="DV144" s="43" t="str">
        <f t="shared" si="117"/>
        <v/>
      </c>
      <c r="DX144" s="44">
        <v>1</v>
      </c>
      <c r="DY144" s="44" t="s">
        <v>773</v>
      </c>
      <c r="DZ144" s="43">
        <f t="shared" si="118"/>
        <v>0.01</v>
      </c>
      <c r="EA144" s="43" t="str">
        <f t="shared" si="119"/>
        <v>M</v>
      </c>
      <c r="EB144" s="43" t="str">
        <f>IF(IFERROR(INDEX(Consulta!$A:$DP,MATCH('MM01'!$B144,Consulta!$C:$C,0),'MM01'!EB$2),"")=0,"7925",IF(IFERROR(INDEX(Consulta!$A:$DP,MATCH('MM01'!$B144,Consulta!$C:$C,0),'MM01'!EB$2),"")="68","7910","7925"))</f>
        <v>7925</v>
      </c>
      <c r="EC144" s="44">
        <v>100</v>
      </c>
      <c r="ED144" s="62">
        <v>1</v>
      </c>
      <c r="EE144" s="43">
        <f t="shared" si="120"/>
        <v>100</v>
      </c>
      <c r="EF144" s="44">
        <v>1</v>
      </c>
      <c r="EG144" s="44">
        <v>0</v>
      </c>
      <c r="EH144" s="44" t="s">
        <v>875</v>
      </c>
      <c r="EI144" s="45">
        <v>0</v>
      </c>
      <c r="EJ144" s="43">
        <f t="shared" si="121"/>
        <v>5000</v>
      </c>
      <c r="EK144" s="69"/>
    </row>
    <row r="145" spans="1:141" x14ac:dyDescent="0.2">
      <c r="A145" s="7" t="str">
        <f t="shared" si="82"/>
        <v>Execução 141</v>
      </c>
      <c r="B145" s="42"/>
      <c r="C145" s="43" t="str">
        <f>IF(IFERROR(INDEX(Consulta!$A:$DP,MATCH('MM01'!$B145,Consulta!$C:$C,0),'MM01'!C$2),"")=0,"",IFERROR(INDEX(Consulta!$A:$DP,MATCH('MM01'!$B145,Consulta!$C:$C,0),'MM01'!C$2),""))</f>
        <v/>
      </c>
      <c r="D145" s="43" t="str">
        <f>IF(IFERROR(INDEX(Consulta!$A:$DP,MATCH('MM01'!$B145,Consulta!$C:$C,0),'MM01'!D$2),"")=0,"",IFERROR(INDEX(Consulta!$A:$DP,MATCH('MM01'!$B145,Consulta!$C:$C,0),'MM01'!D$2),""))</f>
        <v/>
      </c>
      <c r="E145" s="43" t="str">
        <f>IF(IFERROR(INDEX(Consulta!$A:$DP,MATCH('MM01'!$B145,Consulta!$C:$C,0),'MM01'!E$2),"")=0,"",IFERROR(INDEX(Consulta!$A:$DP,MATCH('MM01'!$B145,Consulta!$C:$C,0),'MM01'!E$2),""))</f>
        <v/>
      </c>
      <c r="F145" s="44" t="s">
        <v>100</v>
      </c>
      <c r="G145" s="49" t="str">
        <f>IF(IFERROR(INDEX(Consulta!$A:$DP,MATCH('MM01'!$B145,Consulta!$C:$C,0),'MM01'!G$2),"")=0,"",IFERROR(INDEX(Consulta!$A:$DP,MATCH('MM01'!$B145,Consulta!$C:$C,0),'MM01'!G$2),""))</f>
        <v/>
      </c>
      <c r="H145" s="49" t="str">
        <f>IF(IFERROR(INDEX(Consulta!$A:$DP,MATCH('MM01'!$B145,Consulta!$C:$C,0),'MM01'!H$2),"")=0,"",IFERROR(INDEX(Consulta!$A:$DP,MATCH('MM01'!$B145,Consulta!$C:$C,0),'MM01'!H$2),""))</f>
        <v/>
      </c>
      <c r="I145" s="49" t="str">
        <f t="shared" si="83"/>
        <v/>
      </c>
      <c r="J145" s="49" t="str">
        <f>IF(IFERROR(INDEX(Consulta!$A:$DP,MATCH('MM01'!$B145,Consulta!$C:$C,0),'MM01'!J$2),"")=0,"",IFERROR(INDEX(Consulta!$A:$DP,MATCH('MM01'!$B145,Consulta!$C:$C,0),'MM01'!J$2),""))</f>
        <v/>
      </c>
      <c r="K145" s="49" t="str">
        <f t="shared" si="84"/>
        <v/>
      </c>
      <c r="M145" s="45" t="s">
        <v>101</v>
      </c>
      <c r="N145" s="45" t="s">
        <v>102</v>
      </c>
      <c r="O145" s="45" t="s">
        <v>103</v>
      </c>
      <c r="P145" s="45" t="s">
        <v>104</v>
      </c>
      <c r="Q145" s="45" t="s">
        <v>105</v>
      </c>
      <c r="R145" s="45" t="s">
        <v>106</v>
      </c>
      <c r="S145" s="45" t="s">
        <v>107</v>
      </c>
      <c r="T145" s="45"/>
      <c r="U145" s="45"/>
      <c r="V145" s="45"/>
      <c r="W145" s="45"/>
      <c r="X145" s="45" t="s">
        <v>112</v>
      </c>
      <c r="Y145" s="45" t="s">
        <v>113</v>
      </c>
      <c r="Z145" s="45" t="s">
        <v>114</v>
      </c>
      <c r="AA145" s="45" t="s">
        <v>115</v>
      </c>
      <c r="AB145" s="45" t="s">
        <v>117</v>
      </c>
      <c r="AC145" s="45" t="s">
        <v>118</v>
      </c>
      <c r="AD145" s="45" t="s">
        <v>119</v>
      </c>
      <c r="AE145" s="45" t="s">
        <v>120</v>
      </c>
      <c r="AF145" s="45" t="s">
        <v>121</v>
      </c>
      <c r="AG145" s="45" t="s">
        <v>122</v>
      </c>
      <c r="AH145" s="45" t="s">
        <v>123</v>
      </c>
      <c r="AI145" s="45" t="s">
        <v>124</v>
      </c>
      <c r="AJ145" s="45" t="s">
        <v>125</v>
      </c>
      <c r="AK145" s="45" t="s">
        <v>126</v>
      </c>
      <c r="AL145" s="45"/>
      <c r="AM145" s="45"/>
      <c r="AO145" s="44" t="s">
        <v>100</v>
      </c>
      <c r="AP145" s="43" t="str">
        <f>IF(IFERROR(INDEX(Consulta!$A:$DP,MATCH('MM01'!$B145,Consulta!$C:$C,0),'MM01'!AP$2),"")=0,"",IFERROR(INDEX(Consulta!$A:$DP,MATCH('MM01'!$B145,Consulta!$C:$C,0),'MM01'!AP$2),""))</f>
        <v/>
      </c>
      <c r="AQ145" s="45"/>
      <c r="AR145" s="43" t="str">
        <f>IF(IFERROR(INDEX(Consulta!$A:$DP,MATCH('MM01'!$B145,Consulta!$C:$C,0),'MM01'!AR$2),"")=0,"",IFERROR(INDEX(Consulta!$A:$DP,MATCH('MM01'!$B145,Consulta!$C:$C,0),'MM01'!AR$2),""))</f>
        <v/>
      </c>
      <c r="AS145" s="43" t="str">
        <f>IF(IFERROR(INDEX(Consulta!$A:$DP,MATCH('MM01'!$B145,Consulta!$C:$C,0),'MM01'!AS$2),"")=0,"",IF(AR145="68",5102,IFERROR(INDEX(Consulta!$A:$DP,MATCH('MM01'!$B145,Consulta!$C:$C,0),'MM01'!AS$2),"")))</f>
        <v/>
      </c>
      <c r="AT145" s="45"/>
      <c r="AU145" s="46" t="str">
        <f t="shared" ca="1" si="85"/>
        <v/>
      </c>
      <c r="AV145" s="47" t="s">
        <v>795</v>
      </c>
      <c r="AW145" s="43" t="str">
        <f>IF(IFERROR(INDEX(Consulta!$A:$DP,MATCH('MM01'!$B145,Consulta!$C:$C,0),'MM01'!AW$2),"")=0,"",IFERROR(ROUND(INDEX(Consulta!$A:$DP,MATCH('MM01'!$B145,Consulta!$C:$C,0),'MM01'!AW$2),3),""))</f>
        <v/>
      </c>
      <c r="AX145" s="43" t="str">
        <f t="shared" si="86"/>
        <v/>
      </c>
      <c r="AY145" s="48" t="s">
        <v>299</v>
      </c>
      <c r="AZ145" s="48"/>
      <c r="BA145" s="43" t="str">
        <f>IF(IFERROR(INDEX(Consulta!$A:$DP,MATCH('MM01'!$B145,Consulta!$C:$C,0),'MM01'!BA$2),"")=0,"",IFERROR(INDEX(Consulta!$A:$DP,MATCH('MM01'!$B145,Consulta!$C:$C,0),'MM01'!BA$2),""))</f>
        <v/>
      </c>
      <c r="BB145" s="43" t="str">
        <f t="shared" si="87"/>
        <v/>
      </c>
      <c r="BC145" s="43" t="str">
        <f t="shared" si="88"/>
        <v/>
      </c>
      <c r="BD145" s="43" t="str">
        <f t="shared" si="89"/>
        <v/>
      </c>
      <c r="BE145" s="43" t="str">
        <f t="shared" si="90"/>
        <v>M</v>
      </c>
      <c r="BF145" s="43" t="str">
        <f t="shared" si="91"/>
        <v/>
      </c>
      <c r="BG145" s="43" t="str">
        <f t="shared" si="92"/>
        <v/>
      </c>
      <c r="BH145" s="43" t="str">
        <f t="shared" si="93"/>
        <v/>
      </c>
      <c r="BI145" s="43" t="str">
        <f t="shared" si="94"/>
        <v>M</v>
      </c>
      <c r="BK145" s="45" t="s">
        <v>324</v>
      </c>
      <c r="BL145" s="43" t="str">
        <f>IF(IFERROR(INDEX(Consulta!$A:$DP,MATCH('MM01'!$B145,Consulta!$C:$C,0),'MM01'!BL$2),"")=0,"",IFERROR(INDEX(Consulta!$A:$DP,MATCH('MM01'!$B145,Consulta!$C:$C,0),'MM01'!BL$2),""))</f>
        <v/>
      </c>
      <c r="BM145" s="45"/>
      <c r="BN145" s="46" t="str">
        <f t="shared" ca="1" si="95"/>
        <v/>
      </c>
      <c r="BO145" s="49" t="str">
        <f t="shared" si="96"/>
        <v/>
      </c>
      <c r="BP145" s="50">
        <v>1</v>
      </c>
      <c r="BQ145" s="50" t="s">
        <v>194</v>
      </c>
      <c r="BR145" s="79" t="str">
        <f t="shared" si="122"/>
        <v>01</v>
      </c>
      <c r="BS145" s="50" t="s">
        <v>795</v>
      </c>
      <c r="BT145" s="44">
        <v>1</v>
      </c>
      <c r="BU145" s="44" t="s">
        <v>371</v>
      </c>
      <c r="BV145" s="50" t="s">
        <v>197</v>
      </c>
      <c r="BW145" s="50" t="s">
        <v>197</v>
      </c>
      <c r="BX145" s="43" t="str">
        <f>IF(IFERROR(INDEX(Consulta!$A:$DP,MATCH('MM01'!$B145,Consulta!$C:$C,0),'MM01'!BX$2),"")=0,"",IFERROR(INDEX(Consulta!$A:$DP,MATCH('MM01'!$B145,Consulta!$C:$C,0),'MM01'!BX$2),""))</f>
        <v/>
      </c>
      <c r="BY145" s="44" t="s">
        <v>391</v>
      </c>
      <c r="BZ145" s="50">
        <v>0</v>
      </c>
      <c r="CA145" s="45" t="s">
        <v>402</v>
      </c>
      <c r="CB145" s="45" t="s">
        <v>84</v>
      </c>
      <c r="CC145" s="43" t="str">
        <f t="shared" si="97"/>
        <v/>
      </c>
      <c r="CD145" s="45" t="s">
        <v>38</v>
      </c>
      <c r="CE145" s="45">
        <v>1</v>
      </c>
      <c r="CF145" s="45" t="s">
        <v>495</v>
      </c>
      <c r="CG145" s="45"/>
      <c r="CH145" s="44">
        <v>2</v>
      </c>
      <c r="CI145" s="49" t="str">
        <f t="shared" si="98"/>
        <v/>
      </c>
      <c r="CJ145" s="49" t="str">
        <f t="shared" si="99"/>
        <v/>
      </c>
      <c r="CK145" s="45"/>
      <c r="CL145" s="44">
        <v>1</v>
      </c>
      <c r="CM145" s="50" t="s">
        <v>514</v>
      </c>
      <c r="CN145" s="44" t="s">
        <v>371</v>
      </c>
      <c r="CO145" s="44">
        <v>2</v>
      </c>
      <c r="CP145" s="44">
        <v>42</v>
      </c>
      <c r="CQ145" s="44">
        <v>10</v>
      </c>
      <c r="CR145" s="43" t="str">
        <f t="shared" si="100"/>
        <v>K00_P_</v>
      </c>
      <c r="CS145" s="45">
        <v>5000</v>
      </c>
      <c r="CT145" s="43" t="str">
        <f>IF(IFERROR(INDEX(Consulta!$A:$DP,MATCH('MM01'!$B145,Consulta!$C:$C,0),'MM01'!CT$2),"")=0,"",IFERROR(INDEX(Consulta!$A:$DP,MATCH('MM01'!$B145,Consulta!$C:$C,0),'MM01'!CT$2),""))</f>
        <v/>
      </c>
      <c r="CU145" s="43" t="str">
        <f>IF(IFERROR(INDEX(Consulta!$A:$DP,MATCH('MM01'!$B145,Consulta!$C:$C,0),'MM01'!CU$2),"")=0,"",IFERROR(INDEX(Consulta!$A:$DP,MATCH('MM01'!$B145,Consulta!$C:$C,0),'MM01'!CU$2),""))</f>
        <v/>
      </c>
      <c r="CV145" s="43" t="str">
        <f>IF(IFERROR(INDEX(Consulta!$A:$DP,MATCH('MM01'!$B145,Consulta!$C:$C,0),'MM01'!CV$2),"")=0,"",IFERROR(INDEX(Consulta!$A:$DP,MATCH('MM01'!$B145,Consulta!$C:$C,0),'MM01'!CV$2),""))</f>
        <v/>
      </c>
      <c r="CW145" s="43" t="str">
        <f>IF(IFERROR(INDEX(Consulta!$A:$DP,MATCH('MM01'!$B145,Consulta!$C:$C,0),'MM01'!CW$2),"")=0,"",IFERROR(INDEX(Consulta!$A:$DP,MATCH('MM01'!$B145,Consulta!$C:$C,0),'MM01'!CW$2),""))</f>
        <v/>
      </c>
      <c r="CX145" s="43" t="str">
        <f t="shared" si="101"/>
        <v/>
      </c>
      <c r="CY145" s="43" t="str">
        <f t="shared" si="102"/>
        <v/>
      </c>
      <c r="CZ145" s="43" t="str">
        <f t="shared" si="103"/>
        <v/>
      </c>
      <c r="DA145" s="43" t="str">
        <f>IF(IFERROR(INDEX(Consulta!$A:$DP,MATCH('MM01'!$B145,Consulta!$C:$C,0),'MM01'!DA$2),"")=0,"",IFERROR(INDEX(Consulta!$A:$DP,MATCH('MM01'!$B145,Consulta!$C:$C,0),'MM01'!DA$2),""))</f>
        <v/>
      </c>
      <c r="DB145" s="43" t="str">
        <f t="shared" si="104"/>
        <v/>
      </c>
      <c r="DC145" s="43" t="str">
        <f>IF(IFERROR(INDEX(Consulta!$A:$DP,MATCH('MM01'!$B145,Consulta!$C:$C,0),'MM01'!DC$2),"")=0,"",IFERROR(INDEX(Consulta!$A:$DP,MATCH('MM01'!$B145,Consulta!$C:$C,0),'MM01'!DC$2),""))</f>
        <v/>
      </c>
      <c r="DD145" s="45">
        <v>0</v>
      </c>
      <c r="DE145" s="45">
        <v>0</v>
      </c>
      <c r="DF145" s="43" t="str">
        <f t="shared" si="105"/>
        <v/>
      </c>
      <c r="DG145" s="43" t="str">
        <f t="shared" si="106"/>
        <v/>
      </c>
      <c r="DH145" s="57"/>
      <c r="DI145" s="43" t="str">
        <f t="shared" ca="1" si="107"/>
        <v/>
      </c>
      <c r="DJ145" s="43" t="str">
        <f t="shared" si="108"/>
        <v/>
      </c>
      <c r="DK145" s="43" t="str">
        <f t="shared" si="109"/>
        <v/>
      </c>
      <c r="DL145" s="57"/>
      <c r="DM145" s="43" t="str">
        <f t="shared" ca="1" si="110"/>
        <v/>
      </c>
      <c r="DN145" s="43" t="str">
        <f t="shared" si="111"/>
        <v/>
      </c>
      <c r="DO145" s="43" t="str">
        <f t="shared" si="112"/>
        <v/>
      </c>
      <c r="DP145" s="57"/>
      <c r="DQ145" s="43" t="str">
        <f t="shared" ca="1" si="113"/>
        <v/>
      </c>
      <c r="DR145" s="43" t="str">
        <f t="shared" si="114"/>
        <v/>
      </c>
      <c r="DS145" s="43" t="str">
        <f t="shared" si="115"/>
        <v/>
      </c>
      <c r="DT145" s="57"/>
      <c r="DU145" s="43" t="str">
        <f t="shared" ca="1" si="116"/>
        <v/>
      </c>
      <c r="DV145" s="43" t="str">
        <f t="shared" si="117"/>
        <v/>
      </c>
      <c r="DX145" s="44">
        <v>1</v>
      </c>
      <c r="DY145" s="44" t="s">
        <v>773</v>
      </c>
      <c r="DZ145" s="43">
        <f t="shared" si="118"/>
        <v>0.01</v>
      </c>
      <c r="EA145" s="43" t="str">
        <f t="shared" si="119"/>
        <v>M</v>
      </c>
      <c r="EB145" s="43" t="str">
        <f>IF(IFERROR(INDEX(Consulta!$A:$DP,MATCH('MM01'!$B145,Consulta!$C:$C,0),'MM01'!EB$2),"")=0,"7925",IF(IFERROR(INDEX(Consulta!$A:$DP,MATCH('MM01'!$B145,Consulta!$C:$C,0),'MM01'!EB$2),"")="68","7910","7925"))</f>
        <v>7925</v>
      </c>
      <c r="EC145" s="44">
        <v>100</v>
      </c>
      <c r="ED145" s="62">
        <v>1</v>
      </c>
      <c r="EE145" s="43">
        <f t="shared" si="120"/>
        <v>100</v>
      </c>
      <c r="EF145" s="44">
        <v>1</v>
      </c>
      <c r="EG145" s="44">
        <v>0</v>
      </c>
      <c r="EH145" s="44" t="s">
        <v>875</v>
      </c>
      <c r="EI145" s="45">
        <v>0</v>
      </c>
      <c r="EJ145" s="43">
        <f t="shared" si="121"/>
        <v>5000</v>
      </c>
      <c r="EK145" s="69"/>
    </row>
    <row r="146" spans="1:141" x14ac:dyDescent="0.2">
      <c r="A146" s="7" t="str">
        <f t="shared" si="82"/>
        <v>Execução 142</v>
      </c>
      <c r="B146" s="42"/>
      <c r="C146" s="43" t="str">
        <f>IF(IFERROR(INDEX(Consulta!$A:$DP,MATCH('MM01'!$B146,Consulta!$C:$C,0),'MM01'!C$2),"")=0,"",IFERROR(INDEX(Consulta!$A:$DP,MATCH('MM01'!$B146,Consulta!$C:$C,0),'MM01'!C$2),""))</f>
        <v/>
      </c>
      <c r="D146" s="43" t="str">
        <f>IF(IFERROR(INDEX(Consulta!$A:$DP,MATCH('MM01'!$B146,Consulta!$C:$C,0),'MM01'!D$2),"")=0,"",IFERROR(INDEX(Consulta!$A:$DP,MATCH('MM01'!$B146,Consulta!$C:$C,0),'MM01'!D$2),""))</f>
        <v/>
      </c>
      <c r="E146" s="43" t="str">
        <f>IF(IFERROR(INDEX(Consulta!$A:$DP,MATCH('MM01'!$B146,Consulta!$C:$C,0),'MM01'!E$2),"")=0,"",IFERROR(INDEX(Consulta!$A:$DP,MATCH('MM01'!$B146,Consulta!$C:$C,0),'MM01'!E$2),""))</f>
        <v/>
      </c>
      <c r="F146" s="44" t="s">
        <v>100</v>
      </c>
      <c r="G146" s="49" t="str">
        <f>IF(IFERROR(INDEX(Consulta!$A:$DP,MATCH('MM01'!$B146,Consulta!$C:$C,0),'MM01'!G$2),"")=0,"",IFERROR(INDEX(Consulta!$A:$DP,MATCH('MM01'!$B146,Consulta!$C:$C,0),'MM01'!G$2),""))</f>
        <v/>
      </c>
      <c r="H146" s="49" t="str">
        <f>IF(IFERROR(INDEX(Consulta!$A:$DP,MATCH('MM01'!$B146,Consulta!$C:$C,0),'MM01'!H$2),"")=0,"",IFERROR(INDEX(Consulta!$A:$DP,MATCH('MM01'!$B146,Consulta!$C:$C,0),'MM01'!H$2),""))</f>
        <v/>
      </c>
      <c r="I146" s="49" t="str">
        <f t="shared" si="83"/>
        <v/>
      </c>
      <c r="J146" s="49" t="str">
        <f>IF(IFERROR(INDEX(Consulta!$A:$DP,MATCH('MM01'!$B146,Consulta!$C:$C,0),'MM01'!J$2),"")=0,"",IFERROR(INDEX(Consulta!$A:$DP,MATCH('MM01'!$B146,Consulta!$C:$C,0),'MM01'!J$2),""))</f>
        <v/>
      </c>
      <c r="K146" s="49" t="str">
        <f t="shared" si="84"/>
        <v/>
      </c>
      <c r="M146" s="45" t="s">
        <v>101</v>
      </c>
      <c r="N146" s="45" t="s">
        <v>102</v>
      </c>
      <c r="O146" s="45" t="s">
        <v>103</v>
      </c>
      <c r="P146" s="45" t="s">
        <v>104</v>
      </c>
      <c r="Q146" s="45" t="s">
        <v>105</v>
      </c>
      <c r="R146" s="45" t="s">
        <v>106</v>
      </c>
      <c r="S146" s="45" t="s">
        <v>107</v>
      </c>
      <c r="T146" s="45"/>
      <c r="U146" s="45"/>
      <c r="V146" s="45"/>
      <c r="W146" s="45"/>
      <c r="X146" s="45" t="s">
        <v>112</v>
      </c>
      <c r="Y146" s="45" t="s">
        <v>113</v>
      </c>
      <c r="Z146" s="45" t="s">
        <v>114</v>
      </c>
      <c r="AA146" s="45" t="s">
        <v>115</v>
      </c>
      <c r="AB146" s="45" t="s">
        <v>117</v>
      </c>
      <c r="AC146" s="45" t="s">
        <v>118</v>
      </c>
      <c r="AD146" s="45" t="s">
        <v>119</v>
      </c>
      <c r="AE146" s="45" t="s">
        <v>120</v>
      </c>
      <c r="AF146" s="45" t="s">
        <v>121</v>
      </c>
      <c r="AG146" s="45" t="s">
        <v>122</v>
      </c>
      <c r="AH146" s="45" t="s">
        <v>123</v>
      </c>
      <c r="AI146" s="45" t="s">
        <v>124</v>
      </c>
      <c r="AJ146" s="45" t="s">
        <v>125</v>
      </c>
      <c r="AK146" s="45" t="s">
        <v>126</v>
      </c>
      <c r="AL146" s="45"/>
      <c r="AM146" s="45"/>
      <c r="AO146" s="44" t="s">
        <v>100</v>
      </c>
      <c r="AP146" s="43" t="str">
        <f>IF(IFERROR(INDEX(Consulta!$A:$DP,MATCH('MM01'!$B146,Consulta!$C:$C,0),'MM01'!AP$2),"")=0,"",IFERROR(INDEX(Consulta!$A:$DP,MATCH('MM01'!$B146,Consulta!$C:$C,0),'MM01'!AP$2),""))</f>
        <v/>
      </c>
      <c r="AQ146" s="45"/>
      <c r="AR146" s="43" t="str">
        <f>IF(IFERROR(INDEX(Consulta!$A:$DP,MATCH('MM01'!$B146,Consulta!$C:$C,0),'MM01'!AR$2),"")=0,"",IFERROR(INDEX(Consulta!$A:$DP,MATCH('MM01'!$B146,Consulta!$C:$C,0),'MM01'!AR$2),""))</f>
        <v/>
      </c>
      <c r="AS146" s="43" t="str">
        <f>IF(IFERROR(INDEX(Consulta!$A:$DP,MATCH('MM01'!$B146,Consulta!$C:$C,0),'MM01'!AS$2),"")=0,"",IF(AR146="68",5102,IFERROR(INDEX(Consulta!$A:$DP,MATCH('MM01'!$B146,Consulta!$C:$C,0),'MM01'!AS$2),"")))</f>
        <v/>
      </c>
      <c r="AT146" s="45"/>
      <c r="AU146" s="46" t="str">
        <f t="shared" ca="1" si="85"/>
        <v/>
      </c>
      <c r="AV146" s="47" t="s">
        <v>795</v>
      </c>
      <c r="AW146" s="43" t="str">
        <f>IF(IFERROR(INDEX(Consulta!$A:$DP,MATCH('MM01'!$B146,Consulta!$C:$C,0),'MM01'!AW$2),"")=0,"",IFERROR(ROUND(INDEX(Consulta!$A:$DP,MATCH('MM01'!$B146,Consulta!$C:$C,0),'MM01'!AW$2),3),""))</f>
        <v/>
      </c>
      <c r="AX146" s="43" t="str">
        <f t="shared" si="86"/>
        <v/>
      </c>
      <c r="AY146" s="48" t="s">
        <v>299</v>
      </c>
      <c r="AZ146" s="48"/>
      <c r="BA146" s="43" t="str">
        <f>IF(IFERROR(INDEX(Consulta!$A:$DP,MATCH('MM01'!$B146,Consulta!$C:$C,0),'MM01'!BA$2),"")=0,"",IFERROR(INDEX(Consulta!$A:$DP,MATCH('MM01'!$B146,Consulta!$C:$C,0),'MM01'!BA$2),""))</f>
        <v/>
      </c>
      <c r="BB146" s="43" t="str">
        <f t="shared" si="87"/>
        <v/>
      </c>
      <c r="BC146" s="43" t="str">
        <f t="shared" si="88"/>
        <v/>
      </c>
      <c r="BD146" s="43" t="str">
        <f t="shared" si="89"/>
        <v/>
      </c>
      <c r="BE146" s="43" t="str">
        <f t="shared" si="90"/>
        <v>M</v>
      </c>
      <c r="BF146" s="43" t="str">
        <f t="shared" si="91"/>
        <v/>
      </c>
      <c r="BG146" s="43" t="str">
        <f t="shared" si="92"/>
        <v/>
      </c>
      <c r="BH146" s="43" t="str">
        <f t="shared" si="93"/>
        <v/>
      </c>
      <c r="BI146" s="43" t="str">
        <f t="shared" si="94"/>
        <v>M</v>
      </c>
      <c r="BK146" s="45" t="s">
        <v>324</v>
      </c>
      <c r="BL146" s="43" t="str">
        <f>IF(IFERROR(INDEX(Consulta!$A:$DP,MATCH('MM01'!$B146,Consulta!$C:$C,0),'MM01'!BL$2),"")=0,"",IFERROR(INDEX(Consulta!$A:$DP,MATCH('MM01'!$B146,Consulta!$C:$C,0),'MM01'!BL$2),""))</f>
        <v/>
      </c>
      <c r="BM146" s="45"/>
      <c r="BN146" s="46" t="str">
        <f t="shared" ca="1" si="95"/>
        <v/>
      </c>
      <c r="BO146" s="49" t="str">
        <f t="shared" si="96"/>
        <v/>
      </c>
      <c r="BP146" s="50">
        <v>1</v>
      </c>
      <c r="BQ146" s="50" t="s">
        <v>194</v>
      </c>
      <c r="BR146" s="79" t="str">
        <f t="shared" si="122"/>
        <v>01</v>
      </c>
      <c r="BS146" s="50" t="s">
        <v>795</v>
      </c>
      <c r="BT146" s="44">
        <v>1</v>
      </c>
      <c r="BU146" s="44" t="s">
        <v>371</v>
      </c>
      <c r="BV146" s="50" t="s">
        <v>197</v>
      </c>
      <c r="BW146" s="50" t="s">
        <v>197</v>
      </c>
      <c r="BX146" s="43" t="str">
        <f>IF(IFERROR(INDEX(Consulta!$A:$DP,MATCH('MM01'!$B146,Consulta!$C:$C,0),'MM01'!BX$2),"")=0,"",IFERROR(INDEX(Consulta!$A:$DP,MATCH('MM01'!$B146,Consulta!$C:$C,0),'MM01'!BX$2),""))</f>
        <v/>
      </c>
      <c r="BY146" s="44" t="s">
        <v>391</v>
      </c>
      <c r="BZ146" s="50">
        <v>0</v>
      </c>
      <c r="CA146" s="45" t="s">
        <v>402</v>
      </c>
      <c r="CB146" s="45" t="s">
        <v>84</v>
      </c>
      <c r="CC146" s="43" t="str">
        <f t="shared" si="97"/>
        <v/>
      </c>
      <c r="CD146" s="45" t="s">
        <v>38</v>
      </c>
      <c r="CE146" s="45">
        <v>1</v>
      </c>
      <c r="CF146" s="45" t="s">
        <v>495</v>
      </c>
      <c r="CG146" s="45"/>
      <c r="CH146" s="44">
        <v>2</v>
      </c>
      <c r="CI146" s="49" t="str">
        <f t="shared" si="98"/>
        <v/>
      </c>
      <c r="CJ146" s="49" t="str">
        <f t="shared" si="99"/>
        <v/>
      </c>
      <c r="CK146" s="45"/>
      <c r="CL146" s="44">
        <v>1</v>
      </c>
      <c r="CM146" s="50" t="s">
        <v>514</v>
      </c>
      <c r="CN146" s="44" t="s">
        <v>371</v>
      </c>
      <c r="CO146" s="44">
        <v>2</v>
      </c>
      <c r="CP146" s="44">
        <v>42</v>
      </c>
      <c r="CQ146" s="44">
        <v>10</v>
      </c>
      <c r="CR146" s="43" t="str">
        <f t="shared" si="100"/>
        <v>K00_P_</v>
      </c>
      <c r="CS146" s="45">
        <v>5000</v>
      </c>
      <c r="CT146" s="43" t="str">
        <f>IF(IFERROR(INDEX(Consulta!$A:$DP,MATCH('MM01'!$B146,Consulta!$C:$C,0),'MM01'!CT$2),"")=0,"",IFERROR(INDEX(Consulta!$A:$DP,MATCH('MM01'!$B146,Consulta!$C:$C,0),'MM01'!CT$2),""))</f>
        <v/>
      </c>
      <c r="CU146" s="43" t="str">
        <f>IF(IFERROR(INDEX(Consulta!$A:$DP,MATCH('MM01'!$B146,Consulta!$C:$C,0),'MM01'!CU$2),"")=0,"",IFERROR(INDEX(Consulta!$A:$DP,MATCH('MM01'!$B146,Consulta!$C:$C,0),'MM01'!CU$2),""))</f>
        <v/>
      </c>
      <c r="CV146" s="43" t="str">
        <f>IF(IFERROR(INDEX(Consulta!$A:$DP,MATCH('MM01'!$B146,Consulta!$C:$C,0),'MM01'!CV$2),"")=0,"",IFERROR(INDEX(Consulta!$A:$DP,MATCH('MM01'!$B146,Consulta!$C:$C,0),'MM01'!CV$2),""))</f>
        <v/>
      </c>
      <c r="CW146" s="43" t="str">
        <f>IF(IFERROR(INDEX(Consulta!$A:$DP,MATCH('MM01'!$B146,Consulta!$C:$C,0),'MM01'!CW$2),"")=0,"",IFERROR(INDEX(Consulta!$A:$DP,MATCH('MM01'!$B146,Consulta!$C:$C,0),'MM01'!CW$2),""))</f>
        <v/>
      </c>
      <c r="CX146" s="43" t="str">
        <f t="shared" si="101"/>
        <v/>
      </c>
      <c r="CY146" s="43" t="str">
        <f t="shared" si="102"/>
        <v/>
      </c>
      <c r="CZ146" s="43" t="str">
        <f t="shared" si="103"/>
        <v/>
      </c>
      <c r="DA146" s="43" t="str">
        <f>IF(IFERROR(INDEX(Consulta!$A:$DP,MATCH('MM01'!$B146,Consulta!$C:$C,0),'MM01'!DA$2),"")=0,"",IFERROR(INDEX(Consulta!$A:$DP,MATCH('MM01'!$B146,Consulta!$C:$C,0),'MM01'!DA$2),""))</f>
        <v/>
      </c>
      <c r="DB146" s="43" t="str">
        <f t="shared" si="104"/>
        <v/>
      </c>
      <c r="DC146" s="43" t="str">
        <f>IF(IFERROR(INDEX(Consulta!$A:$DP,MATCH('MM01'!$B146,Consulta!$C:$C,0),'MM01'!DC$2),"")=0,"",IFERROR(INDEX(Consulta!$A:$DP,MATCH('MM01'!$B146,Consulta!$C:$C,0),'MM01'!DC$2),""))</f>
        <v/>
      </c>
      <c r="DD146" s="45">
        <v>0</v>
      </c>
      <c r="DE146" s="45">
        <v>0</v>
      </c>
      <c r="DF146" s="43" t="str">
        <f t="shared" si="105"/>
        <v/>
      </c>
      <c r="DG146" s="43" t="str">
        <f t="shared" si="106"/>
        <v/>
      </c>
      <c r="DH146" s="57"/>
      <c r="DI146" s="43" t="str">
        <f t="shared" ca="1" si="107"/>
        <v/>
      </c>
      <c r="DJ146" s="43" t="str">
        <f t="shared" si="108"/>
        <v/>
      </c>
      <c r="DK146" s="43" t="str">
        <f t="shared" si="109"/>
        <v/>
      </c>
      <c r="DL146" s="57"/>
      <c r="DM146" s="43" t="str">
        <f t="shared" ca="1" si="110"/>
        <v/>
      </c>
      <c r="DN146" s="43" t="str">
        <f t="shared" si="111"/>
        <v/>
      </c>
      <c r="DO146" s="43" t="str">
        <f t="shared" si="112"/>
        <v/>
      </c>
      <c r="DP146" s="57"/>
      <c r="DQ146" s="43" t="str">
        <f t="shared" ca="1" si="113"/>
        <v/>
      </c>
      <c r="DR146" s="43" t="str">
        <f t="shared" si="114"/>
        <v/>
      </c>
      <c r="DS146" s="43" t="str">
        <f t="shared" si="115"/>
        <v/>
      </c>
      <c r="DT146" s="57"/>
      <c r="DU146" s="43" t="str">
        <f t="shared" ca="1" si="116"/>
        <v/>
      </c>
      <c r="DV146" s="43" t="str">
        <f t="shared" si="117"/>
        <v/>
      </c>
      <c r="DX146" s="44">
        <v>1</v>
      </c>
      <c r="DY146" s="44" t="s">
        <v>773</v>
      </c>
      <c r="DZ146" s="43">
        <f t="shared" si="118"/>
        <v>0.01</v>
      </c>
      <c r="EA146" s="43" t="str">
        <f t="shared" si="119"/>
        <v>M</v>
      </c>
      <c r="EB146" s="43" t="str">
        <f>IF(IFERROR(INDEX(Consulta!$A:$DP,MATCH('MM01'!$B146,Consulta!$C:$C,0),'MM01'!EB$2),"")=0,"7925",IF(IFERROR(INDEX(Consulta!$A:$DP,MATCH('MM01'!$B146,Consulta!$C:$C,0),'MM01'!EB$2),"")="68","7910","7925"))</f>
        <v>7925</v>
      </c>
      <c r="EC146" s="44">
        <v>100</v>
      </c>
      <c r="ED146" s="62">
        <v>1</v>
      </c>
      <c r="EE146" s="43">
        <f t="shared" si="120"/>
        <v>100</v>
      </c>
      <c r="EF146" s="44">
        <v>1</v>
      </c>
      <c r="EG146" s="44">
        <v>0</v>
      </c>
      <c r="EH146" s="44" t="s">
        <v>875</v>
      </c>
      <c r="EI146" s="45">
        <v>0</v>
      </c>
      <c r="EJ146" s="43">
        <f t="shared" si="121"/>
        <v>5000</v>
      </c>
      <c r="EK146" s="69"/>
    </row>
    <row r="147" spans="1:141" x14ac:dyDescent="0.2">
      <c r="A147" s="7" t="str">
        <f t="shared" si="82"/>
        <v>Execução 143</v>
      </c>
      <c r="B147" s="42"/>
      <c r="C147" s="43" t="str">
        <f>IF(IFERROR(INDEX(Consulta!$A:$DP,MATCH('MM01'!$B147,Consulta!$C:$C,0),'MM01'!C$2),"")=0,"",IFERROR(INDEX(Consulta!$A:$DP,MATCH('MM01'!$B147,Consulta!$C:$C,0),'MM01'!C$2),""))</f>
        <v/>
      </c>
      <c r="D147" s="43" t="str">
        <f>IF(IFERROR(INDEX(Consulta!$A:$DP,MATCH('MM01'!$B147,Consulta!$C:$C,0),'MM01'!D$2),"")=0,"",IFERROR(INDEX(Consulta!$A:$DP,MATCH('MM01'!$B147,Consulta!$C:$C,0),'MM01'!D$2),""))</f>
        <v/>
      </c>
      <c r="E147" s="43" t="str">
        <f>IF(IFERROR(INDEX(Consulta!$A:$DP,MATCH('MM01'!$B147,Consulta!$C:$C,0),'MM01'!E$2),"")=0,"",IFERROR(INDEX(Consulta!$A:$DP,MATCH('MM01'!$B147,Consulta!$C:$C,0),'MM01'!E$2),""))</f>
        <v/>
      </c>
      <c r="F147" s="44" t="s">
        <v>100</v>
      </c>
      <c r="G147" s="49" t="str">
        <f>IF(IFERROR(INDEX(Consulta!$A:$DP,MATCH('MM01'!$B147,Consulta!$C:$C,0),'MM01'!G$2),"")=0,"",IFERROR(INDEX(Consulta!$A:$DP,MATCH('MM01'!$B147,Consulta!$C:$C,0),'MM01'!G$2),""))</f>
        <v/>
      </c>
      <c r="H147" s="49" t="str">
        <f>IF(IFERROR(INDEX(Consulta!$A:$DP,MATCH('MM01'!$B147,Consulta!$C:$C,0),'MM01'!H$2),"")=0,"",IFERROR(INDEX(Consulta!$A:$DP,MATCH('MM01'!$B147,Consulta!$C:$C,0),'MM01'!H$2),""))</f>
        <v/>
      </c>
      <c r="I147" s="49" t="str">
        <f t="shared" si="83"/>
        <v/>
      </c>
      <c r="J147" s="49" t="str">
        <f>IF(IFERROR(INDEX(Consulta!$A:$DP,MATCH('MM01'!$B147,Consulta!$C:$C,0),'MM01'!J$2),"")=0,"",IFERROR(INDEX(Consulta!$A:$DP,MATCH('MM01'!$B147,Consulta!$C:$C,0),'MM01'!J$2),""))</f>
        <v/>
      </c>
      <c r="K147" s="49" t="str">
        <f t="shared" si="84"/>
        <v/>
      </c>
      <c r="M147" s="45" t="s">
        <v>101</v>
      </c>
      <c r="N147" s="45" t="s">
        <v>102</v>
      </c>
      <c r="O147" s="45" t="s">
        <v>103</v>
      </c>
      <c r="P147" s="45" t="s">
        <v>104</v>
      </c>
      <c r="Q147" s="45" t="s">
        <v>105</v>
      </c>
      <c r="R147" s="45" t="s">
        <v>106</v>
      </c>
      <c r="S147" s="45" t="s">
        <v>107</v>
      </c>
      <c r="T147" s="45"/>
      <c r="U147" s="45"/>
      <c r="V147" s="45"/>
      <c r="W147" s="45"/>
      <c r="X147" s="45" t="s">
        <v>112</v>
      </c>
      <c r="Y147" s="45" t="s">
        <v>113</v>
      </c>
      <c r="Z147" s="45" t="s">
        <v>114</v>
      </c>
      <c r="AA147" s="45" t="s">
        <v>115</v>
      </c>
      <c r="AB147" s="45" t="s">
        <v>117</v>
      </c>
      <c r="AC147" s="45" t="s">
        <v>118</v>
      </c>
      <c r="AD147" s="45" t="s">
        <v>119</v>
      </c>
      <c r="AE147" s="45" t="s">
        <v>120</v>
      </c>
      <c r="AF147" s="45" t="s">
        <v>121</v>
      </c>
      <c r="AG147" s="45" t="s">
        <v>122</v>
      </c>
      <c r="AH147" s="45" t="s">
        <v>123</v>
      </c>
      <c r="AI147" s="45" t="s">
        <v>124</v>
      </c>
      <c r="AJ147" s="45" t="s">
        <v>125</v>
      </c>
      <c r="AK147" s="45" t="s">
        <v>126</v>
      </c>
      <c r="AL147" s="45"/>
      <c r="AM147" s="45"/>
      <c r="AO147" s="44" t="s">
        <v>100</v>
      </c>
      <c r="AP147" s="43" t="str">
        <f>IF(IFERROR(INDEX(Consulta!$A:$DP,MATCH('MM01'!$B147,Consulta!$C:$C,0),'MM01'!AP$2),"")=0,"",IFERROR(INDEX(Consulta!$A:$DP,MATCH('MM01'!$B147,Consulta!$C:$C,0),'MM01'!AP$2),""))</f>
        <v/>
      </c>
      <c r="AQ147" s="45"/>
      <c r="AR147" s="43" t="str">
        <f>IF(IFERROR(INDEX(Consulta!$A:$DP,MATCH('MM01'!$B147,Consulta!$C:$C,0),'MM01'!AR$2),"")=0,"",IFERROR(INDEX(Consulta!$A:$DP,MATCH('MM01'!$B147,Consulta!$C:$C,0),'MM01'!AR$2),""))</f>
        <v/>
      </c>
      <c r="AS147" s="43" t="str">
        <f>IF(IFERROR(INDEX(Consulta!$A:$DP,MATCH('MM01'!$B147,Consulta!$C:$C,0),'MM01'!AS$2),"")=0,"",IF(AR147="68",5102,IFERROR(INDEX(Consulta!$A:$DP,MATCH('MM01'!$B147,Consulta!$C:$C,0),'MM01'!AS$2),"")))</f>
        <v/>
      </c>
      <c r="AT147" s="45"/>
      <c r="AU147" s="46" t="str">
        <f t="shared" ca="1" si="85"/>
        <v/>
      </c>
      <c r="AV147" s="47" t="s">
        <v>795</v>
      </c>
      <c r="AW147" s="43" t="str">
        <f>IF(IFERROR(INDEX(Consulta!$A:$DP,MATCH('MM01'!$B147,Consulta!$C:$C,0),'MM01'!AW$2),"")=0,"",IFERROR(ROUND(INDEX(Consulta!$A:$DP,MATCH('MM01'!$B147,Consulta!$C:$C,0),'MM01'!AW$2),3),""))</f>
        <v/>
      </c>
      <c r="AX147" s="43" t="str">
        <f t="shared" si="86"/>
        <v/>
      </c>
      <c r="AY147" s="48" t="s">
        <v>299</v>
      </c>
      <c r="AZ147" s="48"/>
      <c r="BA147" s="43" t="str">
        <f>IF(IFERROR(INDEX(Consulta!$A:$DP,MATCH('MM01'!$B147,Consulta!$C:$C,0),'MM01'!BA$2),"")=0,"",IFERROR(INDEX(Consulta!$A:$DP,MATCH('MM01'!$B147,Consulta!$C:$C,0),'MM01'!BA$2),""))</f>
        <v/>
      </c>
      <c r="BB147" s="43" t="str">
        <f t="shared" si="87"/>
        <v/>
      </c>
      <c r="BC147" s="43" t="str">
        <f t="shared" si="88"/>
        <v/>
      </c>
      <c r="BD147" s="43" t="str">
        <f t="shared" si="89"/>
        <v/>
      </c>
      <c r="BE147" s="43" t="str">
        <f t="shared" si="90"/>
        <v>M</v>
      </c>
      <c r="BF147" s="43" t="str">
        <f t="shared" si="91"/>
        <v/>
      </c>
      <c r="BG147" s="43" t="str">
        <f t="shared" si="92"/>
        <v/>
      </c>
      <c r="BH147" s="43" t="str">
        <f t="shared" si="93"/>
        <v/>
      </c>
      <c r="BI147" s="43" t="str">
        <f t="shared" si="94"/>
        <v>M</v>
      </c>
      <c r="BK147" s="45" t="s">
        <v>324</v>
      </c>
      <c r="BL147" s="43" t="str">
        <f>IF(IFERROR(INDEX(Consulta!$A:$DP,MATCH('MM01'!$B147,Consulta!$C:$C,0),'MM01'!BL$2),"")=0,"",IFERROR(INDEX(Consulta!$A:$DP,MATCH('MM01'!$B147,Consulta!$C:$C,0),'MM01'!BL$2),""))</f>
        <v/>
      </c>
      <c r="BM147" s="45"/>
      <c r="BN147" s="46" t="str">
        <f t="shared" ca="1" si="95"/>
        <v/>
      </c>
      <c r="BO147" s="49" t="str">
        <f t="shared" si="96"/>
        <v/>
      </c>
      <c r="BP147" s="50">
        <v>1</v>
      </c>
      <c r="BQ147" s="50" t="s">
        <v>194</v>
      </c>
      <c r="BR147" s="79" t="str">
        <f t="shared" si="122"/>
        <v>01</v>
      </c>
      <c r="BS147" s="50" t="s">
        <v>795</v>
      </c>
      <c r="BT147" s="44">
        <v>1</v>
      </c>
      <c r="BU147" s="44" t="s">
        <v>371</v>
      </c>
      <c r="BV147" s="50" t="s">
        <v>197</v>
      </c>
      <c r="BW147" s="50" t="s">
        <v>197</v>
      </c>
      <c r="BX147" s="43" t="str">
        <f>IF(IFERROR(INDEX(Consulta!$A:$DP,MATCH('MM01'!$B147,Consulta!$C:$C,0),'MM01'!BX$2),"")=0,"",IFERROR(INDEX(Consulta!$A:$DP,MATCH('MM01'!$B147,Consulta!$C:$C,0),'MM01'!BX$2),""))</f>
        <v/>
      </c>
      <c r="BY147" s="44" t="s">
        <v>391</v>
      </c>
      <c r="BZ147" s="50">
        <v>0</v>
      </c>
      <c r="CA147" s="45" t="s">
        <v>402</v>
      </c>
      <c r="CB147" s="45" t="s">
        <v>84</v>
      </c>
      <c r="CC147" s="43" t="str">
        <f t="shared" si="97"/>
        <v/>
      </c>
      <c r="CD147" s="45" t="s">
        <v>38</v>
      </c>
      <c r="CE147" s="45">
        <v>1</v>
      </c>
      <c r="CF147" s="45" t="s">
        <v>495</v>
      </c>
      <c r="CG147" s="45"/>
      <c r="CH147" s="44">
        <v>2</v>
      </c>
      <c r="CI147" s="49" t="str">
        <f t="shared" si="98"/>
        <v/>
      </c>
      <c r="CJ147" s="49" t="str">
        <f t="shared" si="99"/>
        <v/>
      </c>
      <c r="CK147" s="45"/>
      <c r="CL147" s="44">
        <v>1</v>
      </c>
      <c r="CM147" s="50" t="s">
        <v>514</v>
      </c>
      <c r="CN147" s="44" t="s">
        <v>371</v>
      </c>
      <c r="CO147" s="44">
        <v>2</v>
      </c>
      <c r="CP147" s="44">
        <v>42</v>
      </c>
      <c r="CQ147" s="44">
        <v>10</v>
      </c>
      <c r="CR147" s="43" t="str">
        <f t="shared" si="100"/>
        <v>K00_P_</v>
      </c>
      <c r="CS147" s="45">
        <v>5000</v>
      </c>
      <c r="CT147" s="43" t="str">
        <f>IF(IFERROR(INDEX(Consulta!$A:$DP,MATCH('MM01'!$B147,Consulta!$C:$C,0),'MM01'!CT$2),"")=0,"",IFERROR(INDEX(Consulta!$A:$DP,MATCH('MM01'!$B147,Consulta!$C:$C,0),'MM01'!CT$2),""))</f>
        <v/>
      </c>
      <c r="CU147" s="43" t="str">
        <f>IF(IFERROR(INDEX(Consulta!$A:$DP,MATCH('MM01'!$B147,Consulta!$C:$C,0),'MM01'!CU$2),"")=0,"",IFERROR(INDEX(Consulta!$A:$DP,MATCH('MM01'!$B147,Consulta!$C:$C,0),'MM01'!CU$2),""))</f>
        <v/>
      </c>
      <c r="CV147" s="43" t="str">
        <f>IF(IFERROR(INDEX(Consulta!$A:$DP,MATCH('MM01'!$B147,Consulta!$C:$C,0),'MM01'!CV$2),"")=0,"",IFERROR(INDEX(Consulta!$A:$DP,MATCH('MM01'!$B147,Consulta!$C:$C,0),'MM01'!CV$2),""))</f>
        <v/>
      </c>
      <c r="CW147" s="43" t="str">
        <f>IF(IFERROR(INDEX(Consulta!$A:$DP,MATCH('MM01'!$B147,Consulta!$C:$C,0),'MM01'!CW$2),"")=0,"",IFERROR(INDEX(Consulta!$A:$DP,MATCH('MM01'!$B147,Consulta!$C:$C,0),'MM01'!CW$2),""))</f>
        <v/>
      </c>
      <c r="CX147" s="43" t="str">
        <f t="shared" si="101"/>
        <v/>
      </c>
      <c r="CY147" s="43" t="str">
        <f t="shared" si="102"/>
        <v/>
      </c>
      <c r="CZ147" s="43" t="str">
        <f t="shared" si="103"/>
        <v/>
      </c>
      <c r="DA147" s="43" t="str">
        <f>IF(IFERROR(INDEX(Consulta!$A:$DP,MATCH('MM01'!$B147,Consulta!$C:$C,0),'MM01'!DA$2),"")=0,"",IFERROR(INDEX(Consulta!$A:$DP,MATCH('MM01'!$B147,Consulta!$C:$C,0),'MM01'!DA$2),""))</f>
        <v/>
      </c>
      <c r="DB147" s="43" t="str">
        <f t="shared" si="104"/>
        <v/>
      </c>
      <c r="DC147" s="43" t="str">
        <f>IF(IFERROR(INDEX(Consulta!$A:$DP,MATCH('MM01'!$B147,Consulta!$C:$C,0),'MM01'!DC$2),"")=0,"",IFERROR(INDEX(Consulta!$A:$DP,MATCH('MM01'!$B147,Consulta!$C:$C,0),'MM01'!DC$2),""))</f>
        <v/>
      </c>
      <c r="DD147" s="45">
        <v>0</v>
      </c>
      <c r="DE147" s="45">
        <v>0</v>
      </c>
      <c r="DF147" s="43" t="str">
        <f t="shared" si="105"/>
        <v/>
      </c>
      <c r="DG147" s="43" t="str">
        <f t="shared" si="106"/>
        <v/>
      </c>
      <c r="DH147" s="57"/>
      <c r="DI147" s="43" t="str">
        <f t="shared" ca="1" si="107"/>
        <v/>
      </c>
      <c r="DJ147" s="43" t="str">
        <f t="shared" si="108"/>
        <v/>
      </c>
      <c r="DK147" s="43" t="str">
        <f t="shared" si="109"/>
        <v/>
      </c>
      <c r="DL147" s="57"/>
      <c r="DM147" s="43" t="str">
        <f t="shared" ca="1" si="110"/>
        <v/>
      </c>
      <c r="DN147" s="43" t="str">
        <f t="shared" si="111"/>
        <v/>
      </c>
      <c r="DO147" s="43" t="str">
        <f t="shared" si="112"/>
        <v/>
      </c>
      <c r="DP147" s="57"/>
      <c r="DQ147" s="43" t="str">
        <f t="shared" ca="1" si="113"/>
        <v/>
      </c>
      <c r="DR147" s="43" t="str">
        <f t="shared" si="114"/>
        <v/>
      </c>
      <c r="DS147" s="43" t="str">
        <f t="shared" si="115"/>
        <v/>
      </c>
      <c r="DT147" s="57"/>
      <c r="DU147" s="43" t="str">
        <f t="shared" ca="1" si="116"/>
        <v/>
      </c>
      <c r="DV147" s="43" t="str">
        <f t="shared" si="117"/>
        <v/>
      </c>
      <c r="DX147" s="44">
        <v>1</v>
      </c>
      <c r="DY147" s="44" t="s">
        <v>773</v>
      </c>
      <c r="DZ147" s="43">
        <f t="shared" si="118"/>
        <v>0.01</v>
      </c>
      <c r="EA147" s="43" t="str">
        <f t="shared" si="119"/>
        <v>M</v>
      </c>
      <c r="EB147" s="43" t="str">
        <f>IF(IFERROR(INDEX(Consulta!$A:$DP,MATCH('MM01'!$B147,Consulta!$C:$C,0),'MM01'!EB$2),"")=0,"7925",IF(IFERROR(INDEX(Consulta!$A:$DP,MATCH('MM01'!$B147,Consulta!$C:$C,0),'MM01'!EB$2),"")="68","7910","7925"))</f>
        <v>7925</v>
      </c>
      <c r="EC147" s="44">
        <v>100</v>
      </c>
      <c r="ED147" s="62">
        <v>1</v>
      </c>
      <c r="EE147" s="43">
        <f t="shared" si="120"/>
        <v>100</v>
      </c>
      <c r="EF147" s="44">
        <v>1</v>
      </c>
      <c r="EG147" s="44">
        <v>0</v>
      </c>
      <c r="EH147" s="44" t="s">
        <v>875</v>
      </c>
      <c r="EI147" s="45">
        <v>0</v>
      </c>
      <c r="EJ147" s="43">
        <f t="shared" si="121"/>
        <v>5000</v>
      </c>
      <c r="EK147" s="69"/>
    </row>
    <row r="148" spans="1:141" x14ac:dyDescent="0.2">
      <c r="A148" s="7" t="str">
        <f t="shared" si="82"/>
        <v>Execução 144</v>
      </c>
      <c r="B148" s="42"/>
      <c r="C148" s="43" t="str">
        <f>IF(IFERROR(INDEX(Consulta!$A:$DP,MATCH('MM01'!$B148,Consulta!$C:$C,0),'MM01'!C$2),"")=0,"",IFERROR(INDEX(Consulta!$A:$DP,MATCH('MM01'!$B148,Consulta!$C:$C,0),'MM01'!C$2),""))</f>
        <v/>
      </c>
      <c r="D148" s="43" t="str">
        <f>IF(IFERROR(INDEX(Consulta!$A:$DP,MATCH('MM01'!$B148,Consulta!$C:$C,0),'MM01'!D$2),"")=0,"",IFERROR(INDEX(Consulta!$A:$DP,MATCH('MM01'!$B148,Consulta!$C:$C,0),'MM01'!D$2),""))</f>
        <v/>
      </c>
      <c r="E148" s="43" t="str">
        <f>IF(IFERROR(INDEX(Consulta!$A:$DP,MATCH('MM01'!$B148,Consulta!$C:$C,0),'MM01'!E$2),"")=0,"",IFERROR(INDEX(Consulta!$A:$DP,MATCH('MM01'!$B148,Consulta!$C:$C,0),'MM01'!E$2),""))</f>
        <v/>
      </c>
      <c r="F148" s="44" t="s">
        <v>100</v>
      </c>
      <c r="G148" s="49" t="str">
        <f>IF(IFERROR(INDEX(Consulta!$A:$DP,MATCH('MM01'!$B148,Consulta!$C:$C,0),'MM01'!G$2),"")=0,"",IFERROR(INDEX(Consulta!$A:$DP,MATCH('MM01'!$B148,Consulta!$C:$C,0),'MM01'!G$2),""))</f>
        <v/>
      </c>
      <c r="H148" s="49" t="str">
        <f>IF(IFERROR(INDEX(Consulta!$A:$DP,MATCH('MM01'!$B148,Consulta!$C:$C,0),'MM01'!H$2),"")=0,"",IFERROR(INDEX(Consulta!$A:$DP,MATCH('MM01'!$B148,Consulta!$C:$C,0),'MM01'!H$2),""))</f>
        <v/>
      </c>
      <c r="I148" s="49" t="str">
        <f t="shared" si="83"/>
        <v/>
      </c>
      <c r="J148" s="49" t="str">
        <f>IF(IFERROR(INDEX(Consulta!$A:$DP,MATCH('MM01'!$B148,Consulta!$C:$C,0),'MM01'!J$2),"")=0,"",IFERROR(INDEX(Consulta!$A:$DP,MATCH('MM01'!$B148,Consulta!$C:$C,0),'MM01'!J$2),""))</f>
        <v/>
      </c>
      <c r="K148" s="49" t="str">
        <f t="shared" si="84"/>
        <v/>
      </c>
      <c r="M148" s="45" t="s">
        <v>101</v>
      </c>
      <c r="N148" s="45" t="s">
        <v>102</v>
      </c>
      <c r="O148" s="45" t="s">
        <v>103</v>
      </c>
      <c r="P148" s="45" t="s">
        <v>104</v>
      </c>
      <c r="Q148" s="45" t="s">
        <v>105</v>
      </c>
      <c r="R148" s="45" t="s">
        <v>106</v>
      </c>
      <c r="S148" s="45" t="s">
        <v>107</v>
      </c>
      <c r="T148" s="45"/>
      <c r="U148" s="45"/>
      <c r="V148" s="45"/>
      <c r="W148" s="45"/>
      <c r="X148" s="45" t="s">
        <v>112</v>
      </c>
      <c r="Y148" s="45" t="s">
        <v>113</v>
      </c>
      <c r="Z148" s="45" t="s">
        <v>114</v>
      </c>
      <c r="AA148" s="45" t="s">
        <v>115</v>
      </c>
      <c r="AB148" s="45" t="s">
        <v>117</v>
      </c>
      <c r="AC148" s="45" t="s">
        <v>118</v>
      </c>
      <c r="AD148" s="45" t="s">
        <v>119</v>
      </c>
      <c r="AE148" s="45" t="s">
        <v>120</v>
      </c>
      <c r="AF148" s="45" t="s">
        <v>121</v>
      </c>
      <c r="AG148" s="45" t="s">
        <v>122</v>
      </c>
      <c r="AH148" s="45" t="s">
        <v>123</v>
      </c>
      <c r="AI148" s="45" t="s">
        <v>124</v>
      </c>
      <c r="AJ148" s="45" t="s">
        <v>125</v>
      </c>
      <c r="AK148" s="45" t="s">
        <v>126</v>
      </c>
      <c r="AL148" s="45"/>
      <c r="AM148" s="45"/>
      <c r="AO148" s="44" t="s">
        <v>100</v>
      </c>
      <c r="AP148" s="43" t="str">
        <f>IF(IFERROR(INDEX(Consulta!$A:$DP,MATCH('MM01'!$B148,Consulta!$C:$C,0),'MM01'!AP$2),"")=0,"",IFERROR(INDEX(Consulta!$A:$DP,MATCH('MM01'!$B148,Consulta!$C:$C,0),'MM01'!AP$2),""))</f>
        <v/>
      </c>
      <c r="AQ148" s="45"/>
      <c r="AR148" s="43" t="str">
        <f>IF(IFERROR(INDEX(Consulta!$A:$DP,MATCH('MM01'!$B148,Consulta!$C:$C,0),'MM01'!AR$2),"")=0,"",IFERROR(INDEX(Consulta!$A:$DP,MATCH('MM01'!$B148,Consulta!$C:$C,0),'MM01'!AR$2),""))</f>
        <v/>
      </c>
      <c r="AS148" s="43" t="str">
        <f>IF(IFERROR(INDEX(Consulta!$A:$DP,MATCH('MM01'!$B148,Consulta!$C:$C,0),'MM01'!AS$2),"")=0,"",IF(AR148="68",5102,IFERROR(INDEX(Consulta!$A:$DP,MATCH('MM01'!$B148,Consulta!$C:$C,0),'MM01'!AS$2),"")))</f>
        <v/>
      </c>
      <c r="AT148" s="45"/>
      <c r="AU148" s="46" t="str">
        <f t="shared" ca="1" si="85"/>
        <v/>
      </c>
      <c r="AV148" s="47" t="s">
        <v>795</v>
      </c>
      <c r="AW148" s="43" t="str">
        <f>IF(IFERROR(INDEX(Consulta!$A:$DP,MATCH('MM01'!$B148,Consulta!$C:$C,0),'MM01'!AW$2),"")=0,"",IFERROR(ROUND(INDEX(Consulta!$A:$DP,MATCH('MM01'!$B148,Consulta!$C:$C,0),'MM01'!AW$2),3),""))</f>
        <v/>
      </c>
      <c r="AX148" s="43" t="str">
        <f t="shared" si="86"/>
        <v/>
      </c>
      <c r="AY148" s="48" t="s">
        <v>299</v>
      </c>
      <c r="AZ148" s="48"/>
      <c r="BA148" s="43" t="str">
        <f>IF(IFERROR(INDEX(Consulta!$A:$DP,MATCH('MM01'!$B148,Consulta!$C:$C,0),'MM01'!BA$2),"")=0,"",IFERROR(INDEX(Consulta!$A:$DP,MATCH('MM01'!$B148,Consulta!$C:$C,0),'MM01'!BA$2),""))</f>
        <v/>
      </c>
      <c r="BB148" s="43" t="str">
        <f t="shared" si="87"/>
        <v/>
      </c>
      <c r="BC148" s="43" t="str">
        <f t="shared" si="88"/>
        <v/>
      </c>
      <c r="BD148" s="43" t="str">
        <f t="shared" si="89"/>
        <v/>
      </c>
      <c r="BE148" s="43" t="str">
        <f t="shared" si="90"/>
        <v>M</v>
      </c>
      <c r="BF148" s="43" t="str">
        <f t="shared" si="91"/>
        <v/>
      </c>
      <c r="BG148" s="43" t="str">
        <f t="shared" si="92"/>
        <v/>
      </c>
      <c r="BH148" s="43" t="str">
        <f t="shared" si="93"/>
        <v/>
      </c>
      <c r="BI148" s="43" t="str">
        <f t="shared" si="94"/>
        <v>M</v>
      </c>
      <c r="BK148" s="45" t="s">
        <v>324</v>
      </c>
      <c r="BL148" s="43" t="str">
        <f>IF(IFERROR(INDEX(Consulta!$A:$DP,MATCH('MM01'!$B148,Consulta!$C:$C,0),'MM01'!BL$2),"")=0,"",IFERROR(INDEX(Consulta!$A:$DP,MATCH('MM01'!$B148,Consulta!$C:$C,0),'MM01'!BL$2),""))</f>
        <v/>
      </c>
      <c r="BM148" s="45"/>
      <c r="BN148" s="46" t="str">
        <f t="shared" ca="1" si="95"/>
        <v/>
      </c>
      <c r="BO148" s="49" t="str">
        <f t="shared" si="96"/>
        <v/>
      </c>
      <c r="BP148" s="50">
        <v>1</v>
      </c>
      <c r="BQ148" s="50" t="s">
        <v>194</v>
      </c>
      <c r="BR148" s="79" t="str">
        <f t="shared" si="122"/>
        <v>01</v>
      </c>
      <c r="BS148" s="50" t="s">
        <v>795</v>
      </c>
      <c r="BT148" s="44">
        <v>1</v>
      </c>
      <c r="BU148" s="44" t="s">
        <v>371</v>
      </c>
      <c r="BV148" s="50" t="s">
        <v>197</v>
      </c>
      <c r="BW148" s="50" t="s">
        <v>197</v>
      </c>
      <c r="BX148" s="43" t="str">
        <f>IF(IFERROR(INDEX(Consulta!$A:$DP,MATCH('MM01'!$B148,Consulta!$C:$C,0),'MM01'!BX$2),"")=0,"",IFERROR(INDEX(Consulta!$A:$DP,MATCH('MM01'!$B148,Consulta!$C:$C,0),'MM01'!BX$2),""))</f>
        <v/>
      </c>
      <c r="BY148" s="44" t="s">
        <v>391</v>
      </c>
      <c r="BZ148" s="50">
        <v>0</v>
      </c>
      <c r="CA148" s="45" t="s">
        <v>402</v>
      </c>
      <c r="CB148" s="45" t="s">
        <v>84</v>
      </c>
      <c r="CC148" s="43" t="str">
        <f t="shared" si="97"/>
        <v/>
      </c>
      <c r="CD148" s="45" t="s">
        <v>38</v>
      </c>
      <c r="CE148" s="45">
        <v>1</v>
      </c>
      <c r="CF148" s="45" t="s">
        <v>495</v>
      </c>
      <c r="CG148" s="45"/>
      <c r="CH148" s="44">
        <v>2</v>
      </c>
      <c r="CI148" s="49" t="str">
        <f t="shared" si="98"/>
        <v/>
      </c>
      <c r="CJ148" s="49" t="str">
        <f t="shared" si="99"/>
        <v/>
      </c>
      <c r="CK148" s="45"/>
      <c r="CL148" s="44">
        <v>1</v>
      </c>
      <c r="CM148" s="50" t="s">
        <v>514</v>
      </c>
      <c r="CN148" s="44" t="s">
        <v>371</v>
      </c>
      <c r="CO148" s="44">
        <v>2</v>
      </c>
      <c r="CP148" s="44">
        <v>42</v>
      </c>
      <c r="CQ148" s="44">
        <v>10</v>
      </c>
      <c r="CR148" s="43" t="str">
        <f t="shared" si="100"/>
        <v>K00_P_</v>
      </c>
      <c r="CS148" s="45">
        <v>5000</v>
      </c>
      <c r="CT148" s="43" t="str">
        <f>IF(IFERROR(INDEX(Consulta!$A:$DP,MATCH('MM01'!$B148,Consulta!$C:$C,0),'MM01'!CT$2),"")=0,"",IFERROR(INDEX(Consulta!$A:$DP,MATCH('MM01'!$B148,Consulta!$C:$C,0),'MM01'!CT$2),""))</f>
        <v/>
      </c>
      <c r="CU148" s="43" t="str">
        <f>IF(IFERROR(INDEX(Consulta!$A:$DP,MATCH('MM01'!$B148,Consulta!$C:$C,0),'MM01'!CU$2),"")=0,"",IFERROR(INDEX(Consulta!$A:$DP,MATCH('MM01'!$B148,Consulta!$C:$C,0),'MM01'!CU$2),""))</f>
        <v/>
      </c>
      <c r="CV148" s="43" t="str">
        <f>IF(IFERROR(INDEX(Consulta!$A:$DP,MATCH('MM01'!$B148,Consulta!$C:$C,0),'MM01'!CV$2),"")=0,"",IFERROR(INDEX(Consulta!$A:$DP,MATCH('MM01'!$B148,Consulta!$C:$C,0),'MM01'!CV$2),""))</f>
        <v/>
      </c>
      <c r="CW148" s="43" t="str">
        <f>IF(IFERROR(INDEX(Consulta!$A:$DP,MATCH('MM01'!$B148,Consulta!$C:$C,0),'MM01'!CW$2),"")=0,"",IFERROR(INDEX(Consulta!$A:$DP,MATCH('MM01'!$B148,Consulta!$C:$C,0),'MM01'!CW$2),""))</f>
        <v/>
      </c>
      <c r="CX148" s="43" t="str">
        <f t="shared" si="101"/>
        <v/>
      </c>
      <c r="CY148" s="43" t="str">
        <f t="shared" si="102"/>
        <v/>
      </c>
      <c r="CZ148" s="43" t="str">
        <f t="shared" si="103"/>
        <v/>
      </c>
      <c r="DA148" s="43" t="str">
        <f>IF(IFERROR(INDEX(Consulta!$A:$DP,MATCH('MM01'!$B148,Consulta!$C:$C,0),'MM01'!DA$2),"")=0,"",IFERROR(INDEX(Consulta!$A:$DP,MATCH('MM01'!$B148,Consulta!$C:$C,0),'MM01'!DA$2),""))</f>
        <v/>
      </c>
      <c r="DB148" s="43" t="str">
        <f t="shared" si="104"/>
        <v/>
      </c>
      <c r="DC148" s="43" t="str">
        <f>IF(IFERROR(INDEX(Consulta!$A:$DP,MATCH('MM01'!$B148,Consulta!$C:$C,0),'MM01'!DC$2),"")=0,"",IFERROR(INDEX(Consulta!$A:$DP,MATCH('MM01'!$B148,Consulta!$C:$C,0),'MM01'!DC$2),""))</f>
        <v/>
      </c>
      <c r="DD148" s="45">
        <v>0</v>
      </c>
      <c r="DE148" s="45">
        <v>0</v>
      </c>
      <c r="DF148" s="43" t="str">
        <f t="shared" si="105"/>
        <v/>
      </c>
      <c r="DG148" s="43" t="str">
        <f t="shared" si="106"/>
        <v/>
      </c>
      <c r="DH148" s="57"/>
      <c r="DI148" s="43" t="str">
        <f t="shared" ca="1" si="107"/>
        <v/>
      </c>
      <c r="DJ148" s="43" t="str">
        <f t="shared" si="108"/>
        <v/>
      </c>
      <c r="DK148" s="43" t="str">
        <f t="shared" si="109"/>
        <v/>
      </c>
      <c r="DL148" s="57"/>
      <c r="DM148" s="43" t="str">
        <f t="shared" ca="1" si="110"/>
        <v/>
      </c>
      <c r="DN148" s="43" t="str">
        <f t="shared" si="111"/>
        <v/>
      </c>
      <c r="DO148" s="43" t="str">
        <f t="shared" si="112"/>
        <v/>
      </c>
      <c r="DP148" s="57"/>
      <c r="DQ148" s="43" t="str">
        <f t="shared" ca="1" si="113"/>
        <v/>
      </c>
      <c r="DR148" s="43" t="str">
        <f t="shared" si="114"/>
        <v/>
      </c>
      <c r="DS148" s="43" t="str">
        <f t="shared" si="115"/>
        <v/>
      </c>
      <c r="DT148" s="57"/>
      <c r="DU148" s="43" t="str">
        <f t="shared" ca="1" si="116"/>
        <v/>
      </c>
      <c r="DV148" s="43" t="str">
        <f t="shared" si="117"/>
        <v/>
      </c>
      <c r="DX148" s="44">
        <v>1</v>
      </c>
      <c r="DY148" s="44" t="s">
        <v>773</v>
      </c>
      <c r="DZ148" s="43">
        <f t="shared" si="118"/>
        <v>0.01</v>
      </c>
      <c r="EA148" s="43" t="str">
        <f t="shared" si="119"/>
        <v>M</v>
      </c>
      <c r="EB148" s="43" t="str">
        <f>IF(IFERROR(INDEX(Consulta!$A:$DP,MATCH('MM01'!$B148,Consulta!$C:$C,0),'MM01'!EB$2),"")=0,"7925",IF(IFERROR(INDEX(Consulta!$A:$DP,MATCH('MM01'!$B148,Consulta!$C:$C,0),'MM01'!EB$2),"")="68","7910","7925"))</f>
        <v>7925</v>
      </c>
      <c r="EC148" s="44">
        <v>100</v>
      </c>
      <c r="ED148" s="62">
        <v>1</v>
      </c>
      <c r="EE148" s="43">
        <f t="shared" si="120"/>
        <v>100</v>
      </c>
      <c r="EF148" s="44">
        <v>1</v>
      </c>
      <c r="EG148" s="44">
        <v>0</v>
      </c>
      <c r="EH148" s="44" t="s">
        <v>875</v>
      </c>
      <c r="EI148" s="45">
        <v>0</v>
      </c>
      <c r="EJ148" s="43">
        <f t="shared" si="121"/>
        <v>5000</v>
      </c>
      <c r="EK148" s="69"/>
    </row>
    <row r="149" spans="1:141" x14ac:dyDescent="0.2">
      <c r="A149" s="7" t="str">
        <f t="shared" si="82"/>
        <v>Execução 145</v>
      </c>
      <c r="B149" s="42"/>
      <c r="C149" s="43" t="str">
        <f>IF(IFERROR(INDEX(Consulta!$A:$DP,MATCH('MM01'!$B149,Consulta!$C:$C,0),'MM01'!C$2),"")=0,"",IFERROR(INDEX(Consulta!$A:$DP,MATCH('MM01'!$B149,Consulta!$C:$C,0),'MM01'!C$2),""))</f>
        <v/>
      </c>
      <c r="D149" s="43" t="str">
        <f>IF(IFERROR(INDEX(Consulta!$A:$DP,MATCH('MM01'!$B149,Consulta!$C:$C,0),'MM01'!D$2),"")=0,"",IFERROR(INDEX(Consulta!$A:$DP,MATCH('MM01'!$B149,Consulta!$C:$C,0),'MM01'!D$2),""))</f>
        <v/>
      </c>
      <c r="E149" s="43" t="str">
        <f>IF(IFERROR(INDEX(Consulta!$A:$DP,MATCH('MM01'!$B149,Consulta!$C:$C,0),'MM01'!E$2),"")=0,"",IFERROR(INDEX(Consulta!$A:$DP,MATCH('MM01'!$B149,Consulta!$C:$C,0),'MM01'!E$2),""))</f>
        <v/>
      </c>
      <c r="F149" s="44" t="s">
        <v>100</v>
      </c>
      <c r="G149" s="49" t="str">
        <f>IF(IFERROR(INDEX(Consulta!$A:$DP,MATCH('MM01'!$B149,Consulta!$C:$C,0),'MM01'!G$2),"")=0,"",IFERROR(INDEX(Consulta!$A:$DP,MATCH('MM01'!$B149,Consulta!$C:$C,0),'MM01'!G$2),""))</f>
        <v/>
      </c>
      <c r="H149" s="49" t="str">
        <f>IF(IFERROR(INDEX(Consulta!$A:$DP,MATCH('MM01'!$B149,Consulta!$C:$C,0),'MM01'!H$2),"")=0,"",IFERROR(INDEX(Consulta!$A:$DP,MATCH('MM01'!$B149,Consulta!$C:$C,0),'MM01'!H$2),""))</f>
        <v/>
      </c>
      <c r="I149" s="49" t="str">
        <f t="shared" si="83"/>
        <v/>
      </c>
      <c r="J149" s="49" t="str">
        <f>IF(IFERROR(INDEX(Consulta!$A:$DP,MATCH('MM01'!$B149,Consulta!$C:$C,0),'MM01'!J$2),"")=0,"",IFERROR(INDEX(Consulta!$A:$DP,MATCH('MM01'!$B149,Consulta!$C:$C,0),'MM01'!J$2),""))</f>
        <v/>
      </c>
      <c r="K149" s="49" t="str">
        <f t="shared" si="84"/>
        <v/>
      </c>
      <c r="M149" s="45" t="s">
        <v>101</v>
      </c>
      <c r="N149" s="45" t="s">
        <v>102</v>
      </c>
      <c r="O149" s="45" t="s">
        <v>103</v>
      </c>
      <c r="P149" s="45" t="s">
        <v>104</v>
      </c>
      <c r="Q149" s="45" t="s">
        <v>105</v>
      </c>
      <c r="R149" s="45" t="s">
        <v>106</v>
      </c>
      <c r="S149" s="45" t="s">
        <v>107</v>
      </c>
      <c r="T149" s="45"/>
      <c r="U149" s="45"/>
      <c r="V149" s="45"/>
      <c r="W149" s="45"/>
      <c r="X149" s="45" t="s">
        <v>112</v>
      </c>
      <c r="Y149" s="45" t="s">
        <v>113</v>
      </c>
      <c r="Z149" s="45" t="s">
        <v>114</v>
      </c>
      <c r="AA149" s="45" t="s">
        <v>115</v>
      </c>
      <c r="AB149" s="45" t="s">
        <v>117</v>
      </c>
      <c r="AC149" s="45" t="s">
        <v>118</v>
      </c>
      <c r="AD149" s="45" t="s">
        <v>119</v>
      </c>
      <c r="AE149" s="45" t="s">
        <v>120</v>
      </c>
      <c r="AF149" s="45" t="s">
        <v>121</v>
      </c>
      <c r="AG149" s="45" t="s">
        <v>122</v>
      </c>
      <c r="AH149" s="45" t="s">
        <v>123</v>
      </c>
      <c r="AI149" s="45" t="s">
        <v>124</v>
      </c>
      <c r="AJ149" s="45" t="s">
        <v>125</v>
      </c>
      <c r="AK149" s="45" t="s">
        <v>126</v>
      </c>
      <c r="AL149" s="45"/>
      <c r="AM149" s="45"/>
      <c r="AO149" s="44" t="s">
        <v>100</v>
      </c>
      <c r="AP149" s="43" t="str">
        <f>IF(IFERROR(INDEX(Consulta!$A:$DP,MATCH('MM01'!$B149,Consulta!$C:$C,0),'MM01'!AP$2),"")=0,"",IFERROR(INDEX(Consulta!$A:$DP,MATCH('MM01'!$B149,Consulta!$C:$C,0),'MM01'!AP$2),""))</f>
        <v/>
      </c>
      <c r="AQ149" s="45"/>
      <c r="AR149" s="43" t="str">
        <f>IF(IFERROR(INDEX(Consulta!$A:$DP,MATCH('MM01'!$B149,Consulta!$C:$C,0),'MM01'!AR$2),"")=0,"",IFERROR(INDEX(Consulta!$A:$DP,MATCH('MM01'!$B149,Consulta!$C:$C,0),'MM01'!AR$2),""))</f>
        <v/>
      </c>
      <c r="AS149" s="43" t="str">
        <f>IF(IFERROR(INDEX(Consulta!$A:$DP,MATCH('MM01'!$B149,Consulta!$C:$C,0),'MM01'!AS$2),"")=0,"",IF(AR149="68",5102,IFERROR(INDEX(Consulta!$A:$DP,MATCH('MM01'!$B149,Consulta!$C:$C,0),'MM01'!AS$2),"")))</f>
        <v/>
      </c>
      <c r="AT149" s="45"/>
      <c r="AU149" s="46" t="str">
        <f t="shared" ca="1" si="85"/>
        <v/>
      </c>
      <c r="AV149" s="47" t="s">
        <v>795</v>
      </c>
      <c r="AW149" s="43" t="str">
        <f>IF(IFERROR(INDEX(Consulta!$A:$DP,MATCH('MM01'!$B149,Consulta!$C:$C,0),'MM01'!AW$2),"")=0,"",IFERROR(ROUND(INDEX(Consulta!$A:$DP,MATCH('MM01'!$B149,Consulta!$C:$C,0),'MM01'!AW$2),3),""))</f>
        <v/>
      </c>
      <c r="AX149" s="43" t="str">
        <f t="shared" si="86"/>
        <v/>
      </c>
      <c r="AY149" s="48" t="s">
        <v>299</v>
      </c>
      <c r="AZ149" s="48"/>
      <c r="BA149" s="43" t="str">
        <f>IF(IFERROR(INDEX(Consulta!$A:$DP,MATCH('MM01'!$B149,Consulta!$C:$C,0),'MM01'!BA$2),"")=0,"",IFERROR(INDEX(Consulta!$A:$DP,MATCH('MM01'!$B149,Consulta!$C:$C,0),'MM01'!BA$2),""))</f>
        <v/>
      </c>
      <c r="BB149" s="43" t="str">
        <f t="shared" si="87"/>
        <v/>
      </c>
      <c r="BC149" s="43" t="str">
        <f t="shared" si="88"/>
        <v/>
      </c>
      <c r="BD149" s="43" t="str">
        <f t="shared" si="89"/>
        <v/>
      </c>
      <c r="BE149" s="43" t="str">
        <f t="shared" si="90"/>
        <v>M</v>
      </c>
      <c r="BF149" s="43" t="str">
        <f t="shared" si="91"/>
        <v/>
      </c>
      <c r="BG149" s="43" t="str">
        <f t="shared" si="92"/>
        <v/>
      </c>
      <c r="BH149" s="43" t="str">
        <f t="shared" si="93"/>
        <v/>
      </c>
      <c r="BI149" s="43" t="str">
        <f t="shared" si="94"/>
        <v>M</v>
      </c>
      <c r="BK149" s="45" t="s">
        <v>324</v>
      </c>
      <c r="BL149" s="43" t="str">
        <f>IF(IFERROR(INDEX(Consulta!$A:$DP,MATCH('MM01'!$B149,Consulta!$C:$C,0),'MM01'!BL$2),"")=0,"",IFERROR(INDEX(Consulta!$A:$DP,MATCH('MM01'!$B149,Consulta!$C:$C,0),'MM01'!BL$2),""))</f>
        <v/>
      </c>
      <c r="BM149" s="45"/>
      <c r="BN149" s="46" t="str">
        <f t="shared" ca="1" si="95"/>
        <v/>
      </c>
      <c r="BO149" s="49" t="str">
        <f t="shared" si="96"/>
        <v/>
      </c>
      <c r="BP149" s="50">
        <v>1</v>
      </c>
      <c r="BQ149" s="50" t="s">
        <v>194</v>
      </c>
      <c r="BR149" s="79" t="str">
        <f t="shared" si="122"/>
        <v>01</v>
      </c>
      <c r="BS149" s="50" t="s">
        <v>795</v>
      </c>
      <c r="BT149" s="44">
        <v>1</v>
      </c>
      <c r="BU149" s="44" t="s">
        <v>371</v>
      </c>
      <c r="BV149" s="50" t="s">
        <v>197</v>
      </c>
      <c r="BW149" s="50" t="s">
        <v>197</v>
      </c>
      <c r="BX149" s="43" t="str">
        <f>IF(IFERROR(INDEX(Consulta!$A:$DP,MATCH('MM01'!$B149,Consulta!$C:$C,0),'MM01'!BX$2),"")=0,"",IFERROR(INDEX(Consulta!$A:$DP,MATCH('MM01'!$B149,Consulta!$C:$C,0),'MM01'!BX$2),""))</f>
        <v/>
      </c>
      <c r="BY149" s="44" t="s">
        <v>391</v>
      </c>
      <c r="BZ149" s="50">
        <v>0</v>
      </c>
      <c r="CA149" s="45" t="s">
        <v>402</v>
      </c>
      <c r="CB149" s="45" t="s">
        <v>84</v>
      </c>
      <c r="CC149" s="43" t="str">
        <f t="shared" si="97"/>
        <v/>
      </c>
      <c r="CD149" s="45" t="s">
        <v>38</v>
      </c>
      <c r="CE149" s="45">
        <v>1</v>
      </c>
      <c r="CF149" s="45" t="s">
        <v>495</v>
      </c>
      <c r="CG149" s="45"/>
      <c r="CH149" s="44">
        <v>2</v>
      </c>
      <c r="CI149" s="49" t="str">
        <f t="shared" si="98"/>
        <v/>
      </c>
      <c r="CJ149" s="49" t="str">
        <f t="shared" si="99"/>
        <v/>
      </c>
      <c r="CK149" s="45"/>
      <c r="CL149" s="44">
        <v>1</v>
      </c>
      <c r="CM149" s="50" t="s">
        <v>514</v>
      </c>
      <c r="CN149" s="44" t="s">
        <v>371</v>
      </c>
      <c r="CO149" s="44">
        <v>2</v>
      </c>
      <c r="CP149" s="44">
        <v>42</v>
      </c>
      <c r="CQ149" s="44">
        <v>10</v>
      </c>
      <c r="CR149" s="43" t="str">
        <f t="shared" si="100"/>
        <v>K00_P_</v>
      </c>
      <c r="CS149" s="45">
        <v>5000</v>
      </c>
      <c r="CT149" s="43" t="str">
        <f>IF(IFERROR(INDEX(Consulta!$A:$DP,MATCH('MM01'!$B149,Consulta!$C:$C,0),'MM01'!CT$2),"")=0,"",IFERROR(INDEX(Consulta!$A:$DP,MATCH('MM01'!$B149,Consulta!$C:$C,0),'MM01'!CT$2),""))</f>
        <v/>
      </c>
      <c r="CU149" s="43" t="str">
        <f>IF(IFERROR(INDEX(Consulta!$A:$DP,MATCH('MM01'!$B149,Consulta!$C:$C,0),'MM01'!CU$2),"")=0,"",IFERROR(INDEX(Consulta!$A:$DP,MATCH('MM01'!$B149,Consulta!$C:$C,0),'MM01'!CU$2),""))</f>
        <v/>
      </c>
      <c r="CV149" s="43" t="str">
        <f>IF(IFERROR(INDEX(Consulta!$A:$DP,MATCH('MM01'!$B149,Consulta!$C:$C,0),'MM01'!CV$2),"")=0,"",IFERROR(INDEX(Consulta!$A:$DP,MATCH('MM01'!$B149,Consulta!$C:$C,0),'MM01'!CV$2),""))</f>
        <v/>
      </c>
      <c r="CW149" s="43" t="str">
        <f>IF(IFERROR(INDEX(Consulta!$A:$DP,MATCH('MM01'!$B149,Consulta!$C:$C,0),'MM01'!CW$2),"")=0,"",IFERROR(INDEX(Consulta!$A:$DP,MATCH('MM01'!$B149,Consulta!$C:$C,0),'MM01'!CW$2),""))</f>
        <v/>
      </c>
      <c r="CX149" s="43" t="str">
        <f t="shared" si="101"/>
        <v/>
      </c>
      <c r="CY149" s="43" t="str">
        <f t="shared" si="102"/>
        <v/>
      </c>
      <c r="CZ149" s="43" t="str">
        <f t="shared" si="103"/>
        <v/>
      </c>
      <c r="DA149" s="43" t="str">
        <f>IF(IFERROR(INDEX(Consulta!$A:$DP,MATCH('MM01'!$B149,Consulta!$C:$C,0),'MM01'!DA$2),"")=0,"",IFERROR(INDEX(Consulta!$A:$DP,MATCH('MM01'!$B149,Consulta!$C:$C,0),'MM01'!DA$2),""))</f>
        <v/>
      </c>
      <c r="DB149" s="43" t="str">
        <f t="shared" si="104"/>
        <v/>
      </c>
      <c r="DC149" s="43" t="str">
        <f>IF(IFERROR(INDEX(Consulta!$A:$DP,MATCH('MM01'!$B149,Consulta!$C:$C,0),'MM01'!DC$2),"")=0,"",IFERROR(INDEX(Consulta!$A:$DP,MATCH('MM01'!$B149,Consulta!$C:$C,0),'MM01'!DC$2),""))</f>
        <v/>
      </c>
      <c r="DD149" s="45">
        <v>0</v>
      </c>
      <c r="DE149" s="45">
        <v>0</v>
      </c>
      <c r="DF149" s="43" t="str">
        <f t="shared" si="105"/>
        <v/>
      </c>
      <c r="DG149" s="43" t="str">
        <f t="shared" si="106"/>
        <v/>
      </c>
      <c r="DH149" s="57"/>
      <c r="DI149" s="43" t="str">
        <f t="shared" ca="1" si="107"/>
        <v/>
      </c>
      <c r="DJ149" s="43" t="str">
        <f t="shared" si="108"/>
        <v/>
      </c>
      <c r="DK149" s="43" t="str">
        <f t="shared" si="109"/>
        <v/>
      </c>
      <c r="DL149" s="57"/>
      <c r="DM149" s="43" t="str">
        <f t="shared" ca="1" si="110"/>
        <v/>
      </c>
      <c r="DN149" s="43" t="str">
        <f t="shared" si="111"/>
        <v/>
      </c>
      <c r="DO149" s="43" t="str">
        <f t="shared" si="112"/>
        <v/>
      </c>
      <c r="DP149" s="57"/>
      <c r="DQ149" s="43" t="str">
        <f t="shared" ca="1" si="113"/>
        <v/>
      </c>
      <c r="DR149" s="43" t="str">
        <f t="shared" si="114"/>
        <v/>
      </c>
      <c r="DS149" s="43" t="str">
        <f t="shared" si="115"/>
        <v/>
      </c>
      <c r="DT149" s="57"/>
      <c r="DU149" s="43" t="str">
        <f t="shared" ca="1" si="116"/>
        <v/>
      </c>
      <c r="DV149" s="43" t="str">
        <f t="shared" si="117"/>
        <v/>
      </c>
      <c r="DX149" s="44">
        <v>1</v>
      </c>
      <c r="DY149" s="44" t="s">
        <v>773</v>
      </c>
      <c r="DZ149" s="43">
        <f t="shared" si="118"/>
        <v>0.01</v>
      </c>
      <c r="EA149" s="43" t="str">
        <f t="shared" si="119"/>
        <v>M</v>
      </c>
      <c r="EB149" s="43" t="str">
        <f>IF(IFERROR(INDEX(Consulta!$A:$DP,MATCH('MM01'!$B149,Consulta!$C:$C,0),'MM01'!EB$2),"")=0,"7925",IF(IFERROR(INDEX(Consulta!$A:$DP,MATCH('MM01'!$B149,Consulta!$C:$C,0),'MM01'!EB$2),"")="68","7910","7925"))</f>
        <v>7925</v>
      </c>
      <c r="EC149" s="44">
        <v>100</v>
      </c>
      <c r="ED149" s="62">
        <v>1</v>
      </c>
      <c r="EE149" s="43">
        <f t="shared" si="120"/>
        <v>100</v>
      </c>
      <c r="EF149" s="44">
        <v>1</v>
      </c>
      <c r="EG149" s="44">
        <v>0</v>
      </c>
      <c r="EH149" s="44" t="s">
        <v>875</v>
      </c>
      <c r="EI149" s="45">
        <v>0</v>
      </c>
      <c r="EJ149" s="43">
        <f t="shared" si="121"/>
        <v>5000</v>
      </c>
      <c r="EK149" s="69"/>
    </row>
    <row r="150" spans="1:141" x14ac:dyDescent="0.2">
      <c r="A150" s="7" t="str">
        <f t="shared" si="82"/>
        <v>Execução 146</v>
      </c>
      <c r="B150" s="42"/>
      <c r="C150" s="43" t="str">
        <f>IF(IFERROR(INDEX(Consulta!$A:$DP,MATCH('MM01'!$B150,Consulta!$C:$C,0),'MM01'!C$2),"")=0,"",IFERROR(INDEX(Consulta!$A:$DP,MATCH('MM01'!$B150,Consulta!$C:$C,0),'MM01'!C$2),""))</f>
        <v/>
      </c>
      <c r="D150" s="43" t="str">
        <f>IF(IFERROR(INDEX(Consulta!$A:$DP,MATCH('MM01'!$B150,Consulta!$C:$C,0),'MM01'!D$2),"")=0,"",IFERROR(INDEX(Consulta!$A:$DP,MATCH('MM01'!$B150,Consulta!$C:$C,0),'MM01'!D$2),""))</f>
        <v/>
      </c>
      <c r="E150" s="43" t="str">
        <f>IF(IFERROR(INDEX(Consulta!$A:$DP,MATCH('MM01'!$B150,Consulta!$C:$C,0),'MM01'!E$2),"")=0,"",IFERROR(INDEX(Consulta!$A:$DP,MATCH('MM01'!$B150,Consulta!$C:$C,0),'MM01'!E$2),""))</f>
        <v/>
      </c>
      <c r="F150" s="44" t="s">
        <v>100</v>
      </c>
      <c r="G150" s="49" t="str">
        <f>IF(IFERROR(INDEX(Consulta!$A:$DP,MATCH('MM01'!$B150,Consulta!$C:$C,0),'MM01'!G$2),"")=0,"",IFERROR(INDEX(Consulta!$A:$DP,MATCH('MM01'!$B150,Consulta!$C:$C,0),'MM01'!G$2),""))</f>
        <v/>
      </c>
      <c r="H150" s="49" t="str">
        <f>IF(IFERROR(INDEX(Consulta!$A:$DP,MATCH('MM01'!$B150,Consulta!$C:$C,0),'MM01'!H$2),"")=0,"",IFERROR(INDEX(Consulta!$A:$DP,MATCH('MM01'!$B150,Consulta!$C:$C,0),'MM01'!H$2),""))</f>
        <v/>
      </c>
      <c r="I150" s="49" t="str">
        <f t="shared" si="83"/>
        <v/>
      </c>
      <c r="J150" s="49" t="str">
        <f>IF(IFERROR(INDEX(Consulta!$A:$DP,MATCH('MM01'!$B150,Consulta!$C:$C,0),'MM01'!J$2),"")=0,"",IFERROR(INDEX(Consulta!$A:$DP,MATCH('MM01'!$B150,Consulta!$C:$C,0),'MM01'!J$2),""))</f>
        <v/>
      </c>
      <c r="K150" s="49" t="str">
        <f t="shared" si="84"/>
        <v/>
      </c>
      <c r="M150" s="45" t="s">
        <v>101</v>
      </c>
      <c r="N150" s="45" t="s">
        <v>102</v>
      </c>
      <c r="O150" s="45" t="s">
        <v>103</v>
      </c>
      <c r="P150" s="45" t="s">
        <v>104</v>
      </c>
      <c r="Q150" s="45" t="s">
        <v>105</v>
      </c>
      <c r="R150" s="45" t="s">
        <v>106</v>
      </c>
      <c r="S150" s="45" t="s">
        <v>107</v>
      </c>
      <c r="T150" s="45"/>
      <c r="U150" s="45"/>
      <c r="V150" s="45"/>
      <c r="W150" s="45"/>
      <c r="X150" s="45" t="s">
        <v>112</v>
      </c>
      <c r="Y150" s="45" t="s">
        <v>113</v>
      </c>
      <c r="Z150" s="45" t="s">
        <v>114</v>
      </c>
      <c r="AA150" s="45" t="s">
        <v>115</v>
      </c>
      <c r="AB150" s="45" t="s">
        <v>117</v>
      </c>
      <c r="AC150" s="45" t="s">
        <v>118</v>
      </c>
      <c r="AD150" s="45" t="s">
        <v>119</v>
      </c>
      <c r="AE150" s="45" t="s">
        <v>120</v>
      </c>
      <c r="AF150" s="45" t="s">
        <v>121</v>
      </c>
      <c r="AG150" s="45" t="s">
        <v>122</v>
      </c>
      <c r="AH150" s="45" t="s">
        <v>123</v>
      </c>
      <c r="AI150" s="45" t="s">
        <v>124</v>
      </c>
      <c r="AJ150" s="45" t="s">
        <v>125</v>
      </c>
      <c r="AK150" s="45" t="s">
        <v>126</v>
      </c>
      <c r="AL150" s="45"/>
      <c r="AM150" s="45"/>
      <c r="AO150" s="44" t="s">
        <v>100</v>
      </c>
      <c r="AP150" s="43" t="str">
        <f>IF(IFERROR(INDEX(Consulta!$A:$DP,MATCH('MM01'!$B150,Consulta!$C:$C,0),'MM01'!AP$2),"")=0,"",IFERROR(INDEX(Consulta!$A:$DP,MATCH('MM01'!$B150,Consulta!$C:$C,0),'MM01'!AP$2),""))</f>
        <v/>
      </c>
      <c r="AQ150" s="45"/>
      <c r="AR150" s="43" t="str">
        <f>IF(IFERROR(INDEX(Consulta!$A:$DP,MATCH('MM01'!$B150,Consulta!$C:$C,0),'MM01'!AR$2),"")=0,"",IFERROR(INDEX(Consulta!$A:$DP,MATCH('MM01'!$B150,Consulta!$C:$C,0),'MM01'!AR$2),""))</f>
        <v/>
      </c>
      <c r="AS150" s="43" t="str">
        <f>IF(IFERROR(INDEX(Consulta!$A:$DP,MATCH('MM01'!$B150,Consulta!$C:$C,0),'MM01'!AS$2),"")=0,"",IF(AR150="68",5102,IFERROR(INDEX(Consulta!$A:$DP,MATCH('MM01'!$B150,Consulta!$C:$C,0),'MM01'!AS$2),"")))</f>
        <v/>
      </c>
      <c r="AT150" s="45"/>
      <c r="AU150" s="46" t="str">
        <f t="shared" ca="1" si="85"/>
        <v/>
      </c>
      <c r="AV150" s="47" t="s">
        <v>795</v>
      </c>
      <c r="AW150" s="43" t="str">
        <f>IF(IFERROR(INDEX(Consulta!$A:$DP,MATCH('MM01'!$B150,Consulta!$C:$C,0),'MM01'!AW$2),"")=0,"",IFERROR(ROUND(INDEX(Consulta!$A:$DP,MATCH('MM01'!$B150,Consulta!$C:$C,0),'MM01'!AW$2),3),""))</f>
        <v/>
      </c>
      <c r="AX150" s="43" t="str">
        <f t="shared" si="86"/>
        <v/>
      </c>
      <c r="AY150" s="48" t="s">
        <v>299</v>
      </c>
      <c r="AZ150" s="48"/>
      <c r="BA150" s="43" t="str">
        <f>IF(IFERROR(INDEX(Consulta!$A:$DP,MATCH('MM01'!$B150,Consulta!$C:$C,0),'MM01'!BA$2),"")=0,"",IFERROR(INDEX(Consulta!$A:$DP,MATCH('MM01'!$B150,Consulta!$C:$C,0),'MM01'!BA$2),""))</f>
        <v/>
      </c>
      <c r="BB150" s="43" t="str">
        <f t="shared" si="87"/>
        <v/>
      </c>
      <c r="BC150" s="43" t="str">
        <f t="shared" si="88"/>
        <v/>
      </c>
      <c r="BD150" s="43" t="str">
        <f t="shared" si="89"/>
        <v/>
      </c>
      <c r="BE150" s="43" t="str">
        <f t="shared" si="90"/>
        <v>M</v>
      </c>
      <c r="BF150" s="43" t="str">
        <f t="shared" si="91"/>
        <v/>
      </c>
      <c r="BG150" s="43" t="str">
        <f t="shared" si="92"/>
        <v/>
      </c>
      <c r="BH150" s="43" t="str">
        <f t="shared" si="93"/>
        <v/>
      </c>
      <c r="BI150" s="43" t="str">
        <f t="shared" si="94"/>
        <v>M</v>
      </c>
      <c r="BK150" s="45" t="s">
        <v>324</v>
      </c>
      <c r="BL150" s="43" t="str">
        <f>IF(IFERROR(INDEX(Consulta!$A:$DP,MATCH('MM01'!$B150,Consulta!$C:$C,0),'MM01'!BL$2),"")=0,"",IFERROR(INDEX(Consulta!$A:$DP,MATCH('MM01'!$B150,Consulta!$C:$C,0),'MM01'!BL$2),""))</f>
        <v/>
      </c>
      <c r="BM150" s="45"/>
      <c r="BN150" s="46" t="str">
        <f t="shared" ca="1" si="95"/>
        <v/>
      </c>
      <c r="BO150" s="49" t="str">
        <f t="shared" si="96"/>
        <v/>
      </c>
      <c r="BP150" s="50">
        <v>1</v>
      </c>
      <c r="BQ150" s="50" t="s">
        <v>194</v>
      </c>
      <c r="BR150" s="79" t="str">
        <f t="shared" si="122"/>
        <v>01</v>
      </c>
      <c r="BS150" s="50" t="s">
        <v>795</v>
      </c>
      <c r="BT150" s="44">
        <v>1</v>
      </c>
      <c r="BU150" s="44" t="s">
        <v>371</v>
      </c>
      <c r="BV150" s="50" t="s">
        <v>197</v>
      </c>
      <c r="BW150" s="50" t="s">
        <v>197</v>
      </c>
      <c r="BX150" s="43" t="str">
        <f>IF(IFERROR(INDEX(Consulta!$A:$DP,MATCH('MM01'!$B150,Consulta!$C:$C,0),'MM01'!BX$2),"")=0,"",IFERROR(INDEX(Consulta!$A:$DP,MATCH('MM01'!$B150,Consulta!$C:$C,0),'MM01'!BX$2),""))</f>
        <v/>
      </c>
      <c r="BY150" s="44" t="s">
        <v>391</v>
      </c>
      <c r="BZ150" s="50">
        <v>0</v>
      </c>
      <c r="CA150" s="45" t="s">
        <v>402</v>
      </c>
      <c r="CB150" s="45" t="s">
        <v>84</v>
      </c>
      <c r="CC150" s="43" t="str">
        <f t="shared" si="97"/>
        <v/>
      </c>
      <c r="CD150" s="45" t="s">
        <v>38</v>
      </c>
      <c r="CE150" s="45">
        <v>1</v>
      </c>
      <c r="CF150" s="45" t="s">
        <v>495</v>
      </c>
      <c r="CG150" s="45"/>
      <c r="CH150" s="44">
        <v>2</v>
      </c>
      <c r="CI150" s="49" t="str">
        <f t="shared" si="98"/>
        <v/>
      </c>
      <c r="CJ150" s="49" t="str">
        <f t="shared" si="99"/>
        <v/>
      </c>
      <c r="CK150" s="45"/>
      <c r="CL150" s="44">
        <v>1</v>
      </c>
      <c r="CM150" s="50" t="s">
        <v>514</v>
      </c>
      <c r="CN150" s="44" t="s">
        <v>371</v>
      </c>
      <c r="CO150" s="44">
        <v>2</v>
      </c>
      <c r="CP150" s="44">
        <v>42</v>
      </c>
      <c r="CQ150" s="44">
        <v>10</v>
      </c>
      <c r="CR150" s="43" t="str">
        <f t="shared" si="100"/>
        <v>K00_P_</v>
      </c>
      <c r="CS150" s="45">
        <v>5000</v>
      </c>
      <c r="CT150" s="43" t="str">
        <f>IF(IFERROR(INDEX(Consulta!$A:$DP,MATCH('MM01'!$B150,Consulta!$C:$C,0),'MM01'!CT$2),"")=0,"",IFERROR(INDEX(Consulta!$A:$DP,MATCH('MM01'!$B150,Consulta!$C:$C,0),'MM01'!CT$2),""))</f>
        <v/>
      </c>
      <c r="CU150" s="43" t="str">
        <f>IF(IFERROR(INDEX(Consulta!$A:$DP,MATCH('MM01'!$B150,Consulta!$C:$C,0),'MM01'!CU$2),"")=0,"",IFERROR(INDEX(Consulta!$A:$DP,MATCH('MM01'!$B150,Consulta!$C:$C,0),'MM01'!CU$2),""))</f>
        <v/>
      </c>
      <c r="CV150" s="43" t="str">
        <f>IF(IFERROR(INDEX(Consulta!$A:$DP,MATCH('MM01'!$B150,Consulta!$C:$C,0),'MM01'!CV$2),"")=0,"",IFERROR(INDEX(Consulta!$A:$DP,MATCH('MM01'!$B150,Consulta!$C:$C,0),'MM01'!CV$2),""))</f>
        <v/>
      </c>
      <c r="CW150" s="43" t="str">
        <f>IF(IFERROR(INDEX(Consulta!$A:$DP,MATCH('MM01'!$B150,Consulta!$C:$C,0),'MM01'!CW$2),"")=0,"",IFERROR(INDEX(Consulta!$A:$DP,MATCH('MM01'!$B150,Consulta!$C:$C,0),'MM01'!CW$2),""))</f>
        <v/>
      </c>
      <c r="CX150" s="43" t="str">
        <f t="shared" si="101"/>
        <v/>
      </c>
      <c r="CY150" s="43" t="str">
        <f t="shared" si="102"/>
        <v/>
      </c>
      <c r="CZ150" s="43" t="str">
        <f t="shared" si="103"/>
        <v/>
      </c>
      <c r="DA150" s="43" t="str">
        <f>IF(IFERROR(INDEX(Consulta!$A:$DP,MATCH('MM01'!$B150,Consulta!$C:$C,0),'MM01'!DA$2),"")=0,"",IFERROR(INDEX(Consulta!$A:$DP,MATCH('MM01'!$B150,Consulta!$C:$C,0),'MM01'!DA$2),""))</f>
        <v/>
      </c>
      <c r="DB150" s="43" t="str">
        <f t="shared" si="104"/>
        <v/>
      </c>
      <c r="DC150" s="43" t="str">
        <f>IF(IFERROR(INDEX(Consulta!$A:$DP,MATCH('MM01'!$B150,Consulta!$C:$C,0),'MM01'!DC$2),"")=0,"",IFERROR(INDEX(Consulta!$A:$DP,MATCH('MM01'!$B150,Consulta!$C:$C,0),'MM01'!DC$2),""))</f>
        <v/>
      </c>
      <c r="DD150" s="45">
        <v>0</v>
      </c>
      <c r="DE150" s="45">
        <v>0</v>
      </c>
      <c r="DF150" s="43" t="str">
        <f t="shared" si="105"/>
        <v/>
      </c>
      <c r="DG150" s="43" t="str">
        <f t="shared" si="106"/>
        <v/>
      </c>
      <c r="DH150" s="57"/>
      <c r="DI150" s="43" t="str">
        <f t="shared" ca="1" si="107"/>
        <v/>
      </c>
      <c r="DJ150" s="43" t="str">
        <f t="shared" si="108"/>
        <v/>
      </c>
      <c r="DK150" s="43" t="str">
        <f t="shared" si="109"/>
        <v/>
      </c>
      <c r="DL150" s="57"/>
      <c r="DM150" s="43" t="str">
        <f t="shared" ca="1" si="110"/>
        <v/>
      </c>
      <c r="DN150" s="43" t="str">
        <f t="shared" si="111"/>
        <v/>
      </c>
      <c r="DO150" s="43" t="str">
        <f t="shared" si="112"/>
        <v/>
      </c>
      <c r="DP150" s="57"/>
      <c r="DQ150" s="43" t="str">
        <f t="shared" ca="1" si="113"/>
        <v/>
      </c>
      <c r="DR150" s="43" t="str">
        <f t="shared" si="114"/>
        <v/>
      </c>
      <c r="DS150" s="43" t="str">
        <f t="shared" si="115"/>
        <v/>
      </c>
      <c r="DT150" s="57"/>
      <c r="DU150" s="43" t="str">
        <f t="shared" ca="1" si="116"/>
        <v/>
      </c>
      <c r="DV150" s="43" t="str">
        <f t="shared" si="117"/>
        <v/>
      </c>
      <c r="DX150" s="44">
        <v>1</v>
      </c>
      <c r="DY150" s="44" t="s">
        <v>773</v>
      </c>
      <c r="DZ150" s="43">
        <f t="shared" si="118"/>
        <v>0.01</v>
      </c>
      <c r="EA150" s="43" t="str">
        <f t="shared" si="119"/>
        <v>M</v>
      </c>
      <c r="EB150" s="43" t="str">
        <f>IF(IFERROR(INDEX(Consulta!$A:$DP,MATCH('MM01'!$B150,Consulta!$C:$C,0),'MM01'!EB$2),"")=0,"7925",IF(IFERROR(INDEX(Consulta!$A:$DP,MATCH('MM01'!$B150,Consulta!$C:$C,0),'MM01'!EB$2),"")="68","7910","7925"))</f>
        <v>7925</v>
      </c>
      <c r="EC150" s="44">
        <v>100</v>
      </c>
      <c r="ED150" s="62">
        <v>1</v>
      </c>
      <c r="EE150" s="43">
        <f t="shared" si="120"/>
        <v>100</v>
      </c>
      <c r="EF150" s="44">
        <v>1</v>
      </c>
      <c r="EG150" s="44">
        <v>0</v>
      </c>
      <c r="EH150" s="44" t="s">
        <v>875</v>
      </c>
      <c r="EI150" s="45">
        <v>0</v>
      </c>
      <c r="EJ150" s="43">
        <f t="shared" si="121"/>
        <v>5000</v>
      </c>
      <c r="EK150" s="69"/>
    </row>
    <row r="151" spans="1:141" x14ac:dyDescent="0.2">
      <c r="A151" s="7" t="str">
        <f t="shared" si="82"/>
        <v>Execução 147</v>
      </c>
      <c r="B151" s="42"/>
      <c r="C151" s="43" t="str">
        <f>IF(IFERROR(INDEX(Consulta!$A:$DP,MATCH('MM01'!$B151,Consulta!$C:$C,0),'MM01'!C$2),"")=0,"",IFERROR(INDEX(Consulta!$A:$DP,MATCH('MM01'!$B151,Consulta!$C:$C,0),'MM01'!C$2),""))</f>
        <v/>
      </c>
      <c r="D151" s="43" t="str">
        <f>IF(IFERROR(INDEX(Consulta!$A:$DP,MATCH('MM01'!$B151,Consulta!$C:$C,0),'MM01'!D$2),"")=0,"",IFERROR(INDEX(Consulta!$A:$DP,MATCH('MM01'!$B151,Consulta!$C:$C,0),'MM01'!D$2),""))</f>
        <v/>
      </c>
      <c r="E151" s="43" t="str">
        <f>IF(IFERROR(INDEX(Consulta!$A:$DP,MATCH('MM01'!$B151,Consulta!$C:$C,0),'MM01'!E$2),"")=0,"",IFERROR(INDEX(Consulta!$A:$DP,MATCH('MM01'!$B151,Consulta!$C:$C,0),'MM01'!E$2),""))</f>
        <v/>
      </c>
      <c r="F151" s="44" t="s">
        <v>100</v>
      </c>
      <c r="G151" s="49" t="str">
        <f>IF(IFERROR(INDEX(Consulta!$A:$DP,MATCH('MM01'!$B151,Consulta!$C:$C,0),'MM01'!G$2),"")=0,"",IFERROR(INDEX(Consulta!$A:$DP,MATCH('MM01'!$B151,Consulta!$C:$C,0),'MM01'!G$2),""))</f>
        <v/>
      </c>
      <c r="H151" s="49" t="str">
        <f>IF(IFERROR(INDEX(Consulta!$A:$DP,MATCH('MM01'!$B151,Consulta!$C:$C,0),'MM01'!H$2),"")=0,"",IFERROR(INDEX(Consulta!$A:$DP,MATCH('MM01'!$B151,Consulta!$C:$C,0),'MM01'!H$2),""))</f>
        <v/>
      </c>
      <c r="I151" s="49" t="str">
        <f t="shared" si="83"/>
        <v/>
      </c>
      <c r="J151" s="49" t="str">
        <f>IF(IFERROR(INDEX(Consulta!$A:$DP,MATCH('MM01'!$B151,Consulta!$C:$C,0),'MM01'!J$2),"")=0,"",IFERROR(INDEX(Consulta!$A:$DP,MATCH('MM01'!$B151,Consulta!$C:$C,0),'MM01'!J$2),""))</f>
        <v/>
      </c>
      <c r="K151" s="49" t="str">
        <f t="shared" si="84"/>
        <v/>
      </c>
      <c r="M151" s="45" t="s">
        <v>101</v>
      </c>
      <c r="N151" s="45" t="s">
        <v>102</v>
      </c>
      <c r="O151" s="45" t="s">
        <v>103</v>
      </c>
      <c r="P151" s="45" t="s">
        <v>104</v>
      </c>
      <c r="Q151" s="45" t="s">
        <v>105</v>
      </c>
      <c r="R151" s="45" t="s">
        <v>106</v>
      </c>
      <c r="S151" s="45" t="s">
        <v>107</v>
      </c>
      <c r="T151" s="45"/>
      <c r="U151" s="45"/>
      <c r="V151" s="45"/>
      <c r="W151" s="45"/>
      <c r="X151" s="45" t="s">
        <v>112</v>
      </c>
      <c r="Y151" s="45" t="s">
        <v>113</v>
      </c>
      <c r="Z151" s="45" t="s">
        <v>114</v>
      </c>
      <c r="AA151" s="45" t="s">
        <v>115</v>
      </c>
      <c r="AB151" s="45" t="s">
        <v>117</v>
      </c>
      <c r="AC151" s="45" t="s">
        <v>118</v>
      </c>
      <c r="AD151" s="45" t="s">
        <v>119</v>
      </c>
      <c r="AE151" s="45" t="s">
        <v>120</v>
      </c>
      <c r="AF151" s="45" t="s">
        <v>121</v>
      </c>
      <c r="AG151" s="45" t="s">
        <v>122</v>
      </c>
      <c r="AH151" s="45" t="s">
        <v>123</v>
      </c>
      <c r="AI151" s="45" t="s">
        <v>124</v>
      </c>
      <c r="AJ151" s="45" t="s">
        <v>125</v>
      </c>
      <c r="AK151" s="45" t="s">
        <v>126</v>
      </c>
      <c r="AL151" s="45"/>
      <c r="AM151" s="45"/>
      <c r="AO151" s="44" t="s">
        <v>100</v>
      </c>
      <c r="AP151" s="43" t="str">
        <f>IF(IFERROR(INDEX(Consulta!$A:$DP,MATCH('MM01'!$B151,Consulta!$C:$C,0),'MM01'!AP$2),"")=0,"",IFERROR(INDEX(Consulta!$A:$DP,MATCH('MM01'!$B151,Consulta!$C:$C,0),'MM01'!AP$2),""))</f>
        <v/>
      </c>
      <c r="AQ151" s="45"/>
      <c r="AR151" s="43" t="str">
        <f>IF(IFERROR(INDEX(Consulta!$A:$DP,MATCH('MM01'!$B151,Consulta!$C:$C,0),'MM01'!AR$2),"")=0,"",IFERROR(INDEX(Consulta!$A:$DP,MATCH('MM01'!$B151,Consulta!$C:$C,0),'MM01'!AR$2),""))</f>
        <v/>
      </c>
      <c r="AS151" s="43" t="str">
        <f>IF(IFERROR(INDEX(Consulta!$A:$DP,MATCH('MM01'!$B151,Consulta!$C:$C,0),'MM01'!AS$2),"")=0,"",IF(AR151="68",5102,IFERROR(INDEX(Consulta!$A:$DP,MATCH('MM01'!$B151,Consulta!$C:$C,0),'MM01'!AS$2),"")))</f>
        <v/>
      </c>
      <c r="AT151" s="45"/>
      <c r="AU151" s="46" t="str">
        <f t="shared" ca="1" si="85"/>
        <v/>
      </c>
      <c r="AV151" s="47" t="s">
        <v>795</v>
      </c>
      <c r="AW151" s="43" t="str">
        <f>IF(IFERROR(INDEX(Consulta!$A:$DP,MATCH('MM01'!$B151,Consulta!$C:$C,0),'MM01'!AW$2),"")=0,"",IFERROR(ROUND(INDEX(Consulta!$A:$DP,MATCH('MM01'!$B151,Consulta!$C:$C,0),'MM01'!AW$2),3),""))</f>
        <v/>
      </c>
      <c r="AX151" s="43" t="str">
        <f t="shared" si="86"/>
        <v/>
      </c>
      <c r="AY151" s="48" t="s">
        <v>299</v>
      </c>
      <c r="AZ151" s="48"/>
      <c r="BA151" s="43" t="str">
        <f>IF(IFERROR(INDEX(Consulta!$A:$DP,MATCH('MM01'!$B151,Consulta!$C:$C,0),'MM01'!BA$2),"")=0,"",IFERROR(INDEX(Consulta!$A:$DP,MATCH('MM01'!$B151,Consulta!$C:$C,0),'MM01'!BA$2),""))</f>
        <v/>
      </c>
      <c r="BB151" s="43" t="str">
        <f t="shared" si="87"/>
        <v/>
      </c>
      <c r="BC151" s="43" t="str">
        <f t="shared" si="88"/>
        <v/>
      </c>
      <c r="BD151" s="43" t="str">
        <f t="shared" si="89"/>
        <v/>
      </c>
      <c r="BE151" s="43" t="str">
        <f t="shared" si="90"/>
        <v>M</v>
      </c>
      <c r="BF151" s="43" t="str">
        <f t="shared" si="91"/>
        <v/>
      </c>
      <c r="BG151" s="43" t="str">
        <f t="shared" si="92"/>
        <v/>
      </c>
      <c r="BH151" s="43" t="str">
        <f t="shared" si="93"/>
        <v/>
      </c>
      <c r="BI151" s="43" t="str">
        <f t="shared" si="94"/>
        <v>M</v>
      </c>
      <c r="BK151" s="45" t="s">
        <v>324</v>
      </c>
      <c r="BL151" s="43" t="str">
        <f>IF(IFERROR(INDEX(Consulta!$A:$DP,MATCH('MM01'!$B151,Consulta!$C:$C,0),'MM01'!BL$2),"")=0,"",IFERROR(INDEX(Consulta!$A:$DP,MATCH('MM01'!$B151,Consulta!$C:$C,0),'MM01'!BL$2),""))</f>
        <v/>
      </c>
      <c r="BM151" s="45"/>
      <c r="BN151" s="46" t="str">
        <f t="shared" ca="1" si="95"/>
        <v/>
      </c>
      <c r="BO151" s="49" t="str">
        <f t="shared" si="96"/>
        <v/>
      </c>
      <c r="BP151" s="50">
        <v>1</v>
      </c>
      <c r="BQ151" s="50" t="s">
        <v>194</v>
      </c>
      <c r="BR151" s="79" t="str">
        <f t="shared" si="122"/>
        <v>01</v>
      </c>
      <c r="BS151" s="50" t="s">
        <v>795</v>
      </c>
      <c r="BT151" s="44">
        <v>1</v>
      </c>
      <c r="BU151" s="44" t="s">
        <v>371</v>
      </c>
      <c r="BV151" s="50" t="s">
        <v>197</v>
      </c>
      <c r="BW151" s="50" t="s">
        <v>197</v>
      </c>
      <c r="BX151" s="43" t="str">
        <f>IF(IFERROR(INDEX(Consulta!$A:$DP,MATCH('MM01'!$B151,Consulta!$C:$C,0),'MM01'!BX$2),"")=0,"",IFERROR(INDEX(Consulta!$A:$DP,MATCH('MM01'!$B151,Consulta!$C:$C,0),'MM01'!BX$2),""))</f>
        <v/>
      </c>
      <c r="BY151" s="44" t="s">
        <v>391</v>
      </c>
      <c r="BZ151" s="50">
        <v>0</v>
      </c>
      <c r="CA151" s="45" t="s">
        <v>402</v>
      </c>
      <c r="CB151" s="45" t="s">
        <v>84</v>
      </c>
      <c r="CC151" s="43" t="str">
        <f t="shared" si="97"/>
        <v/>
      </c>
      <c r="CD151" s="45" t="s">
        <v>38</v>
      </c>
      <c r="CE151" s="45">
        <v>1</v>
      </c>
      <c r="CF151" s="45" t="s">
        <v>495</v>
      </c>
      <c r="CG151" s="45"/>
      <c r="CH151" s="44">
        <v>2</v>
      </c>
      <c r="CI151" s="49" t="str">
        <f t="shared" si="98"/>
        <v/>
      </c>
      <c r="CJ151" s="49" t="str">
        <f t="shared" si="99"/>
        <v/>
      </c>
      <c r="CK151" s="45"/>
      <c r="CL151" s="44">
        <v>1</v>
      </c>
      <c r="CM151" s="50" t="s">
        <v>514</v>
      </c>
      <c r="CN151" s="44" t="s">
        <v>371</v>
      </c>
      <c r="CO151" s="44">
        <v>2</v>
      </c>
      <c r="CP151" s="44">
        <v>42</v>
      </c>
      <c r="CQ151" s="44">
        <v>10</v>
      </c>
      <c r="CR151" s="43" t="str">
        <f t="shared" si="100"/>
        <v>K00_P_</v>
      </c>
      <c r="CS151" s="45">
        <v>5000</v>
      </c>
      <c r="CT151" s="43" t="str">
        <f>IF(IFERROR(INDEX(Consulta!$A:$DP,MATCH('MM01'!$B151,Consulta!$C:$C,0),'MM01'!CT$2),"")=0,"",IFERROR(INDEX(Consulta!$A:$DP,MATCH('MM01'!$B151,Consulta!$C:$C,0),'MM01'!CT$2),""))</f>
        <v/>
      </c>
      <c r="CU151" s="43" t="str">
        <f>IF(IFERROR(INDEX(Consulta!$A:$DP,MATCH('MM01'!$B151,Consulta!$C:$C,0),'MM01'!CU$2),"")=0,"",IFERROR(INDEX(Consulta!$A:$DP,MATCH('MM01'!$B151,Consulta!$C:$C,0),'MM01'!CU$2),""))</f>
        <v/>
      </c>
      <c r="CV151" s="43" t="str">
        <f>IF(IFERROR(INDEX(Consulta!$A:$DP,MATCH('MM01'!$B151,Consulta!$C:$C,0),'MM01'!CV$2),"")=0,"",IFERROR(INDEX(Consulta!$A:$DP,MATCH('MM01'!$B151,Consulta!$C:$C,0),'MM01'!CV$2),""))</f>
        <v/>
      </c>
      <c r="CW151" s="43" t="str">
        <f>IF(IFERROR(INDEX(Consulta!$A:$DP,MATCH('MM01'!$B151,Consulta!$C:$C,0),'MM01'!CW$2),"")=0,"",IFERROR(INDEX(Consulta!$A:$DP,MATCH('MM01'!$B151,Consulta!$C:$C,0),'MM01'!CW$2),""))</f>
        <v/>
      </c>
      <c r="CX151" s="43" t="str">
        <f t="shared" si="101"/>
        <v/>
      </c>
      <c r="CY151" s="43" t="str">
        <f t="shared" si="102"/>
        <v/>
      </c>
      <c r="CZ151" s="43" t="str">
        <f t="shared" si="103"/>
        <v/>
      </c>
      <c r="DA151" s="43" t="str">
        <f>IF(IFERROR(INDEX(Consulta!$A:$DP,MATCH('MM01'!$B151,Consulta!$C:$C,0),'MM01'!DA$2),"")=0,"",IFERROR(INDEX(Consulta!$A:$DP,MATCH('MM01'!$B151,Consulta!$C:$C,0),'MM01'!DA$2),""))</f>
        <v/>
      </c>
      <c r="DB151" s="43" t="str">
        <f t="shared" si="104"/>
        <v/>
      </c>
      <c r="DC151" s="43" t="str">
        <f>IF(IFERROR(INDEX(Consulta!$A:$DP,MATCH('MM01'!$B151,Consulta!$C:$C,0),'MM01'!DC$2),"")=0,"",IFERROR(INDEX(Consulta!$A:$DP,MATCH('MM01'!$B151,Consulta!$C:$C,0),'MM01'!DC$2),""))</f>
        <v/>
      </c>
      <c r="DD151" s="45">
        <v>0</v>
      </c>
      <c r="DE151" s="45">
        <v>0</v>
      </c>
      <c r="DF151" s="43" t="str">
        <f t="shared" si="105"/>
        <v/>
      </c>
      <c r="DG151" s="43" t="str">
        <f t="shared" si="106"/>
        <v/>
      </c>
      <c r="DH151" s="57"/>
      <c r="DI151" s="43" t="str">
        <f t="shared" ca="1" si="107"/>
        <v/>
      </c>
      <c r="DJ151" s="43" t="str">
        <f t="shared" si="108"/>
        <v/>
      </c>
      <c r="DK151" s="43" t="str">
        <f t="shared" si="109"/>
        <v/>
      </c>
      <c r="DL151" s="57"/>
      <c r="DM151" s="43" t="str">
        <f t="shared" ca="1" si="110"/>
        <v/>
      </c>
      <c r="DN151" s="43" t="str">
        <f t="shared" si="111"/>
        <v/>
      </c>
      <c r="DO151" s="43" t="str">
        <f t="shared" si="112"/>
        <v/>
      </c>
      <c r="DP151" s="57"/>
      <c r="DQ151" s="43" t="str">
        <f t="shared" ca="1" si="113"/>
        <v/>
      </c>
      <c r="DR151" s="43" t="str">
        <f t="shared" si="114"/>
        <v/>
      </c>
      <c r="DS151" s="43" t="str">
        <f t="shared" si="115"/>
        <v/>
      </c>
      <c r="DT151" s="57"/>
      <c r="DU151" s="43" t="str">
        <f t="shared" ca="1" si="116"/>
        <v/>
      </c>
      <c r="DV151" s="43" t="str">
        <f t="shared" si="117"/>
        <v/>
      </c>
      <c r="DX151" s="44">
        <v>1</v>
      </c>
      <c r="DY151" s="44" t="s">
        <v>773</v>
      </c>
      <c r="DZ151" s="43">
        <f t="shared" si="118"/>
        <v>0.01</v>
      </c>
      <c r="EA151" s="43" t="str">
        <f t="shared" si="119"/>
        <v>M</v>
      </c>
      <c r="EB151" s="43" t="str">
        <f>IF(IFERROR(INDEX(Consulta!$A:$DP,MATCH('MM01'!$B151,Consulta!$C:$C,0),'MM01'!EB$2),"")=0,"7925",IF(IFERROR(INDEX(Consulta!$A:$DP,MATCH('MM01'!$B151,Consulta!$C:$C,0),'MM01'!EB$2),"")="68","7910","7925"))</f>
        <v>7925</v>
      </c>
      <c r="EC151" s="44">
        <v>100</v>
      </c>
      <c r="ED151" s="62">
        <v>1</v>
      </c>
      <c r="EE151" s="43">
        <f t="shared" si="120"/>
        <v>100</v>
      </c>
      <c r="EF151" s="44">
        <v>1</v>
      </c>
      <c r="EG151" s="44">
        <v>0</v>
      </c>
      <c r="EH151" s="44" t="s">
        <v>875</v>
      </c>
      <c r="EI151" s="45">
        <v>0</v>
      </c>
      <c r="EJ151" s="43">
        <f t="shared" si="121"/>
        <v>5000</v>
      </c>
      <c r="EK151" s="69"/>
    </row>
    <row r="152" spans="1:141" x14ac:dyDescent="0.2">
      <c r="A152" s="7" t="str">
        <f t="shared" si="82"/>
        <v>Execução 148</v>
      </c>
      <c r="B152" s="42"/>
      <c r="C152" s="43" t="str">
        <f>IF(IFERROR(INDEX(Consulta!$A:$DP,MATCH('MM01'!$B152,Consulta!$C:$C,0),'MM01'!C$2),"")=0,"",IFERROR(INDEX(Consulta!$A:$DP,MATCH('MM01'!$B152,Consulta!$C:$C,0),'MM01'!C$2),""))</f>
        <v/>
      </c>
      <c r="D152" s="43" t="str">
        <f>IF(IFERROR(INDEX(Consulta!$A:$DP,MATCH('MM01'!$B152,Consulta!$C:$C,0),'MM01'!D$2),"")=0,"",IFERROR(INDEX(Consulta!$A:$DP,MATCH('MM01'!$B152,Consulta!$C:$C,0),'MM01'!D$2),""))</f>
        <v/>
      </c>
      <c r="E152" s="43" t="str">
        <f>IF(IFERROR(INDEX(Consulta!$A:$DP,MATCH('MM01'!$B152,Consulta!$C:$C,0),'MM01'!E$2),"")=0,"",IFERROR(INDEX(Consulta!$A:$DP,MATCH('MM01'!$B152,Consulta!$C:$C,0),'MM01'!E$2),""))</f>
        <v/>
      </c>
      <c r="F152" s="44" t="s">
        <v>100</v>
      </c>
      <c r="G152" s="49" t="str">
        <f>IF(IFERROR(INDEX(Consulta!$A:$DP,MATCH('MM01'!$B152,Consulta!$C:$C,0),'MM01'!G$2),"")=0,"",IFERROR(INDEX(Consulta!$A:$DP,MATCH('MM01'!$B152,Consulta!$C:$C,0),'MM01'!G$2),""))</f>
        <v/>
      </c>
      <c r="H152" s="49" t="str">
        <f>IF(IFERROR(INDEX(Consulta!$A:$DP,MATCH('MM01'!$B152,Consulta!$C:$C,0),'MM01'!H$2),"")=0,"",IFERROR(INDEX(Consulta!$A:$DP,MATCH('MM01'!$B152,Consulta!$C:$C,0),'MM01'!H$2),""))</f>
        <v/>
      </c>
      <c r="I152" s="49" t="str">
        <f t="shared" si="83"/>
        <v/>
      </c>
      <c r="J152" s="49" t="str">
        <f>IF(IFERROR(INDEX(Consulta!$A:$DP,MATCH('MM01'!$B152,Consulta!$C:$C,0),'MM01'!J$2),"")=0,"",IFERROR(INDEX(Consulta!$A:$DP,MATCH('MM01'!$B152,Consulta!$C:$C,0),'MM01'!J$2),""))</f>
        <v/>
      </c>
      <c r="K152" s="49" t="str">
        <f t="shared" si="84"/>
        <v/>
      </c>
      <c r="M152" s="45" t="s">
        <v>101</v>
      </c>
      <c r="N152" s="45" t="s">
        <v>102</v>
      </c>
      <c r="O152" s="45" t="s">
        <v>103</v>
      </c>
      <c r="P152" s="45" t="s">
        <v>104</v>
      </c>
      <c r="Q152" s="45" t="s">
        <v>105</v>
      </c>
      <c r="R152" s="45" t="s">
        <v>106</v>
      </c>
      <c r="S152" s="45" t="s">
        <v>107</v>
      </c>
      <c r="T152" s="45"/>
      <c r="U152" s="45"/>
      <c r="V152" s="45"/>
      <c r="W152" s="45"/>
      <c r="X152" s="45" t="s">
        <v>112</v>
      </c>
      <c r="Y152" s="45" t="s">
        <v>113</v>
      </c>
      <c r="Z152" s="45" t="s">
        <v>114</v>
      </c>
      <c r="AA152" s="45" t="s">
        <v>115</v>
      </c>
      <c r="AB152" s="45" t="s">
        <v>117</v>
      </c>
      <c r="AC152" s="45" t="s">
        <v>118</v>
      </c>
      <c r="AD152" s="45" t="s">
        <v>119</v>
      </c>
      <c r="AE152" s="45" t="s">
        <v>120</v>
      </c>
      <c r="AF152" s="45" t="s">
        <v>121</v>
      </c>
      <c r="AG152" s="45" t="s">
        <v>122</v>
      </c>
      <c r="AH152" s="45" t="s">
        <v>123</v>
      </c>
      <c r="AI152" s="45" t="s">
        <v>124</v>
      </c>
      <c r="AJ152" s="45" t="s">
        <v>125</v>
      </c>
      <c r="AK152" s="45" t="s">
        <v>126</v>
      </c>
      <c r="AL152" s="45"/>
      <c r="AM152" s="45"/>
      <c r="AO152" s="44" t="s">
        <v>100</v>
      </c>
      <c r="AP152" s="43" t="str">
        <f>IF(IFERROR(INDEX(Consulta!$A:$DP,MATCH('MM01'!$B152,Consulta!$C:$C,0),'MM01'!AP$2),"")=0,"",IFERROR(INDEX(Consulta!$A:$DP,MATCH('MM01'!$B152,Consulta!$C:$C,0),'MM01'!AP$2),""))</f>
        <v/>
      </c>
      <c r="AQ152" s="45"/>
      <c r="AR152" s="43" t="str">
        <f>IF(IFERROR(INDEX(Consulta!$A:$DP,MATCH('MM01'!$B152,Consulta!$C:$C,0),'MM01'!AR$2),"")=0,"",IFERROR(INDEX(Consulta!$A:$DP,MATCH('MM01'!$B152,Consulta!$C:$C,0),'MM01'!AR$2),""))</f>
        <v/>
      </c>
      <c r="AS152" s="43" t="str">
        <f>IF(IFERROR(INDEX(Consulta!$A:$DP,MATCH('MM01'!$B152,Consulta!$C:$C,0),'MM01'!AS$2),"")=0,"",IF(AR152="68",5102,IFERROR(INDEX(Consulta!$A:$DP,MATCH('MM01'!$B152,Consulta!$C:$C,0),'MM01'!AS$2),"")))</f>
        <v/>
      </c>
      <c r="AT152" s="45"/>
      <c r="AU152" s="46" t="str">
        <f t="shared" ca="1" si="85"/>
        <v/>
      </c>
      <c r="AV152" s="47" t="s">
        <v>795</v>
      </c>
      <c r="AW152" s="43" t="str">
        <f>IF(IFERROR(INDEX(Consulta!$A:$DP,MATCH('MM01'!$B152,Consulta!$C:$C,0),'MM01'!AW$2),"")=0,"",IFERROR(ROUND(INDEX(Consulta!$A:$DP,MATCH('MM01'!$B152,Consulta!$C:$C,0),'MM01'!AW$2),3),""))</f>
        <v/>
      </c>
      <c r="AX152" s="43" t="str">
        <f t="shared" si="86"/>
        <v/>
      </c>
      <c r="AY152" s="48" t="s">
        <v>299</v>
      </c>
      <c r="AZ152" s="48"/>
      <c r="BA152" s="43" t="str">
        <f>IF(IFERROR(INDEX(Consulta!$A:$DP,MATCH('MM01'!$B152,Consulta!$C:$C,0),'MM01'!BA$2),"")=0,"",IFERROR(INDEX(Consulta!$A:$DP,MATCH('MM01'!$B152,Consulta!$C:$C,0),'MM01'!BA$2),""))</f>
        <v/>
      </c>
      <c r="BB152" s="43" t="str">
        <f t="shared" si="87"/>
        <v/>
      </c>
      <c r="BC152" s="43" t="str">
        <f t="shared" si="88"/>
        <v/>
      </c>
      <c r="BD152" s="43" t="str">
        <f t="shared" si="89"/>
        <v/>
      </c>
      <c r="BE152" s="43" t="str">
        <f t="shared" si="90"/>
        <v>M</v>
      </c>
      <c r="BF152" s="43" t="str">
        <f t="shared" si="91"/>
        <v/>
      </c>
      <c r="BG152" s="43" t="str">
        <f t="shared" si="92"/>
        <v/>
      </c>
      <c r="BH152" s="43" t="str">
        <f t="shared" si="93"/>
        <v/>
      </c>
      <c r="BI152" s="43" t="str">
        <f t="shared" si="94"/>
        <v>M</v>
      </c>
      <c r="BK152" s="45" t="s">
        <v>324</v>
      </c>
      <c r="BL152" s="43" t="str">
        <f>IF(IFERROR(INDEX(Consulta!$A:$DP,MATCH('MM01'!$B152,Consulta!$C:$C,0),'MM01'!BL$2),"")=0,"",IFERROR(INDEX(Consulta!$A:$DP,MATCH('MM01'!$B152,Consulta!$C:$C,0),'MM01'!BL$2),""))</f>
        <v/>
      </c>
      <c r="BM152" s="45"/>
      <c r="BN152" s="46" t="str">
        <f t="shared" ca="1" si="95"/>
        <v/>
      </c>
      <c r="BO152" s="49" t="str">
        <f t="shared" si="96"/>
        <v/>
      </c>
      <c r="BP152" s="50">
        <v>1</v>
      </c>
      <c r="BQ152" s="50" t="s">
        <v>194</v>
      </c>
      <c r="BR152" s="79" t="str">
        <f t="shared" si="122"/>
        <v>01</v>
      </c>
      <c r="BS152" s="50" t="s">
        <v>795</v>
      </c>
      <c r="BT152" s="44">
        <v>1</v>
      </c>
      <c r="BU152" s="44" t="s">
        <v>371</v>
      </c>
      <c r="BV152" s="50" t="s">
        <v>197</v>
      </c>
      <c r="BW152" s="50" t="s">
        <v>197</v>
      </c>
      <c r="BX152" s="43" t="str">
        <f>IF(IFERROR(INDEX(Consulta!$A:$DP,MATCH('MM01'!$B152,Consulta!$C:$C,0),'MM01'!BX$2),"")=0,"",IFERROR(INDEX(Consulta!$A:$DP,MATCH('MM01'!$B152,Consulta!$C:$C,0),'MM01'!BX$2),""))</f>
        <v/>
      </c>
      <c r="BY152" s="44" t="s">
        <v>391</v>
      </c>
      <c r="BZ152" s="50">
        <v>0</v>
      </c>
      <c r="CA152" s="45" t="s">
        <v>402</v>
      </c>
      <c r="CB152" s="45" t="s">
        <v>84</v>
      </c>
      <c r="CC152" s="43" t="str">
        <f t="shared" si="97"/>
        <v/>
      </c>
      <c r="CD152" s="45" t="s">
        <v>38</v>
      </c>
      <c r="CE152" s="45">
        <v>1</v>
      </c>
      <c r="CF152" s="45" t="s">
        <v>495</v>
      </c>
      <c r="CG152" s="45"/>
      <c r="CH152" s="44">
        <v>2</v>
      </c>
      <c r="CI152" s="49" t="str">
        <f t="shared" si="98"/>
        <v/>
      </c>
      <c r="CJ152" s="49" t="str">
        <f t="shared" si="99"/>
        <v/>
      </c>
      <c r="CK152" s="45"/>
      <c r="CL152" s="44">
        <v>1</v>
      </c>
      <c r="CM152" s="50" t="s">
        <v>514</v>
      </c>
      <c r="CN152" s="44" t="s">
        <v>371</v>
      </c>
      <c r="CO152" s="44">
        <v>2</v>
      </c>
      <c r="CP152" s="44">
        <v>42</v>
      </c>
      <c r="CQ152" s="44">
        <v>10</v>
      </c>
      <c r="CR152" s="43" t="str">
        <f t="shared" si="100"/>
        <v>K00_P_</v>
      </c>
      <c r="CS152" s="45">
        <v>5000</v>
      </c>
      <c r="CT152" s="43" t="str">
        <f>IF(IFERROR(INDEX(Consulta!$A:$DP,MATCH('MM01'!$B152,Consulta!$C:$C,0),'MM01'!CT$2),"")=0,"",IFERROR(INDEX(Consulta!$A:$DP,MATCH('MM01'!$B152,Consulta!$C:$C,0),'MM01'!CT$2),""))</f>
        <v/>
      </c>
      <c r="CU152" s="43" t="str">
        <f>IF(IFERROR(INDEX(Consulta!$A:$DP,MATCH('MM01'!$B152,Consulta!$C:$C,0),'MM01'!CU$2),"")=0,"",IFERROR(INDEX(Consulta!$A:$DP,MATCH('MM01'!$B152,Consulta!$C:$C,0),'MM01'!CU$2),""))</f>
        <v/>
      </c>
      <c r="CV152" s="43" t="str">
        <f>IF(IFERROR(INDEX(Consulta!$A:$DP,MATCH('MM01'!$B152,Consulta!$C:$C,0),'MM01'!CV$2),"")=0,"",IFERROR(INDEX(Consulta!$A:$DP,MATCH('MM01'!$B152,Consulta!$C:$C,0),'MM01'!CV$2),""))</f>
        <v/>
      </c>
      <c r="CW152" s="43" t="str">
        <f>IF(IFERROR(INDEX(Consulta!$A:$DP,MATCH('MM01'!$B152,Consulta!$C:$C,0),'MM01'!CW$2),"")=0,"",IFERROR(INDEX(Consulta!$A:$DP,MATCH('MM01'!$B152,Consulta!$C:$C,0),'MM01'!CW$2),""))</f>
        <v/>
      </c>
      <c r="CX152" s="43" t="str">
        <f t="shared" si="101"/>
        <v/>
      </c>
      <c r="CY152" s="43" t="str">
        <f t="shared" si="102"/>
        <v/>
      </c>
      <c r="CZ152" s="43" t="str">
        <f t="shared" si="103"/>
        <v/>
      </c>
      <c r="DA152" s="43" t="str">
        <f>IF(IFERROR(INDEX(Consulta!$A:$DP,MATCH('MM01'!$B152,Consulta!$C:$C,0),'MM01'!DA$2),"")=0,"",IFERROR(INDEX(Consulta!$A:$DP,MATCH('MM01'!$B152,Consulta!$C:$C,0),'MM01'!DA$2),""))</f>
        <v/>
      </c>
      <c r="DB152" s="43" t="str">
        <f t="shared" si="104"/>
        <v/>
      </c>
      <c r="DC152" s="43" t="str">
        <f>IF(IFERROR(INDEX(Consulta!$A:$DP,MATCH('MM01'!$B152,Consulta!$C:$C,0),'MM01'!DC$2),"")=0,"",IFERROR(INDEX(Consulta!$A:$DP,MATCH('MM01'!$B152,Consulta!$C:$C,0),'MM01'!DC$2),""))</f>
        <v/>
      </c>
      <c r="DD152" s="45">
        <v>0</v>
      </c>
      <c r="DE152" s="45">
        <v>0</v>
      </c>
      <c r="DF152" s="43" t="str">
        <f t="shared" si="105"/>
        <v/>
      </c>
      <c r="DG152" s="43" t="str">
        <f t="shared" si="106"/>
        <v/>
      </c>
      <c r="DH152" s="57"/>
      <c r="DI152" s="43" t="str">
        <f t="shared" ca="1" si="107"/>
        <v/>
      </c>
      <c r="DJ152" s="43" t="str">
        <f t="shared" si="108"/>
        <v/>
      </c>
      <c r="DK152" s="43" t="str">
        <f t="shared" si="109"/>
        <v/>
      </c>
      <c r="DL152" s="57"/>
      <c r="DM152" s="43" t="str">
        <f t="shared" ca="1" si="110"/>
        <v/>
      </c>
      <c r="DN152" s="43" t="str">
        <f t="shared" si="111"/>
        <v/>
      </c>
      <c r="DO152" s="43" t="str">
        <f t="shared" si="112"/>
        <v/>
      </c>
      <c r="DP152" s="57"/>
      <c r="DQ152" s="43" t="str">
        <f t="shared" ca="1" si="113"/>
        <v/>
      </c>
      <c r="DR152" s="43" t="str">
        <f t="shared" si="114"/>
        <v/>
      </c>
      <c r="DS152" s="43" t="str">
        <f t="shared" si="115"/>
        <v/>
      </c>
      <c r="DT152" s="57"/>
      <c r="DU152" s="43" t="str">
        <f t="shared" ca="1" si="116"/>
        <v/>
      </c>
      <c r="DV152" s="43" t="str">
        <f t="shared" si="117"/>
        <v/>
      </c>
      <c r="DX152" s="44">
        <v>1</v>
      </c>
      <c r="DY152" s="44" t="s">
        <v>773</v>
      </c>
      <c r="DZ152" s="43">
        <f t="shared" si="118"/>
        <v>0.01</v>
      </c>
      <c r="EA152" s="43" t="str">
        <f t="shared" si="119"/>
        <v>M</v>
      </c>
      <c r="EB152" s="43" t="str">
        <f>IF(IFERROR(INDEX(Consulta!$A:$DP,MATCH('MM01'!$B152,Consulta!$C:$C,0),'MM01'!EB$2),"")=0,"7925",IF(IFERROR(INDEX(Consulta!$A:$DP,MATCH('MM01'!$B152,Consulta!$C:$C,0),'MM01'!EB$2),"")="68","7910","7925"))</f>
        <v>7925</v>
      </c>
      <c r="EC152" s="44">
        <v>100</v>
      </c>
      <c r="ED152" s="62">
        <v>1</v>
      </c>
      <c r="EE152" s="43">
        <f t="shared" si="120"/>
        <v>100</v>
      </c>
      <c r="EF152" s="44">
        <v>1</v>
      </c>
      <c r="EG152" s="44">
        <v>0</v>
      </c>
      <c r="EH152" s="44" t="s">
        <v>875</v>
      </c>
      <c r="EI152" s="45">
        <v>0</v>
      </c>
      <c r="EJ152" s="43">
        <f t="shared" si="121"/>
        <v>5000</v>
      </c>
      <c r="EK152" s="69"/>
    </row>
    <row r="153" spans="1:141" x14ac:dyDescent="0.2">
      <c r="A153" s="7" t="str">
        <f t="shared" si="82"/>
        <v>Execução 149</v>
      </c>
      <c r="B153" s="42"/>
      <c r="C153" s="43" t="str">
        <f>IF(IFERROR(INDEX(Consulta!$A:$DP,MATCH('MM01'!$B153,Consulta!$C:$C,0),'MM01'!C$2),"")=0,"",IFERROR(INDEX(Consulta!$A:$DP,MATCH('MM01'!$B153,Consulta!$C:$C,0),'MM01'!C$2),""))</f>
        <v/>
      </c>
      <c r="D153" s="43" t="str">
        <f>IF(IFERROR(INDEX(Consulta!$A:$DP,MATCH('MM01'!$B153,Consulta!$C:$C,0),'MM01'!D$2),"")=0,"",IFERROR(INDEX(Consulta!$A:$DP,MATCH('MM01'!$B153,Consulta!$C:$C,0),'MM01'!D$2),""))</f>
        <v/>
      </c>
      <c r="E153" s="43" t="str">
        <f>IF(IFERROR(INDEX(Consulta!$A:$DP,MATCH('MM01'!$B153,Consulta!$C:$C,0),'MM01'!E$2),"")=0,"",IFERROR(INDEX(Consulta!$A:$DP,MATCH('MM01'!$B153,Consulta!$C:$C,0),'MM01'!E$2),""))</f>
        <v/>
      </c>
      <c r="F153" s="44" t="s">
        <v>100</v>
      </c>
      <c r="G153" s="49" t="str">
        <f>IF(IFERROR(INDEX(Consulta!$A:$DP,MATCH('MM01'!$B153,Consulta!$C:$C,0),'MM01'!G$2),"")=0,"",IFERROR(INDEX(Consulta!$A:$DP,MATCH('MM01'!$B153,Consulta!$C:$C,0),'MM01'!G$2),""))</f>
        <v/>
      </c>
      <c r="H153" s="49" t="str">
        <f>IF(IFERROR(INDEX(Consulta!$A:$DP,MATCH('MM01'!$B153,Consulta!$C:$C,0),'MM01'!H$2),"")=0,"",IFERROR(INDEX(Consulta!$A:$DP,MATCH('MM01'!$B153,Consulta!$C:$C,0),'MM01'!H$2),""))</f>
        <v/>
      </c>
      <c r="I153" s="49" t="str">
        <f t="shared" si="83"/>
        <v/>
      </c>
      <c r="J153" s="49" t="str">
        <f>IF(IFERROR(INDEX(Consulta!$A:$DP,MATCH('MM01'!$B153,Consulta!$C:$C,0),'MM01'!J$2),"")=0,"",IFERROR(INDEX(Consulta!$A:$DP,MATCH('MM01'!$B153,Consulta!$C:$C,0),'MM01'!J$2),""))</f>
        <v/>
      </c>
      <c r="K153" s="49" t="str">
        <f t="shared" si="84"/>
        <v/>
      </c>
      <c r="M153" s="45" t="s">
        <v>101</v>
      </c>
      <c r="N153" s="45" t="s">
        <v>102</v>
      </c>
      <c r="O153" s="45" t="s">
        <v>103</v>
      </c>
      <c r="P153" s="45" t="s">
        <v>104</v>
      </c>
      <c r="Q153" s="45" t="s">
        <v>105</v>
      </c>
      <c r="R153" s="45" t="s">
        <v>106</v>
      </c>
      <c r="S153" s="45" t="s">
        <v>107</v>
      </c>
      <c r="T153" s="45"/>
      <c r="U153" s="45"/>
      <c r="V153" s="45"/>
      <c r="W153" s="45"/>
      <c r="X153" s="45" t="s">
        <v>112</v>
      </c>
      <c r="Y153" s="45" t="s">
        <v>113</v>
      </c>
      <c r="Z153" s="45" t="s">
        <v>114</v>
      </c>
      <c r="AA153" s="45" t="s">
        <v>115</v>
      </c>
      <c r="AB153" s="45" t="s">
        <v>117</v>
      </c>
      <c r="AC153" s="45" t="s">
        <v>118</v>
      </c>
      <c r="AD153" s="45" t="s">
        <v>119</v>
      </c>
      <c r="AE153" s="45" t="s">
        <v>120</v>
      </c>
      <c r="AF153" s="45" t="s">
        <v>121</v>
      </c>
      <c r="AG153" s="45" t="s">
        <v>122</v>
      </c>
      <c r="AH153" s="45" t="s">
        <v>123</v>
      </c>
      <c r="AI153" s="45" t="s">
        <v>124</v>
      </c>
      <c r="AJ153" s="45" t="s">
        <v>125</v>
      </c>
      <c r="AK153" s="45" t="s">
        <v>126</v>
      </c>
      <c r="AL153" s="45"/>
      <c r="AM153" s="45"/>
      <c r="AO153" s="44" t="s">
        <v>100</v>
      </c>
      <c r="AP153" s="43" t="str">
        <f>IF(IFERROR(INDEX(Consulta!$A:$DP,MATCH('MM01'!$B153,Consulta!$C:$C,0),'MM01'!AP$2),"")=0,"",IFERROR(INDEX(Consulta!$A:$DP,MATCH('MM01'!$B153,Consulta!$C:$C,0),'MM01'!AP$2),""))</f>
        <v/>
      </c>
      <c r="AQ153" s="45"/>
      <c r="AR153" s="43" t="str">
        <f>IF(IFERROR(INDEX(Consulta!$A:$DP,MATCH('MM01'!$B153,Consulta!$C:$C,0),'MM01'!AR$2),"")=0,"",IFERROR(INDEX(Consulta!$A:$DP,MATCH('MM01'!$B153,Consulta!$C:$C,0),'MM01'!AR$2),""))</f>
        <v/>
      </c>
      <c r="AS153" s="43" t="str">
        <f>IF(IFERROR(INDEX(Consulta!$A:$DP,MATCH('MM01'!$B153,Consulta!$C:$C,0),'MM01'!AS$2),"")=0,"",IF(AR153="68",5102,IFERROR(INDEX(Consulta!$A:$DP,MATCH('MM01'!$B153,Consulta!$C:$C,0),'MM01'!AS$2),"")))</f>
        <v/>
      </c>
      <c r="AT153" s="45"/>
      <c r="AU153" s="46" t="str">
        <f t="shared" ca="1" si="85"/>
        <v/>
      </c>
      <c r="AV153" s="47" t="s">
        <v>795</v>
      </c>
      <c r="AW153" s="43" t="str">
        <f>IF(IFERROR(INDEX(Consulta!$A:$DP,MATCH('MM01'!$B153,Consulta!$C:$C,0),'MM01'!AW$2),"")=0,"",IFERROR(ROUND(INDEX(Consulta!$A:$DP,MATCH('MM01'!$B153,Consulta!$C:$C,0),'MM01'!AW$2),3),""))</f>
        <v/>
      </c>
      <c r="AX153" s="43" t="str">
        <f t="shared" si="86"/>
        <v/>
      </c>
      <c r="AY153" s="48" t="s">
        <v>299</v>
      </c>
      <c r="AZ153" s="48"/>
      <c r="BA153" s="43" t="str">
        <f>IF(IFERROR(INDEX(Consulta!$A:$DP,MATCH('MM01'!$B153,Consulta!$C:$C,0),'MM01'!BA$2),"")=0,"",IFERROR(INDEX(Consulta!$A:$DP,MATCH('MM01'!$B153,Consulta!$C:$C,0),'MM01'!BA$2),""))</f>
        <v/>
      </c>
      <c r="BB153" s="43" t="str">
        <f t="shared" si="87"/>
        <v/>
      </c>
      <c r="BC153" s="43" t="str">
        <f t="shared" si="88"/>
        <v/>
      </c>
      <c r="BD153" s="43" t="str">
        <f t="shared" si="89"/>
        <v/>
      </c>
      <c r="BE153" s="43" t="str">
        <f t="shared" si="90"/>
        <v>M</v>
      </c>
      <c r="BF153" s="43" t="str">
        <f t="shared" si="91"/>
        <v/>
      </c>
      <c r="BG153" s="43" t="str">
        <f t="shared" si="92"/>
        <v/>
      </c>
      <c r="BH153" s="43" t="str">
        <f t="shared" si="93"/>
        <v/>
      </c>
      <c r="BI153" s="43" t="str">
        <f t="shared" si="94"/>
        <v>M</v>
      </c>
      <c r="BK153" s="45" t="s">
        <v>324</v>
      </c>
      <c r="BL153" s="43" t="str">
        <f>IF(IFERROR(INDEX(Consulta!$A:$DP,MATCH('MM01'!$B153,Consulta!$C:$C,0),'MM01'!BL$2),"")=0,"",IFERROR(INDEX(Consulta!$A:$DP,MATCH('MM01'!$B153,Consulta!$C:$C,0),'MM01'!BL$2),""))</f>
        <v/>
      </c>
      <c r="BM153" s="45"/>
      <c r="BN153" s="46" t="str">
        <f t="shared" ca="1" si="95"/>
        <v/>
      </c>
      <c r="BO153" s="49" t="str">
        <f t="shared" si="96"/>
        <v/>
      </c>
      <c r="BP153" s="50">
        <v>1</v>
      </c>
      <c r="BQ153" s="50" t="s">
        <v>194</v>
      </c>
      <c r="BR153" s="79" t="str">
        <f t="shared" si="122"/>
        <v>01</v>
      </c>
      <c r="BS153" s="50" t="s">
        <v>795</v>
      </c>
      <c r="BT153" s="44">
        <v>1</v>
      </c>
      <c r="BU153" s="44" t="s">
        <v>371</v>
      </c>
      <c r="BV153" s="50" t="s">
        <v>197</v>
      </c>
      <c r="BW153" s="50" t="s">
        <v>197</v>
      </c>
      <c r="BX153" s="43" t="str">
        <f>IF(IFERROR(INDEX(Consulta!$A:$DP,MATCH('MM01'!$B153,Consulta!$C:$C,0),'MM01'!BX$2),"")=0,"",IFERROR(INDEX(Consulta!$A:$DP,MATCH('MM01'!$B153,Consulta!$C:$C,0),'MM01'!BX$2),""))</f>
        <v/>
      </c>
      <c r="BY153" s="44" t="s">
        <v>391</v>
      </c>
      <c r="BZ153" s="50">
        <v>0</v>
      </c>
      <c r="CA153" s="45" t="s">
        <v>402</v>
      </c>
      <c r="CB153" s="45" t="s">
        <v>84</v>
      </c>
      <c r="CC153" s="43" t="str">
        <f t="shared" si="97"/>
        <v/>
      </c>
      <c r="CD153" s="45" t="s">
        <v>38</v>
      </c>
      <c r="CE153" s="45">
        <v>1</v>
      </c>
      <c r="CF153" s="45" t="s">
        <v>495</v>
      </c>
      <c r="CG153" s="45"/>
      <c r="CH153" s="44">
        <v>2</v>
      </c>
      <c r="CI153" s="49" t="str">
        <f t="shared" si="98"/>
        <v/>
      </c>
      <c r="CJ153" s="49" t="str">
        <f t="shared" si="99"/>
        <v/>
      </c>
      <c r="CK153" s="45"/>
      <c r="CL153" s="44">
        <v>1</v>
      </c>
      <c r="CM153" s="50" t="s">
        <v>514</v>
      </c>
      <c r="CN153" s="44" t="s">
        <v>371</v>
      </c>
      <c r="CO153" s="44">
        <v>2</v>
      </c>
      <c r="CP153" s="44">
        <v>42</v>
      </c>
      <c r="CQ153" s="44">
        <v>10</v>
      </c>
      <c r="CR153" s="43" t="str">
        <f t="shared" si="100"/>
        <v>K00_P_</v>
      </c>
      <c r="CS153" s="45">
        <v>5000</v>
      </c>
      <c r="CT153" s="43" t="str">
        <f>IF(IFERROR(INDEX(Consulta!$A:$DP,MATCH('MM01'!$B153,Consulta!$C:$C,0),'MM01'!CT$2),"")=0,"",IFERROR(INDEX(Consulta!$A:$DP,MATCH('MM01'!$B153,Consulta!$C:$C,0),'MM01'!CT$2),""))</f>
        <v/>
      </c>
      <c r="CU153" s="43" t="str">
        <f>IF(IFERROR(INDEX(Consulta!$A:$DP,MATCH('MM01'!$B153,Consulta!$C:$C,0),'MM01'!CU$2),"")=0,"",IFERROR(INDEX(Consulta!$A:$DP,MATCH('MM01'!$B153,Consulta!$C:$C,0),'MM01'!CU$2),""))</f>
        <v/>
      </c>
      <c r="CV153" s="43" t="str">
        <f>IF(IFERROR(INDEX(Consulta!$A:$DP,MATCH('MM01'!$B153,Consulta!$C:$C,0),'MM01'!CV$2),"")=0,"",IFERROR(INDEX(Consulta!$A:$DP,MATCH('MM01'!$B153,Consulta!$C:$C,0),'MM01'!CV$2),""))</f>
        <v/>
      </c>
      <c r="CW153" s="43" t="str">
        <f>IF(IFERROR(INDEX(Consulta!$A:$DP,MATCH('MM01'!$B153,Consulta!$C:$C,0),'MM01'!CW$2),"")=0,"",IFERROR(INDEX(Consulta!$A:$DP,MATCH('MM01'!$B153,Consulta!$C:$C,0),'MM01'!CW$2),""))</f>
        <v/>
      </c>
      <c r="CX153" s="43" t="str">
        <f t="shared" si="101"/>
        <v/>
      </c>
      <c r="CY153" s="43" t="str">
        <f t="shared" si="102"/>
        <v/>
      </c>
      <c r="CZ153" s="43" t="str">
        <f t="shared" si="103"/>
        <v/>
      </c>
      <c r="DA153" s="43" t="str">
        <f>IF(IFERROR(INDEX(Consulta!$A:$DP,MATCH('MM01'!$B153,Consulta!$C:$C,0),'MM01'!DA$2),"")=0,"",IFERROR(INDEX(Consulta!$A:$DP,MATCH('MM01'!$B153,Consulta!$C:$C,0),'MM01'!DA$2),""))</f>
        <v/>
      </c>
      <c r="DB153" s="43" t="str">
        <f t="shared" si="104"/>
        <v/>
      </c>
      <c r="DC153" s="43" t="str">
        <f>IF(IFERROR(INDEX(Consulta!$A:$DP,MATCH('MM01'!$B153,Consulta!$C:$C,0),'MM01'!DC$2),"")=0,"",IFERROR(INDEX(Consulta!$A:$DP,MATCH('MM01'!$B153,Consulta!$C:$C,0),'MM01'!DC$2),""))</f>
        <v/>
      </c>
      <c r="DD153" s="45">
        <v>0</v>
      </c>
      <c r="DE153" s="45">
        <v>0</v>
      </c>
      <c r="DF153" s="43" t="str">
        <f t="shared" si="105"/>
        <v/>
      </c>
      <c r="DG153" s="43" t="str">
        <f t="shared" si="106"/>
        <v/>
      </c>
      <c r="DH153" s="57"/>
      <c r="DI153" s="43" t="str">
        <f t="shared" ca="1" si="107"/>
        <v/>
      </c>
      <c r="DJ153" s="43" t="str">
        <f t="shared" si="108"/>
        <v/>
      </c>
      <c r="DK153" s="43" t="str">
        <f t="shared" si="109"/>
        <v/>
      </c>
      <c r="DL153" s="57"/>
      <c r="DM153" s="43" t="str">
        <f t="shared" ca="1" si="110"/>
        <v/>
      </c>
      <c r="DN153" s="43" t="str">
        <f t="shared" si="111"/>
        <v/>
      </c>
      <c r="DO153" s="43" t="str">
        <f t="shared" si="112"/>
        <v/>
      </c>
      <c r="DP153" s="57"/>
      <c r="DQ153" s="43" t="str">
        <f t="shared" ca="1" si="113"/>
        <v/>
      </c>
      <c r="DR153" s="43" t="str">
        <f t="shared" si="114"/>
        <v/>
      </c>
      <c r="DS153" s="43" t="str">
        <f t="shared" si="115"/>
        <v/>
      </c>
      <c r="DT153" s="57"/>
      <c r="DU153" s="43" t="str">
        <f t="shared" ca="1" si="116"/>
        <v/>
      </c>
      <c r="DV153" s="43" t="str">
        <f t="shared" si="117"/>
        <v/>
      </c>
      <c r="DX153" s="44">
        <v>1</v>
      </c>
      <c r="DY153" s="44" t="s">
        <v>773</v>
      </c>
      <c r="DZ153" s="43">
        <f t="shared" si="118"/>
        <v>0.01</v>
      </c>
      <c r="EA153" s="43" t="str">
        <f t="shared" si="119"/>
        <v>M</v>
      </c>
      <c r="EB153" s="43" t="str">
        <f>IF(IFERROR(INDEX(Consulta!$A:$DP,MATCH('MM01'!$B153,Consulta!$C:$C,0),'MM01'!EB$2),"")=0,"7925",IF(IFERROR(INDEX(Consulta!$A:$DP,MATCH('MM01'!$B153,Consulta!$C:$C,0),'MM01'!EB$2),"")="68","7910","7925"))</f>
        <v>7925</v>
      </c>
      <c r="EC153" s="44">
        <v>100</v>
      </c>
      <c r="ED153" s="62">
        <v>1</v>
      </c>
      <c r="EE153" s="43">
        <f t="shared" si="120"/>
        <v>100</v>
      </c>
      <c r="EF153" s="44">
        <v>1</v>
      </c>
      <c r="EG153" s="44">
        <v>0</v>
      </c>
      <c r="EH153" s="44" t="s">
        <v>875</v>
      </c>
      <c r="EI153" s="45">
        <v>0</v>
      </c>
      <c r="EJ153" s="43">
        <f t="shared" si="121"/>
        <v>5000</v>
      </c>
      <c r="EK153" s="69"/>
    </row>
    <row r="154" spans="1:141" x14ac:dyDescent="0.2">
      <c r="A154" s="7" t="str">
        <f t="shared" si="82"/>
        <v>Execução 150</v>
      </c>
      <c r="B154" s="42"/>
      <c r="C154" s="43" t="str">
        <f>IF(IFERROR(INDEX(Consulta!$A:$DP,MATCH('MM01'!$B154,Consulta!$C:$C,0),'MM01'!C$2),"")=0,"",IFERROR(INDEX(Consulta!$A:$DP,MATCH('MM01'!$B154,Consulta!$C:$C,0),'MM01'!C$2),""))</f>
        <v/>
      </c>
      <c r="D154" s="43" t="str">
        <f>IF(IFERROR(INDEX(Consulta!$A:$DP,MATCH('MM01'!$B154,Consulta!$C:$C,0),'MM01'!D$2),"")=0,"",IFERROR(INDEX(Consulta!$A:$DP,MATCH('MM01'!$B154,Consulta!$C:$C,0),'MM01'!D$2),""))</f>
        <v/>
      </c>
      <c r="E154" s="43" t="str">
        <f>IF(IFERROR(INDEX(Consulta!$A:$DP,MATCH('MM01'!$B154,Consulta!$C:$C,0),'MM01'!E$2),"")=0,"",IFERROR(INDEX(Consulta!$A:$DP,MATCH('MM01'!$B154,Consulta!$C:$C,0),'MM01'!E$2),""))</f>
        <v/>
      </c>
      <c r="F154" s="44" t="s">
        <v>100</v>
      </c>
      <c r="G154" s="49" t="str">
        <f>IF(IFERROR(INDEX(Consulta!$A:$DP,MATCH('MM01'!$B154,Consulta!$C:$C,0),'MM01'!G$2),"")=0,"",IFERROR(INDEX(Consulta!$A:$DP,MATCH('MM01'!$B154,Consulta!$C:$C,0),'MM01'!G$2),""))</f>
        <v/>
      </c>
      <c r="H154" s="49" t="str">
        <f>IF(IFERROR(INDEX(Consulta!$A:$DP,MATCH('MM01'!$B154,Consulta!$C:$C,0),'MM01'!H$2),"")=0,"",IFERROR(INDEX(Consulta!$A:$DP,MATCH('MM01'!$B154,Consulta!$C:$C,0),'MM01'!H$2),""))</f>
        <v/>
      </c>
      <c r="I154" s="49" t="str">
        <f t="shared" si="83"/>
        <v/>
      </c>
      <c r="J154" s="49" t="str">
        <f>IF(IFERROR(INDEX(Consulta!$A:$DP,MATCH('MM01'!$B154,Consulta!$C:$C,0),'MM01'!J$2),"")=0,"",IFERROR(INDEX(Consulta!$A:$DP,MATCH('MM01'!$B154,Consulta!$C:$C,0),'MM01'!J$2),""))</f>
        <v/>
      </c>
      <c r="K154" s="49" t="str">
        <f t="shared" si="84"/>
        <v/>
      </c>
      <c r="M154" s="45" t="s">
        <v>101</v>
      </c>
      <c r="N154" s="45" t="s">
        <v>102</v>
      </c>
      <c r="O154" s="45" t="s">
        <v>103</v>
      </c>
      <c r="P154" s="45" t="s">
        <v>104</v>
      </c>
      <c r="Q154" s="45" t="s">
        <v>105</v>
      </c>
      <c r="R154" s="45" t="s">
        <v>106</v>
      </c>
      <c r="S154" s="45" t="s">
        <v>107</v>
      </c>
      <c r="T154" s="45"/>
      <c r="U154" s="45"/>
      <c r="V154" s="45"/>
      <c r="W154" s="45"/>
      <c r="X154" s="45" t="s">
        <v>112</v>
      </c>
      <c r="Y154" s="45" t="s">
        <v>113</v>
      </c>
      <c r="Z154" s="45" t="s">
        <v>114</v>
      </c>
      <c r="AA154" s="45" t="s">
        <v>115</v>
      </c>
      <c r="AB154" s="45" t="s">
        <v>117</v>
      </c>
      <c r="AC154" s="45" t="s">
        <v>118</v>
      </c>
      <c r="AD154" s="45" t="s">
        <v>119</v>
      </c>
      <c r="AE154" s="45" t="s">
        <v>120</v>
      </c>
      <c r="AF154" s="45" t="s">
        <v>121</v>
      </c>
      <c r="AG154" s="45" t="s">
        <v>122</v>
      </c>
      <c r="AH154" s="45" t="s">
        <v>123</v>
      </c>
      <c r="AI154" s="45" t="s">
        <v>124</v>
      </c>
      <c r="AJ154" s="45" t="s">
        <v>125</v>
      </c>
      <c r="AK154" s="45" t="s">
        <v>126</v>
      </c>
      <c r="AL154" s="45"/>
      <c r="AM154" s="45"/>
      <c r="AO154" s="44" t="s">
        <v>100</v>
      </c>
      <c r="AP154" s="43" t="str">
        <f>IF(IFERROR(INDEX(Consulta!$A:$DP,MATCH('MM01'!$B154,Consulta!$C:$C,0),'MM01'!AP$2),"")=0,"",IFERROR(INDEX(Consulta!$A:$DP,MATCH('MM01'!$B154,Consulta!$C:$C,0),'MM01'!AP$2),""))</f>
        <v/>
      </c>
      <c r="AQ154" s="45"/>
      <c r="AR154" s="43" t="str">
        <f>IF(IFERROR(INDEX(Consulta!$A:$DP,MATCH('MM01'!$B154,Consulta!$C:$C,0),'MM01'!AR$2),"")=0,"",IFERROR(INDEX(Consulta!$A:$DP,MATCH('MM01'!$B154,Consulta!$C:$C,0),'MM01'!AR$2),""))</f>
        <v/>
      </c>
      <c r="AS154" s="43" t="str">
        <f>IF(IFERROR(INDEX(Consulta!$A:$DP,MATCH('MM01'!$B154,Consulta!$C:$C,0),'MM01'!AS$2),"")=0,"",IF(AR154="68",5102,IFERROR(INDEX(Consulta!$A:$DP,MATCH('MM01'!$B154,Consulta!$C:$C,0),'MM01'!AS$2),"")))</f>
        <v/>
      </c>
      <c r="AT154" s="45"/>
      <c r="AU154" s="46" t="str">
        <f t="shared" ca="1" si="85"/>
        <v/>
      </c>
      <c r="AV154" s="47" t="s">
        <v>795</v>
      </c>
      <c r="AW154" s="43" t="str">
        <f>IF(IFERROR(INDEX(Consulta!$A:$DP,MATCH('MM01'!$B154,Consulta!$C:$C,0),'MM01'!AW$2),"")=0,"",IFERROR(ROUND(INDEX(Consulta!$A:$DP,MATCH('MM01'!$B154,Consulta!$C:$C,0),'MM01'!AW$2),3),""))</f>
        <v/>
      </c>
      <c r="AX154" s="43" t="str">
        <f t="shared" si="86"/>
        <v/>
      </c>
      <c r="AY154" s="48" t="s">
        <v>299</v>
      </c>
      <c r="AZ154" s="48"/>
      <c r="BA154" s="43" t="str">
        <f>IF(IFERROR(INDEX(Consulta!$A:$DP,MATCH('MM01'!$B154,Consulta!$C:$C,0),'MM01'!BA$2),"")=0,"",IFERROR(INDEX(Consulta!$A:$DP,MATCH('MM01'!$B154,Consulta!$C:$C,0),'MM01'!BA$2),""))</f>
        <v/>
      </c>
      <c r="BB154" s="43" t="str">
        <f t="shared" si="87"/>
        <v/>
      </c>
      <c r="BC154" s="43" t="str">
        <f t="shared" si="88"/>
        <v/>
      </c>
      <c r="BD154" s="43" t="str">
        <f t="shared" si="89"/>
        <v/>
      </c>
      <c r="BE154" s="43" t="str">
        <f t="shared" si="90"/>
        <v>M</v>
      </c>
      <c r="BF154" s="43" t="str">
        <f t="shared" si="91"/>
        <v/>
      </c>
      <c r="BG154" s="43" t="str">
        <f t="shared" si="92"/>
        <v/>
      </c>
      <c r="BH154" s="43" t="str">
        <f t="shared" si="93"/>
        <v/>
      </c>
      <c r="BI154" s="43" t="str">
        <f t="shared" si="94"/>
        <v>M</v>
      </c>
      <c r="BK154" s="45" t="s">
        <v>324</v>
      </c>
      <c r="BL154" s="43" t="str">
        <f>IF(IFERROR(INDEX(Consulta!$A:$DP,MATCH('MM01'!$B154,Consulta!$C:$C,0),'MM01'!BL$2),"")=0,"",IFERROR(INDEX(Consulta!$A:$DP,MATCH('MM01'!$B154,Consulta!$C:$C,0),'MM01'!BL$2),""))</f>
        <v/>
      </c>
      <c r="BM154" s="45"/>
      <c r="BN154" s="46" t="str">
        <f t="shared" ca="1" si="95"/>
        <v/>
      </c>
      <c r="BO154" s="49" t="str">
        <f t="shared" si="96"/>
        <v/>
      </c>
      <c r="BP154" s="50">
        <v>1</v>
      </c>
      <c r="BQ154" s="50" t="s">
        <v>194</v>
      </c>
      <c r="BR154" s="79" t="str">
        <f t="shared" si="122"/>
        <v>01</v>
      </c>
      <c r="BS154" s="50" t="s">
        <v>795</v>
      </c>
      <c r="BT154" s="44">
        <v>1</v>
      </c>
      <c r="BU154" s="44" t="s">
        <v>371</v>
      </c>
      <c r="BV154" s="50" t="s">
        <v>197</v>
      </c>
      <c r="BW154" s="50" t="s">
        <v>197</v>
      </c>
      <c r="BX154" s="43" t="str">
        <f>IF(IFERROR(INDEX(Consulta!$A:$DP,MATCH('MM01'!$B154,Consulta!$C:$C,0),'MM01'!BX$2),"")=0,"",IFERROR(INDEX(Consulta!$A:$DP,MATCH('MM01'!$B154,Consulta!$C:$C,0),'MM01'!BX$2),""))</f>
        <v/>
      </c>
      <c r="BY154" s="44" t="s">
        <v>391</v>
      </c>
      <c r="BZ154" s="50">
        <v>0</v>
      </c>
      <c r="CA154" s="45" t="s">
        <v>402</v>
      </c>
      <c r="CB154" s="45" t="s">
        <v>84</v>
      </c>
      <c r="CC154" s="43" t="str">
        <f t="shared" si="97"/>
        <v/>
      </c>
      <c r="CD154" s="45" t="s">
        <v>38</v>
      </c>
      <c r="CE154" s="45">
        <v>1</v>
      </c>
      <c r="CF154" s="45" t="s">
        <v>495</v>
      </c>
      <c r="CG154" s="45"/>
      <c r="CH154" s="44">
        <v>2</v>
      </c>
      <c r="CI154" s="49" t="str">
        <f t="shared" si="98"/>
        <v/>
      </c>
      <c r="CJ154" s="49" t="str">
        <f t="shared" si="99"/>
        <v/>
      </c>
      <c r="CK154" s="45"/>
      <c r="CL154" s="44">
        <v>1</v>
      </c>
      <c r="CM154" s="50" t="s">
        <v>514</v>
      </c>
      <c r="CN154" s="44" t="s">
        <v>371</v>
      </c>
      <c r="CO154" s="44">
        <v>2</v>
      </c>
      <c r="CP154" s="44">
        <v>42</v>
      </c>
      <c r="CQ154" s="44">
        <v>10</v>
      </c>
      <c r="CR154" s="43" t="str">
        <f t="shared" si="100"/>
        <v>K00_P_</v>
      </c>
      <c r="CS154" s="45">
        <v>5000</v>
      </c>
      <c r="CT154" s="43" t="str">
        <f>IF(IFERROR(INDEX(Consulta!$A:$DP,MATCH('MM01'!$B154,Consulta!$C:$C,0),'MM01'!CT$2),"")=0,"",IFERROR(INDEX(Consulta!$A:$DP,MATCH('MM01'!$B154,Consulta!$C:$C,0),'MM01'!CT$2),""))</f>
        <v/>
      </c>
      <c r="CU154" s="43" t="str">
        <f>IF(IFERROR(INDEX(Consulta!$A:$DP,MATCH('MM01'!$B154,Consulta!$C:$C,0),'MM01'!CU$2),"")=0,"",IFERROR(INDEX(Consulta!$A:$DP,MATCH('MM01'!$B154,Consulta!$C:$C,0),'MM01'!CU$2),""))</f>
        <v/>
      </c>
      <c r="CV154" s="43" t="str">
        <f>IF(IFERROR(INDEX(Consulta!$A:$DP,MATCH('MM01'!$B154,Consulta!$C:$C,0),'MM01'!CV$2),"")=0,"",IFERROR(INDEX(Consulta!$A:$DP,MATCH('MM01'!$B154,Consulta!$C:$C,0),'MM01'!CV$2),""))</f>
        <v/>
      </c>
      <c r="CW154" s="43" t="str">
        <f>IF(IFERROR(INDEX(Consulta!$A:$DP,MATCH('MM01'!$B154,Consulta!$C:$C,0),'MM01'!CW$2),"")=0,"",IFERROR(INDEX(Consulta!$A:$DP,MATCH('MM01'!$B154,Consulta!$C:$C,0),'MM01'!CW$2),""))</f>
        <v/>
      </c>
      <c r="CX154" s="43" t="str">
        <f t="shared" si="101"/>
        <v/>
      </c>
      <c r="CY154" s="43" t="str">
        <f t="shared" si="102"/>
        <v/>
      </c>
      <c r="CZ154" s="43" t="str">
        <f t="shared" si="103"/>
        <v/>
      </c>
      <c r="DA154" s="43" t="str">
        <f>IF(IFERROR(INDEX(Consulta!$A:$DP,MATCH('MM01'!$B154,Consulta!$C:$C,0),'MM01'!DA$2),"")=0,"",IFERROR(INDEX(Consulta!$A:$DP,MATCH('MM01'!$B154,Consulta!$C:$C,0),'MM01'!DA$2),""))</f>
        <v/>
      </c>
      <c r="DB154" s="43" t="str">
        <f t="shared" si="104"/>
        <v/>
      </c>
      <c r="DC154" s="43" t="str">
        <f>IF(IFERROR(INDEX(Consulta!$A:$DP,MATCH('MM01'!$B154,Consulta!$C:$C,0),'MM01'!DC$2),"")=0,"",IFERROR(INDEX(Consulta!$A:$DP,MATCH('MM01'!$B154,Consulta!$C:$C,0),'MM01'!DC$2),""))</f>
        <v/>
      </c>
      <c r="DD154" s="45">
        <v>0</v>
      </c>
      <c r="DE154" s="45">
        <v>0</v>
      </c>
      <c r="DF154" s="43" t="str">
        <f t="shared" si="105"/>
        <v/>
      </c>
      <c r="DG154" s="43" t="str">
        <f t="shared" si="106"/>
        <v/>
      </c>
      <c r="DH154" s="57"/>
      <c r="DI154" s="43" t="str">
        <f t="shared" ca="1" si="107"/>
        <v/>
      </c>
      <c r="DJ154" s="43" t="str">
        <f t="shared" si="108"/>
        <v/>
      </c>
      <c r="DK154" s="43" t="str">
        <f t="shared" si="109"/>
        <v/>
      </c>
      <c r="DL154" s="57"/>
      <c r="DM154" s="43" t="str">
        <f t="shared" ca="1" si="110"/>
        <v/>
      </c>
      <c r="DN154" s="43" t="str">
        <f t="shared" si="111"/>
        <v/>
      </c>
      <c r="DO154" s="43" t="str">
        <f t="shared" si="112"/>
        <v/>
      </c>
      <c r="DP154" s="57"/>
      <c r="DQ154" s="43" t="str">
        <f t="shared" ca="1" si="113"/>
        <v/>
      </c>
      <c r="DR154" s="43" t="str">
        <f t="shared" si="114"/>
        <v/>
      </c>
      <c r="DS154" s="43" t="str">
        <f t="shared" si="115"/>
        <v/>
      </c>
      <c r="DT154" s="57"/>
      <c r="DU154" s="43" t="str">
        <f t="shared" ca="1" si="116"/>
        <v/>
      </c>
      <c r="DV154" s="43" t="str">
        <f t="shared" si="117"/>
        <v/>
      </c>
      <c r="DX154" s="44">
        <v>1</v>
      </c>
      <c r="DY154" s="44" t="s">
        <v>773</v>
      </c>
      <c r="DZ154" s="43">
        <f t="shared" si="118"/>
        <v>0.01</v>
      </c>
      <c r="EA154" s="43" t="str">
        <f t="shared" si="119"/>
        <v>M</v>
      </c>
      <c r="EB154" s="43" t="str">
        <f>IF(IFERROR(INDEX(Consulta!$A:$DP,MATCH('MM01'!$B154,Consulta!$C:$C,0),'MM01'!EB$2),"")=0,"7925",IF(IFERROR(INDEX(Consulta!$A:$DP,MATCH('MM01'!$B154,Consulta!$C:$C,0),'MM01'!EB$2),"")="68","7910","7925"))</f>
        <v>7925</v>
      </c>
      <c r="EC154" s="44">
        <v>100</v>
      </c>
      <c r="ED154" s="62">
        <v>1</v>
      </c>
      <c r="EE154" s="43">
        <f t="shared" si="120"/>
        <v>100</v>
      </c>
      <c r="EF154" s="44">
        <v>1</v>
      </c>
      <c r="EG154" s="44">
        <v>0</v>
      </c>
      <c r="EH154" s="44" t="s">
        <v>875</v>
      </c>
      <c r="EI154" s="45">
        <v>0</v>
      </c>
      <c r="EJ154" s="43">
        <f t="shared" si="121"/>
        <v>5000</v>
      </c>
      <c r="EK154" s="70"/>
    </row>
  </sheetData>
  <sortState ref="B5:B61">
    <sortCondition ref="B5"/>
  </sortState>
  <mergeCells count="6">
    <mergeCell ref="DW1:DW2"/>
    <mergeCell ref="BK1:BK2"/>
    <mergeCell ref="M3:AM3"/>
    <mergeCell ref="AN1:AN2"/>
    <mergeCell ref="L1:L2"/>
    <mergeCell ref="BJ1:BJ2"/>
  </mergeCells>
  <conditionalFormatting sqref="B5:C5">
    <cfRule type="beginsWith" dxfId="310" priority="164" operator="beginsWith" text="L">
      <formula>LEFT(B5,LEN("L"))="L"</formula>
    </cfRule>
  </conditionalFormatting>
  <conditionalFormatting sqref="D5">
    <cfRule type="beginsWith" dxfId="309" priority="133" operator="beginsWith" text="L">
      <formula>LEFT(D5,LEN("L"))="L"</formula>
    </cfRule>
  </conditionalFormatting>
  <conditionalFormatting sqref="E5:E54">
    <cfRule type="beginsWith" dxfId="308" priority="132" operator="beginsWith" text="L">
      <formula>LEFT(E5,LEN("L"))="L"</formula>
    </cfRule>
  </conditionalFormatting>
  <conditionalFormatting sqref="AP5">
    <cfRule type="beginsWith" dxfId="307" priority="131" operator="beginsWith" text="L">
      <formula>LEFT(AP5,LEN("L"))="L"</formula>
    </cfRule>
  </conditionalFormatting>
  <conditionalFormatting sqref="AS5:AS54">
    <cfRule type="beginsWith" dxfId="306" priority="130" operator="beginsWith" text="L">
      <formula>LEFT(AS5,LEN("L"))="L"</formula>
    </cfRule>
  </conditionalFormatting>
  <conditionalFormatting sqref="AW5">
    <cfRule type="beginsWith" dxfId="305" priority="129" operator="beginsWith" text="L">
      <formula>LEFT(AW5,LEN("L"))="L"</formula>
    </cfRule>
  </conditionalFormatting>
  <conditionalFormatting sqref="BA5">
    <cfRule type="beginsWith" dxfId="304" priority="128" operator="beginsWith" text="L">
      <formula>LEFT(BA5,LEN("L"))="L"</formula>
    </cfRule>
  </conditionalFormatting>
  <conditionalFormatting sqref="BL5">
    <cfRule type="beginsWith" dxfId="303" priority="127" operator="beginsWith" text="L">
      <formula>LEFT(BL5,LEN("L"))="L"</formula>
    </cfRule>
  </conditionalFormatting>
  <conditionalFormatting sqref="BX5">
    <cfRule type="beginsWith" dxfId="302" priority="126" operator="beginsWith" text="L">
      <formula>LEFT(BX5,LEN("L"))="L"</formula>
    </cfRule>
  </conditionalFormatting>
  <conditionalFormatting sqref="CT5">
    <cfRule type="beginsWith" dxfId="301" priority="125" operator="beginsWith" text="L">
      <formula>LEFT(CT5,LEN("L"))="L"</formula>
    </cfRule>
  </conditionalFormatting>
  <conditionalFormatting sqref="CU5">
    <cfRule type="beginsWith" dxfId="300" priority="124" operator="beginsWith" text="L">
      <formula>LEFT(CU5,LEN("L"))="L"</formula>
    </cfRule>
  </conditionalFormatting>
  <conditionalFormatting sqref="CV5">
    <cfRule type="beginsWith" dxfId="299" priority="123" operator="beginsWith" text="L">
      <formula>LEFT(CV5,LEN("L"))="L"</formula>
    </cfRule>
  </conditionalFormatting>
  <conditionalFormatting sqref="CW5">
    <cfRule type="beginsWith" dxfId="298" priority="122" operator="beginsWith" text="L">
      <formula>LEFT(CW5,LEN("L"))="L"</formula>
    </cfRule>
  </conditionalFormatting>
  <conditionalFormatting sqref="DC5">
    <cfRule type="beginsWith" dxfId="297" priority="121" operator="beginsWith" text="L">
      <formula>LEFT(DC5,LEN("L"))="L"</formula>
    </cfRule>
  </conditionalFormatting>
  <conditionalFormatting sqref="B6:C54">
    <cfRule type="beginsWith" dxfId="296" priority="102" operator="beginsWith" text="L">
      <formula>LEFT(B6,LEN("L"))="L"</formula>
    </cfRule>
  </conditionalFormatting>
  <conditionalFormatting sqref="D6:D54">
    <cfRule type="beginsWith" dxfId="295" priority="101" operator="beginsWith" text="L">
      <formula>LEFT(D6,LEN("L"))="L"</formula>
    </cfRule>
  </conditionalFormatting>
  <conditionalFormatting sqref="AP6:AP54">
    <cfRule type="beginsWith" dxfId="294" priority="99" operator="beginsWith" text="L">
      <formula>LEFT(AP6,LEN("L"))="L"</formula>
    </cfRule>
  </conditionalFormatting>
  <conditionalFormatting sqref="BA6:BA54">
    <cfRule type="beginsWith" dxfId="293" priority="96" operator="beginsWith" text="L">
      <formula>LEFT(BA6,LEN("L"))="L"</formula>
    </cfRule>
  </conditionalFormatting>
  <conditionalFormatting sqref="BL6:BL54">
    <cfRule type="beginsWith" dxfId="292" priority="95" operator="beginsWith" text="L">
      <formula>LEFT(BL6,LEN("L"))="L"</formula>
    </cfRule>
  </conditionalFormatting>
  <conditionalFormatting sqref="BX6:BX54">
    <cfRule type="beginsWith" dxfId="291" priority="94" operator="beginsWith" text="L">
      <formula>LEFT(BX6,LEN("L"))="L"</formula>
    </cfRule>
  </conditionalFormatting>
  <conditionalFormatting sqref="CT6:CT54">
    <cfRule type="beginsWith" dxfId="290" priority="93" operator="beginsWith" text="L">
      <formula>LEFT(CT6,LEN("L"))="L"</formula>
    </cfRule>
  </conditionalFormatting>
  <conditionalFormatting sqref="CU6:CU54">
    <cfRule type="beginsWith" dxfId="289" priority="92" operator="beginsWith" text="L">
      <formula>LEFT(CU6,LEN("L"))="L"</formula>
    </cfRule>
  </conditionalFormatting>
  <conditionalFormatting sqref="CV6:CV54">
    <cfRule type="beginsWith" dxfId="288" priority="91" operator="beginsWith" text="L">
      <formula>LEFT(CV6,LEN("L"))="L"</formula>
    </cfRule>
  </conditionalFormatting>
  <conditionalFormatting sqref="CW6:CW54">
    <cfRule type="beginsWith" dxfId="287" priority="90" operator="beginsWith" text="L">
      <formula>LEFT(CW6,LEN("L"))="L"</formula>
    </cfRule>
  </conditionalFormatting>
  <conditionalFormatting sqref="DC6:DC54">
    <cfRule type="beginsWith" dxfId="286" priority="89" operator="beginsWith" text="L">
      <formula>LEFT(DC6,LEN("L"))="L"</formula>
    </cfRule>
  </conditionalFormatting>
  <conditionalFormatting sqref="AW6:AW54">
    <cfRule type="beginsWith" dxfId="285" priority="88" operator="beginsWith" text="L">
      <formula>LEFT(AW6,LEN("L"))="L"</formula>
    </cfRule>
  </conditionalFormatting>
  <conditionalFormatting sqref="EK1:EK54 EK155:EK1048576">
    <cfRule type="containsText" dxfId="284" priority="81" operator="containsText" text="criadas">
      <formula>NOT(ISERROR(SEARCH("criadas",EK1)))</formula>
    </cfRule>
    <cfRule type="containsText" dxfId="283" priority="83" operator="containsText" text="é gravado">
      <formula>NOT(ISERROR(SEARCH("é gravado",EK1)))</formula>
    </cfRule>
    <cfRule type="containsText" dxfId="282" priority="84" operator="containsText" text="é modificado">
      <formula>NOT(ISERROR(SEARCH("é modificado",EK1)))</formula>
    </cfRule>
    <cfRule type="containsText" dxfId="281" priority="85" operator="containsText" text="Error">
      <formula>NOT(ISERROR(SEARCH("Error",EK1)))</formula>
    </cfRule>
    <cfRule type="containsText" dxfId="280" priority="86" operator="containsText" text="é criado">
      <formula>NOT(ISERROR(SEARCH("é criado",EK1)))</formula>
    </cfRule>
  </conditionalFormatting>
  <conditionalFormatting sqref="DA5:DA54">
    <cfRule type="beginsWith" dxfId="279" priority="80" operator="beginsWith" text="L">
      <formula>LEFT(DA5,LEN("L"))="L"</formula>
    </cfRule>
  </conditionalFormatting>
  <conditionalFormatting sqref="EB5:EB54">
    <cfRule type="beginsWith" dxfId="278" priority="79" operator="beginsWith" text="L">
      <formula>LEFT(EB5,LEN("L"))="L"</formula>
    </cfRule>
  </conditionalFormatting>
  <conditionalFormatting sqref="G5:G54">
    <cfRule type="beginsWith" dxfId="277" priority="78" operator="beginsWith" text="L">
      <formula>LEFT(G5,LEN("L"))="L"</formula>
    </cfRule>
  </conditionalFormatting>
  <conditionalFormatting sqref="H5:H54">
    <cfRule type="beginsWith" dxfId="276" priority="77" operator="beginsWith" text="L">
      <formula>LEFT(H5,LEN("L"))="L"</formula>
    </cfRule>
  </conditionalFormatting>
  <conditionalFormatting sqref="J5:J54">
    <cfRule type="beginsWith" dxfId="275" priority="76" operator="beginsWith" text="L">
      <formula>LEFT(J5,LEN("L"))="L"</formula>
    </cfRule>
  </conditionalFormatting>
  <conditionalFormatting sqref="AR5:AR54">
    <cfRule type="beginsWith" dxfId="274" priority="75" operator="beginsWith" text="L">
      <formula>LEFT(AR5,LEN("L"))="L"</formula>
    </cfRule>
  </conditionalFormatting>
  <conditionalFormatting sqref="B55:C55">
    <cfRule type="beginsWith" dxfId="273" priority="74" operator="beginsWith" text="L">
      <formula>LEFT(B55,LEN("L"))="L"</formula>
    </cfRule>
  </conditionalFormatting>
  <conditionalFormatting sqref="D55">
    <cfRule type="beginsWith" dxfId="272" priority="73" operator="beginsWith" text="L">
      <formula>LEFT(D55,LEN("L"))="L"</formula>
    </cfRule>
  </conditionalFormatting>
  <conditionalFormatting sqref="E55:E104">
    <cfRule type="beginsWith" dxfId="271" priority="72" operator="beginsWith" text="L">
      <formula>LEFT(E55,LEN("L"))="L"</formula>
    </cfRule>
  </conditionalFormatting>
  <conditionalFormatting sqref="AP55">
    <cfRule type="beginsWith" dxfId="270" priority="71" operator="beginsWith" text="L">
      <formula>LEFT(AP55,LEN("L"))="L"</formula>
    </cfRule>
  </conditionalFormatting>
  <conditionalFormatting sqref="AS55:AS104">
    <cfRule type="beginsWith" dxfId="269" priority="70" operator="beginsWith" text="L">
      <formula>LEFT(AS55,LEN("L"))="L"</formula>
    </cfRule>
  </conditionalFormatting>
  <conditionalFormatting sqref="AW55">
    <cfRule type="beginsWith" dxfId="268" priority="69" operator="beginsWith" text="L">
      <formula>LEFT(AW55,LEN("L"))="L"</formula>
    </cfRule>
  </conditionalFormatting>
  <conditionalFormatting sqref="BA55">
    <cfRule type="beginsWith" dxfId="267" priority="68" operator="beginsWith" text="L">
      <formula>LEFT(BA55,LEN("L"))="L"</formula>
    </cfRule>
  </conditionalFormatting>
  <conditionalFormatting sqref="BL55">
    <cfRule type="beginsWith" dxfId="266" priority="67" operator="beginsWith" text="L">
      <formula>LEFT(BL55,LEN("L"))="L"</formula>
    </cfRule>
  </conditionalFormatting>
  <conditionalFormatting sqref="BX55">
    <cfRule type="beginsWith" dxfId="265" priority="66" operator="beginsWith" text="L">
      <formula>LEFT(BX55,LEN("L"))="L"</formula>
    </cfRule>
  </conditionalFormatting>
  <conditionalFormatting sqref="CT55">
    <cfRule type="beginsWith" dxfId="264" priority="65" operator="beginsWith" text="L">
      <formula>LEFT(CT55,LEN("L"))="L"</formula>
    </cfRule>
  </conditionalFormatting>
  <conditionalFormatting sqref="CU55">
    <cfRule type="beginsWith" dxfId="263" priority="64" operator="beginsWith" text="L">
      <formula>LEFT(CU55,LEN("L"))="L"</formula>
    </cfRule>
  </conditionalFormatting>
  <conditionalFormatting sqref="CV55">
    <cfRule type="beginsWith" dxfId="262" priority="63" operator="beginsWith" text="L">
      <formula>LEFT(CV55,LEN("L"))="L"</formula>
    </cfRule>
  </conditionalFormatting>
  <conditionalFormatting sqref="CW55">
    <cfRule type="beginsWith" dxfId="261" priority="62" operator="beginsWith" text="L">
      <formula>LEFT(CW55,LEN("L"))="L"</formula>
    </cfRule>
  </conditionalFormatting>
  <conditionalFormatting sqref="DC55">
    <cfRule type="beginsWith" dxfId="260" priority="61" operator="beginsWith" text="L">
      <formula>LEFT(DC55,LEN("L"))="L"</formula>
    </cfRule>
  </conditionalFormatting>
  <conditionalFormatting sqref="B56:C104">
    <cfRule type="beginsWith" dxfId="259" priority="60" operator="beginsWith" text="L">
      <formula>LEFT(B56,LEN("L"))="L"</formula>
    </cfRule>
  </conditionalFormatting>
  <conditionalFormatting sqref="D56:D104">
    <cfRule type="beginsWith" dxfId="258" priority="59" operator="beginsWith" text="L">
      <formula>LEFT(D56,LEN("L"))="L"</formula>
    </cfRule>
  </conditionalFormatting>
  <conditionalFormatting sqref="AP56:AP104">
    <cfRule type="beginsWith" dxfId="257" priority="58" operator="beginsWith" text="L">
      <formula>LEFT(AP56,LEN("L"))="L"</formula>
    </cfRule>
  </conditionalFormatting>
  <conditionalFormatting sqref="BA56:BA104">
    <cfRule type="beginsWith" dxfId="256" priority="57" operator="beginsWith" text="L">
      <formula>LEFT(BA56,LEN("L"))="L"</formula>
    </cfRule>
  </conditionalFormatting>
  <conditionalFormatting sqref="BL56:BL104">
    <cfRule type="beginsWith" dxfId="255" priority="56" operator="beginsWith" text="L">
      <formula>LEFT(BL56,LEN("L"))="L"</formula>
    </cfRule>
  </conditionalFormatting>
  <conditionalFormatting sqref="BX56:BX104">
    <cfRule type="beginsWith" dxfId="254" priority="55" operator="beginsWith" text="L">
      <formula>LEFT(BX56,LEN("L"))="L"</formula>
    </cfRule>
  </conditionalFormatting>
  <conditionalFormatting sqref="CT56:CT104">
    <cfRule type="beginsWith" dxfId="253" priority="54" operator="beginsWith" text="L">
      <formula>LEFT(CT56,LEN("L"))="L"</formula>
    </cfRule>
  </conditionalFormatting>
  <conditionalFormatting sqref="CU56:CU104">
    <cfRule type="beginsWith" dxfId="252" priority="53" operator="beginsWith" text="L">
      <formula>LEFT(CU56,LEN("L"))="L"</formula>
    </cfRule>
  </conditionalFormatting>
  <conditionalFormatting sqref="CV56:CV104">
    <cfRule type="beginsWith" dxfId="251" priority="52" operator="beginsWith" text="L">
      <formula>LEFT(CV56,LEN("L"))="L"</formula>
    </cfRule>
  </conditionalFormatting>
  <conditionalFormatting sqref="CW56:CW104">
    <cfRule type="beginsWith" dxfId="250" priority="51" operator="beginsWith" text="L">
      <formula>LEFT(CW56,LEN("L"))="L"</formula>
    </cfRule>
  </conditionalFormatting>
  <conditionalFormatting sqref="DC56:DC104">
    <cfRule type="beginsWith" dxfId="249" priority="50" operator="beginsWith" text="L">
      <formula>LEFT(DC56,LEN("L"))="L"</formula>
    </cfRule>
  </conditionalFormatting>
  <conditionalFormatting sqref="AW56:AW104">
    <cfRule type="beginsWith" dxfId="248" priority="49" operator="beginsWith" text="L">
      <formula>LEFT(AW56,LEN("L"))="L"</formula>
    </cfRule>
  </conditionalFormatting>
  <conditionalFormatting sqref="EK55:EK104">
    <cfRule type="containsText" dxfId="247" priority="44" operator="containsText" text="criadas">
      <formula>NOT(ISERROR(SEARCH("criadas",EK55)))</formula>
    </cfRule>
    <cfRule type="containsText" dxfId="246" priority="45" operator="containsText" text="é gravado">
      <formula>NOT(ISERROR(SEARCH("é gravado",EK55)))</formula>
    </cfRule>
    <cfRule type="containsText" dxfId="245" priority="46" operator="containsText" text="é modificado">
      <formula>NOT(ISERROR(SEARCH("é modificado",EK55)))</formula>
    </cfRule>
    <cfRule type="containsText" dxfId="244" priority="47" operator="containsText" text="Error">
      <formula>NOT(ISERROR(SEARCH("Error",EK55)))</formula>
    </cfRule>
    <cfRule type="containsText" dxfId="243" priority="48" operator="containsText" text="é criado">
      <formula>NOT(ISERROR(SEARCH("é criado",EK55)))</formula>
    </cfRule>
  </conditionalFormatting>
  <conditionalFormatting sqref="DA55:DA104">
    <cfRule type="beginsWith" dxfId="242" priority="43" operator="beginsWith" text="L">
      <formula>LEFT(DA55,LEN("L"))="L"</formula>
    </cfRule>
  </conditionalFormatting>
  <conditionalFormatting sqref="EB55:EB104">
    <cfRule type="beginsWith" dxfId="241" priority="42" operator="beginsWith" text="L">
      <formula>LEFT(EB55,LEN("L"))="L"</formula>
    </cfRule>
  </conditionalFormatting>
  <conditionalFormatting sqref="G55:G104">
    <cfRule type="beginsWith" dxfId="240" priority="41" operator="beginsWith" text="L">
      <formula>LEFT(G55,LEN("L"))="L"</formula>
    </cfRule>
  </conditionalFormatting>
  <conditionalFormatting sqref="H55:H104">
    <cfRule type="beginsWith" dxfId="239" priority="40" operator="beginsWith" text="L">
      <formula>LEFT(H55,LEN("L"))="L"</formula>
    </cfRule>
  </conditionalFormatting>
  <conditionalFormatting sqref="J55:J104">
    <cfRule type="beginsWith" dxfId="238" priority="39" operator="beginsWith" text="L">
      <formula>LEFT(J55,LEN("L"))="L"</formula>
    </cfRule>
  </conditionalFormatting>
  <conditionalFormatting sqref="AR55:AR104">
    <cfRule type="beginsWith" dxfId="237" priority="38" operator="beginsWith" text="L">
      <formula>LEFT(AR55,LEN("L"))="L"</formula>
    </cfRule>
  </conditionalFormatting>
  <conditionalFormatting sqref="B105:C105">
    <cfRule type="beginsWith" dxfId="236" priority="37" operator="beginsWith" text="L">
      <formula>LEFT(B105,LEN("L"))="L"</formula>
    </cfRule>
  </conditionalFormatting>
  <conditionalFormatting sqref="D105">
    <cfRule type="beginsWith" dxfId="235" priority="36" operator="beginsWith" text="L">
      <formula>LEFT(D105,LEN("L"))="L"</formula>
    </cfRule>
  </conditionalFormatting>
  <conditionalFormatting sqref="E105:E154">
    <cfRule type="beginsWith" dxfId="234" priority="35" operator="beginsWith" text="L">
      <formula>LEFT(E105,LEN("L"))="L"</formula>
    </cfRule>
  </conditionalFormatting>
  <conditionalFormatting sqref="AP105">
    <cfRule type="beginsWith" dxfId="233" priority="34" operator="beginsWith" text="L">
      <formula>LEFT(AP105,LEN("L"))="L"</formula>
    </cfRule>
  </conditionalFormatting>
  <conditionalFormatting sqref="AS105:AS154">
    <cfRule type="beginsWith" dxfId="232" priority="33" operator="beginsWith" text="L">
      <formula>LEFT(AS105,LEN("L"))="L"</formula>
    </cfRule>
  </conditionalFormatting>
  <conditionalFormatting sqref="AW105">
    <cfRule type="beginsWith" dxfId="231" priority="32" operator="beginsWith" text="L">
      <formula>LEFT(AW105,LEN("L"))="L"</formula>
    </cfRule>
  </conditionalFormatting>
  <conditionalFormatting sqref="BA105">
    <cfRule type="beginsWith" dxfId="230" priority="31" operator="beginsWith" text="L">
      <formula>LEFT(BA105,LEN("L"))="L"</formula>
    </cfRule>
  </conditionalFormatting>
  <conditionalFormatting sqref="BL105">
    <cfRule type="beginsWith" dxfId="229" priority="30" operator="beginsWith" text="L">
      <formula>LEFT(BL105,LEN("L"))="L"</formula>
    </cfRule>
  </conditionalFormatting>
  <conditionalFormatting sqref="BX105">
    <cfRule type="beginsWith" dxfId="228" priority="29" operator="beginsWith" text="L">
      <formula>LEFT(BX105,LEN("L"))="L"</formula>
    </cfRule>
  </conditionalFormatting>
  <conditionalFormatting sqref="CT105">
    <cfRule type="beginsWith" dxfId="227" priority="28" operator="beginsWith" text="L">
      <formula>LEFT(CT105,LEN("L"))="L"</formula>
    </cfRule>
  </conditionalFormatting>
  <conditionalFormatting sqref="CU105">
    <cfRule type="beginsWith" dxfId="226" priority="27" operator="beginsWith" text="L">
      <formula>LEFT(CU105,LEN("L"))="L"</formula>
    </cfRule>
  </conditionalFormatting>
  <conditionalFormatting sqref="CV105">
    <cfRule type="beginsWith" dxfId="225" priority="26" operator="beginsWith" text="L">
      <formula>LEFT(CV105,LEN("L"))="L"</formula>
    </cfRule>
  </conditionalFormatting>
  <conditionalFormatting sqref="CW105">
    <cfRule type="beginsWith" dxfId="224" priority="25" operator="beginsWith" text="L">
      <formula>LEFT(CW105,LEN("L"))="L"</formula>
    </cfRule>
  </conditionalFormatting>
  <conditionalFormatting sqref="DC105">
    <cfRule type="beginsWith" dxfId="223" priority="24" operator="beginsWith" text="L">
      <formula>LEFT(DC105,LEN("L"))="L"</formula>
    </cfRule>
  </conditionalFormatting>
  <conditionalFormatting sqref="B106:C154">
    <cfRule type="beginsWith" dxfId="222" priority="23" operator="beginsWith" text="L">
      <formula>LEFT(B106,LEN("L"))="L"</formula>
    </cfRule>
  </conditionalFormatting>
  <conditionalFormatting sqref="D106:D154">
    <cfRule type="beginsWith" dxfId="221" priority="22" operator="beginsWith" text="L">
      <formula>LEFT(D106,LEN("L"))="L"</formula>
    </cfRule>
  </conditionalFormatting>
  <conditionalFormatting sqref="AP106:AP154">
    <cfRule type="beginsWith" dxfId="220" priority="21" operator="beginsWith" text="L">
      <formula>LEFT(AP106,LEN("L"))="L"</formula>
    </cfRule>
  </conditionalFormatting>
  <conditionalFormatting sqref="BA106:BA154">
    <cfRule type="beginsWith" dxfId="219" priority="20" operator="beginsWith" text="L">
      <formula>LEFT(BA106,LEN("L"))="L"</formula>
    </cfRule>
  </conditionalFormatting>
  <conditionalFormatting sqref="BL106:BL154">
    <cfRule type="beginsWith" dxfId="218" priority="19" operator="beginsWith" text="L">
      <formula>LEFT(BL106,LEN("L"))="L"</formula>
    </cfRule>
  </conditionalFormatting>
  <conditionalFormatting sqref="BX106:BX154">
    <cfRule type="beginsWith" dxfId="217" priority="18" operator="beginsWith" text="L">
      <formula>LEFT(BX106,LEN("L"))="L"</formula>
    </cfRule>
  </conditionalFormatting>
  <conditionalFormatting sqref="CT106:CT154">
    <cfRule type="beginsWith" dxfId="216" priority="17" operator="beginsWith" text="L">
      <formula>LEFT(CT106,LEN("L"))="L"</formula>
    </cfRule>
  </conditionalFormatting>
  <conditionalFormatting sqref="CU106:CU154">
    <cfRule type="beginsWith" dxfId="215" priority="16" operator="beginsWith" text="L">
      <formula>LEFT(CU106,LEN("L"))="L"</formula>
    </cfRule>
  </conditionalFormatting>
  <conditionalFormatting sqref="CV106:CV154">
    <cfRule type="beginsWith" dxfId="214" priority="15" operator="beginsWith" text="L">
      <formula>LEFT(CV106,LEN("L"))="L"</formula>
    </cfRule>
  </conditionalFormatting>
  <conditionalFormatting sqref="CW106:CW154">
    <cfRule type="beginsWith" dxfId="213" priority="14" operator="beginsWith" text="L">
      <formula>LEFT(CW106,LEN("L"))="L"</formula>
    </cfRule>
  </conditionalFormatting>
  <conditionalFormatting sqref="DC106:DC154">
    <cfRule type="beginsWith" dxfId="212" priority="13" operator="beginsWith" text="L">
      <formula>LEFT(DC106,LEN("L"))="L"</formula>
    </cfRule>
  </conditionalFormatting>
  <conditionalFormatting sqref="AW106:AW154">
    <cfRule type="beginsWith" dxfId="211" priority="12" operator="beginsWith" text="L">
      <formula>LEFT(AW106,LEN("L"))="L"</formula>
    </cfRule>
  </conditionalFormatting>
  <conditionalFormatting sqref="EK105:EK154">
    <cfRule type="containsText" dxfId="210" priority="7" operator="containsText" text="criadas">
      <formula>NOT(ISERROR(SEARCH("criadas",EK105)))</formula>
    </cfRule>
    <cfRule type="containsText" dxfId="209" priority="8" operator="containsText" text="é gravado">
      <formula>NOT(ISERROR(SEARCH("é gravado",EK105)))</formula>
    </cfRule>
    <cfRule type="containsText" dxfId="208" priority="9" operator="containsText" text="é modificado">
      <formula>NOT(ISERROR(SEARCH("é modificado",EK105)))</formula>
    </cfRule>
    <cfRule type="containsText" dxfId="207" priority="10" operator="containsText" text="Error">
      <formula>NOT(ISERROR(SEARCH("Error",EK105)))</formula>
    </cfRule>
    <cfRule type="containsText" dxfId="206" priority="11" operator="containsText" text="é criado">
      <formula>NOT(ISERROR(SEARCH("é criado",EK105)))</formula>
    </cfRule>
  </conditionalFormatting>
  <conditionalFormatting sqref="DA105:DA154">
    <cfRule type="beginsWith" dxfId="205" priority="6" operator="beginsWith" text="L">
      <formula>LEFT(DA105,LEN("L"))="L"</formula>
    </cfRule>
  </conditionalFormatting>
  <conditionalFormatting sqref="EB105:EB154">
    <cfRule type="beginsWith" dxfId="204" priority="5" operator="beginsWith" text="L">
      <formula>LEFT(EB105,LEN("L"))="L"</formula>
    </cfRule>
  </conditionalFormatting>
  <conditionalFormatting sqref="G105:G154">
    <cfRule type="beginsWith" dxfId="203" priority="4" operator="beginsWith" text="L">
      <formula>LEFT(G105,LEN("L"))="L"</formula>
    </cfRule>
  </conditionalFormatting>
  <conditionalFormatting sqref="H105:H154">
    <cfRule type="beginsWith" dxfId="202" priority="3" operator="beginsWith" text="L">
      <formula>LEFT(H105,LEN("L"))="L"</formula>
    </cfRule>
  </conditionalFormatting>
  <conditionalFormatting sqref="J105:J154">
    <cfRule type="beginsWith" dxfId="201" priority="2" operator="beginsWith" text="L">
      <formula>LEFT(J105,LEN("L"))="L"</formula>
    </cfRule>
  </conditionalFormatting>
  <conditionalFormatting sqref="AR105:AR154">
    <cfRule type="beginsWith" dxfId="200" priority="1" operator="beginsWith" text="L">
      <formula>LEFT(AR105,LEN("L"))="L"</formula>
    </cfRule>
  </conditionalFormatting>
  <dataValidations count="4">
    <dataValidation type="list" allowBlank="1" showInputMessage="1" showErrorMessage="1" sqref="CE5:CE154 BT5:BT154">
      <formula1>"0,1"</formula1>
    </dataValidation>
    <dataValidation type="list" allowBlank="1" showInputMessage="1" showErrorMessage="1" sqref="ED5:ED154 EI5:EI154 DX5:DX154">
      <formula1>"1,0"</formula1>
    </dataValidation>
    <dataValidation type="list" allowBlank="1" showInputMessage="1" showErrorMessage="1" sqref="DL5:DL154 DT5:DT154 DH5:DH1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1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M5:AM154</xm:sqref>
        </x14:dataValidation>
        <x14:dataValidation type="list" allowBlank="1" showInputMessage="1" showErrorMessage="1">
          <x14:formula1>
            <xm:f>'Listas de Dados'!$B$4:$B$5</xm:f>
          </x14:formula1>
          <xm:sqref>I5:I154</xm:sqref>
        </x14:dataValidation>
        <x14:dataValidation type="list" allowBlank="1" showInputMessage="1" showErrorMessage="1">
          <x14:formula1>
            <xm:f>'Listas de Dados'!$E$4:$E$5</xm:f>
          </x14:formula1>
          <xm:sqref>K5:K154</xm:sqref>
        </x14:dataValidation>
        <x14:dataValidation type="list" allowBlank="1" showInputMessage="1" showErrorMessage="1">
          <x14:formula1>
            <xm:f>'Listas de Dados'!$AA$4:$AA$5</xm:f>
          </x14:formula1>
          <xm:sqref>BM5:BM154 AT5:AT154</xm:sqref>
        </x14:dataValidation>
        <x14:dataValidation type="list" allowBlank="1" showInputMessage="1" showErrorMessage="1">
          <x14:formula1>
            <xm:f>'Listas de Dados'!$AI$4:$AI$11</xm:f>
          </x14:formula1>
          <xm:sqref>BU5:BU154</xm:sqref>
        </x14:dataValidation>
        <x14:dataValidation type="list" allowBlank="1" showInputMessage="1" showErrorMessage="1">
          <x14:formula1>
            <xm:f>'Listas de Dados'!$AL$4:$AL$10</xm:f>
          </x14:formula1>
          <xm:sqref>CA5:CA154</xm:sqref>
        </x14:dataValidation>
        <x14:dataValidation type="list" allowBlank="1" showInputMessage="1" showErrorMessage="1">
          <x14:formula1>
            <xm:f>'Listas de Dados'!$AO$4:$AO$32</xm:f>
          </x14:formula1>
          <xm:sqref>CB5:CB154</xm:sqref>
        </x14:dataValidation>
        <x14:dataValidation type="list" allowBlank="1" showInputMessage="1" showErrorMessage="1">
          <x14:formula1>
            <xm:f>'Listas de Dados'!$AU$4:$AU$35</xm:f>
          </x14:formula1>
          <xm:sqref>CD5:CD154</xm:sqref>
        </x14:dataValidation>
        <x14:dataValidation type="list" allowBlank="1" showInputMessage="1" showErrorMessage="1">
          <x14:formula1>
            <xm:f>'Listas de Dados'!$AX$4:$AX$5</xm:f>
          </x14:formula1>
          <xm:sqref>CF5:CF154</xm:sqref>
        </x14:dataValidation>
        <x14:dataValidation type="list" allowBlank="1" showInputMessage="1" showErrorMessage="1">
          <x14:formula1>
            <xm:f>'Listas de Dados'!$AX$6:$AX$8</xm:f>
          </x14:formula1>
          <xm:sqref>CG5:CG154</xm:sqref>
        </x14:dataValidation>
        <x14:dataValidation type="list" allowBlank="1" showInputMessage="1" showErrorMessage="1">
          <x14:formula1>
            <xm:f>'Listas de Dados'!$BF$4:$BF$87</xm:f>
          </x14:formula1>
          <xm:sqref>DP5:DP154</xm:sqref>
        </x14:dataValidation>
        <x14:dataValidation type="list" allowBlank="1" showInputMessage="1" showErrorMessage="1">
          <x14:formula1>
            <xm:f>'Listas de Dados'!$AD$4:$AD$16</xm:f>
          </x14:formula1>
          <xm:sqref>BK5:BK154</xm:sqref>
        </x14:dataValidation>
        <x14:dataValidation type="list" allowBlank="1" showInputMessage="1" showErrorMessage="1">
          <x14:formula1>
            <xm:f>'Listas de Dados'!$BM$4:$BM$9</xm:f>
          </x14:formula1>
          <xm:sqref>D5:D154</xm:sqref>
        </x14:dataValidation>
        <x14:dataValidation type="list" allowBlank="1" showInputMessage="1" showErrorMessage="1">
          <x14:formula1>
            <xm:f>'Listas de Dados'!$BO$4:$BO$34</xm:f>
          </x14:formula1>
          <xm:sqref>AP5:AP154</xm:sqref>
        </x14:dataValidation>
        <x14:dataValidation type="list" allowBlank="1" showInputMessage="1" showErrorMessage="1">
          <x14:formula1>
            <xm:f>'Listas de Dados'!$BR$4:$BR$6</xm:f>
          </x14:formula1>
          <xm:sqref>BL5:BL154</xm:sqref>
        </x14:dataValidation>
        <x14:dataValidation type="list" allowBlank="1" showInputMessage="1" showErrorMessage="1">
          <x14:formula1>
            <xm:f>'Listas de Dados'!$AR$4:$AR$11</xm:f>
          </x14:formula1>
          <xm:sqref>CC5:CC154</xm:sqref>
        </x14:dataValidation>
        <x14:dataValidation type="list" allowBlank="1" showInputMessage="1" showErrorMessage="1">
          <x14:formula1>
            <xm:f>'Listas de Dados'!$C$4:$C$18</xm:f>
          </x14:formula1>
          <xm:sqref>H5:H154</xm:sqref>
        </x14:dataValidation>
        <x14:dataValidation type="list" allowBlank="1" showInputMessage="1" showErrorMessage="1">
          <x14:formula1>
            <xm:f>'Listas de Dados'!$D$4:$D$8</xm:f>
          </x14:formula1>
          <xm:sqref>J5:J154</xm:sqref>
        </x14:dataValidation>
        <x14:dataValidation type="list" allowBlank="1" showInputMessage="1" showErrorMessage="1">
          <x14:formula1>
            <xm:f>'Listas de Dados'!$M$4:$M$15</xm:f>
          </x14:formula1>
          <xm:sqref>AR5:AR154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855</v>
      </c>
      <c r="C3" s="36" t="s">
        <v>856</v>
      </c>
      <c r="D3" s="36" t="s">
        <v>857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858</v>
      </c>
      <c r="E4" s="5" t="s">
        <v>956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  <row r="55" spans="1:5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44">
        <v>1</v>
      </c>
      <c r="E55" s="68"/>
    </row>
    <row r="56" spans="1:5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44">
        <v>1</v>
      </c>
      <c r="E56" s="69"/>
    </row>
    <row r="57" spans="1:5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44">
        <v>1</v>
      </c>
      <c r="E57" s="69"/>
    </row>
    <row r="58" spans="1:5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44">
        <v>1</v>
      </c>
      <c r="E58" s="69"/>
    </row>
    <row r="59" spans="1:5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44">
        <v>1</v>
      </c>
      <c r="E59" s="69"/>
    </row>
    <row r="60" spans="1:5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44">
        <v>1</v>
      </c>
      <c r="E60" s="69"/>
    </row>
    <row r="61" spans="1:5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44">
        <v>1</v>
      </c>
      <c r="E61" s="69"/>
    </row>
    <row r="62" spans="1:5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44">
        <v>1</v>
      </c>
      <c r="E62" s="69"/>
    </row>
    <row r="63" spans="1:5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44">
        <v>1</v>
      </c>
      <c r="E63" s="69"/>
    </row>
    <row r="64" spans="1:5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44">
        <v>1</v>
      </c>
      <c r="E64" s="69"/>
    </row>
    <row r="65" spans="1:5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44">
        <v>1</v>
      </c>
      <c r="E65" s="69"/>
    </row>
    <row r="66" spans="1:5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44">
        <v>1</v>
      </c>
      <c r="E66" s="69"/>
    </row>
    <row r="67" spans="1:5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44">
        <v>1</v>
      </c>
      <c r="E67" s="69"/>
    </row>
    <row r="68" spans="1:5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44">
        <v>1</v>
      </c>
      <c r="E68" s="69"/>
    </row>
    <row r="69" spans="1:5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44">
        <v>1</v>
      </c>
      <c r="E69" s="69"/>
    </row>
    <row r="70" spans="1:5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44">
        <v>1</v>
      </c>
      <c r="E70" s="69"/>
    </row>
    <row r="71" spans="1:5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44">
        <v>1</v>
      </c>
      <c r="E71" s="69"/>
    </row>
    <row r="72" spans="1:5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44">
        <v>1</v>
      </c>
      <c r="E72" s="69"/>
    </row>
    <row r="73" spans="1:5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44">
        <v>1</v>
      </c>
      <c r="E73" s="69"/>
    </row>
    <row r="74" spans="1:5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44">
        <v>1</v>
      </c>
      <c r="E74" s="69"/>
    </row>
    <row r="75" spans="1:5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44">
        <v>1</v>
      </c>
      <c r="E75" s="69"/>
    </row>
    <row r="76" spans="1:5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44">
        <v>1</v>
      </c>
      <c r="E76" s="69"/>
    </row>
    <row r="77" spans="1:5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44">
        <v>1</v>
      </c>
      <c r="E77" s="69"/>
    </row>
    <row r="78" spans="1:5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44">
        <v>1</v>
      </c>
      <c r="E78" s="69"/>
    </row>
    <row r="79" spans="1:5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44">
        <v>1</v>
      </c>
      <c r="E79" s="69"/>
    </row>
    <row r="80" spans="1:5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44">
        <v>1</v>
      </c>
      <c r="E80" s="69"/>
    </row>
    <row r="81" spans="1:5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44">
        <v>1</v>
      </c>
      <c r="E81" s="69"/>
    </row>
    <row r="82" spans="1:5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44">
        <v>1</v>
      </c>
      <c r="E82" s="69"/>
    </row>
    <row r="83" spans="1:5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44">
        <v>1</v>
      </c>
      <c r="E83" s="69"/>
    </row>
    <row r="84" spans="1:5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44">
        <v>1</v>
      </c>
      <c r="E84" s="69"/>
    </row>
    <row r="85" spans="1:5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44">
        <v>1</v>
      </c>
      <c r="E85" s="69"/>
    </row>
    <row r="86" spans="1:5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44">
        <v>1</v>
      </c>
      <c r="E86" s="69"/>
    </row>
    <row r="87" spans="1:5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44">
        <v>1</v>
      </c>
      <c r="E87" s="69"/>
    </row>
    <row r="88" spans="1:5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44">
        <v>1</v>
      </c>
      <c r="E88" s="69"/>
    </row>
    <row r="89" spans="1:5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44">
        <v>1</v>
      </c>
      <c r="E89" s="69"/>
    </row>
    <row r="90" spans="1:5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44">
        <v>1</v>
      </c>
      <c r="E90" s="69"/>
    </row>
    <row r="91" spans="1:5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44">
        <v>1</v>
      </c>
      <c r="E91" s="69"/>
    </row>
    <row r="92" spans="1:5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44">
        <v>1</v>
      </c>
      <c r="E92" s="69"/>
    </row>
    <row r="93" spans="1:5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44">
        <v>1</v>
      </c>
      <c r="E93" s="69"/>
    </row>
    <row r="94" spans="1:5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44">
        <v>1</v>
      </c>
      <c r="E94" s="69"/>
    </row>
    <row r="95" spans="1:5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44">
        <v>1</v>
      </c>
      <c r="E95" s="69"/>
    </row>
    <row r="96" spans="1:5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44">
        <v>1</v>
      </c>
      <c r="E96" s="69"/>
    </row>
    <row r="97" spans="1:5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44">
        <v>1</v>
      </c>
      <c r="E97" s="69"/>
    </row>
    <row r="98" spans="1:5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44">
        <v>1</v>
      </c>
      <c r="E98" s="69"/>
    </row>
    <row r="99" spans="1:5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44">
        <v>1</v>
      </c>
      <c r="E99" s="69"/>
    </row>
    <row r="100" spans="1:5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44">
        <v>1</v>
      </c>
      <c r="E100" s="69"/>
    </row>
    <row r="101" spans="1:5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44">
        <v>1</v>
      </c>
      <c r="E101" s="69"/>
    </row>
    <row r="102" spans="1:5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44">
        <v>1</v>
      </c>
      <c r="E102" s="69"/>
    </row>
    <row r="103" spans="1:5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44">
        <v>1</v>
      </c>
      <c r="E103" s="69"/>
    </row>
    <row r="104" spans="1:5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44">
        <v>1</v>
      </c>
      <c r="E104" s="70"/>
    </row>
    <row r="105" spans="1:5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44">
        <v>1</v>
      </c>
      <c r="E105" s="68"/>
    </row>
    <row r="106" spans="1:5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44">
        <v>1</v>
      </c>
      <c r="E106" s="69"/>
    </row>
    <row r="107" spans="1:5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44">
        <v>1</v>
      </c>
      <c r="E107" s="69"/>
    </row>
    <row r="108" spans="1:5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44">
        <v>1</v>
      </c>
      <c r="E108" s="69"/>
    </row>
    <row r="109" spans="1:5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44">
        <v>1</v>
      </c>
      <c r="E109" s="69"/>
    </row>
    <row r="110" spans="1:5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44">
        <v>1</v>
      </c>
      <c r="E110" s="69"/>
    </row>
    <row r="111" spans="1:5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44">
        <v>1</v>
      </c>
      <c r="E111" s="69"/>
    </row>
    <row r="112" spans="1:5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44">
        <v>1</v>
      </c>
      <c r="E112" s="69"/>
    </row>
    <row r="113" spans="1:5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44">
        <v>1</v>
      </c>
      <c r="E113" s="69"/>
    </row>
    <row r="114" spans="1:5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44">
        <v>1</v>
      </c>
      <c r="E114" s="69"/>
    </row>
    <row r="115" spans="1:5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44">
        <v>1</v>
      </c>
      <c r="E115" s="69"/>
    </row>
    <row r="116" spans="1:5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44">
        <v>1</v>
      </c>
      <c r="E116" s="69"/>
    </row>
    <row r="117" spans="1:5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44">
        <v>1</v>
      </c>
      <c r="E117" s="69"/>
    </row>
    <row r="118" spans="1:5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44">
        <v>1</v>
      </c>
      <c r="E118" s="69"/>
    </row>
    <row r="119" spans="1:5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44">
        <v>1</v>
      </c>
      <c r="E119" s="69"/>
    </row>
    <row r="120" spans="1:5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44">
        <v>1</v>
      </c>
      <c r="E120" s="69"/>
    </row>
    <row r="121" spans="1:5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44">
        <v>1</v>
      </c>
      <c r="E121" s="69"/>
    </row>
    <row r="122" spans="1:5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44">
        <v>1</v>
      </c>
      <c r="E122" s="69"/>
    </row>
    <row r="123" spans="1:5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44">
        <v>1</v>
      </c>
      <c r="E123" s="69"/>
    </row>
    <row r="124" spans="1:5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44">
        <v>1</v>
      </c>
      <c r="E124" s="69"/>
    </row>
    <row r="125" spans="1:5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44">
        <v>1</v>
      </c>
      <c r="E125" s="69"/>
    </row>
    <row r="126" spans="1:5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44">
        <v>1</v>
      </c>
      <c r="E126" s="69"/>
    </row>
    <row r="127" spans="1:5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44">
        <v>1</v>
      </c>
      <c r="E127" s="69"/>
    </row>
    <row r="128" spans="1:5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44">
        <v>1</v>
      </c>
      <c r="E128" s="69"/>
    </row>
    <row r="129" spans="1:5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44">
        <v>1</v>
      </c>
      <c r="E129" s="69"/>
    </row>
    <row r="130" spans="1:5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44">
        <v>1</v>
      </c>
      <c r="E130" s="69"/>
    </row>
    <row r="131" spans="1:5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44">
        <v>1</v>
      </c>
      <c r="E131" s="69"/>
    </row>
    <row r="132" spans="1:5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44">
        <v>1</v>
      </c>
      <c r="E132" s="69"/>
    </row>
    <row r="133" spans="1:5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44">
        <v>1</v>
      </c>
      <c r="E133" s="69"/>
    </row>
    <row r="134" spans="1:5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44">
        <v>1</v>
      </c>
      <c r="E134" s="69"/>
    </row>
    <row r="135" spans="1:5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44">
        <v>1</v>
      </c>
      <c r="E135" s="69"/>
    </row>
    <row r="136" spans="1:5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44">
        <v>1</v>
      </c>
      <c r="E136" s="69"/>
    </row>
    <row r="137" spans="1:5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44">
        <v>1</v>
      </c>
      <c r="E137" s="69"/>
    </row>
    <row r="138" spans="1:5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44">
        <v>1</v>
      </c>
      <c r="E138" s="69"/>
    </row>
    <row r="139" spans="1:5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44">
        <v>1</v>
      </c>
      <c r="E139" s="69"/>
    </row>
    <row r="140" spans="1:5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44">
        <v>1</v>
      </c>
      <c r="E140" s="69"/>
    </row>
    <row r="141" spans="1:5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44">
        <v>1</v>
      </c>
      <c r="E141" s="69"/>
    </row>
    <row r="142" spans="1:5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44">
        <v>1</v>
      </c>
      <c r="E142" s="69"/>
    </row>
    <row r="143" spans="1:5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44">
        <v>1</v>
      </c>
      <c r="E143" s="69"/>
    </row>
    <row r="144" spans="1:5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44">
        <v>1</v>
      </c>
      <c r="E144" s="69"/>
    </row>
    <row r="145" spans="1:5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44">
        <v>1</v>
      </c>
      <c r="E145" s="69"/>
    </row>
    <row r="146" spans="1:5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44">
        <v>1</v>
      </c>
      <c r="E146" s="69"/>
    </row>
    <row r="147" spans="1:5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44">
        <v>1</v>
      </c>
      <c r="E147" s="69"/>
    </row>
    <row r="148" spans="1:5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44">
        <v>1</v>
      </c>
      <c r="E148" s="69"/>
    </row>
    <row r="149" spans="1:5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44">
        <v>1</v>
      </c>
      <c r="E149" s="69"/>
    </row>
    <row r="150" spans="1:5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44">
        <v>1</v>
      </c>
      <c r="E150" s="69"/>
    </row>
    <row r="151" spans="1:5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44">
        <v>1</v>
      </c>
      <c r="E151" s="69"/>
    </row>
    <row r="152" spans="1:5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44">
        <v>1</v>
      </c>
      <c r="E152" s="69"/>
    </row>
    <row r="153" spans="1:5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44">
        <v>1</v>
      </c>
      <c r="E153" s="69"/>
    </row>
    <row r="154" spans="1:5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44">
        <v>1</v>
      </c>
      <c r="E154" s="70"/>
    </row>
  </sheetData>
  <conditionalFormatting sqref="B5">
    <cfRule type="beginsWith" dxfId="199" priority="72" operator="beginsWith" text="L">
      <formula>LEFT(B5,LEN("L"))="L"</formula>
    </cfRule>
  </conditionalFormatting>
  <conditionalFormatting sqref="B6:B14">
    <cfRule type="beginsWith" dxfId="198" priority="56" operator="beginsWith" text="L">
      <formula>LEFT(B6,LEN("L"))="L"</formula>
    </cfRule>
  </conditionalFormatting>
  <conditionalFormatting sqref="B15:B54">
    <cfRule type="beginsWith" dxfId="197" priority="42" operator="beginsWith" text="L">
      <formula>LEFT(B15,LEN("L"))="L"</formula>
    </cfRule>
  </conditionalFormatting>
  <conditionalFormatting sqref="E1:E54 E155:E1048576">
    <cfRule type="containsText" dxfId="196" priority="17" operator="containsText" text="criadas">
      <formula>NOT(ISERROR(SEARCH("criadas",E1)))</formula>
    </cfRule>
    <cfRule type="containsText" dxfId="195" priority="18" operator="containsText" text="é gravado">
      <formula>NOT(ISERROR(SEARCH("é gravado",E1)))</formula>
    </cfRule>
    <cfRule type="containsText" dxfId="194" priority="19" operator="containsText" text="é modificado">
      <formula>NOT(ISERROR(SEARCH("é modificado",E1)))</formula>
    </cfRule>
    <cfRule type="containsText" dxfId="193" priority="20" operator="containsText" text="Error">
      <formula>NOT(ISERROR(SEARCH("Error",E1)))</formula>
    </cfRule>
    <cfRule type="containsText" dxfId="192" priority="21" operator="containsText" text="é criado">
      <formula>NOT(ISERROR(SEARCH("é criado",E1)))</formula>
    </cfRule>
  </conditionalFormatting>
  <conditionalFormatting sqref="B55">
    <cfRule type="beginsWith" dxfId="191" priority="16" operator="beginsWith" text="L">
      <formula>LEFT(B55,LEN("L"))="L"</formula>
    </cfRule>
  </conditionalFormatting>
  <conditionalFormatting sqref="B56:B64">
    <cfRule type="beginsWith" dxfId="190" priority="15" operator="beginsWith" text="L">
      <formula>LEFT(B56,LEN("L"))="L"</formula>
    </cfRule>
  </conditionalFormatting>
  <conditionalFormatting sqref="B65:B104">
    <cfRule type="beginsWith" dxfId="189" priority="14" operator="beginsWith" text="L">
      <formula>LEFT(B65,LEN("L"))="L"</formula>
    </cfRule>
  </conditionalFormatting>
  <conditionalFormatting sqref="E55:E104">
    <cfRule type="containsText" dxfId="188" priority="9" operator="containsText" text="criadas">
      <formula>NOT(ISERROR(SEARCH("criadas",E55)))</formula>
    </cfRule>
    <cfRule type="containsText" dxfId="187" priority="10" operator="containsText" text="é gravado">
      <formula>NOT(ISERROR(SEARCH("é gravado",E55)))</formula>
    </cfRule>
    <cfRule type="containsText" dxfId="186" priority="11" operator="containsText" text="é modificado">
      <formula>NOT(ISERROR(SEARCH("é modificado",E55)))</formula>
    </cfRule>
    <cfRule type="containsText" dxfId="185" priority="12" operator="containsText" text="Error">
      <formula>NOT(ISERROR(SEARCH("Error",E55)))</formula>
    </cfRule>
    <cfRule type="containsText" dxfId="184" priority="13" operator="containsText" text="é criado">
      <formula>NOT(ISERROR(SEARCH("é criado",E55)))</formula>
    </cfRule>
  </conditionalFormatting>
  <conditionalFormatting sqref="B105">
    <cfRule type="beginsWith" dxfId="183" priority="8" operator="beginsWith" text="L">
      <formula>LEFT(B105,LEN("L"))="L"</formula>
    </cfRule>
  </conditionalFormatting>
  <conditionalFormatting sqref="B106:B114">
    <cfRule type="beginsWith" dxfId="182" priority="7" operator="beginsWith" text="L">
      <formula>LEFT(B106,LEN("L"))="L"</formula>
    </cfRule>
  </conditionalFormatting>
  <conditionalFormatting sqref="B115:B154">
    <cfRule type="beginsWith" dxfId="181" priority="6" operator="beginsWith" text="L">
      <formula>LEFT(B115,LEN("L"))="L"</formula>
    </cfRule>
  </conditionalFormatting>
  <conditionalFormatting sqref="E105:E154">
    <cfRule type="containsText" dxfId="180" priority="1" operator="containsText" text="criadas">
      <formula>NOT(ISERROR(SEARCH("criadas",E105)))</formula>
    </cfRule>
    <cfRule type="containsText" dxfId="179" priority="2" operator="containsText" text="é gravado">
      <formula>NOT(ISERROR(SEARCH("é gravado",E105)))</formula>
    </cfRule>
    <cfRule type="containsText" dxfId="178" priority="3" operator="containsText" text="é modificado">
      <formula>NOT(ISERROR(SEARCH("é modificado",E105)))</formula>
    </cfRule>
    <cfRule type="containsText" dxfId="177" priority="4" operator="containsText" text="Error">
      <formula>NOT(ISERROR(SEARCH("Error",E105)))</formula>
    </cfRule>
    <cfRule type="containsText" dxfId="176" priority="5" operator="containsText" text="é criado">
      <formula>NOT(ISERROR(SEARCH("é criado",E105)))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863</v>
      </c>
      <c r="C3" s="36" t="s">
        <v>864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75" priority="39" operator="beginsWith" text="L">
      <formula>LEFT(B5,LEN("L"))="L"</formula>
    </cfRule>
  </conditionalFormatting>
  <conditionalFormatting sqref="B6:B54">
    <cfRule type="beginsWith" dxfId="174" priority="36" operator="beginsWith" text="L">
      <formula>LEFT(B6,LEN("L"))="L"</formula>
    </cfRule>
  </conditionalFormatting>
  <conditionalFormatting sqref="D1:D54 D155:D1048576">
    <cfRule type="containsText" dxfId="173" priority="15" operator="containsText" text="criadas">
      <formula>NOT(ISERROR(SEARCH("criadas",D1)))</formula>
    </cfRule>
    <cfRule type="containsText" dxfId="172" priority="16" operator="containsText" text="é gravado">
      <formula>NOT(ISERROR(SEARCH("é gravado",D1)))</formula>
    </cfRule>
    <cfRule type="containsText" dxfId="171" priority="17" operator="containsText" text="é modificado">
      <formula>NOT(ISERROR(SEARCH("é modificado",D1)))</formula>
    </cfRule>
    <cfRule type="containsText" dxfId="170" priority="18" operator="containsText" text="Error">
      <formula>NOT(ISERROR(SEARCH("Error",D1)))</formula>
    </cfRule>
    <cfRule type="containsText" dxfId="169" priority="19" operator="containsText" text="é criado">
      <formula>NOT(ISERROR(SEARCH("é criado",D1)))</formula>
    </cfRule>
  </conditionalFormatting>
  <conditionalFormatting sqref="B55">
    <cfRule type="beginsWith" dxfId="168" priority="14" operator="beginsWith" text="L">
      <formula>LEFT(B55,LEN("L"))="L"</formula>
    </cfRule>
  </conditionalFormatting>
  <conditionalFormatting sqref="B56:B104">
    <cfRule type="beginsWith" dxfId="167" priority="13" operator="beginsWith" text="L">
      <formula>LEFT(B56,LEN("L"))="L"</formula>
    </cfRule>
  </conditionalFormatting>
  <conditionalFormatting sqref="D55:D104">
    <cfRule type="containsText" dxfId="166" priority="8" operator="containsText" text="criadas">
      <formula>NOT(ISERROR(SEARCH("criadas",D55)))</formula>
    </cfRule>
    <cfRule type="containsText" dxfId="165" priority="9" operator="containsText" text="é gravado">
      <formula>NOT(ISERROR(SEARCH("é gravado",D55)))</formula>
    </cfRule>
    <cfRule type="containsText" dxfId="164" priority="10" operator="containsText" text="é modificado">
      <formula>NOT(ISERROR(SEARCH("é modificado",D55)))</formula>
    </cfRule>
    <cfRule type="containsText" dxfId="163" priority="11" operator="containsText" text="Error">
      <formula>NOT(ISERROR(SEARCH("Error",D55)))</formula>
    </cfRule>
    <cfRule type="containsText" dxfId="162" priority="12" operator="containsText" text="é criado">
      <formula>NOT(ISERROR(SEARCH("é criado",D55)))</formula>
    </cfRule>
  </conditionalFormatting>
  <conditionalFormatting sqref="B105">
    <cfRule type="beginsWith" dxfId="161" priority="7" operator="beginsWith" text="L">
      <formula>LEFT(B105,LEN("L"))="L"</formula>
    </cfRule>
  </conditionalFormatting>
  <conditionalFormatting sqref="B106:B154">
    <cfRule type="beginsWith" dxfId="160" priority="6" operator="beginsWith" text="L">
      <formula>LEFT(B106,LEN("L"))="L"</formula>
    </cfRule>
  </conditionalFormatting>
  <conditionalFormatting sqref="D105:D154">
    <cfRule type="containsText" dxfId="159" priority="1" operator="containsText" text="criadas">
      <formula>NOT(ISERROR(SEARCH("criadas",D105)))</formula>
    </cfRule>
    <cfRule type="containsText" dxfId="158" priority="2" operator="containsText" text="é gravado">
      <formula>NOT(ISERROR(SEARCH("é gravado",D105)))</formula>
    </cfRule>
    <cfRule type="containsText" dxfId="157" priority="3" operator="containsText" text="é modificado">
      <formula>NOT(ISERROR(SEARCH("é modificado",D105)))</formula>
    </cfRule>
    <cfRule type="containsText" dxfId="156" priority="4" operator="containsText" text="Error">
      <formula>NOT(ISERROR(SEARCH("Error",D105)))</formula>
    </cfRule>
    <cfRule type="containsText" dxfId="155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K00_P_TRIM_0581</v>
      </c>
      <c r="D1" s="63"/>
    </row>
    <row r="2" spans="1:4" s="41" customFormat="1" x14ac:dyDescent="0.2">
      <c r="A2" s="7"/>
      <c r="B2" s="78" t="s">
        <v>4</v>
      </c>
      <c r="C2" s="37"/>
    </row>
    <row r="3" spans="1:4" s="37" customFormat="1" ht="15" customHeight="1" x14ac:dyDescent="0.2">
      <c r="A3" s="7" t="s">
        <v>29</v>
      </c>
      <c r="B3" s="4" t="s">
        <v>867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54" priority="43" operator="beginsWith" text="L">
      <formula>LEFT(B5,LEN("L"))="L"</formula>
    </cfRule>
  </conditionalFormatting>
  <conditionalFormatting sqref="B6:B14">
    <cfRule type="beginsWith" dxfId="153" priority="40" operator="beginsWith" text="L">
      <formula>LEFT(B6,LEN("L"))="L"</formula>
    </cfRule>
  </conditionalFormatting>
  <conditionalFormatting sqref="B15:B54">
    <cfRule type="beginsWith" dxfId="152" priority="37" operator="beginsWith" text="L">
      <formula>LEFT(B15,LEN("L"))="L"</formula>
    </cfRule>
  </conditionalFormatting>
  <conditionalFormatting sqref="D1:D54 D155:D1048576">
    <cfRule type="containsText" dxfId="151" priority="17" operator="containsText" text="criadas">
      <formula>NOT(ISERROR(SEARCH("criadas",D1)))</formula>
    </cfRule>
    <cfRule type="containsText" dxfId="150" priority="18" operator="containsText" text="é gravado">
      <formula>NOT(ISERROR(SEARCH("é gravado",D1)))</formula>
    </cfRule>
    <cfRule type="containsText" dxfId="149" priority="19" operator="containsText" text="é modificado">
      <formula>NOT(ISERROR(SEARCH("é modificado",D1)))</formula>
    </cfRule>
    <cfRule type="containsText" dxfId="148" priority="20" operator="containsText" text="Error">
      <formula>NOT(ISERROR(SEARCH("Error",D1)))</formula>
    </cfRule>
    <cfRule type="containsText" dxfId="147" priority="21" operator="containsText" text="é criado">
      <formula>NOT(ISERROR(SEARCH("é criado",D1)))</formula>
    </cfRule>
  </conditionalFormatting>
  <conditionalFormatting sqref="B55">
    <cfRule type="beginsWith" dxfId="146" priority="16" operator="beginsWith" text="L">
      <formula>LEFT(B55,LEN("L"))="L"</formula>
    </cfRule>
  </conditionalFormatting>
  <conditionalFormatting sqref="B56:B64">
    <cfRule type="beginsWith" dxfId="145" priority="15" operator="beginsWith" text="L">
      <formula>LEFT(B56,LEN("L"))="L"</formula>
    </cfRule>
  </conditionalFormatting>
  <conditionalFormatting sqref="B65:B104">
    <cfRule type="beginsWith" dxfId="144" priority="14" operator="beginsWith" text="L">
      <formula>LEFT(B65,LEN("L"))="L"</formula>
    </cfRule>
  </conditionalFormatting>
  <conditionalFormatting sqref="D55:D104">
    <cfRule type="containsText" dxfId="143" priority="9" operator="containsText" text="criadas">
      <formula>NOT(ISERROR(SEARCH("criadas",D55)))</formula>
    </cfRule>
    <cfRule type="containsText" dxfId="142" priority="10" operator="containsText" text="é gravado">
      <formula>NOT(ISERROR(SEARCH("é gravado",D55)))</formula>
    </cfRule>
    <cfRule type="containsText" dxfId="141" priority="11" operator="containsText" text="é modificado">
      <formula>NOT(ISERROR(SEARCH("é modificado",D55)))</formula>
    </cfRule>
    <cfRule type="containsText" dxfId="140" priority="12" operator="containsText" text="Error">
      <formula>NOT(ISERROR(SEARCH("Error",D55)))</formula>
    </cfRule>
    <cfRule type="containsText" dxfId="139" priority="13" operator="containsText" text="é criado">
      <formula>NOT(ISERROR(SEARCH("é criado",D55)))</formula>
    </cfRule>
  </conditionalFormatting>
  <conditionalFormatting sqref="B105">
    <cfRule type="beginsWith" dxfId="138" priority="8" operator="beginsWith" text="L">
      <formula>LEFT(B105,LEN("L"))="L"</formula>
    </cfRule>
  </conditionalFormatting>
  <conditionalFormatting sqref="B106:B114">
    <cfRule type="beginsWith" dxfId="137" priority="7" operator="beginsWith" text="L">
      <formula>LEFT(B106,LEN("L"))="L"</formula>
    </cfRule>
  </conditionalFormatting>
  <conditionalFormatting sqref="B115:B154">
    <cfRule type="beginsWith" dxfId="136" priority="6" operator="beginsWith" text="L">
      <formula>LEFT(B115,LEN("L"))="L"</formula>
    </cfRule>
  </conditionalFormatting>
  <conditionalFormatting sqref="D105:D154">
    <cfRule type="containsText" dxfId="135" priority="1" operator="containsText" text="criadas">
      <formula>NOT(ISERROR(SEARCH("criadas",D105)))</formula>
    </cfRule>
    <cfRule type="containsText" dxfId="134" priority="2" operator="containsText" text="é gravado">
      <formula>NOT(ISERROR(SEARCH("é gravado",D105)))</formula>
    </cfRule>
    <cfRule type="containsText" dxfId="133" priority="3" operator="containsText" text="é modificado">
      <formula>NOT(ISERROR(SEARCH("é modificado",D105)))</formula>
    </cfRule>
    <cfRule type="containsText" dxfId="132" priority="4" operator="containsText" text="Error">
      <formula>NOT(ISERROR(SEARCH("Error",D105)))</formula>
    </cfRule>
    <cfRule type="containsText" dxfId="131" priority="5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1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872</v>
      </c>
      <c r="C3" s="52" t="s">
        <v>873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956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  <row r="55" spans="1:4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68"/>
    </row>
    <row r="56" spans="1:4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69"/>
    </row>
    <row r="57" spans="1:4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69"/>
    </row>
    <row r="58" spans="1:4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69"/>
    </row>
    <row r="59" spans="1:4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69"/>
    </row>
    <row r="60" spans="1:4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69"/>
    </row>
    <row r="61" spans="1:4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69"/>
    </row>
    <row r="62" spans="1:4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69"/>
    </row>
    <row r="63" spans="1:4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69"/>
    </row>
    <row r="64" spans="1:4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69"/>
    </row>
    <row r="65" spans="1:4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69"/>
    </row>
    <row r="66" spans="1:4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69"/>
    </row>
    <row r="67" spans="1:4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69"/>
    </row>
    <row r="68" spans="1:4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69"/>
    </row>
    <row r="69" spans="1:4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69"/>
    </row>
    <row r="70" spans="1:4" x14ac:dyDescent="0.2">
      <c r="A70" s="7" t="str">
        <f t="shared" ref="A70:A104" si="1">"Execução "&amp;ROW()-4</f>
        <v>Execução 66</v>
      </c>
      <c r="B70" s="42"/>
      <c r="C70" s="49" t="str">
        <f>IFERROR(VLOOKUP(B70,'MM01'!B:G,6,0),"")</f>
        <v/>
      </c>
      <c r="D70" s="69"/>
    </row>
    <row r="71" spans="1:4" x14ac:dyDescent="0.2">
      <c r="A71" s="7" t="str">
        <f t="shared" si="1"/>
        <v>Execução 67</v>
      </c>
      <c r="B71" s="42"/>
      <c r="C71" s="49" t="str">
        <f>IFERROR(VLOOKUP(B71,'MM01'!B:G,6,0),"")</f>
        <v/>
      </c>
      <c r="D71" s="69"/>
    </row>
    <row r="72" spans="1:4" x14ac:dyDescent="0.2">
      <c r="A72" s="7" t="str">
        <f t="shared" si="1"/>
        <v>Execução 68</v>
      </c>
      <c r="B72" s="42"/>
      <c r="C72" s="49" t="str">
        <f>IFERROR(VLOOKUP(B72,'MM01'!B:G,6,0),"")</f>
        <v/>
      </c>
      <c r="D72" s="69"/>
    </row>
    <row r="73" spans="1:4" x14ac:dyDescent="0.2">
      <c r="A73" s="7" t="str">
        <f t="shared" si="1"/>
        <v>Execução 69</v>
      </c>
      <c r="B73" s="42"/>
      <c r="C73" s="49" t="str">
        <f>IFERROR(VLOOKUP(B73,'MM01'!B:G,6,0),"")</f>
        <v/>
      </c>
      <c r="D73" s="69"/>
    </row>
    <row r="74" spans="1:4" x14ac:dyDescent="0.2">
      <c r="A74" s="7" t="str">
        <f t="shared" si="1"/>
        <v>Execução 70</v>
      </c>
      <c r="B74" s="42"/>
      <c r="C74" s="49" t="str">
        <f>IFERROR(VLOOKUP(B74,'MM01'!B:G,6,0),"")</f>
        <v/>
      </c>
      <c r="D74" s="69"/>
    </row>
    <row r="75" spans="1:4" x14ac:dyDescent="0.2">
      <c r="A75" s="7" t="str">
        <f t="shared" si="1"/>
        <v>Execução 71</v>
      </c>
      <c r="B75" s="42"/>
      <c r="C75" s="49" t="str">
        <f>IFERROR(VLOOKUP(B75,'MM01'!B:G,6,0),"")</f>
        <v/>
      </c>
      <c r="D75" s="69"/>
    </row>
    <row r="76" spans="1:4" x14ac:dyDescent="0.2">
      <c r="A76" s="7" t="str">
        <f t="shared" si="1"/>
        <v>Execução 72</v>
      </c>
      <c r="B76" s="42"/>
      <c r="C76" s="49" t="str">
        <f>IFERROR(VLOOKUP(B76,'MM01'!B:G,6,0),"")</f>
        <v/>
      </c>
      <c r="D76" s="69"/>
    </row>
    <row r="77" spans="1:4" x14ac:dyDescent="0.2">
      <c r="A77" s="7" t="str">
        <f t="shared" si="1"/>
        <v>Execução 73</v>
      </c>
      <c r="B77" s="42"/>
      <c r="C77" s="49" t="str">
        <f>IFERROR(VLOOKUP(B77,'MM01'!B:G,6,0),"")</f>
        <v/>
      </c>
      <c r="D77" s="69"/>
    </row>
    <row r="78" spans="1:4" x14ac:dyDescent="0.2">
      <c r="A78" s="7" t="str">
        <f t="shared" si="1"/>
        <v>Execução 74</v>
      </c>
      <c r="B78" s="42"/>
      <c r="C78" s="49" t="str">
        <f>IFERROR(VLOOKUP(B78,'MM01'!B:G,6,0),"")</f>
        <v/>
      </c>
      <c r="D78" s="69"/>
    </row>
    <row r="79" spans="1:4" x14ac:dyDescent="0.2">
      <c r="A79" s="7" t="str">
        <f t="shared" si="1"/>
        <v>Execução 75</v>
      </c>
      <c r="B79" s="42"/>
      <c r="C79" s="49" t="str">
        <f>IFERROR(VLOOKUP(B79,'MM01'!B:G,6,0),"")</f>
        <v/>
      </c>
      <c r="D79" s="69"/>
    </row>
    <row r="80" spans="1:4" x14ac:dyDescent="0.2">
      <c r="A80" s="7" t="str">
        <f t="shared" si="1"/>
        <v>Execução 76</v>
      </c>
      <c r="B80" s="42"/>
      <c r="C80" s="49" t="str">
        <f>IFERROR(VLOOKUP(B80,'MM01'!B:G,6,0),"")</f>
        <v/>
      </c>
      <c r="D80" s="69"/>
    </row>
    <row r="81" spans="1:4" x14ac:dyDescent="0.2">
      <c r="A81" s="7" t="str">
        <f t="shared" si="1"/>
        <v>Execução 77</v>
      </c>
      <c r="B81" s="42"/>
      <c r="C81" s="49" t="str">
        <f>IFERROR(VLOOKUP(B81,'MM01'!B:G,6,0),"")</f>
        <v/>
      </c>
      <c r="D81" s="69"/>
    </row>
    <row r="82" spans="1:4" x14ac:dyDescent="0.2">
      <c r="A82" s="7" t="str">
        <f t="shared" si="1"/>
        <v>Execução 78</v>
      </c>
      <c r="B82" s="42"/>
      <c r="C82" s="49" t="str">
        <f>IFERROR(VLOOKUP(B82,'MM01'!B:G,6,0),"")</f>
        <v/>
      </c>
      <c r="D82" s="69"/>
    </row>
    <row r="83" spans="1:4" x14ac:dyDescent="0.2">
      <c r="A83" s="7" t="str">
        <f t="shared" si="1"/>
        <v>Execução 79</v>
      </c>
      <c r="B83" s="42"/>
      <c r="C83" s="49" t="str">
        <f>IFERROR(VLOOKUP(B83,'MM01'!B:G,6,0),"")</f>
        <v/>
      </c>
      <c r="D83" s="69"/>
    </row>
    <row r="84" spans="1:4" x14ac:dyDescent="0.2">
      <c r="A84" s="7" t="str">
        <f t="shared" si="1"/>
        <v>Execução 80</v>
      </c>
      <c r="B84" s="42"/>
      <c r="C84" s="49" t="str">
        <f>IFERROR(VLOOKUP(B84,'MM01'!B:G,6,0),"")</f>
        <v/>
      </c>
      <c r="D84" s="69"/>
    </row>
    <row r="85" spans="1:4" x14ac:dyDescent="0.2">
      <c r="A85" s="7" t="str">
        <f t="shared" si="1"/>
        <v>Execução 81</v>
      </c>
      <c r="B85" s="42"/>
      <c r="C85" s="49" t="str">
        <f>IFERROR(VLOOKUP(B85,'MM01'!B:G,6,0),"")</f>
        <v/>
      </c>
      <c r="D85" s="69"/>
    </row>
    <row r="86" spans="1:4" x14ac:dyDescent="0.2">
      <c r="A86" s="7" t="str">
        <f t="shared" si="1"/>
        <v>Execução 82</v>
      </c>
      <c r="B86" s="42"/>
      <c r="C86" s="49" t="str">
        <f>IFERROR(VLOOKUP(B86,'MM01'!B:G,6,0),"")</f>
        <v/>
      </c>
      <c r="D86" s="69"/>
    </row>
    <row r="87" spans="1:4" x14ac:dyDescent="0.2">
      <c r="A87" s="7" t="str">
        <f t="shared" si="1"/>
        <v>Execução 83</v>
      </c>
      <c r="B87" s="42"/>
      <c r="C87" s="49" t="str">
        <f>IFERROR(VLOOKUP(B87,'MM01'!B:G,6,0),"")</f>
        <v/>
      </c>
      <c r="D87" s="69"/>
    </row>
    <row r="88" spans="1:4" x14ac:dyDescent="0.2">
      <c r="A88" s="7" t="str">
        <f t="shared" si="1"/>
        <v>Execução 84</v>
      </c>
      <c r="B88" s="42"/>
      <c r="C88" s="49" t="str">
        <f>IFERROR(VLOOKUP(B88,'MM01'!B:G,6,0),"")</f>
        <v/>
      </c>
      <c r="D88" s="69"/>
    </row>
    <row r="89" spans="1:4" x14ac:dyDescent="0.2">
      <c r="A89" s="7" t="str">
        <f t="shared" si="1"/>
        <v>Execução 85</v>
      </c>
      <c r="B89" s="42"/>
      <c r="C89" s="49" t="str">
        <f>IFERROR(VLOOKUP(B89,'MM01'!B:G,6,0),"")</f>
        <v/>
      </c>
      <c r="D89" s="69"/>
    </row>
    <row r="90" spans="1:4" x14ac:dyDescent="0.2">
      <c r="A90" s="7" t="str">
        <f t="shared" si="1"/>
        <v>Execução 86</v>
      </c>
      <c r="B90" s="42"/>
      <c r="C90" s="49" t="str">
        <f>IFERROR(VLOOKUP(B90,'MM01'!B:G,6,0),"")</f>
        <v/>
      </c>
      <c r="D90" s="69"/>
    </row>
    <row r="91" spans="1:4" x14ac:dyDescent="0.2">
      <c r="A91" s="7" t="str">
        <f t="shared" si="1"/>
        <v>Execução 87</v>
      </c>
      <c r="B91" s="42"/>
      <c r="C91" s="49" t="str">
        <f>IFERROR(VLOOKUP(B91,'MM01'!B:G,6,0),"")</f>
        <v/>
      </c>
      <c r="D91" s="69"/>
    </row>
    <row r="92" spans="1:4" x14ac:dyDescent="0.2">
      <c r="A92" s="7" t="str">
        <f t="shared" si="1"/>
        <v>Execução 88</v>
      </c>
      <c r="B92" s="42"/>
      <c r="C92" s="49" t="str">
        <f>IFERROR(VLOOKUP(B92,'MM01'!B:G,6,0),"")</f>
        <v/>
      </c>
      <c r="D92" s="69"/>
    </row>
    <row r="93" spans="1:4" x14ac:dyDescent="0.2">
      <c r="A93" s="7" t="str">
        <f t="shared" si="1"/>
        <v>Execução 89</v>
      </c>
      <c r="B93" s="42"/>
      <c r="C93" s="49" t="str">
        <f>IFERROR(VLOOKUP(B93,'MM01'!B:G,6,0),"")</f>
        <v/>
      </c>
      <c r="D93" s="69"/>
    </row>
    <row r="94" spans="1:4" x14ac:dyDescent="0.2">
      <c r="A94" s="7" t="str">
        <f t="shared" si="1"/>
        <v>Execução 90</v>
      </c>
      <c r="B94" s="42"/>
      <c r="C94" s="49" t="str">
        <f>IFERROR(VLOOKUP(B94,'MM01'!B:G,6,0),"")</f>
        <v/>
      </c>
      <c r="D94" s="69"/>
    </row>
    <row r="95" spans="1:4" x14ac:dyDescent="0.2">
      <c r="A95" s="7" t="str">
        <f t="shared" si="1"/>
        <v>Execução 91</v>
      </c>
      <c r="B95" s="42"/>
      <c r="C95" s="49" t="str">
        <f>IFERROR(VLOOKUP(B95,'MM01'!B:G,6,0),"")</f>
        <v/>
      </c>
      <c r="D95" s="69"/>
    </row>
    <row r="96" spans="1:4" x14ac:dyDescent="0.2">
      <c r="A96" s="7" t="str">
        <f t="shared" si="1"/>
        <v>Execução 92</v>
      </c>
      <c r="B96" s="42"/>
      <c r="C96" s="49" t="str">
        <f>IFERROR(VLOOKUP(B96,'MM01'!B:G,6,0),"")</f>
        <v/>
      </c>
      <c r="D96" s="69"/>
    </row>
    <row r="97" spans="1:4" x14ac:dyDescent="0.2">
      <c r="A97" s="7" t="str">
        <f t="shared" si="1"/>
        <v>Execução 93</v>
      </c>
      <c r="B97" s="42"/>
      <c r="C97" s="49" t="str">
        <f>IFERROR(VLOOKUP(B97,'MM01'!B:G,6,0),"")</f>
        <v/>
      </c>
      <c r="D97" s="69"/>
    </row>
    <row r="98" spans="1:4" x14ac:dyDescent="0.2">
      <c r="A98" s="7" t="str">
        <f t="shared" si="1"/>
        <v>Execução 94</v>
      </c>
      <c r="B98" s="42"/>
      <c r="C98" s="49" t="str">
        <f>IFERROR(VLOOKUP(B98,'MM01'!B:G,6,0),"")</f>
        <v/>
      </c>
      <c r="D98" s="69"/>
    </row>
    <row r="99" spans="1:4" x14ac:dyDescent="0.2">
      <c r="A99" s="7" t="str">
        <f t="shared" si="1"/>
        <v>Execução 95</v>
      </c>
      <c r="B99" s="42"/>
      <c r="C99" s="49" t="str">
        <f>IFERROR(VLOOKUP(B99,'MM01'!B:G,6,0),"")</f>
        <v/>
      </c>
      <c r="D99" s="69"/>
    </row>
    <row r="100" spans="1:4" x14ac:dyDescent="0.2">
      <c r="A100" s="7" t="str">
        <f t="shared" si="1"/>
        <v>Execução 96</v>
      </c>
      <c r="B100" s="42"/>
      <c r="C100" s="49" t="str">
        <f>IFERROR(VLOOKUP(B100,'MM01'!B:G,6,0),"")</f>
        <v/>
      </c>
      <c r="D100" s="69"/>
    </row>
    <row r="101" spans="1:4" x14ac:dyDescent="0.2">
      <c r="A101" s="7" t="str">
        <f t="shared" si="1"/>
        <v>Execução 97</v>
      </c>
      <c r="B101" s="42"/>
      <c r="C101" s="49" t="str">
        <f>IFERROR(VLOOKUP(B101,'MM01'!B:G,6,0),"")</f>
        <v/>
      </c>
      <c r="D101" s="69"/>
    </row>
    <row r="102" spans="1:4" x14ac:dyDescent="0.2">
      <c r="A102" s="7" t="str">
        <f t="shared" si="1"/>
        <v>Execução 98</v>
      </c>
      <c r="B102" s="42"/>
      <c r="C102" s="49" t="str">
        <f>IFERROR(VLOOKUP(B102,'MM01'!B:G,6,0),"")</f>
        <v/>
      </c>
      <c r="D102" s="69"/>
    </row>
    <row r="103" spans="1:4" x14ac:dyDescent="0.2">
      <c r="A103" s="7" t="str">
        <f t="shared" si="1"/>
        <v>Execução 99</v>
      </c>
      <c r="B103" s="42"/>
      <c r="C103" s="49" t="str">
        <f>IFERROR(VLOOKUP(B103,'MM01'!B:G,6,0),"")</f>
        <v/>
      </c>
      <c r="D103" s="69"/>
    </row>
    <row r="104" spans="1:4" x14ac:dyDescent="0.2">
      <c r="A104" s="7" t="str">
        <f t="shared" si="1"/>
        <v>Execução 100</v>
      </c>
      <c r="B104" s="42"/>
      <c r="C104" s="49" t="str">
        <f>IFERROR(VLOOKUP(B104,'MM01'!B:G,6,0),"")</f>
        <v/>
      </c>
      <c r="D104" s="70"/>
    </row>
    <row r="105" spans="1:4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68"/>
    </row>
    <row r="106" spans="1:4" x14ac:dyDescent="0.2">
      <c r="A106" s="7" t="str">
        <f t="shared" ref="A106:A154" si="2">"Execução "&amp;ROW()-4</f>
        <v>Execução 102</v>
      </c>
      <c r="B106" s="42"/>
      <c r="C106" s="49" t="str">
        <f>IFERROR(VLOOKUP(B106,'MM01'!B:G,6,0),"")</f>
        <v/>
      </c>
      <c r="D106" s="69"/>
    </row>
    <row r="107" spans="1:4" x14ac:dyDescent="0.2">
      <c r="A107" s="7" t="str">
        <f t="shared" si="2"/>
        <v>Execução 103</v>
      </c>
      <c r="B107" s="42"/>
      <c r="C107" s="49" t="str">
        <f>IFERROR(VLOOKUP(B107,'MM01'!B:G,6,0),"")</f>
        <v/>
      </c>
      <c r="D107" s="69"/>
    </row>
    <row r="108" spans="1:4" x14ac:dyDescent="0.2">
      <c r="A108" s="7" t="str">
        <f t="shared" si="2"/>
        <v>Execução 104</v>
      </c>
      <c r="B108" s="42"/>
      <c r="C108" s="49" t="str">
        <f>IFERROR(VLOOKUP(B108,'MM01'!B:G,6,0),"")</f>
        <v/>
      </c>
      <c r="D108" s="69"/>
    </row>
    <row r="109" spans="1:4" x14ac:dyDescent="0.2">
      <c r="A109" s="7" t="str">
        <f t="shared" si="2"/>
        <v>Execução 105</v>
      </c>
      <c r="B109" s="42"/>
      <c r="C109" s="49" t="str">
        <f>IFERROR(VLOOKUP(B109,'MM01'!B:G,6,0),"")</f>
        <v/>
      </c>
      <c r="D109" s="69"/>
    </row>
    <row r="110" spans="1:4" x14ac:dyDescent="0.2">
      <c r="A110" s="7" t="str">
        <f t="shared" si="2"/>
        <v>Execução 106</v>
      </c>
      <c r="B110" s="42"/>
      <c r="C110" s="49" t="str">
        <f>IFERROR(VLOOKUP(B110,'MM01'!B:G,6,0),"")</f>
        <v/>
      </c>
      <c r="D110" s="69"/>
    </row>
    <row r="111" spans="1:4" x14ac:dyDescent="0.2">
      <c r="A111" s="7" t="str">
        <f t="shared" si="2"/>
        <v>Execução 107</v>
      </c>
      <c r="B111" s="42"/>
      <c r="C111" s="49" t="str">
        <f>IFERROR(VLOOKUP(B111,'MM01'!B:G,6,0),"")</f>
        <v/>
      </c>
      <c r="D111" s="69"/>
    </row>
    <row r="112" spans="1:4" x14ac:dyDescent="0.2">
      <c r="A112" s="7" t="str">
        <f t="shared" si="2"/>
        <v>Execução 108</v>
      </c>
      <c r="B112" s="42"/>
      <c r="C112" s="49" t="str">
        <f>IFERROR(VLOOKUP(B112,'MM01'!B:G,6,0),"")</f>
        <v/>
      </c>
      <c r="D112" s="69"/>
    </row>
    <row r="113" spans="1:4" x14ac:dyDescent="0.2">
      <c r="A113" s="7" t="str">
        <f t="shared" si="2"/>
        <v>Execução 109</v>
      </c>
      <c r="B113" s="42"/>
      <c r="C113" s="49" t="str">
        <f>IFERROR(VLOOKUP(B113,'MM01'!B:G,6,0),"")</f>
        <v/>
      </c>
      <c r="D113" s="69"/>
    </row>
    <row r="114" spans="1:4" x14ac:dyDescent="0.2">
      <c r="A114" s="7" t="str">
        <f t="shared" si="2"/>
        <v>Execução 110</v>
      </c>
      <c r="B114" s="42"/>
      <c r="C114" s="49" t="str">
        <f>IFERROR(VLOOKUP(B114,'MM01'!B:G,6,0),"")</f>
        <v/>
      </c>
      <c r="D114" s="69"/>
    </row>
    <row r="115" spans="1:4" x14ac:dyDescent="0.2">
      <c r="A115" s="7" t="str">
        <f t="shared" si="2"/>
        <v>Execução 111</v>
      </c>
      <c r="B115" s="42"/>
      <c r="C115" s="49" t="str">
        <f>IFERROR(VLOOKUP(B115,'MM01'!B:G,6,0),"")</f>
        <v/>
      </c>
      <c r="D115" s="69"/>
    </row>
    <row r="116" spans="1:4" x14ac:dyDescent="0.2">
      <c r="A116" s="7" t="str">
        <f t="shared" si="2"/>
        <v>Execução 112</v>
      </c>
      <c r="B116" s="42"/>
      <c r="C116" s="49" t="str">
        <f>IFERROR(VLOOKUP(B116,'MM01'!B:G,6,0),"")</f>
        <v/>
      </c>
      <c r="D116" s="69"/>
    </row>
    <row r="117" spans="1:4" x14ac:dyDescent="0.2">
      <c r="A117" s="7" t="str">
        <f t="shared" si="2"/>
        <v>Execução 113</v>
      </c>
      <c r="B117" s="42"/>
      <c r="C117" s="49" t="str">
        <f>IFERROR(VLOOKUP(B117,'MM01'!B:G,6,0),"")</f>
        <v/>
      </c>
      <c r="D117" s="69"/>
    </row>
    <row r="118" spans="1:4" x14ac:dyDescent="0.2">
      <c r="A118" s="7" t="str">
        <f t="shared" si="2"/>
        <v>Execução 114</v>
      </c>
      <c r="B118" s="42"/>
      <c r="C118" s="49" t="str">
        <f>IFERROR(VLOOKUP(B118,'MM01'!B:G,6,0),"")</f>
        <v/>
      </c>
      <c r="D118" s="69"/>
    </row>
    <row r="119" spans="1:4" x14ac:dyDescent="0.2">
      <c r="A119" s="7" t="str">
        <f t="shared" si="2"/>
        <v>Execução 115</v>
      </c>
      <c r="B119" s="42"/>
      <c r="C119" s="49" t="str">
        <f>IFERROR(VLOOKUP(B119,'MM01'!B:G,6,0),"")</f>
        <v/>
      </c>
      <c r="D119" s="69"/>
    </row>
    <row r="120" spans="1:4" x14ac:dyDescent="0.2">
      <c r="A120" s="7" t="str">
        <f t="shared" si="2"/>
        <v>Execução 116</v>
      </c>
      <c r="B120" s="42"/>
      <c r="C120" s="49" t="str">
        <f>IFERROR(VLOOKUP(B120,'MM01'!B:G,6,0),"")</f>
        <v/>
      </c>
      <c r="D120" s="69"/>
    </row>
    <row r="121" spans="1:4" x14ac:dyDescent="0.2">
      <c r="A121" s="7" t="str">
        <f t="shared" si="2"/>
        <v>Execução 117</v>
      </c>
      <c r="B121" s="42"/>
      <c r="C121" s="49" t="str">
        <f>IFERROR(VLOOKUP(B121,'MM01'!B:G,6,0),"")</f>
        <v/>
      </c>
      <c r="D121" s="69"/>
    </row>
    <row r="122" spans="1:4" x14ac:dyDescent="0.2">
      <c r="A122" s="7" t="str">
        <f t="shared" si="2"/>
        <v>Execução 118</v>
      </c>
      <c r="B122" s="42"/>
      <c r="C122" s="49" t="str">
        <f>IFERROR(VLOOKUP(B122,'MM01'!B:G,6,0),"")</f>
        <v/>
      </c>
      <c r="D122" s="69"/>
    </row>
    <row r="123" spans="1:4" x14ac:dyDescent="0.2">
      <c r="A123" s="7" t="str">
        <f t="shared" si="2"/>
        <v>Execução 119</v>
      </c>
      <c r="B123" s="42"/>
      <c r="C123" s="49" t="str">
        <f>IFERROR(VLOOKUP(B123,'MM01'!B:G,6,0),"")</f>
        <v/>
      </c>
      <c r="D123" s="69"/>
    </row>
    <row r="124" spans="1:4" x14ac:dyDescent="0.2">
      <c r="A124" s="7" t="str">
        <f t="shared" si="2"/>
        <v>Execução 120</v>
      </c>
      <c r="B124" s="42"/>
      <c r="C124" s="49" t="str">
        <f>IFERROR(VLOOKUP(B124,'MM01'!B:G,6,0),"")</f>
        <v/>
      </c>
      <c r="D124" s="69"/>
    </row>
    <row r="125" spans="1:4" x14ac:dyDescent="0.2">
      <c r="A125" s="7" t="str">
        <f t="shared" si="2"/>
        <v>Execução 121</v>
      </c>
      <c r="B125" s="42"/>
      <c r="C125" s="49" t="str">
        <f>IFERROR(VLOOKUP(B125,'MM01'!B:G,6,0),"")</f>
        <v/>
      </c>
      <c r="D125" s="69"/>
    </row>
    <row r="126" spans="1:4" x14ac:dyDescent="0.2">
      <c r="A126" s="7" t="str">
        <f t="shared" si="2"/>
        <v>Execução 122</v>
      </c>
      <c r="B126" s="42"/>
      <c r="C126" s="49" t="str">
        <f>IFERROR(VLOOKUP(B126,'MM01'!B:G,6,0),"")</f>
        <v/>
      </c>
      <c r="D126" s="69"/>
    </row>
    <row r="127" spans="1:4" x14ac:dyDescent="0.2">
      <c r="A127" s="7" t="str">
        <f t="shared" si="2"/>
        <v>Execução 123</v>
      </c>
      <c r="B127" s="42"/>
      <c r="C127" s="49" t="str">
        <f>IFERROR(VLOOKUP(B127,'MM01'!B:G,6,0),"")</f>
        <v/>
      </c>
      <c r="D127" s="69"/>
    </row>
    <row r="128" spans="1:4" x14ac:dyDescent="0.2">
      <c r="A128" s="7" t="str">
        <f t="shared" si="2"/>
        <v>Execução 124</v>
      </c>
      <c r="B128" s="42"/>
      <c r="C128" s="49" t="str">
        <f>IFERROR(VLOOKUP(B128,'MM01'!B:G,6,0),"")</f>
        <v/>
      </c>
      <c r="D128" s="69"/>
    </row>
    <row r="129" spans="1:4" x14ac:dyDescent="0.2">
      <c r="A129" s="7" t="str">
        <f t="shared" si="2"/>
        <v>Execução 125</v>
      </c>
      <c r="B129" s="42"/>
      <c r="C129" s="49" t="str">
        <f>IFERROR(VLOOKUP(B129,'MM01'!B:G,6,0),"")</f>
        <v/>
      </c>
      <c r="D129" s="69"/>
    </row>
    <row r="130" spans="1:4" x14ac:dyDescent="0.2">
      <c r="A130" s="7" t="str">
        <f t="shared" si="2"/>
        <v>Execução 126</v>
      </c>
      <c r="B130" s="42"/>
      <c r="C130" s="49" t="str">
        <f>IFERROR(VLOOKUP(B130,'MM01'!B:G,6,0),"")</f>
        <v/>
      </c>
      <c r="D130" s="69"/>
    </row>
    <row r="131" spans="1:4" x14ac:dyDescent="0.2">
      <c r="A131" s="7" t="str">
        <f t="shared" si="2"/>
        <v>Execução 127</v>
      </c>
      <c r="B131" s="42"/>
      <c r="C131" s="49" t="str">
        <f>IFERROR(VLOOKUP(B131,'MM01'!B:G,6,0),"")</f>
        <v/>
      </c>
      <c r="D131" s="69"/>
    </row>
    <row r="132" spans="1:4" x14ac:dyDescent="0.2">
      <c r="A132" s="7" t="str">
        <f t="shared" si="2"/>
        <v>Execução 128</v>
      </c>
      <c r="B132" s="42"/>
      <c r="C132" s="49" t="str">
        <f>IFERROR(VLOOKUP(B132,'MM01'!B:G,6,0),"")</f>
        <v/>
      </c>
      <c r="D132" s="69"/>
    </row>
    <row r="133" spans="1:4" x14ac:dyDescent="0.2">
      <c r="A133" s="7" t="str">
        <f t="shared" si="2"/>
        <v>Execução 129</v>
      </c>
      <c r="B133" s="42"/>
      <c r="C133" s="49" t="str">
        <f>IFERROR(VLOOKUP(B133,'MM01'!B:G,6,0),"")</f>
        <v/>
      </c>
      <c r="D133" s="69"/>
    </row>
    <row r="134" spans="1:4" x14ac:dyDescent="0.2">
      <c r="A134" s="7" t="str">
        <f t="shared" si="2"/>
        <v>Execução 130</v>
      </c>
      <c r="B134" s="42"/>
      <c r="C134" s="49" t="str">
        <f>IFERROR(VLOOKUP(B134,'MM01'!B:G,6,0),"")</f>
        <v/>
      </c>
      <c r="D134" s="69"/>
    </row>
    <row r="135" spans="1:4" x14ac:dyDescent="0.2">
      <c r="A135" s="7" t="str">
        <f t="shared" si="2"/>
        <v>Execução 131</v>
      </c>
      <c r="B135" s="42"/>
      <c r="C135" s="49" t="str">
        <f>IFERROR(VLOOKUP(B135,'MM01'!B:G,6,0),"")</f>
        <v/>
      </c>
      <c r="D135" s="69"/>
    </row>
    <row r="136" spans="1:4" x14ac:dyDescent="0.2">
      <c r="A136" s="7" t="str">
        <f t="shared" si="2"/>
        <v>Execução 132</v>
      </c>
      <c r="B136" s="42"/>
      <c r="C136" s="49" t="str">
        <f>IFERROR(VLOOKUP(B136,'MM01'!B:G,6,0),"")</f>
        <v/>
      </c>
      <c r="D136" s="69"/>
    </row>
    <row r="137" spans="1:4" x14ac:dyDescent="0.2">
      <c r="A137" s="7" t="str">
        <f t="shared" si="2"/>
        <v>Execução 133</v>
      </c>
      <c r="B137" s="42"/>
      <c r="C137" s="49" t="str">
        <f>IFERROR(VLOOKUP(B137,'MM01'!B:G,6,0),"")</f>
        <v/>
      </c>
      <c r="D137" s="69"/>
    </row>
    <row r="138" spans="1:4" x14ac:dyDescent="0.2">
      <c r="A138" s="7" t="str">
        <f t="shared" si="2"/>
        <v>Execução 134</v>
      </c>
      <c r="B138" s="42"/>
      <c r="C138" s="49" t="str">
        <f>IFERROR(VLOOKUP(B138,'MM01'!B:G,6,0),"")</f>
        <v/>
      </c>
      <c r="D138" s="69"/>
    </row>
    <row r="139" spans="1:4" x14ac:dyDescent="0.2">
      <c r="A139" s="7" t="str">
        <f t="shared" si="2"/>
        <v>Execução 135</v>
      </c>
      <c r="B139" s="42"/>
      <c r="C139" s="49" t="str">
        <f>IFERROR(VLOOKUP(B139,'MM01'!B:G,6,0),"")</f>
        <v/>
      </c>
      <c r="D139" s="69"/>
    </row>
    <row r="140" spans="1:4" x14ac:dyDescent="0.2">
      <c r="A140" s="7" t="str">
        <f t="shared" si="2"/>
        <v>Execução 136</v>
      </c>
      <c r="B140" s="42"/>
      <c r="C140" s="49" t="str">
        <f>IFERROR(VLOOKUP(B140,'MM01'!B:G,6,0),"")</f>
        <v/>
      </c>
      <c r="D140" s="69"/>
    </row>
    <row r="141" spans="1:4" x14ac:dyDescent="0.2">
      <c r="A141" s="7" t="str">
        <f t="shared" si="2"/>
        <v>Execução 137</v>
      </c>
      <c r="B141" s="42"/>
      <c r="C141" s="49" t="str">
        <f>IFERROR(VLOOKUP(B141,'MM01'!B:G,6,0),"")</f>
        <v/>
      </c>
      <c r="D141" s="69"/>
    </row>
    <row r="142" spans="1:4" x14ac:dyDescent="0.2">
      <c r="A142" s="7" t="str">
        <f t="shared" si="2"/>
        <v>Execução 138</v>
      </c>
      <c r="B142" s="42"/>
      <c r="C142" s="49" t="str">
        <f>IFERROR(VLOOKUP(B142,'MM01'!B:G,6,0),"")</f>
        <v/>
      </c>
      <c r="D142" s="69"/>
    </row>
    <row r="143" spans="1:4" x14ac:dyDescent="0.2">
      <c r="A143" s="7" t="str">
        <f t="shared" si="2"/>
        <v>Execução 139</v>
      </c>
      <c r="B143" s="42"/>
      <c r="C143" s="49" t="str">
        <f>IFERROR(VLOOKUP(B143,'MM01'!B:G,6,0),"")</f>
        <v/>
      </c>
      <c r="D143" s="69"/>
    </row>
    <row r="144" spans="1:4" x14ac:dyDescent="0.2">
      <c r="A144" s="7" t="str">
        <f t="shared" si="2"/>
        <v>Execução 140</v>
      </c>
      <c r="B144" s="42"/>
      <c r="C144" s="49" t="str">
        <f>IFERROR(VLOOKUP(B144,'MM01'!B:G,6,0),"")</f>
        <v/>
      </c>
      <c r="D144" s="69"/>
    </row>
    <row r="145" spans="1:4" x14ac:dyDescent="0.2">
      <c r="A145" s="7" t="str">
        <f t="shared" si="2"/>
        <v>Execução 141</v>
      </c>
      <c r="B145" s="42"/>
      <c r="C145" s="49" t="str">
        <f>IFERROR(VLOOKUP(B145,'MM01'!B:G,6,0),"")</f>
        <v/>
      </c>
      <c r="D145" s="69"/>
    </row>
    <row r="146" spans="1:4" x14ac:dyDescent="0.2">
      <c r="A146" s="7" t="str">
        <f t="shared" si="2"/>
        <v>Execução 142</v>
      </c>
      <c r="B146" s="42"/>
      <c r="C146" s="49" t="str">
        <f>IFERROR(VLOOKUP(B146,'MM01'!B:G,6,0),"")</f>
        <v/>
      </c>
      <c r="D146" s="69"/>
    </row>
    <row r="147" spans="1:4" x14ac:dyDescent="0.2">
      <c r="A147" s="7" t="str">
        <f t="shared" si="2"/>
        <v>Execução 143</v>
      </c>
      <c r="B147" s="42"/>
      <c r="C147" s="49" t="str">
        <f>IFERROR(VLOOKUP(B147,'MM01'!B:G,6,0),"")</f>
        <v/>
      </c>
      <c r="D147" s="69"/>
    </row>
    <row r="148" spans="1:4" x14ac:dyDescent="0.2">
      <c r="A148" s="7" t="str">
        <f t="shared" si="2"/>
        <v>Execução 144</v>
      </c>
      <c r="B148" s="42"/>
      <c r="C148" s="49" t="str">
        <f>IFERROR(VLOOKUP(B148,'MM01'!B:G,6,0),"")</f>
        <v/>
      </c>
      <c r="D148" s="69"/>
    </row>
    <row r="149" spans="1:4" x14ac:dyDescent="0.2">
      <c r="A149" s="7" t="str">
        <f t="shared" si="2"/>
        <v>Execução 145</v>
      </c>
      <c r="B149" s="42"/>
      <c r="C149" s="49" t="str">
        <f>IFERROR(VLOOKUP(B149,'MM01'!B:G,6,0),"")</f>
        <v/>
      </c>
      <c r="D149" s="69"/>
    </row>
    <row r="150" spans="1:4" x14ac:dyDescent="0.2">
      <c r="A150" s="7" t="str">
        <f t="shared" si="2"/>
        <v>Execução 146</v>
      </c>
      <c r="B150" s="42"/>
      <c r="C150" s="49" t="str">
        <f>IFERROR(VLOOKUP(B150,'MM01'!B:G,6,0),"")</f>
        <v/>
      </c>
      <c r="D150" s="69"/>
    </row>
    <row r="151" spans="1:4" x14ac:dyDescent="0.2">
      <c r="A151" s="7" t="str">
        <f t="shared" si="2"/>
        <v>Execução 147</v>
      </c>
      <c r="B151" s="42"/>
      <c r="C151" s="49" t="str">
        <f>IFERROR(VLOOKUP(B151,'MM01'!B:G,6,0),"")</f>
        <v/>
      </c>
      <c r="D151" s="69"/>
    </row>
    <row r="152" spans="1:4" x14ac:dyDescent="0.2">
      <c r="A152" s="7" t="str">
        <f t="shared" si="2"/>
        <v>Execução 148</v>
      </c>
      <c r="B152" s="42"/>
      <c r="C152" s="49" t="str">
        <f>IFERROR(VLOOKUP(B152,'MM01'!B:G,6,0),"")</f>
        <v/>
      </c>
      <c r="D152" s="69"/>
    </row>
    <row r="153" spans="1:4" x14ac:dyDescent="0.2">
      <c r="A153" s="7" t="str">
        <f t="shared" si="2"/>
        <v>Execução 149</v>
      </c>
      <c r="B153" s="42"/>
      <c r="C153" s="49" t="str">
        <f>IFERROR(VLOOKUP(B153,'MM01'!B:G,6,0),"")</f>
        <v/>
      </c>
      <c r="D153" s="69"/>
    </row>
    <row r="154" spans="1:4" x14ac:dyDescent="0.2">
      <c r="A154" s="7" t="str">
        <f t="shared" si="2"/>
        <v>Execução 150</v>
      </c>
      <c r="B154" s="42"/>
      <c r="C154" s="49" t="str">
        <f>IFERROR(VLOOKUP(B154,'MM01'!B:G,6,0),"")</f>
        <v/>
      </c>
      <c r="D154" s="70"/>
    </row>
  </sheetData>
  <conditionalFormatting sqref="B5">
    <cfRule type="beginsWith" dxfId="130" priority="51" operator="beginsWith" text="L">
      <formula>LEFT(B5,LEN("L"))="L"</formula>
    </cfRule>
  </conditionalFormatting>
  <conditionalFormatting sqref="B6:B14">
    <cfRule type="beginsWith" dxfId="129" priority="48" operator="beginsWith" text="L">
      <formula>LEFT(B6,LEN("L"))="L"</formula>
    </cfRule>
  </conditionalFormatting>
  <conditionalFormatting sqref="B15:B54">
    <cfRule type="beginsWith" dxfId="128" priority="47" operator="beginsWith" text="L">
      <formula>LEFT(B15,LEN("L"))="L"</formula>
    </cfRule>
  </conditionalFormatting>
  <conditionalFormatting sqref="D1:D54 D155:D1048576">
    <cfRule type="containsText" dxfId="127" priority="19" operator="containsText" text="será criado">
      <formula>NOT(ISERROR(SEARCH("será criado",D1)))</formula>
    </cfRule>
    <cfRule type="containsText" dxfId="126" priority="20" operator="containsText" text="criadas">
      <formula>NOT(ISERROR(SEARCH("criadas",D1)))</formula>
    </cfRule>
    <cfRule type="containsText" dxfId="125" priority="21" operator="containsText" text="é gravado">
      <formula>NOT(ISERROR(SEARCH("é gravado",D1)))</formula>
    </cfRule>
    <cfRule type="containsText" dxfId="124" priority="22" operator="containsText" text="é modificado">
      <formula>NOT(ISERROR(SEARCH("é modificado",D1)))</formula>
    </cfRule>
    <cfRule type="containsText" dxfId="123" priority="23" operator="containsText" text="Error">
      <formula>NOT(ISERROR(SEARCH("Error",D1)))</formula>
    </cfRule>
    <cfRule type="containsText" dxfId="122" priority="24" operator="containsText" text="é criado">
      <formula>NOT(ISERROR(SEARCH("é criado",D1)))</formula>
    </cfRule>
  </conditionalFormatting>
  <conditionalFormatting sqref="B55">
    <cfRule type="beginsWith" dxfId="121" priority="18" operator="beginsWith" text="L">
      <formula>LEFT(B55,LEN("L"))="L"</formula>
    </cfRule>
  </conditionalFormatting>
  <conditionalFormatting sqref="B56:B64">
    <cfRule type="beginsWith" dxfId="120" priority="17" operator="beginsWith" text="L">
      <formula>LEFT(B56,LEN("L"))="L"</formula>
    </cfRule>
  </conditionalFormatting>
  <conditionalFormatting sqref="B65:B104">
    <cfRule type="beginsWith" dxfId="119" priority="16" operator="beginsWith" text="L">
      <formula>LEFT(B65,LEN("L"))="L"</formula>
    </cfRule>
  </conditionalFormatting>
  <conditionalFormatting sqref="D55:D104">
    <cfRule type="containsText" dxfId="118" priority="10" operator="containsText" text="será criado">
      <formula>NOT(ISERROR(SEARCH("será criado",D55)))</formula>
    </cfRule>
    <cfRule type="containsText" dxfId="117" priority="11" operator="containsText" text="criadas">
      <formula>NOT(ISERROR(SEARCH("criadas",D55)))</formula>
    </cfRule>
    <cfRule type="containsText" dxfId="116" priority="12" operator="containsText" text="é gravado">
      <formula>NOT(ISERROR(SEARCH("é gravado",D55)))</formula>
    </cfRule>
    <cfRule type="containsText" dxfId="115" priority="13" operator="containsText" text="é modificado">
      <formula>NOT(ISERROR(SEARCH("é modificado",D55)))</formula>
    </cfRule>
    <cfRule type="containsText" dxfId="114" priority="14" operator="containsText" text="Error">
      <formula>NOT(ISERROR(SEARCH("Error",D55)))</formula>
    </cfRule>
    <cfRule type="containsText" dxfId="113" priority="15" operator="containsText" text="é criado">
      <formula>NOT(ISERROR(SEARCH("é criado",D55)))</formula>
    </cfRule>
  </conditionalFormatting>
  <conditionalFormatting sqref="B105">
    <cfRule type="beginsWith" dxfId="112" priority="9" operator="beginsWith" text="L">
      <formula>LEFT(B105,LEN("L"))="L"</formula>
    </cfRule>
  </conditionalFormatting>
  <conditionalFormatting sqref="B106:B114">
    <cfRule type="beginsWith" dxfId="111" priority="8" operator="beginsWith" text="L">
      <formula>LEFT(B106,LEN("L"))="L"</formula>
    </cfRule>
  </conditionalFormatting>
  <conditionalFormatting sqref="B115:B154">
    <cfRule type="beginsWith" dxfId="110" priority="7" operator="beginsWith" text="L">
      <formula>LEFT(B115,LEN("L"))="L"</formula>
    </cfRule>
  </conditionalFormatting>
  <conditionalFormatting sqref="D105:D154">
    <cfRule type="containsText" dxfId="109" priority="1" operator="containsText" text="será criado">
      <formula>NOT(ISERROR(SEARCH("será criado",D105)))</formula>
    </cfRule>
    <cfRule type="containsText" dxfId="108" priority="2" operator="containsText" text="criadas">
      <formula>NOT(ISERROR(SEARCH("criadas",D105)))</formula>
    </cfRule>
    <cfRule type="containsText" dxfId="107" priority="3" operator="containsText" text="é gravado">
      <formula>NOT(ISERROR(SEARCH("é gravado",D105)))</formula>
    </cfRule>
    <cfRule type="containsText" dxfId="106" priority="4" operator="containsText" text="é modificado">
      <formula>NOT(ISERROR(SEARCH("é modificado",D105)))</formula>
    </cfRule>
    <cfRule type="containsText" dxfId="105" priority="5" operator="containsText" text="Error">
      <formula>NOT(ISERROR(SEARCH("Error",D105)))</formula>
    </cfRule>
    <cfRule type="containsText" dxfId="104" priority="6" operator="containsText" text="é criado">
      <formula>NOT(ISERROR(SEARCH("é criado",D105)))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1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980</v>
      </c>
      <c r="C3" s="74" t="s">
        <v>974</v>
      </c>
      <c r="D3" s="74" t="s">
        <v>989</v>
      </c>
      <c r="E3" s="74" t="s">
        <v>981</v>
      </c>
      <c r="F3" s="74" t="s">
        <v>984</v>
      </c>
      <c r="G3" s="74" t="s">
        <v>985</v>
      </c>
      <c r="H3" s="74" t="s">
        <v>987</v>
      </c>
      <c r="I3" s="74" t="s">
        <v>991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990</v>
      </c>
      <c r="E4" s="14" t="s">
        <v>983</v>
      </c>
      <c r="F4" s="14" t="s">
        <v>982</v>
      </c>
      <c r="G4" s="14" t="s">
        <v>986</v>
      </c>
      <c r="H4" s="14" t="s">
        <v>988</v>
      </c>
      <c r="I4" s="14" t="s">
        <v>992</v>
      </c>
      <c r="J4" s="5" t="s">
        <v>956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27.04.2022</v>
      </c>
      <c r="F5" s="77" t="s">
        <v>993</v>
      </c>
      <c r="G5" s="76">
        <v>1</v>
      </c>
      <c r="H5" s="76">
        <v>1</v>
      </c>
      <c r="I5" s="62" t="s">
        <v>533</v>
      </c>
      <c r="J5" s="68"/>
    </row>
    <row r="6" spans="1:10" x14ac:dyDescent="0.2">
      <c r="A6" s="7" t="str">
        <f t="shared" ref="A6:A69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69" ca="1" si="1">TEXT(TODAY(),"DD.MM.AAAA")</f>
        <v>27.04.2022</v>
      </c>
      <c r="F6" s="77" t="s">
        <v>993</v>
      </c>
      <c r="G6" s="76">
        <v>1</v>
      </c>
      <c r="H6" s="76">
        <v>1</v>
      </c>
      <c r="I6" s="62" t="s">
        <v>533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27.04.2022</v>
      </c>
      <c r="F7" s="77" t="s">
        <v>993</v>
      </c>
      <c r="G7" s="76">
        <v>1</v>
      </c>
      <c r="H7" s="76">
        <v>1</v>
      </c>
      <c r="I7" s="62" t="s">
        <v>533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27.04.2022</v>
      </c>
      <c r="F8" s="77" t="s">
        <v>993</v>
      </c>
      <c r="G8" s="76">
        <v>1</v>
      </c>
      <c r="H8" s="76">
        <v>1</v>
      </c>
      <c r="I8" s="62" t="s">
        <v>533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27.04.2022</v>
      </c>
      <c r="F9" s="77" t="s">
        <v>993</v>
      </c>
      <c r="G9" s="76">
        <v>1</v>
      </c>
      <c r="H9" s="76">
        <v>1</v>
      </c>
      <c r="I9" s="62" t="s">
        <v>533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27.04.2022</v>
      </c>
      <c r="F10" s="77" t="s">
        <v>993</v>
      </c>
      <c r="G10" s="76">
        <v>1</v>
      </c>
      <c r="H10" s="76">
        <v>1</v>
      </c>
      <c r="I10" s="62" t="s">
        <v>533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27.04.2022</v>
      </c>
      <c r="F11" s="77" t="s">
        <v>993</v>
      </c>
      <c r="G11" s="76">
        <v>1</v>
      </c>
      <c r="H11" s="76">
        <v>1</v>
      </c>
      <c r="I11" s="62" t="s">
        <v>533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27.04.2022</v>
      </c>
      <c r="F12" s="77" t="s">
        <v>993</v>
      </c>
      <c r="G12" s="76">
        <v>1</v>
      </c>
      <c r="H12" s="76">
        <v>1</v>
      </c>
      <c r="I12" s="62" t="s">
        <v>533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27.04.2022</v>
      </c>
      <c r="F13" s="77" t="s">
        <v>993</v>
      </c>
      <c r="G13" s="76">
        <v>1</v>
      </c>
      <c r="H13" s="76">
        <v>1</v>
      </c>
      <c r="I13" s="62" t="s">
        <v>533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27.04.2022</v>
      </c>
      <c r="F14" s="77" t="s">
        <v>993</v>
      </c>
      <c r="G14" s="76">
        <v>1</v>
      </c>
      <c r="H14" s="76">
        <v>1</v>
      </c>
      <c r="I14" s="62" t="s">
        <v>533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27.04.2022</v>
      </c>
      <c r="F15" s="77" t="s">
        <v>993</v>
      </c>
      <c r="G15" s="76">
        <v>1</v>
      </c>
      <c r="H15" s="76">
        <v>1</v>
      </c>
      <c r="I15" s="62" t="s">
        <v>533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27.04.2022</v>
      </c>
      <c r="F16" s="77" t="s">
        <v>993</v>
      </c>
      <c r="G16" s="76">
        <v>1</v>
      </c>
      <c r="H16" s="76">
        <v>1</v>
      </c>
      <c r="I16" s="62" t="s">
        <v>533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27.04.2022</v>
      </c>
      <c r="F17" s="77" t="s">
        <v>993</v>
      </c>
      <c r="G17" s="76">
        <v>1</v>
      </c>
      <c r="H17" s="76">
        <v>1</v>
      </c>
      <c r="I17" s="62" t="s">
        <v>533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27.04.2022</v>
      </c>
      <c r="F18" s="77" t="s">
        <v>993</v>
      </c>
      <c r="G18" s="76">
        <v>1</v>
      </c>
      <c r="H18" s="76">
        <v>1</v>
      </c>
      <c r="I18" s="62" t="s">
        <v>533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27.04.2022</v>
      </c>
      <c r="F19" s="77" t="s">
        <v>993</v>
      </c>
      <c r="G19" s="76">
        <v>1</v>
      </c>
      <c r="H19" s="76">
        <v>1</v>
      </c>
      <c r="I19" s="62" t="s">
        <v>533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27.04.2022</v>
      </c>
      <c r="F20" s="77" t="s">
        <v>993</v>
      </c>
      <c r="G20" s="76">
        <v>1</v>
      </c>
      <c r="H20" s="76">
        <v>1</v>
      </c>
      <c r="I20" s="62" t="s">
        <v>533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27.04.2022</v>
      </c>
      <c r="F21" s="77" t="s">
        <v>993</v>
      </c>
      <c r="G21" s="76">
        <v>1</v>
      </c>
      <c r="H21" s="76">
        <v>1</v>
      </c>
      <c r="I21" s="62" t="s">
        <v>533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27.04.2022</v>
      </c>
      <c r="F22" s="77" t="s">
        <v>993</v>
      </c>
      <c r="G22" s="76">
        <v>1</v>
      </c>
      <c r="H22" s="76">
        <v>1</v>
      </c>
      <c r="I22" s="62" t="s">
        <v>533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27.04.2022</v>
      </c>
      <c r="F23" s="77" t="s">
        <v>993</v>
      </c>
      <c r="G23" s="76">
        <v>1</v>
      </c>
      <c r="H23" s="76">
        <v>1</v>
      </c>
      <c r="I23" s="62" t="s">
        <v>533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27.04.2022</v>
      </c>
      <c r="F24" s="77" t="s">
        <v>993</v>
      </c>
      <c r="G24" s="76">
        <v>1</v>
      </c>
      <c r="H24" s="76">
        <v>1</v>
      </c>
      <c r="I24" s="62" t="s">
        <v>533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27.04.2022</v>
      </c>
      <c r="F25" s="77" t="s">
        <v>993</v>
      </c>
      <c r="G25" s="76">
        <v>1</v>
      </c>
      <c r="H25" s="76">
        <v>1</v>
      </c>
      <c r="I25" s="62" t="s">
        <v>533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27.04.2022</v>
      </c>
      <c r="F26" s="77" t="s">
        <v>993</v>
      </c>
      <c r="G26" s="76">
        <v>1</v>
      </c>
      <c r="H26" s="76">
        <v>1</v>
      </c>
      <c r="I26" s="62" t="s">
        <v>533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27.04.2022</v>
      </c>
      <c r="F27" s="77" t="s">
        <v>993</v>
      </c>
      <c r="G27" s="76">
        <v>1</v>
      </c>
      <c r="H27" s="76">
        <v>1</v>
      </c>
      <c r="I27" s="62" t="s">
        <v>533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27.04.2022</v>
      </c>
      <c r="F28" s="77" t="s">
        <v>993</v>
      </c>
      <c r="G28" s="76">
        <v>1</v>
      </c>
      <c r="H28" s="76">
        <v>1</v>
      </c>
      <c r="I28" s="62" t="s">
        <v>533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27.04.2022</v>
      </c>
      <c r="F29" s="77" t="s">
        <v>993</v>
      </c>
      <c r="G29" s="76">
        <v>1</v>
      </c>
      <c r="H29" s="76">
        <v>1</v>
      </c>
      <c r="I29" s="62" t="s">
        <v>533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27.04.2022</v>
      </c>
      <c r="F30" s="77" t="s">
        <v>993</v>
      </c>
      <c r="G30" s="76">
        <v>1</v>
      </c>
      <c r="H30" s="76">
        <v>1</v>
      </c>
      <c r="I30" s="62" t="s">
        <v>533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27.04.2022</v>
      </c>
      <c r="F31" s="77" t="s">
        <v>993</v>
      </c>
      <c r="G31" s="76">
        <v>1</v>
      </c>
      <c r="H31" s="76">
        <v>1</v>
      </c>
      <c r="I31" s="62" t="s">
        <v>533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27.04.2022</v>
      </c>
      <c r="F32" s="77" t="s">
        <v>993</v>
      </c>
      <c r="G32" s="76">
        <v>1</v>
      </c>
      <c r="H32" s="76">
        <v>1</v>
      </c>
      <c r="I32" s="62" t="s">
        <v>533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27.04.2022</v>
      </c>
      <c r="F33" s="77" t="s">
        <v>993</v>
      </c>
      <c r="G33" s="76">
        <v>1</v>
      </c>
      <c r="H33" s="76">
        <v>1</v>
      </c>
      <c r="I33" s="62" t="s">
        <v>533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27.04.2022</v>
      </c>
      <c r="F34" s="77" t="s">
        <v>993</v>
      </c>
      <c r="G34" s="76">
        <v>1</v>
      </c>
      <c r="H34" s="76">
        <v>1</v>
      </c>
      <c r="I34" s="62" t="s">
        <v>533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27.04.2022</v>
      </c>
      <c r="F35" s="77" t="s">
        <v>993</v>
      </c>
      <c r="G35" s="76">
        <v>1</v>
      </c>
      <c r="H35" s="76">
        <v>1</v>
      </c>
      <c r="I35" s="62" t="s">
        <v>533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27.04.2022</v>
      </c>
      <c r="F36" s="77" t="s">
        <v>993</v>
      </c>
      <c r="G36" s="76">
        <v>1</v>
      </c>
      <c r="H36" s="76">
        <v>1</v>
      </c>
      <c r="I36" s="62" t="s">
        <v>533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27.04.2022</v>
      </c>
      <c r="F37" s="77" t="s">
        <v>993</v>
      </c>
      <c r="G37" s="76">
        <v>1</v>
      </c>
      <c r="H37" s="76">
        <v>1</v>
      </c>
      <c r="I37" s="62" t="s">
        <v>533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27.04.2022</v>
      </c>
      <c r="F38" s="77" t="s">
        <v>993</v>
      </c>
      <c r="G38" s="76">
        <v>1</v>
      </c>
      <c r="H38" s="76">
        <v>1</v>
      </c>
      <c r="I38" s="62" t="s">
        <v>533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27.04.2022</v>
      </c>
      <c r="F39" s="77" t="s">
        <v>993</v>
      </c>
      <c r="G39" s="76">
        <v>1</v>
      </c>
      <c r="H39" s="76">
        <v>1</v>
      </c>
      <c r="I39" s="62" t="s">
        <v>533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27.04.2022</v>
      </c>
      <c r="F40" s="77" t="s">
        <v>993</v>
      </c>
      <c r="G40" s="76">
        <v>1</v>
      </c>
      <c r="H40" s="76">
        <v>1</v>
      </c>
      <c r="I40" s="62" t="s">
        <v>533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27.04.2022</v>
      </c>
      <c r="F41" s="77" t="s">
        <v>993</v>
      </c>
      <c r="G41" s="76">
        <v>1</v>
      </c>
      <c r="H41" s="76">
        <v>1</v>
      </c>
      <c r="I41" s="62" t="s">
        <v>533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27.04.2022</v>
      </c>
      <c r="F42" s="77" t="s">
        <v>993</v>
      </c>
      <c r="G42" s="76">
        <v>1</v>
      </c>
      <c r="H42" s="76">
        <v>1</v>
      </c>
      <c r="I42" s="62" t="s">
        <v>533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27.04.2022</v>
      </c>
      <c r="F43" s="77" t="s">
        <v>993</v>
      </c>
      <c r="G43" s="76">
        <v>1</v>
      </c>
      <c r="H43" s="76">
        <v>1</v>
      </c>
      <c r="I43" s="62" t="s">
        <v>533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27.04.2022</v>
      </c>
      <c r="F44" s="77" t="s">
        <v>993</v>
      </c>
      <c r="G44" s="76">
        <v>1</v>
      </c>
      <c r="H44" s="76">
        <v>1</v>
      </c>
      <c r="I44" s="62" t="s">
        <v>533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27.04.2022</v>
      </c>
      <c r="F45" s="77" t="s">
        <v>993</v>
      </c>
      <c r="G45" s="76">
        <v>1</v>
      </c>
      <c r="H45" s="76">
        <v>1</v>
      </c>
      <c r="I45" s="62" t="s">
        <v>533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27.04.2022</v>
      </c>
      <c r="F46" s="77" t="s">
        <v>993</v>
      </c>
      <c r="G46" s="76">
        <v>1</v>
      </c>
      <c r="H46" s="76">
        <v>1</v>
      </c>
      <c r="I46" s="62" t="s">
        <v>533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27.04.2022</v>
      </c>
      <c r="F47" s="77" t="s">
        <v>993</v>
      </c>
      <c r="G47" s="76">
        <v>1</v>
      </c>
      <c r="H47" s="76">
        <v>1</v>
      </c>
      <c r="I47" s="62" t="s">
        <v>533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27.04.2022</v>
      </c>
      <c r="F48" s="77" t="s">
        <v>993</v>
      </c>
      <c r="G48" s="76">
        <v>1</v>
      </c>
      <c r="H48" s="76">
        <v>1</v>
      </c>
      <c r="I48" s="62" t="s">
        <v>533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27.04.2022</v>
      </c>
      <c r="F49" s="77" t="s">
        <v>993</v>
      </c>
      <c r="G49" s="76">
        <v>1</v>
      </c>
      <c r="H49" s="76">
        <v>1</v>
      </c>
      <c r="I49" s="62" t="s">
        <v>533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27.04.2022</v>
      </c>
      <c r="F50" s="77" t="s">
        <v>993</v>
      </c>
      <c r="G50" s="76">
        <v>1</v>
      </c>
      <c r="H50" s="76">
        <v>1</v>
      </c>
      <c r="I50" s="62" t="s">
        <v>533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27.04.2022</v>
      </c>
      <c r="F51" s="77" t="s">
        <v>993</v>
      </c>
      <c r="G51" s="76">
        <v>1</v>
      </c>
      <c r="H51" s="76">
        <v>1</v>
      </c>
      <c r="I51" s="62" t="s">
        <v>533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27.04.2022</v>
      </c>
      <c r="F52" s="77" t="s">
        <v>993</v>
      </c>
      <c r="G52" s="76">
        <v>1</v>
      </c>
      <c r="H52" s="76">
        <v>1</v>
      </c>
      <c r="I52" s="62" t="s">
        <v>533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27.04.2022</v>
      </c>
      <c r="F53" s="77" t="s">
        <v>993</v>
      </c>
      <c r="G53" s="76">
        <v>1</v>
      </c>
      <c r="H53" s="76">
        <v>1</v>
      </c>
      <c r="I53" s="62" t="s">
        <v>533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27.04.2022</v>
      </c>
      <c r="F54" s="77" t="s">
        <v>993</v>
      </c>
      <c r="G54" s="76">
        <v>1</v>
      </c>
      <c r="H54" s="76">
        <v>1</v>
      </c>
      <c r="I54" s="62" t="s">
        <v>533</v>
      </c>
      <c r="J54" s="70"/>
    </row>
    <row r="55" spans="1:10" x14ac:dyDescent="0.2">
      <c r="A55" s="7" t="str">
        <f>"Execução "&amp;ROW()-4</f>
        <v>Execução 51</v>
      </c>
      <c r="B55" s="42"/>
      <c r="C55" s="49" t="str">
        <f>IFERROR(VLOOKUP(B55,'MM01'!B:G,6,0),"")</f>
        <v/>
      </c>
      <c r="D55" s="75" t="str">
        <f>IF(C55&lt;&gt;"",VLOOKUP(C55,'Listas de Dados'!BT:BV,2,0),"")</f>
        <v/>
      </c>
      <c r="E55" s="75" t="str">
        <f ca="1">TEXT(TODAY(),"DD.MM.AAAA")</f>
        <v>27.04.2022</v>
      </c>
      <c r="F55" s="77" t="s">
        <v>993</v>
      </c>
      <c r="G55" s="76">
        <v>1</v>
      </c>
      <c r="H55" s="76">
        <v>1</v>
      </c>
      <c r="I55" s="62" t="s">
        <v>533</v>
      </c>
      <c r="J55" s="68"/>
    </row>
    <row r="56" spans="1:10" x14ac:dyDescent="0.2">
      <c r="A56" s="7" t="str">
        <f t="shared" si="0"/>
        <v>Execução 52</v>
      </c>
      <c r="B56" s="42"/>
      <c r="C56" s="49" t="str">
        <f>IFERROR(VLOOKUP(B56,'MM01'!B:G,6,0),"")</f>
        <v/>
      </c>
      <c r="D56" s="75" t="str">
        <f>IF(C56&lt;&gt;"",VLOOKUP(C56,'Listas de Dados'!BT:BV,2,0),"")</f>
        <v/>
      </c>
      <c r="E56" s="75" t="str">
        <f t="shared" ca="1" si="1"/>
        <v>27.04.2022</v>
      </c>
      <c r="F56" s="77" t="s">
        <v>993</v>
      </c>
      <c r="G56" s="76">
        <v>1</v>
      </c>
      <c r="H56" s="76">
        <v>1</v>
      </c>
      <c r="I56" s="62" t="s">
        <v>533</v>
      </c>
      <c r="J56" s="69"/>
    </row>
    <row r="57" spans="1:10" x14ac:dyDescent="0.2">
      <c r="A57" s="7" t="str">
        <f t="shared" si="0"/>
        <v>Execução 53</v>
      </c>
      <c r="B57" s="42"/>
      <c r="C57" s="49" t="str">
        <f>IFERROR(VLOOKUP(B57,'MM01'!B:G,6,0),"")</f>
        <v/>
      </c>
      <c r="D57" s="75" t="str">
        <f>IF(C57&lt;&gt;"",VLOOKUP(C57,'Listas de Dados'!BT:BV,2,0),"")</f>
        <v/>
      </c>
      <c r="E57" s="75" t="str">
        <f t="shared" ca="1" si="1"/>
        <v>27.04.2022</v>
      </c>
      <c r="F57" s="77" t="s">
        <v>993</v>
      </c>
      <c r="G57" s="76">
        <v>1</v>
      </c>
      <c r="H57" s="76">
        <v>1</v>
      </c>
      <c r="I57" s="62" t="s">
        <v>533</v>
      </c>
      <c r="J57" s="69"/>
    </row>
    <row r="58" spans="1:10" x14ac:dyDescent="0.2">
      <c r="A58" s="7" t="str">
        <f t="shared" si="0"/>
        <v>Execução 54</v>
      </c>
      <c r="B58" s="42"/>
      <c r="C58" s="49" t="str">
        <f>IFERROR(VLOOKUP(B58,'MM01'!B:G,6,0),"")</f>
        <v/>
      </c>
      <c r="D58" s="75" t="str">
        <f>IF(C58&lt;&gt;"",VLOOKUP(C58,'Listas de Dados'!BT:BV,2,0),"")</f>
        <v/>
      </c>
      <c r="E58" s="75" t="str">
        <f t="shared" ca="1" si="1"/>
        <v>27.04.2022</v>
      </c>
      <c r="F58" s="77" t="s">
        <v>993</v>
      </c>
      <c r="G58" s="76">
        <v>1</v>
      </c>
      <c r="H58" s="76">
        <v>1</v>
      </c>
      <c r="I58" s="62" t="s">
        <v>533</v>
      </c>
      <c r="J58" s="69"/>
    </row>
    <row r="59" spans="1:10" x14ac:dyDescent="0.2">
      <c r="A59" s="7" t="str">
        <f t="shared" si="0"/>
        <v>Execução 55</v>
      </c>
      <c r="B59" s="42"/>
      <c r="C59" s="49" t="str">
        <f>IFERROR(VLOOKUP(B59,'MM01'!B:G,6,0),"")</f>
        <v/>
      </c>
      <c r="D59" s="75" t="str">
        <f>IF(C59&lt;&gt;"",VLOOKUP(C59,'Listas de Dados'!BT:BV,2,0),"")</f>
        <v/>
      </c>
      <c r="E59" s="75" t="str">
        <f t="shared" ca="1" si="1"/>
        <v>27.04.2022</v>
      </c>
      <c r="F59" s="77" t="s">
        <v>993</v>
      </c>
      <c r="G59" s="76">
        <v>1</v>
      </c>
      <c r="H59" s="76">
        <v>1</v>
      </c>
      <c r="I59" s="62" t="s">
        <v>533</v>
      </c>
      <c r="J59" s="69"/>
    </row>
    <row r="60" spans="1:10" x14ac:dyDescent="0.2">
      <c r="A60" s="7" t="str">
        <f t="shared" si="0"/>
        <v>Execução 56</v>
      </c>
      <c r="B60" s="42"/>
      <c r="C60" s="49" t="str">
        <f>IFERROR(VLOOKUP(B60,'MM01'!B:G,6,0),"")</f>
        <v/>
      </c>
      <c r="D60" s="75" t="str">
        <f>IF(C60&lt;&gt;"",VLOOKUP(C60,'Listas de Dados'!BT:BV,2,0),"")</f>
        <v/>
      </c>
      <c r="E60" s="75" t="str">
        <f t="shared" ca="1" si="1"/>
        <v>27.04.2022</v>
      </c>
      <c r="F60" s="77" t="s">
        <v>993</v>
      </c>
      <c r="G60" s="76">
        <v>1</v>
      </c>
      <c r="H60" s="76">
        <v>1</v>
      </c>
      <c r="I60" s="62" t="s">
        <v>533</v>
      </c>
      <c r="J60" s="69"/>
    </row>
    <row r="61" spans="1:10" x14ac:dyDescent="0.2">
      <c r="A61" s="7" t="str">
        <f t="shared" si="0"/>
        <v>Execução 57</v>
      </c>
      <c r="B61" s="42"/>
      <c r="C61" s="49" t="str">
        <f>IFERROR(VLOOKUP(B61,'MM01'!B:G,6,0),"")</f>
        <v/>
      </c>
      <c r="D61" s="75" t="str">
        <f>IF(C61&lt;&gt;"",VLOOKUP(C61,'Listas de Dados'!BT:BV,2,0),"")</f>
        <v/>
      </c>
      <c r="E61" s="75" t="str">
        <f t="shared" ca="1" si="1"/>
        <v>27.04.2022</v>
      </c>
      <c r="F61" s="77" t="s">
        <v>993</v>
      </c>
      <c r="G61" s="76">
        <v>1</v>
      </c>
      <c r="H61" s="76">
        <v>1</v>
      </c>
      <c r="I61" s="62" t="s">
        <v>533</v>
      </c>
      <c r="J61" s="69"/>
    </row>
    <row r="62" spans="1:10" x14ac:dyDescent="0.2">
      <c r="A62" s="7" t="str">
        <f t="shared" si="0"/>
        <v>Execução 58</v>
      </c>
      <c r="B62" s="42"/>
      <c r="C62" s="49" t="str">
        <f>IFERROR(VLOOKUP(B62,'MM01'!B:G,6,0),"")</f>
        <v/>
      </c>
      <c r="D62" s="75" t="str">
        <f>IF(C62&lt;&gt;"",VLOOKUP(C62,'Listas de Dados'!BT:BV,2,0),"")</f>
        <v/>
      </c>
      <c r="E62" s="75" t="str">
        <f t="shared" ca="1" si="1"/>
        <v>27.04.2022</v>
      </c>
      <c r="F62" s="77" t="s">
        <v>993</v>
      </c>
      <c r="G62" s="76">
        <v>1</v>
      </c>
      <c r="H62" s="76">
        <v>1</v>
      </c>
      <c r="I62" s="62" t="s">
        <v>533</v>
      </c>
      <c r="J62" s="69"/>
    </row>
    <row r="63" spans="1:10" x14ac:dyDescent="0.2">
      <c r="A63" s="7" t="str">
        <f t="shared" si="0"/>
        <v>Execução 59</v>
      </c>
      <c r="B63" s="42"/>
      <c r="C63" s="49" t="str">
        <f>IFERROR(VLOOKUP(B63,'MM01'!B:G,6,0),"")</f>
        <v/>
      </c>
      <c r="D63" s="75" t="str">
        <f>IF(C63&lt;&gt;"",VLOOKUP(C63,'Listas de Dados'!BT:BV,2,0),"")</f>
        <v/>
      </c>
      <c r="E63" s="75" t="str">
        <f t="shared" ca="1" si="1"/>
        <v>27.04.2022</v>
      </c>
      <c r="F63" s="77" t="s">
        <v>993</v>
      </c>
      <c r="G63" s="76">
        <v>1</v>
      </c>
      <c r="H63" s="76">
        <v>1</v>
      </c>
      <c r="I63" s="62" t="s">
        <v>533</v>
      </c>
      <c r="J63" s="69"/>
    </row>
    <row r="64" spans="1:10" x14ac:dyDescent="0.2">
      <c r="A64" s="7" t="str">
        <f t="shared" si="0"/>
        <v>Execução 60</v>
      </c>
      <c r="B64" s="42"/>
      <c r="C64" s="49" t="str">
        <f>IFERROR(VLOOKUP(B64,'MM01'!B:G,6,0),"")</f>
        <v/>
      </c>
      <c r="D64" s="75" t="str">
        <f>IF(C64&lt;&gt;"",VLOOKUP(C64,'Listas de Dados'!BT:BV,2,0),"")</f>
        <v/>
      </c>
      <c r="E64" s="75" t="str">
        <f t="shared" ca="1" si="1"/>
        <v>27.04.2022</v>
      </c>
      <c r="F64" s="77" t="s">
        <v>993</v>
      </c>
      <c r="G64" s="76">
        <v>1</v>
      </c>
      <c r="H64" s="76">
        <v>1</v>
      </c>
      <c r="I64" s="62" t="s">
        <v>533</v>
      </c>
      <c r="J64" s="69"/>
    </row>
    <row r="65" spans="1:10" x14ac:dyDescent="0.2">
      <c r="A65" s="7" t="str">
        <f t="shared" si="0"/>
        <v>Execução 61</v>
      </c>
      <c r="B65" s="42"/>
      <c r="C65" s="49" t="str">
        <f>IFERROR(VLOOKUP(B65,'MM01'!B:G,6,0),"")</f>
        <v/>
      </c>
      <c r="D65" s="75" t="str">
        <f>IF(C65&lt;&gt;"",VLOOKUP(C65,'Listas de Dados'!BT:BV,2,0),"")</f>
        <v/>
      </c>
      <c r="E65" s="75" t="str">
        <f t="shared" ca="1" si="1"/>
        <v>27.04.2022</v>
      </c>
      <c r="F65" s="77" t="s">
        <v>993</v>
      </c>
      <c r="G65" s="76">
        <v>1</v>
      </c>
      <c r="H65" s="76">
        <v>1</v>
      </c>
      <c r="I65" s="62" t="s">
        <v>533</v>
      </c>
      <c r="J65" s="69"/>
    </row>
    <row r="66" spans="1:10" x14ac:dyDescent="0.2">
      <c r="A66" s="7" t="str">
        <f t="shared" si="0"/>
        <v>Execução 62</v>
      </c>
      <c r="B66" s="42"/>
      <c r="C66" s="49" t="str">
        <f>IFERROR(VLOOKUP(B66,'MM01'!B:G,6,0),"")</f>
        <v/>
      </c>
      <c r="D66" s="75" t="str">
        <f>IF(C66&lt;&gt;"",VLOOKUP(C66,'Listas de Dados'!BT:BV,2,0),"")</f>
        <v/>
      </c>
      <c r="E66" s="75" t="str">
        <f t="shared" ca="1" si="1"/>
        <v>27.04.2022</v>
      </c>
      <c r="F66" s="77" t="s">
        <v>993</v>
      </c>
      <c r="G66" s="76">
        <v>1</v>
      </c>
      <c r="H66" s="76">
        <v>1</v>
      </c>
      <c r="I66" s="62" t="s">
        <v>533</v>
      </c>
      <c r="J66" s="69"/>
    </row>
    <row r="67" spans="1:10" x14ac:dyDescent="0.2">
      <c r="A67" s="7" t="str">
        <f t="shared" si="0"/>
        <v>Execução 63</v>
      </c>
      <c r="B67" s="42"/>
      <c r="C67" s="49" t="str">
        <f>IFERROR(VLOOKUP(B67,'MM01'!B:G,6,0),"")</f>
        <v/>
      </c>
      <c r="D67" s="75" t="str">
        <f>IF(C67&lt;&gt;"",VLOOKUP(C67,'Listas de Dados'!BT:BV,2,0),"")</f>
        <v/>
      </c>
      <c r="E67" s="75" t="str">
        <f t="shared" ca="1" si="1"/>
        <v>27.04.2022</v>
      </c>
      <c r="F67" s="77" t="s">
        <v>993</v>
      </c>
      <c r="G67" s="76">
        <v>1</v>
      </c>
      <c r="H67" s="76">
        <v>1</v>
      </c>
      <c r="I67" s="62" t="s">
        <v>533</v>
      </c>
      <c r="J67" s="69"/>
    </row>
    <row r="68" spans="1:10" x14ac:dyDescent="0.2">
      <c r="A68" s="7" t="str">
        <f t="shared" si="0"/>
        <v>Execução 64</v>
      </c>
      <c r="B68" s="42"/>
      <c r="C68" s="49" t="str">
        <f>IFERROR(VLOOKUP(B68,'MM01'!B:G,6,0),"")</f>
        <v/>
      </c>
      <c r="D68" s="75" t="str">
        <f>IF(C68&lt;&gt;"",VLOOKUP(C68,'Listas de Dados'!BT:BV,2,0),"")</f>
        <v/>
      </c>
      <c r="E68" s="75" t="str">
        <f t="shared" ca="1" si="1"/>
        <v>27.04.2022</v>
      </c>
      <c r="F68" s="77" t="s">
        <v>993</v>
      </c>
      <c r="G68" s="76">
        <v>1</v>
      </c>
      <c r="H68" s="76">
        <v>1</v>
      </c>
      <c r="I68" s="62" t="s">
        <v>533</v>
      </c>
      <c r="J68" s="69"/>
    </row>
    <row r="69" spans="1:10" x14ac:dyDescent="0.2">
      <c r="A69" s="7" t="str">
        <f t="shared" si="0"/>
        <v>Execução 65</v>
      </c>
      <c r="B69" s="42"/>
      <c r="C69" s="49" t="str">
        <f>IFERROR(VLOOKUP(B69,'MM01'!B:G,6,0),"")</f>
        <v/>
      </c>
      <c r="D69" s="75" t="str">
        <f>IF(C69&lt;&gt;"",VLOOKUP(C69,'Listas de Dados'!BT:BV,2,0),"")</f>
        <v/>
      </c>
      <c r="E69" s="75" t="str">
        <f t="shared" ca="1" si="1"/>
        <v>27.04.2022</v>
      </c>
      <c r="F69" s="77" t="s">
        <v>993</v>
      </c>
      <c r="G69" s="76">
        <v>1</v>
      </c>
      <c r="H69" s="76">
        <v>1</v>
      </c>
      <c r="I69" s="62" t="s">
        <v>533</v>
      </c>
      <c r="J69" s="69"/>
    </row>
    <row r="70" spans="1:10" x14ac:dyDescent="0.2">
      <c r="A70" s="7" t="str">
        <f t="shared" ref="A70:A104" si="2">"Execução "&amp;ROW()-4</f>
        <v>Execução 66</v>
      </c>
      <c r="B70" s="42"/>
      <c r="C70" s="49" t="str">
        <f>IFERROR(VLOOKUP(B70,'MM01'!B:G,6,0),"")</f>
        <v/>
      </c>
      <c r="D70" s="75" t="str">
        <f>IF(C70&lt;&gt;"",VLOOKUP(C70,'Listas de Dados'!BT:BV,2,0),"")</f>
        <v/>
      </c>
      <c r="E70" s="75" t="str">
        <f t="shared" ref="E70:E104" ca="1" si="3">TEXT(TODAY(),"DD.MM.AAAA")</f>
        <v>27.04.2022</v>
      </c>
      <c r="F70" s="77" t="s">
        <v>993</v>
      </c>
      <c r="G70" s="76">
        <v>1</v>
      </c>
      <c r="H70" s="76">
        <v>1</v>
      </c>
      <c r="I70" s="62" t="s">
        <v>533</v>
      </c>
      <c r="J70" s="69"/>
    </row>
    <row r="71" spans="1:10" x14ac:dyDescent="0.2">
      <c r="A71" s="7" t="str">
        <f t="shared" si="2"/>
        <v>Execução 67</v>
      </c>
      <c r="B71" s="42"/>
      <c r="C71" s="49" t="str">
        <f>IFERROR(VLOOKUP(B71,'MM01'!B:G,6,0),"")</f>
        <v/>
      </c>
      <c r="D71" s="75" t="str">
        <f>IF(C71&lt;&gt;"",VLOOKUP(C71,'Listas de Dados'!BT:BV,2,0),"")</f>
        <v/>
      </c>
      <c r="E71" s="75" t="str">
        <f t="shared" ca="1" si="3"/>
        <v>27.04.2022</v>
      </c>
      <c r="F71" s="77" t="s">
        <v>993</v>
      </c>
      <c r="G71" s="76">
        <v>1</v>
      </c>
      <c r="H71" s="76">
        <v>1</v>
      </c>
      <c r="I71" s="62" t="s">
        <v>533</v>
      </c>
      <c r="J71" s="69"/>
    </row>
    <row r="72" spans="1:10" x14ac:dyDescent="0.2">
      <c r="A72" s="7" t="str">
        <f t="shared" si="2"/>
        <v>Execução 68</v>
      </c>
      <c r="B72" s="42"/>
      <c r="C72" s="49" t="str">
        <f>IFERROR(VLOOKUP(B72,'MM01'!B:G,6,0),"")</f>
        <v/>
      </c>
      <c r="D72" s="75" t="str">
        <f>IF(C72&lt;&gt;"",VLOOKUP(C72,'Listas de Dados'!BT:BV,2,0),"")</f>
        <v/>
      </c>
      <c r="E72" s="75" t="str">
        <f t="shared" ca="1" si="3"/>
        <v>27.04.2022</v>
      </c>
      <c r="F72" s="77" t="s">
        <v>993</v>
      </c>
      <c r="G72" s="76">
        <v>1</v>
      </c>
      <c r="H72" s="76">
        <v>1</v>
      </c>
      <c r="I72" s="62" t="s">
        <v>533</v>
      </c>
      <c r="J72" s="69"/>
    </row>
    <row r="73" spans="1:10" x14ac:dyDescent="0.2">
      <c r="A73" s="7" t="str">
        <f t="shared" si="2"/>
        <v>Execução 69</v>
      </c>
      <c r="B73" s="42"/>
      <c r="C73" s="49" t="str">
        <f>IFERROR(VLOOKUP(B73,'MM01'!B:G,6,0),"")</f>
        <v/>
      </c>
      <c r="D73" s="75" t="str">
        <f>IF(C73&lt;&gt;"",VLOOKUP(C73,'Listas de Dados'!BT:BV,2,0),"")</f>
        <v/>
      </c>
      <c r="E73" s="75" t="str">
        <f t="shared" ca="1" si="3"/>
        <v>27.04.2022</v>
      </c>
      <c r="F73" s="77" t="s">
        <v>993</v>
      </c>
      <c r="G73" s="76">
        <v>1</v>
      </c>
      <c r="H73" s="76">
        <v>1</v>
      </c>
      <c r="I73" s="62" t="s">
        <v>533</v>
      </c>
      <c r="J73" s="69"/>
    </row>
    <row r="74" spans="1:10" x14ac:dyDescent="0.2">
      <c r="A74" s="7" t="str">
        <f t="shared" si="2"/>
        <v>Execução 70</v>
      </c>
      <c r="B74" s="42"/>
      <c r="C74" s="49" t="str">
        <f>IFERROR(VLOOKUP(B74,'MM01'!B:G,6,0),"")</f>
        <v/>
      </c>
      <c r="D74" s="75" t="str">
        <f>IF(C74&lt;&gt;"",VLOOKUP(C74,'Listas de Dados'!BT:BV,2,0),"")</f>
        <v/>
      </c>
      <c r="E74" s="75" t="str">
        <f t="shared" ca="1" si="3"/>
        <v>27.04.2022</v>
      </c>
      <c r="F74" s="77" t="s">
        <v>993</v>
      </c>
      <c r="G74" s="76">
        <v>1</v>
      </c>
      <c r="H74" s="76">
        <v>1</v>
      </c>
      <c r="I74" s="62" t="s">
        <v>533</v>
      </c>
      <c r="J74" s="69"/>
    </row>
    <row r="75" spans="1:10" x14ac:dyDescent="0.2">
      <c r="A75" s="7" t="str">
        <f t="shared" si="2"/>
        <v>Execução 71</v>
      </c>
      <c r="B75" s="42"/>
      <c r="C75" s="49" t="str">
        <f>IFERROR(VLOOKUP(B75,'MM01'!B:G,6,0),"")</f>
        <v/>
      </c>
      <c r="D75" s="75" t="str">
        <f>IF(C75&lt;&gt;"",VLOOKUP(C75,'Listas de Dados'!BT:BV,2,0),"")</f>
        <v/>
      </c>
      <c r="E75" s="75" t="str">
        <f t="shared" ca="1" si="3"/>
        <v>27.04.2022</v>
      </c>
      <c r="F75" s="77" t="s">
        <v>993</v>
      </c>
      <c r="G75" s="76">
        <v>1</v>
      </c>
      <c r="H75" s="76">
        <v>1</v>
      </c>
      <c r="I75" s="62" t="s">
        <v>533</v>
      </c>
      <c r="J75" s="69"/>
    </row>
    <row r="76" spans="1:10" x14ac:dyDescent="0.2">
      <c r="A76" s="7" t="str">
        <f t="shared" si="2"/>
        <v>Execução 72</v>
      </c>
      <c r="B76" s="42"/>
      <c r="C76" s="49" t="str">
        <f>IFERROR(VLOOKUP(B76,'MM01'!B:G,6,0),"")</f>
        <v/>
      </c>
      <c r="D76" s="75" t="str">
        <f>IF(C76&lt;&gt;"",VLOOKUP(C76,'Listas de Dados'!BT:BV,2,0),"")</f>
        <v/>
      </c>
      <c r="E76" s="75" t="str">
        <f t="shared" ca="1" si="3"/>
        <v>27.04.2022</v>
      </c>
      <c r="F76" s="77" t="s">
        <v>993</v>
      </c>
      <c r="G76" s="76">
        <v>1</v>
      </c>
      <c r="H76" s="76">
        <v>1</v>
      </c>
      <c r="I76" s="62" t="s">
        <v>533</v>
      </c>
      <c r="J76" s="69"/>
    </row>
    <row r="77" spans="1:10" x14ac:dyDescent="0.2">
      <c r="A77" s="7" t="str">
        <f t="shared" si="2"/>
        <v>Execução 73</v>
      </c>
      <c r="B77" s="42"/>
      <c r="C77" s="49" t="str">
        <f>IFERROR(VLOOKUP(B77,'MM01'!B:G,6,0),"")</f>
        <v/>
      </c>
      <c r="D77" s="75" t="str">
        <f>IF(C77&lt;&gt;"",VLOOKUP(C77,'Listas de Dados'!BT:BV,2,0),"")</f>
        <v/>
      </c>
      <c r="E77" s="75" t="str">
        <f t="shared" ca="1" si="3"/>
        <v>27.04.2022</v>
      </c>
      <c r="F77" s="77" t="s">
        <v>993</v>
      </c>
      <c r="G77" s="76">
        <v>1</v>
      </c>
      <c r="H77" s="76">
        <v>1</v>
      </c>
      <c r="I77" s="62" t="s">
        <v>533</v>
      </c>
      <c r="J77" s="69"/>
    </row>
    <row r="78" spans="1:10" x14ac:dyDescent="0.2">
      <c r="A78" s="7" t="str">
        <f t="shared" si="2"/>
        <v>Execução 74</v>
      </c>
      <c r="B78" s="42"/>
      <c r="C78" s="49" t="str">
        <f>IFERROR(VLOOKUP(B78,'MM01'!B:G,6,0),"")</f>
        <v/>
      </c>
      <c r="D78" s="75" t="str">
        <f>IF(C78&lt;&gt;"",VLOOKUP(C78,'Listas de Dados'!BT:BV,2,0),"")</f>
        <v/>
      </c>
      <c r="E78" s="75" t="str">
        <f t="shared" ca="1" si="3"/>
        <v>27.04.2022</v>
      </c>
      <c r="F78" s="77" t="s">
        <v>993</v>
      </c>
      <c r="G78" s="76">
        <v>1</v>
      </c>
      <c r="H78" s="76">
        <v>1</v>
      </c>
      <c r="I78" s="62" t="s">
        <v>533</v>
      </c>
      <c r="J78" s="69"/>
    </row>
    <row r="79" spans="1:10" x14ac:dyDescent="0.2">
      <c r="A79" s="7" t="str">
        <f t="shared" si="2"/>
        <v>Execução 75</v>
      </c>
      <c r="B79" s="42"/>
      <c r="C79" s="49" t="str">
        <f>IFERROR(VLOOKUP(B79,'MM01'!B:G,6,0),"")</f>
        <v/>
      </c>
      <c r="D79" s="75" t="str">
        <f>IF(C79&lt;&gt;"",VLOOKUP(C79,'Listas de Dados'!BT:BV,2,0),"")</f>
        <v/>
      </c>
      <c r="E79" s="75" t="str">
        <f t="shared" ca="1" si="3"/>
        <v>27.04.2022</v>
      </c>
      <c r="F79" s="77" t="s">
        <v>993</v>
      </c>
      <c r="G79" s="76">
        <v>1</v>
      </c>
      <c r="H79" s="76">
        <v>1</v>
      </c>
      <c r="I79" s="62" t="s">
        <v>533</v>
      </c>
      <c r="J79" s="69"/>
    </row>
    <row r="80" spans="1:10" x14ac:dyDescent="0.2">
      <c r="A80" s="7" t="str">
        <f t="shared" si="2"/>
        <v>Execução 76</v>
      </c>
      <c r="B80" s="42"/>
      <c r="C80" s="49" t="str">
        <f>IFERROR(VLOOKUP(B80,'MM01'!B:G,6,0),"")</f>
        <v/>
      </c>
      <c r="D80" s="75" t="str">
        <f>IF(C80&lt;&gt;"",VLOOKUP(C80,'Listas de Dados'!BT:BV,2,0),"")</f>
        <v/>
      </c>
      <c r="E80" s="75" t="str">
        <f t="shared" ca="1" si="3"/>
        <v>27.04.2022</v>
      </c>
      <c r="F80" s="77" t="s">
        <v>993</v>
      </c>
      <c r="G80" s="76">
        <v>1</v>
      </c>
      <c r="H80" s="76">
        <v>1</v>
      </c>
      <c r="I80" s="62" t="s">
        <v>533</v>
      </c>
      <c r="J80" s="69"/>
    </row>
    <row r="81" spans="1:10" x14ac:dyDescent="0.2">
      <c r="A81" s="7" t="str">
        <f t="shared" si="2"/>
        <v>Execução 77</v>
      </c>
      <c r="B81" s="42"/>
      <c r="C81" s="49" t="str">
        <f>IFERROR(VLOOKUP(B81,'MM01'!B:G,6,0),"")</f>
        <v/>
      </c>
      <c r="D81" s="75" t="str">
        <f>IF(C81&lt;&gt;"",VLOOKUP(C81,'Listas de Dados'!BT:BV,2,0),"")</f>
        <v/>
      </c>
      <c r="E81" s="75" t="str">
        <f t="shared" ca="1" si="3"/>
        <v>27.04.2022</v>
      </c>
      <c r="F81" s="77" t="s">
        <v>993</v>
      </c>
      <c r="G81" s="76">
        <v>1</v>
      </c>
      <c r="H81" s="76">
        <v>1</v>
      </c>
      <c r="I81" s="62" t="s">
        <v>533</v>
      </c>
      <c r="J81" s="69"/>
    </row>
    <row r="82" spans="1:10" x14ac:dyDescent="0.2">
      <c r="A82" s="7" t="str">
        <f t="shared" si="2"/>
        <v>Execução 78</v>
      </c>
      <c r="B82" s="42"/>
      <c r="C82" s="49" t="str">
        <f>IFERROR(VLOOKUP(B82,'MM01'!B:G,6,0),"")</f>
        <v/>
      </c>
      <c r="D82" s="75" t="str">
        <f>IF(C82&lt;&gt;"",VLOOKUP(C82,'Listas de Dados'!BT:BV,2,0),"")</f>
        <v/>
      </c>
      <c r="E82" s="75" t="str">
        <f t="shared" ca="1" si="3"/>
        <v>27.04.2022</v>
      </c>
      <c r="F82" s="77" t="s">
        <v>993</v>
      </c>
      <c r="G82" s="76">
        <v>1</v>
      </c>
      <c r="H82" s="76">
        <v>1</v>
      </c>
      <c r="I82" s="62" t="s">
        <v>533</v>
      </c>
      <c r="J82" s="69"/>
    </row>
    <row r="83" spans="1:10" x14ac:dyDescent="0.2">
      <c r="A83" s="7" t="str">
        <f t="shared" si="2"/>
        <v>Execução 79</v>
      </c>
      <c r="B83" s="42"/>
      <c r="C83" s="49" t="str">
        <f>IFERROR(VLOOKUP(B83,'MM01'!B:G,6,0),"")</f>
        <v/>
      </c>
      <c r="D83" s="75" t="str">
        <f>IF(C83&lt;&gt;"",VLOOKUP(C83,'Listas de Dados'!BT:BV,2,0),"")</f>
        <v/>
      </c>
      <c r="E83" s="75" t="str">
        <f t="shared" ca="1" si="3"/>
        <v>27.04.2022</v>
      </c>
      <c r="F83" s="77" t="s">
        <v>993</v>
      </c>
      <c r="G83" s="76">
        <v>1</v>
      </c>
      <c r="H83" s="76">
        <v>1</v>
      </c>
      <c r="I83" s="62" t="s">
        <v>533</v>
      </c>
      <c r="J83" s="69"/>
    </row>
    <row r="84" spans="1:10" x14ac:dyDescent="0.2">
      <c r="A84" s="7" t="str">
        <f t="shared" si="2"/>
        <v>Execução 80</v>
      </c>
      <c r="B84" s="42"/>
      <c r="C84" s="49" t="str">
        <f>IFERROR(VLOOKUP(B84,'MM01'!B:G,6,0),"")</f>
        <v/>
      </c>
      <c r="D84" s="75" t="str">
        <f>IF(C84&lt;&gt;"",VLOOKUP(C84,'Listas de Dados'!BT:BV,2,0),"")</f>
        <v/>
      </c>
      <c r="E84" s="75" t="str">
        <f t="shared" ca="1" si="3"/>
        <v>27.04.2022</v>
      </c>
      <c r="F84" s="77" t="s">
        <v>993</v>
      </c>
      <c r="G84" s="76">
        <v>1</v>
      </c>
      <c r="H84" s="76">
        <v>1</v>
      </c>
      <c r="I84" s="62" t="s">
        <v>533</v>
      </c>
      <c r="J84" s="69"/>
    </row>
    <row r="85" spans="1:10" x14ac:dyDescent="0.2">
      <c r="A85" s="7" t="str">
        <f t="shared" si="2"/>
        <v>Execução 81</v>
      </c>
      <c r="B85" s="42"/>
      <c r="C85" s="49" t="str">
        <f>IFERROR(VLOOKUP(B85,'MM01'!B:G,6,0),"")</f>
        <v/>
      </c>
      <c r="D85" s="75" t="str">
        <f>IF(C85&lt;&gt;"",VLOOKUP(C85,'Listas de Dados'!BT:BV,2,0),"")</f>
        <v/>
      </c>
      <c r="E85" s="75" t="str">
        <f t="shared" ca="1" si="3"/>
        <v>27.04.2022</v>
      </c>
      <c r="F85" s="77" t="s">
        <v>993</v>
      </c>
      <c r="G85" s="76">
        <v>1</v>
      </c>
      <c r="H85" s="76">
        <v>1</v>
      </c>
      <c r="I85" s="62" t="s">
        <v>533</v>
      </c>
      <c r="J85" s="69"/>
    </row>
    <row r="86" spans="1:10" x14ac:dyDescent="0.2">
      <c r="A86" s="7" t="str">
        <f t="shared" si="2"/>
        <v>Execução 82</v>
      </c>
      <c r="B86" s="42"/>
      <c r="C86" s="49" t="str">
        <f>IFERROR(VLOOKUP(B86,'MM01'!B:G,6,0),"")</f>
        <v/>
      </c>
      <c r="D86" s="75" t="str">
        <f>IF(C86&lt;&gt;"",VLOOKUP(C86,'Listas de Dados'!BT:BV,2,0),"")</f>
        <v/>
      </c>
      <c r="E86" s="75" t="str">
        <f t="shared" ca="1" si="3"/>
        <v>27.04.2022</v>
      </c>
      <c r="F86" s="77" t="s">
        <v>993</v>
      </c>
      <c r="G86" s="76">
        <v>1</v>
      </c>
      <c r="H86" s="76">
        <v>1</v>
      </c>
      <c r="I86" s="62" t="s">
        <v>533</v>
      </c>
      <c r="J86" s="69"/>
    </row>
    <row r="87" spans="1:10" x14ac:dyDescent="0.2">
      <c r="A87" s="7" t="str">
        <f t="shared" si="2"/>
        <v>Execução 83</v>
      </c>
      <c r="B87" s="42"/>
      <c r="C87" s="49" t="str">
        <f>IFERROR(VLOOKUP(B87,'MM01'!B:G,6,0),"")</f>
        <v/>
      </c>
      <c r="D87" s="75" t="str">
        <f>IF(C87&lt;&gt;"",VLOOKUP(C87,'Listas de Dados'!BT:BV,2,0),"")</f>
        <v/>
      </c>
      <c r="E87" s="75" t="str">
        <f t="shared" ca="1" si="3"/>
        <v>27.04.2022</v>
      </c>
      <c r="F87" s="77" t="s">
        <v>993</v>
      </c>
      <c r="G87" s="76">
        <v>1</v>
      </c>
      <c r="H87" s="76">
        <v>1</v>
      </c>
      <c r="I87" s="62" t="s">
        <v>533</v>
      </c>
      <c r="J87" s="69"/>
    </row>
    <row r="88" spans="1:10" x14ac:dyDescent="0.2">
      <c r="A88" s="7" t="str">
        <f t="shared" si="2"/>
        <v>Execução 84</v>
      </c>
      <c r="B88" s="42"/>
      <c r="C88" s="49" t="str">
        <f>IFERROR(VLOOKUP(B88,'MM01'!B:G,6,0),"")</f>
        <v/>
      </c>
      <c r="D88" s="75" t="str">
        <f>IF(C88&lt;&gt;"",VLOOKUP(C88,'Listas de Dados'!BT:BV,2,0),"")</f>
        <v/>
      </c>
      <c r="E88" s="75" t="str">
        <f t="shared" ca="1" si="3"/>
        <v>27.04.2022</v>
      </c>
      <c r="F88" s="77" t="s">
        <v>993</v>
      </c>
      <c r="G88" s="76">
        <v>1</v>
      </c>
      <c r="H88" s="76">
        <v>1</v>
      </c>
      <c r="I88" s="62" t="s">
        <v>533</v>
      </c>
      <c r="J88" s="69"/>
    </row>
    <row r="89" spans="1:10" x14ac:dyDescent="0.2">
      <c r="A89" s="7" t="str">
        <f t="shared" si="2"/>
        <v>Execução 85</v>
      </c>
      <c r="B89" s="42"/>
      <c r="C89" s="49" t="str">
        <f>IFERROR(VLOOKUP(B89,'MM01'!B:G,6,0),"")</f>
        <v/>
      </c>
      <c r="D89" s="75" t="str">
        <f>IF(C89&lt;&gt;"",VLOOKUP(C89,'Listas de Dados'!BT:BV,2,0),"")</f>
        <v/>
      </c>
      <c r="E89" s="75" t="str">
        <f t="shared" ca="1" si="3"/>
        <v>27.04.2022</v>
      </c>
      <c r="F89" s="77" t="s">
        <v>993</v>
      </c>
      <c r="G89" s="76">
        <v>1</v>
      </c>
      <c r="H89" s="76">
        <v>1</v>
      </c>
      <c r="I89" s="62" t="s">
        <v>533</v>
      </c>
      <c r="J89" s="69"/>
    </row>
    <row r="90" spans="1:10" x14ac:dyDescent="0.2">
      <c r="A90" s="7" t="str">
        <f t="shared" si="2"/>
        <v>Execução 86</v>
      </c>
      <c r="B90" s="42"/>
      <c r="C90" s="49" t="str">
        <f>IFERROR(VLOOKUP(B90,'MM01'!B:G,6,0),"")</f>
        <v/>
      </c>
      <c r="D90" s="75" t="str">
        <f>IF(C90&lt;&gt;"",VLOOKUP(C90,'Listas de Dados'!BT:BV,2,0),"")</f>
        <v/>
      </c>
      <c r="E90" s="75" t="str">
        <f t="shared" ca="1" si="3"/>
        <v>27.04.2022</v>
      </c>
      <c r="F90" s="77" t="s">
        <v>993</v>
      </c>
      <c r="G90" s="76">
        <v>1</v>
      </c>
      <c r="H90" s="76">
        <v>1</v>
      </c>
      <c r="I90" s="62" t="s">
        <v>533</v>
      </c>
      <c r="J90" s="69"/>
    </row>
    <row r="91" spans="1:10" x14ac:dyDescent="0.2">
      <c r="A91" s="7" t="str">
        <f t="shared" si="2"/>
        <v>Execução 87</v>
      </c>
      <c r="B91" s="42"/>
      <c r="C91" s="49" t="str">
        <f>IFERROR(VLOOKUP(B91,'MM01'!B:G,6,0),"")</f>
        <v/>
      </c>
      <c r="D91" s="75" t="str">
        <f>IF(C91&lt;&gt;"",VLOOKUP(C91,'Listas de Dados'!BT:BV,2,0),"")</f>
        <v/>
      </c>
      <c r="E91" s="75" t="str">
        <f t="shared" ca="1" si="3"/>
        <v>27.04.2022</v>
      </c>
      <c r="F91" s="77" t="s">
        <v>993</v>
      </c>
      <c r="G91" s="76">
        <v>1</v>
      </c>
      <c r="H91" s="76">
        <v>1</v>
      </c>
      <c r="I91" s="62" t="s">
        <v>533</v>
      </c>
      <c r="J91" s="69"/>
    </row>
    <row r="92" spans="1:10" x14ac:dyDescent="0.2">
      <c r="A92" s="7" t="str">
        <f t="shared" si="2"/>
        <v>Execução 88</v>
      </c>
      <c r="B92" s="42"/>
      <c r="C92" s="49" t="str">
        <f>IFERROR(VLOOKUP(B92,'MM01'!B:G,6,0),"")</f>
        <v/>
      </c>
      <c r="D92" s="75" t="str">
        <f>IF(C92&lt;&gt;"",VLOOKUP(C92,'Listas de Dados'!BT:BV,2,0),"")</f>
        <v/>
      </c>
      <c r="E92" s="75" t="str">
        <f t="shared" ca="1" si="3"/>
        <v>27.04.2022</v>
      </c>
      <c r="F92" s="77" t="s">
        <v>993</v>
      </c>
      <c r="G92" s="76">
        <v>1</v>
      </c>
      <c r="H92" s="76">
        <v>1</v>
      </c>
      <c r="I92" s="62" t="s">
        <v>533</v>
      </c>
      <c r="J92" s="69"/>
    </row>
    <row r="93" spans="1:10" x14ac:dyDescent="0.2">
      <c r="A93" s="7" t="str">
        <f t="shared" si="2"/>
        <v>Execução 89</v>
      </c>
      <c r="B93" s="42"/>
      <c r="C93" s="49" t="str">
        <f>IFERROR(VLOOKUP(B93,'MM01'!B:G,6,0),"")</f>
        <v/>
      </c>
      <c r="D93" s="75" t="str">
        <f>IF(C93&lt;&gt;"",VLOOKUP(C93,'Listas de Dados'!BT:BV,2,0),"")</f>
        <v/>
      </c>
      <c r="E93" s="75" t="str">
        <f t="shared" ca="1" si="3"/>
        <v>27.04.2022</v>
      </c>
      <c r="F93" s="77" t="s">
        <v>993</v>
      </c>
      <c r="G93" s="76">
        <v>1</v>
      </c>
      <c r="H93" s="76">
        <v>1</v>
      </c>
      <c r="I93" s="62" t="s">
        <v>533</v>
      </c>
      <c r="J93" s="69"/>
    </row>
    <row r="94" spans="1:10" x14ac:dyDescent="0.2">
      <c r="A94" s="7" t="str">
        <f t="shared" si="2"/>
        <v>Execução 90</v>
      </c>
      <c r="B94" s="42"/>
      <c r="C94" s="49" t="str">
        <f>IFERROR(VLOOKUP(B94,'MM01'!B:G,6,0),"")</f>
        <v/>
      </c>
      <c r="D94" s="75" t="str">
        <f>IF(C94&lt;&gt;"",VLOOKUP(C94,'Listas de Dados'!BT:BV,2,0),"")</f>
        <v/>
      </c>
      <c r="E94" s="75" t="str">
        <f t="shared" ca="1" si="3"/>
        <v>27.04.2022</v>
      </c>
      <c r="F94" s="77" t="s">
        <v>993</v>
      </c>
      <c r="G94" s="76">
        <v>1</v>
      </c>
      <c r="H94" s="76">
        <v>1</v>
      </c>
      <c r="I94" s="62" t="s">
        <v>533</v>
      </c>
      <c r="J94" s="69"/>
    </row>
    <row r="95" spans="1:10" x14ac:dyDescent="0.2">
      <c r="A95" s="7" t="str">
        <f t="shared" si="2"/>
        <v>Execução 91</v>
      </c>
      <c r="B95" s="42"/>
      <c r="C95" s="49" t="str">
        <f>IFERROR(VLOOKUP(B95,'MM01'!B:G,6,0),"")</f>
        <v/>
      </c>
      <c r="D95" s="75" t="str">
        <f>IF(C95&lt;&gt;"",VLOOKUP(C95,'Listas de Dados'!BT:BV,2,0),"")</f>
        <v/>
      </c>
      <c r="E95" s="75" t="str">
        <f t="shared" ca="1" si="3"/>
        <v>27.04.2022</v>
      </c>
      <c r="F95" s="77" t="s">
        <v>993</v>
      </c>
      <c r="G95" s="76">
        <v>1</v>
      </c>
      <c r="H95" s="76">
        <v>1</v>
      </c>
      <c r="I95" s="62" t="s">
        <v>533</v>
      </c>
      <c r="J95" s="69"/>
    </row>
    <row r="96" spans="1:10" x14ac:dyDescent="0.2">
      <c r="A96" s="7" t="str">
        <f t="shared" si="2"/>
        <v>Execução 92</v>
      </c>
      <c r="B96" s="42"/>
      <c r="C96" s="49" t="str">
        <f>IFERROR(VLOOKUP(B96,'MM01'!B:G,6,0),"")</f>
        <v/>
      </c>
      <c r="D96" s="75" t="str">
        <f>IF(C96&lt;&gt;"",VLOOKUP(C96,'Listas de Dados'!BT:BV,2,0),"")</f>
        <v/>
      </c>
      <c r="E96" s="75" t="str">
        <f t="shared" ca="1" si="3"/>
        <v>27.04.2022</v>
      </c>
      <c r="F96" s="77" t="s">
        <v>993</v>
      </c>
      <c r="G96" s="76">
        <v>1</v>
      </c>
      <c r="H96" s="76">
        <v>1</v>
      </c>
      <c r="I96" s="62" t="s">
        <v>533</v>
      </c>
      <c r="J96" s="69"/>
    </row>
    <row r="97" spans="1:10" x14ac:dyDescent="0.2">
      <c r="A97" s="7" t="str">
        <f t="shared" si="2"/>
        <v>Execução 93</v>
      </c>
      <c r="B97" s="42"/>
      <c r="C97" s="49" t="str">
        <f>IFERROR(VLOOKUP(B97,'MM01'!B:G,6,0),"")</f>
        <v/>
      </c>
      <c r="D97" s="75" t="str">
        <f>IF(C97&lt;&gt;"",VLOOKUP(C97,'Listas de Dados'!BT:BV,2,0),"")</f>
        <v/>
      </c>
      <c r="E97" s="75" t="str">
        <f t="shared" ca="1" si="3"/>
        <v>27.04.2022</v>
      </c>
      <c r="F97" s="77" t="s">
        <v>993</v>
      </c>
      <c r="G97" s="76">
        <v>1</v>
      </c>
      <c r="H97" s="76">
        <v>1</v>
      </c>
      <c r="I97" s="62" t="s">
        <v>533</v>
      </c>
      <c r="J97" s="69"/>
    </row>
    <row r="98" spans="1:10" x14ac:dyDescent="0.2">
      <c r="A98" s="7" t="str">
        <f t="shared" si="2"/>
        <v>Execução 94</v>
      </c>
      <c r="B98" s="42"/>
      <c r="C98" s="49" t="str">
        <f>IFERROR(VLOOKUP(B98,'MM01'!B:G,6,0),"")</f>
        <v/>
      </c>
      <c r="D98" s="75" t="str">
        <f>IF(C98&lt;&gt;"",VLOOKUP(C98,'Listas de Dados'!BT:BV,2,0),"")</f>
        <v/>
      </c>
      <c r="E98" s="75" t="str">
        <f t="shared" ca="1" si="3"/>
        <v>27.04.2022</v>
      </c>
      <c r="F98" s="77" t="s">
        <v>993</v>
      </c>
      <c r="G98" s="76">
        <v>1</v>
      </c>
      <c r="H98" s="76">
        <v>1</v>
      </c>
      <c r="I98" s="62" t="s">
        <v>533</v>
      </c>
      <c r="J98" s="69"/>
    </row>
    <row r="99" spans="1:10" x14ac:dyDescent="0.2">
      <c r="A99" s="7" t="str">
        <f t="shared" si="2"/>
        <v>Execução 95</v>
      </c>
      <c r="B99" s="42"/>
      <c r="C99" s="49" t="str">
        <f>IFERROR(VLOOKUP(B99,'MM01'!B:G,6,0),"")</f>
        <v/>
      </c>
      <c r="D99" s="75" t="str">
        <f>IF(C99&lt;&gt;"",VLOOKUP(C99,'Listas de Dados'!BT:BV,2,0),"")</f>
        <v/>
      </c>
      <c r="E99" s="75" t="str">
        <f t="shared" ca="1" si="3"/>
        <v>27.04.2022</v>
      </c>
      <c r="F99" s="77" t="s">
        <v>993</v>
      </c>
      <c r="G99" s="76">
        <v>1</v>
      </c>
      <c r="H99" s="76">
        <v>1</v>
      </c>
      <c r="I99" s="62" t="s">
        <v>533</v>
      </c>
      <c r="J99" s="69"/>
    </row>
    <row r="100" spans="1:10" x14ac:dyDescent="0.2">
      <c r="A100" s="7" t="str">
        <f t="shared" si="2"/>
        <v>Execução 96</v>
      </c>
      <c r="B100" s="42"/>
      <c r="C100" s="49" t="str">
        <f>IFERROR(VLOOKUP(B100,'MM01'!B:G,6,0),"")</f>
        <v/>
      </c>
      <c r="D100" s="75" t="str">
        <f>IF(C100&lt;&gt;"",VLOOKUP(C100,'Listas de Dados'!BT:BV,2,0),"")</f>
        <v/>
      </c>
      <c r="E100" s="75" t="str">
        <f t="shared" ca="1" si="3"/>
        <v>27.04.2022</v>
      </c>
      <c r="F100" s="77" t="s">
        <v>993</v>
      </c>
      <c r="G100" s="76">
        <v>1</v>
      </c>
      <c r="H100" s="76">
        <v>1</v>
      </c>
      <c r="I100" s="62" t="s">
        <v>533</v>
      </c>
      <c r="J100" s="69"/>
    </row>
    <row r="101" spans="1:10" x14ac:dyDescent="0.2">
      <c r="A101" s="7" t="str">
        <f t="shared" si="2"/>
        <v>Execução 97</v>
      </c>
      <c r="B101" s="42"/>
      <c r="C101" s="49" t="str">
        <f>IFERROR(VLOOKUP(B101,'MM01'!B:G,6,0),"")</f>
        <v/>
      </c>
      <c r="D101" s="75" t="str">
        <f>IF(C101&lt;&gt;"",VLOOKUP(C101,'Listas de Dados'!BT:BV,2,0),"")</f>
        <v/>
      </c>
      <c r="E101" s="75" t="str">
        <f t="shared" ca="1" si="3"/>
        <v>27.04.2022</v>
      </c>
      <c r="F101" s="77" t="s">
        <v>993</v>
      </c>
      <c r="G101" s="76">
        <v>1</v>
      </c>
      <c r="H101" s="76">
        <v>1</v>
      </c>
      <c r="I101" s="62" t="s">
        <v>533</v>
      </c>
      <c r="J101" s="69"/>
    </row>
    <row r="102" spans="1:10" x14ac:dyDescent="0.2">
      <c r="A102" s="7" t="str">
        <f t="shared" si="2"/>
        <v>Execução 98</v>
      </c>
      <c r="B102" s="42"/>
      <c r="C102" s="49" t="str">
        <f>IFERROR(VLOOKUP(B102,'MM01'!B:G,6,0),"")</f>
        <v/>
      </c>
      <c r="D102" s="75" t="str">
        <f>IF(C102&lt;&gt;"",VLOOKUP(C102,'Listas de Dados'!BT:BV,2,0),"")</f>
        <v/>
      </c>
      <c r="E102" s="75" t="str">
        <f t="shared" ca="1" si="3"/>
        <v>27.04.2022</v>
      </c>
      <c r="F102" s="77" t="s">
        <v>993</v>
      </c>
      <c r="G102" s="76">
        <v>1</v>
      </c>
      <c r="H102" s="76">
        <v>1</v>
      </c>
      <c r="I102" s="62" t="s">
        <v>533</v>
      </c>
      <c r="J102" s="69"/>
    </row>
    <row r="103" spans="1:10" x14ac:dyDescent="0.2">
      <c r="A103" s="7" t="str">
        <f t="shared" si="2"/>
        <v>Execução 99</v>
      </c>
      <c r="B103" s="42"/>
      <c r="C103" s="49" t="str">
        <f>IFERROR(VLOOKUP(B103,'MM01'!B:G,6,0),"")</f>
        <v/>
      </c>
      <c r="D103" s="75" t="str">
        <f>IF(C103&lt;&gt;"",VLOOKUP(C103,'Listas de Dados'!BT:BV,2,0),"")</f>
        <v/>
      </c>
      <c r="E103" s="75" t="str">
        <f t="shared" ca="1" si="3"/>
        <v>27.04.2022</v>
      </c>
      <c r="F103" s="77" t="s">
        <v>993</v>
      </c>
      <c r="G103" s="76">
        <v>1</v>
      </c>
      <c r="H103" s="76">
        <v>1</v>
      </c>
      <c r="I103" s="62" t="s">
        <v>533</v>
      </c>
      <c r="J103" s="69"/>
    </row>
    <row r="104" spans="1:10" x14ac:dyDescent="0.2">
      <c r="A104" s="7" t="str">
        <f t="shared" si="2"/>
        <v>Execução 100</v>
      </c>
      <c r="B104" s="42"/>
      <c r="C104" s="49" t="str">
        <f>IFERROR(VLOOKUP(B104,'MM01'!B:G,6,0),"")</f>
        <v/>
      </c>
      <c r="D104" s="75" t="str">
        <f>IF(C104&lt;&gt;"",VLOOKUP(C104,'Listas de Dados'!BT:BV,2,0),"")</f>
        <v/>
      </c>
      <c r="E104" s="75" t="str">
        <f t="shared" ca="1" si="3"/>
        <v>27.04.2022</v>
      </c>
      <c r="F104" s="77" t="s">
        <v>993</v>
      </c>
      <c r="G104" s="76">
        <v>1</v>
      </c>
      <c r="H104" s="76">
        <v>1</v>
      </c>
      <c r="I104" s="62" t="s">
        <v>533</v>
      </c>
      <c r="J104" s="70"/>
    </row>
    <row r="105" spans="1:10" x14ac:dyDescent="0.2">
      <c r="A105" s="7" t="str">
        <f>"Execução "&amp;ROW()-4</f>
        <v>Execução 101</v>
      </c>
      <c r="B105" s="42"/>
      <c r="C105" s="49" t="str">
        <f>IFERROR(VLOOKUP(B105,'MM01'!B:G,6,0),"")</f>
        <v/>
      </c>
      <c r="D105" s="75" t="str">
        <f>IF(C105&lt;&gt;"",VLOOKUP(C105,'Listas de Dados'!BT:BV,2,0),"")</f>
        <v/>
      </c>
      <c r="E105" s="75" t="str">
        <f ca="1">TEXT(TODAY(),"DD.MM.AAAA")</f>
        <v>27.04.2022</v>
      </c>
      <c r="F105" s="77" t="s">
        <v>993</v>
      </c>
      <c r="G105" s="76">
        <v>1</v>
      </c>
      <c r="H105" s="76">
        <v>1</v>
      </c>
      <c r="I105" s="62" t="s">
        <v>533</v>
      </c>
      <c r="J105" s="68"/>
    </row>
    <row r="106" spans="1:10" x14ac:dyDescent="0.2">
      <c r="A106" s="7" t="str">
        <f t="shared" ref="A106:A154" si="4">"Execução "&amp;ROW()-4</f>
        <v>Execução 102</v>
      </c>
      <c r="B106" s="42"/>
      <c r="C106" s="49" t="str">
        <f>IFERROR(VLOOKUP(B106,'MM01'!B:G,6,0),"")</f>
        <v/>
      </c>
      <c r="D106" s="75" t="str">
        <f>IF(C106&lt;&gt;"",VLOOKUP(C106,'Listas de Dados'!BT:BV,2,0),"")</f>
        <v/>
      </c>
      <c r="E106" s="75" t="str">
        <f t="shared" ref="E106:E154" ca="1" si="5">TEXT(TODAY(),"DD.MM.AAAA")</f>
        <v>27.04.2022</v>
      </c>
      <c r="F106" s="77" t="s">
        <v>993</v>
      </c>
      <c r="G106" s="76">
        <v>1</v>
      </c>
      <c r="H106" s="76">
        <v>1</v>
      </c>
      <c r="I106" s="62" t="s">
        <v>533</v>
      </c>
      <c r="J106" s="69"/>
    </row>
    <row r="107" spans="1:10" x14ac:dyDescent="0.2">
      <c r="A107" s="7" t="str">
        <f t="shared" si="4"/>
        <v>Execução 103</v>
      </c>
      <c r="B107" s="42"/>
      <c r="C107" s="49" t="str">
        <f>IFERROR(VLOOKUP(B107,'MM01'!B:G,6,0),"")</f>
        <v/>
      </c>
      <c r="D107" s="75" t="str">
        <f>IF(C107&lt;&gt;"",VLOOKUP(C107,'Listas de Dados'!BT:BV,2,0),"")</f>
        <v/>
      </c>
      <c r="E107" s="75" t="str">
        <f t="shared" ca="1" si="5"/>
        <v>27.04.2022</v>
      </c>
      <c r="F107" s="77" t="s">
        <v>993</v>
      </c>
      <c r="G107" s="76">
        <v>1</v>
      </c>
      <c r="H107" s="76">
        <v>1</v>
      </c>
      <c r="I107" s="62" t="s">
        <v>533</v>
      </c>
      <c r="J107" s="69"/>
    </row>
    <row r="108" spans="1:10" x14ac:dyDescent="0.2">
      <c r="A108" s="7" t="str">
        <f t="shared" si="4"/>
        <v>Execução 104</v>
      </c>
      <c r="B108" s="42"/>
      <c r="C108" s="49" t="str">
        <f>IFERROR(VLOOKUP(B108,'MM01'!B:G,6,0),"")</f>
        <v/>
      </c>
      <c r="D108" s="75" t="str">
        <f>IF(C108&lt;&gt;"",VLOOKUP(C108,'Listas de Dados'!BT:BV,2,0),"")</f>
        <v/>
      </c>
      <c r="E108" s="75" t="str">
        <f t="shared" ca="1" si="5"/>
        <v>27.04.2022</v>
      </c>
      <c r="F108" s="77" t="s">
        <v>993</v>
      </c>
      <c r="G108" s="76">
        <v>1</v>
      </c>
      <c r="H108" s="76">
        <v>1</v>
      </c>
      <c r="I108" s="62" t="s">
        <v>533</v>
      </c>
      <c r="J108" s="69"/>
    </row>
    <row r="109" spans="1:10" x14ac:dyDescent="0.2">
      <c r="A109" s="7" t="str">
        <f t="shared" si="4"/>
        <v>Execução 105</v>
      </c>
      <c r="B109" s="42"/>
      <c r="C109" s="49" t="str">
        <f>IFERROR(VLOOKUP(B109,'MM01'!B:G,6,0),"")</f>
        <v/>
      </c>
      <c r="D109" s="75" t="str">
        <f>IF(C109&lt;&gt;"",VLOOKUP(C109,'Listas de Dados'!BT:BV,2,0),"")</f>
        <v/>
      </c>
      <c r="E109" s="75" t="str">
        <f t="shared" ca="1" si="5"/>
        <v>27.04.2022</v>
      </c>
      <c r="F109" s="77" t="s">
        <v>993</v>
      </c>
      <c r="G109" s="76">
        <v>1</v>
      </c>
      <c r="H109" s="76">
        <v>1</v>
      </c>
      <c r="I109" s="62" t="s">
        <v>533</v>
      </c>
      <c r="J109" s="69"/>
    </row>
    <row r="110" spans="1:10" x14ac:dyDescent="0.2">
      <c r="A110" s="7" t="str">
        <f t="shared" si="4"/>
        <v>Execução 106</v>
      </c>
      <c r="B110" s="42"/>
      <c r="C110" s="49" t="str">
        <f>IFERROR(VLOOKUP(B110,'MM01'!B:G,6,0),"")</f>
        <v/>
      </c>
      <c r="D110" s="75" t="str">
        <f>IF(C110&lt;&gt;"",VLOOKUP(C110,'Listas de Dados'!BT:BV,2,0),"")</f>
        <v/>
      </c>
      <c r="E110" s="75" t="str">
        <f t="shared" ca="1" si="5"/>
        <v>27.04.2022</v>
      </c>
      <c r="F110" s="77" t="s">
        <v>993</v>
      </c>
      <c r="G110" s="76">
        <v>1</v>
      </c>
      <c r="H110" s="76">
        <v>1</v>
      </c>
      <c r="I110" s="62" t="s">
        <v>533</v>
      </c>
      <c r="J110" s="69"/>
    </row>
    <row r="111" spans="1:10" x14ac:dyDescent="0.2">
      <c r="A111" s="7" t="str">
        <f t="shared" si="4"/>
        <v>Execução 107</v>
      </c>
      <c r="B111" s="42"/>
      <c r="C111" s="49" t="str">
        <f>IFERROR(VLOOKUP(B111,'MM01'!B:G,6,0),"")</f>
        <v/>
      </c>
      <c r="D111" s="75" t="str">
        <f>IF(C111&lt;&gt;"",VLOOKUP(C111,'Listas de Dados'!BT:BV,2,0),"")</f>
        <v/>
      </c>
      <c r="E111" s="75" t="str">
        <f t="shared" ca="1" si="5"/>
        <v>27.04.2022</v>
      </c>
      <c r="F111" s="77" t="s">
        <v>993</v>
      </c>
      <c r="G111" s="76">
        <v>1</v>
      </c>
      <c r="H111" s="76">
        <v>1</v>
      </c>
      <c r="I111" s="62" t="s">
        <v>533</v>
      </c>
      <c r="J111" s="69"/>
    </row>
    <row r="112" spans="1:10" x14ac:dyDescent="0.2">
      <c r="A112" s="7" t="str">
        <f t="shared" si="4"/>
        <v>Execução 108</v>
      </c>
      <c r="B112" s="42"/>
      <c r="C112" s="49" t="str">
        <f>IFERROR(VLOOKUP(B112,'MM01'!B:G,6,0),"")</f>
        <v/>
      </c>
      <c r="D112" s="75" t="str">
        <f>IF(C112&lt;&gt;"",VLOOKUP(C112,'Listas de Dados'!BT:BV,2,0),"")</f>
        <v/>
      </c>
      <c r="E112" s="75" t="str">
        <f t="shared" ca="1" si="5"/>
        <v>27.04.2022</v>
      </c>
      <c r="F112" s="77" t="s">
        <v>993</v>
      </c>
      <c r="G112" s="76">
        <v>1</v>
      </c>
      <c r="H112" s="76">
        <v>1</v>
      </c>
      <c r="I112" s="62" t="s">
        <v>533</v>
      </c>
      <c r="J112" s="69"/>
    </row>
    <row r="113" spans="1:10" x14ac:dyDescent="0.2">
      <c r="A113" s="7" t="str">
        <f t="shared" si="4"/>
        <v>Execução 109</v>
      </c>
      <c r="B113" s="42"/>
      <c r="C113" s="49" t="str">
        <f>IFERROR(VLOOKUP(B113,'MM01'!B:G,6,0),"")</f>
        <v/>
      </c>
      <c r="D113" s="75" t="str">
        <f>IF(C113&lt;&gt;"",VLOOKUP(C113,'Listas de Dados'!BT:BV,2,0),"")</f>
        <v/>
      </c>
      <c r="E113" s="75" t="str">
        <f t="shared" ca="1" si="5"/>
        <v>27.04.2022</v>
      </c>
      <c r="F113" s="77" t="s">
        <v>993</v>
      </c>
      <c r="G113" s="76">
        <v>1</v>
      </c>
      <c r="H113" s="76">
        <v>1</v>
      </c>
      <c r="I113" s="62" t="s">
        <v>533</v>
      </c>
      <c r="J113" s="69"/>
    </row>
    <row r="114" spans="1:10" x14ac:dyDescent="0.2">
      <c r="A114" s="7" t="str">
        <f t="shared" si="4"/>
        <v>Execução 110</v>
      </c>
      <c r="B114" s="42"/>
      <c r="C114" s="49" t="str">
        <f>IFERROR(VLOOKUP(B114,'MM01'!B:G,6,0),"")</f>
        <v/>
      </c>
      <c r="D114" s="75" t="str">
        <f>IF(C114&lt;&gt;"",VLOOKUP(C114,'Listas de Dados'!BT:BV,2,0),"")</f>
        <v/>
      </c>
      <c r="E114" s="75" t="str">
        <f t="shared" ca="1" si="5"/>
        <v>27.04.2022</v>
      </c>
      <c r="F114" s="77" t="s">
        <v>993</v>
      </c>
      <c r="G114" s="76">
        <v>1</v>
      </c>
      <c r="H114" s="76">
        <v>1</v>
      </c>
      <c r="I114" s="62" t="s">
        <v>533</v>
      </c>
      <c r="J114" s="69"/>
    </row>
    <row r="115" spans="1:10" x14ac:dyDescent="0.2">
      <c r="A115" s="7" t="str">
        <f t="shared" si="4"/>
        <v>Execução 111</v>
      </c>
      <c r="B115" s="42"/>
      <c r="C115" s="49" t="str">
        <f>IFERROR(VLOOKUP(B115,'MM01'!B:G,6,0),"")</f>
        <v/>
      </c>
      <c r="D115" s="75" t="str">
        <f>IF(C115&lt;&gt;"",VLOOKUP(C115,'Listas de Dados'!BT:BV,2,0),"")</f>
        <v/>
      </c>
      <c r="E115" s="75" t="str">
        <f t="shared" ca="1" si="5"/>
        <v>27.04.2022</v>
      </c>
      <c r="F115" s="77" t="s">
        <v>993</v>
      </c>
      <c r="G115" s="76">
        <v>1</v>
      </c>
      <c r="H115" s="76">
        <v>1</v>
      </c>
      <c r="I115" s="62" t="s">
        <v>533</v>
      </c>
      <c r="J115" s="69"/>
    </row>
    <row r="116" spans="1:10" x14ac:dyDescent="0.2">
      <c r="A116" s="7" t="str">
        <f t="shared" si="4"/>
        <v>Execução 112</v>
      </c>
      <c r="B116" s="42"/>
      <c r="C116" s="49" t="str">
        <f>IFERROR(VLOOKUP(B116,'MM01'!B:G,6,0),"")</f>
        <v/>
      </c>
      <c r="D116" s="75" t="str">
        <f>IF(C116&lt;&gt;"",VLOOKUP(C116,'Listas de Dados'!BT:BV,2,0),"")</f>
        <v/>
      </c>
      <c r="E116" s="75" t="str">
        <f t="shared" ca="1" si="5"/>
        <v>27.04.2022</v>
      </c>
      <c r="F116" s="77" t="s">
        <v>993</v>
      </c>
      <c r="G116" s="76">
        <v>1</v>
      </c>
      <c r="H116" s="76">
        <v>1</v>
      </c>
      <c r="I116" s="62" t="s">
        <v>533</v>
      </c>
      <c r="J116" s="69"/>
    </row>
    <row r="117" spans="1:10" x14ac:dyDescent="0.2">
      <c r="A117" s="7" t="str">
        <f t="shared" si="4"/>
        <v>Execução 113</v>
      </c>
      <c r="B117" s="42"/>
      <c r="C117" s="49" t="str">
        <f>IFERROR(VLOOKUP(B117,'MM01'!B:G,6,0),"")</f>
        <v/>
      </c>
      <c r="D117" s="75" t="str">
        <f>IF(C117&lt;&gt;"",VLOOKUP(C117,'Listas de Dados'!BT:BV,2,0),"")</f>
        <v/>
      </c>
      <c r="E117" s="75" t="str">
        <f t="shared" ca="1" si="5"/>
        <v>27.04.2022</v>
      </c>
      <c r="F117" s="77" t="s">
        <v>993</v>
      </c>
      <c r="G117" s="76">
        <v>1</v>
      </c>
      <c r="H117" s="76">
        <v>1</v>
      </c>
      <c r="I117" s="62" t="s">
        <v>533</v>
      </c>
      <c r="J117" s="69"/>
    </row>
    <row r="118" spans="1:10" x14ac:dyDescent="0.2">
      <c r="A118" s="7" t="str">
        <f t="shared" si="4"/>
        <v>Execução 114</v>
      </c>
      <c r="B118" s="42"/>
      <c r="C118" s="49" t="str">
        <f>IFERROR(VLOOKUP(B118,'MM01'!B:G,6,0),"")</f>
        <v/>
      </c>
      <c r="D118" s="75" t="str">
        <f>IF(C118&lt;&gt;"",VLOOKUP(C118,'Listas de Dados'!BT:BV,2,0),"")</f>
        <v/>
      </c>
      <c r="E118" s="75" t="str">
        <f t="shared" ca="1" si="5"/>
        <v>27.04.2022</v>
      </c>
      <c r="F118" s="77" t="s">
        <v>993</v>
      </c>
      <c r="G118" s="76">
        <v>1</v>
      </c>
      <c r="H118" s="76">
        <v>1</v>
      </c>
      <c r="I118" s="62" t="s">
        <v>533</v>
      </c>
      <c r="J118" s="69"/>
    </row>
    <row r="119" spans="1:10" x14ac:dyDescent="0.2">
      <c r="A119" s="7" t="str">
        <f t="shared" si="4"/>
        <v>Execução 115</v>
      </c>
      <c r="B119" s="42"/>
      <c r="C119" s="49" t="str">
        <f>IFERROR(VLOOKUP(B119,'MM01'!B:G,6,0),"")</f>
        <v/>
      </c>
      <c r="D119" s="75" t="str">
        <f>IF(C119&lt;&gt;"",VLOOKUP(C119,'Listas de Dados'!BT:BV,2,0),"")</f>
        <v/>
      </c>
      <c r="E119" s="75" t="str">
        <f t="shared" ca="1" si="5"/>
        <v>27.04.2022</v>
      </c>
      <c r="F119" s="77" t="s">
        <v>993</v>
      </c>
      <c r="G119" s="76">
        <v>1</v>
      </c>
      <c r="H119" s="76">
        <v>1</v>
      </c>
      <c r="I119" s="62" t="s">
        <v>533</v>
      </c>
      <c r="J119" s="69"/>
    </row>
    <row r="120" spans="1:10" x14ac:dyDescent="0.2">
      <c r="A120" s="7" t="str">
        <f t="shared" si="4"/>
        <v>Execução 116</v>
      </c>
      <c r="B120" s="42"/>
      <c r="C120" s="49" t="str">
        <f>IFERROR(VLOOKUP(B120,'MM01'!B:G,6,0),"")</f>
        <v/>
      </c>
      <c r="D120" s="75" t="str">
        <f>IF(C120&lt;&gt;"",VLOOKUP(C120,'Listas de Dados'!BT:BV,2,0),"")</f>
        <v/>
      </c>
      <c r="E120" s="75" t="str">
        <f t="shared" ca="1" si="5"/>
        <v>27.04.2022</v>
      </c>
      <c r="F120" s="77" t="s">
        <v>993</v>
      </c>
      <c r="G120" s="76">
        <v>1</v>
      </c>
      <c r="H120" s="76">
        <v>1</v>
      </c>
      <c r="I120" s="62" t="s">
        <v>533</v>
      </c>
      <c r="J120" s="69"/>
    </row>
    <row r="121" spans="1:10" x14ac:dyDescent="0.2">
      <c r="A121" s="7" t="str">
        <f t="shared" si="4"/>
        <v>Execução 117</v>
      </c>
      <c r="B121" s="42"/>
      <c r="C121" s="49" t="str">
        <f>IFERROR(VLOOKUP(B121,'MM01'!B:G,6,0),"")</f>
        <v/>
      </c>
      <c r="D121" s="75" t="str">
        <f>IF(C121&lt;&gt;"",VLOOKUP(C121,'Listas de Dados'!BT:BV,2,0),"")</f>
        <v/>
      </c>
      <c r="E121" s="75" t="str">
        <f t="shared" ca="1" si="5"/>
        <v>27.04.2022</v>
      </c>
      <c r="F121" s="77" t="s">
        <v>993</v>
      </c>
      <c r="G121" s="76">
        <v>1</v>
      </c>
      <c r="H121" s="76">
        <v>1</v>
      </c>
      <c r="I121" s="62" t="s">
        <v>533</v>
      </c>
      <c r="J121" s="69"/>
    </row>
    <row r="122" spans="1:10" x14ac:dyDescent="0.2">
      <c r="A122" s="7" t="str">
        <f t="shared" si="4"/>
        <v>Execução 118</v>
      </c>
      <c r="B122" s="42"/>
      <c r="C122" s="49" t="str">
        <f>IFERROR(VLOOKUP(B122,'MM01'!B:G,6,0),"")</f>
        <v/>
      </c>
      <c r="D122" s="75" t="str">
        <f>IF(C122&lt;&gt;"",VLOOKUP(C122,'Listas de Dados'!BT:BV,2,0),"")</f>
        <v/>
      </c>
      <c r="E122" s="75" t="str">
        <f t="shared" ca="1" si="5"/>
        <v>27.04.2022</v>
      </c>
      <c r="F122" s="77" t="s">
        <v>993</v>
      </c>
      <c r="G122" s="76">
        <v>1</v>
      </c>
      <c r="H122" s="76">
        <v>1</v>
      </c>
      <c r="I122" s="62" t="s">
        <v>533</v>
      </c>
      <c r="J122" s="69"/>
    </row>
    <row r="123" spans="1:10" x14ac:dyDescent="0.2">
      <c r="A123" s="7" t="str">
        <f t="shared" si="4"/>
        <v>Execução 119</v>
      </c>
      <c r="B123" s="42"/>
      <c r="C123" s="49" t="str">
        <f>IFERROR(VLOOKUP(B123,'MM01'!B:G,6,0),"")</f>
        <v/>
      </c>
      <c r="D123" s="75" t="str">
        <f>IF(C123&lt;&gt;"",VLOOKUP(C123,'Listas de Dados'!BT:BV,2,0),"")</f>
        <v/>
      </c>
      <c r="E123" s="75" t="str">
        <f t="shared" ca="1" si="5"/>
        <v>27.04.2022</v>
      </c>
      <c r="F123" s="77" t="s">
        <v>993</v>
      </c>
      <c r="G123" s="76">
        <v>1</v>
      </c>
      <c r="H123" s="76">
        <v>1</v>
      </c>
      <c r="I123" s="62" t="s">
        <v>533</v>
      </c>
      <c r="J123" s="69"/>
    </row>
    <row r="124" spans="1:10" x14ac:dyDescent="0.2">
      <c r="A124" s="7" t="str">
        <f t="shared" si="4"/>
        <v>Execução 120</v>
      </c>
      <c r="B124" s="42"/>
      <c r="C124" s="49" t="str">
        <f>IFERROR(VLOOKUP(B124,'MM01'!B:G,6,0),"")</f>
        <v/>
      </c>
      <c r="D124" s="75" t="str">
        <f>IF(C124&lt;&gt;"",VLOOKUP(C124,'Listas de Dados'!BT:BV,2,0),"")</f>
        <v/>
      </c>
      <c r="E124" s="75" t="str">
        <f t="shared" ca="1" si="5"/>
        <v>27.04.2022</v>
      </c>
      <c r="F124" s="77" t="s">
        <v>993</v>
      </c>
      <c r="G124" s="76">
        <v>1</v>
      </c>
      <c r="H124" s="76">
        <v>1</v>
      </c>
      <c r="I124" s="62" t="s">
        <v>533</v>
      </c>
      <c r="J124" s="69"/>
    </row>
    <row r="125" spans="1:10" x14ac:dyDescent="0.2">
      <c r="A125" s="7" t="str">
        <f t="shared" si="4"/>
        <v>Execução 121</v>
      </c>
      <c r="B125" s="42"/>
      <c r="C125" s="49" t="str">
        <f>IFERROR(VLOOKUP(B125,'MM01'!B:G,6,0),"")</f>
        <v/>
      </c>
      <c r="D125" s="75" t="str">
        <f>IF(C125&lt;&gt;"",VLOOKUP(C125,'Listas de Dados'!BT:BV,2,0),"")</f>
        <v/>
      </c>
      <c r="E125" s="75" t="str">
        <f t="shared" ca="1" si="5"/>
        <v>27.04.2022</v>
      </c>
      <c r="F125" s="77" t="s">
        <v>993</v>
      </c>
      <c r="G125" s="76">
        <v>1</v>
      </c>
      <c r="H125" s="76">
        <v>1</v>
      </c>
      <c r="I125" s="62" t="s">
        <v>533</v>
      </c>
      <c r="J125" s="69"/>
    </row>
    <row r="126" spans="1:10" x14ac:dyDescent="0.2">
      <c r="A126" s="7" t="str">
        <f t="shared" si="4"/>
        <v>Execução 122</v>
      </c>
      <c r="B126" s="42"/>
      <c r="C126" s="49" t="str">
        <f>IFERROR(VLOOKUP(B126,'MM01'!B:G,6,0),"")</f>
        <v/>
      </c>
      <c r="D126" s="75" t="str">
        <f>IF(C126&lt;&gt;"",VLOOKUP(C126,'Listas de Dados'!BT:BV,2,0),"")</f>
        <v/>
      </c>
      <c r="E126" s="75" t="str">
        <f t="shared" ca="1" si="5"/>
        <v>27.04.2022</v>
      </c>
      <c r="F126" s="77" t="s">
        <v>993</v>
      </c>
      <c r="G126" s="76">
        <v>1</v>
      </c>
      <c r="H126" s="76">
        <v>1</v>
      </c>
      <c r="I126" s="62" t="s">
        <v>533</v>
      </c>
      <c r="J126" s="69"/>
    </row>
    <row r="127" spans="1:10" x14ac:dyDescent="0.2">
      <c r="A127" s="7" t="str">
        <f t="shared" si="4"/>
        <v>Execução 123</v>
      </c>
      <c r="B127" s="42"/>
      <c r="C127" s="49" t="str">
        <f>IFERROR(VLOOKUP(B127,'MM01'!B:G,6,0),"")</f>
        <v/>
      </c>
      <c r="D127" s="75" t="str">
        <f>IF(C127&lt;&gt;"",VLOOKUP(C127,'Listas de Dados'!BT:BV,2,0),"")</f>
        <v/>
      </c>
      <c r="E127" s="75" t="str">
        <f t="shared" ca="1" si="5"/>
        <v>27.04.2022</v>
      </c>
      <c r="F127" s="77" t="s">
        <v>993</v>
      </c>
      <c r="G127" s="76">
        <v>1</v>
      </c>
      <c r="H127" s="76">
        <v>1</v>
      </c>
      <c r="I127" s="62" t="s">
        <v>533</v>
      </c>
      <c r="J127" s="69"/>
    </row>
    <row r="128" spans="1:10" x14ac:dyDescent="0.2">
      <c r="A128" s="7" t="str">
        <f t="shared" si="4"/>
        <v>Execução 124</v>
      </c>
      <c r="B128" s="42"/>
      <c r="C128" s="49" t="str">
        <f>IFERROR(VLOOKUP(B128,'MM01'!B:G,6,0),"")</f>
        <v/>
      </c>
      <c r="D128" s="75" t="str">
        <f>IF(C128&lt;&gt;"",VLOOKUP(C128,'Listas de Dados'!BT:BV,2,0),"")</f>
        <v/>
      </c>
      <c r="E128" s="75" t="str">
        <f t="shared" ca="1" si="5"/>
        <v>27.04.2022</v>
      </c>
      <c r="F128" s="77" t="s">
        <v>993</v>
      </c>
      <c r="G128" s="76">
        <v>1</v>
      </c>
      <c r="H128" s="76">
        <v>1</v>
      </c>
      <c r="I128" s="62" t="s">
        <v>533</v>
      </c>
      <c r="J128" s="69"/>
    </row>
    <row r="129" spans="1:10" x14ac:dyDescent="0.2">
      <c r="A129" s="7" t="str">
        <f t="shared" si="4"/>
        <v>Execução 125</v>
      </c>
      <c r="B129" s="42"/>
      <c r="C129" s="49" t="str">
        <f>IFERROR(VLOOKUP(B129,'MM01'!B:G,6,0),"")</f>
        <v/>
      </c>
      <c r="D129" s="75" t="str">
        <f>IF(C129&lt;&gt;"",VLOOKUP(C129,'Listas de Dados'!BT:BV,2,0),"")</f>
        <v/>
      </c>
      <c r="E129" s="75" t="str">
        <f t="shared" ca="1" si="5"/>
        <v>27.04.2022</v>
      </c>
      <c r="F129" s="77" t="s">
        <v>993</v>
      </c>
      <c r="G129" s="76">
        <v>1</v>
      </c>
      <c r="H129" s="76">
        <v>1</v>
      </c>
      <c r="I129" s="62" t="s">
        <v>533</v>
      </c>
      <c r="J129" s="69"/>
    </row>
    <row r="130" spans="1:10" x14ac:dyDescent="0.2">
      <c r="A130" s="7" t="str">
        <f t="shared" si="4"/>
        <v>Execução 126</v>
      </c>
      <c r="B130" s="42"/>
      <c r="C130" s="49" t="str">
        <f>IFERROR(VLOOKUP(B130,'MM01'!B:G,6,0),"")</f>
        <v/>
      </c>
      <c r="D130" s="75" t="str">
        <f>IF(C130&lt;&gt;"",VLOOKUP(C130,'Listas de Dados'!BT:BV,2,0),"")</f>
        <v/>
      </c>
      <c r="E130" s="75" t="str">
        <f t="shared" ca="1" si="5"/>
        <v>27.04.2022</v>
      </c>
      <c r="F130" s="77" t="s">
        <v>993</v>
      </c>
      <c r="G130" s="76">
        <v>1</v>
      </c>
      <c r="H130" s="76">
        <v>1</v>
      </c>
      <c r="I130" s="62" t="s">
        <v>533</v>
      </c>
      <c r="J130" s="69"/>
    </row>
    <row r="131" spans="1:10" x14ac:dyDescent="0.2">
      <c r="A131" s="7" t="str">
        <f t="shared" si="4"/>
        <v>Execução 127</v>
      </c>
      <c r="B131" s="42"/>
      <c r="C131" s="49" t="str">
        <f>IFERROR(VLOOKUP(B131,'MM01'!B:G,6,0),"")</f>
        <v/>
      </c>
      <c r="D131" s="75" t="str">
        <f>IF(C131&lt;&gt;"",VLOOKUP(C131,'Listas de Dados'!BT:BV,2,0),"")</f>
        <v/>
      </c>
      <c r="E131" s="75" t="str">
        <f t="shared" ca="1" si="5"/>
        <v>27.04.2022</v>
      </c>
      <c r="F131" s="77" t="s">
        <v>993</v>
      </c>
      <c r="G131" s="76">
        <v>1</v>
      </c>
      <c r="H131" s="76">
        <v>1</v>
      </c>
      <c r="I131" s="62" t="s">
        <v>533</v>
      </c>
      <c r="J131" s="69"/>
    </row>
    <row r="132" spans="1:10" x14ac:dyDescent="0.2">
      <c r="A132" s="7" t="str">
        <f t="shared" si="4"/>
        <v>Execução 128</v>
      </c>
      <c r="B132" s="42"/>
      <c r="C132" s="49" t="str">
        <f>IFERROR(VLOOKUP(B132,'MM01'!B:G,6,0),"")</f>
        <v/>
      </c>
      <c r="D132" s="75" t="str">
        <f>IF(C132&lt;&gt;"",VLOOKUP(C132,'Listas de Dados'!BT:BV,2,0),"")</f>
        <v/>
      </c>
      <c r="E132" s="75" t="str">
        <f t="shared" ca="1" si="5"/>
        <v>27.04.2022</v>
      </c>
      <c r="F132" s="77" t="s">
        <v>993</v>
      </c>
      <c r="G132" s="76">
        <v>1</v>
      </c>
      <c r="H132" s="76">
        <v>1</v>
      </c>
      <c r="I132" s="62" t="s">
        <v>533</v>
      </c>
      <c r="J132" s="69"/>
    </row>
    <row r="133" spans="1:10" x14ac:dyDescent="0.2">
      <c r="A133" s="7" t="str">
        <f t="shared" si="4"/>
        <v>Execução 129</v>
      </c>
      <c r="B133" s="42"/>
      <c r="C133" s="49" t="str">
        <f>IFERROR(VLOOKUP(B133,'MM01'!B:G,6,0),"")</f>
        <v/>
      </c>
      <c r="D133" s="75" t="str">
        <f>IF(C133&lt;&gt;"",VLOOKUP(C133,'Listas de Dados'!BT:BV,2,0),"")</f>
        <v/>
      </c>
      <c r="E133" s="75" t="str">
        <f t="shared" ca="1" si="5"/>
        <v>27.04.2022</v>
      </c>
      <c r="F133" s="77" t="s">
        <v>993</v>
      </c>
      <c r="G133" s="76">
        <v>1</v>
      </c>
      <c r="H133" s="76">
        <v>1</v>
      </c>
      <c r="I133" s="62" t="s">
        <v>533</v>
      </c>
      <c r="J133" s="69"/>
    </row>
    <row r="134" spans="1:10" x14ac:dyDescent="0.2">
      <c r="A134" s="7" t="str">
        <f t="shared" si="4"/>
        <v>Execução 130</v>
      </c>
      <c r="B134" s="42"/>
      <c r="C134" s="49" t="str">
        <f>IFERROR(VLOOKUP(B134,'MM01'!B:G,6,0),"")</f>
        <v/>
      </c>
      <c r="D134" s="75" t="str">
        <f>IF(C134&lt;&gt;"",VLOOKUP(C134,'Listas de Dados'!BT:BV,2,0),"")</f>
        <v/>
      </c>
      <c r="E134" s="75" t="str">
        <f t="shared" ca="1" si="5"/>
        <v>27.04.2022</v>
      </c>
      <c r="F134" s="77" t="s">
        <v>993</v>
      </c>
      <c r="G134" s="76">
        <v>1</v>
      </c>
      <c r="H134" s="76">
        <v>1</v>
      </c>
      <c r="I134" s="62" t="s">
        <v>533</v>
      </c>
      <c r="J134" s="69"/>
    </row>
    <row r="135" spans="1:10" x14ac:dyDescent="0.2">
      <c r="A135" s="7" t="str">
        <f t="shared" si="4"/>
        <v>Execução 131</v>
      </c>
      <c r="B135" s="42"/>
      <c r="C135" s="49" t="str">
        <f>IFERROR(VLOOKUP(B135,'MM01'!B:G,6,0),"")</f>
        <v/>
      </c>
      <c r="D135" s="75" t="str">
        <f>IF(C135&lt;&gt;"",VLOOKUP(C135,'Listas de Dados'!BT:BV,2,0),"")</f>
        <v/>
      </c>
      <c r="E135" s="75" t="str">
        <f t="shared" ca="1" si="5"/>
        <v>27.04.2022</v>
      </c>
      <c r="F135" s="77" t="s">
        <v>993</v>
      </c>
      <c r="G135" s="76">
        <v>1</v>
      </c>
      <c r="H135" s="76">
        <v>1</v>
      </c>
      <c r="I135" s="62" t="s">
        <v>533</v>
      </c>
      <c r="J135" s="69"/>
    </row>
    <row r="136" spans="1:10" x14ac:dyDescent="0.2">
      <c r="A136" s="7" t="str">
        <f t="shared" si="4"/>
        <v>Execução 132</v>
      </c>
      <c r="B136" s="42"/>
      <c r="C136" s="49" t="str">
        <f>IFERROR(VLOOKUP(B136,'MM01'!B:G,6,0),"")</f>
        <v/>
      </c>
      <c r="D136" s="75" t="str">
        <f>IF(C136&lt;&gt;"",VLOOKUP(C136,'Listas de Dados'!BT:BV,2,0),"")</f>
        <v/>
      </c>
      <c r="E136" s="75" t="str">
        <f t="shared" ca="1" si="5"/>
        <v>27.04.2022</v>
      </c>
      <c r="F136" s="77" t="s">
        <v>993</v>
      </c>
      <c r="G136" s="76">
        <v>1</v>
      </c>
      <c r="H136" s="76">
        <v>1</v>
      </c>
      <c r="I136" s="62" t="s">
        <v>533</v>
      </c>
      <c r="J136" s="69"/>
    </row>
    <row r="137" spans="1:10" x14ac:dyDescent="0.2">
      <c r="A137" s="7" t="str">
        <f t="shared" si="4"/>
        <v>Execução 133</v>
      </c>
      <c r="B137" s="42"/>
      <c r="C137" s="49" t="str">
        <f>IFERROR(VLOOKUP(B137,'MM01'!B:G,6,0),"")</f>
        <v/>
      </c>
      <c r="D137" s="75" t="str">
        <f>IF(C137&lt;&gt;"",VLOOKUP(C137,'Listas de Dados'!BT:BV,2,0),"")</f>
        <v/>
      </c>
      <c r="E137" s="75" t="str">
        <f t="shared" ca="1" si="5"/>
        <v>27.04.2022</v>
      </c>
      <c r="F137" s="77" t="s">
        <v>993</v>
      </c>
      <c r="G137" s="76">
        <v>1</v>
      </c>
      <c r="H137" s="76">
        <v>1</v>
      </c>
      <c r="I137" s="62" t="s">
        <v>533</v>
      </c>
      <c r="J137" s="69"/>
    </row>
    <row r="138" spans="1:10" x14ac:dyDescent="0.2">
      <c r="A138" s="7" t="str">
        <f t="shared" si="4"/>
        <v>Execução 134</v>
      </c>
      <c r="B138" s="42"/>
      <c r="C138" s="49" t="str">
        <f>IFERROR(VLOOKUP(B138,'MM01'!B:G,6,0),"")</f>
        <v/>
      </c>
      <c r="D138" s="75" t="str">
        <f>IF(C138&lt;&gt;"",VLOOKUP(C138,'Listas de Dados'!BT:BV,2,0),"")</f>
        <v/>
      </c>
      <c r="E138" s="75" t="str">
        <f t="shared" ca="1" si="5"/>
        <v>27.04.2022</v>
      </c>
      <c r="F138" s="77" t="s">
        <v>993</v>
      </c>
      <c r="G138" s="76">
        <v>1</v>
      </c>
      <c r="H138" s="76">
        <v>1</v>
      </c>
      <c r="I138" s="62" t="s">
        <v>533</v>
      </c>
      <c r="J138" s="69"/>
    </row>
    <row r="139" spans="1:10" x14ac:dyDescent="0.2">
      <c r="A139" s="7" t="str">
        <f t="shared" si="4"/>
        <v>Execução 135</v>
      </c>
      <c r="B139" s="42"/>
      <c r="C139" s="49" t="str">
        <f>IFERROR(VLOOKUP(B139,'MM01'!B:G,6,0),"")</f>
        <v/>
      </c>
      <c r="D139" s="75" t="str">
        <f>IF(C139&lt;&gt;"",VLOOKUP(C139,'Listas de Dados'!BT:BV,2,0),"")</f>
        <v/>
      </c>
      <c r="E139" s="75" t="str">
        <f t="shared" ca="1" si="5"/>
        <v>27.04.2022</v>
      </c>
      <c r="F139" s="77" t="s">
        <v>993</v>
      </c>
      <c r="G139" s="76">
        <v>1</v>
      </c>
      <c r="H139" s="76">
        <v>1</v>
      </c>
      <c r="I139" s="62" t="s">
        <v>533</v>
      </c>
      <c r="J139" s="69"/>
    </row>
    <row r="140" spans="1:10" x14ac:dyDescent="0.2">
      <c r="A140" s="7" t="str">
        <f t="shared" si="4"/>
        <v>Execução 136</v>
      </c>
      <c r="B140" s="42"/>
      <c r="C140" s="49" t="str">
        <f>IFERROR(VLOOKUP(B140,'MM01'!B:G,6,0),"")</f>
        <v/>
      </c>
      <c r="D140" s="75" t="str">
        <f>IF(C140&lt;&gt;"",VLOOKUP(C140,'Listas de Dados'!BT:BV,2,0),"")</f>
        <v/>
      </c>
      <c r="E140" s="75" t="str">
        <f t="shared" ca="1" si="5"/>
        <v>27.04.2022</v>
      </c>
      <c r="F140" s="77" t="s">
        <v>993</v>
      </c>
      <c r="G140" s="76">
        <v>1</v>
      </c>
      <c r="H140" s="76">
        <v>1</v>
      </c>
      <c r="I140" s="62" t="s">
        <v>533</v>
      </c>
      <c r="J140" s="69"/>
    </row>
    <row r="141" spans="1:10" x14ac:dyDescent="0.2">
      <c r="A141" s="7" t="str">
        <f t="shared" si="4"/>
        <v>Execução 137</v>
      </c>
      <c r="B141" s="42"/>
      <c r="C141" s="49" t="str">
        <f>IFERROR(VLOOKUP(B141,'MM01'!B:G,6,0),"")</f>
        <v/>
      </c>
      <c r="D141" s="75" t="str">
        <f>IF(C141&lt;&gt;"",VLOOKUP(C141,'Listas de Dados'!BT:BV,2,0),"")</f>
        <v/>
      </c>
      <c r="E141" s="75" t="str">
        <f t="shared" ca="1" si="5"/>
        <v>27.04.2022</v>
      </c>
      <c r="F141" s="77" t="s">
        <v>993</v>
      </c>
      <c r="G141" s="76">
        <v>1</v>
      </c>
      <c r="H141" s="76">
        <v>1</v>
      </c>
      <c r="I141" s="62" t="s">
        <v>533</v>
      </c>
      <c r="J141" s="69"/>
    </row>
    <row r="142" spans="1:10" x14ac:dyDescent="0.2">
      <c r="A142" s="7" t="str">
        <f t="shared" si="4"/>
        <v>Execução 138</v>
      </c>
      <c r="B142" s="42"/>
      <c r="C142" s="49" t="str">
        <f>IFERROR(VLOOKUP(B142,'MM01'!B:G,6,0),"")</f>
        <v/>
      </c>
      <c r="D142" s="75" t="str">
        <f>IF(C142&lt;&gt;"",VLOOKUP(C142,'Listas de Dados'!BT:BV,2,0),"")</f>
        <v/>
      </c>
      <c r="E142" s="75" t="str">
        <f t="shared" ca="1" si="5"/>
        <v>27.04.2022</v>
      </c>
      <c r="F142" s="77" t="s">
        <v>993</v>
      </c>
      <c r="G142" s="76">
        <v>1</v>
      </c>
      <c r="H142" s="76">
        <v>1</v>
      </c>
      <c r="I142" s="62" t="s">
        <v>533</v>
      </c>
      <c r="J142" s="69"/>
    </row>
    <row r="143" spans="1:10" x14ac:dyDescent="0.2">
      <c r="A143" s="7" t="str">
        <f t="shared" si="4"/>
        <v>Execução 139</v>
      </c>
      <c r="B143" s="42"/>
      <c r="C143" s="49" t="str">
        <f>IFERROR(VLOOKUP(B143,'MM01'!B:G,6,0),"")</f>
        <v/>
      </c>
      <c r="D143" s="75" t="str">
        <f>IF(C143&lt;&gt;"",VLOOKUP(C143,'Listas de Dados'!BT:BV,2,0),"")</f>
        <v/>
      </c>
      <c r="E143" s="75" t="str">
        <f t="shared" ca="1" si="5"/>
        <v>27.04.2022</v>
      </c>
      <c r="F143" s="77" t="s">
        <v>993</v>
      </c>
      <c r="G143" s="76">
        <v>1</v>
      </c>
      <c r="H143" s="76">
        <v>1</v>
      </c>
      <c r="I143" s="62" t="s">
        <v>533</v>
      </c>
      <c r="J143" s="69"/>
    </row>
    <row r="144" spans="1:10" x14ac:dyDescent="0.2">
      <c r="A144" s="7" t="str">
        <f t="shared" si="4"/>
        <v>Execução 140</v>
      </c>
      <c r="B144" s="42"/>
      <c r="C144" s="49" t="str">
        <f>IFERROR(VLOOKUP(B144,'MM01'!B:G,6,0),"")</f>
        <v/>
      </c>
      <c r="D144" s="75" t="str">
        <f>IF(C144&lt;&gt;"",VLOOKUP(C144,'Listas de Dados'!BT:BV,2,0),"")</f>
        <v/>
      </c>
      <c r="E144" s="75" t="str">
        <f t="shared" ca="1" si="5"/>
        <v>27.04.2022</v>
      </c>
      <c r="F144" s="77" t="s">
        <v>993</v>
      </c>
      <c r="G144" s="76">
        <v>1</v>
      </c>
      <c r="H144" s="76">
        <v>1</v>
      </c>
      <c r="I144" s="62" t="s">
        <v>533</v>
      </c>
      <c r="J144" s="69"/>
    </row>
    <row r="145" spans="1:10" x14ac:dyDescent="0.2">
      <c r="A145" s="7" t="str">
        <f t="shared" si="4"/>
        <v>Execução 141</v>
      </c>
      <c r="B145" s="42"/>
      <c r="C145" s="49" t="str">
        <f>IFERROR(VLOOKUP(B145,'MM01'!B:G,6,0),"")</f>
        <v/>
      </c>
      <c r="D145" s="75" t="str">
        <f>IF(C145&lt;&gt;"",VLOOKUP(C145,'Listas de Dados'!BT:BV,2,0),"")</f>
        <v/>
      </c>
      <c r="E145" s="75" t="str">
        <f t="shared" ca="1" si="5"/>
        <v>27.04.2022</v>
      </c>
      <c r="F145" s="77" t="s">
        <v>993</v>
      </c>
      <c r="G145" s="76">
        <v>1</v>
      </c>
      <c r="H145" s="76">
        <v>1</v>
      </c>
      <c r="I145" s="62" t="s">
        <v>533</v>
      </c>
      <c r="J145" s="69"/>
    </row>
    <row r="146" spans="1:10" x14ac:dyDescent="0.2">
      <c r="A146" s="7" t="str">
        <f t="shared" si="4"/>
        <v>Execução 142</v>
      </c>
      <c r="B146" s="42"/>
      <c r="C146" s="49" t="str">
        <f>IFERROR(VLOOKUP(B146,'MM01'!B:G,6,0),"")</f>
        <v/>
      </c>
      <c r="D146" s="75" t="str">
        <f>IF(C146&lt;&gt;"",VLOOKUP(C146,'Listas de Dados'!BT:BV,2,0),"")</f>
        <v/>
      </c>
      <c r="E146" s="75" t="str">
        <f t="shared" ca="1" si="5"/>
        <v>27.04.2022</v>
      </c>
      <c r="F146" s="77" t="s">
        <v>993</v>
      </c>
      <c r="G146" s="76">
        <v>1</v>
      </c>
      <c r="H146" s="76">
        <v>1</v>
      </c>
      <c r="I146" s="62" t="s">
        <v>533</v>
      </c>
      <c r="J146" s="69"/>
    </row>
    <row r="147" spans="1:10" x14ac:dyDescent="0.2">
      <c r="A147" s="7" t="str">
        <f t="shared" si="4"/>
        <v>Execução 143</v>
      </c>
      <c r="B147" s="42"/>
      <c r="C147" s="49" t="str">
        <f>IFERROR(VLOOKUP(B147,'MM01'!B:G,6,0),"")</f>
        <v/>
      </c>
      <c r="D147" s="75" t="str">
        <f>IF(C147&lt;&gt;"",VLOOKUP(C147,'Listas de Dados'!BT:BV,2,0),"")</f>
        <v/>
      </c>
      <c r="E147" s="75" t="str">
        <f t="shared" ca="1" si="5"/>
        <v>27.04.2022</v>
      </c>
      <c r="F147" s="77" t="s">
        <v>993</v>
      </c>
      <c r="G147" s="76">
        <v>1</v>
      </c>
      <c r="H147" s="76">
        <v>1</v>
      </c>
      <c r="I147" s="62" t="s">
        <v>533</v>
      </c>
      <c r="J147" s="69"/>
    </row>
    <row r="148" spans="1:10" x14ac:dyDescent="0.2">
      <c r="A148" s="7" t="str">
        <f t="shared" si="4"/>
        <v>Execução 144</v>
      </c>
      <c r="B148" s="42"/>
      <c r="C148" s="49" t="str">
        <f>IFERROR(VLOOKUP(B148,'MM01'!B:G,6,0),"")</f>
        <v/>
      </c>
      <c r="D148" s="75" t="str">
        <f>IF(C148&lt;&gt;"",VLOOKUP(C148,'Listas de Dados'!BT:BV,2,0),"")</f>
        <v/>
      </c>
      <c r="E148" s="75" t="str">
        <f t="shared" ca="1" si="5"/>
        <v>27.04.2022</v>
      </c>
      <c r="F148" s="77" t="s">
        <v>993</v>
      </c>
      <c r="G148" s="76">
        <v>1</v>
      </c>
      <c r="H148" s="76">
        <v>1</v>
      </c>
      <c r="I148" s="62" t="s">
        <v>533</v>
      </c>
      <c r="J148" s="69"/>
    </row>
    <row r="149" spans="1:10" x14ac:dyDescent="0.2">
      <c r="A149" s="7" t="str">
        <f t="shared" si="4"/>
        <v>Execução 145</v>
      </c>
      <c r="B149" s="42"/>
      <c r="C149" s="49" t="str">
        <f>IFERROR(VLOOKUP(B149,'MM01'!B:G,6,0),"")</f>
        <v/>
      </c>
      <c r="D149" s="75" t="str">
        <f>IF(C149&lt;&gt;"",VLOOKUP(C149,'Listas de Dados'!BT:BV,2,0),"")</f>
        <v/>
      </c>
      <c r="E149" s="75" t="str">
        <f t="shared" ca="1" si="5"/>
        <v>27.04.2022</v>
      </c>
      <c r="F149" s="77" t="s">
        <v>993</v>
      </c>
      <c r="G149" s="76">
        <v>1</v>
      </c>
      <c r="H149" s="76">
        <v>1</v>
      </c>
      <c r="I149" s="62" t="s">
        <v>533</v>
      </c>
      <c r="J149" s="69"/>
    </row>
    <row r="150" spans="1:10" x14ac:dyDescent="0.2">
      <c r="A150" s="7" t="str">
        <f t="shared" si="4"/>
        <v>Execução 146</v>
      </c>
      <c r="B150" s="42"/>
      <c r="C150" s="49" t="str">
        <f>IFERROR(VLOOKUP(B150,'MM01'!B:G,6,0),"")</f>
        <v/>
      </c>
      <c r="D150" s="75" t="str">
        <f>IF(C150&lt;&gt;"",VLOOKUP(C150,'Listas de Dados'!BT:BV,2,0),"")</f>
        <v/>
      </c>
      <c r="E150" s="75" t="str">
        <f t="shared" ca="1" si="5"/>
        <v>27.04.2022</v>
      </c>
      <c r="F150" s="77" t="s">
        <v>993</v>
      </c>
      <c r="G150" s="76">
        <v>1</v>
      </c>
      <c r="H150" s="76">
        <v>1</v>
      </c>
      <c r="I150" s="62" t="s">
        <v>533</v>
      </c>
      <c r="J150" s="69"/>
    </row>
    <row r="151" spans="1:10" x14ac:dyDescent="0.2">
      <c r="A151" s="7" t="str">
        <f t="shared" si="4"/>
        <v>Execução 147</v>
      </c>
      <c r="B151" s="42"/>
      <c r="C151" s="49" t="str">
        <f>IFERROR(VLOOKUP(B151,'MM01'!B:G,6,0),"")</f>
        <v/>
      </c>
      <c r="D151" s="75" t="str">
        <f>IF(C151&lt;&gt;"",VLOOKUP(C151,'Listas de Dados'!BT:BV,2,0),"")</f>
        <v/>
      </c>
      <c r="E151" s="75" t="str">
        <f t="shared" ca="1" si="5"/>
        <v>27.04.2022</v>
      </c>
      <c r="F151" s="77" t="s">
        <v>993</v>
      </c>
      <c r="G151" s="76">
        <v>1</v>
      </c>
      <c r="H151" s="76">
        <v>1</v>
      </c>
      <c r="I151" s="62" t="s">
        <v>533</v>
      </c>
      <c r="J151" s="69"/>
    </row>
    <row r="152" spans="1:10" x14ac:dyDescent="0.2">
      <c r="A152" s="7" t="str">
        <f t="shared" si="4"/>
        <v>Execução 148</v>
      </c>
      <c r="B152" s="42"/>
      <c r="C152" s="49" t="str">
        <f>IFERROR(VLOOKUP(B152,'MM01'!B:G,6,0),"")</f>
        <v/>
      </c>
      <c r="D152" s="75" t="str">
        <f>IF(C152&lt;&gt;"",VLOOKUP(C152,'Listas de Dados'!BT:BV,2,0),"")</f>
        <v/>
      </c>
      <c r="E152" s="75" t="str">
        <f t="shared" ca="1" si="5"/>
        <v>27.04.2022</v>
      </c>
      <c r="F152" s="77" t="s">
        <v>993</v>
      </c>
      <c r="G152" s="76">
        <v>1</v>
      </c>
      <c r="H152" s="76">
        <v>1</v>
      </c>
      <c r="I152" s="62" t="s">
        <v>533</v>
      </c>
      <c r="J152" s="69"/>
    </row>
    <row r="153" spans="1:10" x14ac:dyDescent="0.2">
      <c r="A153" s="7" t="str">
        <f t="shared" si="4"/>
        <v>Execução 149</v>
      </c>
      <c r="B153" s="42"/>
      <c r="C153" s="49" t="str">
        <f>IFERROR(VLOOKUP(B153,'MM01'!B:G,6,0),"")</f>
        <v/>
      </c>
      <c r="D153" s="75" t="str">
        <f>IF(C153&lt;&gt;"",VLOOKUP(C153,'Listas de Dados'!BT:BV,2,0),"")</f>
        <v/>
      </c>
      <c r="E153" s="75" t="str">
        <f t="shared" ca="1" si="5"/>
        <v>27.04.2022</v>
      </c>
      <c r="F153" s="77" t="s">
        <v>993</v>
      </c>
      <c r="G153" s="76">
        <v>1</v>
      </c>
      <c r="H153" s="76">
        <v>1</v>
      </c>
      <c r="I153" s="62" t="s">
        <v>533</v>
      </c>
      <c r="J153" s="69"/>
    </row>
    <row r="154" spans="1:10" x14ac:dyDescent="0.2">
      <c r="A154" s="7" t="str">
        <f t="shared" si="4"/>
        <v>Execução 150</v>
      </c>
      <c r="B154" s="42"/>
      <c r="C154" s="49" t="str">
        <f>IFERROR(VLOOKUP(B154,'MM01'!B:G,6,0),"")</f>
        <v/>
      </c>
      <c r="D154" s="75" t="str">
        <f>IF(C154&lt;&gt;"",VLOOKUP(C154,'Listas de Dados'!BT:BV,2,0),"")</f>
        <v/>
      </c>
      <c r="E154" s="75" t="str">
        <f t="shared" ca="1" si="5"/>
        <v>27.04.2022</v>
      </c>
      <c r="F154" s="77" t="s">
        <v>993</v>
      </c>
      <c r="G154" s="76">
        <v>1</v>
      </c>
      <c r="H154" s="76">
        <v>1</v>
      </c>
      <c r="I154" s="62" t="s">
        <v>533</v>
      </c>
      <c r="J154" s="70"/>
    </row>
  </sheetData>
  <conditionalFormatting sqref="B5">
    <cfRule type="beginsWith" dxfId="103" priority="24" operator="beginsWith" text="L">
      <formula>LEFT(B5,LEN("L"))="L"</formula>
    </cfRule>
  </conditionalFormatting>
  <conditionalFormatting sqref="B6:B14">
    <cfRule type="beginsWith" dxfId="102" priority="23" operator="beginsWith" text="L">
      <formula>LEFT(B6,LEN("L"))="L"</formula>
    </cfRule>
  </conditionalFormatting>
  <conditionalFormatting sqref="B15:B54">
    <cfRule type="beginsWith" dxfId="101" priority="22" operator="beginsWith" text="L">
      <formula>LEFT(B15,LEN("L"))="L"</formula>
    </cfRule>
  </conditionalFormatting>
  <conditionalFormatting sqref="J1:J54 J155:J1048576">
    <cfRule type="containsText" dxfId="100" priority="17" operator="containsText" text="criadas">
      <formula>NOT(ISERROR(SEARCH("criadas",J1)))</formula>
    </cfRule>
    <cfRule type="containsText" dxfId="99" priority="18" operator="containsText" text="é gravado">
      <formula>NOT(ISERROR(SEARCH("é gravado",J1)))</formula>
    </cfRule>
    <cfRule type="containsText" dxfId="98" priority="19" operator="containsText" text="é modificado">
      <formula>NOT(ISERROR(SEARCH("é modificado",J1)))</formula>
    </cfRule>
    <cfRule type="containsText" dxfId="97" priority="20" operator="containsText" text="Error">
      <formula>NOT(ISERROR(SEARCH("Error",J1)))</formula>
    </cfRule>
    <cfRule type="containsText" dxfId="96" priority="21" operator="containsText" text="é criado">
      <formula>NOT(ISERROR(SEARCH("é criado",J1)))</formula>
    </cfRule>
  </conditionalFormatting>
  <conditionalFormatting sqref="B55">
    <cfRule type="beginsWith" dxfId="95" priority="16" operator="beginsWith" text="L">
      <formula>LEFT(B55,LEN("L"))="L"</formula>
    </cfRule>
  </conditionalFormatting>
  <conditionalFormatting sqref="B56:B64">
    <cfRule type="beginsWith" dxfId="94" priority="15" operator="beginsWith" text="L">
      <formula>LEFT(B56,LEN("L"))="L"</formula>
    </cfRule>
  </conditionalFormatting>
  <conditionalFormatting sqref="B65:B104">
    <cfRule type="beginsWith" dxfId="93" priority="14" operator="beginsWith" text="L">
      <formula>LEFT(B65,LEN("L"))="L"</formula>
    </cfRule>
  </conditionalFormatting>
  <conditionalFormatting sqref="J55:J104">
    <cfRule type="containsText" dxfId="92" priority="9" operator="containsText" text="criadas">
      <formula>NOT(ISERROR(SEARCH("criadas",J55)))</formula>
    </cfRule>
    <cfRule type="containsText" dxfId="91" priority="10" operator="containsText" text="é gravado">
      <formula>NOT(ISERROR(SEARCH("é gravado",J55)))</formula>
    </cfRule>
    <cfRule type="containsText" dxfId="90" priority="11" operator="containsText" text="é modificado">
      <formula>NOT(ISERROR(SEARCH("é modificado",J55)))</formula>
    </cfRule>
    <cfRule type="containsText" dxfId="89" priority="12" operator="containsText" text="Error">
      <formula>NOT(ISERROR(SEARCH("Error",J55)))</formula>
    </cfRule>
    <cfRule type="containsText" dxfId="88" priority="13" operator="containsText" text="é criado">
      <formula>NOT(ISERROR(SEARCH("é criado",J55)))</formula>
    </cfRule>
  </conditionalFormatting>
  <conditionalFormatting sqref="B105">
    <cfRule type="beginsWith" dxfId="87" priority="8" operator="beginsWith" text="L">
      <formula>LEFT(B105,LEN("L"))="L"</formula>
    </cfRule>
  </conditionalFormatting>
  <conditionalFormatting sqref="B106:B114">
    <cfRule type="beginsWith" dxfId="86" priority="7" operator="beginsWith" text="L">
      <formula>LEFT(B106,LEN("L"))="L"</formula>
    </cfRule>
  </conditionalFormatting>
  <conditionalFormatting sqref="B115:B154">
    <cfRule type="beginsWith" dxfId="85" priority="6" operator="beginsWith" text="L">
      <formula>LEFT(B115,LEN("L"))="L"</formula>
    </cfRule>
  </conditionalFormatting>
  <conditionalFormatting sqref="J105:J154">
    <cfRule type="containsText" dxfId="84" priority="1" operator="containsText" text="criadas">
      <formula>NOT(ISERROR(SEARCH("criadas",J105)))</formula>
    </cfRule>
    <cfRule type="containsText" dxfId="83" priority="2" operator="containsText" text="é gravado">
      <formula>NOT(ISERROR(SEARCH("é gravado",J105)))</formula>
    </cfRule>
    <cfRule type="containsText" dxfId="82" priority="3" operator="containsText" text="é modificado">
      <formula>NOT(ISERROR(SEARCH("é modificado",J105)))</formula>
    </cfRule>
    <cfRule type="containsText" dxfId="81" priority="4" operator="containsText" text="Error">
      <formula>NOT(ISERROR(SEARCH("Error",J105)))</formula>
    </cfRule>
    <cfRule type="containsText" dxfId="80" priority="5" operator="containsText" text="é criado">
      <formula>NOT(ISERROR(SEARCH("é criado",J105)))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C5:C154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X453"/>
  <sheetViews>
    <sheetView showGridLines="0" showRowColHeaders="0" tabSelected="1" topLeftCell="CC1" workbookViewId="0">
      <selection activeCell="CC1" sqref="CC1"/>
    </sheetView>
  </sheetViews>
  <sheetFormatPr defaultColWidth="0" defaultRowHeight="12.75" zeroHeight="1" x14ac:dyDescent="0.2"/>
  <cols>
    <col min="1" max="1" width="6.5703125" customWidth="1"/>
    <col min="2" max="2" width="6.85546875" customWidth="1"/>
    <col min="3" max="3" width="14.7109375" customWidth="1"/>
    <col min="4" max="4" width="38.42578125" customWidth="1"/>
    <col min="5" max="5" width="9.28515625" customWidth="1"/>
    <col min="6" max="6" width="21" customWidth="1"/>
    <col min="7" max="7" width="8.7109375" customWidth="1"/>
    <col min="8" max="8" width="5" customWidth="1"/>
    <col min="9" max="9" width="12.5703125" customWidth="1"/>
    <col min="10" max="10" width="18.85546875" customWidth="1"/>
    <col min="11" max="11" width="8.140625" customWidth="1"/>
    <col min="12" max="13" width="13.140625" customWidth="1"/>
    <col min="14" max="14" width="15.7109375" customWidth="1"/>
    <col min="15" max="15" width="20.7109375" customWidth="1"/>
    <col min="16" max="16" width="13.140625" customWidth="1"/>
    <col min="17" max="17" width="11.28515625" customWidth="1"/>
    <col min="18" max="18" width="11.140625" customWidth="1"/>
    <col min="19" max="19" width="17.7109375" customWidth="1"/>
    <col min="20" max="20" width="18.5703125" customWidth="1"/>
    <col min="21" max="21" width="10.140625" customWidth="1"/>
    <col min="22" max="22" width="3.28515625" customWidth="1"/>
    <col min="23" max="23" width="18.5703125" customWidth="1"/>
    <col min="24" max="24" width="4" customWidth="1"/>
    <col min="25" max="26" width="6" customWidth="1"/>
    <col min="27" max="27" width="14.710937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4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9" customWidth="1"/>
    <col min="40" max="40" width="25.42578125" customWidth="1"/>
    <col min="41" max="41" width="4" customWidth="1"/>
    <col min="42" max="42" width="8" customWidth="1"/>
    <col min="43" max="43" width="23.85546875" customWidth="1"/>
    <col min="44" max="44" width="12.42578125" customWidth="1"/>
    <col min="45" max="45" width="5" customWidth="1"/>
    <col min="46" max="46" width="15.140625" customWidth="1"/>
    <col min="47" max="47" width="3.28515625" customWidth="1"/>
    <col min="48" max="48" width="5" customWidth="1"/>
    <col min="49" max="49" width="4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1" width="11.42578125" customWidth="1"/>
    <col min="82" max="82" width="9.85546875" customWidth="1"/>
    <col min="83" max="83" width="11.42578125" customWidth="1"/>
    <col min="84" max="85" width="9.85546875" customWidth="1"/>
    <col min="86" max="101" width="9.85546875" hidden="1" customWidth="1"/>
    <col min="102" max="102" width="0" hidden="1" customWidth="1"/>
    <col min="103" max="16384" width="9.140625" hidden="1"/>
  </cols>
  <sheetData>
    <row r="1" spans="1:102" ht="331.5" x14ac:dyDescent="0.2">
      <c r="A1" s="38" t="s">
        <v>806</v>
      </c>
      <c r="B1" s="38" t="s">
        <v>807</v>
      </c>
      <c r="C1" s="38" t="s">
        <v>808</v>
      </c>
      <c r="D1" s="38" t="s">
        <v>809</v>
      </c>
      <c r="E1" s="38" t="s">
        <v>810</v>
      </c>
      <c r="F1" s="38" t="s">
        <v>811</v>
      </c>
      <c r="G1" s="38" t="s">
        <v>812</v>
      </c>
      <c r="H1" s="39" t="s">
        <v>813</v>
      </c>
      <c r="I1" s="38" t="s">
        <v>814</v>
      </c>
      <c r="J1" s="38" t="s">
        <v>815</v>
      </c>
      <c r="K1" s="39" t="s">
        <v>945</v>
      </c>
      <c r="L1" s="38" t="s">
        <v>946</v>
      </c>
      <c r="M1" s="38" t="s">
        <v>947</v>
      </c>
      <c r="N1" s="38" t="s">
        <v>948</v>
      </c>
      <c r="O1" s="38" t="s">
        <v>949</v>
      </c>
      <c r="P1" s="39" t="s">
        <v>950</v>
      </c>
      <c r="Q1" s="38" t="s">
        <v>816</v>
      </c>
      <c r="R1" s="39" t="s">
        <v>952</v>
      </c>
      <c r="S1" s="38" t="s">
        <v>951</v>
      </c>
      <c r="T1" s="38" t="s">
        <v>817</v>
      </c>
      <c r="U1" s="38" t="s">
        <v>388</v>
      </c>
      <c r="V1" s="39" t="s">
        <v>818</v>
      </c>
      <c r="W1" s="38" t="s">
        <v>819</v>
      </c>
      <c r="X1" s="39" t="s">
        <v>820</v>
      </c>
      <c r="Y1" s="39" t="s">
        <v>821</v>
      </c>
      <c r="Z1" s="39" t="s">
        <v>822</v>
      </c>
      <c r="AA1" s="39" t="s">
        <v>967</v>
      </c>
      <c r="AB1" s="38" t="s">
        <v>823</v>
      </c>
      <c r="AC1" s="38" t="s">
        <v>824</v>
      </c>
      <c r="AD1" s="38" t="s">
        <v>825</v>
      </c>
      <c r="AE1" s="38" t="s">
        <v>826</v>
      </c>
      <c r="AF1" s="38" t="s">
        <v>827</v>
      </c>
      <c r="AG1" s="38" t="s">
        <v>960</v>
      </c>
      <c r="AH1" s="39" t="s">
        <v>828</v>
      </c>
      <c r="AI1" s="38" t="s">
        <v>829</v>
      </c>
      <c r="AJ1" s="38" t="s">
        <v>830</v>
      </c>
      <c r="AK1" s="38" t="s">
        <v>831</v>
      </c>
      <c r="AL1" s="38" t="s">
        <v>832</v>
      </c>
      <c r="AM1" s="39" t="s">
        <v>833</v>
      </c>
      <c r="AN1" s="38" t="s">
        <v>834</v>
      </c>
      <c r="AO1" s="39" t="s">
        <v>835</v>
      </c>
      <c r="AP1" s="38" t="s">
        <v>836</v>
      </c>
      <c r="AQ1" s="38" t="s">
        <v>837</v>
      </c>
      <c r="AR1" s="38" t="s">
        <v>838</v>
      </c>
      <c r="AS1" s="39" t="s">
        <v>839</v>
      </c>
      <c r="AT1" s="38" t="s">
        <v>840</v>
      </c>
      <c r="AU1" s="39" t="s">
        <v>841</v>
      </c>
      <c r="AV1" s="39" t="s">
        <v>842</v>
      </c>
      <c r="AW1" s="39" t="s">
        <v>843</v>
      </c>
      <c r="AX1" s="38" t="s">
        <v>844</v>
      </c>
      <c r="AY1" s="38" t="s">
        <v>845</v>
      </c>
      <c r="AZ1" s="38" t="s">
        <v>846</v>
      </c>
      <c r="BA1" s="38" t="s">
        <v>847</v>
      </c>
      <c r="BB1" s="38" t="s">
        <v>848</v>
      </c>
      <c r="BC1" s="38" t="s">
        <v>961</v>
      </c>
      <c r="BD1" s="38" t="s">
        <v>968</v>
      </c>
      <c r="BE1" s="38" t="s">
        <v>962</v>
      </c>
      <c r="BF1" s="38" t="s">
        <v>969</v>
      </c>
      <c r="BG1" s="38" t="s">
        <v>963</v>
      </c>
      <c r="BH1" s="38" t="s">
        <v>970</v>
      </c>
      <c r="BI1" s="38" t="s">
        <v>964</v>
      </c>
      <c r="BJ1" s="38" t="s">
        <v>971</v>
      </c>
      <c r="BK1" s="38" t="s">
        <v>965</v>
      </c>
      <c r="BL1" s="38" t="s">
        <v>850</v>
      </c>
      <c r="BM1" s="38" t="s">
        <v>851</v>
      </c>
      <c r="BN1" s="38" t="s">
        <v>852</v>
      </c>
      <c r="BO1" s="38" t="s">
        <v>853</v>
      </c>
      <c r="BP1" s="38" t="s">
        <v>854</v>
      </c>
      <c r="BQ1" s="38" t="s">
        <v>953</v>
      </c>
      <c r="BR1" s="38" t="s">
        <v>994</v>
      </c>
      <c r="BS1" s="38" t="s">
        <v>995</v>
      </c>
      <c r="BT1" s="38" t="s">
        <v>996</v>
      </c>
      <c r="BU1" s="38" t="s">
        <v>997</v>
      </c>
      <c r="BV1" s="38" t="s">
        <v>998</v>
      </c>
      <c r="BW1" s="38" t="s">
        <v>999</v>
      </c>
      <c r="BX1" s="38" t="s">
        <v>1000</v>
      </c>
      <c r="BY1" s="38" t="s">
        <v>1001</v>
      </c>
      <c r="BZ1" s="38" t="s">
        <v>1002</v>
      </c>
      <c r="CA1" s="38" t="s">
        <v>1003</v>
      </c>
      <c r="CB1" s="38" t="s">
        <v>1004</v>
      </c>
      <c r="CN1" s="38"/>
      <c r="CO1" s="38"/>
      <c r="CP1" s="38"/>
      <c r="CQ1" s="38"/>
      <c r="CR1" s="38"/>
      <c r="CS1" s="38"/>
      <c r="CT1" s="38"/>
      <c r="CU1" s="38"/>
      <c r="CV1" s="38"/>
      <c r="CW1" s="38"/>
    </row>
    <row r="2" spans="1:102" hidden="1" x14ac:dyDescent="0.2">
      <c r="A2" s="38"/>
      <c r="B2" s="38" t="s">
        <v>1017</v>
      </c>
      <c r="C2" s="38" t="s">
        <v>1026</v>
      </c>
      <c r="D2" s="38" t="s">
        <v>1027</v>
      </c>
      <c r="E2" s="38"/>
      <c r="F2" s="38"/>
      <c r="G2" s="38" t="s">
        <v>4</v>
      </c>
      <c r="H2" s="38">
        <v>1830</v>
      </c>
      <c r="I2" s="38">
        <v>2.2839999999999998</v>
      </c>
      <c r="J2" s="38" t="s">
        <v>1028</v>
      </c>
      <c r="K2" s="38" t="s">
        <v>201</v>
      </c>
      <c r="L2" s="38" t="s">
        <v>195</v>
      </c>
      <c r="M2" s="38" t="s">
        <v>196</v>
      </c>
      <c r="N2" s="38" t="s">
        <v>198</v>
      </c>
      <c r="O2" s="38" t="s">
        <v>199</v>
      </c>
      <c r="P2" s="38" t="s">
        <v>1029</v>
      </c>
      <c r="Q2" s="38" t="s">
        <v>923</v>
      </c>
      <c r="R2" s="38" t="s">
        <v>1030</v>
      </c>
      <c r="S2" s="38" t="s">
        <v>1031</v>
      </c>
      <c r="T2" s="38" t="s">
        <v>299</v>
      </c>
      <c r="U2" s="38" t="s">
        <v>1007</v>
      </c>
      <c r="V2" s="38">
        <v>64</v>
      </c>
      <c r="W2" s="38" t="s">
        <v>691</v>
      </c>
      <c r="X2" s="38">
        <v>900</v>
      </c>
      <c r="Y2" s="38">
        <v>10000</v>
      </c>
      <c r="Z2" s="38">
        <v>1.4999999999999999E-2</v>
      </c>
      <c r="AA2" s="38" t="s">
        <v>1032</v>
      </c>
      <c r="AB2" s="38">
        <v>7370</v>
      </c>
      <c r="AC2" s="38" t="s">
        <v>1033</v>
      </c>
      <c r="AD2" s="38" t="s">
        <v>1034</v>
      </c>
      <c r="AE2" s="38" t="s">
        <v>1035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67"/>
      <c r="BC2" s="38" t="s">
        <v>4</v>
      </c>
      <c r="BD2" s="67" t="s">
        <v>1013</v>
      </c>
      <c r="BE2" s="38" t="s">
        <v>5</v>
      </c>
      <c r="BF2" s="67" t="s">
        <v>1014</v>
      </c>
      <c r="BG2" s="38" t="s">
        <v>6</v>
      </c>
      <c r="BH2" s="38" t="s">
        <v>1015</v>
      </c>
      <c r="BI2" s="38"/>
      <c r="BJ2" s="38" t="s">
        <v>1016</v>
      </c>
      <c r="BK2" s="38"/>
      <c r="BL2" s="38" t="s">
        <v>849</v>
      </c>
      <c r="BM2" s="38"/>
      <c r="BN2" s="38" t="s">
        <v>580</v>
      </c>
      <c r="BO2" s="38" t="s">
        <v>533</v>
      </c>
      <c r="BP2" s="38" t="s">
        <v>533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N2" s="38"/>
      <c r="CO2" s="38"/>
      <c r="CP2" s="38"/>
      <c r="CQ2" s="38"/>
      <c r="CR2" s="38"/>
      <c r="CS2" s="38"/>
      <c r="CT2" s="38"/>
      <c r="CU2" s="38"/>
      <c r="CV2" s="38"/>
      <c r="CW2" s="38"/>
      <c r="CX2" s="38"/>
    </row>
    <row r="3" spans="1:102" x14ac:dyDescent="0.2">
      <c r="A3" s="38" t="s">
        <v>1036</v>
      </c>
      <c r="B3" s="38" t="s">
        <v>1005</v>
      </c>
      <c r="C3" s="38" t="s">
        <v>1032</v>
      </c>
      <c r="D3" s="38" t="s">
        <v>1037</v>
      </c>
      <c r="E3" s="38"/>
      <c r="F3" s="38"/>
      <c r="G3" s="38" t="s">
        <v>4</v>
      </c>
      <c r="H3" s="38">
        <v>7370</v>
      </c>
      <c r="I3" s="38">
        <v>2.2839999999999998</v>
      </c>
      <c r="J3" s="38" t="s">
        <v>1038</v>
      </c>
      <c r="K3" s="38" t="s">
        <v>201</v>
      </c>
      <c r="L3" s="38" t="s">
        <v>195</v>
      </c>
      <c r="M3" s="38" t="s">
        <v>196</v>
      </c>
      <c r="N3" s="38" t="s">
        <v>198</v>
      </c>
      <c r="O3" s="38"/>
      <c r="P3" s="38" t="s">
        <v>1039</v>
      </c>
      <c r="Q3" s="38" t="s">
        <v>923</v>
      </c>
      <c r="R3" s="38" t="s">
        <v>1030</v>
      </c>
      <c r="S3" s="38" t="s">
        <v>1031</v>
      </c>
      <c r="T3" s="38" t="s">
        <v>299</v>
      </c>
      <c r="U3" s="38" t="s">
        <v>1007</v>
      </c>
      <c r="V3" s="38">
        <v>64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1040</v>
      </c>
      <c r="AH3" s="38">
        <v>1.5</v>
      </c>
      <c r="AI3" s="38" t="s">
        <v>1041</v>
      </c>
      <c r="AJ3" s="38"/>
      <c r="AK3" s="38" t="s">
        <v>1042</v>
      </c>
      <c r="AL3" s="38" t="s">
        <v>1043</v>
      </c>
      <c r="AM3" s="38" t="s">
        <v>697</v>
      </c>
      <c r="AN3" s="38" t="s">
        <v>1008</v>
      </c>
      <c r="AO3" s="38">
        <v>888</v>
      </c>
      <c r="AP3" s="38" t="s">
        <v>1009</v>
      </c>
      <c r="AQ3" s="38" t="s">
        <v>1010</v>
      </c>
      <c r="AR3" s="38" t="s">
        <v>1011</v>
      </c>
      <c r="AS3" s="38">
        <v>5.46</v>
      </c>
      <c r="AT3" s="38">
        <v>194</v>
      </c>
      <c r="AU3" s="38" t="s">
        <v>1012</v>
      </c>
      <c r="AV3" s="38" t="s">
        <v>1044</v>
      </c>
      <c r="AW3" s="38" t="s">
        <v>1045</v>
      </c>
      <c r="AX3" s="38" t="s">
        <v>1046</v>
      </c>
      <c r="AY3" s="38" t="s">
        <v>1047</v>
      </c>
      <c r="AZ3" s="38"/>
      <c r="BA3" s="38"/>
      <c r="BB3" s="67"/>
      <c r="BC3" s="38" t="s">
        <v>4</v>
      </c>
      <c r="BD3" s="67" t="s">
        <v>1013</v>
      </c>
      <c r="BE3" s="38" t="s">
        <v>16</v>
      </c>
      <c r="BF3" s="67" t="s">
        <v>1048</v>
      </c>
      <c r="BG3" s="38" t="s">
        <v>6</v>
      </c>
      <c r="BH3" s="38" t="s">
        <v>1015</v>
      </c>
      <c r="BI3" s="38"/>
      <c r="BJ3" s="38" t="s">
        <v>1016</v>
      </c>
      <c r="BK3" s="38"/>
      <c r="BL3" s="38" t="s">
        <v>849</v>
      </c>
      <c r="BM3" s="38" t="s">
        <v>539</v>
      </c>
      <c r="BN3" s="38" t="s">
        <v>580</v>
      </c>
      <c r="BO3" s="38" t="s">
        <v>533</v>
      </c>
      <c r="BP3" s="38" t="s">
        <v>533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N3" s="38"/>
      <c r="CO3" s="38"/>
      <c r="CP3" s="38"/>
      <c r="CQ3" s="38"/>
      <c r="CR3" s="38"/>
      <c r="CS3" s="38"/>
      <c r="CT3" s="38"/>
      <c r="CU3" s="38"/>
      <c r="CV3" s="38"/>
      <c r="CW3" s="38"/>
      <c r="CX3" s="38"/>
    </row>
    <row r="4" spans="1:102" hidden="1" x14ac:dyDescent="0.2">
      <c r="A4" s="38"/>
      <c r="B4" s="38" t="s">
        <v>1017</v>
      </c>
      <c r="C4" s="38" t="s">
        <v>1049</v>
      </c>
      <c r="D4" s="38" t="s">
        <v>1050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67"/>
      <c r="BC4" s="38"/>
      <c r="BD4" s="67"/>
      <c r="BE4" s="38"/>
      <c r="BF4" s="6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N4" s="38"/>
      <c r="CO4" s="38"/>
      <c r="CP4" s="38"/>
      <c r="CQ4" s="38"/>
      <c r="CR4" s="38"/>
      <c r="CS4" s="38"/>
      <c r="CT4" s="38"/>
      <c r="CU4" s="38"/>
      <c r="CV4" s="38"/>
      <c r="CW4" s="38"/>
      <c r="CX4" s="38"/>
    </row>
    <row r="5" spans="1:102" hidden="1" x14ac:dyDescent="0.2">
      <c r="A5" s="38" t="s">
        <v>1036</v>
      </c>
      <c r="B5" s="38" t="s">
        <v>1017</v>
      </c>
      <c r="C5" s="38" t="s">
        <v>1051</v>
      </c>
      <c r="D5" s="38" t="s">
        <v>1052</v>
      </c>
      <c r="E5" s="38"/>
      <c r="F5" s="38"/>
      <c r="G5" s="38" t="s">
        <v>4</v>
      </c>
      <c r="H5" s="38"/>
      <c r="I5" s="38">
        <v>2.2839999999999998</v>
      </c>
      <c r="J5" s="38" t="s">
        <v>1006</v>
      </c>
      <c r="K5" s="38" t="s">
        <v>201</v>
      </c>
      <c r="L5" s="38" t="s">
        <v>195</v>
      </c>
      <c r="M5" s="38" t="s">
        <v>196</v>
      </c>
      <c r="N5" s="38" t="s">
        <v>198</v>
      </c>
      <c r="O5" s="38"/>
      <c r="P5" s="38" t="s">
        <v>1039</v>
      </c>
      <c r="Q5" s="38" t="s">
        <v>923</v>
      </c>
      <c r="R5" s="38" t="s">
        <v>1030</v>
      </c>
      <c r="S5" s="38" t="s">
        <v>1031</v>
      </c>
      <c r="T5" s="38" t="s">
        <v>299</v>
      </c>
      <c r="U5" s="38" t="s">
        <v>1007</v>
      </c>
      <c r="V5" s="38">
        <v>64</v>
      </c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 t="s">
        <v>1040</v>
      </c>
      <c r="AH5" s="38">
        <v>1.5</v>
      </c>
      <c r="AI5" s="38" t="s">
        <v>1041</v>
      </c>
      <c r="AJ5" s="38"/>
      <c r="AK5" s="38" t="s">
        <v>1042</v>
      </c>
      <c r="AL5" s="38" t="s">
        <v>1043</v>
      </c>
      <c r="AM5" s="38" t="s">
        <v>697</v>
      </c>
      <c r="AN5" s="38" t="s">
        <v>1008</v>
      </c>
      <c r="AO5" s="38">
        <v>888</v>
      </c>
      <c r="AP5" s="38" t="s">
        <v>1009</v>
      </c>
      <c r="AQ5" s="38" t="s">
        <v>1010</v>
      </c>
      <c r="AR5" s="38" t="s">
        <v>1011</v>
      </c>
      <c r="AS5" s="38">
        <v>5.46</v>
      </c>
      <c r="AT5" s="38">
        <v>194</v>
      </c>
      <c r="AU5" s="38" t="s">
        <v>1012</v>
      </c>
      <c r="AV5" s="38" t="s">
        <v>1044</v>
      </c>
      <c r="AW5" s="38" t="s">
        <v>1045</v>
      </c>
      <c r="AX5" s="38" t="s">
        <v>1046</v>
      </c>
      <c r="AY5" s="38" t="s">
        <v>1047</v>
      </c>
      <c r="AZ5" s="38"/>
      <c r="BA5" s="38"/>
      <c r="BB5" s="67"/>
      <c r="BC5" s="38" t="s">
        <v>4</v>
      </c>
      <c r="BD5" s="67" t="s">
        <v>1013</v>
      </c>
      <c r="BE5" s="38" t="s">
        <v>5</v>
      </c>
      <c r="BF5" s="67" t="s">
        <v>1014</v>
      </c>
      <c r="BG5" s="38" t="s">
        <v>6</v>
      </c>
      <c r="BH5" s="38" t="s">
        <v>1015</v>
      </c>
      <c r="BI5" s="38"/>
      <c r="BJ5" s="38" t="s">
        <v>1016</v>
      </c>
      <c r="BK5" s="38"/>
      <c r="BL5" s="38" t="s">
        <v>875</v>
      </c>
      <c r="BM5" s="38" t="s">
        <v>539</v>
      </c>
      <c r="BN5" s="38" t="s">
        <v>580</v>
      </c>
      <c r="BO5" s="38" t="s">
        <v>533</v>
      </c>
      <c r="BP5" s="38" t="s">
        <v>533</v>
      </c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N5" s="38"/>
      <c r="CO5" s="38"/>
      <c r="CP5" s="38"/>
      <c r="CQ5" s="38"/>
      <c r="CR5" s="38"/>
      <c r="CS5" s="38"/>
      <c r="CT5" s="38"/>
      <c r="CU5" s="38"/>
      <c r="CV5" s="38"/>
      <c r="CW5" s="38"/>
      <c r="CX5" s="38"/>
    </row>
    <row r="6" spans="1:102" hidden="1" x14ac:dyDescent="0.2">
      <c r="A6" s="38"/>
      <c r="B6" s="38" t="s">
        <v>1017</v>
      </c>
      <c r="C6" s="38" t="s">
        <v>1049</v>
      </c>
      <c r="D6" s="38" t="s">
        <v>1050</v>
      </c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/>
      <c r="BD6" s="67"/>
      <c r="BE6" s="38"/>
      <c r="BF6" s="6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N6" s="38"/>
      <c r="CO6" s="38"/>
      <c r="CP6" s="38"/>
      <c r="CQ6" s="38"/>
      <c r="CR6" s="38"/>
      <c r="CS6" s="38"/>
      <c r="CT6" s="38"/>
      <c r="CU6" s="38"/>
      <c r="CV6" s="38"/>
      <c r="CW6" s="38"/>
      <c r="CX6" s="38"/>
    </row>
    <row r="7" spans="1:102" hidden="1" x14ac:dyDescent="0.2">
      <c r="A7" s="38"/>
      <c r="B7" s="38"/>
      <c r="C7" s="38"/>
      <c r="D7" s="38" t="s">
        <v>1018</v>
      </c>
      <c r="E7" s="38"/>
      <c r="F7" s="38"/>
      <c r="G7" s="38"/>
      <c r="H7" s="38"/>
      <c r="I7" s="38"/>
      <c r="J7" s="38" t="s">
        <v>1006</v>
      </c>
      <c r="K7" s="38"/>
      <c r="L7" s="38"/>
      <c r="M7" s="38"/>
      <c r="N7" s="38"/>
      <c r="O7" s="38"/>
      <c r="P7" s="38" t="s">
        <v>1006</v>
      </c>
      <c r="Q7" s="38"/>
      <c r="R7" s="38"/>
      <c r="S7" s="38" t="s">
        <v>1006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1006</v>
      </c>
      <c r="AL7" s="38" t="s">
        <v>1006</v>
      </c>
      <c r="AM7" s="38"/>
      <c r="AN7" s="38" t="s">
        <v>1006</v>
      </c>
      <c r="AO7" s="38"/>
      <c r="AP7" s="38" t="s">
        <v>1006</v>
      </c>
      <c r="AQ7" s="38" t="s">
        <v>1006</v>
      </c>
      <c r="AR7" s="38" t="s">
        <v>1006</v>
      </c>
      <c r="AS7" s="38"/>
      <c r="AT7" s="38"/>
      <c r="AU7" s="38"/>
      <c r="AV7" s="38" t="s">
        <v>1006</v>
      </c>
      <c r="AW7" s="38" t="s">
        <v>1006</v>
      </c>
      <c r="AX7" s="38" t="s">
        <v>1006</v>
      </c>
      <c r="AY7" s="38" t="s">
        <v>1006</v>
      </c>
      <c r="AZ7" s="38"/>
      <c r="BA7" s="38"/>
      <c r="BB7" s="67"/>
      <c r="BC7" s="38" t="s">
        <v>1006</v>
      </c>
      <c r="BD7" s="67" t="s">
        <v>1006</v>
      </c>
      <c r="BE7" s="38"/>
      <c r="BF7" s="67" t="s">
        <v>1006</v>
      </c>
      <c r="BG7" s="38"/>
      <c r="BH7" s="38" t="s">
        <v>1006</v>
      </c>
      <c r="BI7" s="38"/>
      <c r="BJ7" s="38" t="s">
        <v>1016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N7" s="38"/>
      <c r="CO7" s="38"/>
      <c r="CP7" s="38"/>
      <c r="CQ7" s="38"/>
      <c r="CR7" s="38"/>
      <c r="CS7" s="38"/>
      <c r="CT7" s="38"/>
      <c r="CU7" s="38"/>
      <c r="CV7" s="38"/>
      <c r="CW7" s="38"/>
      <c r="CX7" s="38"/>
    </row>
    <row r="8" spans="1:102" hidden="1" x14ac:dyDescent="0.2">
      <c r="A8" s="38"/>
      <c r="B8" s="38"/>
      <c r="C8" s="38"/>
      <c r="D8" s="38" t="s">
        <v>1019</v>
      </c>
      <c r="E8" s="38"/>
      <c r="F8" s="38"/>
      <c r="G8" s="38"/>
      <c r="H8" s="38"/>
      <c r="I8" s="38"/>
      <c r="J8" s="38" t="s">
        <v>1006</v>
      </c>
      <c r="K8" s="38"/>
      <c r="L8" s="38"/>
      <c r="M8" s="38"/>
      <c r="N8" s="38"/>
      <c r="O8" s="38"/>
      <c r="P8" s="38" t="s">
        <v>1006</v>
      </c>
      <c r="Q8" s="38"/>
      <c r="R8" s="38"/>
      <c r="S8" s="38" t="s">
        <v>1006</v>
      </c>
      <c r="T8" s="38"/>
      <c r="U8" s="38"/>
      <c r="V8" s="38"/>
      <c r="W8" s="38"/>
      <c r="X8" s="38"/>
      <c r="Y8" s="38"/>
      <c r="Z8" s="38"/>
      <c r="AA8" s="38" t="s">
        <v>1006</v>
      </c>
      <c r="AB8" s="38" t="s">
        <v>1006</v>
      </c>
      <c r="AC8" s="38" t="s">
        <v>1020</v>
      </c>
      <c r="AD8" s="38" t="s">
        <v>1020</v>
      </c>
      <c r="AE8" s="38" t="s">
        <v>1006</v>
      </c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 t="s">
        <v>1006</v>
      </c>
      <c r="BD8" s="67" t="s">
        <v>1006</v>
      </c>
      <c r="BE8" s="38"/>
      <c r="BF8" s="67" t="s">
        <v>1006</v>
      </c>
      <c r="BG8" s="38"/>
      <c r="BH8" s="38" t="s">
        <v>1006</v>
      </c>
      <c r="BI8" s="38"/>
      <c r="BJ8" s="38" t="s">
        <v>1016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N8" s="38"/>
      <c r="CO8" s="38"/>
      <c r="CP8" s="38"/>
      <c r="CQ8" s="38"/>
      <c r="CR8" s="38"/>
      <c r="CS8" s="38"/>
      <c r="CT8" s="38"/>
      <c r="CU8" s="38"/>
      <c r="CV8" s="38"/>
      <c r="CW8" s="38"/>
      <c r="CX8" s="38"/>
    </row>
    <row r="9" spans="1:102" hidden="1" x14ac:dyDescent="0.2">
      <c r="A9" s="38"/>
      <c r="B9" s="38"/>
      <c r="C9" s="38"/>
      <c r="D9" s="38" t="s">
        <v>1021</v>
      </c>
      <c r="E9" s="38"/>
      <c r="F9" s="38"/>
      <c r="G9" s="38"/>
      <c r="H9" s="38"/>
      <c r="I9" s="38"/>
      <c r="J9" s="38" t="s">
        <v>1006</v>
      </c>
      <c r="K9" s="38"/>
      <c r="L9" s="38"/>
      <c r="M9" s="38"/>
      <c r="N9" s="38"/>
      <c r="O9" s="38"/>
      <c r="P9" s="38" t="s">
        <v>1006</v>
      </c>
      <c r="Q9" s="38"/>
      <c r="R9" s="38"/>
      <c r="S9" s="38" t="s">
        <v>1006</v>
      </c>
      <c r="T9" s="38"/>
      <c r="U9" s="38"/>
      <c r="V9" s="38"/>
      <c r="W9" s="38"/>
      <c r="X9" s="38"/>
      <c r="Y9" s="38"/>
      <c r="Z9" s="38"/>
      <c r="AA9" s="38"/>
      <c r="AB9" s="38" t="s">
        <v>1006</v>
      </c>
      <c r="AC9" s="38" t="s">
        <v>1020</v>
      </c>
      <c r="AD9" s="38" t="s">
        <v>1020</v>
      </c>
      <c r="AE9" s="38" t="s">
        <v>1006</v>
      </c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1006</v>
      </c>
      <c r="BD9" s="67" t="s">
        <v>1006</v>
      </c>
      <c r="BE9" s="38"/>
      <c r="BF9" s="67" t="s">
        <v>1006</v>
      </c>
      <c r="BG9" s="38"/>
      <c r="BH9" s="38" t="s">
        <v>1006</v>
      </c>
      <c r="BI9" s="38"/>
      <c r="BJ9" s="38" t="s">
        <v>1016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N9" s="38"/>
      <c r="CO9" s="38"/>
      <c r="CP9" s="38"/>
      <c r="CQ9" s="38"/>
      <c r="CR9" s="38"/>
      <c r="CS9" s="38"/>
      <c r="CT9" s="38"/>
      <c r="CU9" s="38"/>
      <c r="CV9" s="38"/>
      <c r="CW9" s="38"/>
      <c r="CX9" s="38"/>
    </row>
    <row r="10" spans="1:102" hidden="1" x14ac:dyDescent="0.2">
      <c r="A10" s="38"/>
      <c r="B10" s="38"/>
      <c r="C10" s="38"/>
      <c r="D10" s="38" t="s">
        <v>1022</v>
      </c>
      <c r="E10" s="38"/>
      <c r="F10" s="38"/>
      <c r="G10" s="38"/>
      <c r="H10" s="38"/>
      <c r="I10" s="38"/>
      <c r="J10" s="38" t="s">
        <v>1006</v>
      </c>
      <c r="K10" s="38"/>
      <c r="L10" s="38"/>
      <c r="M10" s="38"/>
      <c r="N10" s="38"/>
      <c r="O10" s="38"/>
      <c r="P10" s="38" t="s">
        <v>1006</v>
      </c>
      <c r="Q10" s="38"/>
      <c r="R10" s="38"/>
      <c r="S10" s="38" t="s">
        <v>1006</v>
      </c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 t="s">
        <v>1006</v>
      </c>
      <c r="AL10" s="38" t="s">
        <v>1006</v>
      </c>
      <c r="AM10" s="38"/>
      <c r="AN10" s="38" t="s">
        <v>1006</v>
      </c>
      <c r="AO10" s="38"/>
      <c r="AP10" s="38" t="s">
        <v>1006</v>
      </c>
      <c r="AQ10" s="38" t="s">
        <v>1006</v>
      </c>
      <c r="AR10" s="38" t="s">
        <v>1006</v>
      </c>
      <c r="AS10" s="38"/>
      <c r="AT10" s="38"/>
      <c r="AU10" s="38"/>
      <c r="AV10" s="38" t="s">
        <v>1006</v>
      </c>
      <c r="AW10" s="38" t="s">
        <v>1006</v>
      </c>
      <c r="AX10" s="38" t="s">
        <v>1006</v>
      </c>
      <c r="AY10" s="38" t="s">
        <v>1006</v>
      </c>
      <c r="AZ10" s="38"/>
      <c r="BA10" s="38"/>
      <c r="BB10" s="67"/>
      <c r="BC10" s="38" t="s">
        <v>1006</v>
      </c>
      <c r="BD10" s="67" t="s">
        <v>1006</v>
      </c>
      <c r="BE10" s="38"/>
      <c r="BF10" s="67" t="s">
        <v>1006</v>
      </c>
      <c r="BG10" s="38"/>
      <c r="BH10" s="38" t="s">
        <v>1006</v>
      </c>
      <c r="BI10" s="38"/>
      <c r="BJ10" s="38" t="s">
        <v>1016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N10" s="38"/>
      <c r="CO10" s="38"/>
      <c r="CP10" s="38"/>
      <c r="CQ10" s="38"/>
      <c r="CR10" s="38"/>
      <c r="CS10" s="38"/>
      <c r="CT10" s="38"/>
      <c r="CU10" s="38"/>
      <c r="CV10" s="38"/>
      <c r="CW10" s="38"/>
      <c r="CX10" s="38"/>
    </row>
    <row r="11" spans="1:102" hidden="1" x14ac:dyDescent="0.2">
      <c r="A11" s="38"/>
      <c r="B11" s="38"/>
      <c r="C11" s="38"/>
      <c r="D11" s="38" t="s">
        <v>421</v>
      </c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67"/>
      <c r="BC11" s="38"/>
      <c r="BD11" s="67"/>
      <c r="BE11" s="38"/>
      <c r="BF11" s="6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N11" s="38"/>
      <c r="CO11" s="38"/>
      <c r="CP11" s="38"/>
      <c r="CQ11" s="38"/>
      <c r="CR11" s="38"/>
      <c r="CS11" s="38"/>
      <c r="CT11" s="38"/>
      <c r="CU11" s="38"/>
      <c r="CV11" s="38"/>
      <c r="CW11" s="38"/>
      <c r="CX11" s="38"/>
    </row>
    <row r="12" spans="1:102" hidden="1" x14ac:dyDescent="0.2">
      <c r="A12" s="38"/>
      <c r="B12" s="38"/>
      <c r="C12" s="38"/>
      <c r="D12" s="38" t="s">
        <v>1023</v>
      </c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67"/>
      <c r="BC12" s="38" t="s">
        <v>1006</v>
      </c>
      <c r="BD12" s="67" t="s">
        <v>1006</v>
      </c>
      <c r="BE12" s="38"/>
      <c r="BF12" s="67" t="s">
        <v>1006</v>
      </c>
      <c r="BG12" s="38"/>
      <c r="BH12" s="38" t="s">
        <v>1006</v>
      </c>
      <c r="BI12" s="38"/>
      <c r="BJ12" s="38" t="s">
        <v>1016</v>
      </c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N12" s="38"/>
      <c r="CO12" s="38"/>
      <c r="CP12" s="38"/>
      <c r="CQ12" s="38"/>
      <c r="CR12" s="38"/>
      <c r="CS12" s="38"/>
      <c r="CT12" s="38"/>
      <c r="CU12" s="38"/>
      <c r="CV12" s="38"/>
      <c r="CW12" s="38"/>
      <c r="CX12" s="38"/>
    </row>
    <row r="13" spans="1:102" hidden="1" x14ac:dyDescent="0.2">
      <c r="A13" s="38" t="s">
        <v>868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67"/>
      <c r="BC13" s="38"/>
      <c r="BD13" s="67"/>
      <c r="BE13" s="38"/>
      <c r="BF13" s="6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>
        <f>SUBTOTAL(103,Estrutura_P01[DADOS PURLINS])</f>
        <v>0</v>
      </c>
      <c r="CN13" s="38"/>
      <c r="CO13" s="38"/>
      <c r="CP13" s="38"/>
      <c r="CQ13" s="38"/>
      <c r="CR13" s="38"/>
      <c r="CS13" s="38"/>
      <c r="CT13" s="38"/>
      <c r="CU13" s="38"/>
      <c r="CV13" s="38"/>
      <c r="CW13" s="38"/>
      <c r="CX13" s="38"/>
    </row>
    <row r="14" spans="1:102" hidden="1" x14ac:dyDescent="0.2">
      <c r="A14" t="s">
        <v>533</v>
      </c>
      <c r="CN14" s="38"/>
      <c r="CO14" s="38"/>
      <c r="CP14" s="38"/>
      <c r="CQ14" s="38"/>
      <c r="CR14" s="38"/>
      <c r="CS14" s="38"/>
      <c r="CT14" s="38"/>
      <c r="CU14" s="38"/>
      <c r="CV14" s="38"/>
      <c r="CW14" s="38"/>
      <c r="CX14" s="38"/>
    </row>
    <row r="15" spans="1:102" hidden="1" x14ac:dyDescent="0.2">
      <c r="CN15" s="38"/>
      <c r="CO15" s="38"/>
      <c r="CP15" s="38"/>
      <c r="CQ15" s="38"/>
      <c r="CR15" s="38"/>
      <c r="CS15" s="38"/>
      <c r="CT15" s="38"/>
      <c r="CU15" s="38"/>
      <c r="CV15" s="38"/>
      <c r="CW15" s="38"/>
      <c r="CX15" s="38"/>
    </row>
    <row r="16" spans="1:102" hidden="1" x14ac:dyDescent="0.2">
      <c r="CN16" s="38"/>
      <c r="CO16" s="38"/>
      <c r="CP16" s="38"/>
      <c r="CQ16" s="38"/>
      <c r="CR16" s="38"/>
      <c r="CS16" s="38"/>
      <c r="CT16" s="38"/>
      <c r="CU16" s="38"/>
      <c r="CV16" s="38"/>
      <c r="CW16" s="38"/>
      <c r="CX16" s="38"/>
    </row>
    <row r="17" spans="92:102" hidden="1" x14ac:dyDescent="0.2">
      <c r="CN17" s="38"/>
      <c r="CO17" s="38"/>
      <c r="CP17" s="38"/>
      <c r="CQ17" s="38"/>
      <c r="CR17" s="38"/>
      <c r="CS17" s="38"/>
      <c r="CT17" s="38"/>
      <c r="CU17" s="38"/>
      <c r="CV17" s="38"/>
      <c r="CW17" s="38"/>
      <c r="CX17" s="38"/>
    </row>
    <row r="18" spans="92:102" hidden="1" x14ac:dyDescent="0.2">
      <c r="CN18" s="38"/>
      <c r="CO18" s="38"/>
      <c r="CP18" s="38"/>
      <c r="CQ18" s="38"/>
      <c r="CR18" s="38"/>
      <c r="CS18" s="38"/>
      <c r="CT18" s="38"/>
      <c r="CU18" s="38"/>
      <c r="CV18" s="38"/>
      <c r="CW18" s="38"/>
      <c r="CX18" s="38"/>
    </row>
    <row r="19" spans="92:102" hidden="1" x14ac:dyDescent="0.2">
      <c r="CN19" s="38"/>
      <c r="CO19" s="38"/>
      <c r="CP19" s="38"/>
      <c r="CQ19" s="38"/>
      <c r="CR19" s="38"/>
      <c r="CS19" s="38"/>
      <c r="CT19" s="38"/>
      <c r="CU19" s="38"/>
      <c r="CV19" s="38"/>
      <c r="CW19" s="38"/>
      <c r="CX19" s="38"/>
    </row>
    <row r="20" spans="92:102" hidden="1" x14ac:dyDescent="0.2"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</row>
    <row r="21" spans="92:102" hidden="1" x14ac:dyDescent="0.2"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</row>
    <row r="22" spans="92:102" hidden="1" x14ac:dyDescent="0.2"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</row>
    <row r="23" spans="92:102" hidden="1" x14ac:dyDescent="0.2"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</row>
    <row r="24" spans="92:102" hidden="1" x14ac:dyDescent="0.2"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</row>
    <row r="25" spans="92:102" hidden="1" x14ac:dyDescent="0.2">
      <c r="CN25" s="38"/>
      <c r="CO25" s="38"/>
      <c r="CP25" s="38"/>
      <c r="CQ25" s="38"/>
      <c r="CR25" s="38"/>
      <c r="CS25" s="38"/>
      <c r="CT25" s="38"/>
      <c r="CU25" s="38"/>
      <c r="CV25" s="38"/>
      <c r="CW25" s="38"/>
      <c r="CX25" s="38"/>
    </row>
    <row r="26" spans="92:102" hidden="1" x14ac:dyDescent="0.2"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</row>
    <row r="27" spans="92:102" hidden="1" x14ac:dyDescent="0.2"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</row>
    <row r="28" spans="92:102" hidden="1" x14ac:dyDescent="0.2"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</row>
    <row r="29" spans="92:102" hidden="1" x14ac:dyDescent="0.2"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</row>
    <row r="30" spans="92:102" hidden="1" x14ac:dyDescent="0.2"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</row>
    <row r="31" spans="92:102" hidden="1" x14ac:dyDescent="0.2"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</row>
    <row r="32" spans="92:102" hidden="1" x14ac:dyDescent="0.2">
      <c r="CT32" s="38"/>
      <c r="CU32" s="38"/>
      <c r="CV32" s="38"/>
      <c r="CW32" s="38"/>
      <c r="CX32" s="38"/>
    </row>
    <row r="33" spans="98:102" hidden="1" x14ac:dyDescent="0.2">
      <c r="CT33" s="38"/>
      <c r="CU33" s="38"/>
      <c r="CV33" s="38"/>
      <c r="CW33" s="38"/>
      <c r="CX33" s="38"/>
    </row>
    <row r="34" spans="98:102" hidden="1" x14ac:dyDescent="0.2">
      <c r="CT34" s="38"/>
      <c r="CU34" s="38"/>
      <c r="CV34" s="38"/>
      <c r="CW34" s="38"/>
      <c r="CX34" s="38"/>
    </row>
    <row r="35" spans="98:102" hidden="1" x14ac:dyDescent="0.2">
      <c r="CT35" s="38"/>
      <c r="CU35" s="38"/>
      <c r="CV35" s="38"/>
      <c r="CW35" s="38"/>
      <c r="CX35" s="38"/>
    </row>
    <row r="36" spans="98:102" hidden="1" x14ac:dyDescent="0.2">
      <c r="CT36" s="38"/>
      <c r="CU36" s="38"/>
      <c r="CV36" s="38"/>
      <c r="CW36" s="38"/>
      <c r="CX36" s="38"/>
    </row>
    <row r="37" spans="98:102" hidden="1" x14ac:dyDescent="0.2">
      <c r="CT37" s="38"/>
      <c r="CU37" s="38"/>
      <c r="CV37" s="38"/>
      <c r="CW37" s="38"/>
      <c r="CX37" s="38"/>
    </row>
    <row r="38" spans="98:102" hidden="1" x14ac:dyDescent="0.2"/>
    <row r="39" spans="98:102" hidden="1" x14ac:dyDescent="0.2"/>
    <row r="40" spans="98:102" hidden="1" x14ac:dyDescent="0.2"/>
    <row r="41" spans="98:102" hidden="1" x14ac:dyDescent="0.2"/>
    <row r="42" spans="98:102" hidden="1" x14ac:dyDescent="0.2"/>
    <row r="43" spans="98:102" hidden="1" x14ac:dyDescent="0.2"/>
    <row r="44" spans="98:102" hidden="1" x14ac:dyDescent="0.2"/>
    <row r="45" spans="98:102" hidden="1" x14ac:dyDescent="0.2"/>
    <row r="46" spans="98:102" hidden="1" x14ac:dyDescent="0.2"/>
    <row r="47" spans="98:102" hidden="1" x14ac:dyDescent="0.2"/>
    <row r="48" spans="98:102" hidden="1" x14ac:dyDescent="0.2"/>
    <row r="49" spans="101:101" hidden="1" x14ac:dyDescent="0.2"/>
    <row r="50" spans="101:101" hidden="1" x14ac:dyDescent="0.2"/>
    <row r="51" spans="101:101" hidden="1" x14ac:dyDescent="0.2"/>
    <row r="52" spans="101:101" hidden="1" x14ac:dyDescent="0.2"/>
    <row r="53" spans="101:101" hidden="1" x14ac:dyDescent="0.2">
      <c r="CW53" t="e">
        <f>SUBTOTAL(103,#REF!)</f>
        <v>#REF!</v>
      </c>
    </row>
    <row r="54" spans="101:101" hidden="1" x14ac:dyDescent="0.2"/>
    <row r="55" spans="101:101" hidden="1" x14ac:dyDescent="0.2"/>
    <row r="56" spans="101:101" hidden="1" x14ac:dyDescent="0.2"/>
    <row r="57" spans="101:101" hidden="1" x14ac:dyDescent="0.2"/>
    <row r="58" spans="101:101" hidden="1" x14ac:dyDescent="0.2"/>
    <row r="59" spans="101:101" hidden="1" x14ac:dyDescent="0.2"/>
    <row r="60" spans="101:101" hidden="1" x14ac:dyDescent="0.2"/>
    <row r="61" spans="101:101" hidden="1" x14ac:dyDescent="0.2"/>
    <row r="62" spans="101:101" hidden="1" x14ac:dyDescent="0.2"/>
    <row r="63" spans="101:101" hidden="1" x14ac:dyDescent="0.2"/>
    <row r="64" spans="101:10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4" sqref="A4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81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81"/>
      <c r="B2" s="81" t="s">
        <v>10</v>
      </c>
      <c r="C2" s="81"/>
      <c r="D2" s="81"/>
      <c r="E2" s="81"/>
      <c r="F2" s="15"/>
      <c r="G2" s="81" t="s">
        <v>33</v>
      </c>
      <c r="H2" s="81"/>
      <c r="I2" s="15"/>
      <c r="J2" s="81" t="s">
        <v>127</v>
      </c>
      <c r="K2" s="81"/>
      <c r="L2" s="15"/>
      <c r="M2" s="81" t="s">
        <v>172</v>
      </c>
      <c r="N2" s="81"/>
      <c r="O2" s="15"/>
      <c r="P2" s="81" t="s">
        <v>186</v>
      </c>
      <c r="Q2" s="81"/>
      <c r="R2" s="81"/>
      <c r="S2" s="81"/>
      <c r="T2" s="81"/>
      <c r="U2" s="81"/>
      <c r="V2" s="81"/>
      <c r="W2" s="81"/>
      <c r="X2" s="81"/>
      <c r="Y2" s="81"/>
      <c r="Z2" s="34"/>
      <c r="AA2" s="81" t="s">
        <v>292</v>
      </c>
      <c r="AB2" s="81"/>
      <c r="AC2" s="15"/>
      <c r="AD2" s="81" t="s">
        <v>323</v>
      </c>
      <c r="AE2" s="81"/>
      <c r="AF2" s="19"/>
      <c r="AG2" s="19" t="s">
        <v>323</v>
      </c>
      <c r="AH2" s="22"/>
      <c r="AI2" s="81" t="s">
        <v>372</v>
      </c>
      <c r="AJ2" s="81"/>
      <c r="AK2" s="22"/>
      <c r="AL2" s="81" t="s">
        <v>409</v>
      </c>
      <c r="AM2" s="81"/>
      <c r="AN2" s="22"/>
      <c r="AO2" s="81" t="s">
        <v>33</v>
      </c>
      <c r="AP2" s="81"/>
      <c r="AQ2" s="22"/>
      <c r="AR2" s="81" t="s">
        <v>412</v>
      </c>
      <c r="AS2" s="81"/>
      <c r="AT2" s="22"/>
      <c r="AU2" s="81" t="s">
        <v>427</v>
      </c>
      <c r="AV2" s="81"/>
      <c r="AW2" s="22"/>
      <c r="AX2" s="81" t="s">
        <v>492</v>
      </c>
      <c r="AY2" s="81"/>
      <c r="AZ2" s="25"/>
      <c r="BA2" s="81" t="s">
        <v>531</v>
      </c>
      <c r="BB2" s="81"/>
      <c r="BC2" s="81"/>
      <c r="BD2" s="81"/>
      <c r="BE2" s="28"/>
      <c r="BF2" s="81" t="s">
        <v>719</v>
      </c>
      <c r="BG2" s="81"/>
      <c r="BH2" s="81"/>
      <c r="BI2" s="37"/>
      <c r="BJ2" s="81" t="s">
        <v>862</v>
      </c>
      <c r="BK2" s="81"/>
      <c r="BL2" s="53"/>
      <c r="BM2" s="53" t="s">
        <v>99</v>
      </c>
      <c r="BN2" s="53"/>
      <c r="BO2" s="81" t="s">
        <v>939</v>
      </c>
      <c r="BP2" s="81"/>
      <c r="BQ2" s="53"/>
      <c r="BR2" s="53" t="s">
        <v>940</v>
      </c>
      <c r="BS2" s="73"/>
      <c r="BT2" s="81" t="s">
        <v>975</v>
      </c>
      <c r="BU2" s="81"/>
      <c r="BV2" s="81"/>
    </row>
    <row r="3" spans="1:75" s="2" customFormat="1" ht="17.100000000000001" customHeight="1" x14ac:dyDescent="0.2">
      <c r="A3" s="81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799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529</v>
      </c>
      <c r="BB3" s="25" t="s">
        <v>530</v>
      </c>
      <c r="BC3" s="2" t="s">
        <v>527</v>
      </c>
      <c r="BD3" s="2" t="s">
        <v>528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860</v>
      </c>
      <c r="BL3" s="53"/>
      <c r="BM3" s="53" t="s">
        <v>860</v>
      </c>
      <c r="BN3" s="53"/>
      <c r="BO3" s="53" t="s">
        <v>860</v>
      </c>
      <c r="BP3" s="53" t="s">
        <v>93</v>
      </c>
      <c r="BQ3" s="53"/>
      <c r="BR3" s="53" t="s">
        <v>941</v>
      </c>
      <c r="BS3" s="73"/>
      <c r="BT3" s="73" t="s">
        <v>0</v>
      </c>
      <c r="BU3" s="73" t="s">
        <v>860</v>
      </c>
      <c r="BV3" s="2" t="s">
        <v>93</v>
      </c>
      <c r="BW3" s="73"/>
    </row>
    <row r="4" spans="1:75" x14ac:dyDescent="0.2">
      <c r="A4" s="55" t="s">
        <v>944</v>
      </c>
      <c r="B4" s="10" t="s">
        <v>4</v>
      </c>
      <c r="C4" s="17" t="s">
        <v>966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373</v>
      </c>
      <c r="AL4" s="17" t="s">
        <v>396</v>
      </c>
      <c r="AM4" s="23" t="s">
        <v>397</v>
      </c>
      <c r="AO4" s="17" t="s">
        <v>34</v>
      </c>
      <c r="AP4" s="23" t="s">
        <v>35</v>
      </c>
      <c r="AR4" s="17" t="s">
        <v>413</v>
      </c>
      <c r="AS4" s="23" t="s">
        <v>414</v>
      </c>
      <c r="AU4" s="17" t="s">
        <v>428</v>
      </c>
      <c r="AV4" s="23" t="s">
        <v>457</v>
      </c>
      <c r="AX4" s="17" t="s">
        <v>495</v>
      </c>
      <c r="AY4" s="23" t="s">
        <v>496</v>
      </c>
      <c r="BA4" s="17" t="s">
        <v>532</v>
      </c>
      <c r="BB4" s="17" t="s">
        <v>14</v>
      </c>
      <c r="BC4" s="23" t="s">
        <v>533</v>
      </c>
      <c r="BD4" s="23" t="s">
        <v>533</v>
      </c>
      <c r="BF4" s="17" t="s">
        <v>689</v>
      </c>
      <c r="BG4" s="17" t="s">
        <v>690</v>
      </c>
      <c r="BH4" s="17" t="s">
        <v>4</v>
      </c>
      <c r="BJ4" s="17" t="s">
        <v>4</v>
      </c>
      <c r="BK4" s="17" t="s">
        <v>859</v>
      </c>
      <c r="BM4" s="17" t="s">
        <v>874</v>
      </c>
      <c r="BO4" s="17" t="s">
        <v>879</v>
      </c>
      <c r="BP4" s="17" t="s">
        <v>880</v>
      </c>
      <c r="BR4" s="17" t="s">
        <v>299</v>
      </c>
      <c r="BT4" s="17" t="s">
        <v>4</v>
      </c>
      <c r="BU4" s="17" t="s">
        <v>976</v>
      </c>
      <c r="BV4" s="17" t="s">
        <v>978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954</v>
      </c>
      <c r="AD5" s="10" t="s">
        <v>324</v>
      </c>
      <c r="AE5" s="20" t="s">
        <v>800</v>
      </c>
      <c r="AG5" s="20" t="s">
        <v>325</v>
      </c>
      <c r="AI5" s="10">
        <v>2</v>
      </c>
      <c r="AJ5" s="20" t="s">
        <v>374</v>
      </c>
      <c r="AL5" s="17" t="s">
        <v>398</v>
      </c>
      <c r="AM5" s="23" t="s">
        <v>399</v>
      </c>
      <c r="AO5" s="17" t="s">
        <v>36</v>
      </c>
      <c r="AP5" s="23" t="s">
        <v>37</v>
      </c>
      <c r="AR5" s="17" t="s">
        <v>415</v>
      </c>
      <c r="AS5" s="23" t="s">
        <v>416</v>
      </c>
      <c r="AU5" s="17" t="s">
        <v>429</v>
      </c>
      <c r="AV5" s="23" t="s">
        <v>458</v>
      </c>
      <c r="AX5" s="17" t="s">
        <v>497</v>
      </c>
      <c r="AY5" s="23" t="s">
        <v>498</v>
      </c>
      <c r="BA5" s="17" t="s">
        <v>534</v>
      </c>
      <c r="BB5" s="17" t="s">
        <v>564</v>
      </c>
      <c r="BC5" s="23" t="s">
        <v>535</v>
      </c>
      <c r="BD5" s="23" t="s">
        <v>536</v>
      </c>
      <c r="BF5" s="17" t="s">
        <v>691</v>
      </c>
      <c r="BG5" s="17" t="s">
        <v>692</v>
      </c>
      <c r="BH5" s="17" t="s">
        <v>4</v>
      </c>
      <c r="BJ5" s="17" t="s">
        <v>9</v>
      </c>
      <c r="BK5" s="17" t="s">
        <v>861</v>
      </c>
      <c r="BM5" s="17" t="s">
        <v>849</v>
      </c>
      <c r="BO5" s="17" t="s">
        <v>881</v>
      </c>
      <c r="BP5" s="17" t="s">
        <v>882</v>
      </c>
      <c r="BR5" s="17" t="s">
        <v>870</v>
      </c>
      <c r="BT5" s="17" t="s">
        <v>9</v>
      </c>
      <c r="BU5" s="17" t="s">
        <v>977</v>
      </c>
      <c r="BV5" s="17" t="s">
        <v>979</v>
      </c>
    </row>
    <row r="6" spans="1:75" x14ac:dyDescent="0.2">
      <c r="A6" s="53" t="s">
        <v>942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800</v>
      </c>
      <c r="AG6" s="20"/>
      <c r="AI6" s="10" t="s">
        <v>375</v>
      </c>
      <c r="AJ6" s="20" t="s">
        <v>376</v>
      </c>
      <c r="AL6" s="17" t="s">
        <v>400</v>
      </c>
      <c r="AM6" s="23" t="s">
        <v>401</v>
      </c>
      <c r="AO6" s="17" t="s">
        <v>38</v>
      </c>
      <c r="AP6" s="23" t="s">
        <v>39</v>
      </c>
      <c r="AR6" s="17" t="s">
        <v>8</v>
      </c>
      <c r="AS6" s="23" t="s">
        <v>417</v>
      </c>
      <c r="AU6" s="17" t="s">
        <v>430</v>
      </c>
      <c r="AV6" s="23" t="s">
        <v>459</v>
      </c>
      <c r="AX6" s="17" t="s">
        <v>278</v>
      </c>
      <c r="AY6" s="23" t="s">
        <v>501</v>
      </c>
      <c r="BA6" s="17" t="s">
        <v>537</v>
      </c>
      <c r="BB6" s="17" t="s">
        <v>565</v>
      </c>
      <c r="BC6" s="23"/>
      <c r="BD6" s="23"/>
      <c r="BF6" s="17" t="s">
        <v>693</v>
      </c>
      <c r="BG6" s="17" t="s">
        <v>694</v>
      </c>
      <c r="BH6" s="17" t="s">
        <v>4</v>
      </c>
      <c r="BJ6" s="17" t="s">
        <v>4</v>
      </c>
      <c r="BK6" s="17" t="s">
        <v>865</v>
      </c>
      <c r="BM6" s="17" t="s">
        <v>875</v>
      </c>
      <c r="BO6" s="17" t="s">
        <v>883</v>
      </c>
      <c r="BP6" s="17" t="s">
        <v>884</v>
      </c>
      <c r="BR6" s="17" t="s">
        <v>100</v>
      </c>
      <c r="BT6" s="17"/>
      <c r="BU6" s="17"/>
      <c r="BV6" s="17"/>
    </row>
    <row r="7" spans="1:75" x14ac:dyDescent="0.2">
      <c r="A7" s="54" t="s">
        <v>1025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801</v>
      </c>
      <c r="AE7" s="20" t="s">
        <v>802</v>
      </c>
      <c r="AG7" s="20"/>
      <c r="AI7" s="10" t="s">
        <v>377</v>
      </c>
      <c r="AJ7" s="20"/>
      <c r="AL7" s="17" t="s">
        <v>402</v>
      </c>
      <c r="AM7" s="23"/>
      <c r="AO7" s="17" t="s">
        <v>40</v>
      </c>
      <c r="AP7" s="23" t="s">
        <v>41</v>
      </c>
      <c r="AR7" s="17" t="s">
        <v>27</v>
      </c>
      <c r="AS7" s="23" t="s">
        <v>943</v>
      </c>
      <c r="AU7" s="17" t="s">
        <v>431</v>
      </c>
      <c r="AV7" s="23" t="s">
        <v>460</v>
      </c>
      <c r="AX7" s="17" t="s">
        <v>90</v>
      </c>
      <c r="AY7" s="23" t="s">
        <v>502</v>
      </c>
      <c r="BA7" s="17" t="s">
        <v>538</v>
      </c>
      <c r="BB7" s="17" t="s">
        <v>566</v>
      </c>
      <c r="BC7" s="23"/>
      <c r="BD7" s="23"/>
      <c r="BF7" s="17" t="s">
        <v>695</v>
      </c>
      <c r="BG7" s="17" t="s">
        <v>696</v>
      </c>
      <c r="BH7" s="17" t="s">
        <v>4</v>
      </c>
      <c r="BJ7" s="17" t="s">
        <v>9</v>
      </c>
      <c r="BK7" s="17" t="s">
        <v>866</v>
      </c>
      <c r="BM7" s="17" t="s">
        <v>876</v>
      </c>
      <c r="BO7" s="17" t="s">
        <v>885</v>
      </c>
      <c r="BP7" s="17" t="s">
        <v>886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803</v>
      </c>
      <c r="AE8" s="20" t="s">
        <v>800</v>
      </c>
      <c r="AG8" s="20"/>
      <c r="AI8" s="10" t="s">
        <v>378</v>
      </c>
      <c r="AJ8" s="20" t="s">
        <v>379</v>
      </c>
      <c r="AL8" s="17" t="s">
        <v>403</v>
      </c>
      <c r="AM8" s="23" t="s">
        <v>404</v>
      </c>
      <c r="AO8" s="17" t="s">
        <v>42</v>
      </c>
      <c r="AP8" s="23" t="s">
        <v>43</v>
      </c>
      <c r="AR8" s="17" t="s">
        <v>419</v>
      </c>
      <c r="AS8" s="23" t="s">
        <v>418</v>
      </c>
      <c r="AU8" s="17" t="s">
        <v>432</v>
      </c>
      <c r="AV8" s="23" t="s">
        <v>461</v>
      </c>
      <c r="AX8" s="17"/>
      <c r="AY8" s="23" t="s">
        <v>503</v>
      </c>
      <c r="BA8" s="17" t="s">
        <v>539</v>
      </c>
      <c r="BB8" s="17" t="s">
        <v>567</v>
      </c>
      <c r="BC8" s="23"/>
      <c r="BD8" s="23"/>
      <c r="BF8" s="17" t="s">
        <v>697</v>
      </c>
      <c r="BG8" s="17" t="s">
        <v>698</v>
      </c>
      <c r="BH8" s="17" t="s">
        <v>4</v>
      </c>
      <c r="BJ8" s="17" t="s">
        <v>4</v>
      </c>
      <c r="BK8" s="17" t="s">
        <v>972</v>
      </c>
      <c r="BM8" s="17" t="s">
        <v>877</v>
      </c>
      <c r="BO8" s="17" t="s">
        <v>887</v>
      </c>
      <c r="BP8" s="17" t="s">
        <v>888</v>
      </c>
      <c r="BR8" s="17"/>
      <c r="BT8"/>
      <c r="BU8"/>
      <c r="BV8"/>
    </row>
    <row r="9" spans="1:75" x14ac:dyDescent="0.2">
      <c r="A9" s="59" t="s">
        <v>955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804</v>
      </c>
      <c r="AE9" s="20" t="s">
        <v>800</v>
      </c>
      <c r="AI9" s="10" t="s">
        <v>380</v>
      </c>
      <c r="AJ9" s="20" t="s">
        <v>381</v>
      </c>
      <c r="AL9" s="17" t="s">
        <v>405</v>
      </c>
      <c r="AM9" s="23" t="s">
        <v>406</v>
      </c>
      <c r="AO9" s="17" t="s">
        <v>44</v>
      </c>
      <c r="AP9" s="23" t="s">
        <v>45</v>
      </c>
      <c r="AR9" s="17" t="s">
        <v>420</v>
      </c>
      <c r="AS9" s="23" t="s">
        <v>421</v>
      </c>
      <c r="AU9" s="17" t="s">
        <v>433</v>
      </c>
      <c r="AV9" s="23" t="s">
        <v>462</v>
      </c>
      <c r="BA9" s="17" t="s">
        <v>540</v>
      </c>
      <c r="BB9" s="17" t="s">
        <v>568</v>
      </c>
      <c r="BC9" s="23"/>
      <c r="BD9" s="23"/>
      <c r="BF9" s="17" t="s">
        <v>699</v>
      </c>
      <c r="BG9" s="17" t="s">
        <v>700</v>
      </c>
      <c r="BH9" s="17" t="s">
        <v>4</v>
      </c>
      <c r="BJ9" s="17" t="s">
        <v>9</v>
      </c>
      <c r="BK9" s="17" t="s">
        <v>973</v>
      </c>
      <c r="BM9" s="17" t="s">
        <v>878</v>
      </c>
      <c r="BO9" s="17" t="s">
        <v>889</v>
      </c>
      <c r="BP9" s="17" t="s">
        <v>890</v>
      </c>
      <c r="BR9" s="17"/>
      <c r="BT9"/>
      <c r="BU9"/>
      <c r="BV9"/>
    </row>
    <row r="10" spans="1:75" x14ac:dyDescent="0.2">
      <c r="A10" s="55" t="s">
        <v>959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805</v>
      </c>
      <c r="AE10" s="20" t="s">
        <v>800</v>
      </c>
      <c r="AI10" s="10" t="s">
        <v>371</v>
      </c>
      <c r="AJ10" s="20" t="s">
        <v>381</v>
      </c>
      <c r="AL10" s="17" t="s">
        <v>407</v>
      </c>
      <c r="AM10" s="23" t="s">
        <v>408</v>
      </c>
      <c r="AO10" s="17" t="s">
        <v>46</v>
      </c>
      <c r="AP10" s="23" t="s">
        <v>47</v>
      </c>
      <c r="AR10" s="17" t="s">
        <v>422</v>
      </c>
      <c r="AS10" s="23" t="s">
        <v>423</v>
      </c>
      <c r="AU10" s="17" t="s">
        <v>38</v>
      </c>
      <c r="AV10" s="23" t="s">
        <v>463</v>
      </c>
      <c r="BA10" s="17" t="s">
        <v>541</v>
      </c>
      <c r="BB10" s="17" t="s">
        <v>569</v>
      </c>
      <c r="BC10" s="23"/>
      <c r="BD10" s="23"/>
      <c r="BF10" s="17" t="s">
        <v>701</v>
      </c>
      <c r="BG10" s="17" t="s">
        <v>702</v>
      </c>
      <c r="BH10" s="17" t="s">
        <v>4</v>
      </c>
      <c r="BJ10"/>
      <c r="BK10"/>
      <c r="BM10"/>
      <c r="BO10" s="17" t="s">
        <v>891</v>
      </c>
      <c r="BP10" s="17" t="s">
        <v>892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382</v>
      </c>
      <c r="AJ11" s="20" t="s">
        <v>381</v>
      </c>
      <c r="AO11" s="17" t="s">
        <v>48</v>
      </c>
      <c r="AP11" s="23" t="s">
        <v>49</v>
      </c>
      <c r="AR11" s="17" t="s">
        <v>424</v>
      </c>
      <c r="AS11" s="23" t="s">
        <v>425</v>
      </c>
      <c r="AU11" s="17" t="s">
        <v>40</v>
      </c>
      <c r="AV11" s="23" t="s">
        <v>464</v>
      </c>
      <c r="BA11" s="17" t="s">
        <v>542</v>
      </c>
      <c r="BB11" s="17" t="s">
        <v>570</v>
      </c>
      <c r="BC11" s="23"/>
      <c r="BD11" s="23"/>
      <c r="BF11" s="17" t="s">
        <v>703</v>
      </c>
      <c r="BG11" s="17" t="s">
        <v>704</v>
      </c>
      <c r="BH11" s="17" t="s">
        <v>4</v>
      </c>
      <c r="BJ11"/>
      <c r="BK11"/>
      <c r="BM11"/>
      <c r="BO11" s="17" t="s">
        <v>893</v>
      </c>
      <c r="BP11" s="17" t="s">
        <v>894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465</v>
      </c>
      <c r="BA12" s="17" t="s">
        <v>543</v>
      </c>
      <c r="BB12" s="17" t="s">
        <v>571</v>
      </c>
      <c r="BC12" s="23"/>
      <c r="BD12" s="23"/>
      <c r="BF12" s="17" t="s">
        <v>705</v>
      </c>
      <c r="BG12" s="17" t="s">
        <v>706</v>
      </c>
      <c r="BH12" s="17" t="s">
        <v>4</v>
      </c>
      <c r="BJ12"/>
      <c r="BK12"/>
      <c r="BM12"/>
      <c r="BO12" s="17" t="s">
        <v>895</v>
      </c>
      <c r="BP12" s="17" t="s">
        <v>896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434</v>
      </c>
      <c r="AV13" s="23" t="s">
        <v>466</v>
      </c>
      <c r="BA13" s="17" t="s">
        <v>544</v>
      </c>
      <c r="BB13" s="17" t="s">
        <v>572</v>
      </c>
      <c r="BC13" s="23"/>
      <c r="BD13" s="23"/>
      <c r="BF13" s="17" t="s">
        <v>707</v>
      </c>
      <c r="BG13" s="17" t="s">
        <v>708</v>
      </c>
      <c r="BH13" s="17" t="s">
        <v>4</v>
      </c>
      <c r="BJ13"/>
      <c r="BK13"/>
      <c r="BM13"/>
      <c r="BO13" s="17" t="s">
        <v>897</v>
      </c>
      <c r="BP13" s="17" t="s">
        <v>898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435</v>
      </c>
      <c r="AV14" s="23" t="s">
        <v>467</v>
      </c>
      <c r="BA14" s="17" t="s">
        <v>545</v>
      </c>
      <c r="BB14" s="17" t="s">
        <v>573</v>
      </c>
      <c r="BC14" s="23"/>
      <c r="BD14" s="23"/>
      <c r="BF14" s="17" t="s">
        <v>709</v>
      </c>
      <c r="BG14" s="17" t="s">
        <v>710</v>
      </c>
      <c r="BH14" s="17" t="s">
        <v>4</v>
      </c>
      <c r="BJ14"/>
      <c r="BK14"/>
      <c r="BM14"/>
      <c r="BO14" s="17" t="s">
        <v>899</v>
      </c>
      <c r="BP14" s="17" t="s">
        <v>900</v>
      </c>
      <c r="BR14"/>
      <c r="BT14"/>
      <c r="BU14"/>
      <c r="BV14"/>
    </row>
    <row r="15" spans="1:75" x14ac:dyDescent="0.2">
      <c r="A15" s="35" t="s">
        <v>681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436</v>
      </c>
      <c r="AV15" s="23" t="s">
        <v>468</v>
      </c>
      <c r="BA15" s="17" t="s">
        <v>546</v>
      </c>
      <c r="BB15" s="17" t="s">
        <v>574</v>
      </c>
      <c r="BC15" s="23"/>
      <c r="BD15" s="23"/>
      <c r="BF15" s="17" t="s">
        <v>711</v>
      </c>
      <c r="BG15" s="17" t="s">
        <v>712</v>
      </c>
      <c r="BH15" s="17" t="s">
        <v>4</v>
      </c>
      <c r="BJ15"/>
      <c r="BK15"/>
      <c r="BM15"/>
      <c r="BO15" s="17" t="s">
        <v>871</v>
      </c>
      <c r="BP15" s="17" t="s">
        <v>901</v>
      </c>
      <c r="BR15"/>
      <c r="BT15"/>
      <c r="BU15"/>
      <c r="BV15"/>
    </row>
    <row r="16" spans="1:75" x14ac:dyDescent="0.2">
      <c r="A16" s="28" t="s">
        <v>683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437</v>
      </c>
      <c r="AV16" s="23" t="s">
        <v>469</v>
      </c>
      <c r="BA16" s="17" t="s">
        <v>547</v>
      </c>
      <c r="BB16" s="17" t="s">
        <v>15</v>
      </c>
      <c r="BC16" s="23"/>
      <c r="BD16" s="23"/>
      <c r="BF16" s="17" t="s">
        <v>713</v>
      </c>
      <c r="BG16" s="17" t="s">
        <v>714</v>
      </c>
      <c r="BH16" s="17" t="s">
        <v>4</v>
      </c>
      <c r="BJ16"/>
      <c r="BK16"/>
      <c r="BM16"/>
      <c r="BO16" s="17" t="s">
        <v>902</v>
      </c>
      <c r="BP16" s="17" t="s">
        <v>903</v>
      </c>
      <c r="BR16"/>
      <c r="BT16"/>
      <c r="BU16"/>
      <c r="BV16"/>
    </row>
    <row r="17" spans="1:74" x14ac:dyDescent="0.2">
      <c r="A17" s="26" t="s">
        <v>682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438</v>
      </c>
      <c r="AV17" s="23" t="s">
        <v>470</v>
      </c>
      <c r="BA17" s="17" t="s">
        <v>548</v>
      </c>
      <c r="BB17" s="17" t="s">
        <v>575</v>
      </c>
      <c r="BC17" s="23"/>
      <c r="BD17" s="23"/>
      <c r="BF17" s="17" t="s">
        <v>715</v>
      </c>
      <c r="BG17" s="17" t="s">
        <v>716</v>
      </c>
      <c r="BH17" s="17" t="s">
        <v>4</v>
      </c>
      <c r="BJ17"/>
      <c r="BK17"/>
      <c r="BM17"/>
      <c r="BO17" s="17" t="s">
        <v>904</v>
      </c>
      <c r="BP17" s="17" t="s">
        <v>905</v>
      </c>
      <c r="BR17"/>
      <c r="BT17"/>
      <c r="BU17"/>
      <c r="BV17"/>
    </row>
    <row r="18" spans="1:74" x14ac:dyDescent="0.2">
      <c r="A18" s="56" t="s">
        <v>688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439</v>
      </c>
      <c r="AV18" s="23" t="s">
        <v>471</v>
      </c>
      <c r="BA18" s="17" t="s">
        <v>549</v>
      </c>
      <c r="BB18" s="17" t="s">
        <v>576</v>
      </c>
      <c r="BC18" s="23"/>
      <c r="BD18" s="23"/>
      <c r="BF18" s="17" t="s">
        <v>717</v>
      </c>
      <c r="BG18" s="17" t="s">
        <v>718</v>
      </c>
      <c r="BH18" s="17" t="s">
        <v>4</v>
      </c>
      <c r="BJ18"/>
      <c r="BK18"/>
      <c r="BM18"/>
      <c r="BO18" s="17" t="s">
        <v>906</v>
      </c>
      <c r="BP18" s="17" t="s">
        <v>907</v>
      </c>
      <c r="BR18"/>
      <c r="BT18"/>
      <c r="BU18"/>
      <c r="BV18"/>
    </row>
    <row r="19" spans="1:74" x14ac:dyDescent="0.2">
      <c r="A19" s="32" t="s">
        <v>687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440</v>
      </c>
      <c r="AV19" s="23" t="s">
        <v>472</v>
      </c>
      <c r="BA19" s="17" t="s">
        <v>550</v>
      </c>
      <c r="BB19" s="17" t="s">
        <v>577</v>
      </c>
      <c r="BC19" s="23"/>
      <c r="BD19" s="23"/>
      <c r="BF19" s="17" t="s">
        <v>720</v>
      </c>
      <c r="BG19" s="17" t="s">
        <v>721</v>
      </c>
      <c r="BH19" s="17" t="s">
        <v>9</v>
      </c>
      <c r="BJ19"/>
      <c r="BK19"/>
      <c r="BM19"/>
      <c r="BO19" s="17" t="s">
        <v>908</v>
      </c>
      <c r="BP19" s="17" t="s">
        <v>909</v>
      </c>
      <c r="BR19"/>
      <c r="BT19"/>
      <c r="BU19"/>
      <c r="BV19"/>
    </row>
    <row r="20" spans="1:74" x14ac:dyDescent="0.2">
      <c r="A20" s="30" t="s">
        <v>686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441</v>
      </c>
      <c r="AV20" s="23" t="s">
        <v>473</v>
      </c>
      <c r="BA20" s="17" t="s">
        <v>551</v>
      </c>
      <c r="BB20" s="17" t="s">
        <v>578</v>
      </c>
      <c r="BC20" s="23"/>
      <c r="BD20" s="23"/>
      <c r="BF20" s="17" t="s">
        <v>722</v>
      </c>
      <c r="BG20" s="17" t="s">
        <v>723</v>
      </c>
      <c r="BH20" s="17" t="s">
        <v>9</v>
      </c>
      <c r="BJ20"/>
      <c r="BK20"/>
      <c r="BM20"/>
      <c r="BO20" s="17" t="s">
        <v>910</v>
      </c>
      <c r="BP20" s="17" t="s">
        <v>911</v>
      </c>
      <c r="BR20"/>
      <c r="BT20"/>
      <c r="BU20"/>
      <c r="BV20"/>
    </row>
    <row r="21" spans="1:74" x14ac:dyDescent="0.2">
      <c r="A21" s="31" t="s">
        <v>684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442</v>
      </c>
      <c r="AV21" s="23" t="s">
        <v>474</v>
      </c>
      <c r="BA21" s="17" t="s">
        <v>552</v>
      </c>
      <c r="BB21" s="17" t="s">
        <v>579</v>
      </c>
      <c r="BC21" s="23"/>
      <c r="BD21" s="23"/>
      <c r="BF21" s="17" t="s">
        <v>724</v>
      </c>
      <c r="BG21" s="17" t="s">
        <v>725</v>
      </c>
      <c r="BH21" s="17" t="s">
        <v>9</v>
      </c>
      <c r="BJ21"/>
      <c r="BK21"/>
      <c r="BM21"/>
      <c r="BO21" s="17" t="s">
        <v>912</v>
      </c>
      <c r="BP21" s="17" t="s">
        <v>913</v>
      </c>
      <c r="BR21"/>
      <c r="BT21"/>
      <c r="BU21"/>
      <c r="BV21"/>
    </row>
    <row r="22" spans="1:74" x14ac:dyDescent="0.2">
      <c r="A22" s="6" t="s">
        <v>685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443</v>
      </c>
      <c r="AV22" s="23" t="s">
        <v>475</v>
      </c>
      <c r="BA22" s="17" t="s">
        <v>553</v>
      </c>
      <c r="BB22" s="17" t="s">
        <v>580</v>
      </c>
      <c r="BC22" s="23"/>
      <c r="BD22" s="23"/>
      <c r="BF22" s="17" t="s">
        <v>726</v>
      </c>
      <c r="BG22" s="17" t="s">
        <v>727</v>
      </c>
      <c r="BH22" s="17" t="s">
        <v>9</v>
      </c>
      <c r="BJ22"/>
      <c r="BK22"/>
      <c r="BM22"/>
      <c r="BO22" s="17" t="s">
        <v>914</v>
      </c>
      <c r="BP22" s="17" t="s">
        <v>915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444</v>
      </c>
      <c r="AV23" s="23" t="s">
        <v>476</v>
      </c>
      <c r="BA23" s="17" t="s">
        <v>554</v>
      </c>
      <c r="BB23" s="17" t="s">
        <v>581</v>
      </c>
      <c r="BC23" s="23"/>
      <c r="BD23" s="23"/>
      <c r="BF23" s="17" t="s">
        <v>728</v>
      </c>
      <c r="BG23" s="17" t="s">
        <v>729</v>
      </c>
      <c r="BH23" s="17" t="s">
        <v>9</v>
      </c>
      <c r="BJ23"/>
      <c r="BK23"/>
      <c r="BM23"/>
      <c r="BO23" s="17" t="s">
        <v>916</v>
      </c>
      <c r="BP23" s="17" t="s">
        <v>917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445</v>
      </c>
      <c r="AV24" s="23" t="s">
        <v>477</v>
      </c>
      <c r="BA24" s="17" t="s">
        <v>555</v>
      </c>
      <c r="BB24" s="17" t="s">
        <v>582</v>
      </c>
      <c r="BC24" s="23"/>
      <c r="BD24" s="23"/>
      <c r="BF24" s="17" t="s">
        <v>730</v>
      </c>
      <c r="BG24" s="17" t="s">
        <v>731</v>
      </c>
      <c r="BH24" s="17" t="s">
        <v>9</v>
      </c>
      <c r="BJ24"/>
      <c r="BK24"/>
      <c r="BM24"/>
      <c r="BO24" s="17" t="s">
        <v>918</v>
      </c>
      <c r="BP24" s="17" t="s">
        <v>919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446</v>
      </c>
      <c r="AV25" s="23" t="s">
        <v>478</v>
      </c>
      <c r="BA25" s="17" t="s">
        <v>556</v>
      </c>
      <c r="BB25" s="17" t="s">
        <v>583</v>
      </c>
      <c r="BC25" s="23"/>
      <c r="BD25" s="23"/>
      <c r="BF25" s="17" t="s">
        <v>732</v>
      </c>
      <c r="BG25" s="17" t="s">
        <v>733</v>
      </c>
      <c r="BH25" s="17" t="s">
        <v>9</v>
      </c>
      <c r="BJ25"/>
      <c r="BK25"/>
      <c r="BM25"/>
      <c r="BO25" s="17" t="s">
        <v>920</v>
      </c>
      <c r="BP25" s="17" t="s">
        <v>921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447</v>
      </c>
      <c r="AV26" s="23" t="s">
        <v>479</v>
      </c>
      <c r="BA26" s="17" t="s">
        <v>557</v>
      </c>
      <c r="BB26" s="17" t="s">
        <v>16</v>
      </c>
      <c r="BC26" s="23"/>
      <c r="BD26" s="23"/>
      <c r="BF26" s="17" t="s">
        <v>734</v>
      </c>
      <c r="BG26" s="17" t="s">
        <v>735</v>
      </c>
      <c r="BH26" s="17" t="s">
        <v>9</v>
      </c>
      <c r="BJ26"/>
      <c r="BK26"/>
      <c r="BM26"/>
      <c r="BO26" s="17" t="s">
        <v>869</v>
      </c>
      <c r="BP26" s="17" t="s">
        <v>922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448</v>
      </c>
      <c r="AV27" s="23" t="s">
        <v>480</v>
      </c>
      <c r="BA27" s="17" t="s">
        <v>558</v>
      </c>
      <c r="BB27" s="17" t="s">
        <v>584</v>
      </c>
      <c r="BC27" s="23"/>
      <c r="BD27" s="23"/>
      <c r="BF27" s="17" t="s">
        <v>736</v>
      </c>
      <c r="BG27" s="17" t="s">
        <v>737</v>
      </c>
      <c r="BH27" s="17" t="s">
        <v>9</v>
      </c>
      <c r="BJ27"/>
      <c r="BK27"/>
      <c r="BM27"/>
      <c r="BO27" s="17" t="s">
        <v>923</v>
      </c>
      <c r="BP27" s="17" t="s">
        <v>924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449</v>
      </c>
      <c r="AV28" s="23" t="s">
        <v>481</v>
      </c>
      <c r="BA28" s="17" t="s">
        <v>559</v>
      </c>
      <c r="BB28" s="17" t="s">
        <v>585</v>
      </c>
      <c r="BC28" s="23"/>
      <c r="BD28" s="23"/>
      <c r="BF28" s="17" t="s">
        <v>738</v>
      </c>
      <c r="BG28" s="17" t="s">
        <v>739</v>
      </c>
      <c r="BH28" s="17" t="s">
        <v>9</v>
      </c>
      <c r="BJ28"/>
      <c r="BK28"/>
      <c r="BM28"/>
      <c r="BO28" s="17" t="s">
        <v>925</v>
      </c>
      <c r="BP28" s="17" t="s">
        <v>926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450</v>
      </c>
      <c r="AV29" s="23" t="s">
        <v>482</v>
      </c>
      <c r="BA29" s="17" t="s">
        <v>560</v>
      </c>
      <c r="BB29" s="17" t="s">
        <v>586</v>
      </c>
      <c r="BC29" s="23"/>
      <c r="BD29" s="23"/>
      <c r="BF29" s="17" t="s">
        <v>740</v>
      </c>
      <c r="BG29" s="17" t="s">
        <v>741</v>
      </c>
      <c r="BH29" s="17" t="s">
        <v>9</v>
      </c>
      <c r="BJ29"/>
      <c r="BK29"/>
      <c r="BM29"/>
      <c r="BO29" s="17" t="s">
        <v>927</v>
      </c>
      <c r="BP29" s="17" t="s">
        <v>928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451</v>
      </c>
      <c r="AV30" s="23" t="s">
        <v>483</v>
      </c>
      <c r="BA30" s="17" t="s">
        <v>561</v>
      </c>
      <c r="BB30" s="17" t="s">
        <v>587</v>
      </c>
      <c r="BC30" s="23"/>
      <c r="BD30" s="23"/>
      <c r="BF30" s="17" t="s">
        <v>742</v>
      </c>
      <c r="BG30" s="17" t="s">
        <v>743</v>
      </c>
      <c r="BH30" s="17" t="s">
        <v>9</v>
      </c>
      <c r="BJ30"/>
      <c r="BK30"/>
      <c r="BM30"/>
      <c r="BO30" s="17" t="s">
        <v>929</v>
      </c>
      <c r="BP30" s="17" t="s">
        <v>930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452</v>
      </c>
      <c r="AV31" s="23" t="s">
        <v>484</v>
      </c>
      <c r="BA31" s="17" t="s">
        <v>562</v>
      </c>
      <c r="BB31" s="17" t="s">
        <v>17</v>
      </c>
      <c r="BC31" s="23"/>
      <c r="BD31" s="23"/>
      <c r="BF31" s="17" t="s">
        <v>744</v>
      </c>
      <c r="BG31" s="17" t="s">
        <v>745</v>
      </c>
      <c r="BH31" s="17" t="s">
        <v>9</v>
      </c>
      <c r="BJ31"/>
      <c r="BK31"/>
      <c r="BM31"/>
      <c r="BO31" s="17" t="s">
        <v>931</v>
      </c>
      <c r="BP31" s="17" t="s">
        <v>932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453</v>
      </c>
      <c r="AV32" s="23" t="s">
        <v>485</v>
      </c>
      <c r="BA32" s="17" t="s">
        <v>563</v>
      </c>
      <c r="BB32" s="17" t="s">
        <v>588</v>
      </c>
      <c r="BC32" s="23"/>
      <c r="BD32" s="23"/>
      <c r="BF32" s="17" t="s">
        <v>746</v>
      </c>
      <c r="BG32" s="17" t="s">
        <v>747</v>
      </c>
      <c r="BH32" s="17" t="s">
        <v>9</v>
      </c>
      <c r="BJ32"/>
      <c r="BK32"/>
      <c r="BM32"/>
      <c r="BO32" s="17" t="s">
        <v>933</v>
      </c>
      <c r="BP32" s="17" t="s">
        <v>934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454</v>
      </c>
      <c r="AV33" s="23" t="s">
        <v>486</v>
      </c>
      <c r="BA33" s="17"/>
      <c r="BB33" s="17" t="s">
        <v>589</v>
      </c>
      <c r="BC33" s="23"/>
      <c r="BD33" s="23"/>
      <c r="BF33" s="17" t="s">
        <v>748</v>
      </c>
      <c r="BG33" s="17" t="s">
        <v>749</v>
      </c>
      <c r="BH33" s="17" t="s">
        <v>9</v>
      </c>
      <c r="BJ33"/>
      <c r="BK33"/>
      <c r="BM33"/>
      <c r="BO33" s="17" t="s">
        <v>935</v>
      </c>
      <c r="BP33" s="17" t="s">
        <v>936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455</v>
      </c>
      <c r="AV34" s="23" t="s">
        <v>487</v>
      </c>
      <c r="BA34" s="17"/>
      <c r="BB34" s="17" t="s">
        <v>590</v>
      </c>
      <c r="BC34" s="23"/>
      <c r="BD34" s="23"/>
      <c r="BF34" s="17" t="s">
        <v>750</v>
      </c>
      <c r="BG34" s="17" t="s">
        <v>751</v>
      </c>
      <c r="BH34" s="17" t="s">
        <v>9</v>
      </c>
      <c r="BJ34"/>
      <c r="BK34"/>
      <c r="BM34"/>
      <c r="BO34" s="17" t="s">
        <v>937</v>
      </c>
      <c r="BP34" s="17" t="s">
        <v>938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456</v>
      </c>
      <c r="AV35" s="23" t="s">
        <v>488</v>
      </c>
      <c r="BA35" s="17"/>
      <c r="BB35" s="17" t="s">
        <v>591</v>
      </c>
      <c r="BC35" s="23"/>
      <c r="BD35" s="23"/>
      <c r="BF35" s="17" t="s">
        <v>752</v>
      </c>
      <c r="BG35" s="17" t="s">
        <v>753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592</v>
      </c>
      <c r="BC36" s="23"/>
      <c r="BD36" s="23"/>
      <c r="BF36" s="17" t="s">
        <v>754</v>
      </c>
      <c r="BG36" s="17" t="s">
        <v>755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593</v>
      </c>
      <c r="BC37" s="23"/>
      <c r="BD37" s="23"/>
      <c r="BF37" s="17" t="s">
        <v>756</v>
      </c>
      <c r="BG37" s="17" t="s">
        <v>757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594</v>
      </c>
      <c r="BC38" s="23"/>
      <c r="BD38" s="23"/>
      <c r="BF38" s="17" t="s">
        <v>758</v>
      </c>
      <c r="BG38" s="17" t="s">
        <v>759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595</v>
      </c>
      <c r="BC39" s="23"/>
      <c r="BD39" s="23"/>
      <c r="BF39" s="17" t="s">
        <v>717</v>
      </c>
      <c r="BG39" s="17" t="s">
        <v>718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596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597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598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599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600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601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602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603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604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605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606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607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608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609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610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611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612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613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614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615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616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617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618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619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620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621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622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623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624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625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626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627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628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629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630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631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632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633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634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635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636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637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638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9E0609-A860-4913-A123-21219EA489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MM01</vt:lpstr>
      <vt:lpstr>CS40</vt:lpstr>
      <vt:lpstr>CA02</vt:lpstr>
      <vt:lpstr>MM02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Copra Software</cp:lastModifiedBy>
  <dcterms:created xsi:type="dcterms:W3CDTF">2018-08-12T16:17:40Z</dcterms:created>
  <dcterms:modified xsi:type="dcterms:W3CDTF">2022-04-27T18:23:30Z</dcterms:modified>
</cp:coreProperties>
</file>