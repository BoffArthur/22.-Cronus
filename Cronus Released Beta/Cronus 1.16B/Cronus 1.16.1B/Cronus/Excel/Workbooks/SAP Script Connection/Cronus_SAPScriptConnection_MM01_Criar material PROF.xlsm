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349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Consulta!$A$1:$CB$25</definedName>
  </definedNames>
  <calcPr calcId="162913"/>
</workbook>
</file>

<file path=xl/calcChain.xml><?xml version="1.0" encoding="utf-8"?>
<calcChain xmlns="http://schemas.openxmlformats.org/spreadsheetml/2006/main">
  <c r="CB26" i="7" l="1"/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BR154" i="6" s="1"/>
  <c r="AP154" i="6"/>
  <c r="J154" i="6"/>
  <c r="H154" i="6"/>
  <c r="CI154" i="6" s="1"/>
  <c r="G154" i="6"/>
  <c r="CR154" i="6" s="1"/>
  <c r="E154" i="6"/>
  <c r="DB154" i="6" s="1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BR153" i="6" s="1"/>
  <c r="AP153" i="6"/>
  <c r="J153" i="6"/>
  <c r="H153" i="6"/>
  <c r="CI153" i="6" s="1"/>
  <c r="G153" i="6"/>
  <c r="CR153" i="6" s="1"/>
  <c r="E153" i="6"/>
  <c r="DB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BR152" i="6" s="1"/>
  <c r="AP152" i="6"/>
  <c r="J152" i="6"/>
  <c r="H152" i="6"/>
  <c r="CI152" i="6" s="1"/>
  <c r="G152" i="6"/>
  <c r="CR152" i="6" s="1"/>
  <c r="E152" i="6"/>
  <c r="DB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BR151" i="6" s="1"/>
  <c r="AP151" i="6"/>
  <c r="J151" i="6"/>
  <c r="H151" i="6"/>
  <c r="CI151" i="6" s="1"/>
  <c r="G151" i="6"/>
  <c r="CR151" i="6" s="1"/>
  <c r="E151" i="6"/>
  <c r="DB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BR150" i="6" s="1"/>
  <c r="AP150" i="6"/>
  <c r="J150" i="6"/>
  <c r="H150" i="6"/>
  <c r="CI150" i="6" s="1"/>
  <c r="G150" i="6"/>
  <c r="CC150" i="6" s="1"/>
  <c r="E150" i="6"/>
  <c r="DB150" i="6" s="1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BR149" i="6" s="1"/>
  <c r="AP149" i="6"/>
  <c r="J149" i="6"/>
  <c r="H149" i="6"/>
  <c r="CI149" i="6" s="1"/>
  <c r="G149" i="6"/>
  <c r="CC149" i="6" s="1"/>
  <c r="E149" i="6"/>
  <c r="DB149" i="6" s="1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BR148" i="6" s="1"/>
  <c r="AP148" i="6"/>
  <c r="J148" i="6"/>
  <c r="H148" i="6"/>
  <c r="CJ148" i="6" s="1"/>
  <c r="G148" i="6"/>
  <c r="CC148" i="6" s="1"/>
  <c r="E148" i="6"/>
  <c r="DB148" i="6" s="1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BR147" i="6" s="1"/>
  <c r="AP147" i="6"/>
  <c r="J147" i="6"/>
  <c r="H147" i="6"/>
  <c r="CJ147" i="6" s="1"/>
  <c r="G147" i="6"/>
  <c r="CC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BR146" i="6" s="1"/>
  <c r="AP146" i="6"/>
  <c r="J146" i="6"/>
  <c r="H146" i="6"/>
  <c r="CJ146" i="6" s="1"/>
  <c r="G146" i="6"/>
  <c r="CC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BR145" i="6" s="1"/>
  <c r="AP145" i="6"/>
  <c r="J145" i="6"/>
  <c r="H145" i="6"/>
  <c r="CJ145" i="6" s="1"/>
  <c r="G145" i="6"/>
  <c r="CC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BR144" i="6" s="1"/>
  <c r="AP144" i="6"/>
  <c r="J144" i="6"/>
  <c r="H144" i="6"/>
  <c r="CJ144" i="6" s="1"/>
  <c r="G144" i="6"/>
  <c r="CC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BR143" i="6" s="1"/>
  <c r="AP143" i="6"/>
  <c r="J143" i="6"/>
  <c r="H143" i="6"/>
  <c r="CJ143" i="6" s="1"/>
  <c r="G143" i="6"/>
  <c r="CC143" i="6" s="1"/>
  <c r="E143" i="6"/>
  <c r="DB143" i="6" s="1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BR142" i="6" s="1"/>
  <c r="AP142" i="6"/>
  <c r="J142" i="6"/>
  <c r="H142" i="6"/>
  <c r="CJ142" i="6" s="1"/>
  <c r="G142" i="6"/>
  <c r="CC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BR141" i="6" s="1"/>
  <c r="AP141" i="6"/>
  <c r="J141" i="6"/>
  <c r="H141" i="6"/>
  <c r="CJ141" i="6" s="1"/>
  <c r="G141" i="6"/>
  <c r="CC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BR140" i="6" s="1"/>
  <c r="AP140" i="6"/>
  <c r="J140" i="6"/>
  <c r="H140" i="6"/>
  <c r="CJ140" i="6" s="1"/>
  <c r="G140" i="6"/>
  <c r="CC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BR139" i="6" s="1"/>
  <c r="AP139" i="6"/>
  <c r="J139" i="6"/>
  <c r="H139" i="6"/>
  <c r="CJ139" i="6" s="1"/>
  <c r="G139" i="6"/>
  <c r="CC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BR138" i="6" s="1"/>
  <c r="AP138" i="6"/>
  <c r="J138" i="6"/>
  <c r="H138" i="6"/>
  <c r="CJ138" i="6" s="1"/>
  <c r="G138" i="6"/>
  <c r="CC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BR137" i="6" s="1"/>
  <c r="AP137" i="6"/>
  <c r="J137" i="6"/>
  <c r="H137" i="6"/>
  <c r="CJ137" i="6" s="1"/>
  <c r="G137" i="6"/>
  <c r="CC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BR136" i="6" s="1"/>
  <c r="AP136" i="6"/>
  <c r="J136" i="6"/>
  <c r="H136" i="6"/>
  <c r="CJ136" i="6" s="1"/>
  <c r="G136" i="6"/>
  <c r="CC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BR135" i="6" s="1"/>
  <c r="AP135" i="6"/>
  <c r="J135" i="6"/>
  <c r="H135" i="6"/>
  <c r="CJ135" i="6" s="1"/>
  <c r="G135" i="6"/>
  <c r="CC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BR134" i="6" s="1"/>
  <c r="AP134" i="6"/>
  <c r="J134" i="6"/>
  <c r="H134" i="6"/>
  <c r="CJ134" i="6" s="1"/>
  <c r="G134" i="6"/>
  <c r="I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BR133" i="6" s="1"/>
  <c r="AP133" i="6"/>
  <c r="J133" i="6"/>
  <c r="H133" i="6"/>
  <c r="CJ133" i="6" s="1"/>
  <c r="G133" i="6"/>
  <c r="I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BR132" i="6" s="1"/>
  <c r="AP132" i="6"/>
  <c r="J132" i="6"/>
  <c r="H132" i="6"/>
  <c r="CJ132" i="6" s="1"/>
  <c r="G132" i="6"/>
  <c r="I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BR131" i="6" s="1"/>
  <c r="AP131" i="6"/>
  <c r="J131" i="6"/>
  <c r="H131" i="6"/>
  <c r="CJ131" i="6" s="1"/>
  <c r="G131" i="6"/>
  <c r="I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BR130" i="6" s="1"/>
  <c r="AP130" i="6"/>
  <c r="J130" i="6"/>
  <c r="H130" i="6"/>
  <c r="CJ130" i="6" s="1"/>
  <c r="G130" i="6"/>
  <c r="I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BR129" i="6" s="1"/>
  <c r="AP129" i="6"/>
  <c r="J129" i="6"/>
  <c r="H129" i="6"/>
  <c r="CJ129" i="6" s="1"/>
  <c r="G129" i="6"/>
  <c r="I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BR128" i="6" s="1"/>
  <c r="AP128" i="6"/>
  <c r="J128" i="6"/>
  <c r="H128" i="6"/>
  <c r="CJ128" i="6" s="1"/>
  <c r="G128" i="6"/>
  <c r="I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BR127" i="6" s="1"/>
  <c r="AP127" i="6"/>
  <c r="J127" i="6"/>
  <c r="H127" i="6"/>
  <c r="CJ127" i="6" s="1"/>
  <c r="G127" i="6"/>
  <c r="I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BR126" i="6" s="1"/>
  <c r="AP126" i="6"/>
  <c r="J126" i="6"/>
  <c r="H126" i="6"/>
  <c r="CJ126" i="6" s="1"/>
  <c r="G126" i="6"/>
  <c r="I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BR125" i="6" s="1"/>
  <c r="AP125" i="6"/>
  <c r="J125" i="6"/>
  <c r="H125" i="6"/>
  <c r="CJ125" i="6" s="1"/>
  <c r="G125" i="6"/>
  <c r="I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BR124" i="6" s="1"/>
  <c r="AP124" i="6"/>
  <c r="J124" i="6"/>
  <c r="H124" i="6"/>
  <c r="CJ124" i="6" s="1"/>
  <c r="G124" i="6"/>
  <c r="CC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BR123" i="6" s="1"/>
  <c r="AP123" i="6"/>
  <c r="J123" i="6"/>
  <c r="H123" i="6"/>
  <c r="CI123" i="6" s="1"/>
  <c r="G123" i="6"/>
  <c r="CC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BR122" i="6" s="1"/>
  <c r="AP122" i="6"/>
  <c r="J122" i="6"/>
  <c r="H122" i="6"/>
  <c r="CI122" i="6" s="1"/>
  <c r="G122" i="6"/>
  <c r="CC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BR121" i="6" s="1"/>
  <c r="AP121" i="6"/>
  <c r="J121" i="6"/>
  <c r="H121" i="6"/>
  <c r="CI121" i="6" s="1"/>
  <c r="G121" i="6"/>
  <c r="CC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BR120" i="6" s="1"/>
  <c r="AP120" i="6"/>
  <c r="J120" i="6"/>
  <c r="H120" i="6"/>
  <c r="CI120" i="6" s="1"/>
  <c r="G120" i="6"/>
  <c r="CC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BR119" i="6" s="1"/>
  <c r="AP119" i="6"/>
  <c r="J119" i="6"/>
  <c r="H119" i="6"/>
  <c r="CI119" i="6" s="1"/>
  <c r="G119" i="6"/>
  <c r="CC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BR118" i="6" s="1"/>
  <c r="AP118" i="6"/>
  <c r="J118" i="6"/>
  <c r="H118" i="6"/>
  <c r="CI118" i="6" s="1"/>
  <c r="G118" i="6"/>
  <c r="CC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BR117" i="6" s="1"/>
  <c r="AP117" i="6"/>
  <c r="J117" i="6"/>
  <c r="H117" i="6"/>
  <c r="CJ117" i="6" s="1"/>
  <c r="G117" i="6"/>
  <c r="CC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BR116" i="6" s="1"/>
  <c r="AP116" i="6"/>
  <c r="J116" i="6"/>
  <c r="H116" i="6"/>
  <c r="CJ116" i="6" s="1"/>
  <c r="G116" i="6"/>
  <c r="CC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BR115" i="6" s="1"/>
  <c r="AP115" i="6"/>
  <c r="J115" i="6"/>
  <c r="H115" i="6"/>
  <c r="CJ115" i="6" s="1"/>
  <c r="G115" i="6"/>
  <c r="CC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BR114" i="6" s="1"/>
  <c r="AP114" i="6"/>
  <c r="J114" i="6"/>
  <c r="H114" i="6"/>
  <c r="CJ114" i="6" s="1"/>
  <c r="G114" i="6"/>
  <c r="CC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BR113" i="6" s="1"/>
  <c r="AP113" i="6"/>
  <c r="J113" i="6"/>
  <c r="H113" i="6"/>
  <c r="CJ113" i="6" s="1"/>
  <c r="G113" i="6"/>
  <c r="CC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BR112" i="6" s="1"/>
  <c r="AP112" i="6"/>
  <c r="J112" i="6"/>
  <c r="H112" i="6"/>
  <c r="CJ112" i="6" s="1"/>
  <c r="G112" i="6"/>
  <c r="I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BR111" i="6" s="1"/>
  <c r="AP111" i="6"/>
  <c r="J111" i="6"/>
  <c r="H111" i="6"/>
  <c r="CJ111" i="6" s="1"/>
  <c r="G111" i="6"/>
  <c r="I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BR110" i="6" s="1"/>
  <c r="AP110" i="6"/>
  <c r="J110" i="6"/>
  <c r="H110" i="6"/>
  <c r="CJ110" i="6" s="1"/>
  <c r="G110" i="6"/>
  <c r="I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BR109" i="6" s="1"/>
  <c r="AP109" i="6"/>
  <c r="J109" i="6"/>
  <c r="H109" i="6"/>
  <c r="CJ109" i="6" s="1"/>
  <c r="G109" i="6"/>
  <c r="I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BR108" i="6" s="1"/>
  <c r="AP108" i="6"/>
  <c r="J108" i="6"/>
  <c r="H108" i="6"/>
  <c r="CJ108" i="6" s="1"/>
  <c r="G108" i="6"/>
  <c r="I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BR107" i="6" s="1"/>
  <c r="AP107" i="6"/>
  <c r="J107" i="6"/>
  <c r="H107" i="6"/>
  <c r="CJ107" i="6" s="1"/>
  <c r="G107" i="6"/>
  <c r="I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BR106" i="6" s="1"/>
  <c r="AP106" i="6"/>
  <c r="J106" i="6"/>
  <c r="H106" i="6"/>
  <c r="CJ106" i="6" s="1"/>
  <c r="G106" i="6"/>
  <c r="I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BR105" i="6" s="1"/>
  <c r="AP105" i="6"/>
  <c r="J105" i="6"/>
  <c r="H105" i="6"/>
  <c r="CJ105" i="6" s="1"/>
  <c r="G105" i="6"/>
  <c r="I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BR104" i="6" s="1"/>
  <c r="AP104" i="6"/>
  <c r="J104" i="6"/>
  <c r="H104" i="6"/>
  <c r="CJ104" i="6" s="1"/>
  <c r="G104" i="6"/>
  <c r="K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BR103" i="6" s="1"/>
  <c r="AP103" i="6"/>
  <c r="J103" i="6"/>
  <c r="H103" i="6"/>
  <c r="CJ103" i="6" s="1"/>
  <c r="G103" i="6"/>
  <c r="K103" i="6" s="1"/>
  <c r="E103" i="6"/>
  <c r="DB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BR102" i="6" s="1"/>
  <c r="AP102" i="6"/>
  <c r="J102" i="6"/>
  <c r="H102" i="6"/>
  <c r="CJ102" i="6" s="1"/>
  <c r="G102" i="6"/>
  <c r="K102" i="6" s="1"/>
  <c r="E102" i="6"/>
  <c r="DB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BR101" i="6" s="1"/>
  <c r="AP101" i="6"/>
  <c r="J101" i="6"/>
  <c r="H101" i="6"/>
  <c r="CJ101" i="6" s="1"/>
  <c r="G101" i="6"/>
  <c r="K101" i="6" s="1"/>
  <c r="E101" i="6"/>
  <c r="DB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BR100" i="6" s="1"/>
  <c r="AP100" i="6"/>
  <c r="J100" i="6"/>
  <c r="H100" i="6"/>
  <c r="CJ100" i="6" s="1"/>
  <c r="G100" i="6"/>
  <c r="BO100" i="6" s="1"/>
  <c r="E100" i="6"/>
  <c r="DB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BR99" i="6" s="1"/>
  <c r="AP99" i="6"/>
  <c r="J99" i="6"/>
  <c r="H99" i="6"/>
  <c r="CJ99" i="6" s="1"/>
  <c r="G99" i="6"/>
  <c r="BO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BR98" i="6" s="1"/>
  <c r="AP98" i="6"/>
  <c r="J98" i="6"/>
  <c r="H98" i="6"/>
  <c r="CJ98" i="6" s="1"/>
  <c r="G98" i="6"/>
  <c r="E98" i="6"/>
  <c r="DB98" i="6" s="1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BR97" i="6" s="1"/>
  <c r="AP97" i="6"/>
  <c r="J97" i="6"/>
  <c r="H97" i="6"/>
  <c r="CJ97" i="6" s="1"/>
  <c r="G97" i="6"/>
  <c r="BO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BR96" i="6" s="1"/>
  <c r="AP96" i="6"/>
  <c r="J96" i="6"/>
  <c r="H96" i="6"/>
  <c r="CJ96" i="6" s="1"/>
  <c r="G96" i="6"/>
  <c r="I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BR95" i="6" s="1"/>
  <c r="AP95" i="6"/>
  <c r="J95" i="6"/>
  <c r="H95" i="6"/>
  <c r="CJ95" i="6" s="1"/>
  <c r="G95" i="6"/>
  <c r="I95" i="6" s="1"/>
  <c r="E95" i="6"/>
  <c r="DB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BR94" i="6" s="1"/>
  <c r="AP94" i="6"/>
  <c r="J94" i="6"/>
  <c r="H94" i="6"/>
  <c r="CJ94" i="6" s="1"/>
  <c r="G94" i="6"/>
  <c r="I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BR93" i="6" s="1"/>
  <c r="AP93" i="6"/>
  <c r="J93" i="6"/>
  <c r="H93" i="6"/>
  <c r="CJ93" i="6" s="1"/>
  <c r="G93" i="6"/>
  <c r="I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BR92" i="6" s="1"/>
  <c r="AP92" i="6"/>
  <c r="J92" i="6"/>
  <c r="H92" i="6"/>
  <c r="CJ92" i="6" s="1"/>
  <c r="G92" i="6"/>
  <c r="I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BR91" i="6" s="1"/>
  <c r="AP91" i="6"/>
  <c r="J91" i="6"/>
  <c r="H91" i="6"/>
  <c r="CJ91" i="6" s="1"/>
  <c r="G91" i="6"/>
  <c r="I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BR90" i="6" s="1"/>
  <c r="AP90" i="6"/>
  <c r="J90" i="6"/>
  <c r="H90" i="6"/>
  <c r="CJ90" i="6" s="1"/>
  <c r="G90" i="6"/>
  <c r="I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BR89" i="6" s="1"/>
  <c r="AP89" i="6"/>
  <c r="J89" i="6"/>
  <c r="H89" i="6"/>
  <c r="CJ89" i="6" s="1"/>
  <c r="G89" i="6"/>
  <c r="I89" i="6" s="1"/>
  <c r="E89" i="6"/>
  <c r="DB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BR88" i="6" s="1"/>
  <c r="AP88" i="6"/>
  <c r="J88" i="6"/>
  <c r="H88" i="6"/>
  <c r="CJ88" i="6" s="1"/>
  <c r="G88" i="6"/>
  <c r="I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BR87" i="6" s="1"/>
  <c r="AP87" i="6"/>
  <c r="J87" i="6"/>
  <c r="H87" i="6"/>
  <c r="CJ87" i="6" s="1"/>
  <c r="G87" i="6"/>
  <c r="I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BR86" i="6" s="1"/>
  <c r="AP86" i="6"/>
  <c r="J86" i="6"/>
  <c r="H86" i="6"/>
  <c r="CJ86" i="6" s="1"/>
  <c r="G86" i="6"/>
  <c r="I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BR85" i="6" s="1"/>
  <c r="AP85" i="6"/>
  <c r="J85" i="6"/>
  <c r="H85" i="6"/>
  <c r="CJ85" i="6" s="1"/>
  <c r="G85" i="6"/>
  <c r="I85" i="6" s="1"/>
  <c r="E85" i="6"/>
  <c r="DB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BR84" i="6" s="1"/>
  <c r="AP84" i="6"/>
  <c r="J84" i="6"/>
  <c r="H84" i="6"/>
  <c r="CJ84" i="6" s="1"/>
  <c r="G84" i="6"/>
  <c r="I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BR83" i="6" s="1"/>
  <c r="AP83" i="6"/>
  <c r="J83" i="6"/>
  <c r="H83" i="6"/>
  <c r="CJ83" i="6" s="1"/>
  <c r="G83" i="6"/>
  <c r="CR83" i="6" s="1"/>
  <c r="E83" i="6"/>
  <c r="DB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BR82" i="6" s="1"/>
  <c r="AP82" i="6"/>
  <c r="J82" i="6"/>
  <c r="H82" i="6"/>
  <c r="CJ82" i="6" s="1"/>
  <c r="G82" i="6"/>
  <c r="I82" i="6" s="1"/>
  <c r="E82" i="6"/>
  <c r="DB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BR81" i="6" s="1"/>
  <c r="AP81" i="6"/>
  <c r="J81" i="6"/>
  <c r="H81" i="6"/>
  <c r="CJ81" i="6" s="1"/>
  <c r="G81" i="6"/>
  <c r="I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BR80" i="6" s="1"/>
  <c r="AP80" i="6"/>
  <c r="J80" i="6"/>
  <c r="H80" i="6"/>
  <c r="CJ80" i="6" s="1"/>
  <c r="G80" i="6"/>
  <c r="I80" i="6" s="1"/>
  <c r="E80" i="6"/>
  <c r="DB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BR79" i="6" s="1"/>
  <c r="AP79" i="6"/>
  <c r="J79" i="6"/>
  <c r="H79" i="6"/>
  <c r="CJ79" i="6" s="1"/>
  <c r="G79" i="6"/>
  <c r="I79" i="6" s="1"/>
  <c r="E79" i="6"/>
  <c r="DB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BR78" i="6" s="1"/>
  <c r="AP78" i="6"/>
  <c r="J78" i="6"/>
  <c r="H78" i="6"/>
  <c r="CJ78" i="6" s="1"/>
  <c r="G78" i="6"/>
  <c r="I78" i="6" s="1"/>
  <c r="E78" i="6"/>
  <c r="DB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BR77" i="6" s="1"/>
  <c r="AP77" i="6"/>
  <c r="J77" i="6"/>
  <c r="H77" i="6"/>
  <c r="CJ77" i="6" s="1"/>
  <c r="G77" i="6"/>
  <c r="I77" i="6" s="1"/>
  <c r="E77" i="6"/>
  <c r="DB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BR76" i="6" s="1"/>
  <c r="AP76" i="6"/>
  <c r="J76" i="6"/>
  <c r="H76" i="6"/>
  <c r="CJ76" i="6" s="1"/>
  <c r="G76" i="6"/>
  <c r="I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BR75" i="6" s="1"/>
  <c r="AP75" i="6"/>
  <c r="J75" i="6"/>
  <c r="H75" i="6"/>
  <c r="CJ75" i="6" s="1"/>
  <c r="G75" i="6"/>
  <c r="I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BR74" i="6" s="1"/>
  <c r="AP74" i="6"/>
  <c r="J74" i="6"/>
  <c r="H74" i="6"/>
  <c r="CJ74" i="6" s="1"/>
  <c r="G74" i="6"/>
  <c r="I74" i="6" s="1"/>
  <c r="E74" i="6"/>
  <c r="DB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BR73" i="6" s="1"/>
  <c r="AP73" i="6"/>
  <c r="J73" i="6"/>
  <c r="H73" i="6"/>
  <c r="CJ73" i="6" s="1"/>
  <c r="G73" i="6"/>
  <c r="I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BR72" i="6" s="1"/>
  <c r="AP72" i="6"/>
  <c r="J72" i="6"/>
  <c r="H72" i="6"/>
  <c r="CJ72" i="6" s="1"/>
  <c r="G72" i="6"/>
  <c r="I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BR71" i="6" s="1"/>
  <c r="AP71" i="6"/>
  <c r="J71" i="6"/>
  <c r="H71" i="6"/>
  <c r="CJ71" i="6" s="1"/>
  <c r="G71" i="6"/>
  <c r="I71" i="6" s="1"/>
  <c r="E71" i="6"/>
  <c r="DB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BR70" i="6" s="1"/>
  <c r="AP70" i="6"/>
  <c r="J70" i="6"/>
  <c r="H70" i="6"/>
  <c r="CJ70" i="6" s="1"/>
  <c r="G70" i="6"/>
  <c r="I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BR69" i="6" s="1"/>
  <c r="AP69" i="6"/>
  <c r="J69" i="6"/>
  <c r="H69" i="6"/>
  <c r="CJ69" i="6" s="1"/>
  <c r="G69" i="6"/>
  <c r="I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BR68" i="6" s="1"/>
  <c r="AP68" i="6"/>
  <c r="J68" i="6"/>
  <c r="H68" i="6"/>
  <c r="CJ68" i="6" s="1"/>
  <c r="G68" i="6"/>
  <c r="K68" i="6" s="1"/>
  <c r="E68" i="6"/>
  <c r="DB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BR67" i="6" s="1"/>
  <c r="AP67" i="6"/>
  <c r="J67" i="6"/>
  <c r="H67" i="6"/>
  <c r="CJ67" i="6" s="1"/>
  <c r="G67" i="6"/>
  <c r="K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BR66" i="6" s="1"/>
  <c r="AP66" i="6"/>
  <c r="J66" i="6"/>
  <c r="H66" i="6"/>
  <c r="CJ66" i="6" s="1"/>
  <c r="G66" i="6"/>
  <c r="K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BR65" i="6" s="1"/>
  <c r="AP65" i="6"/>
  <c r="J65" i="6"/>
  <c r="H65" i="6"/>
  <c r="CJ65" i="6" s="1"/>
  <c r="G65" i="6"/>
  <c r="K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BR64" i="6" s="1"/>
  <c r="AP64" i="6"/>
  <c r="J64" i="6"/>
  <c r="H64" i="6"/>
  <c r="CJ64" i="6" s="1"/>
  <c r="G64" i="6"/>
  <c r="K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BR63" i="6" s="1"/>
  <c r="AP63" i="6"/>
  <c r="J63" i="6"/>
  <c r="H63" i="6"/>
  <c r="CJ63" i="6" s="1"/>
  <c r="G63" i="6"/>
  <c r="K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BR62" i="6" s="1"/>
  <c r="AP62" i="6"/>
  <c r="J62" i="6"/>
  <c r="H62" i="6"/>
  <c r="CJ62" i="6" s="1"/>
  <c r="G62" i="6"/>
  <c r="K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BR61" i="6" s="1"/>
  <c r="AP61" i="6"/>
  <c r="J61" i="6"/>
  <c r="H61" i="6"/>
  <c r="CJ61" i="6" s="1"/>
  <c r="G61" i="6"/>
  <c r="K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BR60" i="6" s="1"/>
  <c r="AP60" i="6"/>
  <c r="J60" i="6"/>
  <c r="H60" i="6"/>
  <c r="CJ60" i="6" s="1"/>
  <c r="G60" i="6"/>
  <c r="K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BR59" i="6" s="1"/>
  <c r="AP59" i="6"/>
  <c r="J59" i="6"/>
  <c r="H59" i="6"/>
  <c r="CJ59" i="6" s="1"/>
  <c r="G59" i="6"/>
  <c r="K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BR58" i="6" s="1"/>
  <c r="AP58" i="6"/>
  <c r="J58" i="6"/>
  <c r="H58" i="6"/>
  <c r="CJ58" i="6" s="1"/>
  <c r="G58" i="6"/>
  <c r="I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BR57" i="6" s="1"/>
  <c r="AP57" i="6"/>
  <c r="J57" i="6"/>
  <c r="H57" i="6"/>
  <c r="CJ57" i="6" s="1"/>
  <c r="G57" i="6"/>
  <c r="I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BR56" i="6" s="1"/>
  <c r="AP56" i="6"/>
  <c r="J56" i="6"/>
  <c r="H56" i="6"/>
  <c r="CJ56" i="6" s="1"/>
  <c r="G56" i="6"/>
  <c r="I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BR55" i="6" s="1"/>
  <c r="AP55" i="6"/>
  <c r="J55" i="6"/>
  <c r="H55" i="6"/>
  <c r="CJ55" i="6" s="1"/>
  <c r="G55" i="6"/>
  <c r="I55" i="6" s="1"/>
  <c r="C55" i="6"/>
  <c r="A55" i="6"/>
  <c r="CZ106" i="6" l="1"/>
  <c r="E106" i="6"/>
  <c r="CZ110" i="6"/>
  <c r="E110" i="6"/>
  <c r="CZ114" i="6"/>
  <c r="E114" i="6"/>
  <c r="CZ118" i="6"/>
  <c r="E118" i="6"/>
  <c r="CZ122" i="6"/>
  <c r="E122" i="6"/>
  <c r="BH122" i="6" s="1"/>
  <c r="BF122" i="6" s="1"/>
  <c r="BG122" i="6" s="1"/>
  <c r="CZ64" i="6"/>
  <c r="E64" i="6"/>
  <c r="DB64" i="6" s="1"/>
  <c r="CZ73" i="6"/>
  <c r="E73" i="6"/>
  <c r="DB73" i="6" s="1"/>
  <c r="CZ76" i="6"/>
  <c r="E76" i="6"/>
  <c r="DB76" i="6" s="1"/>
  <c r="CZ88" i="6"/>
  <c r="E88" i="6"/>
  <c r="DB88" i="6" s="1"/>
  <c r="CZ91" i="6"/>
  <c r="E91" i="6"/>
  <c r="DB91" i="6" s="1"/>
  <c r="CZ94" i="6"/>
  <c r="E94" i="6"/>
  <c r="DB94" i="6" s="1"/>
  <c r="CZ97" i="6"/>
  <c r="E97" i="6"/>
  <c r="DB97" i="6" s="1"/>
  <c r="CZ126" i="6"/>
  <c r="E126" i="6"/>
  <c r="DB126" i="6" s="1"/>
  <c r="CY129" i="6"/>
  <c r="E129" i="6"/>
  <c r="DB129" i="6" s="1"/>
  <c r="CZ132" i="6"/>
  <c r="E132" i="6"/>
  <c r="DB132" i="6" s="1"/>
  <c r="CZ135" i="6"/>
  <c r="E135" i="6"/>
  <c r="DB135" i="6" s="1"/>
  <c r="CY138" i="6"/>
  <c r="E138" i="6"/>
  <c r="DB138" i="6" s="1"/>
  <c r="CY141" i="6"/>
  <c r="E141" i="6"/>
  <c r="DB141" i="6" s="1"/>
  <c r="CZ144" i="6"/>
  <c r="E144" i="6"/>
  <c r="BH144" i="6" s="1"/>
  <c r="BF144" i="6" s="1"/>
  <c r="BG144" i="6" s="1"/>
  <c r="CZ56" i="6"/>
  <c r="E56" i="6"/>
  <c r="DB56" i="6" s="1"/>
  <c r="CZ55" i="6"/>
  <c r="E55" i="6"/>
  <c r="DB55" i="6" s="1"/>
  <c r="CZ61" i="6"/>
  <c r="E61" i="6"/>
  <c r="DB61" i="6" s="1"/>
  <c r="CZ67" i="6"/>
  <c r="E67" i="6"/>
  <c r="DB67" i="6" s="1"/>
  <c r="CZ107" i="6"/>
  <c r="E107" i="6"/>
  <c r="BH107" i="6" s="1"/>
  <c r="BF107" i="6" s="1"/>
  <c r="BG107" i="6" s="1"/>
  <c r="CZ111" i="6"/>
  <c r="E111" i="6"/>
  <c r="DB111" i="6" s="1"/>
  <c r="CZ115" i="6"/>
  <c r="E115" i="6"/>
  <c r="BH115" i="6" s="1"/>
  <c r="BF115" i="6" s="1"/>
  <c r="BG115" i="6" s="1"/>
  <c r="CZ119" i="6"/>
  <c r="E119" i="6"/>
  <c r="CZ123" i="6"/>
  <c r="E123" i="6"/>
  <c r="BH123" i="6" s="1"/>
  <c r="BF123" i="6" s="1"/>
  <c r="BG123" i="6" s="1"/>
  <c r="CZ58" i="6"/>
  <c r="E58" i="6"/>
  <c r="DB58" i="6" s="1"/>
  <c r="CZ70" i="6"/>
  <c r="E70" i="6"/>
  <c r="DB70" i="6" s="1"/>
  <c r="CZ145" i="6"/>
  <c r="E145" i="6"/>
  <c r="DB145" i="6" s="1"/>
  <c r="CZ104" i="6"/>
  <c r="E104" i="6"/>
  <c r="DB104" i="6" s="1"/>
  <c r="CY127" i="6"/>
  <c r="E127" i="6"/>
  <c r="DB127" i="6" s="1"/>
  <c r="CZ130" i="6"/>
  <c r="E130" i="6"/>
  <c r="DB130" i="6" s="1"/>
  <c r="CZ133" i="6"/>
  <c r="E133" i="6"/>
  <c r="DB133" i="6" s="1"/>
  <c r="CY136" i="6"/>
  <c r="E136" i="6"/>
  <c r="DB136" i="6" s="1"/>
  <c r="CY139" i="6"/>
  <c r="E139" i="6"/>
  <c r="DB139" i="6" s="1"/>
  <c r="CY142" i="6"/>
  <c r="E142" i="6"/>
  <c r="DB142" i="6" s="1"/>
  <c r="CZ62" i="6"/>
  <c r="E62" i="6"/>
  <c r="DB62" i="6" s="1"/>
  <c r="CZ65" i="6"/>
  <c r="E65" i="6"/>
  <c r="DB65" i="6" s="1"/>
  <c r="CZ108" i="6"/>
  <c r="E108" i="6"/>
  <c r="BH108" i="6" s="1"/>
  <c r="BF108" i="6" s="1"/>
  <c r="BG108" i="6" s="1"/>
  <c r="CZ112" i="6"/>
  <c r="E112" i="6"/>
  <c r="DB112" i="6" s="1"/>
  <c r="CZ116" i="6"/>
  <c r="E116" i="6"/>
  <c r="BH116" i="6" s="1"/>
  <c r="BF116" i="6" s="1"/>
  <c r="BG116" i="6" s="1"/>
  <c r="CZ120" i="6"/>
  <c r="E120" i="6"/>
  <c r="BH120" i="6" s="1"/>
  <c r="BF120" i="6" s="1"/>
  <c r="BG120" i="6" s="1"/>
  <c r="CY124" i="6"/>
  <c r="E124" i="6"/>
  <c r="BH124" i="6" s="1"/>
  <c r="BF124" i="6" s="1"/>
  <c r="BG124" i="6" s="1"/>
  <c r="CZ86" i="6"/>
  <c r="E86" i="6"/>
  <c r="DB86" i="6" s="1"/>
  <c r="CY92" i="6"/>
  <c r="E92" i="6"/>
  <c r="DB92" i="6" s="1"/>
  <c r="CZ146" i="6"/>
  <c r="E146" i="6"/>
  <c r="BH146" i="6" s="1"/>
  <c r="BF146" i="6" s="1"/>
  <c r="BG146" i="6" s="1"/>
  <c r="CZ59" i="6"/>
  <c r="E59" i="6"/>
  <c r="DB59" i="6" s="1"/>
  <c r="CZ69" i="6"/>
  <c r="E69" i="6"/>
  <c r="DB69" i="6" s="1"/>
  <c r="CZ72" i="6"/>
  <c r="E72" i="6"/>
  <c r="DB72" i="6" s="1"/>
  <c r="CZ75" i="6"/>
  <c r="E75" i="6"/>
  <c r="DB75" i="6" s="1"/>
  <c r="CZ81" i="6"/>
  <c r="E81" i="6"/>
  <c r="DB81" i="6" s="1"/>
  <c r="CZ84" i="6"/>
  <c r="E84" i="6"/>
  <c r="DB84" i="6" s="1"/>
  <c r="CZ87" i="6"/>
  <c r="E87" i="6"/>
  <c r="DB87" i="6" s="1"/>
  <c r="CZ90" i="6"/>
  <c r="E90" i="6"/>
  <c r="DB90" i="6" s="1"/>
  <c r="CZ93" i="6"/>
  <c r="E93" i="6"/>
  <c r="DB93" i="6" s="1"/>
  <c r="CZ96" i="6"/>
  <c r="E96" i="6"/>
  <c r="DB96" i="6" s="1"/>
  <c r="CY99" i="6"/>
  <c r="E99" i="6"/>
  <c r="DB99" i="6" s="1"/>
  <c r="CZ105" i="6"/>
  <c r="E105" i="6"/>
  <c r="BH105" i="6" s="1"/>
  <c r="BF105" i="6" s="1"/>
  <c r="BG105" i="6" s="1"/>
  <c r="CZ109" i="6"/>
  <c r="E109" i="6"/>
  <c r="BH109" i="6" s="1"/>
  <c r="BF109" i="6" s="1"/>
  <c r="BG109" i="6" s="1"/>
  <c r="CZ113" i="6"/>
  <c r="E113" i="6"/>
  <c r="BH113" i="6" s="1"/>
  <c r="BF113" i="6" s="1"/>
  <c r="BG113" i="6" s="1"/>
  <c r="CZ117" i="6"/>
  <c r="E117" i="6"/>
  <c r="BH117" i="6" s="1"/>
  <c r="BF117" i="6" s="1"/>
  <c r="BG117" i="6" s="1"/>
  <c r="CZ121" i="6"/>
  <c r="E121" i="6"/>
  <c r="BH121" i="6" s="1"/>
  <c r="BF121" i="6" s="1"/>
  <c r="BG121" i="6" s="1"/>
  <c r="CZ125" i="6"/>
  <c r="E125" i="6"/>
  <c r="DB125" i="6" s="1"/>
  <c r="CZ128" i="6"/>
  <c r="E128" i="6"/>
  <c r="DB128" i="6" s="1"/>
  <c r="CZ131" i="6"/>
  <c r="E131" i="6"/>
  <c r="DB131" i="6" s="1"/>
  <c r="CZ134" i="6"/>
  <c r="E134" i="6"/>
  <c r="DB134" i="6" s="1"/>
  <c r="CY137" i="6"/>
  <c r="E137" i="6"/>
  <c r="DB137" i="6" s="1"/>
  <c r="CY140" i="6"/>
  <c r="E140" i="6"/>
  <c r="DB140" i="6" s="1"/>
  <c r="CZ57" i="6"/>
  <c r="E57" i="6"/>
  <c r="DB57" i="6" s="1"/>
  <c r="CZ60" i="6"/>
  <c r="E60" i="6"/>
  <c r="DB60" i="6" s="1"/>
  <c r="CZ63" i="6"/>
  <c r="E63" i="6"/>
  <c r="DB63" i="6" s="1"/>
  <c r="CZ66" i="6"/>
  <c r="E66" i="6"/>
  <c r="DB66" i="6" s="1"/>
  <c r="CZ147" i="6"/>
  <c r="E147" i="6"/>
  <c r="DB147" i="6" s="1"/>
  <c r="AS56" i="6"/>
  <c r="AS59" i="6"/>
  <c r="AS62" i="6"/>
  <c r="AS68" i="6"/>
  <c r="AS71" i="6"/>
  <c r="AS74" i="6"/>
  <c r="AS77" i="6"/>
  <c r="AS80" i="6"/>
  <c r="AS83" i="6"/>
  <c r="AS86" i="6"/>
  <c r="AS89" i="6"/>
  <c r="AS92" i="6"/>
  <c r="AS95" i="6"/>
  <c r="AS98" i="6"/>
  <c r="AS101" i="6"/>
  <c r="AS104" i="6"/>
  <c r="AS107" i="6"/>
  <c r="AS110" i="6"/>
  <c r="AS113" i="6"/>
  <c r="AS116" i="6"/>
  <c r="AS119" i="6"/>
  <c r="AS122" i="6"/>
  <c r="AS125" i="6"/>
  <c r="AS128" i="6"/>
  <c r="AS131" i="6"/>
  <c r="AS134" i="6"/>
  <c r="AS137" i="6"/>
  <c r="AS140" i="6"/>
  <c r="AS143" i="6"/>
  <c r="AS146" i="6"/>
  <c r="AS149" i="6"/>
  <c r="AS152" i="6"/>
  <c r="AS65" i="6"/>
  <c r="AS57" i="6"/>
  <c r="AS60" i="6"/>
  <c r="AS63" i="6"/>
  <c r="AS66" i="6"/>
  <c r="AS69" i="6"/>
  <c r="AS72" i="6"/>
  <c r="AS75" i="6"/>
  <c r="AS78" i="6"/>
  <c r="AS81" i="6"/>
  <c r="AS84" i="6"/>
  <c r="AS87" i="6"/>
  <c r="AS90" i="6"/>
  <c r="AS93" i="6"/>
  <c r="AS96" i="6"/>
  <c r="AS99" i="6"/>
  <c r="AS102" i="6"/>
  <c r="AS105" i="6"/>
  <c r="AS108" i="6"/>
  <c r="AS111" i="6"/>
  <c r="AS114" i="6"/>
  <c r="AS117" i="6"/>
  <c r="AS120" i="6"/>
  <c r="AS123" i="6"/>
  <c r="AS126" i="6"/>
  <c r="AS129" i="6"/>
  <c r="AS132" i="6"/>
  <c r="AS135" i="6"/>
  <c r="AS138" i="6"/>
  <c r="AS141" i="6"/>
  <c r="AS144" i="6"/>
  <c r="AS147" i="6"/>
  <c r="AS150" i="6"/>
  <c r="AS153" i="6"/>
  <c r="AS61" i="6"/>
  <c r="AS67" i="6"/>
  <c r="AS73" i="6"/>
  <c r="AS82" i="6"/>
  <c r="AS91" i="6"/>
  <c r="AS94" i="6"/>
  <c r="AS97" i="6"/>
  <c r="AS100" i="6"/>
  <c r="AS103" i="6"/>
  <c r="AS106" i="6"/>
  <c r="AS109" i="6"/>
  <c r="AS112" i="6"/>
  <c r="AS115" i="6"/>
  <c r="AS118" i="6"/>
  <c r="AS121" i="6"/>
  <c r="AS124" i="6"/>
  <c r="AS127" i="6"/>
  <c r="AS130" i="6"/>
  <c r="AS133" i="6"/>
  <c r="AS136" i="6"/>
  <c r="AS139" i="6"/>
  <c r="AS142" i="6"/>
  <c r="AS145" i="6"/>
  <c r="AS148" i="6"/>
  <c r="AS151" i="6"/>
  <c r="AS154" i="6"/>
  <c r="AS55" i="6"/>
  <c r="AS79" i="6"/>
  <c r="AS88" i="6"/>
  <c r="AS58" i="6"/>
  <c r="AS64" i="6"/>
  <c r="AS70" i="6"/>
  <c r="AS76" i="6"/>
  <c r="AS85" i="6"/>
  <c r="BH89" i="6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CX122" i="6"/>
  <c r="CR128" i="6"/>
  <c r="I63" i="6"/>
  <c r="CR63" i="6"/>
  <c r="I120" i="6"/>
  <c r="I151" i="6"/>
  <c r="BO151" i="6"/>
  <c r="K94" i="6"/>
  <c r="AX69" i="6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BC96" i="6" s="1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CX110" i="6"/>
  <c r="K112" i="6"/>
  <c r="CR117" i="6"/>
  <c r="CX142" i="6"/>
  <c r="BO153" i="6"/>
  <c r="BO67" i="6"/>
  <c r="AX72" i="6"/>
  <c r="BO102" i="6"/>
  <c r="AX103" i="6"/>
  <c r="CY105" i="6"/>
  <c r="K119" i="6"/>
  <c r="CR119" i="6"/>
  <c r="CX134" i="6"/>
  <c r="CC91" i="6"/>
  <c r="BO93" i="6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DF121" i="6"/>
  <c r="CX124" i="6"/>
  <c r="CR129" i="6"/>
  <c r="BO140" i="6"/>
  <c r="BH145" i="6"/>
  <c r="BF145" i="6" s="1"/>
  <c r="BG145" i="6" s="1"/>
  <c r="DF148" i="6"/>
  <c r="DF149" i="6"/>
  <c r="DF150" i="6"/>
  <c r="BO152" i="6"/>
  <c r="BO69" i="6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CR60" i="6"/>
  <c r="AX61" i="6"/>
  <c r="CR64" i="6"/>
  <c r="AX65" i="6"/>
  <c r="CR68" i="6"/>
  <c r="CY70" i="6"/>
  <c r="BH74" i="6"/>
  <c r="BF74" i="6" s="1"/>
  <c r="BG74" i="6" s="1"/>
  <c r="BB78" i="6"/>
  <c r="CC84" i="6"/>
  <c r="CC88" i="6"/>
  <c r="CY89" i="6"/>
  <c r="CI93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CY121" i="6"/>
  <c r="BO129" i="6"/>
  <c r="CZ139" i="6"/>
  <c r="I154" i="6"/>
  <c r="CY69" i="6"/>
  <c r="CY84" i="6"/>
  <c r="AX55" i="6"/>
  <c r="CR58" i="6"/>
  <c r="AX59" i="6"/>
  <c r="CR62" i="6"/>
  <c r="AX63" i="6"/>
  <c r="CR66" i="6"/>
  <c r="AX67" i="6"/>
  <c r="AX75" i="6"/>
  <c r="CC77" i="6"/>
  <c r="BO78" i="6"/>
  <c r="CX82" i="6"/>
  <c r="AX83" i="6"/>
  <c r="CC90" i="6"/>
  <c r="BB92" i="6"/>
  <c r="CZ92" i="6"/>
  <c r="BO94" i="6"/>
  <c r="CX95" i="6"/>
  <c r="CX98" i="6"/>
  <c r="AX102" i="6"/>
  <c r="CR107" i="6"/>
  <c r="CR110" i="6"/>
  <c r="I113" i="6"/>
  <c r="I117" i="6"/>
  <c r="DF123" i="6"/>
  <c r="I124" i="6"/>
  <c r="K129" i="6"/>
  <c r="K130" i="6"/>
  <c r="CX131" i="6"/>
  <c r="CX135" i="6"/>
  <c r="CX136" i="6"/>
  <c r="AX137" i="6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DF127" i="6"/>
  <c r="BB127" i="6"/>
  <c r="AX134" i="6"/>
  <c r="CI134" i="6"/>
  <c r="BH135" i="6"/>
  <c r="BF135" i="6" s="1"/>
  <c r="BG135" i="6" s="1"/>
  <c r="AX136" i="6"/>
  <c r="CI136" i="6"/>
  <c r="CZ137" i="6"/>
  <c r="CZ140" i="6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CI139" i="6"/>
  <c r="BD152" i="6"/>
  <c r="BC152" i="6"/>
  <c r="BB105" i="6"/>
  <c r="CC105" i="6"/>
  <c r="BB106" i="6"/>
  <c r="CC106" i="6"/>
  <c r="DB106" i="6"/>
  <c r="BB107" i="6"/>
  <c r="CC107" i="6"/>
  <c r="BB108" i="6"/>
  <c r="CC108" i="6"/>
  <c r="BB109" i="6"/>
  <c r="CC109" i="6"/>
  <c r="BB110" i="6"/>
  <c r="CC110" i="6"/>
  <c r="DB110" i="6"/>
  <c r="BB111" i="6"/>
  <c r="CC111" i="6"/>
  <c r="BB112" i="6"/>
  <c r="CC112" i="6"/>
  <c r="BB113" i="6"/>
  <c r="BB114" i="6"/>
  <c r="DB114" i="6"/>
  <c r="BB115" i="6"/>
  <c r="DB115" i="6"/>
  <c r="BB116" i="6"/>
  <c r="DB116" i="6"/>
  <c r="BB117" i="6"/>
  <c r="BB118" i="6"/>
  <c r="DB118" i="6"/>
  <c r="BB119" i="6"/>
  <c r="DB119" i="6"/>
  <c r="BB120" i="6"/>
  <c r="DB120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8" i="6"/>
  <c r="BF138" i="6" s="1"/>
  <c r="BG138" i="6" s="1"/>
  <c r="BD147" i="6"/>
  <c r="BC147" i="6"/>
  <c r="BD148" i="6"/>
  <c r="BC148" i="6"/>
  <c r="CI105" i="6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AX135" i="6"/>
  <c r="CI135" i="6"/>
  <c r="BD144" i="6"/>
  <c r="BC144" i="6"/>
  <c r="CR126" i="6"/>
  <c r="DF131" i="6"/>
  <c r="BB131" i="6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O71" i="6"/>
  <c r="CR72" i="6"/>
  <c r="BH73" i="6"/>
  <c r="BF73" i="6" s="1"/>
  <c r="BG73" i="6" s="1"/>
  <c r="BO74" i="6"/>
  <c r="CR75" i="6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CR89" i="6"/>
  <c r="CR92" i="6"/>
  <c r="CR95" i="6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H87" i="6" l="1"/>
  <c r="BF87" i="6" s="1"/>
  <c r="BG87" i="6" s="1"/>
  <c r="BH137" i="6"/>
  <c r="BF137" i="6" s="1"/>
  <c r="BG137" i="6" s="1"/>
  <c r="BH86" i="6"/>
  <c r="BF86" i="6" s="1"/>
  <c r="BG86" i="6" s="1"/>
  <c r="BH72" i="6"/>
  <c r="BF72" i="6" s="1"/>
  <c r="BG72" i="6" s="1"/>
  <c r="BH130" i="6"/>
  <c r="BF130" i="6" s="1"/>
  <c r="BG130" i="6" s="1"/>
  <c r="BH131" i="6"/>
  <c r="BF131" i="6" s="1"/>
  <c r="BG131" i="6" s="1"/>
  <c r="BH69" i="6"/>
  <c r="BF69" i="6" s="1"/>
  <c r="BG69" i="6" s="1"/>
  <c r="BH59" i="6"/>
  <c r="BF59" i="6" s="1"/>
  <c r="BG59" i="6" s="1"/>
  <c r="DB117" i="6"/>
  <c r="BH76" i="6"/>
  <c r="BF76" i="6" s="1"/>
  <c r="BG76" i="6" s="1"/>
  <c r="BH132" i="6"/>
  <c r="BF132" i="6" s="1"/>
  <c r="BG132" i="6" s="1"/>
  <c r="BH126" i="6"/>
  <c r="BF126" i="6" s="1"/>
  <c r="BG126" i="6" s="1"/>
  <c r="BH96" i="6"/>
  <c r="BF96" i="6" s="1"/>
  <c r="BG96" i="6" s="1"/>
  <c r="DB121" i="6"/>
  <c r="DB109" i="6"/>
  <c r="BH56" i="6"/>
  <c r="BF56" i="6" s="1"/>
  <c r="BG56" i="6" s="1"/>
  <c r="BH93" i="6"/>
  <c r="BF93" i="6" s="1"/>
  <c r="BG93" i="6" s="1"/>
  <c r="BH62" i="6"/>
  <c r="BF62" i="6" s="1"/>
  <c r="BG62" i="6" s="1"/>
  <c r="BH90" i="6"/>
  <c r="BF90" i="6" s="1"/>
  <c r="BG90" i="6" s="1"/>
  <c r="BH139" i="6"/>
  <c r="BF139" i="6" s="1"/>
  <c r="BG139" i="6" s="1"/>
  <c r="BH63" i="6"/>
  <c r="BF63" i="6" s="1"/>
  <c r="BG63" i="6" s="1"/>
  <c r="DB113" i="6"/>
  <c r="BH66" i="6"/>
  <c r="BF66" i="6" s="1"/>
  <c r="BG66" i="6" s="1"/>
  <c r="BH134" i="6"/>
  <c r="BF134" i="6" s="1"/>
  <c r="BG134" i="6" s="1"/>
  <c r="BH140" i="6"/>
  <c r="BF140" i="6" s="1"/>
  <c r="BG140" i="6" s="1"/>
  <c r="BH75" i="6"/>
  <c r="BF75" i="6" s="1"/>
  <c r="BG75" i="6" s="1"/>
  <c r="DB107" i="6"/>
  <c r="BH97" i="6"/>
  <c r="BF97" i="6" s="1"/>
  <c r="BG97" i="6" s="1"/>
  <c r="BH112" i="6"/>
  <c r="BF112" i="6" s="1"/>
  <c r="BG112" i="6" s="1"/>
  <c r="BH64" i="6"/>
  <c r="BF64" i="6" s="1"/>
  <c r="BG64" i="6" s="1"/>
  <c r="BH141" i="6"/>
  <c r="BF141" i="6" s="1"/>
  <c r="BG141" i="6" s="1"/>
  <c r="DB108" i="6"/>
  <c r="BH57" i="6"/>
  <c r="BF57" i="6" s="1"/>
  <c r="BG57" i="6" s="1"/>
  <c r="BH92" i="6"/>
  <c r="BF92" i="6" s="1"/>
  <c r="BG92" i="6" s="1"/>
  <c r="BH58" i="6"/>
  <c r="BF58" i="6" s="1"/>
  <c r="BG58" i="6" s="1"/>
  <c r="BH81" i="6"/>
  <c r="BF81" i="6" s="1"/>
  <c r="BG81" i="6" s="1"/>
  <c r="BH70" i="6"/>
  <c r="BF70" i="6" s="1"/>
  <c r="BG70" i="6" s="1"/>
  <c r="DB122" i="6"/>
  <c r="BH99" i="6"/>
  <c r="BF99" i="6" s="1"/>
  <c r="BG99" i="6" s="1"/>
  <c r="BH125" i="6"/>
  <c r="BF125" i="6" s="1"/>
  <c r="BG125" i="6" s="1"/>
  <c r="BH67" i="6"/>
  <c r="BF67" i="6" s="1"/>
  <c r="BG67" i="6" s="1"/>
  <c r="BH133" i="6"/>
  <c r="BF133" i="6" s="1"/>
  <c r="BG133" i="6" s="1"/>
  <c r="DB146" i="6"/>
  <c r="BH128" i="6"/>
  <c r="BF128" i="6" s="1"/>
  <c r="BG128" i="6" s="1"/>
  <c r="BH60" i="6"/>
  <c r="BF60" i="6" s="1"/>
  <c r="BG60" i="6" s="1"/>
  <c r="BH136" i="6"/>
  <c r="BF136" i="6" s="1"/>
  <c r="BG136" i="6" s="1"/>
  <c r="BH84" i="6"/>
  <c r="BF84" i="6" s="1"/>
  <c r="BG84" i="6" s="1"/>
  <c r="DB105" i="6"/>
  <c r="BD96" i="6"/>
  <c r="BC98" i="6"/>
  <c r="BC97" i="6"/>
  <c r="BC95" i="6"/>
  <c r="BD87" i="6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BR6" i="6" s="1"/>
  <c r="AR7" i="6"/>
  <c r="BR7" i="6" s="1"/>
  <c r="AR8" i="6"/>
  <c r="BR8" i="6" s="1"/>
  <c r="AR9" i="6"/>
  <c r="BR9" i="6" s="1"/>
  <c r="AR10" i="6"/>
  <c r="BR10" i="6" s="1"/>
  <c r="AR11" i="6"/>
  <c r="BR11" i="6" s="1"/>
  <c r="AR12" i="6"/>
  <c r="BR12" i="6" s="1"/>
  <c r="AR13" i="6"/>
  <c r="BR13" i="6" s="1"/>
  <c r="AR14" i="6"/>
  <c r="BR14" i="6" s="1"/>
  <c r="AR15" i="6"/>
  <c r="BR15" i="6" s="1"/>
  <c r="AR16" i="6"/>
  <c r="BR16" i="6" s="1"/>
  <c r="AR17" i="6"/>
  <c r="BR17" i="6" s="1"/>
  <c r="AR18" i="6"/>
  <c r="BR18" i="6" s="1"/>
  <c r="AR19" i="6"/>
  <c r="BR19" i="6" s="1"/>
  <c r="AR20" i="6"/>
  <c r="BR20" i="6" s="1"/>
  <c r="AR21" i="6"/>
  <c r="BR21" i="6" s="1"/>
  <c r="AR22" i="6"/>
  <c r="BR22" i="6" s="1"/>
  <c r="AR23" i="6"/>
  <c r="BR23" i="6" s="1"/>
  <c r="AR24" i="6"/>
  <c r="BR24" i="6" s="1"/>
  <c r="AR25" i="6"/>
  <c r="BR25" i="6" s="1"/>
  <c r="AR26" i="6"/>
  <c r="BR26" i="6" s="1"/>
  <c r="AR27" i="6"/>
  <c r="BR27" i="6" s="1"/>
  <c r="AR28" i="6"/>
  <c r="BR28" i="6" s="1"/>
  <c r="AR29" i="6"/>
  <c r="BR29" i="6" s="1"/>
  <c r="AR30" i="6"/>
  <c r="BR30" i="6" s="1"/>
  <c r="AR31" i="6"/>
  <c r="BR31" i="6" s="1"/>
  <c r="AR32" i="6"/>
  <c r="BR32" i="6" s="1"/>
  <c r="AR33" i="6"/>
  <c r="BR33" i="6" s="1"/>
  <c r="AR34" i="6"/>
  <c r="BR34" i="6" s="1"/>
  <c r="AR35" i="6"/>
  <c r="BR35" i="6" s="1"/>
  <c r="AR36" i="6"/>
  <c r="BR36" i="6" s="1"/>
  <c r="AR37" i="6"/>
  <c r="BR37" i="6" s="1"/>
  <c r="AR38" i="6"/>
  <c r="BR38" i="6" s="1"/>
  <c r="AR39" i="6"/>
  <c r="BR39" i="6" s="1"/>
  <c r="AR40" i="6"/>
  <c r="BR40" i="6" s="1"/>
  <c r="AR41" i="6"/>
  <c r="BR41" i="6" s="1"/>
  <c r="AR42" i="6"/>
  <c r="BR42" i="6" s="1"/>
  <c r="AR43" i="6"/>
  <c r="BR43" i="6" s="1"/>
  <c r="AR44" i="6"/>
  <c r="BR44" i="6" s="1"/>
  <c r="AR45" i="6"/>
  <c r="BR45" i="6" s="1"/>
  <c r="AR46" i="6"/>
  <c r="BR46" i="6" s="1"/>
  <c r="AR47" i="6"/>
  <c r="BR47" i="6" s="1"/>
  <c r="AR48" i="6"/>
  <c r="BR48" i="6" s="1"/>
  <c r="AR49" i="6"/>
  <c r="BR49" i="6" s="1"/>
  <c r="AR50" i="6"/>
  <c r="BR50" i="6" s="1"/>
  <c r="AR51" i="6"/>
  <c r="BR51" i="6" s="1"/>
  <c r="AR52" i="6"/>
  <c r="BR52" i="6" s="1"/>
  <c r="AR53" i="6"/>
  <c r="BR53" i="6" s="1"/>
  <c r="AR54" i="6"/>
  <c r="BR54" i="6" s="1"/>
  <c r="AR5" i="6"/>
  <c r="BR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AS53" i="6" l="1"/>
  <c r="AS41" i="6"/>
  <c r="AS29" i="6"/>
  <c r="AS17" i="6"/>
  <c r="AS52" i="6"/>
  <c r="AS40" i="6"/>
  <c r="AS28" i="6"/>
  <c r="AS16" i="6"/>
  <c r="AS51" i="6"/>
  <c r="AS39" i="6"/>
  <c r="AS27" i="6"/>
  <c r="AS15" i="6"/>
  <c r="AS50" i="6"/>
  <c r="AS14" i="6"/>
  <c r="AS49" i="6"/>
  <c r="AS37" i="6"/>
  <c r="AS25" i="6"/>
  <c r="AS13" i="6"/>
  <c r="AS12" i="6"/>
  <c r="AS48" i="6"/>
  <c r="AS47" i="6"/>
  <c r="AS35" i="6"/>
  <c r="AS23" i="6"/>
  <c r="AS11" i="6"/>
  <c r="AS38" i="6"/>
  <c r="AS24" i="6"/>
  <c r="AS46" i="6"/>
  <c r="AS34" i="6"/>
  <c r="AS22" i="6"/>
  <c r="AS10" i="6"/>
  <c r="AS26" i="6"/>
  <c r="AS36" i="6"/>
  <c r="AS45" i="6"/>
  <c r="AS33" i="6"/>
  <c r="AS21" i="6"/>
  <c r="AS9" i="6"/>
  <c r="AS44" i="6"/>
  <c r="AS32" i="6"/>
  <c r="AS20" i="6"/>
  <c r="AS8" i="6"/>
  <c r="AS5" i="6"/>
  <c r="AS43" i="6"/>
  <c r="AS31" i="6"/>
  <c r="AS19" i="6"/>
  <c r="AS7" i="6"/>
  <c r="AS54" i="6"/>
  <c r="AS42" i="6"/>
  <c r="AS30" i="6"/>
  <c r="AS18" i="6"/>
  <c r="AS6" i="6"/>
  <c r="G6" i="6"/>
  <c r="I6" i="6" s="1"/>
  <c r="H6" i="6"/>
  <c r="J6" i="6"/>
  <c r="G7" i="6"/>
  <c r="K7" i="6" s="1"/>
  <c r="H7" i="6"/>
  <c r="J7" i="6"/>
  <c r="G8" i="6"/>
  <c r="I8" i="6" s="1"/>
  <c r="H8" i="6"/>
  <c r="J8" i="6"/>
  <c r="G9" i="6"/>
  <c r="I9" i="6" s="1"/>
  <c r="H9" i="6"/>
  <c r="J9" i="6"/>
  <c r="G10" i="6"/>
  <c r="I10" i="6" s="1"/>
  <c r="H10" i="6"/>
  <c r="J10" i="6"/>
  <c r="G11" i="6"/>
  <c r="I11" i="6" s="1"/>
  <c r="H11" i="6"/>
  <c r="J11" i="6"/>
  <c r="G12" i="6"/>
  <c r="I12" i="6" s="1"/>
  <c r="H12" i="6"/>
  <c r="J12" i="6"/>
  <c r="G13" i="6"/>
  <c r="I13" i="6" s="1"/>
  <c r="H13" i="6"/>
  <c r="J13" i="6"/>
  <c r="G14" i="6"/>
  <c r="I14" i="6" s="1"/>
  <c r="H14" i="6"/>
  <c r="J14" i="6"/>
  <c r="G15" i="6"/>
  <c r="I15" i="6" s="1"/>
  <c r="H15" i="6"/>
  <c r="J15" i="6"/>
  <c r="G16" i="6"/>
  <c r="I16" i="6" s="1"/>
  <c r="H16" i="6"/>
  <c r="J16" i="6"/>
  <c r="G17" i="6"/>
  <c r="I17" i="6" s="1"/>
  <c r="H17" i="6"/>
  <c r="J17" i="6"/>
  <c r="G18" i="6"/>
  <c r="I18" i="6" s="1"/>
  <c r="H18" i="6"/>
  <c r="J18" i="6"/>
  <c r="G19" i="6"/>
  <c r="K19" i="6" s="1"/>
  <c r="H19" i="6"/>
  <c r="J19" i="6"/>
  <c r="G20" i="6"/>
  <c r="I20" i="6" s="1"/>
  <c r="H20" i="6"/>
  <c r="J20" i="6"/>
  <c r="G21" i="6"/>
  <c r="I21" i="6" s="1"/>
  <c r="H21" i="6"/>
  <c r="J21" i="6"/>
  <c r="G22" i="6"/>
  <c r="I22" i="6" s="1"/>
  <c r="H22" i="6"/>
  <c r="J22" i="6"/>
  <c r="G23" i="6"/>
  <c r="I23" i="6" s="1"/>
  <c r="H23" i="6"/>
  <c r="J23" i="6"/>
  <c r="G24" i="6"/>
  <c r="I24" i="6" s="1"/>
  <c r="H24" i="6"/>
  <c r="J24" i="6"/>
  <c r="G25" i="6"/>
  <c r="I25" i="6" s="1"/>
  <c r="H25" i="6"/>
  <c r="J25" i="6"/>
  <c r="G26" i="6"/>
  <c r="I26" i="6" s="1"/>
  <c r="H26" i="6"/>
  <c r="J26" i="6"/>
  <c r="G27" i="6"/>
  <c r="I27" i="6" s="1"/>
  <c r="H27" i="6"/>
  <c r="J27" i="6"/>
  <c r="G28" i="6"/>
  <c r="I28" i="6" s="1"/>
  <c r="H28" i="6"/>
  <c r="J28" i="6"/>
  <c r="G29" i="6"/>
  <c r="I29" i="6" s="1"/>
  <c r="H29" i="6"/>
  <c r="J29" i="6"/>
  <c r="G30" i="6"/>
  <c r="I30" i="6" s="1"/>
  <c r="H30" i="6"/>
  <c r="J30" i="6"/>
  <c r="G31" i="6"/>
  <c r="I31" i="6" s="1"/>
  <c r="H31" i="6"/>
  <c r="J31" i="6"/>
  <c r="G32" i="6"/>
  <c r="I32" i="6" s="1"/>
  <c r="H32" i="6"/>
  <c r="J32" i="6"/>
  <c r="G33" i="6"/>
  <c r="I33" i="6" s="1"/>
  <c r="H33" i="6"/>
  <c r="J33" i="6"/>
  <c r="G34" i="6"/>
  <c r="I34" i="6" s="1"/>
  <c r="H34" i="6"/>
  <c r="J34" i="6"/>
  <c r="G35" i="6"/>
  <c r="I35" i="6" s="1"/>
  <c r="H35" i="6"/>
  <c r="J35" i="6"/>
  <c r="G36" i="6"/>
  <c r="I36" i="6" s="1"/>
  <c r="H36" i="6"/>
  <c r="J36" i="6"/>
  <c r="G37" i="6"/>
  <c r="I37" i="6" s="1"/>
  <c r="H37" i="6"/>
  <c r="J37" i="6"/>
  <c r="G38" i="6"/>
  <c r="I38" i="6" s="1"/>
  <c r="H38" i="6"/>
  <c r="J38" i="6"/>
  <c r="G39" i="6"/>
  <c r="I39" i="6" s="1"/>
  <c r="H39" i="6"/>
  <c r="J39" i="6"/>
  <c r="G40" i="6"/>
  <c r="I40" i="6" s="1"/>
  <c r="H40" i="6"/>
  <c r="J40" i="6"/>
  <c r="G41" i="6"/>
  <c r="I41" i="6" s="1"/>
  <c r="H41" i="6"/>
  <c r="J41" i="6"/>
  <c r="G42" i="6"/>
  <c r="I42" i="6" s="1"/>
  <c r="H42" i="6"/>
  <c r="J42" i="6"/>
  <c r="G43" i="6"/>
  <c r="I43" i="6" s="1"/>
  <c r="H43" i="6"/>
  <c r="J43" i="6"/>
  <c r="G44" i="6"/>
  <c r="I44" i="6" s="1"/>
  <c r="H44" i="6"/>
  <c r="J44" i="6"/>
  <c r="G45" i="6"/>
  <c r="I45" i="6" s="1"/>
  <c r="H45" i="6"/>
  <c r="J45" i="6"/>
  <c r="G46" i="6"/>
  <c r="I46" i="6" s="1"/>
  <c r="H46" i="6"/>
  <c r="J46" i="6"/>
  <c r="G47" i="6"/>
  <c r="I47" i="6" s="1"/>
  <c r="H47" i="6"/>
  <c r="J47" i="6"/>
  <c r="G48" i="6"/>
  <c r="I48" i="6" s="1"/>
  <c r="H48" i="6"/>
  <c r="J48" i="6"/>
  <c r="G49" i="6"/>
  <c r="I49" i="6" s="1"/>
  <c r="H49" i="6"/>
  <c r="J49" i="6"/>
  <c r="G50" i="6"/>
  <c r="I50" i="6" s="1"/>
  <c r="H50" i="6"/>
  <c r="J50" i="6"/>
  <c r="G51" i="6"/>
  <c r="I51" i="6" s="1"/>
  <c r="H51" i="6"/>
  <c r="J51" i="6"/>
  <c r="G52" i="6"/>
  <c r="I52" i="6" s="1"/>
  <c r="H52" i="6"/>
  <c r="J52" i="6"/>
  <c r="G53" i="6"/>
  <c r="I53" i="6" s="1"/>
  <c r="H53" i="6"/>
  <c r="J53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E54" i="6"/>
  <c r="DB54" i="6" s="1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E53" i="6"/>
  <c r="DB53" i="6" s="1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E52" i="6"/>
  <c r="DB52" i="6" s="1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E50" i="6"/>
  <c r="DB50" i="6" s="1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E47" i="6"/>
  <c r="DB47" i="6" s="1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E46" i="6"/>
  <c r="DB46" i="6" s="1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E43" i="6"/>
  <c r="DB43" i="6" s="1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E42" i="6"/>
  <c r="DB42" i="6" s="1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E41" i="6"/>
  <c r="DB41" i="6" s="1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E40" i="6"/>
  <c r="DB40" i="6" s="1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E38" i="6"/>
  <c r="DB38" i="6" s="1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E35" i="6"/>
  <c r="DB35" i="6" s="1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E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E31" i="6"/>
  <c r="DB31" i="6" s="1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E30" i="6"/>
  <c r="DB30" i="6" s="1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E29" i="6"/>
  <c r="DB29" i="6" s="1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E28" i="6"/>
  <c r="DB28" i="6" s="1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E26" i="6"/>
  <c r="DB26" i="6" s="1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E23" i="6"/>
  <c r="DB23" i="6" s="1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E22" i="6"/>
  <c r="DB22" i="6" s="1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E21" i="6"/>
  <c r="DB21" i="6" s="1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E19" i="6"/>
  <c r="DB19" i="6" s="1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E18" i="6"/>
  <c r="DB18" i="6" s="1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E17" i="6"/>
  <c r="DB17" i="6" s="1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E16" i="6"/>
  <c r="DB16" i="6" s="1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E14" i="6"/>
  <c r="DB14" i="6" s="1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E11" i="6"/>
  <c r="DB11" i="6" s="1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E10" i="6"/>
  <c r="DB10" i="6" s="1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E6" i="6"/>
  <c r="DB6" i="6" s="1"/>
  <c r="C6" i="6"/>
  <c r="A6" i="6"/>
  <c r="AW5" i="6"/>
  <c r="AX5" i="6" s="1"/>
  <c r="CY49" i="6" l="1"/>
  <c r="E49" i="6"/>
  <c r="DB49" i="6" s="1"/>
  <c r="CZ9" i="6"/>
  <c r="E9" i="6"/>
  <c r="DB9" i="6" s="1"/>
  <c r="CZ15" i="6"/>
  <c r="E15" i="6"/>
  <c r="DB15" i="6" s="1"/>
  <c r="CZ27" i="6"/>
  <c r="E27" i="6"/>
  <c r="DB27" i="6" s="1"/>
  <c r="CZ33" i="6"/>
  <c r="E33" i="6"/>
  <c r="DB33" i="6" s="1"/>
  <c r="CZ39" i="6"/>
  <c r="E39" i="6"/>
  <c r="DB39" i="6" s="1"/>
  <c r="CZ45" i="6"/>
  <c r="E45" i="6"/>
  <c r="DB45" i="6" s="1"/>
  <c r="CY44" i="6"/>
  <c r="E44" i="6"/>
  <c r="DB44" i="6" s="1"/>
  <c r="CZ51" i="6"/>
  <c r="E51" i="6"/>
  <c r="DB51" i="6" s="1"/>
  <c r="CY12" i="6"/>
  <c r="E12" i="6"/>
  <c r="DB12" i="6" s="1"/>
  <c r="CY24" i="6"/>
  <c r="E24" i="6"/>
  <c r="DB24" i="6" s="1"/>
  <c r="CY36" i="6"/>
  <c r="E36" i="6"/>
  <c r="DB36" i="6" s="1"/>
  <c r="CZ7" i="6"/>
  <c r="E7" i="6"/>
  <c r="DB7" i="6" s="1"/>
  <c r="CY13" i="6"/>
  <c r="E13" i="6"/>
  <c r="DB13" i="6" s="1"/>
  <c r="CY25" i="6"/>
  <c r="E25" i="6"/>
  <c r="DB25" i="6" s="1"/>
  <c r="CY37" i="6"/>
  <c r="E37" i="6"/>
  <c r="DB37" i="6" s="1"/>
  <c r="CY48" i="6"/>
  <c r="E48" i="6"/>
  <c r="DB48" i="6" s="1"/>
  <c r="CY32" i="6"/>
  <c r="E32" i="6"/>
  <c r="DB32" i="6" s="1"/>
  <c r="CY8" i="6"/>
  <c r="E8" i="6"/>
  <c r="DB8" i="6" s="1"/>
  <c r="CY20" i="6"/>
  <c r="E20" i="6"/>
  <c r="DB20" i="6" s="1"/>
  <c r="CZ43" i="6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DF27" i="6"/>
  <c r="AX33" i="6"/>
  <c r="DB34" i="6"/>
  <c r="CX37" i="6"/>
  <c r="CZ38" i="6"/>
  <c r="BC40" i="6"/>
  <c r="BH47" i="6"/>
  <c r="BF47" i="6" s="1"/>
  <c r="BG47" i="6" s="1"/>
  <c r="CX51" i="6"/>
  <c r="BC54" i="6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DF10" i="6"/>
  <c r="CY11" i="6"/>
  <c r="AX13" i="6"/>
  <c r="CZ18" i="6"/>
  <c r="BH21" i="6"/>
  <c r="BF21" i="6" s="1"/>
  <c r="BG21" i="6" s="1"/>
  <c r="DF22" i="6"/>
  <c r="CY23" i="6"/>
  <c r="AX25" i="6"/>
  <c r="CZ30" i="6"/>
  <c r="DF34" i="6"/>
  <c r="CY35" i="6"/>
  <c r="AX37" i="6"/>
  <c r="CZ42" i="6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CZ21" i="6"/>
  <c r="BB11" i="6"/>
  <c r="BB23" i="6"/>
  <c r="BB35" i="6"/>
  <c r="BB47" i="6"/>
  <c r="AX14" i="6"/>
  <c r="AX26" i="6"/>
  <c r="AX38" i="6"/>
  <c r="AX50" i="6"/>
  <c r="AX12" i="6"/>
  <c r="BB14" i="6"/>
  <c r="AX24" i="6"/>
  <c r="BB26" i="6"/>
  <c r="AX36" i="6"/>
  <c r="BB38" i="6"/>
  <c r="BC45" i="6"/>
  <c r="AX48" i="6"/>
  <c r="BB50" i="6"/>
  <c r="CY15" i="6"/>
  <c r="BB19" i="6"/>
  <c r="CY27" i="6"/>
  <c r="BB31" i="6"/>
  <c r="CY39" i="6"/>
  <c r="BB43" i="6"/>
  <c r="CY51" i="6"/>
  <c r="BB7" i="6"/>
  <c r="DF5" i="6"/>
  <c r="BB5" i="6"/>
  <c r="BH33" i="6" l="1"/>
  <c r="BF33" i="6" s="1"/>
  <c r="BG33" i="6" s="1"/>
  <c r="BH15" i="6"/>
  <c r="BF15" i="6" s="1"/>
  <c r="BG15" i="6" s="1"/>
  <c r="BH32" i="6"/>
  <c r="BF32" i="6" s="1"/>
  <c r="BG32" i="6" s="1"/>
  <c r="BH24" i="6"/>
  <c r="BF24" i="6" s="1"/>
  <c r="BG24" i="6" s="1"/>
  <c r="BH36" i="6"/>
  <c r="BF36" i="6" s="1"/>
  <c r="BG36" i="6" s="1"/>
  <c r="BH45" i="6"/>
  <c r="BF45" i="6" s="1"/>
  <c r="BG45" i="6" s="1"/>
  <c r="BH12" i="6"/>
  <c r="BF12" i="6" s="1"/>
  <c r="BG12" i="6" s="1"/>
  <c r="BH37" i="6"/>
  <c r="BF37" i="6" s="1"/>
  <c r="BG37" i="6" s="1"/>
  <c r="BH7" i="6"/>
  <c r="BF7" i="6" s="1"/>
  <c r="BG7" i="6" s="1"/>
  <c r="BH8" i="6"/>
  <c r="BF8" i="6" s="1"/>
  <c r="BG8" i="6" s="1"/>
  <c r="BH49" i="6"/>
  <c r="BF49" i="6" s="1"/>
  <c r="BG49" i="6" s="1"/>
  <c r="BH48" i="6"/>
  <c r="BF48" i="6" s="1"/>
  <c r="BG48" i="6" s="1"/>
  <c r="BH39" i="6"/>
  <c r="BF39" i="6" s="1"/>
  <c r="BG39" i="6" s="1"/>
  <c r="BH20" i="6"/>
  <c r="BF20" i="6" s="1"/>
  <c r="BG20" i="6" s="1"/>
  <c r="BH27" i="6"/>
  <c r="BF27" i="6" s="1"/>
  <c r="BG27" i="6" s="1"/>
  <c r="BH13" i="6"/>
  <c r="BF13" i="6" s="1"/>
  <c r="BG13" i="6" s="1"/>
  <c r="BH44" i="6"/>
  <c r="BF44" i="6" s="1"/>
  <c r="BG44" i="6" s="1"/>
  <c r="BH9" i="6"/>
  <c r="BF9" i="6" s="1"/>
  <c r="BG9" i="6" s="1"/>
  <c r="BH51" i="6"/>
  <c r="BF51" i="6" s="1"/>
  <c r="BG51" i="6" s="1"/>
  <c r="BH25" i="6"/>
  <c r="BF25" i="6" s="1"/>
  <c r="BG25" i="6" s="1"/>
  <c r="BC21" i="6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<sst xmlns="http://schemas.openxmlformats.org/spreadsheetml/2006/main" count="8072" uniqueCount="1069">
  <si>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</si>
  <si>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</si>
  <si>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</si>
  <si>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</si>
  <si>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</si>
  <si>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</si>
  <si>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</si>
  <si>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</si>
  <si>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</si>
  <si>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</si>
  <si>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</si>
  <si>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</si>
  <si>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</si>
  <si>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</si>
  <si>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</si>
  <si>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</si>
  <si>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</si>
  <si>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</si>
  <si>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</si>
  <si>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</si>
  <si>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</si>
  <si>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</si>
  <si>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</si>
  <si>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</si>
  <si>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</si>
  <si>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</si>
  <si>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</si>
  <si>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</si>
  <si>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</si>
  <si>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</si>
  <si>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</si>
  <si>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</si>
  <si>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</si>
  <si>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</si>
  <si>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</si>
  <si>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</si>
  <si>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</si>
  <si>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</si>
  <si>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</si>
  <si>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</si>
  <si>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</si>
  <si>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</si>
  <si>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</si>
  <si>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</si>
  <si>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</si>
  <si>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</si>
  <si>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</si>
  <si>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</si>
  <si>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</si>
  <si>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</si>
  <si>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</si>
  <si>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</si>
  <si>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</si>
  <si>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</si>
  <si>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</si>
  <si>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</si>
  <si>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</si>
  <si>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</si>
  <si>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</si>
  <si>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</si>
  <si>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</si>
  <si>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</si>
  <si>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</si>
  <si>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</si>
  <si>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</si>
  <si>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</si>
  <si>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</si>
  <si>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</si>
  <si>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</si>
  <si>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</si>
  <si>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</si>
  <si>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</si>
  <si>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</si>
  <si>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</si>
  <si>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</si>
  <si>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</si>
  <si>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</si>
  <si>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</si>
  <si>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</si>
  <si>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</si>
  <si>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</si>
  <si>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</si>
  <si>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</si>
  <si>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</si>
  <si>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</si>
  <si>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</si>
  <si>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</si>
  <si>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</si>
  <si>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</si>
  <si>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</si>
  <si>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</si>
  <si>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</si>
  <si>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</si>
  <si>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</si>
  <si>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</si>
  <si>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</si>
  <si>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</si>
  <si>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</si>
  <si>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</si>
  <si>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</si>
  <si>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</si>
  <si>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</si>
  <si>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</si>
  <si>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</si>
  <si>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</si>
  <si>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</si>
  <si>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</si>
  <si>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</si>
  <si>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</si>
  <si>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</si>
  <si>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</si>
  <si>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</si>
  <si>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</si>
  <si>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</si>
  <si>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</si>
  <si>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</si>
  <si>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</si>
  <si>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</si>
  <si>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</si>
  <si>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</si>
  <si>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</si>
  <si>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</si>
  <si>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</si>
  <si>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</si>
  <si>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</si>
  <si>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</si>
  <si>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</si>
  <si>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</si>
  <si>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</si>
  <si>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</si>
  <si>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</si>
  <si>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</si>
  <si>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</si>
  <si>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</si>
  <si>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</si>
  <si>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</si>
  <si>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</si>
  <si>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</si>
  <si>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</si>
  <si>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</si>
  <si>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</si>
  <si>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</si>
  <si>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</si>
  <si>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</si>
  <si>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</si>
  <si>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</si>
  <si>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</si>
  <si>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</si>
  <si>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</si>
  <si>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</si>
  <si>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</si>
  <si>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</si>
  <si>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</si>
  <si>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</si>
  <si>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</si>
  <si>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</si>
  <si>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</si>
  <si>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</si>
  <si>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</si>
  <si>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</si>
  <si>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</si>
  <si>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</si>
  <si>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</si>
  <si>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</si>
  <si>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</si>
  <si>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</si>
  <si>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</si>
  <si>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</si>
  <si>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</si>
  <si>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</si>
  <si>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</si>
  <si>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</si>
  <si>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</si>
  <si>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</si>
  <si>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</si>
  <si>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</si>
  <si>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</si>
  <si>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</si>
  <si>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</si>
  <si>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</si>
  <si>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</si>
  <si>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</si>
  <si>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</si>
  <si>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</si>
  <si>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</si>
  <si>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</si>
  <si>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</si>
  <si>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</si>
  <si>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</si>
  <si>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</si>
  <si>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</si>
  <si>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</si>
  <si>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</si>
  <si>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</si>
  <si>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</si>
  <si>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</si>
  <si>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</si>
  <si>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</si>
  <si>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</si>
  <si>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</si>
  <si>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</si>
  <si>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</si>
  <si>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</si>
  <si>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</si>
  <si>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</si>
  <si>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</si>
  <si>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</si>
  <si>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</si>
  <si>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</si>
  <si>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</si>
  <si>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</si>
  <si>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</si>
  <si>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</si>
  <si>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</si>
  <si>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</si>
  <si>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</si>
  <si>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</si>
  <si>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</si>
  <si>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</si>
  <si>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</si>
  <si>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</si>
  <si>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</si>
  <si>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</si>
  <si>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</si>
  <si>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</si>
  <si>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</si>
  <si>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</si>
  <si>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</si>
  <si>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</si>
  <si>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</si>
  <si>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</si>
  <si>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</si>
  <si>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</si>
  <si>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</si>
  <si>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</si>
  <si>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</si>
  <si>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</si>
  <si>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</si>
  <si>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</si>
  <si>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</si>
  <si>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</si>
  <si>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</si>
  <si>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</si>
  <si>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</si>
  <si>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</si>
  <si>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</si>
  <si>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</si>
  <si>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</si>
  <si>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</si>
  <si>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</si>
  <si>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</si>
  <si>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</si>
  <si>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</si>
  <si>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</si>
  <si>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</si>
  <si>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</si>
  <si>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</si>
  <si>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</si>
  <si>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</si>
  <si>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</si>
  <si>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</si>
  <si>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</si>
  <si>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</si>
  <si>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</si>
  <si>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</si>
  <si>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</si>
  <si>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</si>
  <si>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</si>
  <si>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</si>
  <si>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</si>
  <si>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</si>
  <si>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</si>
  <si>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</si>
  <si>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</si>
  <si>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</si>
  <si>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</si>
  <si>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</si>
  <si>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</si>
  <si>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</si>
  <si>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</si>
  <si>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</si>
  <si>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</si>
  <si>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</si>
  <si>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</si>
  <si>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</si>
  <si>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</si>
  <si>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</si>
  <si>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</si>
  <si>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</si>
  <si>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</si>
  <si>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</si>
  <si>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</si>
  <si>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</si>
  <si>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</si>
  <si>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</si>
  <si>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</si>
  <si>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</si>
  <si>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</si>
  <si>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</si>
  <si>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</si>
  <si>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</si>
  <si>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</si>
  <si>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</si>
  <si>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</si>
  <si>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</si>
  <si>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</si>
  <si>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</si>
  <si>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</si>
  <si>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</si>
  <si>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</si>
  <si>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</si>
  <si>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</si>
  <si>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</si>
  <si>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</si>
  <si>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</si>
  <si>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</si>
  <si>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</si>
  <si>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</si>
  <si>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</si>
  <si>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</si>
  <si>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</si>
  <si>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</si>
  <si>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</si>
  <si>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</si>
  <si>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</si>
  <si>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</si>
  <si>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</si>
  <si>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</si>
  <si>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</si>
  <si>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</si>
  <si>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</si>
  <si>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</si>
  <si>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</si>
  <si>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</si>
  <si>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</si>
  <si>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</si>
  <si>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</si>
  <si>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</si>
  <si>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</si>
  <si>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</si>
  <si>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</si>
  <si>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</si>
  <si>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</si>
  <si>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</si>
  <si>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</si>
  <si>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</si>
  <si>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</si>
  <si>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</si>
  <si>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</si>
  <si>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</si>
  <si>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</si>
  <si>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</si>
  <si>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</si>
  <si>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</si>
  <si>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</si>
  <si>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</si>
  <si>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</si>
  <si>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</si>
  <si>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</si>
  <si>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</si>
  <si>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</si>
  <si>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</si>
  <si>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</si>
  <si>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</si>
  <si>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</si>
  <si>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</si>
  <si>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</si>
  <si>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</si>
  <si>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</si>
  <si>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</si>
  <si>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</si>
  <si>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</si>
  <si>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</si>
  <si>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</si>
  <si>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</si>
  <si>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</si>
  <si>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</si>
  <si>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</si>
  <si>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</si>
  <si>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</si>
  <si>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</si>
  <si>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</si>
  <si>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</si>
  <si>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</si>
  <si>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</si>
  <si>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</si>
  <si>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</si>
  <si>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</si>
  <si>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</si>
  <si>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</si>
  <si>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</si>
  <si>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</si>
  <si>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</si>
  <si>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</si>
  <si>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</si>
  <si>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</si>
  <si>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</si>
  <si>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</si>
  <si>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</si>
  <si>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</si>
  <si>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</si>
  <si>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</si>
  <si>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</si>
  <si>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</si>
  <si>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</si>
  <si>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</si>
  <si>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</si>
  <si>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</si>
  <si>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</si>
  <si>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</si>
  <si>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</si>
  <si>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</si>
  <si>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</si>
  <si>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</si>
  <si>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</si>
  <si>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</si>
  <si>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</si>
  <si>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</si>
  <si>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</si>
  <si>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</si>
  <si>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</si>
  <si>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</si>
  <si>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</si>
  <si>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</si>
  <si>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</si>
  <si>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</si>
  <si>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</si>
  <si>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</si>
  <si>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</si>
  <si>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</si>
  <si>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</si>
  <si>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</si>
  <si>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</si>
  <si>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</si>
  <si>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</si>
  <si>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</si>
  <si>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</si>
  <si>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</si>
  <si>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</si>
  <si>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</si>
  <si>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</si>
  <si>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</si>
  <si>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</si>
  <si>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</si>
  <si>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</si>
  <si>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</si>
  <si>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</si>
  <si>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</si>
  <si>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</si>
  <si>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</si>
  <si>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</si>
  <si>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</si>
  <si>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</si>
  <si>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</si>
  <si>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</si>
  <si>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</si>
  <si>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</si>
  <si>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</si>
  <si>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</si>
  <si>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</si>
  <si>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</si>
  <si>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</si>
  <si>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</si>
  <si>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</si>
  <si>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</si>
  <si>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</si>
  <si>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</si>
  <si>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</si>
  <si>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</si>
  <si>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</si>
  <si>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</si>
  <si>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</si>
  <si>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</si>
  <si>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</si>
  <si>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</si>
  <si>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</si>
  <si>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</si>
  <si>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</si>
  <si>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</si>
  <si>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</si>
  <si>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</si>
  <si>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</si>
  <si>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</si>
  <si>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</si>
  <si>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</si>
  <si>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</si>
  <si>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</si>
  <si>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</si>
  <si>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</si>
  <si>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</si>
  <si>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</si>
  <si>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</si>
  <si>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</si>
  <si>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</si>
  <si>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</si>
  <si>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</si>
  <si>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</si>
  <si>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</si>
  <si>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</si>
  <si>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</si>
  <si>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</si>
  <si>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</si>
  <si>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</si>
  <si>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</si>
  <si>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</si>
  <si>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</si>
  <si>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</si>
  <si>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</si>
  <si>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</si>
  <si>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</si>
  <si>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</si>
  <si>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</si>
  <si>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</si>
  <si>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</si>
  <si>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</si>
  <si>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</si>
  <si>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</si>
  <si>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</si>
  <si>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</si>
  <si>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</si>
  <si>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</si>
  <si>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</si>
  <si>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</si>
  <si>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</si>
  <si>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</si>
  <si>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</si>
  <si>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</si>
  <si>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</si>
  <si>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</si>
  <si>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</si>
  <si>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</si>
  <si>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</si>
  <si>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</si>
  <si>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</si>
  <si>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</si>
  <si>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</si>
  <si>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</si>
  <si>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</si>
  <si>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</si>
  <si>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</si>
  <si>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</si>
  <si>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</si>
  <si>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</si>
  <si>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</si>
  <si>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</si>
  <si>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</si>
  <si>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</si>
  <si>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</si>
  <si>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</si>
  <si>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</si>
  <si>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</si>
  <si>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</si>
  <si>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</si>
  <si>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</si>
  <si>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</si>
  <si>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</si>
  <si>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</si>
  <si>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</si>
  <si>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</si>
  <si>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</si>
  <si>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</si>
  <si>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</si>
  <si>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</si>
  <si>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</si>
  <si>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</si>
  <si>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</si>
  <si>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</si>
  <si>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</si>
  <si>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</si>
  <si>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</si>
  <si>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</si>
  <si>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</si>
  <si>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</si>
  <si>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</si>
  <si>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</si>
  <si>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</si>
  <si>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</si>
  <si>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</si>
  <si>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</si>
  <si>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</si>
  <si>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</si>
  <si>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</si>
  <si>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</si>
  <si>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</si>
  <si>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</si>
  <si>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</si>
  <si>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</si>
  <si>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</si>
  <si>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</si>
  <si>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</si>
  <si>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</si>
  <si>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</si>
  <si>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</si>
  <si>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</si>
  <si>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</si>
  <si>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</si>
  <si>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</si>
  <si>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</si>
  <si>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</si>
  <si>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</si>
  <si>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</si>
  <si>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</si>
  <si>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</si>
  <si>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</si>
  <si>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</si>
  <si>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</si>
  <si>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</si>
  <si>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</si>
  <si>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</si>
  <si>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</si>
  <si>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</si>
  <si>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</si>
  <si>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</si>
  <si>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</si>
  <si>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</si>
  <si>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</si>
  <si>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</si>
  <si>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</si>
  <si>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</si>
  <si>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</si>
  <si>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</si>
  <si>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</si>
  <si>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</si>
  <si>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</si>
  <si>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</si>
  <si>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</si>
  <si>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</si>
  <si>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</si>
  <si>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</si>
  <si>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</si>
  <si>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</si>
  <si>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</si>
  <si>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</si>
  <si>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</si>
  <si>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</si>
  <si>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</si>
  <si>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</si>
  <si>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</si>
  <si>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</si>
  <si>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</si>
  <si>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</si>
  <si>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</si>
  <si>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</si>
  <si>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</si>
  <si>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</si>
  <si>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</si>
  <si>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</si>
  <si>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</si>
  <si>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</si>
  <si>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</si>
  <si>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</si>
  <si>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</si>
  <si>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</si>
  <si>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</si>
  <si>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</si>
  <si>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</si>
  <si>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</si>
  <si>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</si>
  <si>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</si>
  <si>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</si>
  <si>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</si>
  <si>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</si>
  <si>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</si>
  <si>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</si>
  <si>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</si>
  <si>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</si>
  <si>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</si>
  <si>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</si>
  <si>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</si>
  <si>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</si>
  <si>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</si>
  <si>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</si>
  <si>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</si>
  <si>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</si>
  <si>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</si>
  <si>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</si>
  <si>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</si>
  <si>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</si>
  <si>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</si>
  <si>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</si>
  <si>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</si>
  <si>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</si>
  <si>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</si>
  <si>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</si>
  <si>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</si>
  <si>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</si>
  <si>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</si>
  <si>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</si>
  <si>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</si>
  <si>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</si>
  <si>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</si>
  <si>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</si>
  <si>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</si>
  <si>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</si>
  <si>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</si>
  <si>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</si>
  <si>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</si>
  <si>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</si>
  <si>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</si>
  <si>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</si>
  <si>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</si>
  <si>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</si>
  <si>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</si>
  <si>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</si>
  <si>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</si>
  <si>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</si>
  <si>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</si>
  <si>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</si>
  <si>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</si>
  <si>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</si>
  <si>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</si>
  <si>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</si>
  <si>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</si>
  <si>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</si>
  <si>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</si>
  <si>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</si>
  <si>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</si>
  <si>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</si>
  <si>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</si>
  <si>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</si>
  <si>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</si>
  <si>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</si>
  <si>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</si>
  <si>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</si>
  <si>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</si>
  <si>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</si>
  <si>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</si>
  <si>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</si>
  <si>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</si>
  <si>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</si>
  <si>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</si>
  <si>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</si>
  <si>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</si>
  <si>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</si>
  <si>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</si>
  <si>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</si>
  <si>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</si>
  <si>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</si>
  <si>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</si>
  <si>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</si>
  <si>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</si>
  <si>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</si>
  <si>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</si>
  <si>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</si>
  <si>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</si>
  <si>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</si>
  <si>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</si>
  <si>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</si>
  <si>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</si>
  <si>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</si>
  <si>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</si>
  <si>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</si>
  <si>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</si>
  <si>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</si>
  <si>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</si>
  <si>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</si>
  <si>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</si>
  <si>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</si>
  <si>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</si>
  <si>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</si>
  <si>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</si>
  <si>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</si>
  <si>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</si>
  <si>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</si>
  <si>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</si>
  <si>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</si>
  <si>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</si>
  <si>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</si>
  <si>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</si>
  <si>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</si>
  <si>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</si>
  <si>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</si>
  <si>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</si>
  <si>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</si>
  <si>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</si>
  <si>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</si>
  <si>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</si>
  <si>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</si>
  <si>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</si>
  <si>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</si>
  <si>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</si>
  <si>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</si>
  <si>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</si>
  <si>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</si>
  <si>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</si>
  <si>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</si>
  <si>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</si>
  <si>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</si>
  <si>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</si>
  <si>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</si>
  <si>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</si>
  <si>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</si>
  <si>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</si>
  <si>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</si>
  <si>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</si>
  <si>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</si>
  <si>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</si>
  <si>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</si>
  <si>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</si>
  <si>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</si>
  <si>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</si>
  <si>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</si>
  <si>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</si>
  <si>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</si>
  <si>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</si>
  <si>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</si>
  <si>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</si>
  <si>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</si>
  <si>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</si>
  <si>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</si>
  <si>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</si>
  <si>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</si>
  <si>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</si>
  <si>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</si>
  <si>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</si>
  <si>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</si>
  <si>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</si>
  <si>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</si>
  <si>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</si>
  <si>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</si>
  <si>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</si>
  <si>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</si>
  <si>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</si>
  <si>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</si>
  <si>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</si>
  <si>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</si>
  <si>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</si>
  <si>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</si>
  <si>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</si>
  <si>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</si>
  <si>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</si>
  <si>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</si>
  <si>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</si>
  <si>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</si>
  <si>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</si>
  <si>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</si>
  <si>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</si>
  <si>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</si>
  <si>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</si>
  <si>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</si>
  <si>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</si>
  <si>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</si>
  <si>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</si>
  <si>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</si>
  <si>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</si>
  <si>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</si>
  <si>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</si>
  <si>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</si>
  <si>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</si>
  <si>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</si>
  <si>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</si>
  <si>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</si>
  <si>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</si>
  <si>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</si>
  <si>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</si>
  <si>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</si>
  <si>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</si>
  <si>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</si>
  <si>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</si>
  <si>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</si>
  <si>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</si>
  <si>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</si>
  <si>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</si>
  <si>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</si>
  <si>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</si>
  <si>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</si>
  <si>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</si>
  <si>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</si>
  <si>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</si>
  <si>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</si>
  <si>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</si>
  <si>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</si>
  <si>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</si>
  <si>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</si>
  <si>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</si>
  <si>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</si>
  <si>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</si>
  <si>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</si>
  <si>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</si>
  <si>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</si>
  <si>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</si>
  <si>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</si>
  <si>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</si>
  <si>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</si>
  <si>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</si>
  <si>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</si>
  <si>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</si>
  <si>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</si>
  <si>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</si>
  <si>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</si>
  <si>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</si>
  <si>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</si>
  <si>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</si>
  <si>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</si>
  <si>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</si>
  <si>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</si>
  <si>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</si>
  <si>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</si>
  <si>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</si>
  <si>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</si>
  <si>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</si>
  <si>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</si>
  <si>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</si>
  <si>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</si>
  <si>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</si>
  <si>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</si>
  <si>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</si>
  <si>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</si>
  <si>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</si>
  <si>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</si>
  <si>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</si>
  <si>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</si>
  <si>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</si>
  <si>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</si>
  <si>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</si>
  <si>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</si>
  <si>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</si>
  <si>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</si>
  <si>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</si>
  <si>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</si>
  <si>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</si>
  <si>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</si>
  <si>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</si>
  <si>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</si>
  <si>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</si>
  <si>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</si>
  <si>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</si>
  <si>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</si>
  <si>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</si>
  <si>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</si>
  <si>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</si>
  <si>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</si>
  <si>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</si>
  <si>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</si>
  <si>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</si>
  <si>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</si>
  <si>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</si>
  <si>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</si>
  <si>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</si>
  <si>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</si>
  <si>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</si>
  <si>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</si>
  <si>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</si>
  <si>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</si>
  <si>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</si>
  <si>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</si>
  <si>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</si>
  <si>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</si>
  <si>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</si>
  <si>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</si>
  <si>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</si>
  <si>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</si>
  <si>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</si>
  <si>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</si>
  <si>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</si>
  <si>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</si>
  <si>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</si>
  <si>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</si>
  <si>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</si>
  <si>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</si>
  <si>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</si>
  <si>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</si>
  <si>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</si>
  <si>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</si>
  <si>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</si>
  <si>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</si>
  <si>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</si>
  <si>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</si>
  <si>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</si>
  <si>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</si>
  <si>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</si>
  <si>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</si>
  <si>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</si>
  <si>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</si>
  <si>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</si>
  <si>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</si>
  <si>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</si>
  <si>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</si>
  <si>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</si>
  <si>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</si>
  <si>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</si>
  <si>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</si>
  <si>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</si>
  <si>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</si>
  <si>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</si>
  <si>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</si>
  <si>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</si>
  <si>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</si>
  <si>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</si>
  <si>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</si>
  <si>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</si>
  <si>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</si>
  <si>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</si>
  <si>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</si>
  <si>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</si>
  <si>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</si>
  <si>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</si>
  <si>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</si>
  <si>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</si>
  <si>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</si>
  <si>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</si>
  <si>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</si>
  <si>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</si>
  <si>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</si>
  <si>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</si>
  <si>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</si>
  <si>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</si>
  <si>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Comum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</si>
  <si>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</si>
  <si>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</si>
  <si>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</si>
  <si>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</si>
  <si>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</si>
  <si>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</si>
  <si>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</si>
  <si>
    <t>DadosFaltando</t>
  </si>
  <si>
    <t>Q:\Trabalhos em Andamento\Arthur Boff\8. Planilhas\12.1. Cadastros Novos P01 (Estruturas)\2022-03-18_AB_Estrutura P01 (TUBOS 100X100 STI)\2022-05-04_AB_Estrutura P01 (TUBOS 100X100 STI FORMADORA 7).xlsm</t>
  </si>
  <si>
    <t>SS300 2,70 MTH</t>
  </si>
  <si>
    <t>TUBO GF QUA 100X3,00X8100 BQ STI20603</t>
  </si>
  <si>
    <t>70,971999999999994</t>
  </si>
  <si>
    <t>5101010001</t>
  </si>
  <si>
    <t>TB QUA 100</t>
  </si>
  <si>
    <t>7306.61.00</t>
  </si>
  <si>
    <t>M093274008100</t>
  </si>
  <si>
    <t>1-</t>
  </si>
  <si>
    <t>8100</t>
  </si>
  <si>
    <t>1000</t>
  </si>
  <si>
    <t>STI20603</t>
  </si>
  <si>
    <t>Meincol 2</t>
  </si>
  <si>
    <t>Produto Acabado</t>
  </si>
  <si>
    <t>Industria</t>
  </si>
  <si>
    <t>TUBO QUA 100X3,00X8100 BQ SS300 STI</t>
  </si>
  <si>
    <t>K001473</t>
  </si>
  <si>
    <t>TUBO QUA 100X3,00 BQ</t>
  </si>
  <si>
    <t>70972,2</t>
  </si>
  <si>
    <t>L093274</t>
  </si>
  <si>
    <t>2,5</t>
  </si>
  <si>
    <t>3,18</t>
  </si>
  <si>
    <t>Semi-Fini. Goods</t>
  </si>
  <si>
    <t>Intercompanhia</t>
  </si>
  <si>
    <t>OLD</t>
  </si>
  <si>
    <t>V105379</t>
  </si>
  <si>
    <t>BOBINA 2,70 BQ AMT SOLARSYSTEM 300 MTH</t>
  </si>
  <si>
    <t>TUBO GF QUA 100X3,00X11500 BQ STI20604</t>
  </si>
  <si>
    <t>M093274011500</t>
  </si>
  <si>
    <t>11500</t>
  </si>
  <si>
    <t>STI20604</t>
  </si>
  <si>
    <t>TUBO QUA 100X3,00X11500 BQ SS300 STI</t>
  </si>
  <si>
    <t>100763</t>
  </si>
  <si>
    <t>TUBO GF QUA 100X3,00X11805 BQ STI20605</t>
  </si>
  <si>
    <t>M093274011805</t>
  </si>
  <si>
    <t>11805</t>
  </si>
  <si>
    <t>STI20605</t>
  </si>
  <si>
    <t>TUBO QUA 100X3,00X11805 BQ SS300 STI</t>
  </si>
  <si>
    <t>103435,41</t>
  </si>
  <si>
    <t>SS300 2,40 MTH</t>
  </si>
  <si>
    <t>TUBO GF QUA 100X2,65X8100 BQ STI20603</t>
  </si>
  <si>
    <t>M093174008100</t>
  </si>
  <si>
    <t>TUBO QUA 100X2,65X8100 BQ SS300 STI</t>
  </si>
  <si>
    <t>63633,599999999999</t>
  </si>
  <si>
    <t>L093174</t>
  </si>
  <si>
    <t>TUBO GF QUA 100X2,65X11500 BQ STI20604</t>
  </si>
  <si>
    <t>M093174011500</t>
  </si>
  <si>
    <t>TUBO QUA 100X2,65X11500 BQ SS300 STI</t>
  </si>
  <si>
    <t>90344</t>
  </si>
  <si>
    <t>TUBO GF QUA 100X2,65X11805 BQ STI20605</t>
  </si>
  <si>
    <t>M093174011805</t>
  </si>
  <si>
    <t>TUBO QUA 100X2,65X11805 BQ SS300 STI</t>
  </si>
  <si>
    <t>92740,08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</si>
</sst>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2"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1"/>
      <tableStyleElement type="headerRow" dxfId="230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Descrição CAM" tableColumnId="70"/>
      <queryTableField id="71" name="Enrijecedor Superior (mm)" tableColumnId="71"/>
      <queryTableField id="72" name="Enrijecedor Inferior (mm)" tableColumnId="72"/>
      <queryTableField id="73" name="Aba Superior (mm)" tableColumnId="73"/>
      <queryTableField id="74" name="Aba Inferior (mm)" tableColumnId="74"/>
      <queryTableField id="75" name="DIM 1 (mm)" tableColumnId="75"/>
      <queryTableField id="76" name="DIM 2 (mm)" tableColumnId="76"/>
      <queryTableField id="77" name="DIM 3 (mm)" tableColumnId="77"/>
      <queryTableField id="78" name="Alavanca 1 (mm)" tableColumnId="78"/>
      <queryTableField id="79" name="Alavanca 2 (mm)" tableColumnId="79"/>
      <queryTableField id="80" name="DADOS PURLINS" tableColumnId="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26" tableType="queryTable" totalsRowCount="1">
  <autoFilter ref="A1:CB25">
    <filterColumn colId="1">
      <filters>
        <filter val="NEW"/>
      </filters>
    </filterColumn>
  </autoFilter>
  <tableColumns count="80">
    <tableColumn id="1" uniqueName="1" name="PJT" totalsRowLabel="Total" queryTableFieldId="1"/>
    <tableColumn id="2" uniqueName="2" name="STS" queryTableFieldId="2"/>
    <tableColumn id="3" uniqueName="3" name="Código P01" queryTableFieldId="3"/>
    <tableColumn id="4" uniqueName="4" name="Descrição P01" queryTableFieldId="4"/>
    <tableColumn id="5" uniqueName="5" name="Modelo" queryTableFieldId="5"/>
    <tableColumn id="6" uniqueName="6" name="Descrição do Modelo" queryTableFieldId="6"/>
    <tableColumn id="7" uniqueName="7" name="Centro" queryTableFieldId="7"/>
    <tableColumn id="8" uniqueName="8" name="Comprimento_x000a_Final" queryTableFieldId="8"/>
    <tableColumn id="9" uniqueName="9" name="Peso Kg/m" queryTableFieldId="9"/>
    <tableColumn id="10" uniqueName="10" name="KG/PC" queryTableFieldId="10"/>
    <tableColumn id="11" uniqueName="11" name="Hierarquia 1" queryTableFieldId="11"/>
    <tableColumn id="12" uniqueName="12" name="Hierarquia 2" queryTableFieldId="12"/>
    <tableColumn id="13" uniqueName="13" name="Hierarquia 3" queryTableFieldId="13"/>
    <tableColumn id="14" uniqueName="14" name="Hierarquia 4" queryTableFieldId="14"/>
    <tableColumn id="15" uniqueName="15" name="Hierarquia 5" queryTableFieldId="15"/>
    <tableColumn id="16" uniqueName="16" name="Hierarquia Final" queryTableFieldId="16"/>
    <tableColumn id="17" uniqueName="17" name="GrPMerc." queryTableFieldId="17"/>
    <tableColumn id="18" uniqueName="18" name="Bitola de Produção_x000a_          Descrição" queryTableFieldId="18"/>
    <tableColumn id="19" uniqueName="19" name="N° SAP da Bitola" queryTableFieldId="19"/>
    <tableColumn id="20" uniqueName="20" name="Unidade de Venda" queryTableFieldId="20"/>
    <tableColumn id="21" uniqueName="21" name="NCM" queryTableFieldId="21"/>
    <tableColumn id="22" uniqueName="22" name="Peças por _x000a_Amarrado" queryTableFieldId="22"/>
    <tableColumn id="23" uniqueName="23" name="Centro de trabalho" queryTableFieldId="23"/>
    <tableColumn id="24" uniqueName="24" name="Tempo_x000a_Setup" queryTableFieldId="24"/>
    <tableColumn id="25" uniqueName="25" name="Tempo de_x000a_Operação" queryTableFieldId="25"/>
    <tableColumn id="26" uniqueName="26" name="Perda de _x000a_Processo" queryTableFieldId="26"/>
    <tableColumn id="27" uniqueName="27" name="Código do componente" queryTableFieldId="27"/>
    <tableColumn id="28" uniqueName="28" name="Comprimento _x000a_do Multiplo" queryTableFieldId="28"/>
    <tableColumn id="29" uniqueName="29" name="Perda em Kg para fabricar 1000 peças do tubo cortado (perda inerente)" queryTableFieldId="29"/>
    <tableColumn id="30" uniqueName="30" name="Quantidade em metros para fabricar 1000 peças + perda de processo" queryTableFieldId="30"/>
    <tableColumn id="31" uniqueName="31" name="Quantidade em peças para fabricar 1000 peças + perda de processo" queryTableFieldId="31"/>
    <tableColumn id="32" uniqueName="32" name="DADOS AO" queryTableFieldId="32"/>
    <tableColumn id="33" uniqueName="33" name="Chave LNTR" queryTableFieldId="33"/>
    <tableColumn id="34" uniqueName="34" name="Espessura nominal" queryTableFieldId="34"/>
    <tableColumn id="35" uniqueName="35" name="Laminação" queryTableFieldId="35"/>
    <tableColumn id="36" uniqueName="36" name="MTH?_x000a_MTL?" queryTableFieldId="36"/>
    <tableColumn id="37" uniqueName="37" name="Espessura Mínima" queryTableFieldId="37"/>
    <tableColumn id="38" uniqueName="38" name="Espessura Máxima" queryTableFieldId="38"/>
    <tableColumn id="39" uniqueName="39" name="Máquina" queryTableFieldId="39"/>
    <tableColumn id="40" uniqueName="40" name="Mapa/Plano de montagem" queryTableFieldId="40"/>
    <tableColumn id="41" uniqueName="41" name="Velocidade_x000a_(m/hr)" queryTableFieldId="41"/>
    <tableColumn id="42" uniqueName="42" name="Nave" queryTableFieldId="42"/>
    <tableColumn id="43" uniqueName="43" name="Tempo de _x000a_pré-instalação" queryTableFieldId="43"/>
    <tableColumn id="44" uniqueName="44" name="Sucata (m)" queryTableFieldId="44"/>
    <tableColumn id="45" uniqueName="45" name="Perda (%)" queryTableFieldId="45"/>
    <tableColumn id="46" uniqueName="46" name="Largura da tira" queryTableFieldId="46"/>
    <tableColumn id="47" uniqueName="47" name="Bobina_x000a_ configuravel?" queryTableFieldId="47"/>
    <tableColumn id="48" uniqueName="48" name="Largura ideal" queryTableFieldId="48"/>
    <tableColumn id="49" uniqueName="49" name="Velocidade_x000a_3000 até 4999" queryTableFieldId="49"/>
    <tableColumn id="50" uniqueName="50" name="Velocidade_x000a_5000 até 8000" queryTableFieldId="50"/>
    <tableColumn id="51" uniqueName="51" name="Velocidade_x000a_8001 até 14000" queryTableFieldId="51"/>
    <tableColumn id="52" uniqueName="52" name="DADOS LNP" queryTableFieldId="52"/>
    <tableColumn id="53" uniqueName="53" name="Cliente" queryTableFieldId="53"/>
    <tableColumn id="54" uniqueName="54" name="Preço de terceirização " queryTableFieldId="54" dataDxfId="2"/>
    <tableColumn id="55" uniqueName="55" name="Centro de Produção" queryTableFieldId="55"/>
    <tableColumn id="56" uniqueName="56" name="Column56" queryTableFieldId="56" dataDxfId="1"/>
    <tableColumn id="57" uniqueName="57" name="Depósito de produção" queryTableFieldId="57"/>
    <tableColumn id="58" uniqueName="58" name="Column58" queryTableFieldId="58" dataDxfId="0"/>
    <tableColumn id="59" uniqueName="59" name="Canal de Distribuição" queryTableFieldId="59"/>
    <tableColumn id="60" uniqueName="60" name="Column60" queryTableFieldId="60"/>
    <tableColumn id="61" uniqueName="61" name="Setor de Atividade" queryTableFieldId="61"/>
    <tableColumn id="62" uniqueName="62" name="Column62" queryTableFieldId="62"/>
    <tableColumn id="63" uniqueName="63" name="Níveis Organizacionais SAP" queryTableFieldId="63"/>
    <tableColumn id="64" uniqueName="64" name="Tipo de Material PROF" queryTableFieldId="64"/>
    <tableColumn id="65" uniqueName="65" name="Geometria CHAR" queryTableFieldId="65"/>
    <tableColumn id="66" uniqueName="66" name="Espessura CHAR" queryTableFieldId="66"/>
    <tableColumn id="67" uniqueName="67" name="Raspagem Interna?" queryTableFieldId="67"/>
    <tableColumn id="68" uniqueName="68" name="Metalização?" queryTableFieldId="68"/>
    <tableColumn id="69" uniqueName="69" name="DADOS VARIANT" queryTableFieldId="69"/>
    <tableColumn id="70" uniqueName="70" name="Descrição CAM" queryTableFieldId="70"/>
    <tableColumn id="71" uniqueName="71" name="Enrijecedor Superior (mm)" queryTableFieldId="71"/>
    <tableColumn id="72" uniqueName="72" name="Enrijecedor Inferior (mm)" queryTableFieldId="72"/>
    <tableColumn id="73" uniqueName="73" name="Aba Superior (mm)" queryTableFieldId="73"/>
    <tableColumn id="74" uniqueName="74" name="Aba Inferior (mm)" queryTableFieldId="74"/>
    <tableColumn id="75" uniqueName="75" name="DIM 1 (mm)" queryTableFieldId="75"/>
    <tableColumn id="76" uniqueName="76" name="DIM 2 (mm)" queryTableFieldId="76"/>
    <tableColumn id="77" uniqueName="77" name="DIM 3 (mm)" queryTableFieldId="77"/>
    <tableColumn id="78" uniqueName="78" name="Alavanca 1 (mm)" queryTableFieldId="78"/>
    <tableColumn id="79" uniqueName="79" name="Alavanca 2 (mm)" queryTableFieldId="79"/>
    <tableColumn id="80" uniqueName="8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29" dataDxfId="228">
  <autoFilter ref="A6:A7"/>
  <tableColumns count="1">
    <tableColumn id="1" name="DIRETORIO DA CONSULTA (POWER QUERY)" dataDxfId="2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1014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IF(IFERROR(INDEX(Consulta!$A:$DP,MATCH('MM01'!$B5,Consulta!$C:$C,0),'MM01'!D$2),"")=0,"",UPPER(IFERROR(INDEX(Consulta!$A:$DP,MATCH('MM01'!$B5,Consulta!$C:$C,0),'MM01'!D$2),"")))</f>
        <v/>
      </c>
      <c r="E5" s="43" t="str">
        <f>IF(OR(D5="KMAT",IFERROR(INDEX(Consulta!$A:$DP,MATCH('MM01'!$B5,Consulta!$C:$C,0),'MM01'!E$2),"")=0),"",IFERROR(INDEX(Consulta!$A:$DP,MATCH('MM01'!$B5,Consulta!$C:$C,0),'MM01'!E$2),""))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>
        <v>99</v>
      </c>
      <c r="BN5" s="46" t="str">
        <f ca="1">IF(BM5&lt;&gt;0,TEXT(TODAY(),"DD.MM.AAAA"),"")</f>
        <v>05.05.2022</v>
      </c>
      <c r="BO5" s="49" t="str">
        <f>G5</f>
        <v/>
      </c>
      <c r="BP5" s="50">
        <v>1</v>
      </c>
      <c r="BQ5" s="50" t="s">
        <v>194</v>
      </c>
      <c r="BR5" s="79" t="str">
        <f>IF(AR5="68","20","01")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05.05.2022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IF(IFERROR(INDEX(Consulta!$A:$DP,MATCH('MM01'!$B6,Consulta!$C:$C,0),'MM01'!D$2),"")=0,"",UPPER(IFERROR(INDEX(Consulta!$A:$DP,MATCH('MM01'!$B6,Consulta!$C:$C,0),'MM01'!D$2),"")))</f>
        <v/>
      </c>
      <c r="E6" s="43" t="str">
        <f>IF(OR(D6="KMAT",IFERROR(INDEX(Consulta!$A:$DP,MATCH('MM01'!$B6,Consulta!$C:$C,0),'MM01'!E$2),"")=0),"",IFERROR(INDEX(Consulta!$A:$DP,MATCH('MM01'!$B6,Consulta!$C:$C,0),'MM01'!E$2),""))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05.05.2022</v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IF(AR6="68","20","01")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05.05.2022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IF(IFERROR(INDEX(Consulta!$A:$DP,MATCH('MM01'!$B7,Consulta!$C:$C,0),'MM01'!D$2),"")=0,"",UPPER(IFERROR(INDEX(Consulta!$A:$DP,MATCH('MM01'!$B7,Consulta!$C:$C,0),'MM01'!D$2),"")))</f>
        <v/>
      </c>
      <c r="E7" s="43" t="str">
        <f>IF(OR(D7="KMAT",IFERROR(INDEX(Consulta!$A:$DP,MATCH('MM01'!$B7,Consulta!$C:$C,0),'MM01'!E$2),"")=0),"",IFERROR(INDEX(Consulta!$A:$DP,MATCH('MM01'!$B7,Consulta!$C:$C,0),'MM01'!E$2),""))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>
        <v>99</v>
      </c>
      <c r="BN7" s="46" t="str">
        <f t="shared" ca="1" si="13"/>
        <v>05.05.2022</v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IF(IFERROR(INDEX(Consulta!$A:$DP,MATCH('MM01'!$B8,Consulta!$C:$C,0),'MM01'!D$2),"")=0,"",UPPER(IFERROR(INDEX(Consulta!$A:$DP,MATCH('MM01'!$B8,Consulta!$C:$C,0),'MM01'!D$2),"")))</f>
        <v/>
      </c>
      <c r="E8" s="43" t="str">
        <f>IF(OR(D8="KMAT",IFERROR(INDEX(Consulta!$A:$DP,MATCH('MM01'!$B8,Consulta!$C:$C,0),'MM01'!E$2),"")=0),"",IFERROR(INDEX(Consulta!$A:$DP,MATCH('MM01'!$B8,Consulta!$C:$C,0),'MM01'!E$2),""))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>
        <v>99</v>
      </c>
      <c r="BN8" s="46" t="str">
        <f t="shared" ca="1" si="13"/>
        <v>05.05.2022</v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IF(IFERROR(INDEX(Consulta!$A:$DP,MATCH('MM01'!$B9,Consulta!$C:$C,0),'MM01'!D$2),"")=0,"",UPPER(IFERROR(INDEX(Consulta!$A:$DP,MATCH('MM01'!$B9,Consulta!$C:$C,0),'MM01'!D$2),"")))</f>
        <v/>
      </c>
      <c r="E9" s="43" t="str">
        <f>IF(OR(D9="KMAT",IFERROR(INDEX(Consulta!$A:$DP,MATCH('MM01'!$B9,Consulta!$C:$C,0),'MM01'!E$2),"")=0),"",IFERROR(INDEX(Consulta!$A:$DP,MATCH('MM01'!$B9,Consulta!$C:$C,0),'MM01'!E$2),""))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>
        <v>99</v>
      </c>
      <c r="BN9" s="46" t="str">
        <f t="shared" ca="1" si="13"/>
        <v>05.05.2022</v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IF(IFERROR(INDEX(Consulta!$A:$DP,MATCH('MM01'!$B10,Consulta!$C:$C,0),'MM01'!D$2),"")=0,"",UPPER(IFERROR(INDEX(Consulta!$A:$DP,MATCH('MM01'!$B10,Consulta!$C:$C,0),'MM01'!D$2),"")))</f>
        <v/>
      </c>
      <c r="E10" s="43" t="str">
        <f>IF(OR(D10="KMAT",IFERROR(INDEX(Consulta!$A:$DP,MATCH('MM01'!$B10,Consulta!$C:$C,0),'MM01'!E$2),"")=0),"",IFERROR(INDEX(Consulta!$A:$DP,MATCH('MM01'!$B10,Consulta!$C:$C,0),'MM01'!E$2),""))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>
        <v>99</v>
      </c>
      <c r="BN10" s="46" t="str">
        <f t="shared" ca="1" si="13"/>
        <v>05.05.2022</v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IF(IFERROR(INDEX(Consulta!$A:$DP,MATCH('MM01'!$B11,Consulta!$C:$C,0),'MM01'!D$2),"")=0,"",UPPER(IFERROR(INDEX(Consulta!$A:$DP,MATCH('MM01'!$B11,Consulta!$C:$C,0),'MM01'!D$2),"")))</f>
        <v/>
      </c>
      <c r="E11" s="43" t="str">
        <f>IF(OR(D11="KMAT",IFERROR(INDEX(Consulta!$A:$DP,MATCH('MM01'!$B11,Consulta!$C:$C,0),'MM01'!E$2),"")=0),"",IFERROR(INDEX(Consulta!$A:$DP,MATCH('MM01'!$B11,Consulta!$C:$C,0),'MM01'!E$2),""))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>
        <v>99</v>
      </c>
      <c r="BN11" s="46" t="str">
        <f t="shared" ca="1" si="13"/>
        <v>05.05.2022</v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IF(IFERROR(INDEX(Consulta!$A:$DP,MATCH('MM01'!$B12,Consulta!$C:$C,0),'MM01'!D$2),"")=0,"",UPPER(IFERROR(INDEX(Consulta!$A:$DP,MATCH('MM01'!$B12,Consulta!$C:$C,0),'MM01'!D$2),"")))</f>
        <v/>
      </c>
      <c r="E12" s="43" t="str">
        <f>IF(OR(D12="KMAT",IFERROR(INDEX(Consulta!$A:$DP,MATCH('MM01'!$B12,Consulta!$C:$C,0),'MM01'!E$2),"")=0),"",IFERROR(INDEX(Consulta!$A:$DP,MATCH('MM01'!$B12,Consulta!$C:$C,0),'MM01'!E$2),""))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>
        <v>99</v>
      </c>
      <c r="BN12" s="46" t="str">
        <f t="shared" ca="1" si="13"/>
        <v>05.05.2022</v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IF(IFERROR(INDEX(Consulta!$A:$DP,MATCH('MM01'!$B13,Consulta!$C:$C,0),'MM01'!D$2),"")=0,"",UPPER(IFERROR(INDEX(Consulta!$A:$DP,MATCH('MM01'!$B13,Consulta!$C:$C,0),'MM01'!D$2),"")))</f>
        <v/>
      </c>
      <c r="E13" s="43" t="str">
        <f>IF(OR(D13="KMAT",IFERROR(INDEX(Consulta!$A:$DP,MATCH('MM01'!$B13,Consulta!$C:$C,0),'MM01'!E$2),"")=0),"",IFERROR(INDEX(Consulta!$A:$DP,MATCH('MM01'!$B13,Consulta!$C:$C,0),'MM01'!E$2),""))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>
        <v>99</v>
      </c>
      <c r="BN13" s="46" t="str">
        <f t="shared" ca="1" si="13"/>
        <v>05.05.2022</v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IF(IFERROR(INDEX(Consulta!$A:$DP,MATCH('MM01'!$B14,Consulta!$C:$C,0),'MM01'!D$2),"")=0,"",UPPER(IFERROR(INDEX(Consulta!$A:$DP,MATCH('MM01'!$B14,Consulta!$C:$C,0),'MM01'!D$2),"")))</f>
        <v/>
      </c>
      <c r="E14" s="43" t="str">
        <f>IF(OR(D14="KMAT",IFERROR(INDEX(Consulta!$A:$DP,MATCH('MM01'!$B14,Consulta!$C:$C,0),'MM01'!E$2),"")=0),"",IFERROR(INDEX(Consulta!$A:$DP,MATCH('MM01'!$B14,Consulta!$C:$C,0),'MM01'!E$2),""))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>
        <v>99</v>
      </c>
      <c r="BN14" s="46" t="str">
        <f t="shared" ca="1" si="13"/>
        <v>05.05.2022</v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IF(IFERROR(INDEX(Consulta!$A:$DP,MATCH('MM01'!$B15,Consulta!$C:$C,0),'MM01'!D$2),"")=0,"",UPPER(IFERROR(INDEX(Consulta!$A:$DP,MATCH('MM01'!$B15,Consulta!$C:$C,0),'MM01'!D$2),"")))</f>
        <v/>
      </c>
      <c r="E15" s="43" t="str">
        <f>IF(OR(D15="KMAT",IFERROR(INDEX(Consulta!$A:$DP,MATCH('MM01'!$B15,Consulta!$C:$C,0),'MM01'!E$2),"")=0),"",IFERROR(INDEX(Consulta!$A:$DP,MATCH('MM01'!$B15,Consulta!$C:$C,0),'MM01'!E$2),""))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>
        <v>99</v>
      </c>
      <c r="BN15" s="46" t="str">
        <f t="shared" ca="1" si="13"/>
        <v>05.05.2022</v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IF(IFERROR(INDEX(Consulta!$A:$DP,MATCH('MM01'!$B16,Consulta!$C:$C,0),'MM01'!D$2),"")=0,"",UPPER(IFERROR(INDEX(Consulta!$A:$DP,MATCH('MM01'!$B16,Consulta!$C:$C,0),'MM01'!D$2),"")))</f>
        <v/>
      </c>
      <c r="E16" s="43" t="str">
        <f>IF(OR(D16="KMAT",IFERROR(INDEX(Consulta!$A:$DP,MATCH('MM01'!$B16,Consulta!$C:$C,0),'MM01'!E$2),"")=0),"",IFERROR(INDEX(Consulta!$A:$DP,MATCH('MM01'!$B16,Consulta!$C:$C,0),'MM01'!E$2),""))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>
        <v>99</v>
      </c>
      <c r="BN16" s="46" t="str">
        <f t="shared" ca="1" si="13"/>
        <v>05.05.2022</v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IF(IFERROR(INDEX(Consulta!$A:$DP,MATCH('MM01'!$B17,Consulta!$C:$C,0),'MM01'!D$2),"")=0,"",UPPER(IFERROR(INDEX(Consulta!$A:$DP,MATCH('MM01'!$B17,Consulta!$C:$C,0),'MM01'!D$2),"")))</f>
        <v/>
      </c>
      <c r="E17" s="43" t="str">
        <f>IF(OR(D17="KMAT",IFERROR(INDEX(Consulta!$A:$DP,MATCH('MM01'!$B17,Consulta!$C:$C,0),'MM01'!E$2),"")=0),"",IFERROR(INDEX(Consulta!$A:$DP,MATCH('MM01'!$B17,Consulta!$C:$C,0),'MM01'!E$2),""))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>
        <v>99</v>
      </c>
      <c r="BN17" s="46" t="str">
        <f t="shared" ca="1" si="13"/>
        <v>05.05.2022</v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IF(IFERROR(INDEX(Consulta!$A:$DP,MATCH('MM01'!$B18,Consulta!$C:$C,0),'MM01'!D$2),"")=0,"",UPPER(IFERROR(INDEX(Consulta!$A:$DP,MATCH('MM01'!$B18,Consulta!$C:$C,0),'MM01'!D$2),"")))</f>
        <v/>
      </c>
      <c r="E18" s="43" t="str">
        <f>IF(OR(D18="KMAT",IFERROR(INDEX(Consulta!$A:$DP,MATCH('MM01'!$B18,Consulta!$C:$C,0),'MM01'!E$2),"")=0),"",IFERROR(INDEX(Consulta!$A:$DP,MATCH('MM01'!$B18,Consulta!$C:$C,0),'MM01'!E$2),""))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>
        <v>99</v>
      </c>
      <c r="BN18" s="46" t="str">
        <f t="shared" ca="1" si="13"/>
        <v>05.05.2022</v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IF(IFERROR(INDEX(Consulta!$A:$DP,MATCH('MM01'!$B19,Consulta!$C:$C,0),'MM01'!D$2),"")=0,"",UPPER(IFERROR(INDEX(Consulta!$A:$DP,MATCH('MM01'!$B19,Consulta!$C:$C,0),'MM01'!D$2),"")))</f>
        <v/>
      </c>
      <c r="E19" s="43" t="str">
        <f>IF(OR(D19="KMAT",IFERROR(INDEX(Consulta!$A:$DP,MATCH('MM01'!$B19,Consulta!$C:$C,0),'MM01'!E$2),"")=0),"",IFERROR(INDEX(Consulta!$A:$DP,MATCH('MM01'!$B19,Consulta!$C:$C,0),'MM01'!E$2),""))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>
        <v>99</v>
      </c>
      <c r="BN19" s="46" t="str">
        <f t="shared" ca="1" si="13"/>
        <v>05.05.2022</v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IF(IFERROR(INDEX(Consulta!$A:$DP,MATCH('MM01'!$B20,Consulta!$C:$C,0),'MM01'!D$2),"")=0,"",UPPER(IFERROR(INDEX(Consulta!$A:$DP,MATCH('MM01'!$B20,Consulta!$C:$C,0),'MM01'!D$2),"")))</f>
        <v/>
      </c>
      <c r="E20" s="43" t="str">
        <f>IF(OR(D20="KMAT",IFERROR(INDEX(Consulta!$A:$DP,MATCH('MM01'!$B20,Consulta!$C:$C,0),'MM01'!E$2),"")=0),"",IFERROR(INDEX(Consulta!$A:$DP,MATCH('MM01'!$B20,Consulta!$C:$C,0),'MM01'!E$2),""))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>
        <v>99</v>
      </c>
      <c r="BN20" s="46" t="str">
        <f t="shared" ca="1" si="13"/>
        <v>05.05.2022</v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IF(IFERROR(INDEX(Consulta!$A:$DP,MATCH('MM01'!$B21,Consulta!$C:$C,0),'MM01'!D$2),"")=0,"",UPPER(IFERROR(INDEX(Consulta!$A:$DP,MATCH('MM01'!$B21,Consulta!$C:$C,0),'MM01'!D$2),"")))</f>
        <v/>
      </c>
      <c r="E21" s="43" t="str">
        <f>IF(OR(D21="KMAT",IFERROR(INDEX(Consulta!$A:$DP,MATCH('MM01'!$B21,Consulta!$C:$C,0),'MM01'!E$2),"")=0),"",IFERROR(INDEX(Consulta!$A:$DP,MATCH('MM01'!$B21,Consulta!$C:$C,0),'MM01'!E$2),""))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>
        <v>99</v>
      </c>
      <c r="BN21" s="46" t="str">
        <f t="shared" ca="1" si="13"/>
        <v>05.05.2022</v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IF(IFERROR(INDEX(Consulta!$A:$DP,MATCH('MM01'!$B22,Consulta!$C:$C,0),'MM01'!D$2),"")=0,"",UPPER(IFERROR(INDEX(Consulta!$A:$DP,MATCH('MM01'!$B22,Consulta!$C:$C,0),'MM01'!D$2),"")))</f>
        <v/>
      </c>
      <c r="E22" s="43" t="str">
        <f>IF(OR(D22="KMAT",IFERROR(INDEX(Consulta!$A:$DP,MATCH('MM01'!$B22,Consulta!$C:$C,0),'MM01'!E$2),"")=0),"",IFERROR(INDEX(Consulta!$A:$DP,MATCH('MM01'!$B22,Consulta!$C:$C,0),'MM01'!E$2),""))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>
        <v>99</v>
      </c>
      <c r="BN22" s="46" t="str">
        <f t="shared" ca="1" si="13"/>
        <v>05.05.2022</v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IF(IFERROR(INDEX(Consulta!$A:$DP,MATCH('MM01'!$B23,Consulta!$C:$C,0),'MM01'!D$2),"")=0,"",UPPER(IFERROR(INDEX(Consulta!$A:$DP,MATCH('MM01'!$B23,Consulta!$C:$C,0),'MM01'!D$2),"")))</f>
        <v/>
      </c>
      <c r="E23" s="43" t="str">
        <f>IF(OR(D23="KMAT",IFERROR(INDEX(Consulta!$A:$DP,MATCH('MM01'!$B23,Consulta!$C:$C,0),'MM01'!E$2),"")=0),"",IFERROR(INDEX(Consulta!$A:$DP,MATCH('MM01'!$B23,Consulta!$C:$C,0),'MM01'!E$2),""))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>
        <v>99</v>
      </c>
      <c r="BN23" s="46" t="str">
        <f t="shared" ca="1" si="13"/>
        <v>05.05.2022</v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IF(IFERROR(INDEX(Consulta!$A:$DP,MATCH('MM01'!$B24,Consulta!$C:$C,0),'MM01'!D$2),"")=0,"",UPPER(IFERROR(INDEX(Consulta!$A:$DP,MATCH('MM01'!$B24,Consulta!$C:$C,0),'MM01'!D$2),"")))</f>
        <v/>
      </c>
      <c r="E24" s="43" t="str">
        <f>IF(OR(D24="KMAT",IFERROR(INDEX(Consulta!$A:$DP,MATCH('MM01'!$B24,Consulta!$C:$C,0),'MM01'!E$2),"")=0),"",IFERROR(INDEX(Consulta!$A:$DP,MATCH('MM01'!$B24,Consulta!$C:$C,0),'MM01'!E$2),""))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>
        <v>99</v>
      </c>
      <c r="BN24" s="46" t="str">
        <f t="shared" ca="1" si="13"/>
        <v>05.05.2022</v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IF(IFERROR(INDEX(Consulta!$A:$DP,MATCH('MM01'!$B25,Consulta!$C:$C,0),'MM01'!D$2),"")=0,"",UPPER(IFERROR(INDEX(Consulta!$A:$DP,MATCH('MM01'!$B25,Consulta!$C:$C,0),'MM01'!D$2),"")))</f>
        <v/>
      </c>
      <c r="E25" s="43" t="str">
        <f>IF(OR(D25="KMAT",IFERROR(INDEX(Consulta!$A:$DP,MATCH('MM01'!$B25,Consulta!$C:$C,0),'MM01'!E$2),"")=0),"",IFERROR(INDEX(Consulta!$A:$DP,MATCH('MM01'!$B25,Consulta!$C:$C,0),'MM01'!E$2),""))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>
        <v>99</v>
      </c>
      <c r="BN25" s="46" t="str">
        <f t="shared" ca="1" si="13"/>
        <v>05.05.2022</v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IF(IFERROR(INDEX(Consulta!$A:$DP,MATCH('MM01'!$B26,Consulta!$C:$C,0),'MM01'!D$2),"")=0,"",UPPER(IFERROR(INDEX(Consulta!$A:$DP,MATCH('MM01'!$B26,Consulta!$C:$C,0),'MM01'!D$2),"")))</f>
        <v/>
      </c>
      <c r="E26" s="43" t="str">
        <f>IF(OR(D26="KMAT",IFERROR(INDEX(Consulta!$A:$DP,MATCH('MM01'!$B26,Consulta!$C:$C,0),'MM01'!E$2),"")=0),"",IFERROR(INDEX(Consulta!$A:$DP,MATCH('MM01'!$B26,Consulta!$C:$C,0),'MM01'!E$2),""))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>
        <v>99</v>
      </c>
      <c r="BN26" s="46" t="str">
        <f t="shared" ca="1" si="13"/>
        <v>05.05.2022</v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IF(IFERROR(INDEX(Consulta!$A:$DP,MATCH('MM01'!$B27,Consulta!$C:$C,0),'MM01'!D$2),"")=0,"",UPPER(IFERROR(INDEX(Consulta!$A:$DP,MATCH('MM01'!$B27,Consulta!$C:$C,0),'MM01'!D$2),"")))</f>
        <v/>
      </c>
      <c r="E27" s="43" t="str">
        <f>IF(OR(D27="KMAT",IFERROR(INDEX(Consulta!$A:$DP,MATCH('MM01'!$B27,Consulta!$C:$C,0),'MM01'!E$2),"")=0),"",IFERROR(INDEX(Consulta!$A:$DP,MATCH('MM01'!$B27,Consulta!$C:$C,0),'MM01'!E$2),""))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>
        <v>99</v>
      </c>
      <c r="BN27" s="46" t="str">
        <f t="shared" ca="1" si="13"/>
        <v>05.05.2022</v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IF(IFERROR(INDEX(Consulta!$A:$DP,MATCH('MM01'!$B28,Consulta!$C:$C,0),'MM01'!D$2),"")=0,"",UPPER(IFERROR(INDEX(Consulta!$A:$DP,MATCH('MM01'!$B28,Consulta!$C:$C,0),'MM01'!D$2),"")))</f>
        <v/>
      </c>
      <c r="E28" s="43" t="str">
        <f>IF(OR(D28="KMAT",IFERROR(INDEX(Consulta!$A:$DP,MATCH('MM01'!$B28,Consulta!$C:$C,0),'MM01'!E$2),"")=0),"",IFERROR(INDEX(Consulta!$A:$DP,MATCH('MM01'!$B28,Consulta!$C:$C,0),'MM01'!E$2),""))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>
        <v>99</v>
      </c>
      <c r="BN28" s="46" t="str">
        <f t="shared" ca="1" si="13"/>
        <v>05.05.2022</v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IF(IFERROR(INDEX(Consulta!$A:$DP,MATCH('MM01'!$B29,Consulta!$C:$C,0),'MM01'!D$2),"")=0,"",UPPER(IFERROR(INDEX(Consulta!$A:$DP,MATCH('MM01'!$B29,Consulta!$C:$C,0),'MM01'!D$2),"")))</f>
        <v/>
      </c>
      <c r="E29" s="43" t="str">
        <f>IF(OR(D29="KMAT",IFERROR(INDEX(Consulta!$A:$DP,MATCH('MM01'!$B29,Consulta!$C:$C,0),'MM01'!E$2),"")=0),"",IFERROR(INDEX(Consulta!$A:$DP,MATCH('MM01'!$B29,Consulta!$C:$C,0),'MM01'!E$2),""))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>
        <v>99</v>
      </c>
      <c r="BN29" s="46" t="str">
        <f t="shared" ca="1" si="13"/>
        <v>05.05.2022</v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IF(IFERROR(INDEX(Consulta!$A:$DP,MATCH('MM01'!$B30,Consulta!$C:$C,0),'MM01'!D$2),"")=0,"",UPPER(IFERROR(INDEX(Consulta!$A:$DP,MATCH('MM01'!$B30,Consulta!$C:$C,0),'MM01'!D$2),"")))</f>
        <v/>
      </c>
      <c r="E30" s="43" t="str">
        <f>IF(OR(D30="KMAT",IFERROR(INDEX(Consulta!$A:$DP,MATCH('MM01'!$B30,Consulta!$C:$C,0),'MM01'!E$2),"")=0),"",IFERROR(INDEX(Consulta!$A:$DP,MATCH('MM01'!$B30,Consulta!$C:$C,0),'MM01'!E$2),""))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>
        <v>99</v>
      </c>
      <c r="BN30" s="46" t="str">
        <f t="shared" ca="1" si="13"/>
        <v>05.05.2022</v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IF(IFERROR(INDEX(Consulta!$A:$DP,MATCH('MM01'!$B31,Consulta!$C:$C,0),'MM01'!D$2),"")=0,"",UPPER(IFERROR(INDEX(Consulta!$A:$DP,MATCH('MM01'!$B31,Consulta!$C:$C,0),'MM01'!D$2),"")))</f>
        <v/>
      </c>
      <c r="E31" s="43" t="str">
        <f>IF(OR(D31="KMAT",IFERROR(INDEX(Consulta!$A:$DP,MATCH('MM01'!$B31,Consulta!$C:$C,0),'MM01'!E$2),"")=0),"",IFERROR(INDEX(Consulta!$A:$DP,MATCH('MM01'!$B31,Consulta!$C:$C,0),'MM01'!E$2),""))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>
        <v>99</v>
      </c>
      <c r="BN31" s="46" t="str">
        <f t="shared" ca="1" si="13"/>
        <v>05.05.2022</v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IF(IFERROR(INDEX(Consulta!$A:$DP,MATCH('MM01'!$B32,Consulta!$C:$C,0),'MM01'!D$2),"")=0,"",UPPER(IFERROR(INDEX(Consulta!$A:$DP,MATCH('MM01'!$B32,Consulta!$C:$C,0),'MM01'!D$2),"")))</f>
        <v/>
      </c>
      <c r="E32" s="43" t="str">
        <f>IF(OR(D32="KMAT",IFERROR(INDEX(Consulta!$A:$DP,MATCH('MM01'!$B32,Consulta!$C:$C,0),'MM01'!E$2),"")=0),"",IFERROR(INDEX(Consulta!$A:$DP,MATCH('MM01'!$B32,Consulta!$C:$C,0),'MM01'!E$2),""))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>
        <v>99</v>
      </c>
      <c r="BN32" s="46" t="str">
        <f t="shared" ca="1" si="13"/>
        <v>05.05.2022</v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IF(IFERROR(INDEX(Consulta!$A:$DP,MATCH('MM01'!$B33,Consulta!$C:$C,0),'MM01'!D$2),"")=0,"",UPPER(IFERROR(INDEX(Consulta!$A:$DP,MATCH('MM01'!$B33,Consulta!$C:$C,0),'MM01'!D$2),"")))</f>
        <v/>
      </c>
      <c r="E33" s="43" t="str">
        <f>IF(OR(D33="KMAT",IFERROR(INDEX(Consulta!$A:$DP,MATCH('MM01'!$B33,Consulta!$C:$C,0),'MM01'!E$2),"")=0),"",IFERROR(INDEX(Consulta!$A:$DP,MATCH('MM01'!$B33,Consulta!$C:$C,0),'MM01'!E$2),""))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>
        <v>99</v>
      </c>
      <c r="BN33" s="46" t="str">
        <f t="shared" ca="1" si="13"/>
        <v>05.05.2022</v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IF(IFERROR(INDEX(Consulta!$A:$DP,MATCH('MM01'!$B34,Consulta!$C:$C,0),'MM01'!D$2),"")=0,"",UPPER(IFERROR(INDEX(Consulta!$A:$DP,MATCH('MM01'!$B34,Consulta!$C:$C,0),'MM01'!D$2),"")))</f>
        <v/>
      </c>
      <c r="E34" s="43" t="str">
        <f>IF(OR(D34="KMAT",IFERROR(INDEX(Consulta!$A:$DP,MATCH('MM01'!$B34,Consulta!$C:$C,0),'MM01'!E$2),"")=0),"",IFERROR(INDEX(Consulta!$A:$DP,MATCH('MM01'!$B34,Consulta!$C:$C,0),'MM01'!E$2),""))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>
        <v>99</v>
      </c>
      <c r="BN34" s="46" t="str">
        <f t="shared" ca="1" si="13"/>
        <v>05.05.2022</v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IF(IFERROR(INDEX(Consulta!$A:$DP,MATCH('MM01'!$B35,Consulta!$C:$C,0),'MM01'!D$2),"")=0,"",UPPER(IFERROR(INDEX(Consulta!$A:$DP,MATCH('MM01'!$B35,Consulta!$C:$C,0),'MM01'!D$2),"")))</f>
        <v/>
      </c>
      <c r="E35" s="43" t="str">
        <f>IF(OR(D35="KMAT",IFERROR(INDEX(Consulta!$A:$DP,MATCH('MM01'!$B35,Consulta!$C:$C,0),'MM01'!E$2),"")=0),"",IFERROR(INDEX(Consulta!$A:$DP,MATCH('MM01'!$B35,Consulta!$C:$C,0),'MM01'!E$2),""))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>
        <v>99</v>
      </c>
      <c r="BN35" s="46" t="str">
        <f t="shared" ca="1" si="13"/>
        <v>05.05.2022</v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IF(IFERROR(INDEX(Consulta!$A:$DP,MATCH('MM01'!$B36,Consulta!$C:$C,0),'MM01'!D$2),"")=0,"",UPPER(IFERROR(INDEX(Consulta!$A:$DP,MATCH('MM01'!$B36,Consulta!$C:$C,0),'MM01'!D$2),"")))</f>
        <v/>
      </c>
      <c r="E36" s="43" t="str">
        <f>IF(OR(D36="KMAT",IFERROR(INDEX(Consulta!$A:$DP,MATCH('MM01'!$B36,Consulta!$C:$C,0),'MM01'!E$2),"")=0),"",IFERROR(INDEX(Consulta!$A:$DP,MATCH('MM01'!$B36,Consulta!$C:$C,0),'MM01'!E$2),""))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>
        <v>99</v>
      </c>
      <c r="BN36" s="46" t="str">
        <f t="shared" ca="1" si="13"/>
        <v>05.05.2022</v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IF(IFERROR(INDEX(Consulta!$A:$DP,MATCH('MM01'!$B37,Consulta!$C:$C,0),'MM01'!D$2),"")=0,"",UPPER(IFERROR(INDEX(Consulta!$A:$DP,MATCH('MM01'!$B37,Consulta!$C:$C,0),'MM01'!D$2),"")))</f>
        <v/>
      </c>
      <c r="E37" s="43" t="str">
        <f>IF(OR(D37="KMAT",IFERROR(INDEX(Consulta!$A:$DP,MATCH('MM01'!$B37,Consulta!$C:$C,0),'MM01'!E$2),"")=0),"",IFERROR(INDEX(Consulta!$A:$DP,MATCH('MM01'!$B37,Consulta!$C:$C,0),'MM01'!E$2),""))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>
        <v>99</v>
      </c>
      <c r="BN37" s="46" t="str">
        <f t="shared" ca="1" si="13"/>
        <v>05.05.2022</v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IF(IFERROR(INDEX(Consulta!$A:$DP,MATCH('MM01'!$B38,Consulta!$C:$C,0),'MM01'!D$2),"")=0,"",UPPER(IFERROR(INDEX(Consulta!$A:$DP,MATCH('MM01'!$B38,Consulta!$C:$C,0),'MM01'!D$2),"")))</f>
        <v/>
      </c>
      <c r="E38" s="43" t="str">
        <f>IF(OR(D38="KMAT",IFERROR(INDEX(Consulta!$A:$DP,MATCH('MM01'!$B38,Consulta!$C:$C,0),'MM01'!E$2),"")=0),"",IFERROR(INDEX(Consulta!$A:$DP,MATCH('MM01'!$B38,Consulta!$C:$C,0),'MM01'!E$2),""))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>
        <v>99</v>
      </c>
      <c r="BN38" s="46" t="str">
        <f t="shared" ca="1" si="13"/>
        <v>05.05.2022</v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IF(IFERROR(INDEX(Consulta!$A:$DP,MATCH('MM01'!$B39,Consulta!$C:$C,0),'MM01'!D$2),"")=0,"",UPPER(IFERROR(INDEX(Consulta!$A:$DP,MATCH('MM01'!$B39,Consulta!$C:$C,0),'MM01'!D$2),"")))</f>
        <v/>
      </c>
      <c r="E39" s="43" t="str">
        <f>IF(OR(D39="KMAT",IFERROR(INDEX(Consulta!$A:$DP,MATCH('MM01'!$B39,Consulta!$C:$C,0),'MM01'!E$2),"")=0),"",IFERROR(INDEX(Consulta!$A:$DP,MATCH('MM01'!$B39,Consulta!$C:$C,0),'MM01'!E$2),""))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>
        <v>99</v>
      </c>
      <c r="BN39" s="46" t="str">
        <f t="shared" ca="1" si="13"/>
        <v>05.05.2022</v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IF(IFERROR(INDEX(Consulta!$A:$DP,MATCH('MM01'!$B40,Consulta!$C:$C,0),'MM01'!D$2),"")=0,"",UPPER(IFERROR(INDEX(Consulta!$A:$DP,MATCH('MM01'!$B40,Consulta!$C:$C,0),'MM01'!D$2),"")))</f>
        <v/>
      </c>
      <c r="E40" s="43" t="str">
        <f>IF(OR(D40="KMAT",IFERROR(INDEX(Consulta!$A:$DP,MATCH('MM01'!$B40,Consulta!$C:$C,0),'MM01'!E$2),"")=0),"",IFERROR(INDEX(Consulta!$A:$DP,MATCH('MM01'!$B40,Consulta!$C:$C,0),'MM01'!E$2),""))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>
        <v>99</v>
      </c>
      <c r="BN40" s="46" t="str">
        <f t="shared" ca="1" si="13"/>
        <v>05.05.2022</v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IF(IFERROR(INDEX(Consulta!$A:$DP,MATCH('MM01'!$B41,Consulta!$C:$C,0),'MM01'!D$2),"")=0,"",UPPER(IFERROR(INDEX(Consulta!$A:$DP,MATCH('MM01'!$B41,Consulta!$C:$C,0),'MM01'!D$2),"")))</f>
        <v/>
      </c>
      <c r="E41" s="43" t="str">
        <f>IF(OR(D41="KMAT",IFERROR(INDEX(Consulta!$A:$DP,MATCH('MM01'!$B41,Consulta!$C:$C,0),'MM01'!E$2),"")=0),"",IFERROR(INDEX(Consulta!$A:$DP,MATCH('MM01'!$B41,Consulta!$C:$C,0),'MM01'!E$2),""))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>
        <v>99</v>
      </c>
      <c r="BN41" s="46" t="str">
        <f t="shared" ca="1" si="13"/>
        <v>05.05.2022</v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IF(IFERROR(INDEX(Consulta!$A:$DP,MATCH('MM01'!$B42,Consulta!$C:$C,0),'MM01'!D$2),"")=0,"",UPPER(IFERROR(INDEX(Consulta!$A:$DP,MATCH('MM01'!$B42,Consulta!$C:$C,0),'MM01'!D$2),"")))</f>
        <v/>
      </c>
      <c r="E42" s="43" t="str">
        <f>IF(OR(D42="KMAT",IFERROR(INDEX(Consulta!$A:$DP,MATCH('MM01'!$B42,Consulta!$C:$C,0),'MM01'!E$2),"")=0),"",IFERROR(INDEX(Consulta!$A:$DP,MATCH('MM01'!$B42,Consulta!$C:$C,0),'MM01'!E$2),""))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>
        <v>99</v>
      </c>
      <c r="BN42" s="46" t="str">
        <f t="shared" ca="1" si="13"/>
        <v>05.05.2022</v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IF(IFERROR(INDEX(Consulta!$A:$DP,MATCH('MM01'!$B43,Consulta!$C:$C,0),'MM01'!D$2),"")=0,"",UPPER(IFERROR(INDEX(Consulta!$A:$DP,MATCH('MM01'!$B43,Consulta!$C:$C,0),'MM01'!D$2),"")))</f>
        <v/>
      </c>
      <c r="E43" s="43" t="str">
        <f>IF(OR(D43="KMAT",IFERROR(INDEX(Consulta!$A:$DP,MATCH('MM01'!$B43,Consulta!$C:$C,0),'MM01'!E$2),"")=0),"",IFERROR(INDEX(Consulta!$A:$DP,MATCH('MM01'!$B43,Consulta!$C:$C,0),'MM01'!E$2),""))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>
        <v>99</v>
      </c>
      <c r="BN43" s="46" t="str">
        <f t="shared" ca="1" si="13"/>
        <v>05.05.2022</v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IF(IFERROR(INDEX(Consulta!$A:$DP,MATCH('MM01'!$B44,Consulta!$C:$C,0),'MM01'!D$2),"")=0,"",UPPER(IFERROR(INDEX(Consulta!$A:$DP,MATCH('MM01'!$B44,Consulta!$C:$C,0),'MM01'!D$2),"")))</f>
        <v/>
      </c>
      <c r="E44" s="43" t="str">
        <f>IF(OR(D44="KMAT",IFERROR(INDEX(Consulta!$A:$DP,MATCH('MM01'!$B44,Consulta!$C:$C,0),'MM01'!E$2),"")=0),"",IFERROR(INDEX(Consulta!$A:$DP,MATCH('MM01'!$B44,Consulta!$C:$C,0),'MM01'!E$2),""))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>
        <v>99</v>
      </c>
      <c r="BN44" s="46" t="str">
        <f t="shared" ca="1" si="13"/>
        <v>05.05.2022</v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IF(IFERROR(INDEX(Consulta!$A:$DP,MATCH('MM01'!$B45,Consulta!$C:$C,0),'MM01'!D$2),"")=0,"",UPPER(IFERROR(INDEX(Consulta!$A:$DP,MATCH('MM01'!$B45,Consulta!$C:$C,0),'MM01'!D$2),"")))</f>
        <v/>
      </c>
      <c r="E45" s="43" t="str">
        <f>IF(OR(D45="KMAT",IFERROR(INDEX(Consulta!$A:$DP,MATCH('MM01'!$B45,Consulta!$C:$C,0),'MM01'!E$2),"")=0),"",IFERROR(INDEX(Consulta!$A:$DP,MATCH('MM01'!$B45,Consulta!$C:$C,0),'MM01'!E$2),""))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>
        <v>99</v>
      </c>
      <c r="BN45" s="46" t="str">
        <f t="shared" ca="1" si="13"/>
        <v>05.05.2022</v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IF(IFERROR(INDEX(Consulta!$A:$DP,MATCH('MM01'!$B46,Consulta!$C:$C,0),'MM01'!D$2),"")=0,"",UPPER(IFERROR(INDEX(Consulta!$A:$DP,MATCH('MM01'!$B46,Consulta!$C:$C,0),'MM01'!D$2),"")))</f>
        <v/>
      </c>
      <c r="E46" s="43" t="str">
        <f>IF(OR(D46="KMAT",IFERROR(INDEX(Consulta!$A:$DP,MATCH('MM01'!$B46,Consulta!$C:$C,0),'MM01'!E$2),"")=0),"",IFERROR(INDEX(Consulta!$A:$DP,MATCH('MM01'!$B46,Consulta!$C:$C,0),'MM01'!E$2),""))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>
        <v>99</v>
      </c>
      <c r="BN46" s="46" t="str">
        <f t="shared" ca="1" si="13"/>
        <v>05.05.2022</v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IF(IFERROR(INDEX(Consulta!$A:$DP,MATCH('MM01'!$B47,Consulta!$C:$C,0),'MM01'!D$2),"")=0,"",UPPER(IFERROR(INDEX(Consulta!$A:$DP,MATCH('MM01'!$B47,Consulta!$C:$C,0),'MM01'!D$2),"")))</f>
        <v/>
      </c>
      <c r="E47" s="43" t="str">
        <f>IF(OR(D47="KMAT",IFERROR(INDEX(Consulta!$A:$DP,MATCH('MM01'!$B47,Consulta!$C:$C,0),'MM01'!E$2),"")=0),"",IFERROR(INDEX(Consulta!$A:$DP,MATCH('MM01'!$B47,Consulta!$C:$C,0),'MM01'!E$2),""))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>
        <v>99</v>
      </c>
      <c r="BN47" s="46" t="str">
        <f t="shared" ca="1" si="13"/>
        <v>05.05.2022</v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IF(IFERROR(INDEX(Consulta!$A:$DP,MATCH('MM01'!$B48,Consulta!$C:$C,0),'MM01'!D$2),"")=0,"",UPPER(IFERROR(INDEX(Consulta!$A:$DP,MATCH('MM01'!$B48,Consulta!$C:$C,0),'MM01'!D$2),"")))</f>
        <v/>
      </c>
      <c r="E48" s="43" t="str">
        <f>IF(OR(D48="KMAT",IFERROR(INDEX(Consulta!$A:$DP,MATCH('MM01'!$B48,Consulta!$C:$C,0),'MM01'!E$2),"")=0),"",IFERROR(INDEX(Consulta!$A:$DP,MATCH('MM01'!$B48,Consulta!$C:$C,0),'MM01'!E$2),""))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>
        <v>99</v>
      </c>
      <c r="BN48" s="46" t="str">
        <f t="shared" ca="1" si="13"/>
        <v>05.05.2022</v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IF(IFERROR(INDEX(Consulta!$A:$DP,MATCH('MM01'!$B49,Consulta!$C:$C,0),'MM01'!D$2),"")=0,"",UPPER(IFERROR(INDEX(Consulta!$A:$DP,MATCH('MM01'!$B49,Consulta!$C:$C,0),'MM01'!D$2),"")))</f>
        <v/>
      </c>
      <c r="E49" s="43" t="str">
        <f>IF(OR(D49="KMAT",IFERROR(INDEX(Consulta!$A:$DP,MATCH('MM01'!$B49,Consulta!$C:$C,0),'MM01'!E$2),"")=0),"",IFERROR(INDEX(Consulta!$A:$DP,MATCH('MM01'!$B49,Consulta!$C:$C,0),'MM01'!E$2),""))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>
        <v>99</v>
      </c>
      <c r="BN49" s="46" t="str">
        <f t="shared" ca="1" si="13"/>
        <v>05.05.2022</v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IF(IFERROR(INDEX(Consulta!$A:$DP,MATCH('MM01'!$B50,Consulta!$C:$C,0),'MM01'!D$2),"")=0,"",UPPER(IFERROR(INDEX(Consulta!$A:$DP,MATCH('MM01'!$B50,Consulta!$C:$C,0),'MM01'!D$2),"")))</f>
        <v/>
      </c>
      <c r="E50" s="43" t="str">
        <f>IF(OR(D50="KMAT",IFERROR(INDEX(Consulta!$A:$DP,MATCH('MM01'!$B50,Consulta!$C:$C,0),'MM01'!E$2),"")=0),"",IFERROR(INDEX(Consulta!$A:$DP,MATCH('MM01'!$B50,Consulta!$C:$C,0),'MM01'!E$2),""))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>
        <v>99</v>
      </c>
      <c r="BN50" s="46" t="str">
        <f t="shared" ca="1" si="13"/>
        <v>05.05.2022</v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IF(IFERROR(INDEX(Consulta!$A:$DP,MATCH('MM01'!$B51,Consulta!$C:$C,0),'MM01'!D$2),"")=0,"",UPPER(IFERROR(INDEX(Consulta!$A:$DP,MATCH('MM01'!$B51,Consulta!$C:$C,0),'MM01'!D$2),"")))</f>
        <v/>
      </c>
      <c r="E51" s="43" t="str">
        <f>IF(OR(D51="KMAT",IFERROR(INDEX(Consulta!$A:$DP,MATCH('MM01'!$B51,Consulta!$C:$C,0),'MM01'!E$2),"")=0),"",IFERROR(INDEX(Consulta!$A:$DP,MATCH('MM01'!$B51,Consulta!$C:$C,0),'MM01'!E$2),""))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>
        <v>99</v>
      </c>
      <c r="BN51" s="46" t="str">
        <f t="shared" ca="1" si="13"/>
        <v>05.05.2022</v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IF(IFERROR(INDEX(Consulta!$A:$DP,MATCH('MM01'!$B52,Consulta!$C:$C,0),'MM01'!D$2),"")=0,"",UPPER(IFERROR(INDEX(Consulta!$A:$DP,MATCH('MM01'!$B52,Consulta!$C:$C,0),'MM01'!D$2),"")))</f>
        <v/>
      </c>
      <c r="E52" s="43" t="str">
        <f>IF(OR(D52="KMAT",IFERROR(INDEX(Consulta!$A:$DP,MATCH('MM01'!$B52,Consulta!$C:$C,0),'MM01'!E$2),"")=0),"",IFERROR(INDEX(Consulta!$A:$DP,MATCH('MM01'!$B52,Consulta!$C:$C,0),'MM01'!E$2),""))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>
        <v>99</v>
      </c>
      <c r="BN52" s="46" t="str">
        <f t="shared" ca="1" si="13"/>
        <v>05.05.2022</v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IF(IFERROR(INDEX(Consulta!$A:$DP,MATCH('MM01'!$B53,Consulta!$C:$C,0),'MM01'!D$2),"")=0,"",UPPER(IFERROR(INDEX(Consulta!$A:$DP,MATCH('MM01'!$B53,Consulta!$C:$C,0),'MM01'!D$2),"")))</f>
        <v/>
      </c>
      <c r="E53" s="43" t="str">
        <f>IF(OR(D53="KMAT",IFERROR(INDEX(Consulta!$A:$DP,MATCH('MM01'!$B53,Consulta!$C:$C,0),'MM01'!E$2),"")=0),"",IFERROR(INDEX(Consulta!$A:$DP,MATCH('MM01'!$B53,Consulta!$C:$C,0),'MM01'!E$2),""))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>
        <v>99</v>
      </c>
      <c r="BN53" s="46" t="str">
        <f t="shared" ca="1" si="13"/>
        <v>05.05.2022</v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IF(IFERROR(INDEX(Consulta!$A:$DP,MATCH('MM01'!$B54,Consulta!$C:$C,0),'MM01'!D$2),"")=0,"",UPPER(IFERROR(INDEX(Consulta!$A:$DP,MATCH('MM01'!$B54,Consulta!$C:$C,0),'MM01'!D$2),"")))</f>
        <v/>
      </c>
      <c r="E54" s="43" t="str">
        <f>IF(OR(D54="KMAT",IFERROR(INDEX(Consulta!$A:$DP,MATCH('MM01'!$B54,Consulta!$C:$C,0),'MM01'!E$2),"")=0),"",IFERROR(INDEX(Consulta!$A:$DP,MATCH('MM01'!$B54,Consulta!$C:$C,0),'MM01'!E$2),""))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>
        <v>99</v>
      </c>
      <c r="BN54" s="46" t="str">
        <f t="shared" ca="1" si="13"/>
        <v>05.05.2022</v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IF(IFERROR(INDEX(Consulta!$A:$DP,MATCH('MM01'!$B55,Consulta!$C:$C,0),'MM01'!D$2),"")=0,"",UPPER(IFERROR(INDEX(Consulta!$A:$DP,MATCH('MM01'!$B55,Consulta!$C:$C,0),'MM01'!D$2),"")))</f>
        <v/>
      </c>
      <c r="E55" s="43" t="str">
        <f>IF(OR(D55="KMAT",IFERROR(INDEX(Consulta!$A:$DP,MATCH('MM01'!$B55,Consulta!$C:$C,0),'MM01'!E$2),"")=0),"",IFERROR(INDEX(Consulta!$A:$DP,MATCH('MM01'!$B55,Consulta!$C:$C,0),'MM01'!E$2),""))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>
        <v>99</v>
      </c>
      <c r="BN55" s="46" t="str">
        <f ca="1">IF(BM55&lt;&gt;0,TEXT(TODAY(),"DD.MM.AAAA"),"")</f>
        <v>05.05.2022</v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05.05.2022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IF(IFERROR(INDEX(Consulta!$A:$DP,MATCH('MM01'!$B56,Consulta!$C:$C,0),'MM01'!D$2),"")=0,"",UPPER(IFERROR(INDEX(Consulta!$A:$DP,MATCH('MM01'!$B56,Consulta!$C:$C,0),'MM01'!D$2),"")))</f>
        <v/>
      </c>
      <c r="E56" s="43" t="str">
        <f>IF(OR(D56="KMAT",IFERROR(INDEX(Consulta!$A:$DP,MATCH('MM01'!$B56,Consulta!$C:$C,0),'MM01'!E$2),"")=0),"",IFERROR(INDEX(Consulta!$A:$DP,MATCH('MM01'!$B56,Consulta!$C:$C,0),'MM01'!E$2),""))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>
        <v>99</v>
      </c>
      <c r="BN56" s="46" t="str">
        <f t="shared" ref="BN56:BN104" ca="1" si="53">IF(BM56&lt;&gt;0,TEXT(TODAY(),"DD.MM.AAAA"),"")</f>
        <v>05.05.2022</v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05.05.2022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IF(IFERROR(INDEX(Consulta!$A:$DP,MATCH('MM01'!$B57,Consulta!$C:$C,0),'MM01'!D$2),"")=0,"",UPPER(IFERROR(INDEX(Consulta!$A:$DP,MATCH('MM01'!$B57,Consulta!$C:$C,0),'MM01'!D$2),"")))</f>
        <v/>
      </c>
      <c r="E57" s="43" t="str">
        <f>IF(OR(D57="KMAT",IFERROR(INDEX(Consulta!$A:$DP,MATCH('MM01'!$B57,Consulta!$C:$C,0),'MM01'!E$2),"")=0),"",IFERROR(INDEX(Consulta!$A:$DP,MATCH('MM01'!$B57,Consulta!$C:$C,0),'MM01'!E$2),""))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>
        <v>99</v>
      </c>
      <c r="BN57" s="46" t="str">
        <f t="shared" ca="1" si="53"/>
        <v>05.05.2022</v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IF(IFERROR(INDEX(Consulta!$A:$DP,MATCH('MM01'!$B58,Consulta!$C:$C,0),'MM01'!D$2),"")=0,"",UPPER(IFERROR(INDEX(Consulta!$A:$DP,MATCH('MM01'!$B58,Consulta!$C:$C,0),'MM01'!D$2),"")))</f>
        <v/>
      </c>
      <c r="E58" s="43" t="str">
        <f>IF(OR(D58="KMAT",IFERROR(INDEX(Consulta!$A:$DP,MATCH('MM01'!$B58,Consulta!$C:$C,0),'MM01'!E$2),"")=0),"",IFERROR(INDEX(Consulta!$A:$DP,MATCH('MM01'!$B58,Consulta!$C:$C,0),'MM01'!E$2),""))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>
        <v>99</v>
      </c>
      <c r="BN58" s="46" t="str">
        <f t="shared" ca="1" si="53"/>
        <v>05.05.2022</v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IF(IFERROR(INDEX(Consulta!$A:$DP,MATCH('MM01'!$B59,Consulta!$C:$C,0),'MM01'!D$2),"")=0,"",UPPER(IFERROR(INDEX(Consulta!$A:$DP,MATCH('MM01'!$B59,Consulta!$C:$C,0),'MM01'!D$2),"")))</f>
        <v/>
      </c>
      <c r="E59" s="43" t="str">
        <f>IF(OR(D59="KMAT",IFERROR(INDEX(Consulta!$A:$DP,MATCH('MM01'!$B59,Consulta!$C:$C,0),'MM01'!E$2),"")=0),"",IFERROR(INDEX(Consulta!$A:$DP,MATCH('MM01'!$B59,Consulta!$C:$C,0),'MM01'!E$2),""))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>
        <v>99</v>
      </c>
      <c r="BN59" s="46" t="str">
        <f t="shared" ca="1" si="53"/>
        <v>05.05.2022</v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IF(IFERROR(INDEX(Consulta!$A:$DP,MATCH('MM01'!$B60,Consulta!$C:$C,0),'MM01'!D$2),"")=0,"",UPPER(IFERROR(INDEX(Consulta!$A:$DP,MATCH('MM01'!$B60,Consulta!$C:$C,0),'MM01'!D$2),"")))</f>
        <v/>
      </c>
      <c r="E60" s="43" t="str">
        <f>IF(OR(D60="KMAT",IFERROR(INDEX(Consulta!$A:$DP,MATCH('MM01'!$B60,Consulta!$C:$C,0),'MM01'!E$2),"")=0),"",IFERROR(INDEX(Consulta!$A:$DP,MATCH('MM01'!$B60,Consulta!$C:$C,0),'MM01'!E$2),""))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>
        <v>99</v>
      </c>
      <c r="BN60" s="46" t="str">
        <f t="shared" ca="1" si="53"/>
        <v>05.05.2022</v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IF(IFERROR(INDEX(Consulta!$A:$DP,MATCH('MM01'!$B61,Consulta!$C:$C,0),'MM01'!D$2),"")=0,"",UPPER(IFERROR(INDEX(Consulta!$A:$DP,MATCH('MM01'!$B61,Consulta!$C:$C,0),'MM01'!D$2),"")))</f>
        <v/>
      </c>
      <c r="E61" s="43" t="str">
        <f>IF(OR(D61="KMAT",IFERROR(INDEX(Consulta!$A:$DP,MATCH('MM01'!$B61,Consulta!$C:$C,0),'MM01'!E$2),"")=0),"",IFERROR(INDEX(Consulta!$A:$DP,MATCH('MM01'!$B61,Consulta!$C:$C,0),'MM01'!E$2),""))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>
        <v>99</v>
      </c>
      <c r="BN61" s="46" t="str">
        <f t="shared" ca="1" si="53"/>
        <v>05.05.2022</v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IF(IFERROR(INDEX(Consulta!$A:$DP,MATCH('MM01'!$B62,Consulta!$C:$C,0),'MM01'!D$2),"")=0,"",UPPER(IFERROR(INDEX(Consulta!$A:$DP,MATCH('MM01'!$B62,Consulta!$C:$C,0),'MM01'!D$2),"")))</f>
        <v/>
      </c>
      <c r="E62" s="43" t="str">
        <f>IF(OR(D62="KMAT",IFERROR(INDEX(Consulta!$A:$DP,MATCH('MM01'!$B62,Consulta!$C:$C,0),'MM01'!E$2),"")=0),"",IFERROR(INDEX(Consulta!$A:$DP,MATCH('MM01'!$B62,Consulta!$C:$C,0),'MM01'!E$2),""))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>
        <v>99</v>
      </c>
      <c r="BN62" s="46" t="str">
        <f t="shared" ca="1" si="53"/>
        <v>05.05.2022</v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IF(IFERROR(INDEX(Consulta!$A:$DP,MATCH('MM01'!$B63,Consulta!$C:$C,0),'MM01'!D$2),"")=0,"",UPPER(IFERROR(INDEX(Consulta!$A:$DP,MATCH('MM01'!$B63,Consulta!$C:$C,0),'MM01'!D$2),"")))</f>
        <v/>
      </c>
      <c r="E63" s="43" t="str">
        <f>IF(OR(D63="KMAT",IFERROR(INDEX(Consulta!$A:$DP,MATCH('MM01'!$B63,Consulta!$C:$C,0),'MM01'!E$2),"")=0),"",IFERROR(INDEX(Consulta!$A:$DP,MATCH('MM01'!$B63,Consulta!$C:$C,0),'MM01'!E$2),""))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>
        <v>99</v>
      </c>
      <c r="BN63" s="46" t="str">
        <f t="shared" ca="1" si="53"/>
        <v>05.05.2022</v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IF(IFERROR(INDEX(Consulta!$A:$DP,MATCH('MM01'!$B64,Consulta!$C:$C,0),'MM01'!D$2),"")=0,"",UPPER(IFERROR(INDEX(Consulta!$A:$DP,MATCH('MM01'!$B64,Consulta!$C:$C,0),'MM01'!D$2),"")))</f>
        <v/>
      </c>
      <c r="E64" s="43" t="str">
        <f>IF(OR(D64="KMAT",IFERROR(INDEX(Consulta!$A:$DP,MATCH('MM01'!$B64,Consulta!$C:$C,0),'MM01'!E$2),"")=0),"",IFERROR(INDEX(Consulta!$A:$DP,MATCH('MM01'!$B64,Consulta!$C:$C,0),'MM01'!E$2),""))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>
        <v>99</v>
      </c>
      <c r="BN64" s="46" t="str">
        <f t="shared" ca="1" si="53"/>
        <v>05.05.2022</v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IF(IFERROR(INDEX(Consulta!$A:$DP,MATCH('MM01'!$B65,Consulta!$C:$C,0),'MM01'!D$2),"")=0,"",UPPER(IFERROR(INDEX(Consulta!$A:$DP,MATCH('MM01'!$B65,Consulta!$C:$C,0),'MM01'!D$2),"")))</f>
        <v/>
      </c>
      <c r="E65" s="43" t="str">
        <f>IF(OR(D65="KMAT",IFERROR(INDEX(Consulta!$A:$DP,MATCH('MM01'!$B65,Consulta!$C:$C,0),'MM01'!E$2),"")=0),"",IFERROR(INDEX(Consulta!$A:$DP,MATCH('MM01'!$B65,Consulta!$C:$C,0),'MM01'!E$2),""))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>
        <v>99</v>
      </c>
      <c r="BN65" s="46" t="str">
        <f t="shared" ca="1" si="53"/>
        <v>05.05.2022</v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IF(IFERROR(INDEX(Consulta!$A:$DP,MATCH('MM01'!$B66,Consulta!$C:$C,0),'MM01'!D$2),"")=0,"",UPPER(IFERROR(INDEX(Consulta!$A:$DP,MATCH('MM01'!$B66,Consulta!$C:$C,0),'MM01'!D$2),"")))</f>
        <v/>
      </c>
      <c r="E66" s="43" t="str">
        <f>IF(OR(D66="KMAT",IFERROR(INDEX(Consulta!$A:$DP,MATCH('MM01'!$B66,Consulta!$C:$C,0),'MM01'!E$2),"")=0),"",IFERROR(INDEX(Consulta!$A:$DP,MATCH('MM01'!$B66,Consulta!$C:$C,0),'MM01'!E$2),""))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>
        <v>99</v>
      </c>
      <c r="BN66" s="46" t="str">
        <f t="shared" ca="1" si="53"/>
        <v>05.05.2022</v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IF(IFERROR(INDEX(Consulta!$A:$DP,MATCH('MM01'!$B67,Consulta!$C:$C,0),'MM01'!D$2),"")=0,"",UPPER(IFERROR(INDEX(Consulta!$A:$DP,MATCH('MM01'!$B67,Consulta!$C:$C,0),'MM01'!D$2),"")))</f>
        <v/>
      </c>
      <c r="E67" s="43" t="str">
        <f>IF(OR(D67="KMAT",IFERROR(INDEX(Consulta!$A:$DP,MATCH('MM01'!$B67,Consulta!$C:$C,0),'MM01'!E$2),"")=0),"",IFERROR(INDEX(Consulta!$A:$DP,MATCH('MM01'!$B67,Consulta!$C:$C,0),'MM01'!E$2),""))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>
        <v>99</v>
      </c>
      <c r="BN67" s="46" t="str">
        <f t="shared" ca="1" si="53"/>
        <v>05.05.2022</v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IF(IFERROR(INDEX(Consulta!$A:$DP,MATCH('MM01'!$B68,Consulta!$C:$C,0),'MM01'!D$2),"")=0,"",UPPER(IFERROR(INDEX(Consulta!$A:$DP,MATCH('MM01'!$B68,Consulta!$C:$C,0),'MM01'!D$2),"")))</f>
        <v/>
      </c>
      <c r="E68" s="43" t="str">
        <f>IF(OR(D68="KMAT",IFERROR(INDEX(Consulta!$A:$DP,MATCH('MM01'!$B68,Consulta!$C:$C,0),'MM01'!E$2),"")=0),"",IFERROR(INDEX(Consulta!$A:$DP,MATCH('MM01'!$B68,Consulta!$C:$C,0),'MM01'!E$2),""))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>
        <v>99</v>
      </c>
      <c r="BN68" s="46" t="str">
        <f t="shared" ca="1" si="53"/>
        <v>05.05.2022</v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IF(IFERROR(INDEX(Consulta!$A:$DP,MATCH('MM01'!$B69,Consulta!$C:$C,0),'MM01'!D$2),"")=0,"",UPPER(IFERROR(INDEX(Consulta!$A:$DP,MATCH('MM01'!$B69,Consulta!$C:$C,0),'MM01'!D$2),"")))</f>
        <v/>
      </c>
      <c r="E69" s="43" t="str">
        <f>IF(OR(D69="KMAT",IFERROR(INDEX(Consulta!$A:$DP,MATCH('MM01'!$B69,Consulta!$C:$C,0),'MM01'!E$2),"")=0),"",IFERROR(INDEX(Consulta!$A:$DP,MATCH('MM01'!$B69,Consulta!$C:$C,0),'MM01'!E$2),""))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>
        <v>99</v>
      </c>
      <c r="BN69" s="46" t="str">
        <f t="shared" ca="1" si="53"/>
        <v>05.05.2022</v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IF(IFERROR(INDEX(Consulta!$A:$DP,MATCH('MM01'!$B70,Consulta!$C:$C,0),'MM01'!D$2),"")=0,"",UPPER(IFERROR(INDEX(Consulta!$A:$DP,MATCH('MM01'!$B70,Consulta!$C:$C,0),'MM01'!D$2),"")))</f>
        <v/>
      </c>
      <c r="E70" s="43" t="str">
        <f>IF(OR(D70="KMAT",IFERROR(INDEX(Consulta!$A:$DP,MATCH('MM01'!$B70,Consulta!$C:$C,0),'MM01'!E$2),"")=0),"",IFERROR(INDEX(Consulta!$A:$DP,MATCH('MM01'!$B70,Consulta!$C:$C,0),'MM01'!E$2),""))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>
        <v>99</v>
      </c>
      <c r="BN70" s="46" t="str">
        <f t="shared" ca="1" si="53"/>
        <v>05.05.2022</v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IF(AR70="68","20","01")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IF(IFERROR(INDEX(Consulta!$A:$DP,MATCH('MM01'!$B71,Consulta!$C:$C,0),'MM01'!D$2),"")=0,"",UPPER(IFERROR(INDEX(Consulta!$A:$DP,MATCH('MM01'!$B71,Consulta!$C:$C,0),'MM01'!D$2),"")))</f>
        <v/>
      </c>
      <c r="E71" s="43" t="str">
        <f>IF(OR(D71="KMAT",IFERROR(INDEX(Consulta!$A:$DP,MATCH('MM01'!$B71,Consulta!$C:$C,0),'MM01'!E$2),"")=0),"",IFERROR(INDEX(Consulta!$A:$DP,MATCH('MM01'!$B71,Consulta!$C:$C,0),'MM01'!E$2),""))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>
        <v>99</v>
      </c>
      <c r="BN71" s="46" t="str">
        <f t="shared" ca="1" si="53"/>
        <v>05.05.2022</v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IF(IFERROR(INDEX(Consulta!$A:$DP,MATCH('MM01'!$B72,Consulta!$C:$C,0),'MM01'!D$2),"")=0,"",UPPER(IFERROR(INDEX(Consulta!$A:$DP,MATCH('MM01'!$B72,Consulta!$C:$C,0),'MM01'!D$2),"")))</f>
        <v/>
      </c>
      <c r="E72" s="43" t="str">
        <f>IF(OR(D72="KMAT",IFERROR(INDEX(Consulta!$A:$DP,MATCH('MM01'!$B72,Consulta!$C:$C,0),'MM01'!E$2),"")=0),"",IFERROR(INDEX(Consulta!$A:$DP,MATCH('MM01'!$B72,Consulta!$C:$C,0),'MM01'!E$2),""))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>
        <v>99</v>
      </c>
      <c r="BN72" s="46" t="str">
        <f t="shared" ca="1" si="53"/>
        <v>05.05.2022</v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IF(IFERROR(INDEX(Consulta!$A:$DP,MATCH('MM01'!$B73,Consulta!$C:$C,0),'MM01'!D$2),"")=0,"",UPPER(IFERROR(INDEX(Consulta!$A:$DP,MATCH('MM01'!$B73,Consulta!$C:$C,0),'MM01'!D$2),"")))</f>
        <v/>
      </c>
      <c r="E73" s="43" t="str">
        <f>IF(OR(D73="KMAT",IFERROR(INDEX(Consulta!$A:$DP,MATCH('MM01'!$B73,Consulta!$C:$C,0),'MM01'!E$2),"")=0),"",IFERROR(INDEX(Consulta!$A:$DP,MATCH('MM01'!$B73,Consulta!$C:$C,0),'MM01'!E$2),""))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>
        <v>99</v>
      </c>
      <c r="BN73" s="46" t="str">
        <f t="shared" ca="1" si="53"/>
        <v>05.05.2022</v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IF(IFERROR(INDEX(Consulta!$A:$DP,MATCH('MM01'!$B74,Consulta!$C:$C,0),'MM01'!D$2),"")=0,"",UPPER(IFERROR(INDEX(Consulta!$A:$DP,MATCH('MM01'!$B74,Consulta!$C:$C,0),'MM01'!D$2),"")))</f>
        <v/>
      </c>
      <c r="E74" s="43" t="str">
        <f>IF(OR(D74="KMAT",IFERROR(INDEX(Consulta!$A:$DP,MATCH('MM01'!$B74,Consulta!$C:$C,0),'MM01'!E$2),"")=0),"",IFERROR(INDEX(Consulta!$A:$DP,MATCH('MM01'!$B74,Consulta!$C:$C,0),'MM01'!E$2),""))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>
        <v>99</v>
      </c>
      <c r="BN74" s="46" t="str">
        <f t="shared" ca="1" si="53"/>
        <v>05.05.2022</v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IF(IFERROR(INDEX(Consulta!$A:$DP,MATCH('MM01'!$B75,Consulta!$C:$C,0),'MM01'!D$2),"")=0,"",UPPER(IFERROR(INDEX(Consulta!$A:$DP,MATCH('MM01'!$B75,Consulta!$C:$C,0),'MM01'!D$2),"")))</f>
        <v/>
      </c>
      <c r="E75" s="43" t="str">
        <f>IF(OR(D75="KMAT",IFERROR(INDEX(Consulta!$A:$DP,MATCH('MM01'!$B75,Consulta!$C:$C,0),'MM01'!E$2),"")=0),"",IFERROR(INDEX(Consulta!$A:$DP,MATCH('MM01'!$B75,Consulta!$C:$C,0),'MM01'!E$2),""))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>
        <v>99</v>
      </c>
      <c r="BN75" s="46" t="str">
        <f t="shared" ca="1" si="53"/>
        <v>05.05.2022</v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IF(IFERROR(INDEX(Consulta!$A:$DP,MATCH('MM01'!$B76,Consulta!$C:$C,0),'MM01'!D$2),"")=0,"",UPPER(IFERROR(INDEX(Consulta!$A:$DP,MATCH('MM01'!$B76,Consulta!$C:$C,0),'MM01'!D$2),"")))</f>
        <v/>
      </c>
      <c r="E76" s="43" t="str">
        <f>IF(OR(D76="KMAT",IFERROR(INDEX(Consulta!$A:$DP,MATCH('MM01'!$B76,Consulta!$C:$C,0),'MM01'!E$2),"")=0),"",IFERROR(INDEX(Consulta!$A:$DP,MATCH('MM01'!$B76,Consulta!$C:$C,0),'MM01'!E$2),""))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>
        <v>99</v>
      </c>
      <c r="BN76" s="46" t="str">
        <f t="shared" ca="1" si="53"/>
        <v>05.05.2022</v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IF(IFERROR(INDEX(Consulta!$A:$DP,MATCH('MM01'!$B77,Consulta!$C:$C,0),'MM01'!D$2),"")=0,"",UPPER(IFERROR(INDEX(Consulta!$A:$DP,MATCH('MM01'!$B77,Consulta!$C:$C,0),'MM01'!D$2),"")))</f>
        <v/>
      </c>
      <c r="E77" s="43" t="str">
        <f>IF(OR(D77="KMAT",IFERROR(INDEX(Consulta!$A:$DP,MATCH('MM01'!$B77,Consulta!$C:$C,0),'MM01'!E$2),"")=0),"",IFERROR(INDEX(Consulta!$A:$DP,MATCH('MM01'!$B77,Consulta!$C:$C,0),'MM01'!E$2),""))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>
        <v>99</v>
      </c>
      <c r="BN77" s="46" t="str">
        <f t="shared" ca="1" si="53"/>
        <v>05.05.2022</v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IF(IFERROR(INDEX(Consulta!$A:$DP,MATCH('MM01'!$B78,Consulta!$C:$C,0),'MM01'!D$2),"")=0,"",UPPER(IFERROR(INDEX(Consulta!$A:$DP,MATCH('MM01'!$B78,Consulta!$C:$C,0),'MM01'!D$2),"")))</f>
        <v/>
      </c>
      <c r="E78" s="43" t="str">
        <f>IF(OR(D78="KMAT",IFERROR(INDEX(Consulta!$A:$DP,MATCH('MM01'!$B78,Consulta!$C:$C,0),'MM01'!E$2),"")=0),"",IFERROR(INDEX(Consulta!$A:$DP,MATCH('MM01'!$B78,Consulta!$C:$C,0),'MM01'!E$2),""))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>
        <v>99</v>
      </c>
      <c r="BN78" s="46" t="str">
        <f t="shared" ca="1" si="53"/>
        <v>05.05.2022</v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IF(IFERROR(INDEX(Consulta!$A:$DP,MATCH('MM01'!$B79,Consulta!$C:$C,0),'MM01'!D$2),"")=0,"",UPPER(IFERROR(INDEX(Consulta!$A:$DP,MATCH('MM01'!$B79,Consulta!$C:$C,0),'MM01'!D$2),"")))</f>
        <v/>
      </c>
      <c r="E79" s="43" t="str">
        <f>IF(OR(D79="KMAT",IFERROR(INDEX(Consulta!$A:$DP,MATCH('MM01'!$B79,Consulta!$C:$C,0),'MM01'!E$2),"")=0),"",IFERROR(INDEX(Consulta!$A:$DP,MATCH('MM01'!$B79,Consulta!$C:$C,0),'MM01'!E$2),""))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>
        <v>99</v>
      </c>
      <c r="BN79" s="46" t="str">
        <f t="shared" ca="1" si="53"/>
        <v>05.05.2022</v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IF(IFERROR(INDEX(Consulta!$A:$DP,MATCH('MM01'!$B80,Consulta!$C:$C,0),'MM01'!D$2),"")=0,"",UPPER(IFERROR(INDEX(Consulta!$A:$DP,MATCH('MM01'!$B80,Consulta!$C:$C,0),'MM01'!D$2),"")))</f>
        <v/>
      </c>
      <c r="E80" s="43" t="str">
        <f>IF(OR(D80="KMAT",IFERROR(INDEX(Consulta!$A:$DP,MATCH('MM01'!$B80,Consulta!$C:$C,0),'MM01'!E$2),"")=0),"",IFERROR(INDEX(Consulta!$A:$DP,MATCH('MM01'!$B80,Consulta!$C:$C,0),'MM01'!E$2),""))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>
        <v>99</v>
      </c>
      <c r="BN80" s="46" t="str">
        <f t="shared" ca="1" si="53"/>
        <v>05.05.2022</v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IF(IFERROR(INDEX(Consulta!$A:$DP,MATCH('MM01'!$B81,Consulta!$C:$C,0),'MM01'!D$2),"")=0,"",UPPER(IFERROR(INDEX(Consulta!$A:$DP,MATCH('MM01'!$B81,Consulta!$C:$C,0),'MM01'!D$2),"")))</f>
        <v/>
      </c>
      <c r="E81" s="43" t="str">
        <f>IF(OR(D81="KMAT",IFERROR(INDEX(Consulta!$A:$DP,MATCH('MM01'!$B81,Consulta!$C:$C,0),'MM01'!E$2),"")=0),"",IFERROR(INDEX(Consulta!$A:$DP,MATCH('MM01'!$B81,Consulta!$C:$C,0),'MM01'!E$2),""))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>
        <v>99</v>
      </c>
      <c r="BN81" s="46" t="str">
        <f t="shared" ca="1" si="53"/>
        <v>05.05.2022</v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IF(IFERROR(INDEX(Consulta!$A:$DP,MATCH('MM01'!$B82,Consulta!$C:$C,0),'MM01'!D$2),"")=0,"",UPPER(IFERROR(INDEX(Consulta!$A:$DP,MATCH('MM01'!$B82,Consulta!$C:$C,0),'MM01'!D$2),"")))</f>
        <v/>
      </c>
      <c r="E82" s="43" t="str">
        <f>IF(OR(D82="KMAT",IFERROR(INDEX(Consulta!$A:$DP,MATCH('MM01'!$B82,Consulta!$C:$C,0),'MM01'!E$2),"")=0),"",IFERROR(INDEX(Consulta!$A:$DP,MATCH('MM01'!$B82,Consulta!$C:$C,0),'MM01'!E$2),""))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>
        <v>99</v>
      </c>
      <c r="BN82" s="46" t="str">
        <f t="shared" ca="1" si="53"/>
        <v>05.05.2022</v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IF(IFERROR(INDEX(Consulta!$A:$DP,MATCH('MM01'!$B83,Consulta!$C:$C,0),'MM01'!D$2),"")=0,"",UPPER(IFERROR(INDEX(Consulta!$A:$DP,MATCH('MM01'!$B83,Consulta!$C:$C,0),'MM01'!D$2),"")))</f>
        <v/>
      </c>
      <c r="E83" s="43" t="str">
        <f>IF(OR(D83="KMAT",IFERROR(INDEX(Consulta!$A:$DP,MATCH('MM01'!$B83,Consulta!$C:$C,0),'MM01'!E$2),"")=0),"",IFERROR(INDEX(Consulta!$A:$DP,MATCH('MM01'!$B83,Consulta!$C:$C,0),'MM01'!E$2),""))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>
        <v>99</v>
      </c>
      <c r="BN83" s="46" t="str">
        <f t="shared" ca="1" si="53"/>
        <v>05.05.2022</v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IF(IFERROR(INDEX(Consulta!$A:$DP,MATCH('MM01'!$B84,Consulta!$C:$C,0),'MM01'!D$2),"")=0,"",UPPER(IFERROR(INDEX(Consulta!$A:$DP,MATCH('MM01'!$B84,Consulta!$C:$C,0),'MM01'!D$2),"")))</f>
        <v/>
      </c>
      <c r="E84" s="43" t="str">
        <f>IF(OR(D84="KMAT",IFERROR(INDEX(Consulta!$A:$DP,MATCH('MM01'!$B84,Consulta!$C:$C,0),'MM01'!E$2),"")=0),"",IFERROR(INDEX(Consulta!$A:$DP,MATCH('MM01'!$B84,Consulta!$C:$C,0),'MM01'!E$2),""))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>
        <v>99</v>
      </c>
      <c r="BN84" s="46" t="str">
        <f t="shared" ca="1" si="53"/>
        <v>05.05.2022</v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IF(IFERROR(INDEX(Consulta!$A:$DP,MATCH('MM01'!$B85,Consulta!$C:$C,0),'MM01'!D$2),"")=0,"",UPPER(IFERROR(INDEX(Consulta!$A:$DP,MATCH('MM01'!$B85,Consulta!$C:$C,0),'MM01'!D$2),"")))</f>
        <v/>
      </c>
      <c r="E85" s="43" t="str">
        <f>IF(OR(D85="KMAT",IFERROR(INDEX(Consulta!$A:$DP,MATCH('MM01'!$B85,Consulta!$C:$C,0),'MM01'!E$2),"")=0),"",IFERROR(INDEX(Consulta!$A:$DP,MATCH('MM01'!$B85,Consulta!$C:$C,0),'MM01'!E$2),""))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>
        <v>99</v>
      </c>
      <c r="BN85" s="46" t="str">
        <f t="shared" ca="1" si="53"/>
        <v>05.05.2022</v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IF(IFERROR(INDEX(Consulta!$A:$DP,MATCH('MM01'!$B86,Consulta!$C:$C,0),'MM01'!D$2),"")=0,"",UPPER(IFERROR(INDEX(Consulta!$A:$DP,MATCH('MM01'!$B86,Consulta!$C:$C,0),'MM01'!D$2),"")))</f>
        <v/>
      </c>
      <c r="E86" s="43" t="str">
        <f>IF(OR(D86="KMAT",IFERROR(INDEX(Consulta!$A:$DP,MATCH('MM01'!$B86,Consulta!$C:$C,0),'MM01'!E$2),"")=0),"",IFERROR(INDEX(Consulta!$A:$DP,MATCH('MM01'!$B86,Consulta!$C:$C,0),'MM01'!E$2),""))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>
        <v>99</v>
      </c>
      <c r="BN86" s="46" t="str">
        <f t="shared" ca="1" si="53"/>
        <v>05.05.2022</v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IF(IFERROR(INDEX(Consulta!$A:$DP,MATCH('MM01'!$B87,Consulta!$C:$C,0),'MM01'!D$2),"")=0,"",UPPER(IFERROR(INDEX(Consulta!$A:$DP,MATCH('MM01'!$B87,Consulta!$C:$C,0),'MM01'!D$2),"")))</f>
        <v/>
      </c>
      <c r="E87" s="43" t="str">
        <f>IF(OR(D87="KMAT",IFERROR(INDEX(Consulta!$A:$DP,MATCH('MM01'!$B87,Consulta!$C:$C,0),'MM01'!E$2),"")=0),"",IFERROR(INDEX(Consulta!$A:$DP,MATCH('MM01'!$B87,Consulta!$C:$C,0),'MM01'!E$2),""))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>
        <v>99</v>
      </c>
      <c r="BN87" s="46" t="str">
        <f t="shared" ca="1" si="53"/>
        <v>05.05.2022</v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IF(IFERROR(INDEX(Consulta!$A:$DP,MATCH('MM01'!$B88,Consulta!$C:$C,0),'MM01'!D$2),"")=0,"",UPPER(IFERROR(INDEX(Consulta!$A:$DP,MATCH('MM01'!$B88,Consulta!$C:$C,0),'MM01'!D$2),"")))</f>
        <v/>
      </c>
      <c r="E88" s="43" t="str">
        <f>IF(OR(D88="KMAT",IFERROR(INDEX(Consulta!$A:$DP,MATCH('MM01'!$B88,Consulta!$C:$C,0),'MM01'!E$2),"")=0),"",IFERROR(INDEX(Consulta!$A:$DP,MATCH('MM01'!$B88,Consulta!$C:$C,0),'MM01'!E$2),""))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>
        <v>99</v>
      </c>
      <c r="BN88" s="46" t="str">
        <f t="shared" ca="1" si="53"/>
        <v>05.05.2022</v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IF(IFERROR(INDEX(Consulta!$A:$DP,MATCH('MM01'!$B89,Consulta!$C:$C,0),'MM01'!D$2),"")=0,"",UPPER(IFERROR(INDEX(Consulta!$A:$DP,MATCH('MM01'!$B89,Consulta!$C:$C,0),'MM01'!D$2),"")))</f>
        <v/>
      </c>
      <c r="E89" s="43" t="str">
        <f>IF(OR(D89="KMAT",IFERROR(INDEX(Consulta!$A:$DP,MATCH('MM01'!$B89,Consulta!$C:$C,0),'MM01'!E$2),"")=0),"",IFERROR(INDEX(Consulta!$A:$DP,MATCH('MM01'!$B89,Consulta!$C:$C,0),'MM01'!E$2),""))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>
        <v>99</v>
      </c>
      <c r="BN89" s="46" t="str">
        <f t="shared" ca="1" si="53"/>
        <v>05.05.2022</v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IF(IFERROR(INDEX(Consulta!$A:$DP,MATCH('MM01'!$B90,Consulta!$C:$C,0),'MM01'!D$2),"")=0,"",UPPER(IFERROR(INDEX(Consulta!$A:$DP,MATCH('MM01'!$B90,Consulta!$C:$C,0),'MM01'!D$2),"")))</f>
        <v/>
      </c>
      <c r="E90" s="43" t="str">
        <f>IF(OR(D90="KMAT",IFERROR(INDEX(Consulta!$A:$DP,MATCH('MM01'!$B90,Consulta!$C:$C,0),'MM01'!E$2),"")=0),"",IFERROR(INDEX(Consulta!$A:$DP,MATCH('MM01'!$B90,Consulta!$C:$C,0),'MM01'!E$2),""))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>
        <v>99</v>
      </c>
      <c r="BN90" s="46" t="str">
        <f t="shared" ca="1" si="53"/>
        <v>05.05.2022</v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IF(IFERROR(INDEX(Consulta!$A:$DP,MATCH('MM01'!$B91,Consulta!$C:$C,0),'MM01'!D$2),"")=0,"",UPPER(IFERROR(INDEX(Consulta!$A:$DP,MATCH('MM01'!$B91,Consulta!$C:$C,0),'MM01'!D$2),"")))</f>
        <v/>
      </c>
      <c r="E91" s="43" t="str">
        <f>IF(OR(D91="KMAT",IFERROR(INDEX(Consulta!$A:$DP,MATCH('MM01'!$B91,Consulta!$C:$C,0),'MM01'!E$2),"")=0),"",IFERROR(INDEX(Consulta!$A:$DP,MATCH('MM01'!$B91,Consulta!$C:$C,0),'MM01'!E$2),""))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>
        <v>99</v>
      </c>
      <c r="BN91" s="46" t="str">
        <f t="shared" ca="1" si="53"/>
        <v>05.05.2022</v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IF(IFERROR(INDEX(Consulta!$A:$DP,MATCH('MM01'!$B92,Consulta!$C:$C,0),'MM01'!D$2),"")=0,"",UPPER(IFERROR(INDEX(Consulta!$A:$DP,MATCH('MM01'!$B92,Consulta!$C:$C,0),'MM01'!D$2),"")))</f>
        <v/>
      </c>
      <c r="E92" s="43" t="str">
        <f>IF(OR(D92="KMAT",IFERROR(INDEX(Consulta!$A:$DP,MATCH('MM01'!$B92,Consulta!$C:$C,0),'MM01'!E$2),"")=0),"",IFERROR(INDEX(Consulta!$A:$DP,MATCH('MM01'!$B92,Consulta!$C:$C,0),'MM01'!E$2),""))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>
        <v>99</v>
      </c>
      <c r="BN92" s="46" t="str">
        <f t="shared" ca="1" si="53"/>
        <v>05.05.2022</v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IF(IFERROR(INDEX(Consulta!$A:$DP,MATCH('MM01'!$B93,Consulta!$C:$C,0),'MM01'!D$2),"")=0,"",UPPER(IFERROR(INDEX(Consulta!$A:$DP,MATCH('MM01'!$B93,Consulta!$C:$C,0),'MM01'!D$2),"")))</f>
        <v/>
      </c>
      <c r="E93" s="43" t="str">
        <f>IF(OR(D93="KMAT",IFERROR(INDEX(Consulta!$A:$DP,MATCH('MM01'!$B93,Consulta!$C:$C,0),'MM01'!E$2),"")=0),"",IFERROR(INDEX(Consulta!$A:$DP,MATCH('MM01'!$B93,Consulta!$C:$C,0),'MM01'!E$2),""))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>
        <v>99</v>
      </c>
      <c r="BN93" s="46" t="str">
        <f t="shared" ca="1" si="53"/>
        <v>05.05.2022</v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IF(IFERROR(INDEX(Consulta!$A:$DP,MATCH('MM01'!$B94,Consulta!$C:$C,0),'MM01'!D$2),"")=0,"",UPPER(IFERROR(INDEX(Consulta!$A:$DP,MATCH('MM01'!$B94,Consulta!$C:$C,0),'MM01'!D$2),"")))</f>
        <v/>
      </c>
      <c r="E94" s="43" t="str">
        <f>IF(OR(D94="KMAT",IFERROR(INDEX(Consulta!$A:$DP,MATCH('MM01'!$B94,Consulta!$C:$C,0),'MM01'!E$2),"")=0),"",IFERROR(INDEX(Consulta!$A:$DP,MATCH('MM01'!$B94,Consulta!$C:$C,0),'MM01'!E$2),""))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>
        <v>99</v>
      </c>
      <c r="BN94" s="46" t="str">
        <f t="shared" ca="1" si="53"/>
        <v>05.05.2022</v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IF(IFERROR(INDEX(Consulta!$A:$DP,MATCH('MM01'!$B95,Consulta!$C:$C,0),'MM01'!D$2),"")=0,"",UPPER(IFERROR(INDEX(Consulta!$A:$DP,MATCH('MM01'!$B95,Consulta!$C:$C,0),'MM01'!D$2),"")))</f>
        <v/>
      </c>
      <c r="E95" s="43" t="str">
        <f>IF(OR(D95="KMAT",IFERROR(INDEX(Consulta!$A:$DP,MATCH('MM01'!$B95,Consulta!$C:$C,0),'MM01'!E$2),"")=0),"",IFERROR(INDEX(Consulta!$A:$DP,MATCH('MM01'!$B95,Consulta!$C:$C,0),'MM01'!E$2),""))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>
        <v>99</v>
      </c>
      <c r="BN95" s="46" t="str">
        <f t="shared" ca="1" si="53"/>
        <v>05.05.2022</v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IF(IFERROR(INDEX(Consulta!$A:$DP,MATCH('MM01'!$B96,Consulta!$C:$C,0),'MM01'!D$2),"")=0,"",UPPER(IFERROR(INDEX(Consulta!$A:$DP,MATCH('MM01'!$B96,Consulta!$C:$C,0),'MM01'!D$2),"")))</f>
        <v/>
      </c>
      <c r="E96" s="43" t="str">
        <f>IF(OR(D96="KMAT",IFERROR(INDEX(Consulta!$A:$DP,MATCH('MM01'!$B96,Consulta!$C:$C,0),'MM01'!E$2),"")=0),"",IFERROR(INDEX(Consulta!$A:$DP,MATCH('MM01'!$B96,Consulta!$C:$C,0),'MM01'!E$2),""))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>
        <v>99</v>
      </c>
      <c r="BN96" s="46" t="str">
        <f t="shared" ca="1" si="53"/>
        <v>05.05.2022</v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IF(IFERROR(INDEX(Consulta!$A:$DP,MATCH('MM01'!$B97,Consulta!$C:$C,0),'MM01'!D$2),"")=0,"",UPPER(IFERROR(INDEX(Consulta!$A:$DP,MATCH('MM01'!$B97,Consulta!$C:$C,0),'MM01'!D$2),"")))</f>
        <v/>
      </c>
      <c r="E97" s="43" t="str">
        <f>IF(OR(D97="KMAT",IFERROR(INDEX(Consulta!$A:$DP,MATCH('MM01'!$B97,Consulta!$C:$C,0),'MM01'!E$2),"")=0),"",IFERROR(INDEX(Consulta!$A:$DP,MATCH('MM01'!$B97,Consulta!$C:$C,0),'MM01'!E$2),""))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>
        <v>99</v>
      </c>
      <c r="BN97" s="46" t="str">
        <f t="shared" ca="1" si="53"/>
        <v>05.05.2022</v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IF(IFERROR(INDEX(Consulta!$A:$DP,MATCH('MM01'!$B98,Consulta!$C:$C,0),'MM01'!D$2),"")=0,"",UPPER(IFERROR(INDEX(Consulta!$A:$DP,MATCH('MM01'!$B98,Consulta!$C:$C,0),'MM01'!D$2),"")))</f>
        <v/>
      </c>
      <c r="E98" s="43" t="str">
        <f>IF(OR(D98="KMAT",IFERROR(INDEX(Consulta!$A:$DP,MATCH('MM01'!$B98,Consulta!$C:$C,0),'MM01'!E$2),"")=0),"",IFERROR(INDEX(Consulta!$A:$DP,MATCH('MM01'!$B98,Consulta!$C:$C,0),'MM01'!E$2),""))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>
        <v>99</v>
      </c>
      <c r="BN98" s="46" t="str">
        <f t="shared" ca="1" si="53"/>
        <v>05.05.2022</v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IF(IFERROR(INDEX(Consulta!$A:$DP,MATCH('MM01'!$B99,Consulta!$C:$C,0),'MM01'!D$2),"")=0,"",UPPER(IFERROR(INDEX(Consulta!$A:$DP,MATCH('MM01'!$B99,Consulta!$C:$C,0),'MM01'!D$2),"")))</f>
        <v/>
      </c>
      <c r="E99" s="43" t="str">
        <f>IF(OR(D99="KMAT",IFERROR(INDEX(Consulta!$A:$DP,MATCH('MM01'!$B99,Consulta!$C:$C,0),'MM01'!E$2),"")=0),"",IFERROR(INDEX(Consulta!$A:$DP,MATCH('MM01'!$B99,Consulta!$C:$C,0),'MM01'!E$2),""))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>
        <v>99</v>
      </c>
      <c r="BN99" s="46" t="str">
        <f t="shared" ca="1" si="53"/>
        <v>05.05.2022</v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IF(IFERROR(INDEX(Consulta!$A:$DP,MATCH('MM01'!$B100,Consulta!$C:$C,0),'MM01'!D$2),"")=0,"",UPPER(IFERROR(INDEX(Consulta!$A:$DP,MATCH('MM01'!$B100,Consulta!$C:$C,0),'MM01'!D$2),"")))</f>
        <v/>
      </c>
      <c r="E100" s="43" t="str">
        <f>IF(OR(D100="KMAT",IFERROR(INDEX(Consulta!$A:$DP,MATCH('MM01'!$B100,Consulta!$C:$C,0),'MM01'!E$2),"")=0),"",IFERROR(INDEX(Consulta!$A:$DP,MATCH('MM01'!$B100,Consulta!$C:$C,0),'MM01'!E$2),""))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>
        <v>99</v>
      </c>
      <c r="BN100" s="46" t="str">
        <f t="shared" ca="1" si="53"/>
        <v>05.05.2022</v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IF(IFERROR(INDEX(Consulta!$A:$DP,MATCH('MM01'!$B101,Consulta!$C:$C,0),'MM01'!D$2),"")=0,"",UPPER(IFERROR(INDEX(Consulta!$A:$DP,MATCH('MM01'!$B101,Consulta!$C:$C,0),'MM01'!D$2),"")))</f>
        <v/>
      </c>
      <c r="E101" s="43" t="str">
        <f>IF(OR(D101="KMAT",IFERROR(INDEX(Consulta!$A:$DP,MATCH('MM01'!$B101,Consulta!$C:$C,0),'MM01'!E$2),"")=0),"",IFERROR(INDEX(Consulta!$A:$DP,MATCH('MM01'!$B101,Consulta!$C:$C,0),'MM01'!E$2),""))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>
        <v>99</v>
      </c>
      <c r="BN101" s="46" t="str">
        <f t="shared" ca="1" si="53"/>
        <v>05.05.2022</v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IF(IFERROR(INDEX(Consulta!$A:$DP,MATCH('MM01'!$B102,Consulta!$C:$C,0),'MM01'!D$2),"")=0,"",UPPER(IFERROR(INDEX(Consulta!$A:$DP,MATCH('MM01'!$B102,Consulta!$C:$C,0),'MM01'!D$2),"")))</f>
        <v/>
      </c>
      <c r="E102" s="43" t="str">
        <f>IF(OR(D102="KMAT",IFERROR(INDEX(Consulta!$A:$DP,MATCH('MM01'!$B102,Consulta!$C:$C,0),'MM01'!E$2),"")=0),"",IFERROR(INDEX(Consulta!$A:$DP,MATCH('MM01'!$B102,Consulta!$C:$C,0),'MM01'!E$2),""))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>
        <v>99</v>
      </c>
      <c r="BN102" s="46" t="str">
        <f t="shared" ca="1" si="53"/>
        <v>05.05.2022</v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IF(IFERROR(INDEX(Consulta!$A:$DP,MATCH('MM01'!$B103,Consulta!$C:$C,0),'MM01'!D$2),"")=0,"",UPPER(IFERROR(INDEX(Consulta!$A:$DP,MATCH('MM01'!$B103,Consulta!$C:$C,0),'MM01'!D$2),"")))</f>
        <v/>
      </c>
      <c r="E103" s="43" t="str">
        <f>IF(OR(D103="KMAT",IFERROR(INDEX(Consulta!$A:$DP,MATCH('MM01'!$B103,Consulta!$C:$C,0),'MM01'!E$2),"")=0),"",IFERROR(INDEX(Consulta!$A:$DP,MATCH('MM01'!$B103,Consulta!$C:$C,0),'MM01'!E$2),""))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>
        <v>99</v>
      </c>
      <c r="BN103" s="46" t="str">
        <f t="shared" ca="1" si="53"/>
        <v>05.05.2022</v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IF(IFERROR(INDEX(Consulta!$A:$DP,MATCH('MM01'!$B104,Consulta!$C:$C,0),'MM01'!D$2),"")=0,"",UPPER(IFERROR(INDEX(Consulta!$A:$DP,MATCH('MM01'!$B104,Consulta!$C:$C,0),'MM01'!D$2),"")))</f>
        <v/>
      </c>
      <c r="E104" s="43" t="str">
        <f>IF(OR(D104="KMAT",IFERROR(INDEX(Consulta!$A:$DP,MATCH('MM01'!$B104,Consulta!$C:$C,0),'MM01'!E$2),"")=0),"",IFERROR(INDEX(Consulta!$A:$DP,MATCH('MM01'!$B104,Consulta!$C:$C,0),'MM01'!E$2),""))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>
        <v>99</v>
      </c>
      <c r="BN104" s="46" t="str">
        <f t="shared" ca="1" si="53"/>
        <v>05.05.2022</v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IF(IFERROR(INDEX(Consulta!$A:$DP,MATCH('MM01'!$B105,Consulta!$C:$C,0),'MM01'!D$2),"")=0,"",UPPER(IFERROR(INDEX(Consulta!$A:$DP,MATCH('MM01'!$B105,Consulta!$C:$C,0),'MM01'!D$2),"")))</f>
        <v/>
      </c>
      <c r="E105" s="43" t="str">
        <f>IF(OR(D105="KMAT",IFERROR(INDEX(Consulta!$A:$DP,MATCH('MM01'!$B105,Consulta!$C:$C,0),'MM01'!E$2),"")=0),"",IFERROR(INDEX(Consulta!$A:$DP,MATCH('MM01'!$B105,Consulta!$C:$C,0),'MM01'!E$2),""))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>
        <v>99</v>
      </c>
      <c r="BN105" s="46" t="str">
        <f ca="1">IF(BM105&lt;&gt;0,TEXT(TODAY(),"DD.MM.AAAA"),"")</f>
        <v>05.05.2022</v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05.05.2022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IF(IFERROR(INDEX(Consulta!$A:$DP,MATCH('MM01'!$B106,Consulta!$C:$C,0),'MM01'!D$2),"")=0,"",UPPER(IFERROR(INDEX(Consulta!$A:$DP,MATCH('MM01'!$B106,Consulta!$C:$C,0),'MM01'!D$2),"")))</f>
        <v/>
      </c>
      <c r="E106" s="43" t="str">
        <f>IF(OR(D106="KMAT",IFERROR(INDEX(Consulta!$A:$DP,MATCH('MM01'!$B106,Consulta!$C:$C,0),'MM01'!E$2),"")=0),"",IFERROR(INDEX(Consulta!$A:$DP,MATCH('MM01'!$B106,Consulta!$C:$C,0),'MM01'!E$2),""))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>
        <v>99</v>
      </c>
      <c r="BN106" s="46" t="str">
        <f t="shared" ref="BN106:BN154" ca="1" si="95">IF(BM106&lt;&gt;0,TEXT(TODAY(),"DD.MM.AAAA"),"")</f>
        <v>05.05.2022</v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05.05.2022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IF(IFERROR(INDEX(Consulta!$A:$DP,MATCH('MM01'!$B107,Consulta!$C:$C,0),'MM01'!D$2),"")=0,"",UPPER(IFERROR(INDEX(Consulta!$A:$DP,MATCH('MM01'!$B107,Consulta!$C:$C,0),'MM01'!D$2),"")))</f>
        <v/>
      </c>
      <c r="E107" s="43" t="str">
        <f>IF(OR(D107="KMAT",IFERROR(INDEX(Consulta!$A:$DP,MATCH('MM01'!$B107,Consulta!$C:$C,0),'MM01'!E$2),"")=0),"",IFERROR(INDEX(Consulta!$A:$DP,MATCH('MM01'!$B107,Consulta!$C:$C,0),'MM01'!E$2),""))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>
        <v>99</v>
      </c>
      <c r="BN107" s="46" t="str">
        <f t="shared" ca="1" si="95"/>
        <v>05.05.2022</v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IF(IFERROR(INDEX(Consulta!$A:$DP,MATCH('MM01'!$B108,Consulta!$C:$C,0),'MM01'!D$2),"")=0,"",UPPER(IFERROR(INDEX(Consulta!$A:$DP,MATCH('MM01'!$B108,Consulta!$C:$C,0),'MM01'!D$2),"")))</f>
        <v/>
      </c>
      <c r="E108" s="43" t="str">
        <f>IF(OR(D108="KMAT",IFERROR(INDEX(Consulta!$A:$DP,MATCH('MM01'!$B108,Consulta!$C:$C,0),'MM01'!E$2),"")=0),"",IFERROR(INDEX(Consulta!$A:$DP,MATCH('MM01'!$B108,Consulta!$C:$C,0),'MM01'!E$2),""))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>
        <v>99</v>
      </c>
      <c r="BN108" s="46" t="str">
        <f t="shared" ca="1" si="95"/>
        <v>05.05.2022</v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IF(IFERROR(INDEX(Consulta!$A:$DP,MATCH('MM01'!$B109,Consulta!$C:$C,0),'MM01'!D$2),"")=0,"",UPPER(IFERROR(INDEX(Consulta!$A:$DP,MATCH('MM01'!$B109,Consulta!$C:$C,0),'MM01'!D$2),"")))</f>
        <v/>
      </c>
      <c r="E109" s="43" t="str">
        <f>IF(OR(D109="KMAT",IFERROR(INDEX(Consulta!$A:$DP,MATCH('MM01'!$B109,Consulta!$C:$C,0),'MM01'!E$2),"")=0),"",IFERROR(INDEX(Consulta!$A:$DP,MATCH('MM01'!$B109,Consulta!$C:$C,0),'MM01'!E$2),""))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>
        <v>99</v>
      </c>
      <c r="BN109" s="46" t="str">
        <f t="shared" ca="1" si="95"/>
        <v>05.05.2022</v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IF(IFERROR(INDEX(Consulta!$A:$DP,MATCH('MM01'!$B110,Consulta!$C:$C,0),'MM01'!D$2),"")=0,"",UPPER(IFERROR(INDEX(Consulta!$A:$DP,MATCH('MM01'!$B110,Consulta!$C:$C,0),'MM01'!D$2),"")))</f>
        <v/>
      </c>
      <c r="E110" s="43" t="str">
        <f>IF(OR(D110="KMAT",IFERROR(INDEX(Consulta!$A:$DP,MATCH('MM01'!$B110,Consulta!$C:$C,0),'MM01'!E$2),"")=0),"",IFERROR(INDEX(Consulta!$A:$DP,MATCH('MM01'!$B110,Consulta!$C:$C,0),'MM01'!E$2),""))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>
        <v>99</v>
      </c>
      <c r="BN110" s="46" t="str">
        <f t="shared" ca="1" si="95"/>
        <v>05.05.2022</v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IF(IFERROR(INDEX(Consulta!$A:$DP,MATCH('MM01'!$B111,Consulta!$C:$C,0),'MM01'!D$2),"")=0,"",UPPER(IFERROR(INDEX(Consulta!$A:$DP,MATCH('MM01'!$B111,Consulta!$C:$C,0),'MM01'!D$2),"")))</f>
        <v/>
      </c>
      <c r="E111" s="43" t="str">
        <f>IF(OR(D111="KMAT",IFERROR(INDEX(Consulta!$A:$DP,MATCH('MM01'!$B111,Consulta!$C:$C,0),'MM01'!E$2),"")=0),"",IFERROR(INDEX(Consulta!$A:$DP,MATCH('MM01'!$B111,Consulta!$C:$C,0),'MM01'!E$2),""))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>
        <v>99</v>
      </c>
      <c r="BN111" s="46" t="str">
        <f t="shared" ca="1" si="95"/>
        <v>05.05.2022</v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IF(IFERROR(INDEX(Consulta!$A:$DP,MATCH('MM01'!$B112,Consulta!$C:$C,0),'MM01'!D$2),"")=0,"",UPPER(IFERROR(INDEX(Consulta!$A:$DP,MATCH('MM01'!$B112,Consulta!$C:$C,0),'MM01'!D$2),"")))</f>
        <v/>
      </c>
      <c r="E112" s="43" t="str">
        <f>IF(OR(D112="KMAT",IFERROR(INDEX(Consulta!$A:$DP,MATCH('MM01'!$B112,Consulta!$C:$C,0),'MM01'!E$2),"")=0),"",IFERROR(INDEX(Consulta!$A:$DP,MATCH('MM01'!$B112,Consulta!$C:$C,0),'MM01'!E$2),""))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>
        <v>99</v>
      </c>
      <c r="BN112" s="46" t="str">
        <f t="shared" ca="1" si="95"/>
        <v>05.05.2022</v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IF(IFERROR(INDEX(Consulta!$A:$DP,MATCH('MM01'!$B113,Consulta!$C:$C,0),'MM01'!D$2),"")=0,"",UPPER(IFERROR(INDEX(Consulta!$A:$DP,MATCH('MM01'!$B113,Consulta!$C:$C,0),'MM01'!D$2),"")))</f>
        <v/>
      </c>
      <c r="E113" s="43" t="str">
        <f>IF(OR(D113="KMAT",IFERROR(INDEX(Consulta!$A:$DP,MATCH('MM01'!$B113,Consulta!$C:$C,0),'MM01'!E$2),"")=0),"",IFERROR(INDEX(Consulta!$A:$DP,MATCH('MM01'!$B113,Consulta!$C:$C,0),'MM01'!E$2),""))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>
        <v>99</v>
      </c>
      <c r="BN113" s="46" t="str">
        <f t="shared" ca="1" si="95"/>
        <v>05.05.2022</v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IF(IFERROR(INDEX(Consulta!$A:$DP,MATCH('MM01'!$B114,Consulta!$C:$C,0),'MM01'!D$2),"")=0,"",UPPER(IFERROR(INDEX(Consulta!$A:$DP,MATCH('MM01'!$B114,Consulta!$C:$C,0),'MM01'!D$2),"")))</f>
        <v/>
      </c>
      <c r="E114" s="43" t="str">
        <f>IF(OR(D114="KMAT",IFERROR(INDEX(Consulta!$A:$DP,MATCH('MM01'!$B114,Consulta!$C:$C,0),'MM01'!E$2),"")=0),"",IFERROR(INDEX(Consulta!$A:$DP,MATCH('MM01'!$B114,Consulta!$C:$C,0),'MM01'!E$2),""))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>
        <v>99</v>
      </c>
      <c r="BN114" s="46" t="str">
        <f t="shared" ca="1" si="95"/>
        <v>05.05.2022</v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IF(IFERROR(INDEX(Consulta!$A:$DP,MATCH('MM01'!$B115,Consulta!$C:$C,0),'MM01'!D$2),"")=0,"",UPPER(IFERROR(INDEX(Consulta!$A:$DP,MATCH('MM01'!$B115,Consulta!$C:$C,0),'MM01'!D$2),"")))</f>
        <v/>
      </c>
      <c r="E115" s="43" t="str">
        <f>IF(OR(D115="KMAT",IFERROR(INDEX(Consulta!$A:$DP,MATCH('MM01'!$B115,Consulta!$C:$C,0),'MM01'!E$2),"")=0),"",IFERROR(INDEX(Consulta!$A:$DP,MATCH('MM01'!$B115,Consulta!$C:$C,0),'MM01'!E$2),""))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>
        <v>99</v>
      </c>
      <c r="BN115" s="46" t="str">
        <f t="shared" ca="1" si="95"/>
        <v>05.05.2022</v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IF(IFERROR(INDEX(Consulta!$A:$DP,MATCH('MM01'!$B116,Consulta!$C:$C,0),'MM01'!D$2),"")=0,"",UPPER(IFERROR(INDEX(Consulta!$A:$DP,MATCH('MM01'!$B116,Consulta!$C:$C,0),'MM01'!D$2),"")))</f>
        <v/>
      </c>
      <c r="E116" s="43" t="str">
        <f>IF(OR(D116="KMAT",IFERROR(INDEX(Consulta!$A:$DP,MATCH('MM01'!$B116,Consulta!$C:$C,0),'MM01'!E$2),"")=0),"",IFERROR(INDEX(Consulta!$A:$DP,MATCH('MM01'!$B116,Consulta!$C:$C,0),'MM01'!E$2),""))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>
        <v>99</v>
      </c>
      <c r="BN116" s="46" t="str">
        <f t="shared" ca="1" si="95"/>
        <v>05.05.2022</v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IF(IFERROR(INDEX(Consulta!$A:$DP,MATCH('MM01'!$B117,Consulta!$C:$C,0),'MM01'!D$2),"")=0,"",UPPER(IFERROR(INDEX(Consulta!$A:$DP,MATCH('MM01'!$B117,Consulta!$C:$C,0),'MM01'!D$2),"")))</f>
        <v/>
      </c>
      <c r="E117" s="43" t="str">
        <f>IF(OR(D117="KMAT",IFERROR(INDEX(Consulta!$A:$DP,MATCH('MM01'!$B117,Consulta!$C:$C,0),'MM01'!E$2),"")=0),"",IFERROR(INDEX(Consulta!$A:$DP,MATCH('MM01'!$B117,Consulta!$C:$C,0),'MM01'!E$2),""))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>
        <v>99</v>
      </c>
      <c r="BN117" s="46" t="str">
        <f t="shared" ca="1" si="95"/>
        <v>05.05.2022</v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IF(IFERROR(INDEX(Consulta!$A:$DP,MATCH('MM01'!$B118,Consulta!$C:$C,0),'MM01'!D$2),"")=0,"",UPPER(IFERROR(INDEX(Consulta!$A:$DP,MATCH('MM01'!$B118,Consulta!$C:$C,0),'MM01'!D$2),"")))</f>
        <v/>
      </c>
      <c r="E118" s="43" t="str">
        <f>IF(OR(D118="KMAT",IFERROR(INDEX(Consulta!$A:$DP,MATCH('MM01'!$B118,Consulta!$C:$C,0),'MM01'!E$2),"")=0),"",IFERROR(INDEX(Consulta!$A:$DP,MATCH('MM01'!$B118,Consulta!$C:$C,0),'MM01'!E$2),""))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>
        <v>99</v>
      </c>
      <c r="BN118" s="46" t="str">
        <f t="shared" ca="1" si="95"/>
        <v>05.05.2022</v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IF(IFERROR(INDEX(Consulta!$A:$DP,MATCH('MM01'!$B119,Consulta!$C:$C,0),'MM01'!D$2),"")=0,"",UPPER(IFERROR(INDEX(Consulta!$A:$DP,MATCH('MM01'!$B119,Consulta!$C:$C,0),'MM01'!D$2),"")))</f>
        <v/>
      </c>
      <c r="E119" s="43" t="str">
        <f>IF(OR(D119="KMAT",IFERROR(INDEX(Consulta!$A:$DP,MATCH('MM01'!$B119,Consulta!$C:$C,0),'MM01'!E$2),"")=0),"",IFERROR(INDEX(Consulta!$A:$DP,MATCH('MM01'!$B119,Consulta!$C:$C,0),'MM01'!E$2),""))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>
        <v>99</v>
      </c>
      <c r="BN119" s="46" t="str">
        <f t="shared" ca="1" si="95"/>
        <v>05.05.2022</v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IF(IFERROR(INDEX(Consulta!$A:$DP,MATCH('MM01'!$B120,Consulta!$C:$C,0),'MM01'!D$2),"")=0,"",UPPER(IFERROR(INDEX(Consulta!$A:$DP,MATCH('MM01'!$B120,Consulta!$C:$C,0),'MM01'!D$2),"")))</f>
        <v/>
      </c>
      <c r="E120" s="43" t="str">
        <f>IF(OR(D120="KMAT",IFERROR(INDEX(Consulta!$A:$DP,MATCH('MM01'!$B120,Consulta!$C:$C,0),'MM01'!E$2),"")=0),"",IFERROR(INDEX(Consulta!$A:$DP,MATCH('MM01'!$B120,Consulta!$C:$C,0),'MM01'!E$2),""))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>
        <v>99</v>
      </c>
      <c r="BN120" s="46" t="str">
        <f t="shared" ca="1" si="95"/>
        <v>05.05.2022</v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IF(IFERROR(INDEX(Consulta!$A:$DP,MATCH('MM01'!$B121,Consulta!$C:$C,0),'MM01'!D$2),"")=0,"",UPPER(IFERROR(INDEX(Consulta!$A:$DP,MATCH('MM01'!$B121,Consulta!$C:$C,0),'MM01'!D$2),"")))</f>
        <v/>
      </c>
      <c r="E121" s="43" t="str">
        <f>IF(OR(D121="KMAT",IFERROR(INDEX(Consulta!$A:$DP,MATCH('MM01'!$B121,Consulta!$C:$C,0),'MM01'!E$2),"")=0),"",IFERROR(INDEX(Consulta!$A:$DP,MATCH('MM01'!$B121,Consulta!$C:$C,0),'MM01'!E$2),""))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>
        <v>99</v>
      </c>
      <c r="BN121" s="46" t="str">
        <f t="shared" ca="1" si="95"/>
        <v>05.05.2022</v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IF(IFERROR(INDEX(Consulta!$A:$DP,MATCH('MM01'!$B122,Consulta!$C:$C,0),'MM01'!D$2),"")=0,"",UPPER(IFERROR(INDEX(Consulta!$A:$DP,MATCH('MM01'!$B122,Consulta!$C:$C,0),'MM01'!D$2),"")))</f>
        <v/>
      </c>
      <c r="E122" s="43" t="str">
        <f>IF(OR(D122="KMAT",IFERROR(INDEX(Consulta!$A:$DP,MATCH('MM01'!$B122,Consulta!$C:$C,0),'MM01'!E$2),"")=0),"",IFERROR(INDEX(Consulta!$A:$DP,MATCH('MM01'!$B122,Consulta!$C:$C,0),'MM01'!E$2),""))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>
        <v>99</v>
      </c>
      <c r="BN122" s="46" t="str">
        <f t="shared" ca="1" si="95"/>
        <v>05.05.2022</v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IF(IFERROR(INDEX(Consulta!$A:$DP,MATCH('MM01'!$B123,Consulta!$C:$C,0),'MM01'!D$2),"")=0,"",UPPER(IFERROR(INDEX(Consulta!$A:$DP,MATCH('MM01'!$B123,Consulta!$C:$C,0),'MM01'!D$2),"")))</f>
        <v/>
      </c>
      <c r="E123" s="43" t="str">
        <f>IF(OR(D123="KMAT",IFERROR(INDEX(Consulta!$A:$DP,MATCH('MM01'!$B123,Consulta!$C:$C,0),'MM01'!E$2),"")=0),"",IFERROR(INDEX(Consulta!$A:$DP,MATCH('MM01'!$B123,Consulta!$C:$C,0),'MM01'!E$2),""))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>
        <v>99</v>
      </c>
      <c r="BN123" s="46" t="str">
        <f t="shared" ca="1" si="95"/>
        <v>05.05.2022</v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IF(IFERROR(INDEX(Consulta!$A:$DP,MATCH('MM01'!$B124,Consulta!$C:$C,0),'MM01'!D$2),"")=0,"",UPPER(IFERROR(INDEX(Consulta!$A:$DP,MATCH('MM01'!$B124,Consulta!$C:$C,0),'MM01'!D$2),"")))</f>
        <v/>
      </c>
      <c r="E124" s="43" t="str">
        <f>IF(OR(D124="KMAT",IFERROR(INDEX(Consulta!$A:$DP,MATCH('MM01'!$B124,Consulta!$C:$C,0),'MM01'!E$2),"")=0),"",IFERROR(INDEX(Consulta!$A:$DP,MATCH('MM01'!$B124,Consulta!$C:$C,0),'MM01'!E$2),""))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>
        <v>99</v>
      </c>
      <c r="BN124" s="46" t="str">
        <f t="shared" ca="1" si="95"/>
        <v>05.05.2022</v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IF(IFERROR(INDEX(Consulta!$A:$DP,MATCH('MM01'!$B125,Consulta!$C:$C,0),'MM01'!D$2),"")=0,"",UPPER(IFERROR(INDEX(Consulta!$A:$DP,MATCH('MM01'!$B125,Consulta!$C:$C,0),'MM01'!D$2),"")))</f>
        <v/>
      </c>
      <c r="E125" s="43" t="str">
        <f>IF(OR(D125="KMAT",IFERROR(INDEX(Consulta!$A:$DP,MATCH('MM01'!$B125,Consulta!$C:$C,0),'MM01'!E$2),"")=0),"",IFERROR(INDEX(Consulta!$A:$DP,MATCH('MM01'!$B125,Consulta!$C:$C,0),'MM01'!E$2),""))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>
        <v>99</v>
      </c>
      <c r="BN125" s="46" t="str">
        <f t="shared" ca="1" si="95"/>
        <v>05.05.2022</v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IF(IFERROR(INDEX(Consulta!$A:$DP,MATCH('MM01'!$B126,Consulta!$C:$C,0),'MM01'!D$2),"")=0,"",UPPER(IFERROR(INDEX(Consulta!$A:$DP,MATCH('MM01'!$B126,Consulta!$C:$C,0),'MM01'!D$2),"")))</f>
        <v/>
      </c>
      <c r="E126" s="43" t="str">
        <f>IF(OR(D126="KMAT",IFERROR(INDEX(Consulta!$A:$DP,MATCH('MM01'!$B126,Consulta!$C:$C,0),'MM01'!E$2),"")=0),"",IFERROR(INDEX(Consulta!$A:$DP,MATCH('MM01'!$B126,Consulta!$C:$C,0),'MM01'!E$2),""))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>
        <v>99</v>
      </c>
      <c r="BN126" s="46" t="str">
        <f t="shared" ca="1" si="95"/>
        <v>05.05.2022</v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IF(IFERROR(INDEX(Consulta!$A:$DP,MATCH('MM01'!$B127,Consulta!$C:$C,0),'MM01'!D$2),"")=0,"",UPPER(IFERROR(INDEX(Consulta!$A:$DP,MATCH('MM01'!$B127,Consulta!$C:$C,0),'MM01'!D$2),"")))</f>
        <v/>
      </c>
      <c r="E127" s="43" t="str">
        <f>IF(OR(D127="KMAT",IFERROR(INDEX(Consulta!$A:$DP,MATCH('MM01'!$B127,Consulta!$C:$C,0),'MM01'!E$2),"")=0),"",IFERROR(INDEX(Consulta!$A:$DP,MATCH('MM01'!$B127,Consulta!$C:$C,0),'MM01'!E$2),""))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>
        <v>99</v>
      </c>
      <c r="BN127" s="46" t="str">
        <f t="shared" ca="1" si="95"/>
        <v>05.05.2022</v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IF(IFERROR(INDEX(Consulta!$A:$DP,MATCH('MM01'!$B128,Consulta!$C:$C,0),'MM01'!D$2),"")=0,"",UPPER(IFERROR(INDEX(Consulta!$A:$DP,MATCH('MM01'!$B128,Consulta!$C:$C,0),'MM01'!D$2),"")))</f>
        <v/>
      </c>
      <c r="E128" s="43" t="str">
        <f>IF(OR(D128="KMAT",IFERROR(INDEX(Consulta!$A:$DP,MATCH('MM01'!$B128,Consulta!$C:$C,0),'MM01'!E$2),"")=0),"",IFERROR(INDEX(Consulta!$A:$DP,MATCH('MM01'!$B128,Consulta!$C:$C,0),'MM01'!E$2),""))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>
        <v>99</v>
      </c>
      <c r="BN128" s="46" t="str">
        <f t="shared" ca="1" si="95"/>
        <v>05.05.2022</v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IF(IFERROR(INDEX(Consulta!$A:$DP,MATCH('MM01'!$B129,Consulta!$C:$C,0),'MM01'!D$2),"")=0,"",UPPER(IFERROR(INDEX(Consulta!$A:$DP,MATCH('MM01'!$B129,Consulta!$C:$C,0),'MM01'!D$2),"")))</f>
        <v/>
      </c>
      <c r="E129" s="43" t="str">
        <f>IF(OR(D129="KMAT",IFERROR(INDEX(Consulta!$A:$DP,MATCH('MM01'!$B129,Consulta!$C:$C,0),'MM01'!E$2),"")=0),"",IFERROR(INDEX(Consulta!$A:$DP,MATCH('MM01'!$B129,Consulta!$C:$C,0),'MM01'!E$2),""))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>
        <v>99</v>
      </c>
      <c r="BN129" s="46" t="str">
        <f t="shared" ca="1" si="95"/>
        <v>05.05.2022</v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IF(IFERROR(INDEX(Consulta!$A:$DP,MATCH('MM01'!$B130,Consulta!$C:$C,0),'MM01'!D$2),"")=0,"",UPPER(IFERROR(INDEX(Consulta!$A:$DP,MATCH('MM01'!$B130,Consulta!$C:$C,0),'MM01'!D$2),"")))</f>
        <v/>
      </c>
      <c r="E130" s="43" t="str">
        <f>IF(OR(D130="KMAT",IFERROR(INDEX(Consulta!$A:$DP,MATCH('MM01'!$B130,Consulta!$C:$C,0),'MM01'!E$2),"")=0),"",IFERROR(INDEX(Consulta!$A:$DP,MATCH('MM01'!$B130,Consulta!$C:$C,0),'MM01'!E$2),""))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>
        <v>99</v>
      </c>
      <c r="BN130" s="46" t="str">
        <f t="shared" ca="1" si="95"/>
        <v>05.05.2022</v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IF(IFERROR(INDEX(Consulta!$A:$DP,MATCH('MM01'!$B131,Consulta!$C:$C,0),'MM01'!D$2),"")=0,"",UPPER(IFERROR(INDEX(Consulta!$A:$DP,MATCH('MM01'!$B131,Consulta!$C:$C,0),'MM01'!D$2),"")))</f>
        <v/>
      </c>
      <c r="E131" s="43" t="str">
        <f>IF(OR(D131="KMAT",IFERROR(INDEX(Consulta!$A:$DP,MATCH('MM01'!$B131,Consulta!$C:$C,0),'MM01'!E$2),"")=0),"",IFERROR(INDEX(Consulta!$A:$DP,MATCH('MM01'!$B131,Consulta!$C:$C,0),'MM01'!E$2),""))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>
        <v>99</v>
      </c>
      <c r="BN131" s="46" t="str">
        <f t="shared" ca="1" si="95"/>
        <v>05.05.2022</v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IF(IFERROR(INDEX(Consulta!$A:$DP,MATCH('MM01'!$B132,Consulta!$C:$C,0),'MM01'!D$2),"")=0,"",UPPER(IFERROR(INDEX(Consulta!$A:$DP,MATCH('MM01'!$B132,Consulta!$C:$C,0),'MM01'!D$2),"")))</f>
        <v/>
      </c>
      <c r="E132" s="43" t="str">
        <f>IF(OR(D132="KMAT",IFERROR(INDEX(Consulta!$A:$DP,MATCH('MM01'!$B132,Consulta!$C:$C,0),'MM01'!E$2),"")=0),"",IFERROR(INDEX(Consulta!$A:$DP,MATCH('MM01'!$B132,Consulta!$C:$C,0),'MM01'!E$2),""))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>
        <v>99</v>
      </c>
      <c r="BN132" s="46" t="str">
        <f t="shared" ca="1" si="95"/>
        <v>05.05.2022</v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IF(IFERROR(INDEX(Consulta!$A:$DP,MATCH('MM01'!$B133,Consulta!$C:$C,0),'MM01'!D$2),"")=0,"",UPPER(IFERROR(INDEX(Consulta!$A:$DP,MATCH('MM01'!$B133,Consulta!$C:$C,0),'MM01'!D$2),"")))</f>
        <v/>
      </c>
      <c r="E133" s="43" t="str">
        <f>IF(OR(D133="KMAT",IFERROR(INDEX(Consulta!$A:$DP,MATCH('MM01'!$B133,Consulta!$C:$C,0),'MM01'!E$2),"")=0),"",IFERROR(INDEX(Consulta!$A:$DP,MATCH('MM01'!$B133,Consulta!$C:$C,0),'MM01'!E$2),""))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>
        <v>99</v>
      </c>
      <c r="BN133" s="46" t="str">
        <f t="shared" ca="1" si="95"/>
        <v>05.05.2022</v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IF(IFERROR(INDEX(Consulta!$A:$DP,MATCH('MM01'!$B134,Consulta!$C:$C,0),'MM01'!D$2),"")=0,"",UPPER(IFERROR(INDEX(Consulta!$A:$DP,MATCH('MM01'!$B134,Consulta!$C:$C,0),'MM01'!D$2),"")))</f>
        <v/>
      </c>
      <c r="E134" s="43" t="str">
        <f>IF(OR(D134="KMAT",IFERROR(INDEX(Consulta!$A:$DP,MATCH('MM01'!$B134,Consulta!$C:$C,0),'MM01'!E$2),"")=0),"",IFERROR(INDEX(Consulta!$A:$DP,MATCH('MM01'!$B134,Consulta!$C:$C,0),'MM01'!E$2),""))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>
        <v>99</v>
      </c>
      <c r="BN134" s="46" t="str">
        <f t="shared" ca="1" si="95"/>
        <v>05.05.2022</v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IF(AR134="68","20","01")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IF(IFERROR(INDEX(Consulta!$A:$DP,MATCH('MM01'!$B135,Consulta!$C:$C,0),'MM01'!D$2),"")=0,"",UPPER(IFERROR(INDEX(Consulta!$A:$DP,MATCH('MM01'!$B135,Consulta!$C:$C,0),'MM01'!D$2),"")))</f>
        <v/>
      </c>
      <c r="E135" s="43" t="str">
        <f>IF(OR(D135="KMAT",IFERROR(INDEX(Consulta!$A:$DP,MATCH('MM01'!$B135,Consulta!$C:$C,0),'MM01'!E$2),"")=0),"",IFERROR(INDEX(Consulta!$A:$DP,MATCH('MM01'!$B135,Consulta!$C:$C,0),'MM01'!E$2),""))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>
        <v>99</v>
      </c>
      <c r="BN135" s="46" t="str">
        <f t="shared" ca="1" si="95"/>
        <v>05.05.2022</v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IF(IFERROR(INDEX(Consulta!$A:$DP,MATCH('MM01'!$B136,Consulta!$C:$C,0),'MM01'!D$2),"")=0,"",UPPER(IFERROR(INDEX(Consulta!$A:$DP,MATCH('MM01'!$B136,Consulta!$C:$C,0),'MM01'!D$2),"")))</f>
        <v/>
      </c>
      <c r="E136" s="43" t="str">
        <f>IF(OR(D136="KMAT",IFERROR(INDEX(Consulta!$A:$DP,MATCH('MM01'!$B136,Consulta!$C:$C,0),'MM01'!E$2),"")=0),"",IFERROR(INDEX(Consulta!$A:$DP,MATCH('MM01'!$B136,Consulta!$C:$C,0),'MM01'!E$2),""))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>
        <v>99</v>
      </c>
      <c r="BN136" s="46" t="str">
        <f t="shared" ca="1" si="95"/>
        <v>05.05.2022</v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IF(IFERROR(INDEX(Consulta!$A:$DP,MATCH('MM01'!$B137,Consulta!$C:$C,0),'MM01'!D$2),"")=0,"",UPPER(IFERROR(INDEX(Consulta!$A:$DP,MATCH('MM01'!$B137,Consulta!$C:$C,0),'MM01'!D$2),"")))</f>
        <v/>
      </c>
      <c r="E137" s="43" t="str">
        <f>IF(OR(D137="KMAT",IFERROR(INDEX(Consulta!$A:$DP,MATCH('MM01'!$B137,Consulta!$C:$C,0),'MM01'!E$2),"")=0),"",IFERROR(INDEX(Consulta!$A:$DP,MATCH('MM01'!$B137,Consulta!$C:$C,0),'MM01'!E$2),""))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>
        <v>99</v>
      </c>
      <c r="BN137" s="46" t="str">
        <f t="shared" ca="1" si="95"/>
        <v>05.05.2022</v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IF(IFERROR(INDEX(Consulta!$A:$DP,MATCH('MM01'!$B138,Consulta!$C:$C,0),'MM01'!D$2),"")=0,"",UPPER(IFERROR(INDEX(Consulta!$A:$DP,MATCH('MM01'!$B138,Consulta!$C:$C,0),'MM01'!D$2),"")))</f>
        <v/>
      </c>
      <c r="E138" s="43" t="str">
        <f>IF(OR(D138="KMAT",IFERROR(INDEX(Consulta!$A:$DP,MATCH('MM01'!$B138,Consulta!$C:$C,0),'MM01'!E$2),"")=0),"",IFERROR(INDEX(Consulta!$A:$DP,MATCH('MM01'!$B138,Consulta!$C:$C,0),'MM01'!E$2),""))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>
        <v>99</v>
      </c>
      <c r="BN138" s="46" t="str">
        <f t="shared" ca="1" si="95"/>
        <v>05.05.2022</v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IF(IFERROR(INDEX(Consulta!$A:$DP,MATCH('MM01'!$B139,Consulta!$C:$C,0),'MM01'!D$2),"")=0,"",UPPER(IFERROR(INDEX(Consulta!$A:$DP,MATCH('MM01'!$B139,Consulta!$C:$C,0),'MM01'!D$2),"")))</f>
        <v/>
      </c>
      <c r="E139" s="43" t="str">
        <f>IF(OR(D139="KMAT",IFERROR(INDEX(Consulta!$A:$DP,MATCH('MM01'!$B139,Consulta!$C:$C,0),'MM01'!E$2),"")=0),"",IFERROR(INDEX(Consulta!$A:$DP,MATCH('MM01'!$B139,Consulta!$C:$C,0),'MM01'!E$2),""))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>
        <v>99</v>
      </c>
      <c r="BN139" s="46" t="str">
        <f t="shared" ca="1" si="95"/>
        <v>05.05.2022</v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IF(IFERROR(INDEX(Consulta!$A:$DP,MATCH('MM01'!$B140,Consulta!$C:$C,0),'MM01'!D$2),"")=0,"",UPPER(IFERROR(INDEX(Consulta!$A:$DP,MATCH('MM01'!$B140,Consulta!$C:$C,0),'MM01'!D$2),"")))</f>
        <v/>
      </c>
      <c r="E140" s="43" t="str">
        <f>IF(OR(D140="KMAT",IFERROR(INDEX(Consulta!$A:$DP,MATCH('MM01'!$B140,Consulta!$C:$C,0),'MM01'!E$2),"")=0),"",IFERROR(INDEX(Consulta!$A:$DP,MATCH('MM01'!$B140,Consulta!$C:$C,0),'MM01'!E$2),""))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>
        <v>99</v>
      </c>
      <c r="BN140" s="46" t="str">
        <f t="shared" ca="1" si="95"/>
        <v>05.05.2022</v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IF(IFERROR(INDEX(Consulta!$A:$DP,MATCH('MM01'!$B141,Consulta!$C:$C,0),'MM01'!D$2),"")=0,"",UPPER(IFERROR(INDEX(Consulta!$A:$DP,MATCH('MM01'!$B141,Consulta!$C:$C,0),'MM01'!D$2),"")))</f>
        <v/>
      </c>
      <c r="E141" s="43" t="str">
        <f>IF(OR(D141="KMAT",IFERROR(INDEX(Consulta!$A:$DP,MATCH('MM01'!$B141,Consulta!$C:$C,0),'MM01'!E$2),"")=0),"",IFERROR(INDEX(Consulta!$A:$DP,MATCH('MM01'!$B141,Consulta!$C:$C,0),'MM01'!E$2),""))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>
        <v>99</v>
      </c>
      <c r="BN141" s="46" t="str">
        <f t="shared" ca="1" si="95"/>
        <v>05.05.2022</v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IF(IFERROR(INDEX(Consulta!$A:$DP,MATCH('MM01'!$B142,Consulta!$C:$C,0),'MM01'!D$2),"")=0,"",UPPER(IFERROR(INDEX(Consulta!$A:$DP,MATCH('MM01'!$B142,Consulta!$C:$C,0),'MM01'!D$2),"")))</f>
        <v/>
      </c>
      <c r="E142" s="43" t="str">
        <f>IF(OR(D142="KMAT",IFERROR(INDEX(Consulta!$A:$DP,MATCH('MM01'!$B142,Consulta!$C:$C,0),'MM01'!E$2),"")=0),"",IFERROR(INDEX(Consulta!$A:$DP,MATCH('MM01'!$B142,Consulta!$C:$C,0),'MM01'!E$2),""))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>
        <v>99</v>
      </c>
      <c r="BN142" s="46" t="str">
        <f t="shared" ca="1" si="95"/>
        <v>05.05.2022</v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IF(IFERROR(INDEX(Consulta!$A:$DP,MATCH('MM01'!$B143,Consulta!$C:$C,0),'MM01'!D$2),"")=0,"",UPPER(IFERROR(INDEX(Consulta!$A:$DP,MATCH('MM01'!$B143,Consulta!$C:$C,0),'MM01'!D$2),"")))</f>
        <v/>
      </c>
      <c r="E143" s="43" t="str">
        <f>IF(OR(D143="KMAT",IFERROR(INDEX(Consulta!$A:$DP,MATCH('MM01'!$B143,Consulta!$C:$C,0),'MM01'!E$2),"")=0),"",IFERROR(INDEX(Consulta!$A:$DP,MATCH('MM01'!$B143,Consulta!$C:$C,0),'MM01'!E$2),""))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>
        <v>99</v>
      </c>
      <c r="BN143" s="46" t="str">
        <f t="shared" ca="1" si="95"/>
        <v>05.05.2022</v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IF(IFERROR(INDEX(Consulta!$A:$DP,MATCH('MM01'!$B144,Consulta!$C:$C,0),'MM01'!D$2),"")=0,"",UPPER(IFERROR(INDEX(Consulta!$A:$DP,MATCH('MM01'!$B144,Consulta!$C:$C,0),'MM01'!D$2),"")))</f>
        <v/>
      </c>
      <c r="E144" s="43" t="str">
        <f>IF(OR(D144="KMAT",IFERROR(INDEX(Consulta!$A:$DP,MATCH('MM01'!$B144,Consulta!$C:$C,0),'MM01'!E$2),"")=0),"",IFERROR(INDEX(Consulta!$A:$DP,MATCH('MM01'!$B144,Consulta!$C:$C,0),'MM01'!E$2),""))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>
        <v>99</v>
      </c>
      <c r="BN144" s="46" t="str">
        <f t="shared" ca="1" si="95"/>
        <v>05.05.2022</v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IF(IFERROR(INDEX(Consulta!$A:$DP,MATCH('MM01'!$B145,Consulta!$C:$C,0),'MM01'!D$2),"")=0,"",UPPER(IFERROR(INDEX(Consulta!$A:$DP,MATCH('MM01'!$B145,Consulta!$C:$C,0),'MM01'!D$2),"")))</f>
        <v/>
      </c>
      <c r="E145" s="43" t="str">
        <f>IF(OR(D145="KMAT",IFERROR(INDEX(Consulta!$A:$DP,MATCH('MM01'!$B145,Consulta!$C:$C,0),'MM01'!E$2),"")=0),"",IFERROR(INDEX(Consulta!$A:$DP,MATCH('MM01'!$B145,Consulta!$C:$C,0),'MM01'!E$2),""))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>
        <v>99</v>
      </c>
      <c r="BN145" s="46" t="str">
        <f t="shared" ca="1" si="95"/>
        <v>05.05.2022</v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IF(IFERROR(INDEX(Consulta!$A:$DP,MATCH('MM01'!$B146,Consulta!$C:$C,0),'MM01'!D$2),"")=0,"",UPPER(IFERROR(INDEX(Consulta!$A:$DP,MATCH('MM01'!$B146,Consulta!$C:$C,0),'MM01'!D$2),"")))</f>
        <v/>
      </c>
      <c r="E146" s="43" t="str">
        <f>IF(OR(D146="KMAT",IFERROR(INDEX(Consulta!$A:$DP,MATCH('MM01'!$B146,Consulta!$C:$C,0),'MM01'!E$2),"")=0),"",IFERROR(INDEX(Consulta!$A:$DP,MATCH('MM01'!$B146,Consulta!$C:$C,0),'MM01'!E$2),""))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>
        <v>99</v>
      </c>
      <c r="BN146" s="46" t="str">
        <f t="shared" ca="1" si="95"/>
        <v>05.05.2022</v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IF(IFERROR(INDEX(Consulta!$A:$DP,MATCH('MM01'!$B147,Consulta!$C:$C,0),'MM01'!D$2),"")=0,"",UPPER(IFERROR(INDEX(Consulta!$A:$DP,MATCH('MM01'!$B147,Consulta!$C:$C,0),'MM01'!D$2),"")))</f>
        <v/>
      </c>
      <c r="E147" s="43" t="str">
        <f>IF(OR(D147="KMAT",IFERROR(INDEX(Consulta!$A:$DP,MATCH('MM01'!$B147,Consulta!$C:$C,0),'MM01'!E$2),"")=0),"",IFERROR(INDEX(Consulta!$A:$DP,MATCH('MM01'!$B147,Consulta!$C:$C,0),'MM01'!E$2),""))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>
        <v>99</v>
      </c>
      <c r="BN147" s="46" t="str">
        <f t="shared" ca="1" si="95"/>
        <v>05.05.2022</v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IF(IFERROR(INDEX(Consulta!$A:$DP,MATCH('MM01'!$B148,Consulta!$C:$C,0),'MM01'!D$2),"")=0,"",UPPER(IFERROR(INDEX(Consulta!$A:$DP,MATCH('MM01'!$B148,Consulta!$C:$C,0),'MM01'!D$2),"")))</f>
        <v/>
      </c>
      <c r="E148" s="43" t="str">
        <f>IF(OR(D148="KMAT",IFERROR(INDEX(Consulta!$A:$DP,MATCH('MM01'!$B148,Consulta!$C:$C,0),'MM01'!E$2),"")=0),"",IFERROR(INDEX(Consulta!$A:$DP,MATCH('MM01'!$B148,Consulta!$C:$C,0),'MM01'!E$2),""))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>
        <v>99</v>
      </c>
      <c r="BN148" s="46" t="str">
        <f t="shared" ca="1" si="95"/>
        <v>05.05.2022</v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IF(IFERROR(INDEX(Consulta!$A:$DP,MATCH('MM01'!$B149,Consulta!$C:$C,0),'MM01'!D$2),"")=0,"",UPPER(IFERROR(INDEX(Consulta!$A:$DP,MATCH('MM01'!$B149,Consulta!$C:$C,0),'MM01'!D$2),"")))</f>
        <v/>
      </c>
      <c r="E149" s="43" t="str">
        <f>IF(OR(D149="KMAT",IFERROR(INDEX(Consulta!$A:$DP,MATCH('MM01'!$B149,Consulta!$C:$C,0),'MM01'!E$2),"")=0),"",IFERROR(INDEX(Consulta!$A:$DP,MATCH('MM01'!$B149,Consulta!$C:$C,0),'MM01'!E$2),""))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>
        <v>99</v>
      </c>
      <c r="BN149" s="46" t="str">
        <f t="shared" ca="1" si="95"/>
        <v>05.05.2022</v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IF(IFERROR(INDEX(Consulta!$A:$DP,MATCH('MM01'!$B150,Consulta!$C:$C,0),'MM01'!D$2),"")=0,"",UPPER(IFERROR(INDEX(Consulta!$A:$DP,MATCH('MM01'!$B150,Consulta!$C:$C,0),'MM01'!D$2),"")))</f>
        <v/>
      </c>
      <c r="E150" s="43" t="str">
        <f>IF(OR(D150="KMAT",IFERROR(INDEX(Consulta!$A:$DP,MATCH('MM01'!$B150,Consulta!$C:$C,0),'MM01'!E$2),"")=0),"",IFERROR(INDEX(Consulta!$A:$DP,MATCH('MM01'!$B150,Consulta!$C:$C,0),'MM01'!E$2),""))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>
        <v>99</v>
      </c>
      <c r="BN150" s="46" t="str">
        <f t="shared" ca="1" si="95"/>
        <v>05.05.2022</v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IF(IFERROR(INDEX(Consulta!$A:$DP,MATCH('MM01'!$B151,Consulta!$C:$C,0),'MM01'!D$2),"")=0,"",UPPER(IFERROR(INDEX(Consulta!$A:$DP,MATCH('MM01'!$B151,Consulta!$C:$C,0),'MM01'!D$2),"")))</f>
        <v/>
      </c>
      <c r="E151" s="43" t="str">
        <f>IF(OR(D151="KMAT",IFERROR(INDEX(Consulta!$A:$DP,MATCH('MM01'!$B151,Consulta!$C:$C,0),'MM01'!E$2),"")=0),"",IFERROR(INDEX(Consulta!$A:$DP,MATCH('MM01'!$B151,Consulta!$C:$C,0),'MM01'!E$2),""))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>
        <v>99</v>
      </c>
      <c r="BN151" s="46" t="str">
        <f t="shared" ca="1" si="95"/>
        <v>05.05.2022</v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IF(IFERROR(INDEX(Consulta!$A:$DP,MATCH('MM01'!$B152,Consulta!$C:$C,0),'MM01'!D$2),"")=0,"",UPPER(IFERROR(INDEX(Consulta!$A:$DP,MATCH('MM01'!$B152,Consulta!$C:$C,0),'MM01'!D$2),"")))</f>
        <v/>
      </c>
      <c r="E152" s="43" t="str">
        <f>IF(OR(D152="KMAT",IFERROR(INDEX(Consulta!$A:$DP,MATCH('MM01'!$B152,Consulta!$C:$C,0),'MM01'!E$2),"")=0),"",IFERROR(INDEX(Consulta!$A:$DP,MATCH('MM01'!$B152,Consulta!$C:$C,0),'MM01'!E$2),""))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>
        <v>99</v>
      </c>
      <c r="BN152" s="46" t="str">
        <f t="shared" ca="1" si="95"/>
        <v>05.05.2022</v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IF(IFERROR(INDEX(Consulta!$A:$DP,MATCH('MM01'!$B153,Consulta!$C:$C,0),'MM01'!D$2),"")=0,"",UPPER(IFERROR(INDEX(Consulta!$A:$DP,MATCH('MM01'!$B153,Consulta!$C:$C,0),'MM01'!D$2),"")))</f>
        <v/>
      </c>
      <c r="E153" s="43" t="str">
        <f>IF(OR(D153="KMAT",IFERROR(INDEX(Consulta!$A:$DP,MATCH('MM01'!$B153,Consulta!$C:$C,0),'MM01'!E$2),"")=0),"",IFERROR(INDEX(Consulta!$A:$DP,MATCH('MM01'!$B153,Consulta!$C:$C,0),'MM01'!E$2),""))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>
        <v>99</v>
      </c>
      <c r="BN153" s="46" t="str">
        <f t="shared" ca="1" si="95"/>
        <v>05.05.2022</v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IF(IFERROR(INDEX(Consulta!$A:$DP,MATCH('MM01'!$B154,Consulta!$C:$C,0),'MM01'!D$2),"")=0,"",UPPER(IFERROR(INDEX(Consulta!$A:$DP,MATCH('MM01'!$B154,Consulta!$C:$C,0),'MM01'!D$2),"")))</f>
        <v/>
      </c>
      <c r="E154" s="43" t="str">
        <f>IF(OR(D154="KMAT",IFERROR(INDEX(Consulta!$A:$DP,MATCH('MM01'!$B154,Consulta!$C:$C,0),'MM01'!E$2),"")=0),"",IFERROR(INDEX(Consulta!$A:$DP,MATCH('MM01'!$B154,Consulta!$C:$C,0),'MM01'!E$2),""))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>
        <v>99</v>
      </c>
      <c r="BN154" s="46" t="str">
        <f t="shared" ca="1" si="95"/>
        <v>05.05.2022</v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26" priority="164" operator="beginsWith" text="L">
      <formula>LEFT(B5,LEN("L"))="L"</formula>
    </cfRule>
  </conditionalFormatting>
  <conditionalFormatting sqref="D5:D154">
    <cfRule type="beginsWith" dxfId="225" priority="133" operator="beginsWith" text="L">
      <formula>LEFT(D5,LEN("L"))="L"</formula>
    </cfRule>
  </conditionalFormatting>
  <conditionalFormatting sqref="E5:E154">
    <cfRule type="beginsWith" dxfId="224" priority="132" operator="beginsWith" text="L">
      <formula>LEFT(E5,LEN("L"))="L"</formula>
    </cfRule>
  </conditionalFormatting>
  <conditionalFormatting sqref="AP5">
    <cfRule type="beginsWith" dxfId="223" priority="131" operator="beginsWith" text="L">
      <formula>LEFT(AP5,LEN("L"))="L"</formula>
    </cfRule>
  </conditionalFormatting>
  <conditionalFormatting sqref="AS5:AS54">
    <cfRule type="beginsWith" dxfId="222" priority="130" operator="beginsWith" text="L">
      <formula>LEFT(AS5,LEN("L"))="L"</formula>
    </cfRule>
  </conditionalFormatting>
  <conditionalFormatting sqref="AW5">
    <cfRule type="beginsWith" dxfId="221" priority="129" operator="beginsWith" text="L">
      <formula>LEFT(AW5,LEN("L"))="L"</formula>
    </cfRule>
  </conditionalFormatting>
  <conditionalFormatting sqref="BA5">
    <cfRule type="beginsWith" dxfId="220" priority="128" operator="beginsWith" text="L">
      <formula>LEFT(BA5,LEN("L"))="L"</formula>
    </cfRule>
  </conditionalFormatting>
  <conditionalFormatting sqref="BL5">
    <cfRule type="beginsWith" dxfId="219" priority="127" operator="beginsWith" text="L">
      <formula>LEFT(BL5,LEN("L"))="L"</formula>
    </cfRule>
  </conditionalFormatting>
  <conditionalFormatting sqref="BX5">
    <cfRule type="beginsWith" dxfId="218" priority="126" operator="beginsWith" text="L">
      <formula>LEFT(BX5,LEN("L"))="L"</formula>
    </cfRule>
  </conditionalFormatting>
  <conditionalFormatting sqref="CT5">
    <cfRule type="beginsWith" dxfId="217" priority="125" operator="beginsWith" text="L">
      <formula>LEFT(CT5,LEN("L"))="L"</formula>
    </cfRule>
  </conditionalFormatting>
  <conditionalFormatting sqref="CU5">
    <cfRule type="beginsWith" dxfId="216" priority="124" operator="beginsWith" text="L">
      <formula>LEFT(CU5,LEN("L"))="L"</formula>
    </cfRule>
  </conditionalFormatting>
  <conditionalFormatting sqref="CV5">
    <cfRule type="beginsWith" dxfId="215" priority="123" operator="beginsWith" text="L">
      <formula>LEFT(CV5,LEN("L"))="L"</formula>
    </cfRule>
  </conditionalFormatting>
  <conditionalFormatting sqref="CW5">
    <cfRule type="beginsWith" dxfId="214" priority="122" operator="beginsWith" text="L">
      <formula>LEFT(CW5,LEN("L"))="L"</formula>
    </cfRule>
  </conditionalFormatting>
  <conditionalFormatting sqref="DC5">
    <cfRule type="beginsWith" dxfId="213" priority="121" operator="beginsWith" text="L">
      <formula>LEFT(DC5,LEN("L"))="L"</formula>
    </cfRule>
  </conditionalFormatting>
  <conditionalFormatting sqref="B6:C54">
    <cfRule type="beginsWith" dxfId="212" priority="102" operator="beginsWith" text="L">
      <formula>LEFT(B6,LEN("L"))="L"</formula>
    </cfRule>
  </conditionalFormatting>
  <conditionalFormatting sqref="AP6:AP54">
    <cfRule type="beginsWith" dxfId="211" priority="99" operator="beginsWith" text="L">
      <formula>LEFT(AP6,LEN("L"))="L"</formula>
    </cfRule>
  </conditionalFormatting>
  <conditionalFormatting sqref="BA6:BA54">
    <cfRule type="beginsWith" dxfId="210" priority="96" operator="beginsWith" text="L">
      <formula>LEFT(BA6,LEN("L"))="L"</formula>
    </cfRule>
  </conditionalFormatting>
  <conditionalFormatting sqref="BL6:BL54">
    <cfRule type="beginsWith" dxfId="209" priority="95" operator="beginsWith" text="L">
      <formula>LEFT(BL6,LEN("L"))="L"</formula>
    </cfRule>
  </conditionalFormatting>
  <conditionalFormatting sqref="BX6:BX54">
    <cfRule type="beginsWith" dxfId="208" priority="94" operator="beginsWith" text="L">
      <formula>LEFT(BX6,LEN("L"))="L"</formula>
    </cfRule>
  </conditionalFormatting>
  <conditionalFormatting sqref="CT6:CT54">
    <cfRule type="beginsWith" dxfId="207" priority="93" operator="beginsWith" text="L">
      <formula>LEFT(CT6,LEN("L"))="L"</formula>
    </cfRule>
  </conditionalFormatting>
  <conditionalFormatting sqref="CU6:CU54">
    <cfRule type="beginsWith" dxfId="206" priority="92" operator="beginsWith" text="L">
      <formula>LEFT(CU6,LEN("L"))="L"</formula>
    </cfRule>
  </conditionalFormatting>
  <conditionalFormatting sqref="CV6:CV54">
    <cfRule type="beginsWith" dxfId="205" priority="91" operator="beginsWith" text="L">
      <formula>LEFT(CV6,LEN("L"))="L"</formula>
    </cfRule>
  </conditionalFormatting>
  <conditionalFormatting sqref="CW6:CW54">
    <cfRule type="beginsWith" dxfId="204" priority="90" operator="beginsWith" text="L">
      <formula>LEFT(CW6,LEN("L"))="L"</formula>
    </cfRule>
  </conditionalFormatting>
  <conditionalFormatting sqref="DC6:DC54">
    <cfRule type="beginsWith" dxfId="203" priority="89" operator="beginsWith" text="L">
      <formula>LEFT(DC6,LEN("L"))="L"</formula>
    </cfRule>
  </conditionalFormatting>
  <conditionalFormatting sqref="AW6:AW54">
    <cfRule type="beginsWith" dxfId="202" priority="88" operator="beginsWith" text="L">
      <formula>LEFT(AW6,LEN("L"))="L"</formula>
    </cfRule>
  </conditionalFormatting>
  <conditionalFormatting sqref="EK1:EK54 EK155:EK1048576">
    <cfRule type="containsText" dxfId="201" priority="81" operator="containsText" text="criadas">
      <formula>NOT(ISERROR(SEARCH("criadas",EK1)))</formula>
    </cfRule>
    <cfRule type="containsText" dxfId="200" priority="83" operator="containsText" text="é gravado">
      <formula>NOT(ISERROR(SEARCH("é gravado",EK1)))</formula>
    </cfRule>
    <cfRule type="containsText" dxfId="199" priority="84" operator="containsText" text="é modificado">
      <formula>NOT(ISERROR(SEARCH("é modificado",EK1)))</formula>
    </cfRule>
    <cfRule type="containsText" dxfId="198" priority="85" operator="containsText" text="Error">
      <formula>NOT(ISERROR(SEARCH("Error",EK1)))</formula>
    </cfRule>
    <cfRule type="containsText" dxfId="197" priority="86" operator="containsText" text="é criado">
      <formula>NOT(ISERROR(SEARCH("é criado",EK1)))</formula>
    </cfRule>
  </conditionalFormatting>
  <conditionalFormatting sqref="DA5:DA54">
    <cfRule type="beginsWith" dxfId="196" priority="80" operator="beginsWith" text="L">
      <formula>LEFT(DA5,LEN("L"))="L"</formula>
    </cfRule>
  </conditionalFormatting>
  <conditionalFormatting sqref="EB5:EB54">
    <cfRule type="beginsWith" dxfId="195" priority="79" operator="beginsWith" text="L">
      <formula>LEFT(EB5,LEN("L"))="L"</formula>
    </cfRule>
  </conditionalFormatting>
  <conditionalFormatting sqref="G5:G54">
    <cfRule type="beginsWith" dxfId="194" priority="78" operator="beginsWith" text="L">
      <formula>LEFT(G5,LEN("L"))="L"</formula>
    </cfRule>
  </conditionalFormatting>
  <conditionalFormatting sqref="H5:H54">
    <cfRule type="beginsWith" dxfId="193" priority="77" operator="beginsWith" text="L">
      <formula>LEFT(H5,LEN("L"))="L"</formula>
    </cfRule>
  </conditionalFormatting>
  <conditionalFormatting sqref="J5:J54">
    <cfRule type="beginsWith" dxfId="192" priority="76" operator="beginsWith" text="L">
      <formula>LEFT(J5,LEN("L"))="L"</formula>
    </cfRule>
  </conditionalFormatting>
  <conditionalFormatting sqref="AR5:AR54">
    <cfRule type="beginsWith" dxfId="191" priority="75" operator="beginsWith" text="L">
      <formula>LEFT(AR5,LEN("L"))="L"</formula>
    </cfRule>
  </conditionalFormatting>
  <conditionalFormatting sqref="B55:C55">
    <cfRule type="beginsWith" dxfId="190" priority="74" operator="beginsWith" text="L">
      <formula>LEFT(B55,LEN("L"))="L"</formula>
    </cfRule>
  </conditionalFormatting>
  <conditionalFormatting sqref="AP55">
    <cfRule type="beginsWith" dxfId="189" priority="71" operator="beginsWith" text="L">
      <formula>LEFT(AP55,LEN("L"))="L"</formula>
    </cfRule>
  </conditionalFormatting>
  <conditionalFormatting sqref="AS55:AS104">
    <cfRule type="beginsWith" dxfId="188" priority="70" operator="beginsWith" text="L">
      <formula>LEFT(AS55,LEN("L"))="L"</formula>
    </cfRule>
  </conditionalFormatting>
  <conditionalFormatting sqref="AW55">
    <cfRule type="beginsWith" dxfId="187" priority="69" operator="beginsWith" text="L">
      <formula>LEFT(AW55,LEN("L"))="L"</formula>
    </cfRule>
  </conditionalFormatting>
  <conditionalFormatting sqref="BA55">
    <cfRule type="beginsWith" dxfId="186" priority="68" operator="beginsWith" text="L">
      <formula>LEFT(BA55,LEN("L"))="L"</formula>
    </cfRule>
  </conditionalFormatting>
  <conditionalFormatting sqref="BL55">
    <cfRule type="beginsWith" dxfId="185" priority="67" operator="beginsWith" text="L">
      <formula>LEFT(BL55,LEN("L"))="L"</formula>
    </cfRule>
  </conditionalFormatting>
  <conditionalFormatting sqref="BX55">
    <cfRule type="beginsWith" dxfId="184" priority="66" operator="beginsWith" text="L">
      <formula>LEFT(BX55,LEN("L"))="L"</formula>
    </cfRule>
  </conditionalFormatting>
  <conditionalFormatting sqref="CT55">
    <cfRule type="beginsWith" dxfId="183" priority="65" operator="beginsWith" text="L">
      <formula>LEFT(CT55,LEN("L"))="L"</formula>
    </cfRule>
  </conditionalFormatting>
  <conditionalFormatting sqref="CU55">
    <cfRule type="beginsWith" dxfId="182" priority="64" operator="beginsWith" text="L">
      <formula>LEFT(CU55,LEN("L"))="L"</formula>
    </cfRule>
  </conditionalFormatting>
  <conditionalFormatting sqref="CV55">
    <cfRule type="beginsWith" dxfId="181" priority="63" operator="beginsWith" text="L">
      <formula>LEFT(CV55,LEN("L"))="L"</formula>
    </cfRule>
  </conditionalFormatting>
  <conditionalFormatting sqref="CW55">
    <cfRule type="beginsWith" dxfId="180" priority="62" operator="beginsWith" text="L">
      <formula>LEFT(CW55,LEN("L"))="L"</formula>
    </cfRule>
  </conditionalFormatting>
  <conditionalFormatting sqref="DC55">
    <cfRule type="beginsWith" dxfId="179" priority="61" operator="beginsWith" text="L">
      <formula>LEFT(DC55,LEN("L"))="L"</formula>
    </cfRule>
  </conditionalFormatting>
  <conditionalFormatting sqref="B56:C104">
    <cfRule type="beginsWith" dxfId="178" priority="60" operator="beginsWith" text="L">
      <formula>LEFT(B56,LEN("L"))="L"</formula>
    </cfRule>
  </conditionalFormatting>
  <conditionalFormatting sqref="AP56:AP104">
    <cfRule type="beginsWith" dxfId="177" priority="58" operator="beginsWith" text="L">
      <formula>LEFT(AP56,LEN("L"))="L"</formula>
    </cfRule>
  </conditionalFormatting>
  <conditionalFormatting sqref="BA56:BA104">
    <cfRule type="beginsWith" dxfId="176" priority="57" operator="beginsWith" text="L">
      <formula>LEFT(BA56,LEN("L"))="L"</formula>
    </cfRule>
  </conditionalFormatting>
  <conditionalFormatting sqref="BL56:BL104">
    <cfRule type="beginsWith" dxfId="175" priority="56" operator="beginsWith" text="L">
      <formula>LEFT(BL56,LEN("L"))="L"</formula>
    </cfRule>
  </conditionalFormatting>
  <conditionalFormatting sqref="BX56:BX104">
    <cfRule type="beginsWith" dxfId="174" priority="55" operator="beginsWith" text="L">
      <formula>LEFT(BX56,LEN("L"))="L"</formula>
    </cfRule>
  </conditionalFormatting>
  <conditionalFormatting sqref="CT56:CT104">
    <cfRule type="beginsWith" dxfId="173" priority="54" operator="beginsWith" text="L">
      <formula>LEFT(CT56,LEN("L"))="L"</formula>
    </cfRule>
  </conditionalFormatting>
  <conditionalFormatting sqref="CU56:CU104">
    <cfRule type="beginsWith" dxfId="172" priority="53" operator="beginsWith" text="L">
      <formula>LEFT(CU56,LEN("L"))="L"</formula>
    </cfRule>
  </conditionalFormatting>
  <conditionalFormatting sqref="CV56:CV104">
    <cfRule type="beginsWith" dxfId="171" priority="52" operator="beginsWith" text="L">
      <formula>LEFT(CV56,LEN("L"))="L"</formula>
    </cfRule>
  </conditionalFormatting>
  <conditionalFormatting sqref="CW56:CW104">
    <cfRule type="beginsWith" dxfId="170" priority="51" operator="beginsWith" text="L">
      <formula>LEFT(CW56,LEN("L"))="L"</formula>
    </cfRule>
  </conditionalFormatting>
  <conditionalFormatting sqref="DC56:DC104">
    <cfRule type="beginsWith" dxfId="169" priority="50" operator="beginsWith" text="L">
      <formula>LEFT(DC56,LEN("L"))="L"</formula>
    </cfRule>
  </conditionalFormatting>
  <conditionalFormatting sqref="AW56:AW104">
    <cfRule type="beginsWith" dxfId="168" priority="49" operator="beginsWith" text="L">
      <formula>LEFT(AW56,LEN("L"))="L"</formula>
    </cfRule>
  </conditionalFormatting>
  <conditionalFormatting sqref="EK55:EK104">
    <cfRule type="containsText" dxfId="167" priority="44" operator="containsText" text="criadas">
      <formula>NOT(ISERROR(SEARCH("criadas",EK55)))</formula>
    </cfRule>
    <cfRule type="containsText" dxfId="166" priority="45" operator="containsText" text="é gravado">
      <formula>NOT(ISERROR(SEARCH("é gravado",EK55)))</formula>
    </cfRule>
    <cfRule type="containsText" dxfId="165" priority="46" operator="containsText" text="é modificado">
      <formula>NOT(ISERROR(SEARCH("é modificado",EK55)))</formula>
    </cfRule>
    <cfRule type="containsText" dxfId="164" priority="47" operator="containsText" text="Error">
      <formula>NOT(ISERROR(SEARCH("Error",EK55)))</formula>
    </cfRule>
    <cfRule type="containsText" dxfId="163" priority="48" operator="containsText" text="é criado">
      <formula>NOT(ISERROR(SEARCH("é criado",EK55)))</formula>
    </cfRule>
  </conditionalFormatting>
  <conditionalFormatting sqref="DA55:DA104">
    <cfRule type="beginsWith" dxfId="162" priority="43" operator="beginsWith" text="L">
      <formula>LEFT(DA55,LEN("L"))="L"</formula>
    </cfRule>
  </conditionalFormatting>
  <conditionalFormatting sqref="EB55:EB104">
    <cfRule type="beginsWith" dxfId="161" priority="42" operator="beginsWith" text="L">
      <formula>LEFT(EB55,LEN("L"))="L"</formula>
    </cfRule>
  </conditionalFormatting>
  <conditionalFormatting sqref="G55:G104">
    <cfRule type="beginsWith" dxfId="160" priority="41" operator="beginsWith" text="L">
      <formula>LEFT(G55,LEN("L"))="L"</formula>
    </cfRule>
  </conditionalFormatting>
  <conditionalFormatting sqref="H55:H104">
    <cfRule type="beginsWith" dxfId="159" priority="40" operator="beginsWith" text="L">
      <formula>LEFT(H55,LEN("L"))="L"</formula>
    </cfRule>
  </conditionalFormatting>
  <conditionalFormatting sqref="J55:J104">
    <cfRule type="beginsWith" dxfId="158" priority="39" operator="beginsWith" text="L">
      <formula>LEFT(J55,LEN("L"))="L"</formula>
    </cfRule>
  </conditionalFormatting>
  <conditionalFormatting sqref="AR55:AR104">
    <cfRule type="beginsWith" dxfId="157" priority="38" operator="beginsWith" text="L">
      <formula>LEFT(AR55,LEN("L"))="L"</formula>
    </cfRule>
  </conditionalFormatting>
  <conditionalFormatting sqref="B105:C105">
    <cfRule type="beginsWith" dxfId="156" priority="37" operator="beginsWith" text="L">
      <formula>LEFT(B105,LEN("L"))="L"</formula>
    </cfRule>
  </conditionalFormatting>
  <conditionalFormatting sqref="AP105">
    <cfRule type="beginsWith" dxfId="155" priority="34" operator="beginsWith" text="L">
      <formula>LEFT(AP105,LEN("L"))="L"</formula>
    </cfRule>
  </conditionalFormatting>
  <conditionalFormatting sqref="AS105:AS154">
    <cfRule type="beginsWith" dxfId="154" priority="33" operator="beginsWith" text="L">
      <formula>LEFT(AS105,LEN("L"))="L"</formula>
    </cfRule>
  </conditionalFormatting>
  <conditionalFormatting sqref="AW105">
    <cfRule type="beginsWith" dxfId="153" priority="32" operator="beginsWith" text="L">
      <formula>LEFT(AW105,LEN("L"))="L"</formula>
    </cfRule>
  </conditionalFormatting>
  <conditionalFormatting sqref="BA105">
    <cfRule type="beginsWith" dxfId="152" priority="31" operator="beginsWith" text="L">
      <formula>LEFT(BA105,LEN("L"))="L"</formula>
    </cfRule>
  </conditionalFormatting>
  <conditionalFormatting sqref="BL105">
    <cfRule type="beginsWith" dxfId="151" priority="30" operator="beginsWith" text="L">
      <formula>LEFT(BL105,LEN("L"))="L"</formula>
    </cfRule>
  </conditionalFormatting>
  <conditionalFormatting sqref="BX105">
    <cfRule type="beginsWith" dxfId="150" priority="29" operator="beginsWith" text="L">
      <formula>LEFT(BX105,LEN("L"))="L"</formula>
    </cfRule>
  </conditionalFormatting>
  <conditionalFormatting sqref="CT105">
    <cfRule type="beginsWith" dxfId="149" priority="28" operator="beginsWith" text="L">
      <formula>LEFT(CT105,LEN("L"))="L"</formula>
    </cfRule>
  </conditionalFormatting>
  <conditionalFormatting sqref="CU105">
    <cfRule type="beginsWith" dxfId="148" priority="27" operator="beginsWith" text="L">
      <formula>LEFT(CU105,LEN("L"))="L"</formula>
    </cfRule>
  </conditionalFormatting>
  <conditionalFormatting sqref="CV105">
    <cfRule type="beginsWith" dxfId="147" priority="26" operator="beginsWith" text="L">
      <formula>LEFT(CV105,LEN("L"))="L"</formula>
    </cfRule>
  </conditionalFormatting>
  <conditionalFormatting sqref="CW105">
    <cfRule type="beginsWith" dxfId="146" priority="25" operator="beginsWith" text="L">
      <formula>LEFT(CW105,LEN("L"))="L"</formula>
    </cfRule>
  </conditionalFormatting>
  <conditionalFormatting sqref="DC105">
    <cfRule type="beginsWith" dxfId="145" priority="24" operator="beginsWith" text="L">
      <formula>LEFT(DC105,LEN("L"))="L"</formula>
    </cfRule>
  </conditionalFormatting>
  <conditionalFormatting sqref="B106:C154">
    <cfRule type="beginsWith" dxfId="144" priority="23" operator="beginsWith" text="L">
      <formula>LEFT(B106,LEN("L"))="L"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AT5:AT154 BM5:BM154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05.05.2022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05.05.2022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05.05.2022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05.05.2022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05.05.2022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05.05.2022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05.05.2022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05.05.2022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05.05.2022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05.05.2022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05.05.2022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05.05.2022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05.05.2022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05.05.2022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05.05.2022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05.05.2022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05.05.2022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05.05.2022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05.05.2022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05.05.2022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05.05.2022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05.05.2022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05.05.2022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05.05.2022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05.05.2022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05.05.2022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05.05.2022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05.05.2022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05.05.2022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05.05.2022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05.05.2022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05.05.2022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05.05.2022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05.05.2022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05.05.2022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05.05.2022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05.05.2022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05.05.2022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05.05.2022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05.05.2022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05.05.2022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05.05.2022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05.05.2022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05.05.2022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05.05.2022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05.05.2022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05.05.2022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05.05.2022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05.05.2022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05.05.2022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05.05.2022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05.05.2022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05.05.2022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05.05.2022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05.05.2022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05.05.2022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05.05.2022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05.05.2022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05.05.2022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05.05.2022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05.05.2022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05.05.2022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05.05.2022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05.05.2022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05.05.2022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05.05.2022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05.05.2022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05.05.2022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05.05.2022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05.05.2022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05.05.2022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05.05.2022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05.05.2022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05.05.2022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05.05.2022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05.05.2022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05.05.2022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05.05.2022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05.05.2022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05.05.2022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05.05.2022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05.05.2022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05.05.2022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05.05.2022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05.05.2022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05.05.2022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05.05.2022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05.05.2022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05.05.2022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05.05.2022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05.05.2022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05.05.2022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05.05.2022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05.05.2022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05.05.2022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05.05.2022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05.05.2022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05.05.2022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05.05.2022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05.05.2022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05.05.2022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05.05.2022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05.05.2022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05.05.2022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05.05.2022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05.05.2022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05.05.2022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05.05.2022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05.05.2022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05.05.2022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05.05.2022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05.05.2022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05.05.2022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05.05.2022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05.05.2022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05.05.2022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05.05.2022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05.05.2022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05.05.2022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05.05.2022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05.05.2022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05.05.2022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05.05.2022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05.05.2022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05.05.2022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05.05.2022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05.05.2022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05.05.2022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05.05.2022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05.05.2022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05.05.2022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05.05.2022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05.05.2022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05.05.2022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05.05.2022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05.05.2022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05.05.2022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05.05.2022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05.05.2022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05.05.2022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05.05.2022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05.05.2022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05.05.2022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05.05.2022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05.05.2022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05.05.2022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05.05.2022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05.05.2022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05.05.2022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05.05.2022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69"/>
  <sheetViews>
    <sheetView showGridLines="0" showRowColHeaders="0" workbookViewId="0">
      <selection sqref="A1:CB26"/>
    </sheetView>
  </sheetViews>
  <sheetFormatPr defaultColWidth="0" defaultRowHeight="12.75" zeroHeight="1" x14ac:dyDescent="0.2"/>
  <cols>
    <col min="1" max="1" width="15.28515625" customWidth="1"/>
    <col min="2" max="2" width="6.85546875" customWidth="1"/>
    <col min="3" max="3" width="14.7109375" customWidth="1"/>
    <col min="4" max="4" width="43.5703125" customWidth="1"/>
    <col min="5" max="5" width="9.28515625" customWidth="1"/>
    <col min="6" max="6" width="22.42578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3.1406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3.710937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994</v>
      </c>
      <c r="BS1" s="38" t="s">
        <v>995</v>
      </c>
      <c r="BT1" s="38" t="s">
        <v>996</v>
      </c>
      <c r="BU1" s="38" t="s">
        <v>997</v>
      </c>
      <c r="BV1" s="38" t="s">
        <v>998</v>
      </c>
      <c r="BW1" s="38" t="s">
        <v>999</v>
      </c>
      <c r="BX1" s="38" t="s">
        <v>1000</v>
      </c>
      <c r="BY1" s="38" t="s">
        <v>1001</v>
      </c>
      <c r="BZ1" s="38" t="s">
        <v>1002</v>
      </c>
      <c r="CA1" s="38" t="s">
        <v>1003</v>
      </c>
      <c r="CB1" s="38" t="s">
        <v>1004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 t="s">
        <v>1017</v>
      </c>
      <c r="B2" s="38" t="s">
        <v>1005</v>
      </c>
      <c r="C2" s="38"/>
      <c r="D2" s="38" t="s">
        <v>1018</v>
      </c>
      <c r="E2" s="38"/>
      <c r="F2" s="38"/>
      <c r="G2" s="38" t="s">
        <v>9</v>
      </c>
      <c r="H2" s="38">
        <v>8100</v>
      </c>
      <c r="I2" s="38">
        <v>8.7620000000000005</v>
      </c>
      <c r="J2" s="38" t="s">
        <v>1019</v>
      </c>
      <c r="K2" s="38" t="s">
        <v>193</v>
      </c>
      <c r="L2" s="38" t="s">
        <v>195</v>
      </c>
      <c r="M2" s="38" t="s">
        <v>196</v>
      </c>
      <c r="N2" s="38" t="s">
        <v>198</v>
      </c>
      <c r="O2" s="38"/>
      <c r="P2" s="38" t="s">
        <v>1020</v>
      </c>
      <c r="Q2" s="38" t="s">
        <v>871</v>
      </c>
      <c r="R2" s="38" t="s">
        <v>1021</v>
      </c>
      <c r="S2" s="38" t="s">
        <v>1006</v>
      </c>
      <c r="T2" s="38" t="s">
        <v>870</v>
      </c>
      <c r="U2" s="38" t="s">
        <v>1022</v>
      </c>
      <c r="V2" s="38">
        <v>16</v>
      </c>
      <c r="W2" s="38" t="s">
        <v>758</v>
      </c>
      <c r="X2" s="38">
        <v>1</v>
      </c>
      <c r="Y2" s="38">
        <v>1</v>
      </c>
      <c r="Z2" s="38">
        <v>0</v>
      </c>
      <c r="AA2" s="38" t="s">
        <v>1023</v>
      </c>
      <c r="AB2" s="38">
        <v>8100</v>
      </c>
      <c r="AC2" s="38" t="s">
        <v>1024</v>
      </c>
      <c r="AD2" s="38" t="s">
        <v>1025</v>
      </c>
      <c r="AE2" s="38" t="s">
        <v>1026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 t="s">
        <v>1027</v>
      </c>
      <c r="BB2" s="67"/>
      <c r="BC2" s="38" t="s">
        <v>9</v>
      </c>
      <c r="BD2" s="67" t="s">
        <v>1028</v>
      </c>
      <c r="BE2" s="38" t="s">
        <v>5</v>
      </c>
      <c r="BF2" s="67" t="s">
        <v>1029</v>
      </c>
      <c r="BG2" s="38" t="s">
        <v>6</v>
      </c>
      <c r="BH2" s="38" t="s">
        <v>1030</v>
      </c>
      <c r="BI2" s="38"/>
      <c r="BJ2" s="38" t="s">
        <v>1007</v>
      </c>
      <c r="BK2" s="38"/>
      <c r="BL2" s="38" t="s">
        <v>849</v>
      </c>
      <c r="BM2" s="38"/>
      <c r="BN2" s="38" t="s">
        <v>601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x14ac:dyDescent="0.2">
      <c r="A3" s="38"/>
      <c r="B3" s="38" t="s">
        <v>1005</v>
      </c>
      <c r="C3" s="38" t="s">
        <v>1023</v>
      </c>
      <c r="D3" s="38" t="s">
        <v>1031</v>
      </c>
      <c r="E3" s="38" t="s">
        <v>1032</v>
      </c>
      <c r="F3" s="38" t="s">
        <v>1033</v>
      </c>
      <c r="G3" s="38" t="s">
        <v>9</v>
      </c>
      <c r="H3" s="38">
        <v>8100</v>
      </c>
      <c r="I3" s="38">
        <v>8.7620000000000005</v>
      </c>
      <c r="J3" s="38" t="s">
        <v>1034</v>
      </c>
      <c r="K3" s="38" t="s">
        <v>193</v>
      </c>
      <c r="L3" s="38" t="s">
        <v>195</v>
      </c>
      <c r="M3" s="38" t="s">
        <v>196</v>
      </c>
      <c r="N3" s="38" t="s">
        <v>198</v>
      </c>
      <c r="O3" s="38"/>
      <c r="P3" s="38" t="s">
        <v>1020</v>
      </c>
      <c r="Q3" s="38" t="s">
        <v>871</v>
      </c>
      <c r="R3" s="38" t="s">
        <v>1021</v>
      </c>
      <c r="S3" s="38" t="s">
        <v>1006</v>
      </c>
      <c r="T3" s="38" t="s">
        <v>870</v>
      </c>
      <c r="U3" s="38" t="s">
        <v>1022</v>
      </c>
      <c r="V3" s="38">
        <v>16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1035</v>
      </c>
      <c r="AH3" s="38">
        <v>2.8400000000000003</v>
      </c>
      <c r="AI3" s="38"/>
      <c r="AJ3" s="38"/>
      <c r="AK3" s="38" t="s">
        <v>1036</v>
      </c>
      <c r="AL3" s="38" t="s">
        <v>1037</v>
      </c>
      <c r="AM3" s="38"/>
      <c r="AN3" s="38" t="s">
        <v>1006</v>
      </c>
      <c r="AO3" s="38"/>
      <c r="AP3" s="38" t="s">
        <v>1006</v>
      </c>
      <c r="AQ3" s="38" t="s">
        <v>1006</v>
      </c>
      <c r="AR3" s="38" t="s">
        <v>1006</v>
      </c>
      <c r="AS3" s="38"/>
      <c r="AT3" s="38">
        <v>393</v>
      </c>
      <c r="AU3" s="38"/>
      <c r="AV3" s="38" t="s">
        <v>1006</v>
      </c>
      <c r="AW3" s="38" t="s">
        <v>1006</v>
      </c>
      <c r="AX3" s="38" t="s">
        <v>1006</v>
      </c>
      <c r="AY3" s="38" t="s">
        <v>1006</v>
      </c>
      <c r="AZ3" s="38"/>
      <c r="BA3" s="38" t="s">
        <v>1027</v>
      </c>
      <c r="BB3" s="67"/>
      <c r="BC3" s="38" t="s">
        <v>9</v>
      </c>
      <c r="BD3" s="67" t="s">
        <v>1028</v>
      </c>
      <c r="BE3" s="38" t="s">
        <v>16</v>
      </c>
      <c r="BF3" s="67" t="s">
        <v>1038</v>
      </c>
      <c r="BG3" s="38" t="s">
        <v>24</v>
      </c>
      <c r="BH3" s="38" t="s">
        <v>1039</v>
      </c>
      <c r="BI3" s="38"/>
      <c r="BJ3" s="38" t="s">
        <v>1007</v>
      </c>
      <c r="BK3" s="38"/>
      <c r="BL3" s="38" t="s">
        <v>849</v>
      </c>
      <c r="BM3" s="38"/>
      <c r="BN3" s="38" t="s">
        <v>601</v>
      </c>
      <c r="BO3" s="38" t="s">
        <v>533</v>
      </c>
      <c r="BP3" s="38" t="s">
        <v>533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 t="s">
        <v>1040</v>
      </c>
      <c r="C4" s="38" t="s">
        <v>1041</v>
      </c>
      <c r="D4" s="38" t="s">
        <v>1042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67"/>
      <c r="BC4" s="38"/>
      <c r="BD4" s="67"/>
      <c r="BE4" s="38"/>
      <c r="BF4" s="6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x14ac:dyDescent="0.2">
      <c r="A5" s="38" t="s">
        <v>1017</v>
      </c>
      <c r="B5" s="38" t="s">
        <v>1005</v>
      </c>
      <c r="C5" s="38"/>
      <c r="D5" s="38" t="s">
        <v>1043</v>
      </c>
      <c r="E5" s="38"/>
      <c r="F5" s="38"/>
      <c r="G5" s="38" t="s">
        <v>9</v>
      </c>
      <c r="H5" s="38">
        <v>11500</v>
      </c>
      <c r="I5" s="38">
        <v>8.7620000000000005</v>
      </c>
      <c r="J5" s="38" t="s">
        <v>1019</v>
      </c>
      <c r="K5" s="38" t="s">
        <v>193</v>
      </c>
      <c r="L5" s="38" t="s">
        <v>195</v>
      </c>
      <c r="M5" s="38" t="s">
        <v>196</v>
      </c>
      <c r="N5" s="38" t="s">
        <v>198</v>
      </c>
      <c r="O5" s="38"/>
      <c r="P5" s="38" t="s">
        <v>1020</v>
      </c>
      <c r="Q5" s="38" t="s">
        <v>871</v>
      </c>
      <c r="R5" s="38" t="s">
        <v>1021</v>
      </c>
      <c r="S5" s="38" t="s">
        <v>1006</v>
      </c>
      <c r="T5" s="38" t="s">
        <v>870</v>
      </c>
      <c r="U5" s="38" t="s">
        <v>1022</v>
      </c>
      <c r="V5" s="38">
        <v>16</v>
      </c>
      <c r="W5" s="38" t="s">
        <v>758</v>
      </c>
      <c r="X5" s="38">
        <v>1</v>
      </c>
      <c r="Y5" s="38">
        <v>1</v>
      </c>
      <c r="Z5" s="38">
        <v>0</v>
      </c>
      <c r="AA5" s="38" t="s">
        <v>1044</v>
      </c>
      <c r="AB5" s="38">
        <v>11500</v>
      </c>
      <c r="AC5" s="38" t="s">
        <v>1024</v>
      </c>
      <c r="AD5" s="38" t="s">
        <v>1045</v>
      </c>
      <c r="AE5" s="38" t="s">
        <v>1026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 t="s">
        <v>1046</v>
      </c>
      <c r="BB5" s="67"/>
      <c r="BC5" s="38" t="s">
        <v>9</v>
      </c>
      <c r="BD5" s="67" t="s">
        <v>1028</v>
      </c>
      <c r="BE5" s="38" t="s">
        <v>5</v>
      </c>
      <c r="BF5" s="67" t="s">
        <v>1029</v>
      </c>
      <c r="BG5" s="38" t="s">
        <v>6</v>
      </c>
      <c r="BH5" s="38" t="s">
        <v>1030</v>
      </c>
      <c r="BI5" s="38"/>
      <c r="BJ5" s="38" t="s">
        <v>1007</v>
      </c>
      <c r="BK5" s="38"/>
      <c r="BL5" s="38" t="s">
        <v>849</v>
      </c>
      <c r="BM5" s="38"/>
      <c r="BN5" s="38" t="s">
        <v>601</v>
      </c>
      <c r="BO5" s="38" t="s">
        <v>533</v>
      </c>
      <c r="BP5" s="38" t="s">
        <v>533</v>
      </c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x14ac:dyDescent="0.2">
      <c r="A6" s="38"/>
      <c r="B6" s="38" t="s">
        <v>1005</v>
      </c>
      <c r="C6" s="38" t="s">
        <v>1044</v>
      </c>
      <c r="D6" s="38" t="s">
        <v>1047</v>
      </c>
      <c r="E6" s="38" t="s">
        <v>1032</v>
      </c>
      <c r="F6" s="38" t="s">
        <v>1033</v>
      </c>
      <c r="G6" s="38" t="s">
        <v>9</v>
      </c>
      <c r="H6" s="38">
        <v>11500</v>
      </c>
      <c r="I6" s="38">
        <v>8.7620000000000005</v>
      </c>
      <c r="J6" s="38" t="s">
        <v>1048</v>
      </c>
      <c r="K6" s="38" t="s">
        <v>193</v>
      </c>
      <c r="L6" s="38" t="s">
        <v>195</v>
      </c>
      <c r="M6" s="38" t="s">
        <v>196</v>
      </c>
      <c r="N6" s="38" t="s">
        <v>198</v>
      </c>
      <c r="O6" s="38"/>
      <c r="P6" s="38" t="s">
        <v>1020</v>
      </c>
      <c r="Q6" s="38" t="s">
        <v>871</v>
      </c>
      <c r="R6" s="38" t="s">
        <v>1021</v>
      </c>
      <c r="S6" s="38" t="s">
        <v>1006</v>
      </c>
      <c r="T6" s="38" t="s">
        <v>870</v>
      </c>
      <c r="U6" s="38" t="s">
        <v>1022</v>
      </c>
      <c r="V6" s="38">
        <v>16</v>
      </c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 t="s">
        <v>1035</v>
      </c>
      <c r="AH6" s="38">
        <v>2.8400000000000003</v>
      </c>
      <c r="AI6" s="38"/>
      <c r="AJ6" s="38"/>
      <c r="AK6" s="38" t="s">
        <v>1036</v>
      </c>
      <c r="AL6" s="38" t="s">
        <v>1037</v>
      </c>
      <c r="AM6" s="38"/>
      <c r="AN6" s="38" t="s">
        <v>1006</v>
      </c>
      <c r="AO6" s="38"/>
      <c r="AP6" s="38" t="s">
        <v>1006</v>
      </c>
      <c r="AQ6" s="38" t="s">
        <v>1006</v>
      </c>
      <c r="AR6" s="38" t="s">
        <v>1006</v>
      </c>
      <c r="AS6" s="38"/>
      <c r="AT6" s="38">
        <v>393</v>
      </c>
      <c r="AU6" s="38"/>
      <c r="AV6" s="38" t="s">
        <v>1006</v>
      </c>
      <c r="AW6" s="38" t="s">
        <v>1006</v>
      </c>
      <c r="AX6" s="38" t="s">
        <v>1006</v>
      </c>
      <c r="AY6" s="38" t="s">
        <v>1006</v>
      </c>
      <c r="AZ6" s="38"/>
      <c r="BA6" s="38" t="s">
        <v>1046</v>
      </c>
      <c r="BB6" s="67"/>
      <c r="BC6" s="38" t="s">
        <v>9</v>
      </c>
      <c r="BD6" s="67" t="s">
        <v>1028</v>
      </c>
      <c r="BE6" s="38" t="s">
        <v>16</v>
      </c>
      <c r="BF6" s="67" t="s">
        <v>1038</v>
      </c>
      <c r="BG6" s="38" t="s">
        <v>24</v>
      </c>
      <c r="BH6" s="38" t="s">
        <v>1039</v>
      </c>
      <c r="BI6" s="38"/>
      <c r="BJ6" s="38" t="s">
        <v>1007</v>
      </c>
      <c r="BK6" s="38"/>
      <c r="BL6" s="38" t="s">
        <v>849</v>
      </c>
      <c r="BM6" s="38"/>
      <c r="BN6" s="38" t="s">
        <v>601</v>
      </c>
      <c r="BO6" s="38" t="s">
        <v>533</v>
      </c>
      <c r="BP6" s="38" t="s">
        <v>533</v>
      </c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 t="s">
        <v>1040</v>
      </c>
      <c r="C7" s="38" t="s">
        <v>1041</v>
      </c>
      <c r="D7" s="38" t="s">
        <v>1042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67"/>
      <c r="BC7" s="38"/>
      <c r="BD7" s="67"/>
      <c r="BE7" s="38"/>
      <c r="BF7" s="6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x14ac:dyDescent="0.2">
      <c r="A8" s="38" t="s">
        <v>1017</v>
      </c>
      <c r="B8" s="38" t="s">
        <v>1005</v>
      </c>
      <c r="C8" s="38"/>
      <c r="D8" s="38" t="s">
        <v>1049</v>
      </c>
      <c r="E8" s="38"/>
      <c r="F8" s="38"/>
      <c r="G8" s="38" t="s">
        <v>9</v>
      </c>
      <c r="H8" s="38">
        <v>11805</v>
      </c>
      <c r="I8" s="38">
        <v>8.7620000000000005</v>
      </c>
      <c r="J8" s="38" t="s">
        <v>1019</v>
      </c>
      <c r="K8" s="38" t="s">
        <v>193</v>
      </c>
      <c r="L8" s="38" t="s">
        <v>195</v>
      </c>
      <c r="M8" s="38" t="s">
        <v>196</v>
      </c>
      <c r="N8" s="38" t="s">
        <v>198</v>
      </c>
      <c r="O8" s="38"/>
      <c r="P8" s="38" t="s">
        <v>1020</v>
      </c>
      <c r="Q8" s="38" t="s">
        <v>871</v>
      </c>
      <c r="R8" s="38" t="s">
        <v>1021</v>
      </c>
      <c r="S8" s="38" t="s">
        <v>1006</v>
      </c>
      <c r="T8" s="38" t="s">
        <v>870</v>
      </c>
      <c r="U8" s="38" t="s">
        <v>1022</v>
      </c>
      <c r="V8" s="38">
        <v>16</v>
      </c>
      <c r="W8" s="38" t="s">
        <v>758</v>
      </c>
      <c r="X8" s="38">
        <v>1</v>
      </c>
      <c r="Y8" s="38">
        <v>1</v>
      </c>
      <c r="Z8" s="38">
        <v>0</v>
      </c>
      <c r="AA8" s="38" t="s">
        <v>1050</v>
      </c>
      <c r="AB8" s="38">
        <v>11805</v>
      </c>
      <c r="AC8" s="38" t="s">
        <v>1024</v>
      </c>
      <c r="AD8" s="38" t="s">
        <v>1051</v>
      </c>
      <c r="AE8" s="38" t="s">
        <v>1026</v>
      </c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 t="s">
        <v>1052</v>
      </c>
      <c r="BB8" s="67"/>
      <c r="BC8" s="38" t="s">
        <v>9</v>
      </c>
      <c r="BD8" s="67" t="s">
        <v>1028</v>
      </c>
      <c r="BE8" s="38" t="s">
        <v>5</v>
      </c>
      <c r="BF8" s="67" t="s">
        <v>1029</v>
      </c>
      <c r="BG8" s="38" t="s">
        <v>6</v>
      </c>
      <c r="BH8" s="38" t="s">
        <v>1030</v>
      </c>
      <c r="BI8" s="38"/>
      <c r="BJ8" s="38" t="s">
        <v>1007</v>
      </c>
      <c r="BK8" s="38"/>
      <c r="BL8" s="38" t="s">
        <v>849</v>
      </c>
      <c r="BM8" s="38"/>
      <c r="BN8" s="38" t="s">
        <v>601</v>
      </c>
      <c r="BO8" s="38" t="s">
        <v>533</v>
      </c>
      <c r="BP8" s="38" t="s">
        <v>533</v>
      </c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x14ac:dyDescent="0.2">
      <c r="A9" s="38"/>
      <c r="B9" s="38" t="s">
        <v>1005</v>
      </c>
      <c r="C9" s="38" t="s">
        <v>1050</v>
      </c>
      <c r="D9" s="38" t="s">
        <v>1053</v>
      </c>
      <c r="E9" s="38" t="s">
        <v>1032</v>
      </c>
      <c r="F9" s="38" t="s">
        <v>1033</v>
      </c>
      <c r="G9" s="38" t="s">
        <v>9</v>
      </c>
      <c r="H9" s="38">
        <v>11805</v>
      </c>
      <c r="I9" s="38">
        <v>8.7620000000000005</v>
      </c>
      <c r="J9" s="38" t="s">
        <v>1054</v>
      </c>
      <c r="K9" s="38" t="s">
        <v>193</v>
      </c>
      <c r="L9" s="38" t="s">
        <v>195</v>
      </c>
      <c r="M9" s="38" t="s">
        <v>196</v>
      </c>
      <c r="N9" s="38" t="s">
        <v>198</v>
      </c>
      <c r="O9" s="38"/>
      <c r="P9" s="38" t="s">
        <v>1020</v>
      </c>
      <c r="Q9" s="38" t="s">
        <v>871</v>
      </c>
      <c r="R9" s="38" t="s">
        <v>1021</v>
      </c>
      <c r="S9" s="38" t="s">
        <v>1006</v>
      </c>
      <c r="T9" s="38" t="s">
        <v>870</v>
      </c>
      <c r="U9" s="38" t="s">
        <v>1022</v>
      </c>
      <c r="V9" s="38">
        <v>16</v>
      </c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 t="s">
        <v>1035</v>
      </c>
      <c r="AH9" s="38">
        <v>2.8400000000000003</v>
      </c>
      <c r="AI9" s="38"/>
      <c r="AJ9" s="38"/>
      <c r="AK9" s="38" t="s">
        <v>1036</v>
      </c>
      <c r="AL9" s="38" t="s">
        <v>1037</v>
      </c>
      <c r="AM9" s="38"/>
      <c r="AN9" s="38" t="s">
        <v>1006</v>
      </c>
      <c r="AO9" s="38"/>
      <c r="AP9" s="38" t="s">
        <v>1006</v>
      </c>
      <c r="AQ9" s="38" t="s">
        <v>1006</v>
      </c>
      <c r="AR9" s="38" t="s">
        <v>1006</v>
      </c>
      <c r="AS9" s="38"/>
      <c r="AT9" s="38">
        <v>393</v>
      </c>
      <c r="AU9" s="38"/>
      <c r="AV9" s="38" t="s">
        <v>1006</v>
      </c>
      <c r="AW9" s="38" t="s">
        <v>1006</v>
      </c>
      <c r="AX9" s="38" t="s">
        <v>1006</v>
      </c>
      <c r="AY9" s="38" t="s">
        <v>1006</v>
      </c>
      <c r="AZ9" s="38"/>
      <c r="BA9" s="38" t="s">
        <v>1052</v>
      </c>
      <c r="BB9" s="67"/>
      <c r="BC9" s="38" t="s">
        <v>9</v>
      </c>
      <c r="BD9" s="67" t="s">
        <v>1028</v>
      </c>
      <c r="BE9" s="38" t="s">
        <v>16</v>
      </c>
      <c r="BF9" s="67" t="s">
        <v>1038</v>
      </c>
      <c r="BG9" s="38" t="s">
        <v>24</v>
      </c>
      <c r="BH9" s="38" t="s">
        <v>1039</v>
      </c>
      <c r="BI9" s="38"/>
      <c r="BJ9" s="38" t="s">
        <v>1007</v>
      </c>
      <c r="BK9" s="38"/>
      <c r="BL9" s="38" t="s">
        <v>849</v>
      </c>
      <c r="BM9" s="38"/>
      <c r="BN9" s="38" t="s">
        <v>601</v>
      </c>
      <c r="BO9" s="38" t="s">
        <v>533</v>
      </c>
      <c r="BP9" s="38" t="s">
        <v>533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/>
      <c r="B10" s="38" t="s">
        <v>1040</v>
      </c>
      <c r="C10" s="38" t="s">
        <v>1041</v>
      </c>
      <c r="D10" s="38" t="s">
        <v>1042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x14ac:dyDescent="0.2">
      <c r="A11" s="38" t="s">
        <v>1055</v>
      </c>
      <c r="B11" s="38" t="s">
        <v>1005</v>
      </c>
      <c r="C11" s="38"/>
      <c r="D11" s="38" t="s">
        <v>1056</v>
      </c>
      <c r="E11" s="38"/>
      <c r="F11" s="38"/>
      <c r="G11" s="38" t="s">
        <v>9</v>
      </c>
      <c r="H11" s="38">
        <v>8100</v>
      </c>
      <c r="I11" s="38">
        <v>7.8559999999999999</v>
      </c>
      <c r="J11" s="38" t="s">
        <v>1019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/>
      <c r="P11" s="38" t="s">
        <v>1020</v>
      </c>
      <c r="Q11" s="38" t="s">
        <v>871</v>
      </c>
      <c r="R11" s="38" t="s">
        <v>1021</v>
      </c>
      <c r="S11" s="38" t="s">
        <v>1006</v>
      </c>
      <c r="T11" s="38" t="s">
        <v>870</v>
      </c>
      <c r="U11" s="38" t="s">
        <v>1022</v>
      </c>
      <c r="V11" s="38">
        <v>16</v>
      </c>
      <c r="W11" s="38" t="s">
        <v>758</v>
      </c>
      <c r="X11" s="38">
        <v>1</v>
      </c>
      <c r="Y11" s="38">
        <v>1</v>
      </c>
      <c r="Z11" s="38">
        <v>0</v>
      </c>
      <c r="AA11" s="38" t="s">
        <v>1057</v>
      </c>
      <c r="AB11" s="38">
        <v>8100</v>
      </c>
      <c r="AC11" s="38" t="s">
        <v>1024</v>
      </c>
      <c r="AD11" s="38" t="s">
        <v>1025</v>
      </c>
      <c r="AE11" s="38" t="s">
        <v>1026</v>
      </c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 t="s">
        <v>1027</v>
      </c>
      <c r="BB11" s="67"/>
      <c r="BC11" s="38" t="s">
        <v>9</v>
      </c>
      <c r="BD11" s="67" t="s">
        <v>1028</v>
      </c>
      <c r="BE11" s="38" t="s">
        <v>5</v>
      </c>
      <c r="BF11" s="67" t="s">
        <v>1029</v>
      </c>
      <c r="BG11" s="38" t="s">
        <v>6</v>
      </c>
      <c r="BH11" s="38" t="s">
        <v>1030</v>
      </c>
      <c r="BI11" s="38"/>
      <c r="BJ11" s="38" t="s">
        <v>1007</v>
      </c>
      <c r="BK11" s="38"/>
      <c r="BL11" s="38" t="s">
        <v>849</v>
      </c>
      <c r="BM11" s="38"/>
      <c r="BN11" s="38" t="s">
        <v>594</v>
      </c>
      <c r="BO11" s="38" t="s">
        <v>533</v>
      </c>
      <c r="BP11" s="38" t="s">
        <v>533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x14ac:dyDescent="0.2">
      <c r="A12" s="38"/>
      <c r="B12" s="38" t="s">
        <v>1005</v>
      </c>
      <c r="C12" s="38" t="s">
        <v>1057</v>
      </c>
      <c r="D12" s="38" t="s">
        <v>1058</v>
      </c>
      <c r="E12" s="38" t="s">
        <v>1032</v>
      </c>
      <c r="F12" s="38" t="s">
        <v>1033</v>
      </c>
      <c r="G12" s="38" t="s">
        <v>9</v>
      </c>
      <c r="H12" s="38">
        <v>8100</v>
      </c>
      <c r="I12" s="38">
        <v>7.8559999999999999</v>
      </c>
      <c r="J12" s="38" t="s">
        <v>1059</v>
      </c>
      <c r="K12" s="38" t="s">
        <v>193</v>
      </c>
      <c r="L12" s="38" t="s">
        <v>195</v>
      </c>
      <c r="M12" s="38" t="s">
        <v>196</v>
      </c>
      <c r="N12" s="38" t="s">
        <v>198</v>
      </c>
      <c r="O12" s="38"/>
      <c r="P12" s="38" t="s">
        <v>1020</v>
      </c>
      <c r="Q12" s="38" t="s">
        <v>871</v>
      </c>
      <c r="R12" s="38" t="s">
        <v>1021</v>
      </c>
      <c r="S12" s="38" t="s">
        <v>1006</v>
      </c>
      <c r="T12" s="38" t="s">
        <v>870</v>
      </c>
      <c r="U12" s="38" t="s">
        <v>1022</v>
      </c>
      <c r="V12" s="38">
        <v>16</v>
      </c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 t="s">
        <v>1060</v>
      </c>
      <c r="AH12" s="38">
        <v>2.8400000000000003</v>
      </c>
      <c r="AI12" s="38"/>
      <c r="AJ12" s="38"/>
      <c r="AK12" s="38" t="s">
        <v>1036</v>
      </c>
      <c r="AL12" s="38" t="s">
        <v>1037</v>
      </c>
      <c r="AM12" s="38"/>
      <c r="AN12" s="38" t="s">
        <v>1006</v>
      </c>
      <c r="AO12" s="38"/>
      <c r="AP12" s="38" t="s">
        <v>1006</v>
      </c>
      <c r="AQ12" s="38" t="s">
        <v>1006</v>
      </c>
      <c r="AR12" s="38" t="s">
        <v>1006</v>
      </c>
      <c r="AS12" s="38"/>
      <c r="AT12" s="38">
        <v>393</v>
      </c>
      <c r="AU12" s="38"/>
      <c r="AV12" s="38" t="s">
        <v>1006</v>
      </c>
      <c r="AW12" s="38" t="s">
        <v>1006</v>
      </c>
      <c r="AX12" s="38" t="s">
        <v>1006</v>
      </c>
      <c r="AY12" s="38" t="s">
        <v>1006</v>
      </c>
      <c r="AZ12" s="38"/>
      <c r="BA12" s="38" t="s">
        <v>1027</v>
      </c>
      <c r="BB12" s="67"/>
      <c r="BC12" s="38" t="s">
        <v>9</v>
      </c>
      <c r="BD12" s="67" t="s">
        <v>1028</v>
      </c>
      <c r="BE12" s="38" t="s">
        <v>16</v>
      </c>
      <c r="BF12" s="67" t="s">
        <v>1038</v>
      </c>
      <c r="BG12" s="38" t="s">
        <v>24</v>
      </c>
      <c r="BH12" s="38" t="s">
        <v>1039</v>
      </c>
      <c r="BI12" s="38"/>
      <c r="BJ12" s="38" t="s">
        <v>1007</v>
      </c>
      <c r="BK12" s="38"/>
      <c r="BL12" s="38" t="s">
        <v>849</v>
      </c>
      <c r="BM12" s="38"/>
      <c r="BN12" s="38" t="s">
        <v>594</v>
      </c>
      <c r="BO12" s="38" t="s">
        <v>533</v>
      </c>
      <c r="BP12" s="38" t="s">
        <v>533</v>
      </c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A13" s="38"/>
      <c r="B13" s="38" t="s">
        <v>1040</v>
      </c>
      <c r="C13" s="38" t="s">
        <v>1041</v>
      </c>
      <c r="D13" s="38" t="s">
        <v>1042</v>
      </c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7"/>
      <c r="BC13" s="38"/>
      <c r="BD13" s="67"/>
      <c r="BE13" s="38"/>
      <c r="BF13" s="6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x14ac:dyDescent="0.2">
      <c r="A14" s="38" t="s">
        <v>1055</v>
      </c>
      <c r="B14" s="38" t="s">
        <v>1005</v>
      </c>
      <c r="C14" s="38"/>
      <c r="D14" s="38" t="s">
        <v>1061</v>
      </c>
      <c r="E14" s="38"/>
      <c r="F14" s="38"/>
      <c r="G14" s="38" t="s">
        <v>9</v>
      </c>
      <c r="H14" s="38">
        <v>11500</v>
      </c>
      <c r="I14" s="38">
        <v>7.8559999999999999</v>
      </c>
      <c r="J14" s="38" t="s">
        <v>1019</v>
      </c>
      <c r="K14" s="38" t="s">
        <v>193</v>
      </c>
      <c r="L14" s="38" t="s">
        <v>195</v>
      </c>
      <c r="M14" s="38" t="s">
        <v>196</v>
      </c>
      <c r="N14" s="38" t="s">
        <v>198</v>
      </c>
      <c r="O14" s="38"/>
      <c r="P14" s="38" t="s">
        <v>1020</v>
      </c>
      <c r="Q14" s="38" t="s">
        <v>871</v>
      </c>
      <c r="R14" s="38" t="s">
        <v>1021</v>
      </c>
      <c r="S14" s="38" t="s">
        <v>1006</v>
      </c>
      <c r="T14" s="38" t="s">
        <v>870</v>
      </c>
      <c r="U14" s="38" t="s">
        <v>1022</v>
      </c>
      <c r="V14" s="38">
        <v>16</v>
      </c>
      <c r="W14" s="38" t="s">
        <v>758</v>
      </c>
      <c r="X14" s="38">
        <v>1</v>
      </c>
      <c r="Y14" s="38">
        <v>1</v>
      </c>
      <c r="Z14" s="38">
        <v>0</v>
      </c>
      <c r="AA14" s="38" t="s">
        <v>1062</v>
      </c>
      <c r="AB14" s="38">
        <v>11500</v>
      </c>
      <c r="AC14" s="38" t="s">
        <v>1024</v>
      </c>
      <c r="AD14" s="38" t="s">
        <v>1045</v>
      </c>
      <c r="AE14" s="38" t="s">
        <v>1026</v>
      </c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 t="s">
        <v>1046</v>
      </c>
      <c r="BB14" s="67"/>
      <c r="BC14" s="38" t="s">
        <v>9</v>
      </c>
      <c r="BD14" s="67" t="s">
        <v>1028</v>
      </c>
      <c r="BE14" s="38" t="s">
        <v>5</v>
      </c>
      <c r="BF14" s="67" t="s">
        <v>1029</v>
      </c>
      <c r="BG14" s="38" t="s">
        <v>6</v>
      </c>
      <c r="BH14" s="38" t="s">
        <v>1030</v>
      </c>
      <c r="BI14" s="38"/>
      <c r="BJ14" s="38" t="s">
        <v>1007</v>
      </c>
      <c r="BK14" s="38"/>
      <c r="BL14" s="38" t="s">
        <v>849</v>
      </c>
      <c r="BM14" s="38"/>
      <c r="BN14" s="38" t="s">
        <v>594</v>
      </c>
      <c r="BO14" s="38" t="s">
        <v>533</v>
      </c>
      <c r="BP14" s="38" t="s">
        <v>533</v>
      </c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x14ac:dyDescent="0.2">
      <c r="A15" s="38"/>
      <c r="B15" s="38" t="s">
        <v>1005</v>
      </c>
      <c r="C15" s="38" t="s">
        <v>1062</v>
      </c>
      <c r="D15" s="38" t="s">
        <v>1063</v>
      </c>
      <c r="E15" s="38" t="s">
        <v>1032</v>
      </c>
      <c r="F15" s="38" t="s">
        <v>1033</v>
      </c>
      <c r="G15" s="38" t="s">
        <v>9</v>
      </c>
      <c r="H15" s="38">
        <v>11500</v>
      </c>
      <c r="I15" s="38">
        <v>7.8559999999999999</v>
      </c>
      <c r="J15" s="38" t="s">
        <v>1064</v>
      </c>
      <c r="K15" s="38" t="s">
        <v>193</v>
      </c>
      <c r="L15" s="38" t="s">
        <v>195</v>
      </c>
      <c r="M15" s="38" t="s">
        <v>196</v>
      </c>
      <c r="N15" s="38" t="s">
        <v>198</v>
      </c>
      <c r="O15" s="38"/>
      <c r="P15" s="38" t="s">
        <v>1020</v>
      </c>
      <c r="Q15" s="38" t="s">
        <v>871</v>
      </c>
      <c r="R15" s="38" t="s">
        <v>1021</v>
      </c>
      <c r="S15" s="38" t="s">
        <v>1006</v>
      </c>
      <c r="T15" s="38" t="s">
        <v>870</v>
      </c>
      <c r="U15" s="38" t="s">
        <v>1022</v>
      </c>
      <c r="V15" s="38">
        <v>16</v>
      </c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 t="s">
        <v>1060</v>
      </c>
      <c r="AH15" s="38">
        <v>2.8400000000000003</v>
      </c>
      <c r="AI15" s="38"/>
      <c r="AJ15" s="38"/>
      <c r="AK15" s="38" t="s">
        <v>1036</v>
      </c>
      <c r="AL15" s="38" t="s">
        <v>1037</v>
      </c>
      <c r="AM15" s="38"/>
      <c r="AN15" s="38" t="s">
        <v>1006</v>
      </c>
      <c r="AO15" s="38"/>
      <c r="AP15" s="38" t="s">
        <v>1006</v>
      </c>
      <c r="AQ15" s="38" t="s">
        <v>1006</v>
      </c>
      <c r="AR15" s="38" t="s">
        <v>1006</v>
      </c>
      <c r="AS15" s="38"/>
      <c r="AT15" s="38">
        <v>393</v>
      </c>
      <c r="AU15" s="38"/>
      <c r="AV15" s="38" t="s">
        <v>1006</v>
      </c>
      <c r="AW15" s="38" t="s">
        <v>1006</v>
      </c>
      <c r="AX15" s="38" t="s">
        <v>1006</v>
      </c>
      <c r="AY15" s="38" t="s">
        <v>1006</v>
      </c>
      <c r="AZ15" s="38"/>
      <c r="BA15" s="38" t="s">
        <v>1046</v>
      </c>
      <c r="BB15" s="67"/>
      <c r="BC15" s="38" t="s">
        <v>9</v>
      </c>
      <c r="BD15" s="67" t="s">
        <v>1028</v>
      </c>
      <c r="BE15" s="38" t="s">
        <v>16</v>
      </c>
      <c r="BF15" s="67" t="s">
        <v>1038</v>
      </c>
      <c r="BG15" s="38" t="s">
        <v>24</v>
      </c>
      <c r="BH15" s="38" t="s">
        <v>1039</v>
      </c>
      <c r="BI15" s="38"/>
      <c r="BJ15" s="38" t="s">
        <v>1007</v>
      </c>
      <c r="BK15" s="38"/>
      <c r="BL15" s="38" t="s">
        <v>849</v>
      </c>
      <c r="BM15" s="38"/>
      <c r="BN15" s="38" t="s">
        <v>594</v>
      </c>
      <c r="BO15" s="38" t="s">
        <v>533</v>
      </c>
      <c r="BP15" s="38" t="s">
        <v>533</v>
      </c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A16" s="38"/>
      <c r="B16" s="38" t="s">
        <v>1040</v>
      </c>
      <c r="C16" s="38" t="s">
        <v>1041</v>
      </c>
      <c r="D16" s="38" t="s">
        <v>1042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67"/>
      <c r="BC16" s="38"/>
      <c r="BD16" s="67"/>
      <c r="BE16" s="38"/>
      <c r="BF16" s="6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1:102" x14ac:dyDescent="0.2">
      <c r="A17" s="38" t="s">
        <v>1055</v>
      </c>
      <c r="B17" s="38" t="s">
        <v>1005</v>
      </c>
      <c r="C17" s="38"/>
      <c r="D17" s="38" t="s">
        <v>1065</v>
      </c>
      <c r="E17" s="38"/>
      <c r="F17" s="38"/>
      <c r="G17" s="38" t="s">
        <v>9</v>
      </c>
      <c r="H17" s="38">
        <v>11805</v>
      </c>
      <c r="I17" s="38">
        <v>7.8559999999999999</v>
      </c>
      <c r="J17" s="38" t="s">
        <v>1019</v>
      </c>
      <c r="K17" s="38" t="s">
        <v>193</v>
      </c>
      <c r="L17" s="38" t="s">
        <v>195</v>
      </c>
      <c r="M17" s="38" t="s">
        <v>196</v>
      </c>
      <c r="N17" s="38" t="s">
        <v>198</v>
      </c>
      <c r="O17" s="38"/>
      <c r="P17" s="38" t="s">
        <v>1020</v>
      </c>
      <c r="Q17" s="38" t="s">
        <v>871</v>
      </c>
      <c r="R17" s="38" t="s">
        <v>1021</v>
      </c>
      <c r="S17" s="38" t="s">
        <v>1006</v>
      </c>
      <c r="T17" s="38" t="s">
        <v>870</v>
      </c>
      <c r="U17" s="38" t="s">
        <v>1022</v>
      </c>
      <c r="V17" s="38">
        <v>16</v>
      </c>
      <c r="W17" s="38" t="s">
        <v>758</v>
      </c>
      <c r="X17" s="38">
        <v>1</v>
      </c>
      <c r="Y17" s="38">
        <v>1</v>
      </c>
      <c r="Z17" s="38">
        <v>0</v>
      </c>
      <c r="AA17" s="38" t="s">
        <v>1066</v>
      </c>
      <c r="AB17" s="38">
        <v>11805</v>
      </c>
      <c r="AC17" s="38" t="s">
        <v>1024</v>
      </c>
      <c r="AD17" s="38" t="s">
        <v>1051</v>
      </c>
      <c r="AE17" s="38" t="s">
        <v>1026</v>
      </c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 t="s">
        <v>1052</v>
      </c>
      <c r="BB17" s="67"/>
      <c r="BC17" s="38" t="s">
        <v>9</v>
      </c>
      <c r="BD17" s="67" t="s">
        <v>1028</v>
      </c>
      <c r="BE17" s="38" t="s">
        <v>5</v>
      </c>
      <c r="BF17" s="67" t="s">
        <v>1029</v>
      </c>
      <c r="BG17" s="38" t="s">
        <v>6</v>
      </c>
      <c r="BH17" s="38" t="s">
        <v>1030</v>
      </c>
      <c r="BI17" s="38"/>
      <c r="BJ17" s="38" t="s">
        <v>1007</v>
      </c>
      <c r="BK17" s="38"/>
      <c r="BL17" s="38" t="s">
        <v>849</v>
      </c>
      <c r="BM17" s="38"/>
      <c r="BN17" s="38" t="s">
        <v>594</v>
      </c>
      <c r="BO17" s="38" t="s">
        <v>533</v>
      </c>
      <c r="BP17" s="38" t="s">
        <v>533</v>
      </c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1:102" x14ac:dyDescent="0.2">
      <c r="A18" s="38"/>
      <c r="B18" s="38" t="s">
        <v>1005</v>
      </c>
      <c r="C18" s="38" t="s">
        <v>1066</v>
      </c>
      <c r="D18" s="38" t="s">
        <v>1067</v>
      </c>
      <c r="E18" s="38" t="s">
        <v>1032</v>
      </c>
      <c r="F18" s="38" t="s">
        <v>1033</v>
      </c>
      <c r="G18" s="38" t="s">
        <v>9</v>
      </c>
      <c r="H18" s="38">
        <v>11805</v>
      </c>
      <c r="I18" s="38">
        <v>7.8559999999999999</v>
      </c>
      <c r="J18" s="38" t="s">
        <v>1068</v>
      </c>
      <c r="K18" s="38" t="s">
        <v>193</v>
      </c>
      <c r="L18" s="38" t="s">
        <v>195</v>
      </c>
      <c r="M18" s="38" t="s">
        <v>196</v>
      </c>
      <c r="N18" s="38" t="s">
        <v>198</v>
      </c>
      <c r="O18" s="38"/>
      <c r="P18" s="38" t="s">
        <v>1020</v>
      </c>
      <c r="Q18" s="38" t="s">
        <v>871</v>
      </c>
      <c r="R18" s="38" t="s">
        <v>1021</v>
      </c>
      <c r="S18" s="38" t="s">
        <v>1006</v>
      </c>
      <c r="T18" s="38" t="s">
        <v>870</v>
      </c>
      <c r="U18" s="38" t="s">
        <v>1022</v>
      </c>
      <c r="V18" s="38">
        <v>16</v>
      </c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 t="s">
        <v>1060</v>
      </c>
      <c r="AH18" s="38">
        <v>2.8400000000000003</v>
      </c>
      <c r="AI18" s="38"/>
      <c r="AJ18" s="38"/>
      <c r="AK18" s="38" t="s">
        <v>1036</v>
      </c>
      <c r="AL18" s="38" t="s">
        <v>1037</v>
      </c>
      <c r="AM18" s="38"/>
      <c r="AN18" s="38" t="s">
        <v>1006</v>
      </c>
      <c r="AO18" s="38"/>
      <c r="AP18" s="38" t="s">
        <v>1006</v>
      </c>
      <c r="AQ18" s="38" t="s">
        <v>1006</v>
      </c>
      <c r="AR18" s="38" t="s">
        <v>1006</v>
      </c>
      <c r="AS18" s="38"/>
      <c r="AT18" s="38">
        <v>393</v>
      </c>
      <c r="AU18" s="38"/>
      <c r="AV18" s="38" t="s">
        <v>1006</v>
      </c>
      <c r="AW18" s="38" t="s">
        <v>1006</v>
      </c>
      <c r="AX18" s="38" t="s">
        <v>1006</v>
      </c>
      <c r="AY18" s="38" t="s">
        <v>1006</v>
      </c>
      <c r="AZ18" s="38"/>
      <c r="BA18" s="38" t="s">
        <v>1052</v>
      </c>
      <c r="BB18" s="67"/>
      <c r="BC18" s="38" t="s">
        <v>9</v>
      </c>
      <c r="BD18" s="67" t="s">
        <v>1028</v>
      </c>
      <c r="BE18" s="38" t="s">
        <v>16</v>
      </c>
      <c r="BF18" s="67" t="s">
        <v>1038</v>
      </c>
      <c r="BG18" s="38" t="s">
        <v>24</v>
      </c>
      <c r="BH18" s="38" t="s">
        <v>1039</v>
      </c>
      <c r="BI18" s="38"/>
      <c r="BJ18" s="38" t="s">
        <v>1007</v>
      </c>
      <c r="BK18" s="38"/>
      <c r="BL18" s="38" t="s">
        <v>849</v>
      </c>
      <c r="BM18" s="38"/>
      <c r="BN18" s="38" t="s">
        <v>594</v>
      </c>
      <c r="BO18" s="38" t="s">
        <v>533</v>
      </c>
      <c r="BP18" s="38" t="s">
        <v>533</v>
      </c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1:102" hidden="1" x14ac:dyDescent="0.2">
      <c r="A19" s="38"/>
      <c r="B19" s="38" t="s">
        <v>1040</v>
      </c>
      <c r="C19" s="38" t="s">
        <v>1041</v>
      </c>
      <c r="D19" s="38" t="s">
        <v>1042</v>
      </c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67"/>
      <c r="BC19" s="38"/>
      <c r="BD19" s="67"/>
      <c r="BE19" s="38"/>
      <c r="BF19" s="6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1:102" hidden="1" x14ac:dyDescent="0.2">
      <c r="A20" s="38"/>
      <c r="B20" s="38"/>
      <c r="C20" s="38"/>
      <c r="D20" s="38" t="s">
        <v>1008</v>
      </c>
      <c r="E20" s="38"/>
      <c r="F20" s="38"/>
      <c r="G20" s="38"/>
      <c r="H20" s="38"/>
      <c r="I20" s="38"/>
      <c r="J20" s="38" t="s">
        <v>1006</v>
      </c>
      <c r="K20" s="38"/>
      <c r="L20" s="38"/>
      <c r="M20" s="38"/>
      <c r="N20" s="38"/>
      <c r="O20" s="38"/>
      <c r="P20" s="38" t="s">
        <v>1006</v>
      </c>
      <c r="Q20" s="38"/>
      <c r="R20" s="38"/>
      <c r="S20" s="38" t="s">
        <v>1006</v>
      </c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 t="s">
        <v>1006</v>
      </c>
      <c r="AL20" s="38" t="s">
        <v>1006</v>
      </c>
      <c r="AM20" s="38"/>
      <c r="AN20" s="38" t="s">
        <v>1006</v>
      </c>
      <c r="AO20" s="38"/>
      <c r="AP20" s="38" t="s">
        <v>1006</v>
      </c>
      <c r="AQ20" s="38" t="s">
        <v>1006</v>
      </c>
      <c r="AR20" s="38" t="s">
        <v>1006</v>
      </c>
      <c r="AS20" s="38"/>
      <c r="AT20" s="38"/>
      <c r="AU20" s="38"/>
      <c r="AV20" s="38" t="s">
        <v>1006</v>
      </c>
      <c r="AW20" s="38" t="s">
        <v>1006</v>
      </c>
      <c r="AX20" s="38" t="s">
        <v>1006</v>
      </c>
      <c r="AY20" s="38" t="s">
        <v>1006</v>
      </c>
      <c r="AZ20" s="38"/>
      <c r="BA20" s="38"/>
      <c r="BB20" s="67"/>
      <c r="BC20" s="38" t="s">
        <v>1006</v>
      </c>
      <c r="BD20" s="67" t="s">
        <v>1006</v>
      </c>
      <c r="BE20" s="38"/>
      <c r="BF20" s="67" t="s">
        <v>1006</v>
      </c>
      <c r="BG20" s="38"/>
      <c r="BH20" s="38" t="s">
        <v>1006</v>
      </c>
      <c r="BI20" s="38"/>
      <c r="BJ20" s="38" t="s">
        <v>1007</v>
      </c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1:102" hidden="1" x14ac:dyDescent="0.2">
      <c r="A21" s="38"/>
      <c r="B21" s="38"/>
      <c r="C21" s="38"/>
      <c r="D21" s="38" t="s">
        <v>1009</v>
      </c>
      <c r="E21" s="38"/>
      <c r="F21" s="38"/>
      <c r="G21" s="38"/>
      <c r="H21" s="38"/>
      <c r="I21" s="38"/>
      <c r="J21" s="38" t="s">
        <v>1006</v>
      </c>
      <c r="K21" s="38"/>
      <c r="L21" s="38"/>
      <c r="M21" s="38"/>
      <c r="N21" s="38"/>
      <c r="O21" s="38"/>
      <c r="P21" s="38" t="s">
        <v>1006</v>
      </c>
      <c r="Q21" s="38"/>
      <c r="R21" s="38"/>
      <c r="S21" s="38" t="s">
        <v>1006</v>
      </c>
      <c r="T21" s="38"/>
      <c r="U21" s="38"/>
      <c r="V21" s="38"/>
      <c r="W21" s="38"/>
      <c r="X21" s="38"/>
      <c r="Y21" s="38"/>
      <c r="Z21" s="38"/>
      <c r="AA21" s="38" t="s">
        <v>1006</v>
      </c>
      <c r="AB21" s="38" t="s">
        <v>1006</v>
      </c>
      <c r="AC21" s="38" t="s">
        <v>1010</v>
      </c>
      <c r="AD21" s="38" t="s">
        <v>1010</v>
      </c>
      <c r="AE21" s="38" t="s">
        <v>1006</v>
      </c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67"/>
      <c r="BC21" s="38" t="s">
        <v>1006</v>
      </c>
      <c r="BD21" s="67" t="s">
        <v>1006</v>
      </c>
      <c r="BE21" s="38"/>
      <c r="BF21" s="67" t="s">
        <v>1006</v>
      </c>
      <c r="BG21" s="38"/>
      <c r="BH21" s="38" t="s">
        <v>1006</v>
      </c>
      <c r="BI21" s="38"/>
      <c r="BJ21" s="38" t="s">
        <v>1007</v>
      </c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1:102" hidden="1" x14ac:dyDescent="0.2">
      <c r="A22" s="38"/>
      <c r="B22" s="38"/>
      <c r="C22" s="38"/>
      <c r="D22" s="38" t="s">
        <v>1011</v>
      </c>
      <c r="E22" s="38"/>
      <c r="F22" s="38"/>
      <c r="G22" s="38"/>
      <c r="H22" s="38"/>
      <c r="I22" s="38"/>
      <c r="J22" s="38" t="s">
        <v>1006</v>
      </c>
      <c r="K22" s="38"/>
      <c r="L22" s="38"/>
      <c r="M22" s="38"/>
      <c r="N22" s="38"/>
      <c r="O22" s="38"/>
      <c r="P22" s="38" t="s">
        <v>1006</v>
      </c>
      <c r="Q22" s="38"/>
      <c r="R22" s="38"/>
      <c r="S22" s="38" t="s">
        <v>1006</v>
      </c>
      <c r="T22" s="38"/>
      <c r="U22" s="38"/>
      <c r="V22" s="38"/>
      <c r="W22" s="38"/>
      <c r="X22" s="38"/>
      <c r="Y22" s="38"/>
      <c r="Z22" s="38"/>
      <c r="AA22" s="38" t="s">
        <v>1015</v>
      </c>
      <c r="AB22" s="38" t="s">
        <v>1006</v>
      </c>
      <c r="AC22" s="38" t="s">
        <v>1010</v>
      </c>
      <c r="AD22" s="38" t="s">
        <v>1010</v>
      </c>
      <c r="AE22" s="38" t="s">
        <v>1006</v>
      </c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67"/>
      <c r="BC22" s="38" t="s">
        <v>1006</v>
      </c>
      <c r="BD22" s="67" t="s">
        <v>1006</v>
      </c>
      <c r="BE22" s="38"/>
      <c r="BF22" s="67" t="s">
        <v>1006</v>
      </c>
      <c r="BG22" s="38"/>
      <c r="BH22" s="38" t="s">
        <v>1006</v>
      </c>
      <c r="BI22" s="38"/>
      <c r="BJ22" s="38" t="s">
        <v>1007</v>
      </c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1:102" hidden="1" x14ac:dyDescent="0.2">
      <c r="A23" s="38"/>
      <c r="B23" s="38"/>
      <c r="C23" s="38" t="s">
        <v>1015</v>
      </c>
      <c r="D23" s="38" t="s">
        <v>1012</v>
      </c>
      <c r="E23" s="38"/>
      <c r="F23" s="38"/>
      <c r="G23" s="38"/>
      <c r="H23" s="38"/>
      <c r="I23" s="38"/>
      <c r="J23" s="38" t="s">
        <v>1006</v>
      </c>
      <c r="K23" s="38"/>
      <c r="L23" s="38"/>
      <c r="M23" s="38"/>
      <c r="N23" s="38"/>
      <c r="O23" s="38"/>
      <c r="P23" s="38" t="s">
        <v>1006</v>
      </c>
      <c r="Q23" s="38"/>
      <c r="R23" s="38"/>
      <c r="S23" s="38" t="s">
        <v>1006</v>
      </c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 t="s">
        <v>1006</v>
      </c>
      <c r="AL23" s="38" t="s">
        <v>1006</v>
      </c>
      <c r="AM23" s="38"/>
      <c r="AN23" s="38" t="s">
        <v>1006</v>
      </c>
      <c r="AO23" s="38"/>
      <c r="AP23" s="38" t="s">
        <v>1006</v>
      </c>
      <c r="AQ23" s="38" t="s">
        <v>1006</v>
      </c>
      <c r="AR23" s="38" t="s">
        <v>1006</v>
      </c>
      <c r="AS23" s="38"/>
      <c r="AT23" s="38"/>
      <c r="AU23" s="38"/>
      <c r="AV23" s="38" t="s">
        <v>1006</v>
      </c>
      <c r="AW23" s="38" t="s">
        <v>1006</v>
      </c>
      <c r="AX23" s="38" t="s">
        <v>1006</v>
      </c>
      <c r="AY23" s="38" t="s">
        <v>1006</v>
      </c>
      <c r="AZ23" s="38"/>
      <c r="BA23" s="38"/>
      <c r="BB23" s="67"/>
      <c r="BC23" s="38" t="s">
        <v>1006</v>
      </c>
      <c r="BD23" s="67" t="s">
        <v>1006</v>
      </c>
      <c r="BE23" s="38"/>
      <c r="BF23" s="67" t="s">
        <v>1006</v>
      </c>
      <c r="BG23" s="38"/>
      <c r="BH23" s="38" t="s">
        <v>1006</v>
      </c>
      <c r="BI23" s="38"/>
      <c r="BJ23" s="38" t="s">
        <v>1007</v>
      </c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1:102" hidden="1" x14ac:dyDescent="0.2">
      <c r="A24" s="38"/>
      <c r="B24" s="38"/>
      <c r="C24" s="38"/>
      <c r="D24" s="38" t="s">
        <v>421</v>
      </c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67"/>
      <c r="BC24" s="38"/>
      <c r="BD24" s="67"/>
      <c r="BE24" s="38"/>
      <c r="BF24" s="6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1:102" hidden="1" x14ac:dyDescent="0.2">
      <c r="A25" s="38"/>
      <c r="B25" s="38"/>
      <c r="C25" s="38"/>
      <c r="D25" s="38" t="s">
        <v>1013</v>
      </c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67"/>
      <c r="BC25" s="38" t="s">
        <v>1006</v>
      </c>
      <c r="BD25" s="67" t="s">
        <v>1006</v>
      </c>
      <c r="BE25" s="38"/>
      <c r="BF25" s="67" t="s">
        <v>1006</v>
      </c>
      <c r="BG25" s="38"/>
      <c r="BH25" s="38" t="s">
        <v>1006</v>
      </c>
      <c r="BI25" s="38"/>
      <c r="BJ25" s="38" t="s">
        <v>1007</v>
      </c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1:102" hidden="1" x14ac:dyDescent="0.2">
      <c r="A26" s="38" t="s">
        <v>868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67"/>
      <c r="BC26" s="38"/>
      <c r="BD26" s="67"/>
      <c r="BE26" s="38"/>
      <c r="BF26" s="6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>
        <f>SUBTOTAL(103,Estrutura_P01[DADOS PURLINS])</f>
        <v>0</v>
      </c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1:102" hidden="1" x14ac:dyDescent="0.2">
      <c r="A27" t="s">
        <v>533</v>
      </c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1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1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1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1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1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1016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9BC3FE-B427-44E0-B49B-8046F653E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2022-05-05T11:21:44Z</dcterms:modified>
</cp:coreProperties>
</file>