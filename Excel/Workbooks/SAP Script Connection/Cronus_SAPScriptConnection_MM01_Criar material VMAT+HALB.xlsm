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209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F6" i="6" l="1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5" i="6"/>
  <c r="CG6" i="6"/>
  <c r="CH6" i="6"/>
  <c r="CI6" i="6"/>
  <c r="CJ6" i="6"/>
  <c r="CG7" i="6"/>
  <c r="CH7" i="6"/>
  <c r="CI7" i="6"/>
  <c r="CJ7" i="6"/>
  <c r="CG8" i="6"/>
  <c r="CH8" i="6"/>
  <c r="CI8" i="6"/>
  <c r="CJ8" i="6"/>
  <c r="CG9" i="6"/>
  <c r="CH9" i="6"/>
  <c r="CI9" i="6"/>
  <c r="CJ9" i="6"/>
  <c r="CG10" i="6"/>
  <c r="CH10" i="6"/>
  <c r="CI10" i="6"/>
  <c r="CJ10" i="6"/>
  <c r="CG11" i="6"/>
  <c r="CH11" i="6"/>
  <c r="CI11" i="6"/>
  <c r="CJ11" i="6"/>
  <c r="CG12" i="6"/>
  <c r="CH12" i="6"/>
  <c r="CI12" i="6"/>
  <c r="CJ12" i="6"/>
  <c r="CG13" i="6"/>
  <c r="CH13" i="6"/>
  <c r="CI13" i="6"/>
  <c r="CJ13" i="6"/>
  <c r="CG14" i="6"/>
  <c r="CH14" i="6"/>
  <c r="CI14" i="6"/>
  <c r="CJ14" i="6"/>
  <c r="CG15" i="6"/>
  <c r="CH15" i="6"/>
  <c r="CI15" i="6"/>
  <c r="CJ15" i="6"/>
  <c r="CG16" i="6"/>
  <c r="CH16" i="6"/>
  <c r="CI16" i="6"/>
  <c r="CJ16" i="6"/>
  <c r="CG17" i="6"/>
  <c r="CH17" i="6"/>
  <c r="CI17" i="6"/>
  <c r="CJ17" i="6"/>
  <c r="CG18" i="6"/>
  <c r="CH18" i="6"/>
  <c r="CI18" i="6"/>
  <c r="CJ18" i="6"/>
  <c r="CG19" i="6"/>
  <c r="CH19" i="6"/>
  <c r="CI19" i="6"/>
  <c r="CJ19" i="6"/>
  <c r="CG20" i="6"/>
  <c r="CH20" i="6"/>
  <c r="CI20" i="6"/>
  <c r="CJ20" i="6"/>
  <c r="CG21" i="6"/>
  <c r="CH21" i="6"/>
  <c r="CI21" i="6"/>
  <c r="CJ21" i="6"/>
  <c r="CG22" i="6"/>
  <c r="CH22" i="6"/>
  <c r="CI22" i="6"/>
  <c r="CJ22" i="6"/>
  <c r="CG23" i="6"/>
  <c r="CH23" i="6"/>
  <c r="CI23" i="6"/>
  <c r="CJ23" i="6"/>
  <c r="CG24" i="6"/>
  <c r="CH24" i="6"/>
  <c r="CI24" i="6"/>
  <c r="CJ24" i="6"/>
  <c r="CG25" i="6"/>
  <c r="CH25" i="6"/>
  <c r="CI25" i="6"/>
  <c r="CJ25" i="6"/>
  <c r="CG26" i="6"/>
  <c r="CH26" i="6"/>
  <c r="CI26" i="6"/>
  <c r="CJ26" i="6"/>
  <c r="CG27" i="6"/>
  <c r="CH27" i="6"/>
  <c r="CI27" i="6"/>
  <c r="CJ27" i="6"/>
  <c r="CG28" i="6"/>
  <c r="CH28" i="6"/>
  <c r="CI28" i="6"/>
  <c r="CJ28" i="6"/>
  <c r="CG29" i="6"/>
  <c r="CH29" i="6"/>
  <c r="CI29" i="6"/>
  <c r="CJ29" i="6"/>
  <c r="CG30" i="6"/>
  <c r="CH30" i="6"/>
  <c r="CI30" i="6"/>
  <c r="CJ30" i="6"/>
  <c r="CG31" i="6"/>
  <c r="CH31" i="6"/>
  <c r="CI31" i="6"/>
  <c r="CJ31" i="6"/>
  <c r="CG32" i="6"/>
  <c r="CH32" i="6"/>
  <c r="CI32" i="6"/>
  <c r="CJ32" i="6"/>
  <c r="CG33" i="6"/>
  <c r="CH33" i="6"/>
  <c r="CI33" i="6"/>
  <c r="CJ33" i="6"/>
  <c r="CG34" i="6"/>
  <c r="CH34" i="6"/>
  <c r="CI34" i="6"/>
  <c r="CJ34" i="6"/>
  <c r="CG35" i="6"/>
  <c r="CH35" i="6"/>
  <c r="CI35" i="6"/>
  <c r="CJ35" i="6"/>
  <c r="CG36" i="6"/>
  <c r="CH36" i="6"/>
  <c r="CI36" i="6"/>
  <c r="CJ36" i="6"/>
  <c r="CG37" i="6"/>
  <c r="CH37" i="6"/>
  <c r="CI37" i="6"/>
  <c r="CJ37" i="6"/>
  <c r="CG38" i="6"/>
  <c r="CH38" i="6"/>
  <c r="CI38" i="6"/>
  <c r="CJ38" i="6"/>
  <c r="CG39" i="6"/>
  <c r="CH39" i="6"/>
  <c r="CI39" i="6"/>
  <c r="CJ39" i="6"/>
  <c r="CG40" i="6"/>
  <c r="CH40" i="6"/>
  <c r="CI40" i="6"/>
  <c r="CJ40" i="6"/>
  <c r="CJ5" i="6"/>
  <c r="CI5" i="6"/>
  <c r="CH5" i="6"/>
  <c r="CG5" i="6"/>
  <c r="DD6" i="6"/>
  <c r="DD7" i="6"/>
  <c r="DD8" i="6"/>
  <c r="DD9" i="6"/>
  <c r="DD10" i="6"/>
  <c r="DD11" i="6"/>
  <c r="DD12" i="6"/>
  <c r="DD13" i="6"/>
  <c r="DD14" i="6"/>
  <c r="DD15" i="6"/>
  <c r="DD16" i="6"/>
  <c r="DD17" i="6"/>
  <c r="DD18" i="6"/>
  <c r="DD19" i="6"/>
  <c r="DD20" i="6"/>
  <c r="DD21" i="6"/>
  <c r="DD22" i="6"/>
  <c r="DD23" i="6"/>
  <c r="DD24" i="6"/>
  <c r="DD25" i="6"/>
  <c r="DD26" i="6"/>
  <c r="DD27" i="6"/>
  <c r="DD28" i="6"/>
  <c r="DD29" i="6"/>
  <c r="DD30" i="6"/>
  <c r="DD31" i="6"/>
  <c r="DD32" i="6"/>
  <c r="DD33" i="6"/>
  <c r="DD34" i="6"/>
  <c r="DD35" i="6"/>
  <c r="DD36" i="6"/>
  <c r="DD37" i="6"/>
  <c r="DD38" i="6"/>
  <c r="DD39" i="6"/>
  <c r="DD40" i="6"/>
  <c r="DD5" i="6"/>
  <c r="DS6" i="6" l="1"/>
  <c r="DT6" i="6" s="1"/>
  <c r="DS7" i="6"/>
  <c r="DT7" i="6" s="1"/>
  <c r="DS8" i="6"/>
  <c r="DT8" i="6" s="1"/>
  <c r="DS9" i="6"/>
  <c r="DT9" i="6" s="1"/>
  <c r="DS10" i="6"/>
  <c r="DT10" i="6" s="1"/>
  <c r="DS11" i="6"/>
  <c r="DT11" i="6" s="1"/>
  <c r="DS12" i="6"/>
  <c r="DT12" i="6" s="1"/>
  <c r="DS13" i="6"/>
  <c r="DT13" i="6" s="1"/>
  <c r="DS14" i="6"/>
  <c r="DT14" i="6" s="1"/>
  <c r="DS15" i="6"/>
  <c r="DT15" i="6" s="1"/>
  <c r="DS16" i="6"/>
  <c r="DT16" i="6" s="1"/>
  <c r="DS17" i="6"/>
  <c r="DT17" i="6" s="1"/>
  <c r="DS18" i="6"/>
  <c r="DT18" i="6" s="1"/>
  <c r="DS19" i="6"/>
  <c r="DT19" i="6" s="1"/>
  <c r="DS20" i="6"/>
  <c r="DT20" i="6" s="1"/>
  <c r="DS21" i="6"/>
  <c r="DT21" i="6" s="1"/>
  <c r="DS22" i="6"/>
  <c r="DT22" i="6" s="1"/>
  <c r="DS23" i="6"/>
  <c r="DT23" i="6" s="1"/>
  <c r="DS24" i="6"/>
  <c r="DT24" i="6" s="1"/>
  <c r="DS25" i="6"/>
  <c r="DT25" i="6" s="1"/>
  <c r="DS26" i="6"/>
  <c r="DT26" i="6" s="1"/>
  <c r="DS27" i="6"/>
  <c r="DT27" i="6" s="1"/>
  <c r="DS28" i="6"/>
  <c r="DT28" i="6" s="1"/>
  <c r="DS29" i="6"/>
  <c r="DT29" i="6" s="1"/>
  <c r="DS30" i="6"/>
  <c r="DT30" i="6" s="1"/>
  <c r="DS31" i="6"/>
  <c r="DT31" i="6" s="1"/>
  <c r="DS32" i="6"/>
  <c r="DT32" i="6" s="1"/>
  <c r="DS33" i="6"/>
  <c r="DT33" i="6" s="1"/>
  <c r="DS34" i="6"/>
  <c r="DT34" i="6" s="1"/>
  <c r="DS35" i="6"/>
  <c r="DT35" i="6" s="1"/>
  <c r="DS36" i="6"/>
  <c r="DT36" i="6" s="1"/>
  <c r="DS37" i="6"/>
  <c r="DT37" i="6" s="1"/>
  <c r="DS38" i="6"/>
  <c r="DT38" i="6" s="1"/>
  <c r="DS39" i="6"/>
  <c r="DT39" i="6" s="1"/>
  <c r="DS40" i="6"/>
  <c r="DT40" i="6" s="1"/>
  <c r="DS5" i="6"/>
  <c r="DT5" i="6" s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J40" i="6"/>
  <c r="DF40" i="6"/>
  <c r="DE40" i="6"/>
  <c r="CX40" i="6"/>
  <c r="CW40" i="6"/>
  <c r="CU40" i="6"/>
  <c r="CS40" i="6"/>
  <c r="CR40" i="6"/>
  <c r="CQ40" i="6"/>
  <c r="CP40" i="6"/>
  <c r="CO40" i="6"/>
  <c r="CN40" i="6"/>
  <c r="CM40" i="6"/>
  <c r="CL40" i="6"/>
  <c r="CK40" i="6"/>
  <c r="CA40" i="6"/>
  <c r="BZ40" i="6"/>
  <c r="BU40" i="6"/>
  <c r="BR40" i="6"/>
  <c r="BQ40" i="6"/>
  <c r="BM40" i="6"/>
  <c r="AX40" i="6"/>
  <c r="AV40" i="6"/>
  <c r="AS40" i="6"/>
  <c r="AQ40" i="6"/>
  <c r="AO40" i="6"/>
  <c r="H40" i="6"/>
  <c r="D40" i="6"/>
  <c r="A40" i="6"/>
  <c r="DJ39" i="6"/>
  <c r="DF39" i="6"/>
  <c r="DE39" i="6"/>
  <c r="CX39" i="6"/>
  <c r="CW39" i="6"/>
  <c r="CU39" i="6"/>
  <c r="CS39" i="6"/>
  <c r="CR39" i="6"/>
  <c r="CQ39" i="6"/>
  <c r="CP39" i="6"/>
  <c r="CO39" i="6"/>
  <c r="CN39" i="6"/>
  <c r="CM39" i="6"/>
  <c r="CL39" i="6"/>
  <c r="CK39" i="6"/>
  <c r="CA39" i="6"/>
  <c r="BZ39" i="6"/>
  <c r="BU39" i="6"/>
  <c r="BR39" i="6"/>
  <c r="BQ39" i="6"/>
  <c r="BM39" i="6"/>
  <c r="AX39" i="6"/>
  <c r="AV39" i="6"/>
  <c r="AS39" i="6"/>
  <c r="AQ39" i="6"/>
  <c r="AO39" i="6"/>
  <c r="H39" i="6"/>
  <c r="D39" i="6"/>
  <c r="A39" i="6"/>
  <c r="DJ38" i="6"/>
  <c r="DF38" i="6"/>
  <c r="DE38" i="6"/>
  <c r="CX38" i="6"/>
  <c r="CW38" i="6"/>
  <c r="CU38" i="6"/>
  <c r="CS38" i="6"/>
  <c r="CR38" i="6"/>
  <c r="CQ38" i="6"/>
  <c r="CP38" i="6"/>
  <c r="CO38" i="6"/>
  <c r="CN38" i="6"/>
  <c r="CM38" i="6"/>
  <c r="CL38" i="6"/>
  <c r="CK38" i="6"/>
  <c r="CA38" i="6"/>
  <c r="BZ38" i="6"/>
  <c r="BU38" i="6"/>
  <c r="BR38" i="6"/>
  <c r="BQ38" i="6"/>
  <c r="BM38" i="6"/>
  <c r="AX38" i="6"/>
  <c r="AV38" i="6"/>
  <c r="AS38" i="6"/>
  <c r="AQ38" i="6"/>
  <c r="AO38" i="6"/>
  <c r="H38" i="6"/>
  <c r="D38" i="6"/>
  <c r="A38" i="6"/>
  <c r="DJ37" i="6"/>
  <c r="DF37" i="6"/>
  <c r="DE37" i="6"/>
  <c r="CX37" i="6"/>
  <c r="CW37" i="6"/>
  <c r="CU37" i="6"/>
  <c r="CS37" i="6"/>
  <c r="CR37" i="6"/>
  <c r="CQ37" i="6"/>
  <c r="CP37" i="6"/>
  <c r="CO37" i="6"/>
  <c r="CN37" i="6"/>
  <c r="CM37" i="6"/>
  <c r="CL37" i="6"/>
  <c r="CK37" i="6"/>
  <c r="CA37" i="6"/>
  <c r="BZ37" i="6"/>
  <c r="BU37" i="6"/>
  <c r="BR37" i="6"/>
  <c r="BQ37" i="6"/>
  <c r="BM37" i="6"/>
  <c r="AX37" i="6"/>
  <c r="AV37" i="6"/>
  <c r="AS37" i="6"/>
  <c r="AQ37" i="6"/>
  <c r="AO37" i="6"/>
  <c r="H37" i="6"/>
  <c r="D37" i="6"/>
  <c r="A37" i="6"/>
  <c r="DJ36" i="6"/>
  <c r="DF36" i="6"/>
  <c r="DE36" i="6"/>
  <c r="CX36" i="6"/>
  <c r="CW36" i="6"/>
  <c r="CU36" i="6"/>
  <c r="CS36" i="6"/>
  <c r="CR36" i="6"/>
  <c r="CQ36" i="6"/>
  <c r="CP36" i="6"/>
  <c r="CO36" i="6"/>
  <c r="CN36" i="6"/>
  <c r="CM36" i="6"/>
  <c r="CL36" i="6"/>
  <c r="CK36" i="6"/>
  <c r="CA36" i="6"/>
  <c r="BZ36" i="6"/>
  <c r="BU36" i="6"/>
  <c r="BR36" i="6"/>
  <c r="BQ36" i="6"/>
  <c r="BM36" i="6"/>
  <c r="AX36" i="6"/>
  <c r="AV36" i="6"/>
  <c r="AS36" i="6"/>
  <c r="AQ36" i="6"/>
  <c r="AO36" i="6"/>
  <c r="H36" i="6"/>
  <c r="D36" i="6"/>
  <c r="A36" i="6"/>
  <c r="DJ35" i="6"/>
  <c r="DF35" i="6"/>
  <c r="DE35" i="6"/>
  <c r="CX35" i="6"/>
  <c r="CW35" i="6"/>
  <c r="CU35" i="6"/>
  <c r="CS35" i="6"/>
  <c r="CR35" i="6"/>
  <c r="CQ35" i="6"/>
  <c r="CP35" i="6"/>
  <c r="CO35" i="6"/>
  <c r="CN35" i="6"/>
  <c r="CM35" i="6"/>
  <c r="CL35" i="6"/>
  <c r="CK35" i="6"/>
  <c r="CA35" i="6"/>
  <c r="BZ35" i="6"/>
  <c r="BU35" i="6"/>
  <c r="BR35" i="6"/>
  <c r="BQ35" i="6"/>
  <c r="BM35" i="6"/>
  <c r="AX35" i="6"/>
  <c r="AV35" i="6"/>
  <c r="AS35" i="6"/>
  <c r="AQ35" i="6"/>
  <c r="AO35" i="6"/>
  <c r="H35" i="6"/>
  <c r="D35" i="6"/>
  <c r="A35" i="6"/>
  <c r="DJ34" i="6"/>
  <c r="DF34" i="6"/>
  <c r="DE34" i="6"/>
  <c r="CX34" i="6"/>
  <c r="CW34" i="6"/>
  <c r="CU34" i="6"/>
  <c r="CS34" i="6"/>
  <c r="CR34" i="6"/>
  <c r="CQ34" i="6"/>
  <c r="CP34" i="6"/>
  <c r="CO34" i="6"/>
  <c r="CN34" i="6"/>
  <c r="CM34" i="6"/>
  <c r="CL34" i="6"/>
  <c r="CK34" i="6"/>
  <c r="CA34" i="6"/>
  <c r="BZ34" i="6"/>
  <c r="BU34" i="6"/>
  <c r="BR34" i="6"/>
  <c r="BQ34" i="6"/>
  <c r="BM34" i="6"/>
  <c r="AX34" i="6"/>
  <c r="AV34" i="6"/>
  <c r="AS34" i="6"/>
  <c r="AQ34" i="6"/>
  <c r="AO34" i="6"/>
  <c r="H34" i="6"/>
  <c r="D34" i="6"/>
  <c r="A34" i="6"/>
  <c r="DJ33" i="6"/>
  <c r="DF33" i="6"/>
  <c r="DE33" i="6"/>
  <c r="CX33" i="6"/>
  <c r="CW33" i="6"/>
  <c r="CU33" i="6"/>
  <c r="CS33" i="6"/>
  <c r="CR33" i="6"/>
  <c r="CQ33" i="6"/>
  <c r="CP33" i="6"/>
  <c r="CO33" i="6"/>
  <c r="CN33" i="6"/>
  <c r="CM33" i="6"/>
  <c r="CL33" i="6"/>
  <c r="CK33" i="6"/>
  <c r="CA33" i="6"/>
  <c r="BZ33" i="6"/>
  <c r="BU33" i="6"/>
  <c r="BR33" i="6"/>
  <c r="BQ33" i="6"/>
  <c r="BM33" i="6"/>
  <c r="AX33" i="6"/>
  <c r="AV33" i="6"/>
  <c r="AS33" i="6"/>
  <c r="AQ33" i="6"/>
  <c r="AO33" i="6"/>
  <c r="H33" i="6"/>
  <c r="D33" i="6"/>
  <c r="A33" i="6"/>
  <c r="DJ32" i="6"/>
  <c r="DF32" i="6"/>
  <c r="DE32" i="6"/>
  <c r="CX32" i="6"/>
  <c r="CW32" i="6"/>
  <c r="CU32" i="6"/>
  <c r="CS32" i="6"/>
  <c r="CR32" i="6"/>
  <c r="CQ32" i="6"/>
  <c r="CP32" i="6"/>
  <c r="CO32" i="6"/>
  <c r="CN32" i="6"/>
  <c r="CM32" i="6"/>
  <c r="CL32" i="6"/>
  <c r="CK32" i="6"/>
  <c r="CA32" i="6"/>
  <c r="BZ32" i="6"/>
  <c r="BU32" i="6"/>
  <c r="BR32" i="6"/>
  <c r="BQ32" i="6"/>
  <c r="BM32" i="6"/>
  <c r="AX32" i="6"/>
  <c r="AV32" i="6"/>
  <c r="AS32" i="6"/>
  <c r="AQ32" i="6"/>
  <c r="AO32" i="6"/>
  <c r="H32" i="6"/>
  <c r="D32" i="6"/>
  <c r="A32" i="6"/>
  <c r="DJ31" i="6"/>
  <c r="DF31" i="6"/>
  <c r="DE31" i="6"/>
  <c r="CX31" i="6"/>
  <c r="CW31" i="6"/>
  <c r="CU31" i="6"/>
  <c r="CS31" i="6"/>
  <c r="CR31" i="6"/>
  <c r="CQ31" i="6"/>
  <c r="CP31" i="6"/>
  <c r="CO31" i="6"/>
  <c r="CN31" i="6"/>
  <c r="CM31" i="6"/>
  <c r="CL31" i="6"/>
  <c r="CK31" i="6"/>
  <c r="CA31" i="6"/>
  <c r="BZ31" i="6"/>
  <c r="BU31" i="6"/>
  <c r="BR31" i="6"/>
  <c r="BQ31" i="6"/>
  <c r="BM31" i="6"/>
  <c r="AX31" i="6"/>
  <c r="AV31" i="6"/>
  <c r="AS31" i="6"/>
  <c r="AQ31" i="6"/>
  <c r="AO31" i="6"/>
  <c r="H31" i="6"/>
  <c r="D31" i="6"/>
  <c r="A31" i="6"/>
  <c r="DJ30" i="6"/>
  <c r="DF30" i="6"/>
  <c r="DE30" i="6"/>
  <c r="CX30" i="6"/>
  <c r="CW30" i="6"/>
  <c r="CU30" i="6"/>
  <c r="CS30" i="6"/>
  <c r="CR30" i="6"/>
  <c r="CQ30" i="6"/>
  <c r="CP30" i="6"/>
  <c r="CO30" i="6"/>
  <c r="CN30" i="6"/>
  <c r="CM30" i="6"/>
  <c r="CL30" i="6"/>
  <c r="CK30" i="6"/>
  <c r="CA30" i="6"/>
  <c r="BZ30" i="6"/>
  <c r="BU30" i="6"/>
  <c r="BR30" i="6"/>
  <c r="BQ30" i="6"/>
  <c r="BM30" i="6"/>
  <c r="AX30" i="6"/>
  <c r="AV30" i="6"/>
  <c r="AS30" i="6"/>
  <c r="AQ30" i="6"/>
  <c r="AO30" i="6"/>
  <c r="H30" i="6"/>
  <c r="D30" i="6"/>
  <c r="A30" i="6"/>
  <c r="DJ29" i="6"/>
  <c r="DF29" i="6"/>
  <c r="DE29" i="6"/>
  <c r="CX29" i="6"/>
  <c r="CW29" i="6"/>
  <c r="CU29" i="6"/>
  <c r="CS29" i="6"/>
  <c r="CR29" i="6"/>
  <c r="CQ29" i="6"/>
  <c r="CP29" i="6"/>
  <c r="CO29" i="6"/>
  <c r="CN29" i="6"/>
  <c r="CM29" i="6"/>
  <c r="CL29" i="6"/>
  <c r="CK29" i="6"/>
  <c r="CA29" i="6"/>
  <c r="BZ29" i="6"/>
  <c r="BU29" i="6"/>
  <c r="BR29" i="6"/>
  <c r="BQ29" i="6"/>
  <c r="BM29" i="6"/>
  <c r="AX29" i="6"/>
  <c r="AV29" i="6"/>
  <c r="AS29" i="6"/>
  <c r="AQ29" i="6"/>
  <c r="AO29" i="6"/>
  <c r="H29" i="6"/>
  <c r="D29" i="6"/>
  <c r="A29" i="6"/>
  <c r="DJ28" i="6"/>
  <c r="DF28" i="6"/>
  <c r="DE28" i="6"/>
  <c r="CX28" i="6"/>
  <c r="CW28" i="6"/>
  <c r="CU28" i="6"/>
  <c r="CS28" i="6"/>
  <c r="CR28" i="6"/>
  <c r="CQ28" i="6"/>
  <c r="CP28" i="6"/>
  <c r="CO28" i="6"/>
  <c r="CN28" i="6"/>
  <c r="CM28" i="6"/>
  <c r="CL28" i="6"/>
  <c r="CK28" i="6"/>
  <c r="CA28" i="6"/>
  <c r="BZ28" i="6"/>
  <c r="BU28" i="6"/>
  <c r="BR28" i="6"/>
  <c r="BQ28" i="6"/>
  <c r="BM28" i="6"/>
  <c r="AX28" i="6"/>
  <c r="AV28" i="6"/>
  <c r="AS28" i="6"/>
  <c r="AQ28" i="6"/>
  <c r="AO28" i="6"/>
  <c r="H28" i="6"/>
  <c r="D28" i="6"/>
  <c r="A28" i="6"/>
  <c r="DJ27" i="6"/>
  <c r="DF27" i="6"/>
  <c r="DE27" i="6"/>
  <c r="CX27" i="6"/>
  <c r="CW27" i="6"/>
  <c r="CU27" i="6"/>
  <c r="CS27" i="6"/>
  <c r="CR27" i="6"/>
  <c r="CQ27" i="6"/>
  <c r="CP27" i="6"/>
  <c r="CO27" i="6"/>
  <c r="CN27" i="6"/>
  <c r="CM27" i="6"/>
  <c r="CL27" i="6"/>
  <c r="CK27" i="6"/>
  <c r="CA27" i="6"/>
  <c r="BZ27" i="6"/>
  <c r="BU27" i="6"/>
  <c r="BR27" i="6"/>
  <c r="BQ27" i="6"/>
  <c r="BM27" i="6"/>
  <c r="AX27" i="6"/>
  <c r="AV27" i="6"/>
  <c r="AS27" i="6"/>
  <c r="AQ27" i="6"/>
  <c r="AO27" i="6"/>
  <c r="H27" i="6"/>
  <c r="D27" i="6"/>
  <c r="A27" i="6"/>
  <c r="DJ26" i="6"/>
  <c r="DF26" i="6"/>
  <c r="DE26" i="6"/>
  <c r="CX26" i="6"/>
  <c r="CW26" i="6"/>
  <c r="CU26" i="6"/>
  <c r="CS26" i="6"/>
  <c r="CR26" i="6"/>
  <c r="CQ26" i="6"/>
  <c r="CP26" i="6"/>
  <c r="CO26" i="6"/>
  <c r="CN26" i="6"/>
  <c r="CM26" i="6"/>
  <c r="CL26" i="6"/>
  <c r="CK26" i="6"/>
  <c r="CA26" i="6"/>
  <c r="BZ26" i="6"/>
  <c r="BU26" i="6"/>
  <c r="BR26" i="6"/>
  <c r="BQ26" i="6"/>
  <c r="BM26" i="6"/>
  <c r="AX26" i="6"/>
  <c r="AV26" i="6"/>
  <c r="AS26" i="6"/>
  <c r="AQ26" i="6"/>
  <c r="AO26" i="6"/>
  <c r="H26" i="6"/>
  <c r="D26" i="6"/>
  <c r="A26" i="6"/>
  <c r="DJ25" i="6"/>
  <c r="DF25" i="6"/>
  <c r="DE25" i="6"/>
  <c r="CX25" i="6"/>
  <c r="CW25" i="6"/>
  <c r="CU25" i="6"/>
  <c r="CS25" i="6"/>
  <c r="CR25" i="6"/>
  <c r="CQ25" i="6"/>
  <c r="CP25" i="6"/>
  <c r="CO25" i="6"/>
  <c r="CN25" i="6"/>
  <c r="CM25" i="6"/>
  <c r="CL25" i="6"/>
  <c r="CK25" i="6"/>
  <c r="CA25" i="6"/>
  <c r="BZ25" i="6"/>
  <c r="BU25" i="6"/>
  <c r="BR25" i="6"/>
  <c r="BQ25" i="6"/>
  <c r="BM25" i="6"/>
  <c r="AX25" i="6"/>
  <c r="AV25" i="6"/>
  <c r="AS25" i="6"/>
  <c r="AQ25" i="6"/>
  <c r="AO25" i="6"/>
  <c r="H25" i="6"/>
  <c r="D25" i="6"/>
  <c r="A25" i="6"/>
  <c r="DJ24" i="6"/>
  <c r="DF24" i="6"/>
  <c r="DE24" i="6"/>
  <c r="CX24" i="6"/>
  <c r="CW24" i="6"/>
  <c r="CU24" i="6"/>
  <c r="CS24" i="6"/>
  <c r="CR24" i="6"/>
  <c r="CQ24" i="6"/>
  <c r="CP24" i="6"/>
  <c r="CO24" i="6"/>
  <c r="CN24" i="6"/>
  <c r="CM24" i="6"/>
  <c r="CL24" i="6"/>
  <c r="CK24" i="6"/>
  <c r="CA24" i="6"/>
  <c r="BZ24" i="6"/>
  <c r="BU24" i="6"/>
  <c r="BR24" i="6"/>
  <c r="BQ24" i="6"/>
  <c r="BM24" i="6"/>
  <c r="AX24" i="6"/>
  <c r="AV24" i="6"/>
  <c r="AS24" i="6"/>
  <c r="AQ24" i="6"/>
  <c r="AO24" i="6"/>
  <c r="H24" i="6"/>
  <c r="D24" i="6"/>
  <c r="A24" i="6"/>
  <c r="DJ23" i="6"/>
  <c r="DF23" i="6"/>
  <c r="DE23" i="6"/>
  <c r="CX23" i="6"/>
  <c r="CW23" i="6"/>
  <c r="CU23" i="6"/>
  <c r="CS23" i="6"/>
  <c r="CR23" i="6"/>
  <c r="CQ23" i="6"/>
  <c r="CP23" i="6"/>
  <c r="CO23" i="6"/>
  <c r="CN23" i="6"/>
  <c r="CM23" i="6"/>
  <c r="CL23" i="6"/>
  <c r="CK23" i="6"/>
  <c r="CA23" i="6"/>
  <c r="BZ23" i="6"/>
  <c r="BU23" i="6"/>
  <c r="BR23" i="6"/>
  <c r="BQ23" i="6"/>
  <c r="BM23" i="6"/>
  <c r="AX23" i="6"/>
  <c r="AV23" i="6"/>
  <c r="AS23" i="6"/>
  <c r="AQ23" i="6"/>
  <c r="AO23" i="6"/>
  <c r="H23" i="6"/>
  <c r="D23" i="6"/>
  <c r="A23" i="6"/>
  <c r="DJ22" i="6"/>
  <c r="DF22" i="6"/>
  <c r="DE22" i="6"/>
  <c r="CX22" i="6"/>
  <c r="CW22" i="6"/>
  <c r="CU22" i="6"/>
  <c r="CS22" i="6"/>
  <c r="CR22" i="6"/>
  <c r="CQ22" i="6"/>
  <c r="CP22" i="6"/>
  <c r="CO22" i="6"/>
  <c r="CN22" i="6"/>
  <c r="CM22" i="6"/>
  <c r="CL22" i="6"/>
  <c r="CK22" i="6"/>
  <c r="CA22" i="6"/>
  <c r="BZ22" i="6"/>
  <c r="BU22" i="6"/>
  <c r="BR22" i="6"/>
  <c r="BQ22" i="6"/>
  <c r="BM22" i="6"/>
  <c r="AX22" i="6"/>
  <c r="AV22" i="6"/>
  <c r="AS22" i="6"/>
  <c r="AQ22" i="6"/>
  <c r="AO22" i="6"/>
  <c r="H22" i="6"/>
  <c r="D22" i="6"/>
  <c r="A22" i="6"/>
  <c r="DJ21" i="6"/>
  <c r="DF21" i="6"/>
  <c r="DE21" i="6"/>
  <c r="CX21" i="6"/>
  <c r="CW21" i="6"/>
  <c r="CU21" i="6"/>
  <c r="CS21" i="6"/>
  <c r="CR21" i="6"/>
  <c r="CQ21" i="6"/>
  <c r="CP21" i="6"/>
  <c r="CO21" i="6"/>
  <c r="CN21" i="6"/>
  <c r="CM21" i="6"/>
  <c r="CL21" i="6"/>
  <c r="CK21" i="6"/>
  <c r="CA21" i="6"/>
  <c r="BZ21" i="6"/>
  <c r="BU21" i="6"/>
  <c r="BR21" i="6"/>
  <c r="BQ21" i="6"/>
  <c r="BM21" i="6"/>
  <c r="AX21" i="6"/>
  <c r="AV21" i="6"/>
  <c r="AS21" i="6"/>
  <c r="AQ21" i="6"/>
  <c r="AO21" i="6"/>
  <c r="H21" i="6"/>
  <c r="D21" i="6"/>
  <c r="A21" i="6"/>
  <c r="DJ20" i="6"/>
  <c r="DF20" i="6"/>
  <c r="DE20" i="6"/>
  <c r="CX20" i="6"/>
  <c r="CW20" i="6"/>
  <c r="CU20" i="6"/>
  <c r="CS20" i="6"/>
  <c r="CR20" i="6"/>
  <c r="CQ20" i="6"/>
  <c r="CP20" i="6"/>
  <c r="CO20" i="6"/>
  <c r="CN20" i="6"/>
  <c r="CM20" i="6"/>
  <c r="CL20" i="6"/>
  <c r="CK20" i="6"/>
  <c r="CA20" i="6"/>
  <c r="BZ20" i="6"/>
  <c r="BU20" i="6"/>
  <c r="BR20" i="6"/>
  <c r="BQ20" i="6"/>
  <c r="BM20" i="6"/>
  <c r="AX20" i="6"/>
  <c r="AV20" i="6"/>
  <c r="AS20" i="6"/>
  <c r="AQ20" i="6"/>
  <c r="AO20" i="6"/>
  <c r="H20" i="6"/>
  <c r="D20" i="6"/>
  <c r="A20" i="6"/>
  <c r="DJ19" i="6"/>
  <c r="DF19" i="6"/>
  <c r="DE19" i="6"/>
  <c r="CX19" i="6"/>
  <c r="CW19" i="6"/>
  <c r="CU19" i="6"/>
  <c r="CS19" i="6"/>
  <c r="CR19" i="6"/>
  <c r="CQ19" i="6"/>
  <c r="CP19" i="6"/>
  <c r="CO19" i="6"/>
  <c r="CN19" i="6"/>
  <c r="CM19" i="6"/>
  <c r="CL19" i="6"/>
  <c r="CK19" i="6"/>
  <c r="CA19" i="6"/>
  <c r="BZ19" i="6"/>
  <c r="BU19" i="6"/>
  <c r="BR19" i="6"/>
  <c r="BQ19" i="6"/>
  <c r="BM19" i="6"/>
  <c r="AX19" i="6"/>
  <c r="AV19" i="6"/>
  <c r="AS19" i="6"/>
  <c r="AQ19" i="6"/>
  <c r="AO19" i="6"/>
  <c r="H19" i="6"/>
  <c r="D19" i="6"/>
  <c r="A19" i="6"/>
  <c r="DJ18" i="6"/>
  <c r="DF18" i="6"/>
  <c r="DE18" i="6"/>
  <c r="CX18" i="6"/>
  <c r="CW18" i="6"/>
  <c r="CU18" i="6"/>
  <c r="CS18" i="6"/>
  <c r="CR18" i="6"/>
  <c r="CQ18" i="6"/>
  <c r="CP18" i="6"/>
  <c r="CO18" i="6"/>
  <c r="CN18" i="6"/>
  <c r="CM18" i="6"/>
  <c r="CL18" i="6"/>
  <c r="CK18" i="6"/>
  <c r="CA18" i="6"/>
  <c r="BZ18" i="6"/>
  <c r="BU18" i="6"/>
  <c r="BR18" i="6"/>
  <c r="BQ18" i="6"/>
  <c r="BM18" i="6"/>
  <c r="AX18" i="6"/>
  <c r="AV18" i="6"/>
  <c r="AS18" i="6"/>
  <c r="AQ18" i="6"/>
  <c r="AO18" i="6"/>
  <c r="H18" i="6"/>
  <c r="D18" i="6"/>
  <c r="A18" i="6"/>
  <c r="DJ17" i="6"/>
  <c r="DF17" i="6"/>
  <c r="DE17" i="6"/>
  <c r="CX17" i="6"/>
  <c r="CW17" i="6"/>
  <c r="CU17" i="6"/>
  <c r="CS17" i="6"/>
  <c r="CR17" i="6"/>
  <c r="CQ17" i="6"/>
  <c r="CP17" i="6"/>
  <c r="CO17" i="6"/>
  <c r="CN17" i="6"/>
  <c r="CM17" i="6"/>
  <c r="CL17" i="6"/>
  <c r="CK17" i="6"/>
  <c r="CA17" i="6"/>
  <c r="BZ17" i="6"/>
  <c r="BU17" i="6"/>
  <c r="BR17" i="6"/>
  <c r="BQ17" i="6"/>
  <c r="BM17" i="6"/>
  <c r="AX17" i="6"/>
  <c r="AV17" i="6"/>
  <c r="AS17" i="6"/>
  <c r="AQ17" i="6"/>
  <c r="AO17" i="6"/>
  <c r="H17" i="6"/>
  <c r="D17" i="6"/>
  <c r="A17" i="6"/>
  <c r="DJ16" i="6"/>
  <c r="DF16" i="6"/>
  <c r="DE16" i="6"/>
  <c r="CX16" i="6"/>
  <c r="CW16" i="6"/>
  <c r="CU16" i="6"/>
  <c r="CS16" i="6"/>
  <c r="CR16" i="6"/>
  <c r="CQ16" i="6"/>
  <c r="CP16" i="6"/>
  <c r="CO16" i="6"/>
  <c r="CN16" i="6"/>
  <c r="CM16" i="6"/>
  <c r="CL16" i="6"/>
  <c r="CK16" i="6"/>
  <c r="CA16" i="6"/>
  <c r="BZ16" i="6"/>
  <c r="BU16" i="6"/>
  <c r="BR16" i="6"/>
  <c r="BQ16" i="6"/>
  <c r="BM16" i="6"/>
  <c r="AX16" i="6"/>
  <c r="AV16" i="6"/>
  <c r="AS16" i="6"/>
  <c r="AQ16" i="6"/>
  <c r="AO16" i="6"/>
  <c r="H16" i="6"/>
  <c r="D16" i="6"/>
  <c r="A16" i="6"/>
  <c r="DJ15" i="6"/>
  <c r="DF15" i="6"/>
  <c r="DE15" i="6"/>
  <c r="CX15" i="6"/>
  <c r="CW15" i="6"/>
  <c r="CU15" i="6"/>
  <c r="CS15" i="6"/>
  <c r="CR15" i="6"/>
  <c r="CQ15" i="6"/>
  <c r="CP15" i="6"/>
  <c r="CO15" i="6"/>
  <c r="CN15" i="6"/>
  <c r="CM15" i="6"/>
  <c r="CL15" i="6"/>
  <c r="CK15" i="6"/>
  <c r="CA15" i="6"/>
  <c r="BZ15" i="6"/>
  <c r="BU15" i="6"/>
  <c r="BR15" i="6"/>
  <c r="BQ15" i="6"/>
  <c r="BM15" i="6"/>
  <c r="AX15" i="6"/>
  <c r="AV15" i="6"/>
  <c r="AS15" i="6"/>
  <c r="AQ15" i="6"/>
  <c r="AO15" i="6"/>
  <c r="H15" i="6"/>
  <c r="D15" i="6"/>
  <c r="A15" i="6"/>
  <c r="DJ14" i="6"/>
  <c r="DF14" i="6"/>
  <c r="DE14" i="6"/>
  <c r="CX14" i="6"/>
  <c r="CW14" i="6"/>
  <c r="CU14" i="6"/>
  <c r="CS14" i="6"/>
  <c r="CR14" i="6"/>
  <c r="CQ14" i="6"/>
  <c r="CP14" i="6"/>
  <c r="CO14" i="6"/>
  <c r="CN14" i="6"/>
  <c r="CM14" i="6"/>
  <c r="CL14" i="6"/>
  <c r="CK14" i="6"/>
  <c r="CA14" i="6"/>
  <c r="BZ14" i="6"/>
  <c r="BU14" i="6"/>
  <c r="BR14" i="6"/>
  <c r="BQ14" i="6"/>
  <c r="BM14" i="6"/>
  <c r="AX14" i="6"/>
  <c r="AV14" i="6"/>
  <c r="AS14" i="6"/>
  <c r="AQ14" i="6"/>
  <c r="AO14" i="6"/>
  <c r="H14" i="6"/>
  <c r="D14" i="6"/>
  <c r="A14" i="6"/>
  <c r="DJ13" i="6"/>
  <c r="DF13" i="6"/>
  <c r="DE13" i="6"/>
  <c r="CX13" i="6"/>
  <c r="CW13" i="6"/>
  <c r="CU13" i="6"/>
  <c r="CS13" i="6"/>
  <c r="CR13" i="6"/>
  <c r="CQ13" i="6"/>
  <c r="CP13" i="6"/>
  <c r="CO13" i="6"/>
  <c r="CN13" i="6"/>
  <c r="CM13" i="6"/>
  <c r="CL13" i="6"/>
  <c r="CK13" i="6"/>
  <c r="CA13" i="6"/>
  <c r="BZ13" i="6"/>
  <c r="BU13" i="6"/>
  <c r="BR13" i="6"/>
  <c r="BQ13" i="6"/>
  <c r="BM13" i="6"/>
  <c r="AX13" i="6"/>
  <c r="AV13" i="6"/>
  <c r="AS13" i="6"/>
  <c r="AQ13" i="6"/>
  <c r="AO13" i="6"/>
  <c r="H13" i="6"/>
  <c r="D13" i="6"/>
  <c r="A13" i="6"/>
  <c r="DJ12" i="6"/>
  <c r="DF12" i="6"/>
  <c r="DE12" i="6"/>
  <c r="CX12" i="6"/>
  <c r="CW12" i="6"/>
  <c r="CU12" i="6"/>
  <c r="CS12" i="6"/>
  <c r="CR12" i="6"/>
  <c r="CQ12" i="6"/>
  <c r="CP12" i="6"/>
  <c r="CO12" i="6"/>
  <c r="CN12" i="6"/>
  <c r="CM12" i="6"/>
  <c r="CL12" i="6"/>
  <c r="CK12" i="6"/>
  <c r="CA12" i="6"/>
  <c r="BZ12" i="6"/>
  <c r="BU12" i="6"/>
  <c r="BR12" i="6"/>
  <c r="BQ12" i="6"/>
  <c r="BM12" i="6"/>
  <c r="AX12" i="6"/>
  <c r="AV12" i="6"/>
  <c r="AS12" i="6"/>
  <c r="AQ12" i="6"/>
  <c r="AO12" i="6"/>
  <c r="H12" i="6"/>
  <c r="D12" i="6"/>
  <c r="A12" i="6"/>
  <c r="DJ11" i="6"/>
  <c r="DF11" i="6"/>
  <c r="DE11" i="6"/>
  <c r="CX11" i="6"/>
  <c r="CW11" i="6"/>
  <c r="CU11" i="6"/>
  <c r="CS11" i="6"/>
  <c r="CR11" i="6"/>
  <c r="CQ11" i="6"/>
  <c r="CP11" i="6"/>
  <c r="CO11" i="6"/>
  <c r="CN11" i="6"/>
  <c r="CM11" i="6"/>
  <c r="CL11" i="6"/>
  <c r="CK11" i="6"/>
  <c r="CA11" i="6"/>
  <c r="BZ11" i="6"/>
  <c r="BU11" i="6"/>
  <c r="BR11" i="6"/>
  <c r="BQ11" i="6"/>
  <c r="BM11" i="6"/>
  <c r="AX11" i="6"/>
  <c r="AV11" i="6"/>
  <c r="AS11" i="6"/>
  <c r="AQ11" i="6"/>
  <c r="AO11" i="6"/>
  <c r="H11" i="6"/>
  <c r="D11" i="6"/>
  <c r="A11" i="6"/>
  <c r="DJ10" i="6"/>
  <c r="DF10" i="6"/>
  <c r="DE10" i="6"/>
  <c r="CX10" i="6"/>
  <c r="CW10" i="6"/>
  <c r="CU10" i="6"/>
  <c r="CS10" i="6"/>
  <c r="CR10" i="6"/>
  <c r="CQ10" i="6"/>
  <c r="CP10" i="6"/>
  <c r="CO10" i="6"/>
  <c r="CN10" i="6"/>
  <c r="CM10" i="6"/>
  <c r="CL10" i="6"/>
  <c r="CK10" i="6"/>
  <c r="CA10" i="6"/>
  <c r="BZ10" i="6"/>
  <c r="BU10" i="6"/>
  <c r="BR10" i="6"/>
  <c r="BQ10" i="6"/>
  <c r="BM10" i="6"/>
  <c r="AX10" i="6"/>
  <c r="AV10" i="6"/>
  <c r="AS10" i="6"/>
  <c r="AQ10" i="6"/>
  <c r="AO10" i="6"/>
  <c r="H10" i="6"/>
  <c r="D10" i="6"/>
  <c r="A10" i="6"/>
  <c r="DJ9" i="6"/>
  <c r="DF9" i="6"/>
  <c r="DE9" i="6"/>
  <c r="CX9" i="6"/>
  <c r="CW9" i="6"/>
  <c r="CU9" i="6"/>
  <c r="CS9" i="6"/>
  <c r="CR9" i="6"/>
  <c r="CQ9" i="6"/>
  <c r="CP9" i="6"/>
  <c r="CO9" i="6"/>
  <c r="CN9" i="6"/>
  <c r="CM9" i="6"/>
  <c r="CL9" i="6"/>
  <c r="CK9" i="6"/>
  <c r="CA9" i="6"/>
  <c r="BZ9" i="6"/>
  <c r="BU9" i="6"/>
  <c r="BR9" i="6"/>
  <c r="BQ9" i="6"/>
  <c r="BM9" i="6"/>
  <c r="AX9" i="6"/>
  <c r="AV9" i="6"/>
  <c r="AS9" i="6"/>
  <c r="AQ9" i="6"/>
  <c r="AO9" i="6"/>
  <c r="H9" i="6"/>
  <c r="D9" i="6"/>
  <c r="A9" i="6"/>
  <c r="DJ8" i="6"/>
  <c r="DF8" i="6"/>
  <c r="DE8" i="6"/>
  <c r="CX8" i="6"/>
  <c r="CW8" i="6"/>
  <c r="CU8" i="6"/>
  <c r="CS8" i="6"/>
  <c r="CR8" i="6"/>
  <c r="CQ8" i="6"/>
  <c r="CP8" i="6"/>
  <c r="CO8" i="6"/>
  <c r="CN8" i="6"/>
  <c r="CM8" i="6"/>
  <c r="CL8" i="6"/>
  <c r="CK8" i="6"/>
  <c r="CA8" i="6"/>
  <c r="BZ8" i="6"/>
  <c r="BU8" i="6"/>
  <c r="BR8" i="6"/>
  <c r="BQ8" i="6"/>
  <c r="BM8" i="6"/>
  <c r="AX8" i="6"/>
  <c r="AV8" i="6"/>
  <c r="AS8" i="6"/>
  <c r="AQ8" i="6"/>
  <c r="AO8" i="6"/>
  <c r="H8" i="6"/>
  <c r="D8" i="6"/>
  <c r="A8" i="6"/>
  <c r="DJ7" i="6"/>
  <c r="DF7" i="6"/>
  <c r="DE7" i="6"/>
  <c r="CX7" i="6"/>
  <c r="CW7" i="6"/>
  <c r="CU7" i="6"/>
  <c r="CS7" i="6"/>
  <c r="CR7" i="6"/>
  <c r="CQ7" i="6"/>
  <c r="CP7" i="6"/>
  <c r="CO7" i="6"/>
  <c r="CN7" i="6"/>
  <c r="CM7" i="6"/>
  <c r="CL7" i="6"/>
  <c r="CK7" i="6"/>
  <c r="CA7" i="6"/>
  <c r="BZ7" i="6"/>
  <c r="BU7" i="6"/>
  <c r="BR7" i="6"/>
  <c r="BQ7" i="6"/>
  <c r="BM7" i="6"/>
  <c r="AX7" i="6"/>
  <c r="AV7" i="6"/>
  <c r="AS7" i="6"/>
  <c r="AQ7" i="6"/>
  <c r="AO7" i="6"/>
  <c r="H7" i="6"/>
  <c r="D7" i="6"/>
  <c r="A7" i="6"/>
  <c r="DJ6" i="6"/>
  <c r="DF6" i="6"/>
  <c r="DE6" i="6"/>
  <c r="CX6" i="6"/>
  <c r="CW6" i="6"/>
  <c r="CU6" i="6"/>
  <c r="CS6" i="6"/>
  <c r="CR6" i="6"/>
  <c r="CQ6" i="6"/>
  <c r="CP6" i="6"/>
  <c r="CO6" i="6"/>
  <c r="CN6" i="6"/>
  <c r="CM6" i="6"/>
  <c r="CL6" i="6"/>
  <c r="CK6" i="6"/>
  <c r="CA6" i="6"/>
  <c r="BZ6" i="6"/>
  <c r="BU6" i="6"/>
  <c r="BR6" i="6"/>
  <c r="BQ6" i="6"/>
  <c r="BM6" i="6"/>
  <c r="AX6" i="6"/>
  <c r="AV6" i="6"/>
  <c r="AS6" i="6"/>
  <c r="AQ6" i="6"/>
  <c r="AO6" i="6"/>
  <c r="H6" i="6"/>
  <c r="D6" i="6"/>
  <c r="A6" i="6"/>
  <c r="E11" i="13" l="1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J5" i="6"/>
  <c r="CS5" i="6"/>
  <c r="CR5" i="6"/>
  <c r="CQ5" i="6"/>
  <c r="CP5" i="6"/>
  <c r="CO5" i="6"/>
  <c r="CN5" i="6"/>
  <c r="CM5" i="6"/>
  <c r="CL5" i="6"/>
  <c r="BU5" i="6"/>
  <c r="BQ5" i="6"/>
  <c r="BM5" i="6"/>
  <c r="AX5" i="6"/>
  <c r="AQ5" i="6"/>
  <c r="AO5" i="6"/>
  <c r="D5" i="6"/>
  <c r="CL6" i="7"/>
  <c r="DB5" i="13" l="1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K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DF5" i="6"/>
  <c r="CX5" i="6"/>
  <c r="CW5" i="6"/>
  <c r="CU5" i="6"/>
  <c r="CA5" i="6" l="1"/>
  <c r="BZ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<sst xmlns="http://schemas.openxmlformats.org/spreadsheetml/2006/main" count="5969" uniqueCount="996">
  <si>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</si>
  <si>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</si>
  <si>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</si>
  <si>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</si>
  <si>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</si>
  <si>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</si>
  <si>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</si>
  <si>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</si>
  <si>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</si>
  <si>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</si>
  <si>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</si>
  <si>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</si>
  <si>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</si>
  <si>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</si>
  <si>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</si>
  <si>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</si>
  <si>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</si>
  <si>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</si>
  <si>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</si>
  <si>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</si>
  <si>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</si>
  <si>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</si>
  <si>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</si>
  <si>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</si>
  <si>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</si>
  <si>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</si>
  <si>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</si>
  <si>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</si>
  <si>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</si>
  <si>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</si>
  <si>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</si>
  <si>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</si>
  <si>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</si>
  <si>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</si>
  <si>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</si>
  <si>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</si>
  <si>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</si>
  <si>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</si>
  <si>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</si>
  <si>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</si>
  <si>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</si>
  <si>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</si>
  <si>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</si>
  <si>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</si>
  <si>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</si>
  <si>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</si>
  <si>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</si>
  <si>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</si>
  <si>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</si>
  <si>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</si>
  <si>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</si>
  <si>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</si>
  <si>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</si>
  <si>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</si>
  <si>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</si>
  <si>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</si>
  <si>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</si>
  <si>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</si>
  <si>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</si>
  <si>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</si>
  <si>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</si>
  <si>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</si>
  <si>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</si>
  <si>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</si>
  <si>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</si>
  <si>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</si>
  <si>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</si>
  <si>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</si>
  <si>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</si>
  <si>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</si>
  <si>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</si>
  <si>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</si>
  <si>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</si>
  <si>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</si>
  <si>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</si>
  <si>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</si>
  <si>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</si>
  <si>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</si>
  <si>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</si>
  <si>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</si>
  <si>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</si>
  <si>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</si>
  <si>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</si>
  <si>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</si>
  <si>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</si>
  <si>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</si>
  <si>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</si>
  <si>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</si>
  <si>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</si>
  <si>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</si>
  <si>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</si>
  <si>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</si>
  <si>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</si>
  <si>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</si>
  <si>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</si>
  <si>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</si>
  <si>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</si>
  <si>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</si>
  <si>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</si>
  <si>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</si>
  <si>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</si>
  <si>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</si>
  <si>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</si>
  <si>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</si>
  <si>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</si>
  <si>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</si>
  <si>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</si>
  <si>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</si>
  <si>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</si>
  <si>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</si>
  <si>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</si>
  <si>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</si>
  <si>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</si>
  <si>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</si>
  <si>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</si>
  <si>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</si>
  <si>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</si>
  <si>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</si>
  <si>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</si>
  <si>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</si>
  <si>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</si>
  <si>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</si>
  <si>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</si>
  <si>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</si>
  <si>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</si>
  <si>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</si>
  <si>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</si>
  <si>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</si>
  <si>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</si>
  <si>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</si>
  <si>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</si>
  <si>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</si>
  <si>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</si>
  <si>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</si>
  <si>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</si>
  <si>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</si>
  <si>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</si>
  <si>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</si>
  <si>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</si>
  <si>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</si>
  <si>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</si>
  <si>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</si>
  <si>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</si>
  <si>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</si>
  <si>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</si>
  <si>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</si>
  <si>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</si>
  <si>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</si>
  <si>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</si>
  <si>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</si>
  <si>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</si>
  <si>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</si>
  <si>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</si>
  <si>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</si>
  <si>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</si>
  <si>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</si>
  <si>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</si>
  <si>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</si>
  <si>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</si>
  <si>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</si>
  <si>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</si>
  <si>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</si>
  <si>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</si>
  <si>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</si>
  <si>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</si>
  <si>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</si>
  <si>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</si>
  <si>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</si>
  <si>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</si>
  <si>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</si>
  <si>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</si>
  <si>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</si>
  <si>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</si>
  <si>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</si>
  <si>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</si>
  <si>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</si>
  <si>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</si>
  <si>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</si>
  <si>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</si>
  <si>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</si>
  <si>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</si>
  <si>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</si>
  <si>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</si>
  <si>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</si>
  <si>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</si>
  <si>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</si>
  <si>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</si>
  <si>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</si>
  <si>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</si>
  <si>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</si>
  <si>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</si>
  <si>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</si>
  <si>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</si>
  <si>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</si>
  <si>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</si>
  <si>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</si>
  <si>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</si>
  <si>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</si>
  <si>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</si>
  <si>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</si>
  <si>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</si>
  <si>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</si>
  <si>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</si>
  <si>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</si>
  <si>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</si>
  <si>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</si>
  <si>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</si>
  <si>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</si>
  <si>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</si>
  <si>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</si>
  <si>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</si>
  <si>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</si>
  <si>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</si>
  <si>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</si>
  <si>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</si>
  <si>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</si>
  <si>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</si>
  <si>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</si>
  <si>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</si>
  <si>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</si>
  <si>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</si>
  <si>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</si>
  <si>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</si>
  <si>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</si>
  <si>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</si>
  <si>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</si>
  <si>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</si>
  <si>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</si>
  <si>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</si>
  <si>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</si>
  <si>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</si>
  <si>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</si>
  <si>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</si>
  <si>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</si>
  <si>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</si>
  <si>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</si>
  <si>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</si>
  <si>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</si>
  <si>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</si>
  <si>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</si>
  <si>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</si>
  <si>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</si>
  <si>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</si>
  <si>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</si>
  <si>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</si>
  <si>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</si>
  <si>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</si>
  <si>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</si>
  <si>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</si>
  <si>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</si>
  <si>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</si>
  <si>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</si>
  <si>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</si>
  <si>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</si>
  <si>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</si>
  <si>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</si>
  <si>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</si>
  <si>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</si>
  <si>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</si>
  <si>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</si>
  <si>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</si>
  <si>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</si>
  <si>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</si>
  <si>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</si>
  <si>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</si>
  <si>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</si>
  <si>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</si>
  <si>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</si>
  <si>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</si>
  <si>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</si>
  <si>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</si>
  <si>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</si>
  <si>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</si>
  <si>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</si>
  <si>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</si>
  <si>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</si>
  <si>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</si>
  <si>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</si>
  <si>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</si>
  <si>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</si>
  <si>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</si>
  <si>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</si>
  <si>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</si>
  <si>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</si>
  <si>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</si>
  <si>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</si>
  <si>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</si>
  <si>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</si>
  <si>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</si>
  <si>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</si>
  <si>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</si>
  <si>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</si>
  <si>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</si>
  <si>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</si>
  <si>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</si>
  <si>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</si>
  <si>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</si>
  <si>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</si>
  <si>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</si>
  <si>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</si>
  <si>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</si>
  <si>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</si>
  <si>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</si>
  <si>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</si>
  <si>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</si>
  <si>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</si>
  <si>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</si>
  <si>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</si>
  <si>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</si>
  <si>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</si>
  <si>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</si>
  <si>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</si>
  <si>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</si>
  <si>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</si>
  <si>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</si>
  <si>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</si>
  <si>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</si>
  <si>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</si>
  <si>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</si>
  <si>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</si>
  <si>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</si>
  <si>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</si>
  <si>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</si>
  <si>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</si>
  <si>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</si>
  <si>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</si>
  <si>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</si>
  <si>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</si>
  <si>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</si>
  <si>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</si>
  <si>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</si>
  <si>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</si>
  <si>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</si>
  <si>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</si>
  <si>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</si>
  <si>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</si>
  <si>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</si>
  <si>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</si>
  <si>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</si>
  <si>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</si>
  <si>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</si>
  <si>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</si>
  <si>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</si>
  <si>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</si>
  <si>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</si>
  <si>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</si>
  <si>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</si>
  <si>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</si>
  <si>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</si>
  <si>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</si>
  <si>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</si>
  <si>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</si>
  <si>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</si>
  <si>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</si>
  <si>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</si>
  <si>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</si>
  <si>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</si>
  <si>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</si>
  <si>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</si>
  <si>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</si>
  <si>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</si>
  <si>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</si>
  <si>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</si>
  <si>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</si>
  <si>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</si>
  <si>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</si>
  <si>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</si>
  <si>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</si>
  <si>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</si>
  <si>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</si>
  <si>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</si>
  <si>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</si>
  <si>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</si>
  <si>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</si>
  <si>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</si>
  <si>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</si>
  <si>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</si>
  <si>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</si>
  <si>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</si>
  <si>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</si>
  <si>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</si>
  <si>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</si>
  <si>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</si>
  <si>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</si>
  <si>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</si>
  <si>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</si>
  <si>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</si>
  <si>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</si>
  <si>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</si>
  <si>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</si>
  <si>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</si>
  <si>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</si>
  <si>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</si>
  <si>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</si>
  <si>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</si>
  <si>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</si>
  <si>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</si>
  <si>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</si>
  <si>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</si>
  <si>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</si>
  <si>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</si>
  <si>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</si>
  <si>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</si>
  <si>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</si>
  <si>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</si>
  <si>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</si>
  <si>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</si>
  <si>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</si>
  <si>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</si>
  <si>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</si>
  <si>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</si>
  <si>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</si>
  <si>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</si>
  <si>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</si>
  <si>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</si>
  <si>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</si>
  <si>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</si>
  <si>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</si>
  <si>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</si>
  <si>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</si>
  <si>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</si>
  <si>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</si>
  <si>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</si>
  <si>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</si>
  <si>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</si>
  <si>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</si>
  <si>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</si>
  <si>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</si>
  <si>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</si>
  <si>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</si>
  <si>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</si>
  <si>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</si>
  <si>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</si>
  <si>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</si>
  <si>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</si>
  <si>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</si>
  <si>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</si>
  <si>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</si>
  <si>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</si>
  <si>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</si>
  <si>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</si>
  <si>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</si>
  <si>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</si>
  <si>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</si>
  <si>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</si>
  <si>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</si>
  <si>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</si>
  <si>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</si>
  <si>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</si>
  <si>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</si>
  <si>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</si>
  <si>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</si>
  <si>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</si>
  <si>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</si>
  <si>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</si>
  <si>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</si>
  <si>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</si>
  <si>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</si>
  <si>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</si>
  <si>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</si>
  <si>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</si>
  <si>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</si>
  <si>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</si>
  <si>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</si>
  <si>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</si>
  <si>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</si>
  <si>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</si>
  <si>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</si>
  <si>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</si>
  <si>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</si>
  <si>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</si>
  <si>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</si>
  <si>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</si>
  <si>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</si>
  <si>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</si>
  <si>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</si>
  <si>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</si>
  <si>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</si>
  <si>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</si>
  <si>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</si>
  <si>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</si>
  <si>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</si>
  <si>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</si>
  <si>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</si>
  <si>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</si>
  <si>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</si>
  <si>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</si>
  <si>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</si>
  <si>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</si>
  <si>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</si>
  <si>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</si>
  <si>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</si>
  <si>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</si>
  <si>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</si>
  <si>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</si>
  <si>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</si>
  <si>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</si>
  <si>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</si>
  <si>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</si>
  <si>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</si>
  <si>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</si>
  <si>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</si>
  <si>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</si>
  <si>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</si>
  <si>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</si>
  <si>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</si>
  <si>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</si>
  <si>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</si>
  <si>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</si>
  <si>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</si>
  <si>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</si>
  <si>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</si>
  <si>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</si>
  <si>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</si>
  <si>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</si>
  <si>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</si>
  <si>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</si>
  <si>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</si>
  <si>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</si>
  <si>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</si>
  <si>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</si>
  <si>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</si>
  <si>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</si>
  <si>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</si>
  <si>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</si>
  <si>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</si>
  <si>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</si>
  <si>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</si>
  <si>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</si>
  <si>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</si>
  <si>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</si>
  <si>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</si>
  <si>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</si>
  <si>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</si>
  <si>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</si>
  <si>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</si>
  <si>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</si>
  <si>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</si>
  <si>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</si>
  <si>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</si>
  <si>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</si>
  <si>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</si>
  <si>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</si>
  <si>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</si>
  <si>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</si>
  <si>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</si>
  <si>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</si>
  <si>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</si>
  <si>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</si>
  <si>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</si>
  <si>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</si>
  <si>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</si>
  <si>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</si>
  <si>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</si>
  <si>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</si>
  <si>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</si>
  <si>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</si>
  <si>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</si>
  <si>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</si>
  <si>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</si>
  <si>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</si>
  <si>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</si>
  <si>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</si>
  <si>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</si>
  <si>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</si>
  <si>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</si>
  <si>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</si>
  <si>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</si>
  <si>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</si>
  <si>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</si>
  <si>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</si>
  <si>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</si>
  <si>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</si>
  <si>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</si>
  <si>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</si>
  <si>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</si>
  <si>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</si>
  <si>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</si>
  <si>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</si>
  <si>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</si>
  <si>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</si>
  <si>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</si>
  <si>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</si>
  <si>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</si>
  <si>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</si>
  <si>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</si>
  <si>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</si>
  <si>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</si>
  <si>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</si>
  <si>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</si>
  <si>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</si>
  <si>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</si>
  <si>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</si>
  <si>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</si>
  <si>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</si>
  <si>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</si>
  <si>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</si>
  <si>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</si>
  <si>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</si>
  <si>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</si>
  <si>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</si>
  <si>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</si>
  <si>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</si>
  <si>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</si>
  <si>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</si>
  <si>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</si>
  <si>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</si>
  <si>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</si>
  <si>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</si>
  <si>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</si>
  <si>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</si>
  <si>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</si>
  <si>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</si>
  <si>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</si>
  <si>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</si>
  <si>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</si>
  <si>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</si>
  <si>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</si>
  <si>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</si>
  <si>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</si>
  <si>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</si>
  <si>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</si>
  <si>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</si>
  <si>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</si>
  <si>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</si>
  <si>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</si>
  <si>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</si>
  <si>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</si>
  <si>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</si>
  <si>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</si>
  <si>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</si>
  <si>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</si>
  <si>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</si>
  <si>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</si>
  <si>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</si>
  <si>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</si>
  <si>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</si>
  <si>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</si>
  <si>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</si>
  <si>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</si>
  <si>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</si>
  <si>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</si>
  <si>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</si>
  <si>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</si>
  <si>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</si>
  <si>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</si>
  <si>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</si>
  <si>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</si>
  <si>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</si>
  <si>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</si>
  <si>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</si>
  <si>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</si>
  <si>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</si>
  <si>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</si>
  <si>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</si>
  <si>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</si>
  <si>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</si>
  <si>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</si>
  <si>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</si>
  <si>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</si>
  <si>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</si>
  <si>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</si>
  <si>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</si>
  <si>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</si>
  <si>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</si>
  <si>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</si>
  <si>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</si>
  <si>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</si>
  <si>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</si>
  <si>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</si>
  <si>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</si>
  <si>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</si>
  <si>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</si>
  <si>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</si>
  <si>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</si>
  <si>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</si>
  <si>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</si>
  <si>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</si>
  <si>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</si>
  <si>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</si>
  <si>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</si>
  <si>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</si>
  <si>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</si>
  <si>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</si>
  <si>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</si>
  <si>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</si>
  <si>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</si>
  <si>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</si>
  <si>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</si>
  <si>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</si>
  <si>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</si>
  <si>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</si>
  <si>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</si>
  <si>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</si>
  <si>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</si>
  <si>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</si>
  <si>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</si>
  <si>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</si>
  <si>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</si>
  <si>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</si>
  <si>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</si>
  <si>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</si>
  <si>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</si>
  <si>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</si>
  <si>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</si>
  <si>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</si>
  <si>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</si>
  <si>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</si>
  <si>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</si>
  <si>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</si>
  <si>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</si>
  <si>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</si>
  <si>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</si>
  <si>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</si>
  <si>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</si>
  <si>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</si>
  <si>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</si>
  <si>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</si>
  <si>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</si>
  <si>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</si>
  <si>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</si>
  <si>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</si>
  <si>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</si>
  <si>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</si>
  <si>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</si>
  <si>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</si>
  <si>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</si>
  <si>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</si>
  <si>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</si>
  <si>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</si>
  <si>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</si>
  <si>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</si>
  <si>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</si>
  <si>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</si>
  <si>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</si>
  <si>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</si>
  <si>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</si>
  <si>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</si>
  <si>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</si>
  <si>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</si>
  <si>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</si>
  <si>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</si>
  <si>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</si>
  <si>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</si>
  <si>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</si>
  <si>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</si>
  <si>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</si>
  <si>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</si>
  <si>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</si>
  <si>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</si>
  <si>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</si>
  <si>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</si>
  <si>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</si>
  <si>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</si>
  <si>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</si>
  <si>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</si>
  <si>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</si>
  <si>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</si>
  <si>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</si>
  <si>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</si>
  <si>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</si>
  <si>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</si>
  <si>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</si>
  <si>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</si>
  <si>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</si>
  <si>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</si>
  <si>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</si>
  <si>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</si>
  <si>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</si>
  <si>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</si>
  <si>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</si>
  <si>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</si>
  <si>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</si>
  <si>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</si>
  <si>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</si>
  <si>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</si>
  <si>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</si>
  <si>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</si>
  <si>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</si>
  <si>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</si>
  <si>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</si>
  <si>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</si>
  <si>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</si>
  <si>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</si>
  <si>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</si>
  <si>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</si>
  <si>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</si>
  <si>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</si>
  <si>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</si>
  <si>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</si>
  <si>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</si>
  <si>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</si>
  <si>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</si>
  <si>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</si>
  <si>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</si>
  <si>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</si>
  <si>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</si>
  <si>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</si>
  <si>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</si>
  <si>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</si>
  <si>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</si>
  <si>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</si>
  <si>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</si>
  <si>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</si>
  <si>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</si>
  <si>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</si>
  <si>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</si>
  <si>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</si>
  <si>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</si>
  <si>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</si>
  <si>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</si>
  <si>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</si>
  <si>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</si>
  <si>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</si>
  <si>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</si>
  <si>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</si>
  <si>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</si>
  <si>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</si>
  <si>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</si>
  <si>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</si>
  <si>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</si>
  <si>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</si>
  <si>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</si>
  <si>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</si>
  <si>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</si>
  <si>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</si>
  <si>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</si>
  <si>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</si>
  <si>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</si>
  <si>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</si>
  <si>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</si>
  <si>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</si>
  <si>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</si>
  <si>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</si>
  <si>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</si>
  <si>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</si>
  <si>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</si>
  <si>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</si>
  <si>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</si>
  <si>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</si>
  <si>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</si>
  <si>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</si>
  <si>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</si>
  <si>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</si>
  <si>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</si>
  <si>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</si>
  <si>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</si>
  <si>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</si>
  <si>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</si>
  <si>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</si>
  <si>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</si>
  <si>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</si>
  <si>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</si>
  <si>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</si>
  <si>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</si>
  <si>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</si>
  <si>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</si>
  <si>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</si>
  <si>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</si>
  <si>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</si>
  <si>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</si>
  <si>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</si>
  <si>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</si>
  <si>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</si>
  <si>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</si>
  <si>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</si>
  <si>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</si>
  <si>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</si>
  <si>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</si>
  <si>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</si>
  <si>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</si>
  <si>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</si>
  <si>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</si>
  <si>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</si>
  <si>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</si>
  <si>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</si>
  <si>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</si>
  <si>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</si>
  <si>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</si>
  <si>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</si>
  <si>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</si>
  <si>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</si>
  <si>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</si>
  <si>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</si>
  <si>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</si>
  <si>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</si>
  <si>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</si>
  <si>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</si>
  <si>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</si>
  <si>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</si>
  <si>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</si>
  <si>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</si>
  <si>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</si>
  <si>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</si>
  <si>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</si>
  <si>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</si>
  <si>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</si>
  <si>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</si>
  <si>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</si>
  <si>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</si>
  <si>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</si>
  <si>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</si>
  <si>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</si>
  <si>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</si>
  <si>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</si>
  <si>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</si>
  <si>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</si>
  <si>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</si>
  <si>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</si>
  <si>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</si>
  <si>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</si>
  <si>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</si>
  <si>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</si>
  <si>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</si>
  <si>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</si>
  <si>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</si>
  <si>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</si>
  <si>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</si>
  <si>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</si>
  <si>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</si>
  <si>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</si>
  <si>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</si>
  <si>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</si>
  <si>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</si>
  <si>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</si>
  <si>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</si>
  <si>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</si>
  <si>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</si>
  <si>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</si>
  <si>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</si>
  <si>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</si>
  <si>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</si>
  <si>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</si>
  <si>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</si>
  <si>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</si>
  <si>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</si>
  <si>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</si>
  <si>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</si>
  <si>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</si>
  <si>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</si>
  <si>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</si>
  <si>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</si>
  <si>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</si>
  <si>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</si>
  <si>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</si>
  <si>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</si>
  <si>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</si>
  <si>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</si>
  <si>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</si>
  <si>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</si>
  <si>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</si>
  <si>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</si>
  <si>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</si>
  <si>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</si>
  <si>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</si>
  <si>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</si>
  <si>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</si>
  <si>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</si>
  <si>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</si>
  <si>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</si>
  <si>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</si>
  <si>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</si>
  <si>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</si>
  <si>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</si>
  <si>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</si>
  <si>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</si>
  <si>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</si>
  <si>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</si>
  <si>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</si>
  <si>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</si>
  <si>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</si>
  <si>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</si>
  <si>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</si>
  <si>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</si>
  <si>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</si>
  <si>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</si>
  <si>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</si>
  <si>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</si>
  <si>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</si>
  <si>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</si>
  <si>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</si>
  <si>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</si>
  <si>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</si>
  <si>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</si>
  <si>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</si>
  <si>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</si>
  <si>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</si>
  <si>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</si>
  <si>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</si>
  <si>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</si>
  <si>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</si>
  <si>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</si>
  <si>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</si>
  <si>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</si>
  <si>
    <t>VALOR DE 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</si>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</sst>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10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180" dataDxfId="179">
  <autoFilter ref="A6:A7"/>
  <tableColumns count="1">
    <tableColumn id="1" name="DIRETORIO DA CONSULTA (POWER QUERY)" dataDxfId="17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U40"/>
  <sheetViews>
    <sheetView showGridLines="0" showRowColHeaders="0" tabSelected="1" workbookViewId="0">
      <pane xSplit="3" ySplit="4" topLeftCell="DU5" activePane="bottomRight" state="frozen"/>
      <selection pane="topRight" activeCell="D1" sqref="D1"/>
      <selection pane="bottomLeft" activeCell="A5" sqref="A5"/>
      <selection pane="bottomRight" activeCell="C5" sqref="C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8.42578125" style="6" bestFit="1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5.85546875" style="6" customWidth="1"/>
    <col min="82" max="82" width="17.7109375" style="6" customWidth="1"/>
    <col min="83" max="83" width="18.7109375" style="6" customWidth="1"/>
    <col min="84" max="84" width="18.140625" style="6" customWidth="1"/>
    <col min="85" max="85" width="16.140625" style="6" customWidth="1"/>
    <col min="86" max="86" width="18.140625" style="6" customWidth="1"/>
    <col min="87" max="87" width="19.140625" style="6" customWidth="1"/>
    <col min="88" max="88" width="20.7109375" style="6" customWidth="1"/>
    <col min="89" max="89" width="19.7109375" style="6" customWidth="1"/>
    <col min="90" max="90" width="20.5703125" style="6" customWidth="1" outlineLevel="1"/>
    <col min="91" max="91" width="25.140625" style="6" customWidth="1" outlineLevel="1"/>
    <col min="92" max="92" width="17.7109375" style="6" customWidth="1" outlineLevel="1"/>
    <col min="93" max="93" width="18.7109375" style="6" customWidth="1" outlineLevel="1"/>
    <col min="94" max="94" width="18.140625" style="6" customWidth="1" outlineLevel="1"/>
    <col min="95" max="95" width="20.42578125" style="6" customWidth="1" outlineLevel="1"/>
    <col min="96" max="96" width="16" style="6" customWidth="1" outlineLevel="1"/>
    <col min="97" max="97" width="19.85546875" style="6" customWidth="1" outlineLevel="1"/>
    <col min="98" max="98" width="31.140625" style="6" customWidth="1"/>
    <col min="99" max="99" width="20.5703125" style="6" hidden="1" customWidth="1" outlineLevel="1"/>
    <col min="100" max="100" width="18.5703125" style="6" hidden="1" customWidth="1" outlineLevel="1"/>
    <col min="101" max="101" width="20.7109375" style="6" hidden="1" customWidth="1" outlineLevel="1"/>
    <col min="102" max="102" width="20.5703125" style="6" hidden="1" customWidth="1" outlineLevel="1"/>
    <col min="103" max="103" width="23.42578125" style="6" customWidth="1" collapsed="1"/>
    <col min="104" max="104" width="22" style="82" customWidth="1"/>
    <col min="105" max="105" width="22.42578125" style="82" customWidth="1"/>
    <col min="106" max="106" width="15.85546875" style="6" customWidth="1"/>
    <col min="107" max="107" width="20.5703125" style="6" customWidth="1"/>
    <col min="108" max="108" width="25.7109375" style="6" bestFit="1" customWidth="1"/>
    <col min="109" max="109" width="17.85546875" style="6" customWidth="1"/>
    <col min="110" max="110" width="16.7109375" style="6" customWidth="1"/>
    <col min="111" max="112" width="22.42578125" style="6" customWidth="1"/>
    <col min="113" max="113" width="17.85546875" style="6" customWidth="1"/>
    <col min="114" max="114" width="17.42578125" style="6" customWidth="1"/>
    <col min="115" max="115" width="28.5703125" style="6" customWidth="1"/>
    <col min="116" max="116" width="17.42578125" style="6" customWidth="1"/>
    <col min="117" max="117" width="18.5703125" style="6" customWidth="1"/>
    <col min="118" max="118" width="16.7109375" style="6" customWidth="1"/>
    <col min="119" max="120" width="17.7109375" style="6" customWidth="1"/>
    <col min="121" max="121" width="23" style="6" customWidth="1"/>
    <col min="122" max="122" width="20.85546875" style="6" customWidth="1"/>
    <col min="123" max="123" width="18.5703125" style="6" customWidth="1"/>
    <col min="124" max="124" width="18.42578125" style="6" customWidth="1"/>
    <col min="125" max="125" width="75.7109375" style="1" customWidth="1"/>
    <col min="126" max="126" width="22" style="1" customWidth="1"/>
    <col min="127" max="16384" width="9.140625" style="1"/>
  </cols>
  <sheetData>
    <row r="1" spans="1:125" s="34" customFormat="1" x14ac:dyDescent="0.2">
      <c r="A1" s="7" t="s">
        <v>28</v>
      </c>
      <c r="K1" s="100" t="s">
        <v>170</v>
      </c>
      <c r="AM1" s="100" t="s">
        <v>127</v>
      </c>
      <c r="AX1" s="41"/>
      <c r="BG1" s="76"/>
      <c r="BI1" s="76"/>
      <c r="BS1" s="97"/>
      <c r="BU1" s="76"/>
      <c r="CE1" s="76"/>
      <c r="CF1" s="76"/>
      <c r="CT1" s="100" t="s">
        <v>876</v>
      </c>
      <c r="CY1" s="98" t="s">
        <v>699</v>
      </c>
      <c r="CZ1" s="33"/>
      <c r="DA1" s="33"/>
      <c r="DD1" s="94"/>
      <c r="DG1" s="76"/>
      <c r="DH1" s="76"/>
      <c r="DI1" s="76"/>
      <c r="DO1" s="62"/>
      <c r="DS1" s="89"/>
      <c r="DT1" s="89"/>
      <c r="DU1" s="56"/>
    </row>
    <row r="2" spans="1:125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100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100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97"/>
      <c r="BT2" s="34"/>
      <c r="BU2" s="76" t="s">
        <v>509</v>
      </c>
      <c r="BV2" s="34"/>
      <c r="BW2" s="34"/>
      <c r="BX2" s="34"/>
      <c r="BY2" s="34"/>
      <c r="BZ2" s="34"/>
      <c r="CA2" s="34"/>
      <c r="CB2" s="34"/>
      <c r="CC2" s="34"/>
      <c r="CD2" s="34"/>
      <c r="CE2" s="76"/>
      <c r="CF2" s="76"/>
      <c r="CG2" s="34"/>
      <c r="CH2" s="34"/>
      <c r="CI2" s="34"/>
      <c r="CJ2" s="34"/>
      <c r="CK2" s="34"/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34" t="s">
        <v>509</v>
      </c>
      <c r="CT2" s="100"/>
      <c r="CU2" s="34"/>
      <c r="CV2" s="34"/>
      <c r="CW2" s="34"/>
      <c r="CX2" s="34"/>
      <c r="CY2" s="98"/>
      <c r="CZ2" s="33"/>
      <c r="DA2" s="33"/>
      <c r="DB2" s="34"/>
      <c r="DC2" s="34"/>
      <c r="DD2" s="94"/>
      <c r="DE2" s="34"/>
      <c r="DF2" s="34"/>
      <c r="DG2" s="76"/>
      <c r="DH2" s="76"/>
      <c r="DI2" s="76"/>
      <c r="DJ2" s="34" t="s">
        <v>509</v>
      </c>
      <c r="DK2" s="34"/>
      <c r="DL2" s="34"/>
      <c r="DM2" s="34"/>
      <c r="DN2" s="34"/>
      <c r="DO2" s="62"/>
      <c r="DP2" s="34"/>
      <c r="DQ2" s="34"/>
      <c r="DR2" s="34"/>
      <c r="DS2" s="89"/>
      <c r="DT2" s="89"/>
    </row>
    <row r="3" spans="1:12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99" t="s">
        <v>155</v>
      </c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96" t="s">
        <v>402</v>
      </c>
      <c r="BT3" s="21" t="s">
        <v>995</v>
      </c>
      <c r="BU3" s="77" t="s">
        <v>869</v>
      </c>
      <c r="BV3" s="21" t="s">
        <v>465</v>
      </c>
      <c r="BW3" s="21" t="s">
        <v>467</v>
      </c>
      <c r="BX3" s="21" t="s">
        <v>475</v>
      </c>
      <c r="BY3" s="21" t="s">
        <v>469</v>
      </c>
      <c r="BZ3" s="21" t="s">
        <v>480</v>
      </c>
      <c r="CA3" s="21" t="s">
        <v>481</v>
      </c>
      <c r="CB3" s="21" t="s">
        <v>484</v>
      </c>
      <c r="CC3" s="21" t="s">
        <v>486</v>
      </c>
      <c r="CD3" s="21" t="s">
        <v>488</v>
      </c>
      <c r="CE3" s="77" t="s">
        <v>871</v>
      </c>
      <c r="CF3" s="77" t="s">
        <v>873</v>
      </c>
      <c r="CG3" s="21" t="s">
        <v>491</v>
      </c>
      <c r="CH3" s="21" t="s">
        <v>493</v>
      </c>
      <c r="CI3" s="21" t="s">
        <v>495</v>
      </c>
      <c r="CJ3" s="21" t="s">
        <v>497</v>
      </c>
      <c r="CK3" s="21" t="s">
        <v>499</v>
      </c>
      <c r="CL3" s="81" t="s">
        <v>613</v>
      </c>
      <c r="CM3" s="81" t="s">
        <v>881</v>
      </c>
      <c r="CN3" s="81" t="s">
        <v>882</v>
      </c>
      <c r="CO3" s="81" t="s">
        <v>884</v>
      </c>
      <c r="CP3" s="81" t="s">
        <v>886</v>
      </c>
      <c r="CQ3" s="81" t="s">
        <v>889</v>
      </c>
      <c r="CR3" s="81" t="s">
        <v>890</v>
      </c>
      <c r="CS3" s="81" t="s">
        <v>879</v>
      </c>
      <c r="CT3" s="24"/>
      <c r="CU3" s="27" t="s">
        <v>616</v>
      </c>
      <c r="CV3" s="27" t="s">
        <v>617</v>
      </c>
      <c r="CW3" s="27" t="s">
        <v>700</v>
      </c>
      <c r="CX3" s="27" t="s">
        <v>701</v>
      </c>
      <c r="CY3" s="33"/>
      <c r="CZ3" s="33" t="s">
        <v>892</v>
      </c>
      <c r="DA3" s="33" t="s">
        <v>894</v>
      </c>
      <c r="DB3" s="27" t="s">
        <v>702</v>
      </c>
      <c r="DC3" s="27" t="s">
        <v>704</v>
      </c>
      <c r="DD3" s="93" t="s">
        <v>911</v>
      </c>
      <c r="DE3" s="27" t="s">
        <v>706</v>
      </c>
      <c r="DF3" s="27" t="s">
        <v>708</v>
      </c>
      <c r="DG3" s="77" t="s">
        <v>896</v>
      </c>
      <c r="DH3" s="77" t="s">
        <v>898</v>
      </c>
      <c r="DI3" s="77" t="s">
        <v>900</v>
      </c>
      <c r="DJ3" s="27" t="s">
        <v>710</v>
      </c>
      <c r="DK3" s="27" t="s">
        <v>712</v>
      </c>
      <c r="DL3" s="59" t="s">
        <v>714</v>
      </c>
      <c r="DM3" s="27" t="s">
        <v>716</v>
      </c>
      <c r="DN3" s="27" t="s">
        <v>717</v>
      </c>
      <c r="DO3" s="63" t="s">
        <v>719</v>
      </c>
      <c r="DP3" s="63" t="s">
        <v>836</v>
      </c>
      <c r="DQ3" s="27" t="s">
        <v>721</v>
      </c>
      <c r="DR3" s="27" t="s">
        <v>723</v>
      </c>
      <c r="DS3" s="88" t="s">
        <v>984</v>
      </c>
      <c r="DT3" s="88" t="s">
        <v>985</v>
      </c>
      <c r="DU3" s="56" t="s">
        <v>32</v>
      </c>
    </row>
    <row r="4" spans="1:12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994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487</v>
      </c>
      <c r="CD4" s="14" t="s">
        <v>489</v>
      </c>
      <c r="CE4" s="14" t="s">
        <v>872</v>
      </c>
      <c r="CF4" s="14" t="s">
        <v>874</v>
      </c>
      <c r="CG4" s="14" t="s">
        <v>492</v>
      </c>
      <c r="CH4" s="14" t="s">
        <v>494</v>
      </c>
      <c r="CI4" s="14" t="s">
        <v>496</v>
      </c>
      <c r="CJ4" s="14" t="s">
        <v>498</v>
      </c>
      <c r="CK4" s="14" t="s">
        <v>500</v>
      </c>
      <c r="CL4" s="14" t="s">
        <v>875</v>
      </c>
      <c r="CM4" s="14" t="s">
        <v>880</v>
      </c>
      <c r="CN4" s="14" t="s">
        <v>883</v>
      </c>
      <c r="CO4" s="14" t="s">
        <v>885</v>
      </c>
      <c r="CP4" s="14" t="s">
        <v>887</v>
      </c>
      <c r="CQ4" s="14" t="s">
        <v>888</v>
      </c>
      <c r="CR4" s="14" t="s">
        <v>891</v>
      </c>
      <c r="CS4" s="14" t="s">
        <v>878</v>
      </c>
      <c r="CT4" s="14"/>
      <c r="CU4" s="14" t="s">
        <v>619</v>
      </c>
      <c r="CV4" s="14" t="s">
        <v>618</v>
      </c>
      <c r="CW4" s="14" t="s">
        <v>614</v>
      </c>
      <c r="CX4" s="14" t="s">
        <v>615</v>
      </c>
      <c r="CY4" s="14"/>
      <c r="CZ4" s="14" t="s">
        <v>893</v>
      </c>
      <c r="DA4" s="14" t="s">
        <v>895</v>
      </c>
      <c r="DB4" s="14" t="s">
        <v>703</v>
      </c>
      <c r="DC4" s="14" t="s">
        <v>705</v>
      </c>
      <c r="DD4" s="14" t="s">
        <v>992</v>
      </c>
      <c r="DE4" s="14" t="s">
        <v>707</v>
      </c>
      <c r="DF4" s="14" t="s">
        <v>709</v>
      </c>
      <c r="DG4" s="14" t="s">
        <v>897</v>
      </c>
      <c r="DH4" s="14" t="s">
        <v>899</v>
      </c>
      <c r="DI4" s="14" t="s">
        <v>901</v>
      </c>
      <c r="DJ4" s="14" t="s">
        <v>711</v>
      </c>
      <c r="DK4" s="14" t="s">
        <v>713</v>
      </c>
      <c r="DL4" s="14" t="s">
        <v>715</v>
      </c>
      <c r="DM4" s="14" t="s">
        <v>713</v>
      </c>
      <c r="DN4" s="14" t="s">
        <v>718</v>
      </c>
      <c r="DO4" s="14" t="s">
        <v>720</v>
      </c>
      <c r="DP4" s="14" t="s">
        <v>837</v>
      </c>
      <c r="DQ4" s="14" t="s">
        <v>722</v>
      </c>
      <c r="DR4" s="14" t="s">
        <v>724</v>
      </c>
      <c r="DS4" s="14" t="s">
        <v>982</v>
      </c>
      <c r="DT4" s="14" t="s">
        <v>983</v>
      </c>
      <c r="DU4" s="5" t="s">
        <v>835</v>
      </c>
    </row>
    <row r="5" spans="1:125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44"/>
      <c r="BA5" s="47"/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40</v>
      </c>
      <c r="BT5" s="101">
        <v>25000</v>
      </c>
      <c r="BU5" s="43" t="str">
        <f>IFERROR(IF(INDEX(Estrutura_P01[#All],MATCH($C5,Estrutura_P01[[#All],[txtMAKT-MAKTX]],0),MATCH(BU$3,Estrutura_P01[#Headers],0))=0,"",INDEX(Estrutura_P01[#All],MATCH($C5,Estrutura_P01[[#All],[txtMAKT-MAKTX]],0),MATCH(BU$3,Estrutura_P01[#Headers],0))),"")</f>
        <v/>
      </c>
      <c r="BV5" s="45">
        <v>0</v>
      </c>
      <c r="BW5" s="45" t="s">
        <v>473</v>
      </c>
      <c r="BX5" s="45"/>
      <c r="BY5" s="44"/>
      <c r="BZ5" s="49" t="str">
        <f>G5</f>
        <v>0011</v>
      </c>
      <c r="CA5" s="49" t="str">
        <f>G5</f>
        <v>0011</v>
      </c>
      <c r="CB5" s="45">
        <v>75</v>
      </c>
      <c r="CC5" s="44">
        <v>1</v>
      </c>
      <c r="CD5" s="50" t="s">
        <v>490</v>
      </c>
      <c r="CE5" s="80">
        <v>2</v>
      </c>
      <c r="CF5" s="80">
        <v>7</v>
      </c>
      <c r="CG5" s="95" t="str">
        <f>IF(AQ5&lt;&gt;68,"ZM","")</f>
        <v>ZM</v>
      </c>
      <c r="CH5" s="95">
        <f>IF(AQ5&lt;&gt;68,2,"")</f>
        <v>2</v>
      </c>
      <c r="CI5" s="95">
        <f>IF(AQ5&lt;&gt;68,42,"")</f>
        <v>42</v>
      </c>
      <c r="CJ5" s="95">
        <f>IF(AQ5&lt;&gt;68,10,"")</f>
        <v>10</v>
      </c>
      <c r="CK5" s="43" t="str">
        <f>"K00_C_"&amp;F5</f>
        <v>K00_C_0581</v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S5" s="43" t="str">
        <f>IFERROR(IF(INDEX(Estrutura_P01[#All],MATCH($C5,Estrutura_P01[[#All],[txtMAKT-MAKTX]],0),MATCH(CS$3,Estrutura_P01[#Headers],0))=0,"",INDEX(Estrutura_P01[#All],MATCH($C5,Estrutura_P01[[#All],[txtMAKT-MAKTX]],0),MATCH(CS$3,Estrutura_P01[#Headers],0))),"")</f>
        <v/>
      </c>
      <c r="CU5" s="43" t="str">
        <f>IF(CV5&lt;&gt;0,1,"")</f>
        <v/>
      </c>
      <c r="CV5" s="55"/>
      <c r="CW5" s="43" t="str">
        <f ca="1">IF(CV5&lt;&gt;0,TEXT(TODAY(),"dd.mm.aaaa"),"")</f>
        <v/>
      </c>
      <c r="CX5" s="43" t="str">
        <f>IF(CV5&lt;&gt;0,"31.12.9999","")</f>
        <v/>
      </c>
      <c r="CZ5" s="44"/>
      <c r="DA5" s="44">
        <v>2</v>
      </c>
      <c r="DB5" s="44">
        <v>1</v>
      </c>
      <c r="DC5" s="44"/>
      <c r="DD5" s="90" t="str">
        <f>IF(AQ5=68,"MP","")</f>
        <v/>
      </c>
      <c r="DE5" s="43">
        <f>IF(OR(AN5="M",AN5="KG"),0.01,1)</f>
        <v>0.01</v>
      </c>
      <c r="DF5" s="43" t="str">
        <f>AN5</f>
        <v>KG</v>
      </c>
      <c r="DG5" s="44">
        <v>1</v>
      </c>
      <c r="DH5" s="50" t="s">
        <v>223</v>
      </c>
      <c r="DI5" s="50" t="s">
        <v>902</v>
      </c>
      <c r="DJ5" s="43" t="str">
        <f>IFERROR(IF(INDEX(Estrutura_P01[#All],MATCH($C5,Estrutura_P01[[#All],[txtMAKT-MAKTX]],0),MATCH(DJ$3,Estrutura_P01[#Headers],0))=0,"",INDEX(Estrutura_P01[#All],MATCH($C5,Estrutura_P01[[#All],[txtMAKT-MAKTX]],0),MATCH(DJ$3,Estrutura_P01[#Headers],0))),"")</f>
        <v/>
      </c>
      <c r="DK5" s="44">
        <v>1000</v>
      </c>
      <c r="DL5" s="60">
        <v>0</v>
      </c>
      <c r="DM5" s="44"/>
      <c r="DN5" s="44">
        <v>1</v>
      </c>
      <c r="DO5" s="44">
        <v>0</v>
      </c>
      <c r="DP5" s="44" t="s">
        <v>862</v>
      </c>
      <c r="DQ5" s="45">
        <v>0</v>
      </c>
      <c r="DR5" s="44">
        <v>1000</v>
      </c>
      <c r="DS5" s="91" t="str">
        <f>IF(AQ5=68,1,IFERROR(VLOOKUP(CM5,'Listas de Dados'!BX:BY,2,0),""))</f>
        <v/>
      </c>
      <c r="DT5" s="90" t="str">
        <f ca="1">IF(DS5&lt;&gt;"",TEXT(TODAY(),"DD.MM.AAAA"),"")</f>
        <v/>
      </c>
      <c r="DU5" s="65"/>
    </row>
    <row r="6" spans="1:125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44"/>
      <c r="BA6" s="47"/>
      <c r="BB6" s="50"/>
      <c r="BC6" s="50">
        <v>1</v>
      </c>
      <c r="BD6" s="50" t="s">
        <v>192</v>
      </c>
      <c r="BE6" s="95" t="str">
        <f t="shared" ref="BE6:BE40" si="4">IF(AQ6&lt;&gt;68,"01","20")</f>
        <v>01</v>
      </c>
      <c r="BF6" s="95" t="str">
        <f t="shared" ref="BF6:BF40" si="5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6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7">RIGHT(F6,3)</f>
        <v>581</v>
      </c>
      <c r="BS6" s="45" t="s">
        <v>40</v>
      </c>
      <c r="BT6" s="101">
        <v>25000</v>
      </c>
      <c r="BU6" s="43" t="str">
        <f>IFERROR(IF(INDEX(Estrutura_P01[#All],MATCH($C6,Estrutura_P01[[#All],[txtMAKT-MAKTX]],0),MATCH(BU$3,Estrutura_P01[#Headers],0))=0,"",INDEX(Estrutura_P01[#All],MATCH($C6,Estrutura_P01[[#All],[txtMAKT-MAKTX]],0),MATCH(BU$3,Estrutura_P01[#Headers],0))),"")</f>
        <v/>
      </c>
      <c r="BV6" s="45">
        <v>0</v>
      </c>
      <c r="BW6" s="45" t="s">
        <v>473</v>
      </c>
      <c r="BX6" s="45"/>
      <c r="BY6" s="44"/>
      <c r="BZ6" s="49" t="str">
        <f t="shared" ref="BZ6:BZ40" si="8">G6</f>
        <v>0011</v>
      </c>
      <c r="CA6" s="49" t="str">
        <f t="shared" ref="CA6:CA40" si="9">G6</f>
        <v>0011</v>
      </c>
      <c r="CB6" s="45">
        <v>75</v>
      </c>
      <c r="CC6" s="44">
        <v>1</v>
      </c>
      <c r="CD6" s="50" t="s">
        <v>490</v>
      </c>
      <c r="CE6" s="80">
        <v>2</v>
      </c>
      <c r="CF6" s="80">
        <v>7</v>
      </c>
      <c r="CG6" s="95" t="str">
        <f t="shared" ref="CG6:CG40" si="10">IF(AQ6&lt;&gt;68,"ZM","")</f>
        <v>ZM</v>
      </c>
      <c r="CH6" s="95">
        <f t="shared" ref="CH6:CH40" si="11">IF(AQ6&lt;&gt;68,2,"")</f>
        <v>2</v>
      </c>
      <c r="CI6" s="95">
        <f t="shared" ref="CI6:CI40" si="12">IF(AQ6&lt;&gt;68,42,"")</f>
        <v>42</v>
      </c>
      <c r="CJ6" s="95">
        <f t="shared" ref="CJ6:CJ40" si="13">IF(AQ6&lt;&gt;68,10,"")</f>
        <v>10</v>
      </c>
      <c r="CK6" s="43" t="str">
        <f t="shared" ref="CK6:CK40" si="14">"K00_C_"&amp;F6</f>
        <v>K00_C_0581</v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S6" s="43" t="str">
        <f>IFERROR(IF(INDEX(Estrutura_P01[#All],MATCH($C6,Estrutura_P01[[#All],[txtMAKT-MAKTX]],0),MATCH(CS$3,Estrutura_P01[#Headers],0))=0,"",INDEX(Estrutura_P01[#All],MATCH($C6,Estrutura_P01[[#All],[txtMAKT-MAKTX]],0),MATCH(CS$3,Estrutura_P01[#Headers],0))),"")</f>
        <v/>
      </c>
      <c r="CU6" s="43" t="str">
        <f t="shared" ref="CU6:CU40" si="15">IF(CV6&lt;&gt;0,1,"")</f>
        <v/>
      </c>
      <c r="CV6" s="55"/>
      <c r="CW6" s="43" t="str">
        <f t="shared" ref="CW6:CW40" ca="1" si="16">IF(CV6&lt;&gt;0,TEXT(TODAY(),"dd.mm.aaaa"),"")</f>
        <v/>
      </c>
      <c r="CX6" s="43" t="str">
        <f t="shared" ref="CX6:CX40" si="17">IF(CV6&lt;&gt;0,"31.12.9999","")</f>
        <v/>
      </c>
      <c r="CZ6" s="44"/>
      <c r="DA6" s="44">
        <v>2</v>
      </c>
      <c r="DB6" s="44">
        <v>1</v>
      </c>
      <c r="DC6" s="44"/>
      <c r="DD6" s="90" t="str">
        <f t="shared" ref="DD6:DD40" si="18">IF(AQ6=68,"MP","")</f>
        <v/>
      </c>
      <c r="DE6" s="43">
        <f t="shared" ref="DE6:DE40" si="19">IF(OR(AN6="M",AN6="KG"),0.01,1)</f>
        <v>0.01</v>
      </c>
      <c r="DF6" s="43" t="str">
        <f t="shared" ref="DF6:DF40" si="20">AN6</f>
        <v>KG</v>
      </c>
      <c r="DG6" s="44">
        <v>1</v>
      </c>
      <c r="DH6" s="50" t="s">
        <v>223</v>
      </c>
      <c r="DI6" s="50" t="s">
        <v>902</v>
      </c>
      <c r="DJ6" s="43" t="str">
        <f>IFERROR(IF(INDEX(Estrutura_P01[#All],MATCH($C6,Estrutura_P01[[#All],[txtMAKT-MAKTX]],0),MATCH(DJ$3,Estrutura_P01[#Headers],0))=0,"",INDEX(Estrutura_P01[#All],MATCH($C6,Estrutura_P01[[#All],[txtMAKT-MAKTX]],0),MATCH(DJ$3,Estrutura_P01[#Headers],0))),"")</f>
        <v/>
      </c>
      <c r="DK6" s="44">
        <v>1000</v>
      </c>
      <c r="DL6" s="60">
        <v>0</v>
      </c>
      <c r="DM6" s="44"/>
      <c r="DN6" s="44">
        <v>1</v>
      </c>
      <c r="DO6" s="44">
        <v>0</v>
      </c>
      <c r="DP6" s="44" t="s">
        <v>862</v>
      </c>
      <c r="DQ6" s="45">
        <v>0</v>
      </c>
      <c r="DR6" s="44">
        <v>1000</v>
      </c>
      <c r="DS6" s="91" t="str">
        <f>IF(AQ6=68,1,IFERROR(VLOOKUP(CM6,'Listas de Dados'!BX:BY,2,0),""))</f>
        <v/>
      </c>
      <c r="DT6" s="90" t="str">
        <f t="shared" ref="DT6:DT40" ca="1" si="21">IF(DS6&lt;&gt;"",TEXT(TODAY(),"DD.MM.AAAA"),"")</f>
        <v/>
      </c>
      <c r="DU6" s="65"/>
    </row>
    <row r="7" spans="1:125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44"/>
      <c r="BA7" s="47"/>
      <c r="BB7" s="50"/>
      <c r="BC7" s="50">
        <v>1</v>
      </c>
      <c r="BD7" s="50" t="s">
        <v>192</v>
      </c>
      <c r="BE7" s="95" t="str">
        <f t="shared" si="4"/>
        <v>01</v>
      </c>
      <c r="BF7" s="95" t="str">
        <f t="shared" si="5"/>
        <v>NORM</v>
      </c>
      <c r="BG7" s="44">
        <v>1</v>
      </c>
      <c r="BH7" s="44">
        <v>1</v>
      </c>
      <c r="BI7" s="44">
        <v>1</v>
      </c>
      <c r="BJ7" s="95" t="str">
        <f t="shared" si="6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7"/>
        <v>581</v>
      </c>
      <c r="BS7" s="45" t="s">
        <v>40</v>
      </c>
      <c r="BT7" s="101">
        <v>25000</v>
      </c>
      <c r="BU7" s="43" t="str">
        <f>IFERROR(IF(INDEX(Estrutura_P01[#All],MATCH($C7,Estrutura_P01[[#All],[txtMAKT-MAKTX]],0),MATCH(BU$3,Estrutura_P01[#Headers],0))=0,"",INDEX(Estrutura_P01[#All],MATCH($C7,Estrutura_P01[[#All],[txtMAKT-MAKTX]],0),MATCH(BU$3,Estrutura_P01[#Headers],0))),"")</f>
        <v/>
      </c>
      <c r="BV7" s="45">
        <v>0</v>
      </c>
      <c r="BW7" s="45" t="s">
        <v>473</v>
      </c>
      <c r="BX7" s="45"/>
      <c r="BY7" s="44"/>
      <c r="BZ7" s="49" t="str">
        <f t="shared" si="8"/>
        <v>0011</v>
      </c>
      <c r="CA7" s="49" t="str">
        <f t="shared" si="9"/>
        <v>0011</v>
      </c>
      <c r="CB7" s="45">
        <v>75</v>
      </c>
      <c r="CC7" s="44">
        <v>1</v>
      </c>
      <c r="CD7" s="50" t="s">
        <v>490</v>
      </c>
      <c r="CE7" s="80">
        <v>2</v>
      </c>
      <c r="CF7" s="80">
        <v>7</v>
      </c>
      <c r="CG7" s="95" t="str">
        <f t="shared" si="10"/>
        <v>ZM</v>
      </c>
      <c r="CH7" s="95">
        <f t="shared" si="11"/>
        <v>2</v>
      </c>
      <c r="CI7" s="95">
        <f t="shared" si="12"/>
        <v>42</v>
      </c>
      <c r="CJ7" s="95">
        <f t="shared" si="13"/>
        <v>10</v>
      </c>
      <c r="CK7" s="43" t="str">
        <f t="shared" si="14"/>
        <v>K00_C_0581</v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S7" s="43" t="str">
        <f>IFERROR(IF(INDEX(Estrutura_P01[#All],MATCH($C7,Estrutura_P01[[#All],[txtMAKT-MAKTX]],0),MATCH(CS$3,Estrutura_P01[#Headers],0))=0,"",INDEX(Estrutura_P01[#All],MATCH($C7,Estrutura_P01[[#All],[txtMAKT-MAKTX]],0),MATCH(CS$3,Estrutura_P01[#Headers],0))),"")</f>
        <v/>
      </c>
      <c r="CU7" s="43" t="str">
        <f t="shared" si="15"/>
        <v/>
      </c>
      <c r="CV7" s="55"/>
      <c r="CW7" s="43" t="str">
        <f t="shared" ca="1" si="16"/>
        <v/>
      </c>
      <c r="CX7" s="43" t="str">
        <f t="shared" si="17"/>
        <v/>
      </c>
      <c r="CZ7" s="44"/>
      <c r="DA7" s="44">
        <v>2</v>
      </c>
      <c r="DB7" s="44">
        <v>1</v>
      </c>
      <c r="DC7" s="44"/>
      <c r="DD7" s="90" t="str">
        <f t="shared" si="18"/>
        <v/>
      </c>
      <c r="DE7" s="43">
        <f t="shared" si="19"/>
        <v>0.01</v>
      </c>
      <c r="DF7" s="43" t="str">
        <f t="shared" si="20"/>
        <v>KG</v>
      </c>
      <c r="DG7" s="44">
        <v>1</v>
      </c>
      <c r="DH7" s="50" t="s">
        <v>223</v>
      </c>
      <c r="DI7" s="50" t="s">
        <v>902</v>
      </c>
      <c r="DJ7" s="43" t="str">
        <f>IFERROR(IF(INDEX(Estrutura_P01[#All],MATCH($C7,Estrutura_P01[[#All],[txtMAKT-MAKTX]],0),MATCH(DJ$3,Estrutura_P01[#Headers],0))=0,"",INDEX(Estrutura_P01[#All],MATCH($C7,Estrutura_P01[[#All],[txtMAKT-MAKTX]],0),MATCH(DJ$3,Estrutura_P01[#Headers],0))),"")</f>
        <v/>
      </c>
      <c r="DK7" s="44">
        <v>1000</v>
      </c>
      <c r="DL7" s="60">
        <v>0</v>
      </c>
      <c r="DM7" s="44"/>
      <c r="DN7" s="44">
        <v>1</v>
      </c>
      <c r="DO7" s="44">
        <v>0</v>
      </c>
      <c r="DP7" s="44" t="s">
        <v>862</v>
      </c>
      <c r="DQ7" s="45">
        <v>0</v>
      </c>
      <c r="DR7" s="44">
        <v>1000</v>
      </c>
      <c r="DS7" s="91" t="str">
        <f>IF(AQ7=68,1,IFERROR(VLOOKUP(CM7,'Listas de Dados'!BX:BY,2,0),""))</f>
        <v/>
      </c>
      <c r="DT7" s="90" t="str">
        <f t="shared" ca="1" si="21"/>
        <v/>
      </c>
      <c r="DU7" s="65"/>
    </row>
    <row r="8" spans="1:125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44"/>
      <c r="BA8" s="47"/>
      <c r="BB8" s="50"/>
      <c r="BC8" s="50">
        <v>1</v>
      </c>
      <c r="BD8" s="50" t="s">
        <v>192</v>
      </c>
      <c r="BE8" s="95" t="str">
        <f t="shared" si="4"/>
        <v>01</v>
      </c>
      <c r="BF8" s="95" t="str">
        <f t="shared" si="5"/>
        <v>NORM</v>
      </c>
      <c r="BG8" s="44">
        <v>1</v>
      </c>
      <c r="BH8" s="44">
        <v>1</v>
      </c>
      <c r="BI8" s="44">
        <v>1</v>
      </c>
      <c r="BJ8" s="95" t="str">
        <f t="shared" si="6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7"/>
        <v>581</v>
      </c>
      <c r="BS8" s="45" t="s">
        <v>40</v>
      </c>
      <c r="BT8" s="101">
        <v>25000</v>
      </c>
      <c r="BU8" s="43" t="str">
        <f>IFERROR(IF(INDEX(Estrutura_P01[#All],MATCH($C8,Estrutura_P01[[#All],[txtMAKT-MAKTX]],0),MATCH(BU$3,Estrutura_P01[#Headers],0))=0,"",INDEX(Estrutura_P01[#All],MATCH($C8,Estrutura_P01[[#All],[txtMAKT-MAKTX]],0),MATCH(BU$3,Estrutura_P01[#Headers],0))),"")</f>
        <v/>
      </c>
      <c r="BV8" s="45">
        <v>0</v>
      </c>
      <c r="BW8" s="45" t="s">
        <v>473</v>
      </c>
      <c r="BX8" s="45"/>
      <c r="BY8" s="44"/>
      <c r="BZ8" s="49" t="str">
        <f t="shared" si="8"/>
        <v>0011</v>
      </c>
      <c r="CA8" s="49" t="str">
        <f t="shared" si="9"/>
        <v>0011</v>
      </c>
      <c r="CB8" s="45">
        <v>75</v>
      </c>
      <c r="CC8" s="44">
        <v>1</v>
      </c>
      <c r="CD8" s="50" t="s">
        <v>490</v>
      </c>
      <c r="CE8" s="80">
        <v>2</v>
      </c>
      <c r="CF8" s="80">
        <v>7</v>
      </c>
      <c r="CG8" s="95" t="str">
        <f t="shared" si="10"/>
        <v>ZM</v>
      </c>
      <c r="CH8" s="95">
        <f t="shared" si="11"/>
        <v>2</v>
      </c>
      <c r="CI8" s="95">
        <f t="shared" si="12"/>
        <v>42</v>
      </c>
      <c r="CJ8" s="95">
        <f t="shared" si="13"/>
        <v>10</v>
      </c>
      <c r="CK8" s="43" t="str">
        <f t="shared" si="14"/>
        <v>K00_C_0581</v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S8" s="43" t="str">
        <f>IFERROR(IF(INDEX(Estrutura_P01[#All],MATCH($C8,Estrutura_P01[[#All],[txtMAKT-MAKTX]],0),MATCH(CS$3,Estrutura_P01[#Headers],0))=0,"",INDEX(Estrutura_P01[#All],MATCH($C8,Estrutura_P01[[#All],[txtMAKT-MAKTX]],0),MATCH(CS$3,Estrutura_P01[#Headers],0))),"")</f>
        <v/>
      </c>
      <c r="CU8" s="43" t="str">
        <f t="shared" si="15"/>
        <v/>
      </c>
      <c r="CV8" s="55"/>
      <c r="CW8" s="43" t="str">
        <f t="shared" ca="1" si="16"/>
        <v/>
      </c>
      <c r="CX8" s="43" t="str">
        <f t="shared" si="17"/>
        <v/>
      </c>
      <c r="CZ8" s="44"/>
      <c r="DA8" s="44">
        <v>2</v>
      </c>
      <c r="DB8" s="44">
        <v>1</v>
      </c>
      <c r="DC8" s="44"/>
      <c r="DD8" s="90" t="str">
        <f t="shared" si="18"/>
        <v/>
      </c>
      <c r="DE8" s="43">
        <f t="shared" si="19"/>
        <v>0.01</v>
      </c>
      <c r="DF8" s="43" t="str">
        <f t="shared" si="20"/>
        <v>KG</v>
      </c>
      <c r="DG8" s="44">
        <v>1</v>
      </c>
      <c r="DH8" s="50" t="s">
        <v>223</v>
      </c>
      <c r="DI8" s="50" t="s">
        <v>902</v>
      </c>
      <c r="DJ8" s="43" t="str">
        <f>IFERROR(IF(INDEX(Estrutura_P01[#All],MATCH($C8,Estrutura_P01[[#All],[txtMAKT-MAKTX]],0),MATCH(DJ$3,Estrutura_P01[#Headers],0))=0,"",INDEX(Estrutura_P01[#All],MATCH($C8,Estrutura_P01[[#All],[txtMAKT-MAKTX]],0),MATCH(DJ$3,Estrutura_P01[#Headers],0))),"")</f>
        <v/>
      </c>
      <c r="DK8" s="44">
        <v>1000</v>
      </c>
      <c r="DL8" s="60">
        <v>0</v>
      </c>
      <c r="DM8" s="44"/>
      <c r="DN8" s="44">
        <v>1</v>
      </c>
      <c r="DO8" s="44">
        <v>0</v>
      </c>
      <c r="DP8" s="44" t="s">
        <v>862</v>
      </c>
      <c r="DQ8" s="45">
        <v>0</v>
      </c>
      <c r="DR8" s="44">
        <v>1000</v>
      </c>
      <c r="DS8" s="91" t="str">
        <f>IF(AQ8=68,1,IFERROR(VLOOKUP(CM8,'Listas de Dados'!BX:BY,2,0),""))</f>
        <v/>
      </c>
      <c r="DT8" s="90" t="str">
        <f t="shared" ca="1" si="21"/>
        <v/>
      </c>
      <c r="DU8" s="65"/>
    </row>
    <row r="9" spans="1:125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44"/>
      <c r="BA9" s="47"/>
      <c r="BB9" s="50"/>
      <c r="BC9" s="50">
        <v>1</v>
      </c>
      <c r="BD9" s="50" t="s">
        <v>192</v>
      </c>
      <c r="BE9" s="95" t="str">
        <f t="shared" si="4"/>
        <v>01</v>
      </c>
      <c r="BF9" s="95" t="str">
        <f t="shared" si="5"/>
        <v>NORM</v>
      </c>
      <c r="BG9" s="44">
        <v>1</v>
      </c>
      <c r="BH9" s="44">
        <v>1</v>
      </c>
      <c r="BI9" s="44">
        <v>1</v>
      </c>
      <c r="BJ9" s="95" t="str">
        <f t="shared" si="6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7"/>
        <v>581</v>
      </c>
      <c r="BS9" s="45" t="s">
        <v>40</v>
      </c>
      <c r="BT9" s="101">
        <v>25000</v>
      </c>
      <c r="BU9" s="43" t="str">
        <f>IFERROR(IF(INDEX(Estrutura_P01[#All],MATCH($C9,Estrutura_P01[[#All],[txtMAKT-MAKTX]],0),MATCH(BU$3,Estrutura_P01[#Headers],0))=0,"",INDEX(Estrutura_P01[#All],MATCH($C9,Estrutura_P01[[#All],[txtMAKT-MAKTX]],0),MATCH(BU$3,Estrutura_P01[#Headers],0))),"")</f>
        <v/>
      </c>
      <c r="BV9" s="45">
        <v>0</v>
      </c>
      <c r="BW9" s="45" t="s">
        <v>473</v>
      </c>
      <c r="BX9" s="45"/>
      <c r="BY9" s="44"/>
      <c r="BZ9" s="49" t="str">
        <f t="shared" si="8"/>
        <v>0011</v>
      </c>
      <c r="CA9" s="49" t="str">
        <f t="shared" si="9"/>
        <v>0011</v>
      </c>
      <c r="CB9" s="45">
        <v>75</v>
      </c>
      <c r="CC9" s="44">
        <v>1</v>
      </c>
      <c r="CD9" s="50" t="s">
        <v>490</v>
      </c>
      <c r="CE9" s="80">
        <v>2</v>
      </c>
      <c r="CF9" s="80">
        <v>7</v>
      </c>
      <c r="CG9" s="95" t="str">
        <f t="shared" si="10"/>
        <v>ZM</v>
      </c>
      <c r="CH9" s="95">
        <f t="shared" si="11"/>
        <v>2</v>
      </c>
      <c r="CI9" s="95">
        <f t="shared" si="12"/>
        <v>42</v>
      </c>
      <c r="CJ9" s="95">
        <f t="shared" si="13"/>
        <v>10</v>
      </c>
      <c r="CK9" s="43" t="str">
        <f t="shared" si="14"/>
        <v>K00_C_0581</v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S9" s="43" t="str">
        <f>IFERROR(IF(INDEX(Estrutura_P01[#All],MATCH($C9,Estrutura_P01[[#All],[txtMAKT-MAKTX]],0),MATCH(CS$3,Estrutura_P01[#Headers],0))=0,"",INDEX(Estrutura_P01[#All],MATCH($C9,Estrutura_P01[[#All],[txtMAKT-MAKTX]],0),MATCH(CS$3,Estrutura_P01[#Headers],0))),"")</f>
        <v/>
      </c>
      <c r="CU9" s="43" t="str">
        <f t="shared" si="15"/>
        <v/>
      </c>
      <c r="CV9" s="55"/>
      <c r="CW9" s="43" t="str">
        <f t="shared" ca="1" si="16"/>
        <v/>
      </c>
      <c r="CX9" s="43" t="str">
        <f t="shared" si="17"/>
        <v/>
      </c>
      <c r="CZ9" s="44"/>
      <c r="DA9" s="44">
        <v>2</v>
      </c>
      <c r="DB9" s="44">
        <v>1</v>
      </c>
      <c r="DC9" s="44"/>
      <c r="DD9" s="90" t="str">
        <f t="shared" si="18"/>
        <v/>
      </c>
      <c r="DE9" s="43">
        <f t="shared" si="19"/>
        <v>0.01</v>
      </c>
      <c r="DF9" s="43" t="str">
        <f t="shared" si="20"/>
        <v>KG</v>
      </c>
      <c r="DG9" s="44">
        <v>1</v>
      </c>
      <c r="DH9" s="50" t="s">
        <v>223</v>
      </c>
      <c r="DI9" s="50" t="s">
        <v>902</v>
      </c>
      <c r="DJ9" s="43" t="str">
        <f>IFERROR(IF(INDEX(Estrutura_P01[#All],MATCH($C9,Estrutura_P01[[#All],[txtMAKT-MAKTX]],0),MATCH(DJ$3,Estrutura_P01[#Headers],0))=0,"",INDEX(Estrutura_P01[#All],MATCH($C9,Estrutura_P01[[#All],[txtMAKT-MAKTX]],0),MATCH(DJ$3,Estrutura_P01[#Headers],0))),"")</f>
        <v/>
      </c>
      <c r="DK9" s="44">
        <v>1000</v>
      </c>
      <c r="DL9" s="60">
        <v>0</v>
      </c>
      <c r="DM9" s="44"/>
      <c r="DN9" s="44">
        <v>1</v>
      </c>
      <c r="DO9" s="44">
        <v>0</v>
      </c>
      <c r="DP9" s="44" t="s">
        <v>862</v>
      </c>
      <c r="DQ9" s="45">
        <v>0</v>
      </c>
      <c r="DR9" s="44">
        <v>1000</v>
      </c>
      <c r="DS9" s="91" t="str">
        <f>IF(AQ9=68,1,IFERROR(VLOOKUP(CM9,'Listas de Dados'!BX:BY,2,0),""))</f>
        <v/>
      </c>
      <c r="DT9" s="90" t="str">
        <f t="shared" ca="1" si="21"/>
        <v/>
      </c>
      <c r="DU9" s="65"/>
    </row>
    <row r="10" spans="1:125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44"/>
      <c r="BA10" s="47"/>
      <c r="BB10" s="50"/>
      <c r="BC10" s="50">
        <v>1</v>
      </c>
      <c r="BD10" s="50" t="s">
        <v>192</v>
      </c>
      <c r="BE10" s="95" t="str">
        <f t="shared" si="4"/>
        <v>01</v>
      </c>
      <c r="BF10" s="95" t="str">
        <f t="shared" si="5"/>
        <v>NORM</v>
      </c>
      <c r="BG10" s="44">
        <v>1</v>
      </c>
      <c r="BH10" s="44">
        <v>1</v>
      </c>
      <c r="BI10" s="44">
        <v>1</v>
      </c>
      <c r="BJ10" s="95" t="str">
        <f t="shared" si="6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7"/>
        <v>581</v>
      </c>
      <c r="BS10" s="45" t="s">
        <v>40</v>
      </c>
      <c r="BT10" s="101">
        <v>25000</v>
      </c>
      <c r="BU10" s="43" t="str">
        <f>IFERROR(IF(INDEX(Estrutura_P01[#All],MATCH($C10,Estrutura_P01[[#All],[txtMAKT-MAKTX]],0),MATCH(BU$3,Estrutura_P01[#Headers],0))=0,"",INDEX(Estrutura_P01[#All],MATCH($C10,Estrutura_P01[[#All],[txtMAKT-MAKTX]],0),MATCH(BU$3,Estrutura_P01[#Headers],0))),"")</f>
        <v/>
      </c>
      <c r="BV10" s="45">
        <v>0</v>
      </c>
      <c r="BW10" s="45" t="s">
        <v>473</v>
      </c>
      <c r="BX10" s="45"/>
      <c r="BY10" s="44"/>
      <c r="BZ10" s="49" t="str">
        <f t="shared" si="8"/>
        <v>0011</v>
      </c>
      <c r="CA10" s="49" t="str">
        <f t="shared" si="9"/>
        <v>0011</v>
      </c>
      <c r="CB10" s="45">
        <v>75</v>
      </c>
      <c r="CC10" s="44">
        <v>1</v>
      </c>
      <c r="CD10" s="50" t="s">
        <v>490</v>
      </c>
      <c r="CE10" s="80">
        <v>2</v>
      </c>
      <c r="CF10" s="80">
        <v>7</v>
      </c>
      <c r="CG10" s="95" t="str">
        <f t="shared" si="10"/>
        <v>ZM</v>
      </c>
      <c r="CH10" s="95">
        <f t="shared" si="11"/>
        <v>2</v>
      </c>
      <c r="CI10" s="95">
        <f t="shared" si="12"/>
        <v>42</v>
      </c>
      <c r="CJ10" s="95">
        <f t="shared" si="13"/>
        <v>10</v>
      </c>
      <c r="CK10" s="43" t="str">
        <f t="shared" si="14"/>
        <v>K00_C_0581</v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S10" s="43" t="str">
        <f>IFERROR(IF(INDEX(Estrutura_P01[#All],MATCH($C10,Estrutura_P01[[#All],[txtMAKT-MAKTX]],0),MATCH(CS$3,Estrutura_P01[#Headers],0))=0,"",INDEX(Estrutura_P01[#All],MATCH($C10,Estrutura_P01[[#All],[txtMAKT-MAKTX]],0),MATCH(CS$3,Estrutura_P01[#Headers],0))),"")</f>
        <v/>
      </c>
      <c r="CU10" s="43" t="str">
        <f t="shared" si="15"/>
        <v/>
      </c>
      <c r="CV10" s="55"/>
      <c r="CW10" s="43" t="str">
        <f t="shared" ca="1" si="16"/>
        <v/>
      </c>
      <c r="CX10" s="43" t="str">
        <f t="shared" si="17"/>
        <v/>
      </c>
      <c r="CZ10" s="44"/>
      <c r="DA10" s="44">
        <v>2</v>
      </c>
      <c r="DB10" s="44">
        <v>1</v>
      </c>
      <c r="DC10" s="44"/>
      <c r="DD10" s="90" t="str">
        <f t="shared" si="18"/>
        <v/>
      </c>
      <c r="DE10" s="43">
        <f t="shared" si="19"/>
        <v>0.01</v>
      </c>
      <c r="DF10" s="43" t="str">
        <f t="shared" si="20"/>
        <v>KG</v>
      </c>
      <c r="DG10" s="44">
        <v>1</v>
      </c>
      <c r="DH10" s="50" t="s">
        <v>223</v>
      </c>
      <c r="DI10" s="50" t="s">
        <v>902</v>
      </c>
      <c r="DJ10" s="43" t="str">
        <f>IFERROR(IF(INDEX(Estrutura_P01[#All],MATCH($C10,Estrutura_P01[[#All],[txtMAKT-MAKTX]],0),MATCH(DJ$3,Estrutura_P01[#Headers],0))=0,"",INDEX(Estrutura_P01[#All],MATCH($C10,Estrutura_P01[[#All],[txtMAKT-MAKTX]],0),MATCH(DJ$3,Estrutura_P01[#Headers],0))),"")</f>
        <v/>
      </c>
      <c r="DK10" s="44">
        <v>1000</v>
      </c>
      <c r="DL10" s="60">
        <v>0</v>
      </c>
      <c r="DM10" s="44"/>
      <c r="DN10" s="44">
        <v>1</v>
      </c>
      <c r="DO10" s="44">
        <v>0</v>
      </c>
      <c r="DP10" s="44" t="s">
        <v>862</v>
      </c>
      <c r="DQ10" s="45">
        <v>0</v>
      </c>
      <c r="DR10" s="44">
        <v>1000</v>
      </c>
      <c r="DS10" s="91" t="str">
        <f>IF(AQ10=68,1,IFERROR(VLOOKUP(CM10,'Listas de Dados'!BX:BY,2,0),""))</f>
        <v/>
      </c>
      <c r="DT10" s="90" t="str">
        <f t="shared" ca="1" si="21"/>
        <v/>
      </c>
      <c r="DU10" s="65"/>
    </row>
    <row r="11" spans="1:125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44"/>
      <c r="BA11" s="47"/>
      <c r="BB11" s="50"/>
      <c r="BC11" s="50">
        <v>1</v>
      </c>
      <c r="BD11" s="50" t="s">
        <v>192</v>
      </c>
      <c r="BE11" s="95" t="str">
        <f t="shared" si="4"/>
        <v>01</v>
      </c>
      <c r="BF11" s="95" t="str">
        <f t="shared" si="5"/>
        <v>NORM</v>
      </c>
      <c r="BG11" s="44">
        <v>1</v>
      </c>
      <c r="BH11" s="44">
        <v>1</v>
      </c>
      <c r="BI11" s="44">
        <v>1</v>
      </c>
      <c r="BJ11" s="95" t="str">
        <f t="shared" si="6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7"/>
        <v>581</v>
      </c>
      <c r="BS11" s="45" t="s">
        <v>40</v>
      </c>
      <c r="BT11" s="101">
        <v>25000</v>
      </c>
      <c r="BU11" s="43" t="str">
        <f>IFERROR(IF(INDEX(Estrutura_P01[#All],MATCH($C11,Estrutura_P01[[#All],[txtMAKT-MAKTX]],0),MATCH(BU$3,Estrutura_P01[#Headers],0))=0,"",INDEX(Estrutura_P01[#All],MATCH($C11,Estrutura_P01[[#All],[txtMAKT-MAKTX]],0),MATCH(BU$3,Estrutura_P01[#Headers],0))),"")</f>
        <v/>
      </c>
      <c r="BV11" s="45">
        <v>0</v>
      </c>
      <c r="BW11" s="45" t="s">
        <v>473</v>
      </c>
      <c r="BX11" s="45"/>
      <c r="BY11" s="44"/>
      <c r="BZ11" s="49" t="str">
        <f t="shared" si="8"/>
        <v>0011</v>
      </c>
      <c r="CA11" s="49" t="str">
        <f t="shared" si="9"/>
        <v>0011</v>
      </c>
      <c r="CB11" s="45">
        <v>75</v>
      </c>
      <c r="CC11" s="44">
        <v>1</v>
      </c>
      <c r="CD11" s="50" t="s">
        <v>490</v>
      </c>
      <c r="CE11" s="80">
        <v>2</v>
      </c>
      <c r="CF11" s="80">
        <v>7</v>
      </c>
      <c r="CG11" s="95" t="str">
        <f t="shared" si="10"/>
        <v>ZM</v>
      </c>
      <c r="CH11" s="95">
        <f t="shared" si="11"/>
        <v>2</v>
      </c>
      <c r="CI11" s="95">
        <f t="shared" si="12"/>
        <v>42</v>
      </c>
      <c r="CJ11" s="95">
        <f t="shared" si="13"/>
        <v>10</v>
      </c>
      <c r="CK11" s="43" t="str">
        <f t="shared" si="14"/>
        <v>K00_C_0581</v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S11" s="43" t="str">
        <f>IFERROR(IF(INDEX(Estrutura_P01[#All],MATCH($C11,Estrutura_P01[[#All],[txtMAKT-MAKTX]],0),MATCH(CS$3,Estrutura_P01[#Headers],0))=0,"",INDEX(Estrutura_P01[#All],MATCH($C11,Estrutura_P01[[#All],[txtMAKT-MAKTX]],0),MATCH(CS$3,Estrutura_P01[#Headers],0))),"")</f>
        <v/>
      </c>
      <c r="CU11" s="43" t="str">
        <f t="shared" si="15"/>
        <v/>
      </c>
      <c r="CV11" s="55"/>
      <c r="CW11" s="43" t="str">
        <f t="shared" ca="1" si="16"/>
        <v/>
      </c>
      <c r="CX11" s="43" t="str">
        <f t="shared" si="17"/>
        <v/>
      </c>
      <c r="CZ11" s="44"/>
      <c r="DA11" s="44">
        <v>2</v>
      </c>
      <c r="DB11" s="44">
        <v>1</v>
      </c>
      <c r="DC11" s="44"/>
      <c r="DD11" s="90" t="str">
        <f t="shared" si="18"/>
        <v/>
      </c>
      <c r="DE11" s="43">
        <f t="shared" si="19"/>
        <v>0.01</v>
      </c>
      <c r="DF11" s="43" t="str">
        <f t="shared" si="20"/>
        <v>KG</v>
      </c>
      <c r="DG11" s="44">
        <v>1</v>
      </c>
      <c r="DH11" s="50" t="s">
        <v>223</v>
      </c>
      <c r="DI11" s="50" t="s">
        <v>902</v>
      </c>
      <c r="DJ11" s="43" t="str">
        <f>IFERROR(IF(INDEX(Estrutura_P01[#All],MATCH($C11,Estrutura_P01[[#All],[txtMAKT-MAKTX]],0),MATCH(DJ$3,Estrutura_P01[#Headers],0))=0,"",INDEX(Estrutura_P01[#All],MATCH($C11,Estrutura_P01[[#All],[txtMAKT-MAKTX]],0),MATCH(DJ$3,Estrutura_P01[#Headers],0))),"")</f>
        <v/>
      </c>
      <c r="DK11" s="44">
        <v>1000</v>
      </c>
      <c r="DL11" s="60">
        <v>0</v>
      </c>
      <c r="DM11" s="44"/>
      <c r="DN11" s="44">
        <v>1</v>
      </c>
      <c r="DO11" s="44">
        <v>0</v>
      </c>
      <c r="DP11" s="44" t="s">
        <v>862</v>
      </c>
      <c r="DQ11" s="45">
        <v>0</v>
      </c>
      <c r="DR11" s="44">
        <v>1000</v>
      </c>
      <c r="DS11" s="91" t="str">
        <f>IF(AQ11=68,1,IFERROR(VLOOKUP(CM11,'Listas de Dados'!BX:BY,2,0),""))</f>
        <v/>
      </c>
      <c r="DT11" s="90" t="str">
        <f t="shared" ca="1" si="21"/>
        <v/>
      </c>
      <c r="DU11" s="65"/>
    </row>
    <row r="12" spans="1:125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44"/>
      <c r="BA12" s="47"/>
      <c r="BB12" s="50"/>
      <c r="BC12" s="50">
        <v>1</v>
      </c>
      <c r="BD12" s="50" t="s">
        <v>192</v>
      </c>
      <c r="BE12" s="95" t="str">
        <f t="shared" si="4"/>
        <v>01</v>
      </c>
      <c r="BF12" s="95" t="str">
        <f t="shared" si="5"/>
        <v>NORM</v>
      </c>
      <c r="BG12" s="44">
        <v>1</v>
      </c>
      <c r="BH12" s="44">
        <v>1</v>
      </c>
      <c r="BI12" s="44">
        <v>1</v>
      </c>
      <c r="BJ12" s="95" t="str">
        <f t="shared" si="6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7"/>
        <v>581</v>
      </c>
      <c r="BS12" s="45" t="s">
        <v>40</v>
      </c>
      <c r="BT12" s="101">
        <v>25000</v>
      </c>
      <c r="BU12" s="43" t="str">
        <f>IFERROR(IF(INDEX(Estrutura_P01[#All],MATCH($C12,Estrutura_P01[[#All],[txtMAKT-MAKTX]],0),MATCH(BU$3,Estrutura_P01[#Headers],0))=0,"",INDEX(Estrutura_P01[#All],MATCH($C12,Estrutura_P01[[#All],[txtMAKT-MAKTX]],0),MATCH(BU$3,Estrutura_P01[#Headers],0))),"")</f>
        <v/>
      </c>
      <c r="BV12" s="45">
        <v>0</v>
      </c>
      <c r="BW12" s="45" t="s">
        <v>473</v>
      </c>
      <c r="BX12" s="45"/>
      <c r="BY12" s="44"/>
      <c r="BZ12" s="49" t="str">
        <f t="shared" si="8"/>
        <v>0011</v>
      </c>
      <c r="CA12" s="49" t="str">
        <f t="shared" si="9"/>
        <v>0011</v>
      </c>
      <c r="CB12" s="45">
        <v>75</v>
      </c>
      <c r="CC12" s="44">
        <v>1</v>
      </c>
      <c r="CD12" s="50" t="s">
        <v>490</v>
      </c>
      <c r="CE12" s="80">
        <v>2</v>
      </c>
      <c r="CF12" s="80">
        <v>7</v>
      </c>
      <c r="CG12" s="95" t="str">
        <f t="shared" si="10"/>
        <v>ZM</v>
      </c>
      <c r="CH12" s="95">
        <f t="shared" si="11"/>
        <v>2</v>
      </c>
      <c r="CI12" s="95">
        <f t="shared" si="12"/>
        <v>42</v>
      </c>
      <c r="CJ12" s="95">
        <f t="shared" si="13"/>
        <v>10</v>
      </c>
      <c r="CK12" s="43" t="str">
        <f t="shared" si="14"/>
        <v>K00_C_0581</v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S12" s="43" t="str">
        <f>IFERROR(IF(INDEX(Estrutura_P01[#All],MATCH($C12,Estrutura_P01[[#All],[txtMAKT-MAKTX]],0),MATCH(CS$3,Estrutura_P01[#Headers],0))=0,"",INDEX(Estrutura_P01[#All],MATCH($C12,Estrutura_P01[[#All],[txtMAKT-MAKTX]],0),MATCH(CS$3,Estrutura_P01[#Headers],0))),"")</f>
        <v/>
      </c>
      <c r="CU12" s="43" t="str">
        <f t="shared" si="15"/>
        <v/>
      </c>
      <c r="CV12" s="55"/>
      <c r="CW12" s="43" t="str">
        <f t="shared" ca="1" si="16"/>
        <v/>
      </c>
      <c r="CX12" s="43" t="str">
        <f t="shared" si="17"/>
        <v/>
      </c>
      <c r="CZ12" s="44"/>
      <c r="DA12" s="44">
        <v>2</v>
      </c>
      <c r="DB12" s="44">
        <v>1</v>
      </c>
      <c r="DC12" s="44"/>
      <c r="DD12" s="90" t="str">
        <f t="shared" si="18"/>
        <v/>
      </c>
      <c r="DE12" s="43">
        <f t="shared" si="19"/>
        <v>0.01</v>
      </c>
      <c r="DF12" s="43" t="str">
        <f t="shared" si="20"/>
        <v>KG</v>
      </c>
      <c r="DG12" s="44">
        <v>1</v>
      </c>
      <c r="DH12" s="50" t="s">
        <v>223</v>
      </c>
      <c r="DI12" s="50" t="s">
        <v>902</v>
      </c>
      <c r="DJ12" s="43" t="str">
        <f>IFERROR(IF(INDEX(Estrutura_P01[#All],MATCH($C12,Estrutura_P01[[#All],[txtMAKT-MAKTX]],0),MATCH(DJ$3,Estrutura_P01[#Headers],0))=0,"",INDEX(Estrutura_P01[#All],MATCH($C12,Estrutura_P01[[#All],[txtMAKT-MAKTX]],0),MATCH(DJ$3,Estrutura_P01[#Headers],0))),"")</f>
        <v/>
      </c>
      <c r="DK12" s="44">
        <v>1000</v>
      </c>
      <c r="DL12" s="60">
        <v>0</v>
      </c>
      <c r="DM12" s="44"/>
      <c r="DN12" s="44">
        <v>1</v>
      </c>
      <c r="DO12" s="44">
        <v>0</v>
      </c>
      <c r="DP12" s="44" t="s">
        <v>862</v>
      </c>
      <c r="DQ12" s="45">
        <v>0</v>
      </c>
      <c r="DR12" s="44">
        <v>1000</v>
      </c>
      <c r="DS12" s="91" t="str">
        <f>IF(AQ12=68,1,IFERROR(VLOOKUP(CM12,'Listas de Dados'!BX:BY,2,0),""))</f>
        <v/>
      </c>
      <c r="DT12" s="90" t="str">
        <f t="shared" ca="1" si="21"/>
        <v/>
      </c>
      <c r="DU12" s="65"/>
    </row>
    <row r="13" spans="1:125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44"/>
      <c r="BA13" s="47"/>
      <c r="BB13" s="50"/>
      <c r="BC13" s="50">
        <v>1</v>
      </c>
      <c r="BD13" s="50" t="s">
        <v>192</v>
      </c>
      <c r="BE13" s="95" t="str">
        <f t="shared" si="4"/>
        <v>01</v>
      </c>
      <c r="BF13" s="95" t="str">
        <f t="shared" si="5"/>
        <v>NORM</v>
      </c>
      <c r="BG13" s="44">
        <v>1</v>
      </c>
      <c r="BH13" s="44">
        <v>1</v>
      </c>
      <c r="BI13" s="44">
        <v>1</v>
      </c>
      <c r="BJ13" s="95" t="str">
        <f t="shared" si="6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7"/>
        <v>581</v>
      </c>
      <c r="BS13" s="45" t="s">
        <v>40</v>
      </c>
      <c r="BT13" s="101">
        <v>25000</v>
      </c>
      <c r="BU13" s="43" t="str">
        <f>IFERROR(IF(INDEX(Estrutura_P01[#All],MATCH($C13,Estrutura_P01[[#All],[txtMAKT-MAKTX]],0),MATCH(BU$3,Estrutura_P01[#Headers],0))=0,"",INDEX(Estrutura_P01[#All],MATCH($C13,Estrutura_P01[[#All],[txtMAKT-MAKTX]],0),MATCH(BU$3,Estrutura_P01[#Headers],0))),"")</f>
        <v/>
      </c>
      <c r="BV13" s="45">
        <v>0</v>
      </c>
      <c r="BW13" s="45" t="s">
        <v>473</v>
      </c>
      <c r="BX13" s="45"/>
      <c r="BY13" s="44"/>
      <c r="BZ13" s="49" t="str">
        <f t="shared" si="8"/>
        <v>0011</v>
      </c>
      <c r="CA13" s="49" t="str">
        <f t="shared" si="9"/>
        <v>0011</v>
      </c>
      <c r="CB13" s="45">
        <v>75</v>
      </c>
      <c r="CC13" s="44">
        <v>1</v>
      </c>
      <c r="CD13" s="50" t="s">
        <v>490</v>
      </c>
      <c r="CE13" s="80">
        <v>2</v>
      </c>
      <c r="CF13" s="80">
        <v>7</v>
      </c>
      <c r="CG13" s="95" t="str">
        <f t="shared" si="10"/>
        <v>ZM</v>
      </c>
      <c r="CH13" s="95">
        <f t="shared" si="11"/>
        <v>2</v>
      </c>
      <c r="CI13" s="95">
        <f t="shared" si="12"/>
        <v>42</v>
      </c>
      <c r="CJ13" s="95">
        <f t="shared" si="13"/>
        <v>10</v>
      </c>
      <c r="CK13" s="43" t="str">
        <f t="shared" si="14"/>
        <v>K00_C_0581</v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S13" s="43" t="str">
        <f>IFERROR(IF(INDEX(Estrutura_P01[#All],MATCH($C13,Estrutura_P01[[#All],[txtMAKT-MAKTX]],0),MATCH(CS$3,Estrutura_P01[#Headers],0))=0,"",INDEX(Estrutura_P01[#All],MATCH($C13,Estrutura_P01[[#All],[txtMAKT-MAKTX]],0),MATCH(CS$3,Estrutura_P01[#Headers],0))),"")</f>
        <v/>
      </c>
      <c r="CU13" s="43" t="str">
        <f t="shared" si="15"/>
        <v/>
      </c>
      <c r="CV13" s="55"/>
      <c r="CW13" s="43" t="str">
        <f t="shared" ca="1" si="16"/>
        <v/>
      </c>
      <c r="CX13" s="43" t="str">
        <f t="shared" si="17"/>
        <v/>
      </c>
      <c r="CZ13" s="44"/>
      <c r="DA13" s="44">
        <v>2</v>
      </c>
      <c r="DB13" s="44">
        <v>1</v>
      </c>
      <c r="DC13" s="44"/>
      <c r="DD13" s="90" t="str">
        <f t="shared" si="18"/>
        <v/>
      </c>
      <c r="DE13" s="43">
        <f t="shared" si="19"/>
        <v>0.01</v>
      </c>
      <c r="DF13" s="43" t="str">
        <f t="shared" si="20"/>
        <v>KG</v>
      </c>
      <c r="DG13" s="44">
        <v>1</v>
      </c>
      <c r="DH13" s="50" t="s">
        <v>223</v>
      </c>
      <c r="DI13" s="50" t="s">
        <v>902</v>
      </c>
      <c r="DJ13" s="43" t="str">
        <f>IFERROR(IF(INDEX(Estrutura_P01[#All],MATCH($C13,Estrutura_P01[[#All],[txtMAKT-MAKTX]],0),MATCH(DJ$3,Estrutura_P01[#Headers],0))=0,"",INDEX(Estrutura_P01[#All],MATCH($C13,Estrutura_P01[[#All],[txtMAKT-MAKTX]],0),MATCH(DJ$3,Estrutura_P01[#Headers],0))),"")</f>
        <v/>
      </c>
      <c r="DK13" s="44">
        <v>1000</v>
      </c>
      <c r="DL13" s="60">
        <v>0</v>
      </c>
      <c r="DM13" s="44"/>
      <c r="DN13" s="44">
        <v>1</v>
      </c>
      <c r="DO13" s="44">
        <v>0</v>
      </c>
      <c r="DP13" s="44" t="s">
        <v>862</v>
      </c>
      <c r="DQ13" s="45">
        <v>0</v>
      </c>
      <c r="DR13" s="44">
        <v>1000</v>
      </c>
      <c r="DS13" s="91" t="str">
        <f>IF(AQ13=68,1,IFERROR(VLOOKUP(CM13,'Listas de Dados'!BX:BY,2,0),""))</f>
        <v/>
      </c>
      <c r="DT13" s="90" t="str">
        <f t="shared" ca="1" si="21"/>
        <v/>
      </c>
      <c r="DU13" s="65"/>
    </row>
    <row r="14" spans="1:125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44"/>
      <c r="BA14" s="47"/>
      <c r="BB14" s="50"/>
      <c r="BC14" s="50">
        <v>1</v>
      </c>
      <c r="BD14" s="50" t="s">
        <v>192</v>
      </c>
      <c r="BE14" s="95" t="str">
        <f t="shared" si="4"/>
        <v>01</v>
      </c>
      <c r="BF14" s="95" t="str">
        <f t="shared" si="5"/>
        <v>NORM</v>
      </c>
      <c r="BG14" s="44">
        <v>1</v>
      </c>
      <c r="BH14" s="44">
        <v>1</v>
      </c>
      <c r="BI14" s="44">
        <v>1</v>
      </c>
      <c r="BJ14" s="95" t="str">
        <f t="shared" si="6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7"/>
        <v>581</v>
      </c>
      <c r="BS14" s="45" t="s">
        <v>40</v>
      </c>
      <c r="BT14" s="101">
        <v>25000</v>
      </c>
      <c r="BU14" s="43" t="str">
        <f>IFERROR(IF(INDEX(Estrutura_P01[#All],MATCH($C14,Estrutura_P01[[#All],[txtMAKT-MAKTX]],0),MATCH(BU$3,Estrutura_P01[#Headers],0))=0,"",INDEX(Estrutura_P01[#All],MATCH($C14,Estrutura_P01[[#All],[txtMAKT-MAKTX]],0),MATCH(BU$3,Estrutura_P01[#Headers],0))),"")</f>
        <v/>
      </c>
      <c r="BV14" s="45">
        <v>0</v>
      </c>
      <c r="BW14" s="45" t="s">
        <v>473</v>
      </c>
      <c r="BX14" s="45"/>
      <c r="BY14" s="44"/>
      <c r="BZ14" s="49" t="str">
        <f t="shared" si="8"/>
        <v>0011</v>
      </c>
      <c r="CA14" s="49" t="str">
        <f t="shared" si="9"/>
        <v>0011</v>
      </c>
      <c r="CB14" s="45">
        <v>75</v>
      </c>
      <c r="CC14" s="44">
        <v>1</v>
      </c>
      <c r="CD14" s="50" t="s">
        <v>490</v>
      </c>
      <c r="CE14" s="80">
        <v>2</v>
      </c>
      <c r="CF14" s="80">
        <v>7</v>
      </c>
      <c r="CG14" s="95" t="str">
        <f t="shared" si="10"/>
        <v>ZM</v>
      </c>
      <c r="CH14" s="95">
        <f t="shared" si="11"/>
        <v>2</v>
      </c>
      <c r="CI14" s="95">
        <f t="shared" si="12"/>
        <v>42</v>
      </c>
      <c r="CJ14" s="95">
        <f t="shared" si="13"/>
        <v>10</v>
      </c>
      <c r="CK14" s="43" t="str">
        <f t="shared" si="14"/>
        <v>K00_C_0581</v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S14" s="43" t="str">
        <f>IFERROR(IF(INDEX(Estrutura_P01[#All],MATCH($C14,Estrutura_P01[[#All],[txtMAKT-MAKTX]],0),MATCH(CS$3,Estrutura_P01[#Headers],0))=0,"",INDEX(Estrutura_P01[#All],MATCH($C14,Estrutura_P01[[#All],[txtMAKT-MAKTX]],0),MATCH(CS$3,Estrutura_P01[#Headers],0))),"")</f>
        <v/>
      </c>
      <c r="CU14" s="43" t="str">
        <f t="shared" si="15"/>
        <v/>
      </c>
      <c r="CV14" s="55"/>
      <c r="CW14" s="43" t="str">
        <f t="shared" ca="1" si="16"/>
        <v/>
      </c>
      <c r="CX14" s="43" t="str">
        <f t="shared" si="17"/>
        <v/>
      </c>
      <c r="CZ14" s="44"/>
      <c r="DA14" s="44">
        <v>2</v>
      </c>
      <c r="DB14" s="44">
        <v>1</v>
      </c>
      <c r="DC14" s="44"/>
      <c r="DD14" s="90" t="str">
        <f t="shared" si="18"/>
        <v/>
      </c>
      <c r="DE14" s="43">
        <f t="shared" si="19"/>
        <v>0.01</v>
      </c>
      <c r="DF14" s="43" t="str">
        <f t="shared" si="20"/>
        <v>KG</v>
      </c>
      <c r="DG14" s="44">
        <v>1</v>
      </c>
      <c r="DH14" s="50" t="s">
        <v>223</v>
      </c>
      <c r="DI14" s="50" t="s">
        <v>902</v>
      </c>
      <c r="DJ14" s="43" t="str">
        <f>IFERROR(IF(INDEX(Estrutura_P01[#All],MATCH($C14,Estrutura_P01[[#All],[txtMAKT-MAKTX]],0),MATCH(DJ$3,Estrutura_P01[#Headers],0))=0,"",INDEX(Estrutura_P01[#All],MATCH($C14,Estrutura_P01[[#All],[txtMAKT-MAKTX]],0),MATCH(DJ$3,Estrutura_P01[#Headers],0))),"")</f>
        <v/>
      </c>
      <c r="DK14" s="44">
        <v>1000</v>
      </c>
      <c r="DL14" s="60">
        <v>0</v>
      </c>
      <c r="DM14" s="44"/>
      <c r="DN14" s="44">
        <v>1</v>
      </c>
      <c r="DO14" s="44">
        <v>0</v>
      </c>
      <c r="DP14" s="44" t="s">
        <v>862</v>
      </c>
      <c r="DQ14" s="45">
        <v>0</v>
      </c>
      <c r="DR14" s="44">
        <v>1000</v>
      </c>
      <c r="DS14" s="91" t="str">
        <f>IF(AQ14=68,1,IFERROR(VLOOKUP(CM14,'Listas de Dados'!BX:BY,2,0),""))</f>
        <v/>
      </c>
      <c r="DT14" s="90" t="str">
        <f t="shared" ca="1" si="21"/>
        <v/>
      </c>
      <c r="DU14" s="65"/>
    </row>
    <row r="15" spans="1:125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44"/>
      <c r="BA15" s="47"/>
      <c r="BB15" s="50"/>
      <c r="BC15" s="50">
        <v>1</v>
      </c>
      <c r="BD15" s="50" t="s">
        <v>192</v>
      </c>
      <c r="BE15" s="95" t="str">
        <f t="shared" si="4"/>
        <v>01</v>
      </c>
      <c r="BF15" s="95" t="str">
        <f t="shared" si="5"/>
        <v>NORM</v>
      </c>
      <c r="BG15" s="44">
        <v>1</v>
      </c>
      <c r="BH15" s="44">
        <v>1</v>
      </c>
      <c r="BI15" s="44">
        <v>1</v>
      </c>
      <c r="BJ15" s="95" t="str">
        <f t="shared" si="6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7"/>
        <v>581</v>
      </c>
      <c r="BS15" s="45" t="s">
        <v>40</v>
      </c>
      <c r="BT15" s="101">
        <v>25000</v>
      </c>
      <c r="BU15" s="43" t="str">
        <f>IFERROR(IF(INDEX(Estrutura_P01[#All],MATCH($C15,Estrutura_P01[[#All],[txtMAKT-MAKTX]],0),MATCH(BU$3,Estrutura_P01[#Headers],0))=0,"",INDEX(Estrutura_P01[#All],MATCH($C15,Estrutura_P01[[#All],[txtMAKT-MAKTX]],0),MATCH(BU$3,Estrutura_P01[#Headers],0))),"")</f>
        <v/>
      </c>
      <c r="BV15" s="45">
        <v>0</v>
      </c>
      <c r="BW15" s="45" t="s">
        <v>473</v>
      </c>
      <c r="BX15" s="45"/>
      <c r="BY15" s="44"/>
      <c r="BZ15" s="49" t="str">
        <f t="shared" si="8"/>
        <v>0011</v>
      </c>
      <c r="CA15" s="49" t="str">
        <f t="shared" si="9"/>
        <v>0011</v>
      </c>
      <c r="CB15" s="45">
        <v>75</v>
      </c>
      <c r="CC15" s="44">
        <v>1</v>
      </c>
      <c r="CD15" s="50" t="s">
        <v>490</v>
      </c>
      <c r="CE15" s="80">
        <v>2</v>
      </c>
      <c r="CF15" s="80">
        <v>7</v>
      </c>
      <c r="CG15" s="95" t="str">
        <f t="shared" si="10"/>
        <v>ZM</v>
      </c>
      <c r="CH15" s="95">
        <f t="shared" si="11"/>
        <v>2</v>
      </c>
      <c r="CI15" s="95">
        <f t="shared" si="12"/>
        <v>42</v>
      </c>
      <c r="CJ15" s="95">
        <f t="shared" si="13"/>
        <v>10</v>
      </c>
      <c r="CK15" s="43" t="str">
        <f t="shared" si="14"/>
        <v>K00_C_0581</v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S15" s="43" t="str">
        <f>IFERROR(IF(INDEX(Estrutura_P01[#All],MATCH($C15,Estrutura_P01[[#All],[txtMAKT-MAKTX]],0),MATCH(CS$3,Estrutura_P01[#Headers],0))=0,"",INDEX(Estrutura_P01[#All],MATCH($C15,Estrutura_P01[[#All],[txtMAKT-MAKTX]],0),MATCH(CS$3,Estrutura_P01[#Headers],0))),"")</f>
        <v/>
      </c>
      <c r="CU15" s="43" t="str">
        <f t="shared" si="15"/>
        <v/>
      </c>
      <c r="CV15" s="55"/>
      <c r="CW15" s="43" t="str">
        <f t="shared" ca="1" si="16"/>
        <v/>
      </c>
      <c r="CX15" s="43" t="str">
        <f t="shared" si="17"/>
        <v/>
      </c>
      <c r="CZ15" s="44"/>
      <c r="DA15" s="44">
        <v>2</v>
      </c>
      <c r="DB15" s="44">
        <v>1</v>
      </c>
      <c r="DC15" s="44"/>
      <c r="DD15" s="90" t="str">
        <f t="shared" si="18"/>
        <v/>
      </c>
      <c r="DE15" s="43">
        <f t="shared" si="19"/>
        <v>0.01</v>
      </c>
      <c r="DF15" s="43" t="str">
        <f t="shared" si="20"/>
        <v>KG</v>
      </c>
      <c r="DG15" s="44">
        <v>1</v>
      </c>
      <c r="DH15" s="50" t="s">
        <v>223</v>
      </c>
      <c r="DI15" s="50" t="s">
        <v>902</v>
      </c>
      <c r="DJ15" s="43" t="str">
        <f>IFERROR(IF(INDEX(Estrutura_P01[#All],MATCH($C15,Estrutura_P01[[#All],[txtMAKT-MAKTX]],0),MATCH(DJ$3,Estrutura_P01[#Headers],0))=0,"",INDEX(Estrutura_P01[#All],MATCH($C15,Estrutura_P01[[#All],[txtMAKT-MAKTX]],0),MATCH(DJ$3,Estrutura_P01[#Headers],0))),"")</f>
        <v/>
      </c>
      <c r="DK15" s="44">
        <v>1000</v>
      </c>
      <c r="DL15" s="60">
        <v>0</v>
      </c>
      <c r="DM15" s="44"/>
      <c r="DN15" s="44">
        <v>1</v>
      </c>
      <c r="DO15" s="44">
        <v>0</v>
      </c>
      <c r="DP15" s="44" t="s">
        <v>862</v>
      </c>
      <c r="DQ15" s="45">
        <v>0</v>
      </c>
      <c r="DR15" s="44">
        <v>1000</v>
      </c>
      <c r="DS15" s="91" t="str">
        <f>IF(AQ15=68,1,IFERROR(VLOOKUP(CM15,'Listas de Dados'!BX:BY,2,0),""))</f>
        <v/>
      </c>
      <c r="DT15" s="90" t="str">
        <f t="shared" ca="1" si="21"/>
        <v/>
      </c>
      <c r="DU15" s="65"/>
    </row>
    <row r="16" spans="1:125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44"/>
      <c r="BA16" s="47"/>
      <c r="BB16" s="50"/>
      <c r="BC16" s="50">
        <v>1</v>
      </c>
      <c r="BD16" s="50" t="s">
        <v>192</v>
      </c>
      <c r="BE16" s="95" t="str">
        <f t="shared" si="4"/>
        <v>01</v>
      </c>
      <c r="BF16" s="95" t="str">
        <f t="shared" si="5"/>
        <v>NORM</v>
      </c>
      <c r="BG16" s="44">
        <v>1</v>
      </c>
      <c r="BH16" s="44">
        <v>1</v>
      </c>
      <c r="BI16" s="44">
        <v>1</v>
      </c>
      <c r="BJ16" s="95" t="str">
        <f t="shared" si="6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7"/>
        <v>581</v>
      </c>
      <c r="BS16" s="45" t="s">
        <v>40</v>
      </c>
      <c r="BT16" s="101">
        <v>25000</v>
      </c>
      <c r="BU16" s="43" t="str">
        <f>IFERROR(IF(INDEX(Estrutura_P01[#All],MATCH($C16,Estrutura_P01[[#All],[txtMAKT-MAKTX]],0),MATCH(BU$3,Estrutura_P01[#Headers],0))=0,"",INDEX(Estrutura_P01[#All],MATCH($C16,Estrutura_P01[[#All],[txtMAKT-MAKTX]],0),MATCH(BU$3,Estrutura_P01[#Headers],0))),"")</f>
        <v/>
      </c>
      <c r="BV16" s="45">
        <v>0</v>
      </c>
      <c r="BW16" s="45" t="s">
        <v>473</v>
      </c>
      <c r="BX16" s="45"/>
      <c r="BY16" s="44"/>
      <c r="BZ16" s="49" t="str">
        <f t="shared" si="8"/>
        <v>0011</v>
      </c>
      <c r="CA16" s="49" t="str">
        <f t="shared" si="9"/>
        <v>0011</v>
      </c>
      <c r="CB16" s="45">
        <v>75</v>
      </c>
      <c r="CC16" s="44">
        <v>1</v>
      </c>
      <c r="CD16" s="50" t="s">
        <v>490</v>
      </c>
      <c r="CE16" s="80">
        <v>2</v>
      </c>
      <c r="CF16" s="80">
        <v>7</v>
      </c>
      <c r="CG16" s="95" t="str">
        <f t="shared" si="10"/>
        <v>ZM</v>
      </c>
      <c r="CH16" s="95">
        <f t="shared" si="11"/>
        <v>2</v>
      </c>
      <c r="CI16" s="95">
        <f t="shared" si="12"/>
        <v>42</v>
      </c>
      <c r="CJ16" s="95">
        <f t="shared" si="13"/>
        <v>10</v>
      </c>
      <c r="CK16" s="43" t="str">
        <f t="shared" si="14"/>
        <v>K00_C_0581</v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S16" s="43" t="str">
        <f>IFERROR(IF(INDEX(Estrutura_P01[#All],MATCH($C16,Estrutura_P01[[#All],[txtMAKT-MAKTX]],0),MATCH(CS$3,Estrutura_P01[#Headers],0))=0,"",INDEX(Estrutura_P01[#All],MATCH($C16,Estrutura_P01[[#All],[txtMAKT-MAKTX]],0),MATCH(CS$3,Estrutura_P01[#Headers],0))),"")</f>
        <v/>
      </c>
      <c r="CU16" s="43" t="str">
        <f t="shared" si="15"/>
        <v/>
      </c>
      <c r="CV16" s="55"/>
      <c r="CW16" s="43" t="str">
        <f t="shared" ca="1" si="16"/>
        <v/>
      </c>
      <c r="CX16" s="43" t="str">
        <f t="shared" si="17"/>
        <v/>
      </c>
      <c r="CZ16" s="44"/>
      <c r="DA16" s="44">
        <v>2</v>
      </c>
      <c r="DB16" s="44">
        <v>1</v>
      </c>
      <c r="DC16" s="44"/>
      <c r="DD16" s="90" t="str">
        <f t="shared" si="18"/>
        <v/>
      </c>
      <c r="DE16" s="43">
        <f t="shared" si="19"/>
        <v>0.01</v>
      </c>
      <c r="DF16" s="43" t="str">
        <f t="shared" si="20"/>
        <v>KG</v>
      </c>
      <c r="DG16" s="44">
        <v>1</v>
      </c>
      <c r="DH16" s="50" t="s">
        <v>223</v>
      </c>
      <c r="DI16" s="50" t="s">
        <v>902</v>
      </c>
      <c r="DJ16" s="43" t="str">
        <f>IFERROR(IF(INDEX(Estrutura_P01[#All],MATCH($C16,Estrutura_P01[[#All],[txtMAKT-MAKTX]],0),MATCH(DJ$3,Estrutura_P01[#Headers],0))=0,"",INDEX(Estrutura_P01[#All],MATCH($C16,Estrutura_P01[[#All],[txtMAKT-MAKTX]],0),MATCH(DJ$3,Estrutura_P01[#Headers],0))),"")</f>
        <v/>
      </c>
      <c r="DK16" s="44">
        <v>1000</v>
      </c>
      <c r="DL16" s="60">
        <v>0</v>
      </c>
      <c r="DM16" s="44"/>
      <c r="DN16" s="44">
        <v>1</v>
      </c>
      <c r="DO16" s="44">
        <v>0</v>
      </c>
      <c r="DP16" s="44" t="s">
        <v>862</v>
      </c>
      <c r="DQ16" s="45">
        <v>0</v>
      </c>
      <c r="DR16" s="44">
        <v>1000</v>
      </c>
      <c r="DS16" s="91" t="str">
        <f>IF(AQ16=68,1,IFERROR(VLOOKUP(CM16,'Listas de Dados'!BX:BY,2,0),""))</f>
        <v/>
      </c>
      <c r="DT16" s="90" t="str">
        <f t="shared" ca="1" si="21"/>
        <v/>
      </c>
      <c r="DU16" s="65"/>
    </row>
    <row r="17" spans="1:125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44"/>
      <c r="BA17" s="47"/>
      <c r="BB17" s="50"/>
      <c r="BC17" s="50">
        <v>1</v>
      </c>
      <c r="BD17" s="50" t="s">
        <v>192</v>
      </c>
      <c r="BE17" s="95" t="str">
        <f t="shared" si="4"/>
        <v>01</v>
      </c>
      <c r="BF17" s="95" t="str">
        <f t="shared" si="5"/>
        <v>NORM</v>
      </c>
      <c r="BG17" s="44">
        <v>1</v>
      </c>
      <c r="BH17" s="44">
        <v>1</v>
      </c>
      <c r="BI17" s="44">
        <v>1</v>
      </c>
      <c r="BJ17" s="95" t="str">
        <f t="shared" si="6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7"/>
        <v>581</v>
      </c>
      <c r="BS17" s="45" t="s">
        <v>40</v>
      </c>
      <c r="BT17" s="101">
        <v>25000</v>
      </c>
      <c r="BU17" s="43" t="str">
        <f>IFERROR(IF(INDEX(Estrutura_P01[#All],MATCH($C17,Estrutura_P01[[#All],[txtMAKT-MAKTX]],0),MATCH(BU$3,Estrutura_P01[#Headers],0))=0,"",INDEX(Estrutura_P01[#All],MATCH($C17,Estrutura_P01[[#All],[txtMAKT-MAKTX]],0),MATCH(BU$3,Estrutura_P01[#Headers],0))),"")</f>
        <v/>
      </c>
      <c r="BV17" s="45">
        <v>0</v>
      </c>
      <c r="BW17" s="45" t="s">
        <v>473</v>
      </c>
      <c r="BX17" s="45"/>
      <c r="BY17" s="44"/>
      <c r="BZ17" s="49" t="str">
        <f t="shared" si="8"/>
        <v>0011</v>
      </c>
      <c r="CA17" s="49" t="str">
        <f t="shared" si="9"/>
        <v>0011</v>
      </c>
      <c r="CB17" s="45">
        <v>75</v>
      </c>
      <c r="CC17" s="44">
        <v>1</v>
      </c>
      <c r="CD17" s="50" t="s">
        <v>490</v>
      </c>
      <c r="CE17" s="80">
        <v>2</v>
      </c>
      <c r="CF17" s="80">
        <v>7</v>
      </c>
      <c r="CG17" s="95" t="str">
        <f t="shared" si="10"/>
        <v>ZM</v>
      </c>
      <c r="CH17" s="95">
        <f t="shared" si="11"/>
        <v>2</v>
      </c>
      <c r="CI17" s="95">
        <f t="shared" si="12"/>
        <v>42</v>
      </c>
      <c r="CJ17" s="95">
        <f t="shared" si="13"/>
        <v>10</v>
      </c>
      <c r="CK17" s="43" t="str">
        <f t="shared" si="14"/>
        <v>K00_C_0581</v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S17" s="43" t="str">
        <f>IFERROR(IF(INDEX(Estrutura_P01[#All],MATCH($C17,Estrutura_P01[[#All],[txtMAKT-MAKTX]],0),MATCH(CS$3,Estrutura_P01[#Headers],0))=0,"",INDEX(Estrutura_P01[#All],MATCH($C17,Estrutura_P01[[#All],[txtMAKT-MAKTX]],0),MATCH(CS$3,Estrutura_P01[#Headers],0))),"")</f>
        <v/>
      </c>
      <c r="CU17" s="43" t="str">
        <f t="shared" si="15"/>
        <v/>
      </c>
      <c r="CV17" s="55"/>
      <c r="CW17" s="43" t="str">
        <f t="shared" ca="1" si="16"/>
        <v/>
      </c>
      <c r="CX17" s="43" t="str">
        <f t="shared" si="17"/>
        <v/>
      </c>
      <c r="CZ17" s="44"/>
      <c r="DA17" s="44">
        <v>2</v>
      </c>
      <c r="DB17" s="44">
        <v>1</v>
      </c>
      <c r="DC17" s="44"/>
      <c r="DD17" s="90" t="str">
        <f t="shared" si="18"/>
        <v/>
      </c>
      <c r="DE17" s="43">
        <f t="shared" si="19"/>
        <v>0.01</v>
      </c>
      <c r="DF17" s="43" t="str">
        <f t="shared" si="20"/>
        <v>KG</v>
      </c>
      <c r="DG17" s="44">
        <v>1</v>
      </c>
      <c r="DH17" s="50" t="s">
        <v>223</v>
      </c>
      <c r="DI17" s="50" t="s">
        <v>902</v>
      </c>
      <c r="DJ17" s="43" t="str">
        <f>IFERROR(IF(INDEX(Estrutura_P01[#All],MATCH($C17,Estrutura_P01[[#All],[txtMAKT-MAKTX]],0),MATCH(DJ$3,Estrutura_P01[#Headers],0))=0,"",INDEX(Estrutura_P01[#All],MATCH($C17,Estrutura_P01[[#All],[txtMAKT-MAKTX]],0),MATCH(DJ$3,Estrutura_P01[#Headers],0))),"")</f>
        <v/>
      </c>
      <c r="DK17" s="44">
        <v>1000</v>
      </c>
      <c r="DL17" s="60">
        <v>0</v>
      </c>
      <c r="DM17" s="44"/>
      <c r="DN17" s="44">
        <v>1</v>
      </c>
      <c r="DO17" s="44">
        <v>0</v>
      </c>
      <c r="DP17" s="44" t="s">
        <v>862</v>
      </c>
      <c r="DQ17" s="45">
        <v>0</v>
      </c>
      <c r="DR17" s="44">
        <v>1000</v>
      </c>
      <c r="DS17" s="91" t="str">
        <f>IF(AQ17=68,1,IFERROR(VLOOKUP(CM17,'Listas de Dados'!BX:BY,2,0),""))</f>
        <v/>
      </c>
      <c r="DT17" s="90" t="str">
        <f t="shared" ca="1" si="21"/>
        <v/>
      </c>
      <c r="DU17" s="65"/>
    </row>
    <row r="18" spans="1:125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44"/>
      <c r="BA18" s="47"/>
      <c r="BB18" s="50"/>
      <c r="BC18" s="50">
        <v>1</v>
      </c>
      <c r="BD18" s="50" t="s">
        <v>192</v>
      </c>
      <c r="BE18" s="95" t="str">
        <f t="shared" si="4"/>
        <v>01</v>
      </c>
      <c r="BF18" s="95" t="str">
        <f t="shared" si="5"/>
        <v>NORM</v>
      </c>
      <c r="BG18" s="44">
        <v>1</v>
      </c>
      <c r="BH18" s="44">
        <v>1</v>
      </c>
      <c r="BI18" s="44">
        <v>1</v>
      </c>
      <c r="BJ18" s="95" t="str">
        <f t="shared" si="6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7"/>
        <v>581</v>
      </c>
      <c r="BS18" s="45" t="s">
        <v>40</v>
      </c>
      <c r="BT18" s="101">
        <v>25000</v>
      </c>
      <c r="BU18" s="43" t="str">
        <f>IFERROR(IF(INDEX(Estrutura_P01[#All],MATCH($C18,Estrutura_P01[[#All],[txtMAKT-MAKTX]],0),MATCH(BU$3,Estrutura_P01[#Headers],0))=0,"",INDEX(Estrutura_P01[#All],MATCH($C18,Estrutura_P01[[#All],[txtMAKT-MAKTX]],0),MATCH(BU$3,Estrutura_P01[#Headers],0))),"")</f>
        <v/>
      </c>
      <c r="BV18" s="45">
        <v>0</v>
      </c>
      <c r="BW18" s="45" t="s">
        <v>473</v>
      </c>
      <c r="BX18" s="45"/>
      <c r="BY18" s="44"/>
      <c r="BZ18" s="49" t="str">
        <f t="shared" si="8"/>
        <v>0011</v>
      </c>
      <c r="CA18" s="49" t="str">
        <f t="shared" si="9"/>
        <v>0011</v>
      </c>
      <c r="CB18" s="45">
        <v>75</v>
      </c>
      <c r="CC18" s="44">
        <v>1</v>
      </c>
      <c r="CD18" s="50" t="s">
        <v>490</v>
      </c>
      <c r="CE18" s="80">
        <v>2</v>
      </c>
      <c r="CF18" s="80">
        <v>7</v>
      </c>
      <c r="CG18" s="95" t="str">
        <f t="shared" si="10"/>
        <v>ZM</v>
      </c>
      <c r="CH18" s="95">
        <f t="shared" si="11"/>
        <v>2</v>
      </c>
      <c r="CI18" s="95">
        <f t="shared" si="12"/>
        <v>42</v>
      </c>
      <c r="CJ18" s="95">
        <f t="shared" si="13"/>
        <v>10</v>
      </c>
      <c r="CK18" s="43" t="str">
        <f t="shared" si="14"/>
        <v>K00_C_0581</v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S18" s="43" t="str">
        <f>IFERROR(IF(INDEX(Estrutura_P01[#All],MATCH($C18,Estrutura_P01[[#All],[txtMAKT-MAKTX]],0),MATCH(CS$3,Estrutura_P01[#Headers],0))=0,"",INDEX(Estrutura_P01[#All],MATCH($C18,Estrutura_P01[[#All],[txtMAKT-MAKTX]],0),MATCH(CS$3,Estrutura_P01[#Headers],0))),"")</f>
        <v/>
      </c>
      <c r="CU18" s="43" t="str">
        <f t="shared" si="15"/>
        <v/>
      </c>
      <c r="CV18" s="55"/>
      <c r="CW18" s="43" t="str">
        <f t="shared" ca="1" si="16"/>
        <v/>
      </c>
      <c r="CX18" s="43" t="str">
        <f t="shared" si="17"/>
        <v/>
      </c>
      <c r="CZ18" s="44"/>
      <c r="DA18" s="44">
        <v>2</v>
      </c>
      <c r="DB18" s="44">
        <v>1</v>
      </c>
      <c r="DC18" s="44"/>
      <c r="DD18" s="90" t="str">
        <f t="shared" si="18"/>
        <v/>
      </c>
      <c r="DE18" s="43">
        <f t="shared" si="19"/>
        <v>0.01</v>
      </c>
      <c r="DF18" s="43" t="str">
        <f t="shared" si="20"/>
        <v>KG</v>
      </c>
      <c r="DG18" s="44">
        <v>1</v>
      </c>
      <c r="DH18" s="50" t="s">
        <v>223</v>
      </c>
      <c r="DI18" s="50" t="s">
        <v>902</v>
      </c>
      <c r="DJ18" s="43" t="str">
        <f>IFERROR(IF(INDEX(Estrutura_P01[#All],MATCH($C18,Estrutura_P01[[#All],[txtMAKT-MAKTX]],0),MATCH(DJ$3,Estrutura_P01[#Headers],0))=0,"",INDEX(Estrutura_P01[#All],MATCH($C18,Estrutura_P01[[#All],[txtMAKT-MAKTX]],0),MATCH(DJ$3,Estrutura_P01[#Headers],0))),"")</f>
        <v/>
      </c>
      <c r="DK18" s="44">
        <v>1000</v>
      </c>
      <c r="DL18" s="60">
        <v>0</v>
      </c>
      <c r="DM18" s="44"/>
      <c r="DN18" s="44">
        <v>1</v>
      </c>
      <c r="DO18" s="44">
        <v>0</v>
      </c>
      <c r="DP18" s="44" t="s">
        <v>862</v>
      </c>
      <c r="DQ18" s="45">
        <v>0</v>
      </c>
      <c r="DR18" s="44">
        <v>1000</v>
      </c>
      <c r="DS18" s="91" t="str">
        <f>IF(AQ18=68,1,IFERROR(VLOOKUP(CM18,'Listas de Dados'!BX:BY,2,0),""))</f>
        <v/>
      </c>
      <c r="DT18" s="90" t="str">
        <f t="shared" ca="1" si="21"/>
        <v/>
      </c>
      <c r="DU18" s="65"/>
    </row>
    <row r="19" spans="1:125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44"/>
      <c r="BA19" s="47"/>
      <c r="BB19" s="50"/>
      <c r="BC19" s="50">
        <v>1</v>
      </c>
      <c r="BD19" s="50" t="s">
        <v>192</v>
      </c>
      <c r="BE19" s="95" t="str">
        <f t="shared" si="4"/>
        <v>01</v>
      </c>
      <c r="BF19" s="95" t="str">
        <f t="shared" si="5"/>
        <v>NORM</v>
      </c>
      <c r="BG19" s="44">
        <v>1</v>
      </c>
      <c r="BH19" s="44">
        <v>1</v>
      </c>
      <c r="BI19" s="44">
        <v>1</v>
      </c>
      <c r="BJ19" s="95" t="str">
        <f t="shared" si="6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7"/>
        <v>581</v>
      </c>
      <c r="BS19" s="45" t="s">
        <v>40</v>
      </c>
      <c r="BT19" s="101">
        <v>25000</v>
      </c>
      <c r="BU19" s="43" t="str">
        <f>IFERROR(IF(INDEX(Estrutura_P01[#All],MATCH($C19,Estrutura_P01[[#All],[txtMAKT-MAKTX]],0),MATCH(BU$3,Estrutura_P01[#Headers],0))=0,"",INDEX(Estrutura_P01[#All],MATCH($C19,Estrutura_P01[[#All],[txtMAKT-MAKTX]],0),MATCH(BU$3,Estrutura_P01[#Headers],0))),"")</f>
        <v/>
      </c>
      <c r="BV19" s="45">
        <v>0</v>
      </c>
      <c r="BW19" s="45" t="s">
        <v>473</v>
      </c>
      <c r="BX19" s="45"/>
      <c r="BY19" s="44"/>
      <c r="BZ19" s="49" t="str">
        <f t="shared" si="8"/>
        <v>0011</v>
      </c>
      <c r="CA19" s="49" t="str">
        <f t="shared" si="9"/>
        <v>0011</v>
      </c>
      <c r="CB19" s="45">
        <v>75</v>
      </c>
      <c r="CC19" s="44">
        <v>1</v>
      </c>
      <c r="CD19" s="50" t="s">
        <v>490</v>
      </c>
      <c r="CE19" s="80">
        <v>2</v>
      </c>
      <c r="CF19" s="80">
        <v>7</v>
      </c>
      <c r="CG19" s="95" t="str">
        <f t="shared" si="10"/>
        <v>ZM</v>
      </c>
      <c r="CH19" s="95">
        <f t="shared" si="11"/>
        <v>2</v>
      </c>
      <c r="CI19" s="95">
        <f t="shared" si="12"/>
        <v>42</v>
      </c>
      <c r="CJ19" s="95">
        <f t="shared" si="13"/>
        <v>10</v>
      </c>
      <c r="CK19" s="43" t="str">
        <f t="shared" si="14"/>
        <v>K00_C_0581</v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S19" s="43" t="str">
        <f>IFERROR(IF(INDEX(Estrutura_P01[#All],MATCH($C19,Estrutura_P01[[#All],[txtMAKT-MAKTX]],0),MATCH(CS$3,Estrutura_P01[#Headers],0))=0,"",INDEX(Estrutura_P01[#All],MATCH($C19,Estrutura_P01[[#All],[txtMAKT-MAKTX]],0),MATCH(CS$3,Estrutura_P01[#Headers],0))),"")</f>
        <v/>
      </c>
      <c r="CU19" s="43" t="str">
        <f t="shared" si="15"/>
        <v/>
      </c>
      <c r="CV19" s="55"/>
      <c r="CW19" s="43" t="str">
        <f t="shared" ca="1" si="16"/>
        <v/>
      </c>
      <c r="CX19" s="43" t="str">
        <f t="shared" si="17"/>
        <v/>
      </c>
      <c r="CZ19" s="44"/>
      <c r="DA19" s="44">
        <v>2</v>
      </c>
      <c r="DB19" s="44">
        <v>1</v>
      </c>
      <c r="DC19" s="44"/>
      <c r="DD19" s="90" t="str">
        <f t="shared" si="18"/>
        <v/>
      </c>
      <c r="DE19" s="43">
        <f t="shared" si="19"/>
        <v>0.01</v>
      </c>
      <c r="DF19" s="43" t="str">
        <f t="shared" si="20"/>
        <v>KG</v>
      </c>
      <c r="DG19" s="44">
        <v>1</v>
      </c>
      <c r="DH19" s="50" t="s">
        <v>223</v>
      </c>
      <c r="DI19" s="50" t="s">
        <v>902</v>
      </c>
      <c r="DJ19" s="43" t="str">
        <f>IFERROR(IF(INDEX(Estrutura_P01[#All],MATCH($C19,Estrutura_P01[[#All],[txtMAKT-MAKTX]],0),MATCH(DJ$3,Estrutura_P01[#Headers],0))=0,"",INDEX(Estrutura_P01[#All],MATCH($C19,Estrutura_P01[[#All],[txtMAKT-MAKTX]],0),MATCH(DJ$3,Estrutura_P01[#Headers],0))),"")</f>
        <v/>
      </c>
      <c r="DK19" s="44">
        <v>1000</v>
      </c>
      <c r="DL19" s="60">
        <v>0</v>
      </c>
      <c r="DM19" s="44"/>
      <c r="DN19" s="44">
        <v>1</v>
      </c>
      <c r="DO19" s="44">
        <v>0</v>
      </c>
      <c r="DP19" s="44" t="s">
        <v>862</v>
      </c>
      <c r="DQ19" s="45">
        <v>0</v>
      </c>
      <c r="DR19" s="44">
        <v>1000</v>
      </c>
      <c r="DS19" s="91" t="str">
        <f>IF(AQ19=68,1,IFERROR(VLOOKUP(CM19,'Listas de Dados'!BX:BY,2,0),""))</f>
        <v/>
      </c>
      <c r="DT19" s="90" t="str">
        <f t="shared" ca="1" si="21"/>
        <v/>
      </c>
      <c r="DU19" s="65"/>
    </row>
    <row r="20" spans="1:125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44"/>
      <c r="BA20" s="47"/>
      <c r="BB20" s="50"/>
      <c r="BC20" s="50">
        <v>1</v>
      </c>
      <c r="BD20" s="50" t="s">
        <v>192</v>
      </c>
      <c r="BE20" s="95" t="str">
        <f t="shared" si="4"/>
        <v>01</v>
      </c>
      <c r="BF20" s="95" t="str">
        <f t="shared" si="5"/>
        <v>NORM</v>
      </c>
      <c r="BG20" s="44">
        <v>1</v>
      </c>
      <c r="BH20" s="44">
        <v>1</v>
      </c>
      <c r="BI20" s="44">
        <v>1</v>
      </c>
      <c r="BJ20" s="95" t="str">
        <f t="shared" si="6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7"/>
        <v>581</v>
      </c>
      <c r="BS20" s="45" t="s">
        <v>40</v>
      </c>
      <c r="BT20" s="101">
        <v>25000</v>
      </c>
      <c r="BU20" s="43" t="str">
        <f>IFERROR(IF(INDEX(Estrutura_P01[#All],MATCH($C20,Estrutura_P01[[#All],[txtMAKT-MAKTX]],0),MATCH(BU$3,Estrutura_P01[#Headers],0))=0,"",INDEX(Estrutura_P01[#All],MATCH($C20,Estrutura_P01[[#All],[txtMAKT-MAKTX]],0),MATCH(BU$3,Estrutura_P01[#Headers],0))),"")</f>
        <v/>
      </c>
      <c r="BV20" s="45">
        <v>0</v>
      </c>
      <c r="BW20" s="45" t="s">
        <v>473</v>
      </c>
      <c r="BX20" s="45"/>
      <c r="BY20" s="44"/>
      <c r="BZ20" s="49" t="str">
        <f t="shared" si="8"/>
        <v>0011</v>
      </c>
      <c r="CA20" s="49" t="str">
        <f t="shared" si="9"/>
        <v>0011</v>
      </c>
      <c r="CB20" s="45">
        <v>75</v>
      </c>
      <c r="CC20" s="44">
        <v>1</v>
      </c>
      <c r="CD20" s="50" t="s">
        <v>490</v>
      </c>
      <c r="CE20" s="80">
        <v>2</v>
      </c>
      <c r="CF20" s="80">
        <v>7</v>
      </c>
      <c r="CG20" s="95" t="str">
        <f t="shared" si="10"/>
        <v>ZM</v>
      </c>
      <c r="CH20" s="95">
        <f t="shared" si="11"/>
        <v>2</v>
      </c>
      <c r="CI20" s="95">
        <f t="shared" si="12"/>
        <v>42</v>
      </c>
      <c r="CJ20" s="95">
        <f t="shared" si="13"/>
        <v>10</v>
      </c>
      <c r="CK20" s="43" t="str">
        <f t="shared" si="14"/>
        <v>K00_C_0581</v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S20" s="43" t="str">
        <f>IFERROR(IF(INDEX(Estrutura_P01[#All],MATCH($C20,Estrutura_P01[[#All],[txtMAKT-MAKTX]],0),MATCH(CS$3,Estrutura_P01[#Headers],0))=0,"",INDEX(Estrutura_P01[#All],MATCH($C20,Estrutura_P01[[#All],[txtMAKT-MAKTX]],0),MATCH(CS$3,Estrutura_P01[#Headers],0))),"")</f>
        <v/>
      </c>
      <c r="CU20" s="43" t="str">
        <f t="shared" si="15"/>
        <v/>
      </c>
      <c r="CV20" s="55"/>
      <c r="CW20" s="43" t="str">
        <f t="shared" ca="1" si="16"/>
        <v/>
      </c>
      <c r="CX20" s="43" t="str">
        <f t="shared" si="17"/>
        <v/>
      </c>
      <c r="CZ20" s="44"/>
      <c r="DA20" s="44">
        <v>2</v>
      </c>
      <c r="DB20" s="44">
        <v>1</v>
      </c>
      <c r="DC20" s="44"/>
      <c r="DD20" s="90" t="str">
        <f t="shared" si="18"/>
        <v/>
      </c>
      <c r="DE20" s="43">
        <f t="shared" si="19"/>
        <v>0.01</v>
      </c>
      <c r="DF20" s="43" t="str">
        <f t="shared" si="20"/>
        <v>KG</v>
      </c>
      <c r="DG20" s="44">
        <v>1</v>
      </c>
      <c r="DH20" s="50" t="s">
        <v>223</v>
      </c>
      <c r="DI20" s="50" t="s">
        <v>902</v>
      </c>
      <c r="DJ20" s="43" t="str">
        <f>IFERROR(IF(INDEX(Estrutura_P01[#All],MATCH($C20,Estrutura_P01[[#All],[txtMAKT-MAKTX]],0),MATCH(DJ$3,Estrutura_P01[#Headers],0))=0,"",INDEX(Estrutura_P01[#All],MATCH($C20,Estrutura_P01[[#All],[txtMAKT-MAKTX]],0),MATCH(DJ$3,Estrutura_P01[#Headers],0))),"")</f>
        <v/>
      </c>
      <c r="DK20" s="44">
        <v>1000</v>
      </c>
      <c r="DL20" s="60">
        <v>0</v>
      </c>
      <c r="DM20" s="44"/>
      <c r="DN20" s="44">
        <v>1</v>
      </c>
      <c r="DO20" s="44">
        <v>0</v>
      </c>
      <c r="DP20" s="44" t="s">
        <v>862</v>
      </c>
      <c r="DQ20" s="45">
        <v>0</v>
      </c>
      <c r="DR20" s="44">
        <v>1000</v>
      </c>
      <c r="DS20" s="91" t="str">
        <f>IF(AQ20=68,1,IFERROR(VLOOKUP(CM20,'Listas de Dados'!BX:BY,2,0),""))</f>
        <v/>
      </c>
      <c r="DT20" s="90" t="str">
        <f t="shared" ca="1" si="21"/>
        <v/>
      </c>
      <c r="DU20" s="65"/>
    </row>
    <row r="21" spans="1:125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44"/>
      <c r="BA21" s="47"/>
      <c r="BB21" s="50"/>
      <c r="BC21" s="50">
        <v>1</v>
      </c>
      <c r="BD21" s="50" t="s">
        <v>192</v>
      </c>
      <c r="BE21" s="95" t="str">
        <f t="shared" si="4"/>
        <v>01</v>
      </c>
      <c r="BF21" s="95" t="str">
        <f t="shared" si="5"/>
        <v>NORM</v>
      </c>
      <c r="BG21" s="44">
        <v>1</v>
      </c>
      <c r="BH21" s="44">
        <v>1</v>
      </c>
      <c r="BI21" s="44">
        <v>1</v>
      </c>
      <c r="BJ21" s="95" t="str">
        <f t="shared" si="6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7"/>
        <v>581</v>
      </c>
      <c r="BS21" s="45" t="s">
        <v>40</v>
      </c>
      <c r="BT21" s="101">
        <v>25000</v>
      </c>
      <c r="BU21" s="43" t="str">
        <f>IFERROR(IF(INDEX(Estrutura_P01[#All],MATCH($C21,Estrutura_P01[[#All],[txtMAKT-MAKTX]],0),MATCH(BU$3,Estrutura_P01[#Headers],0))=0,"",INDEX(Estrutura_P01[#All],MATCH($C21,Estrutura_P01[[#All],[txtMAKT-MAKTX]],0),MATCH(BU$3,Estrutura_P01[#Headers],0))),"")</f>
        <v/>
      </c>
      <c r="BV21" s="45">
        <v>0</v>
      </c>
      <c r="BW21" s="45" t="s">
        <v>473</v>
      </c>
      <c r="BX21" s="45"/>
      <c r="BY21" s="44"/>
      <c r="BZ21" s="49" t="str">
        <f t="shared" si="8"/>
        <v>0011</v>
      </c>
      <c r="CA21" s="49" t="str">
        <f t="shared" si="9"/>
        <v>0011</v>
      </c>
      <c r="CB21" s="45">
        <v>75</v>
      </c>
      <c r="CC21" s="44">
        <v>1</v>
      </c>
      <c r="CD21" s="50" t="s">
        <v>490</v>
      </c>
      <c r="CE21" s="80">
        <v>2</v>
      </c>
      <c r="CF21" s="80">
        <v>7</v>
      </c>
      <c r="CG21" s="95" t="str">
        <f t="shared" si="10"/>
        <v>ZM</v>
      </c>
      <c r="CH21" s="95">
        <f t="shared" si="11"/>
        <v>2</v>
      </c>
      <c r="CI21" s="95">
        <f t="shared" si="12"/>
        <v>42</v>
      </c>
      <c r="CJ21" s="95">
        <f t="shared" si="13"/>
        <v>10</v>
      </c>
      <c r="CK21" s="43" t="str">
        <f t="shared" si="14"/>
        <v>K00_C_0581</v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S21" s="43" t="str">
        <f>IFERROR(IF(INDEX(Estrutura_P01[#All],MATCH($C21,Estrutura_P01[[#All],[txtMAKT-MAKTX]],0),MATCH(CS$3,Estrutura_P01[#Headers],0))=0,"",INDEX(Estrutura_P01[#All],MATCH($C21,Estrutura_P01[[#All],[txtMAKT-MAKTX]],0),MATCH(CS$3,Estrutura_P01[#Headers],0))),"")</f>
        <v/>
      </c>
      <c r="CU21" s="43" t="str">
        <f t="shared" si="15"/>
        <v/>
      </c>
      <c r="CV21" s="55"/>
      <c r="CW21" s="43" t="str">
        <f t="shared" ca="1" si="16"/>
        <v/>
      </c>
      <c r="CX21" s="43" t="str">
        <f t="shared" si="17"/>
        <v/>
      </c>
      <c r="CZ21" s="44"/>
      <c r="DA21" s="44">
        <v>2</v>
      </c>
      <c r="DB21" s="44">
        <v>1</v>
      </c>
      <c r="DC21" s="44"/>
      <c r="DD21" s="90" t="str">
        <f t="shared" si="18"/>
        <v/>
      </c>
      <c r="DE21" s="43">
        <f t="shared" si="19"/>
        <v>0.01</v>
      </c>
      <c r="DF21" s="43" t="str">
        <f t="shared" si="20"/>
        <v>KG</v>
      </c>
      <c r="DG21" s="44">
        <v>1</v>
      </c>
      <c r="DH21" s="50" t="s">
        <v>223</v>
      </c>
      <c r="DI21" s="50" t="s">
        <v>902</v>
      </c>
      <c r="DJ21" s="43" t="str">
        <f>IFERROR(IF(INDEX(Estrutura_P01[#All],MATCH($C21,Estrutura_P01[[#All],[txtMAKT-MAKTX]],0),MATCH(DJ$3,Estrutura_P01[#Headers],0))=0,"",INDEX(Estrutura_P01[#All],MATCH($C21,Estrutura_P01[[#All],[txtMAKT-MAKTX]],0),MATCH(DJ$3,Estrutura_P01[#Headers],0))),"")</f>
        <v/>
      </c>
      <c r="DK21" s="44">
        <v>1000</v>
      </c>
      <c r="DL21" s="60">
        <v>0</v>
      </c>
      <c r="DM21" s="44"/>
      <c r="DN21" s="44">
        <v>1</v>
      </c>
      <c r="DO21" s="44">
        <v>0</v>
      </c>
      <c r="DP21" s="44" t="s">
        <v>862</v>
      </c>
      <c r="DQ21" s="45">
        <v>0</v>
      </c>
      <c r="DR21" s="44">
        <v>1000</v>
      </c>
      <c r="DS21" s="91" t="str">
        <f>IF(AQ21=68,1,IFERROR(VLOOKUP(CM21,'Listas de Dados'!BX:BY,2,0),""))</f>
        <v/>
      </c>
      <c r="DT21" s="90" t="str">
        <f t="shared" ca="1" si="21"/>
        <v/>
      </c>
      <c r="DU21" s="65"/>
    </row>
    <row r="22" spans="1:125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44"/>
      <c r="BA22" s="47"/>
      <c r="BB22" s="50"/>
      <c r="BC22" s="50">
        <v>1</v>
      </c>
      <c r="BD22" s="50" t="s">
        <v>192</v>
      </c>
      <c r="BE22" s="95" t="str">
        <f t="shared" si="4"/>
        <v>01</v>
      </c>
      <c r="BF22" s="95" t="str">
        <f t="shared" si="5"/>
        <v>NORM</v>
      </c>
      <c r="BG22" s="44">
        <v>1</v>
      </c>
      <c r="BH22" s="44">
        <v>1</v>
      </c>
      <c r="BI22" s="44">
        <v>1</v>
      </c>
      <c r="BJ22" s="95" t="str">
        <f t="shared" si="6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7"/>
        <v>581</v>
      </c>
      <c r="BS22" s="45" t="s">
        <v>40</v>
      </c>
      <c r="BT22" s="101">
        <v>25000</v>
      </c>
      <c r="BU22" s="43" t="str">
        <f>IFERROR(IF(INDEX(Estrutura_P01[#All],MATCH($C22,Estrutura_P01[[#All],[txtMAKT-MAKTX]],0),MATCH(BU$3,Estrutura_P01[#Headers],0))=0,"",INDEX(Estrutura_P01[#All],MATCH($C22,Estrutura_P01[[#All],[txtMAKT-MAKTX]],0),MATCH(BU$3,Estrutura_P01[#Headers],0))),"")</f>
        <v/>
      </c>
      <c r="BV22" s="45">
        <v>0</v>
      </c>
      <c r="BW22" s="45" t="s">
        <v>473</v>
      </c>
      <c r="BX22" s="45"/>
      <c r="BY22" s="44"/>
      <c r="BZ22" s="49" t="str">
        <f t="shared" si="8"/>
        <v>0011</v>
      </c>
      <c r="CA22" s="49" t="str">
        <f t="shared" si="9"/>
        <v>0011</v>
      </c>
      <c r="CB22" s="45">
        <v>75</v>
      </c>
      <c r="CC22" s="44">
        <v>1</v>
      </c>
      <c r="CD22" s="50" t="s">
        <v>490</v>
      </c>
      <c r="CE22" s="80">
        <v>2</v>
      </c>
      <c r="CF22" s="80">
        <v>7</v>
      </c>
      <c r="CG22" s="95" t="str">
        <f t="shared" si="10"/>
        <v>ZM</v>
      </c>
      <c r="CH22" s="95">
        <f t="shared" si="11"/>
        <v>2</v>
      </c>
      <c r="CI22" s="95">
        <f t="shared" si="12"/>
        <v>42</v>
      </c>
      <c r="CJ22" s="95">
        <f t="shared" si="13"/>
        <v>10</v>
      </c>
      <c r="CK22" s="43" t="str">
        <f t="shared" si="14"/>
        <v>K00_C_0581</v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S22" s="43" t="str">
        <f>IFERROR(IF(INDEX(Estrutura_P01[#All],MATCH($C22,Estrutura_P01[[#All],[txtMAKT-MAKTX]],0),MATCH(CS$3,Estrutura_P01[#Headers],0))=0,"",INDEX(Estrutura_P01[#All],MATCH($C22,Estrutura_P01[[#All],[txtMAKT-MAKTX]],0),MATCH(CS$3,Estrutura_P01[#Headers],0))),"")</f>
        <v/>
      </c>
      <c r="CU22" s="43" t="str">
        <f t="shared" si="15"/>
        <v/>
      </c>
      <c r="CV22" s="55"/>
      <c r="CW22" s="43" t="str">
        <f t="shared" ca="1" si="16"/>
        <v/>
      </c>
      <c r="CX22" s="43" t="str">
        <f t="shared" si="17"/>
        <v/>
      </c>
      <c r="CZ22" s="44"/>
      <c r="DA22" s="44">
        <v>2</v>
      </c>
      <c r="DB22" s="44">
        <v>1</v>
      </c>
      <c r="DC22" s="44"/>
      <c r="DD22" s="90" t="str">
        <f t="shared" si="18"/>
        <v/>
      </c>
      <c r="DE22" s="43">
        <f t="shared" si="19"/>
        <v>0.01</v>
      </c>
      <c r="DF22" s="43" t="str">
        <f t="shared" si="20"/>
        <v>KG</v>
      </c>
      <c r="DG22" s="44">
        <v>1</v>
      </c>
      <c r="DH22" s="50" t="s">
        <v>223</v>
      </c>
      <c r="DI22" s="50" t="s">
        <v>902</v>
      </c>
      <c r="DJ22" s="43" t="str">
        <f>IFERROR(IF(INDEX(Estrutura_P01[#All],MATCH($C22,Estrutura_P01[[#All],[txtMAKT-MAKTX]],0),MATCH(DJ$3,Estrutura_P01[#Headers],0))=0,"",INDEX(Estrutura_P01[#All],MATCH($C22,Estrutura_P01[[#All],[txtMAKT-MAKTX]],0),MATCH(DJ$3,Estrutura_P01[#Headers],0))),"")</f>
        <v/>
      </c>
      <c r="DK22" s="44">
        <v>1000</v>
      </c>
      <c r="DL22" s="60">
        <v>0</v>
      </c>
      <c r="DM22" s="44"/>
      <c r="DN22" s="44">
        <v>1</v>
      </c>
      <c r="DO22" s="44">
        <v>0</v>
      </c>
      <c r="DP22" s="44" t="s">
        <v>862</v>
      </c>
      <c r="DQ22" s="45">
        <v>0</v>
      </c>
      <c r="DR22" s="44">
        <v>1000</v>
      </c>
      <c r="DS22" s="91" t="str">
        <f>IF(AQ22=68,1,IFERROR(VLOOKUP(CM22,'Listas de Dados'!BX:BY,2,0),""))</f>
        <v/>
      </c>
      <c r="DT22" s="90" t="str">
        <f t="shared" ca="1" si="21"/>
        <v/>
      </c>
      <c r="DU22" s="65"/>
    </row>
    <row r="23" spans="1:125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44"/>
      <c r="BA23" s="47"/>
      <c r="BB23" s="50"/>
      <c r="BC23" s="50">
        <v>1</v>
      </c>
      <c r="BD23" s="50" t="s">
        <v>192</v>
      </c>
      <c r="BE23" s="95" t="str">
        <f t="shared" si="4"/>
        <v>01</v>
      </c>
      <c r="BF23" s="95" t="str">
        <f t="shared" si="5"/>
        <v>NORM</v>
      </c>
      <c r="BG23" s="44">
        <v>1</v>
      </c>
      <c r="BH23" s="44">
        <v>1</v>
      </c>
      <c r="BI23" s="44">
        <v>1</v>
      </c>
      <c r="BJ23" s="95" t="str">
        <f t="shared" si="6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7"/>
        <v>581</v>
      </c>
      <c r="BS23" s="45" t="s">
        <v>40</v>
      </c>
      <c r="BT23" s="101">
        <v>25000</v>
      </c>
      <c r="BU23" s="43" t="str">
        <f>IFERROR(IF(INDEX(Estrutura_P01[#All],MATCH($C23,Estrutura_P01[[#All],[txtMAKT-MAKTX]],0),MATCH(BU$3,Estrutura_P01[#Headers],0))=0,"",INDEX(Estrutura_P01[#All],MATCH($C23,Estrutura_P01[[#All],[txtMAKT-MAKTX]],0),MATCH(BU$3,Estrutura_P01[#Headers],0))),"")</f>
        <v/>
      </c>
      <c r="BV23" s="45">
        <v>0</v>
      </c>
      <c r="BW23" s="45" t="s">
        <v>473</v>
      </c>
      <c r="BX23" s="45"/>
      <c r="BY23" s="44"/>
      <c r="BZ23" s="49" t="str">
        <f t="shared" si="8"/>
        <v>0011</v>
      </c>
      <c r="CA23" s="49" t="str">
        <f t="shared" si="9"/>
        <v>0011</v>
      </c>
      <c r="CB23" s="45">
        <v>75</v>
      </c>
      <c r="CC23" s="44">
        <v>1</v>
      </c>
      <c r="CD23" s="50" t="s">
        <v>490</v>
      </c>
      <c r="CE23" s="80">
        <v>2</v>
      </c>
      <c r="CF23" s="80">
        <v>7</v>
      </c>
      <c r="CG23" s="95" t="str">
        <f t="shared" si="10"/>
        <v>ZM</v>
      </c>
      <c r="CH23" s="95">
        <f t="shared" si="11"/>
        <v>2</v>
      </c>
      <c r="CI23" s="95">
        <f t="shared" si="12"/>
        <v>42</v>
      </c>
      <c r="CJ23" s="95">
        <f t="shared" si="13"/>
        <v>10</v>
      </c>
      <c r="CK23" s="43" t="str">
        <f t="shared" si="14"/>
        <v>K00_C_0581</v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S23" s="43" t="str">
        <f>IFERROR(IF(INDEX(Estrutura_P01[#All],MATCH($C23,Estrutura_P01[[#All],[txtMAKT-MAKTX]],0),MATCH(CS$3,Estrutura_P01[#Headers],0))=0,"",INDEX(Estrutura_P01[#All],MATCH($C23,Estrutura_P01[[#All],[txtMAKT-MAKTX]],0),MATCH(CS$3,Estrutura_P01[#Headers],0))),"")</f>
        <v/>
      </c>
      <c r="CU23" s="43" t="str">
        <f t="shared" si="15"/>
        <v/>
      </c>
      <c r="CV23" s="55"/>
      <c r="CW23" s="43" t="str">
        <f t="shared" ca="1" si="16"/>
        <v/>
      </c>
      <c r="CX23" s="43" t="str">
        <f t="shared" si="17"/>
        <v/>
      </c>
      <c r="CZ23" s="44"/>
      <c r="DA23" s="44">
        <v>2</v>
      </c>
      <c r="DB23" s="44">
        <v>1</v>
      </c>
      <c r="DC23" s="44"/>
      <c r="DD23" s="90" t="str">
        <f t="shared" si="18"/>
        <v/>
      </c>
      <c r="DE23" s="43">
        <f t="shared" si="19"/>
        <v>0.01</v>
      </c>
      <c r="DF23" s="43" t="str">
        <f t="shared" si="20"/>
        <v>KG</v>
      </c>
      <c r="DG23" s="44">
        <v>1</v>
      </c>
      <c r="DH23" s="50" t="s">
        <v>223</v>
      </c>
      <c r="DI23" s="50" t="s">
        <v>902</v>
      </c>
      <c r="DJ23" s="43" t="str">
        <f>IFERROR(IF(INDEX(Estrutura_P01[#All],MATCH($C23,Estrutura_P01[[#All],[txtMAKT-MAKTX]],0),MATCH(DJ$3,Estrutura_P01[#Headers],0))=0,"",INDEX(Estrutura_P01[#All],MATCH($C23,Estrutura_P01[[#All],[txtMAKT-MAKTX]],0),MATCH(DJ$3,Estrutura_P01[#Headers],0))),"")</f>
        <v/>
      </c>
      <c r="DK23" s="44">
        <v>1000</v>
      </c>
      <c r="DL23" s="60">
        <v>0</v>
      </c>
      <c r="DM23" s="44"/>
      <c r="DN23" s="44">
        <v>1</v>
      </c>
      <c r="DO23" s="44">
        <v>0</v>
      </c>
      <c r="DP23" s="44" t="s">
        <v>862</v>
      </c>
      <c r="DQ23" s="45">
        <v>0</v>
      </c>
      <c r="DR23" s="44">
        <v>1000</v>
      </c>
      <c r="DS23" s="91" t="str">
        <f>IF(AQ23=68,1,IFERROR(VLOOKUP(CM23,'Listas de Dados'!BX:BY,2,0),""))</f>
        <v/>
      </c>
      <c r="DT23" s="90" t="str">
        <f t="shared" ca="1" si="21"/>
        <v/>
      </c>
      <c r="DU23" s="65"/>
    </row>
    <row r="24" spans="1:125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44"/>
      <c r="BA24" s="47"/>
      <c r="BB24" s="50"/>
      <c r="BC24" s="50">
        <v>1</v>
      </c>
      <c r="BD24" s="50" t="s">
        <v>192</v>
      </c>
      <c r="BE24" s="95" t="str">
        <f t="shared" si="4"/>
        <v>01</v>
      </c>
      <c r="BF24" s="95" t="str">
        <f t="shared" si="5"/>
        <v>NORM</v>
      </c>
      <c r="BG24" s="44">
        <v>1</v>
      </c>
      <c r="BH24" s="44">
        <v>1</v>
      </c>
      <c r="BI24" s="44">
        <v>1</v>
      </c>
      <c r="BJ24" s="95" t="str">
        <f t="shared" si="6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7"/>
        <v>581</v>
      </c>
      <c r="BS24" s="45" t="s">
        <v>40</v>
      </c>
      <c r="BT24" s="101">
        <v>25000</v>
      </c>
      <c r="BU24" s="43" t="str">
        <f>IFERROR(IF(INDEX(Estrutura_P01[#All],MATCH($C24,Estrutura_P01[[#All],[txtMAKT-MAKTX]],0),MATCH(BU$3,Estrutura_P01[#Headers],0))=0,"",INDEX(Estrutura_P01[#All],MATCH($C24,Estrutura_P01[[#All],[txtMAKT-MAKTX]],0),MATCH(BU$3,Estrutura_P01[#Headers],0))),"")</f>
        <v/>
      </c>
      <c r="BV24" s="45">
        <v>0</v>
      </c>
      <c r="BW24" s="45" t="s">
        <v>473</v>
      </c>
      <c r="BX24" s="45"/>
      <c r="BY24" s="44"/>
      <c r="BZ24" s="49" t="str">
        <f t="shared" si="8"/>
        <v>0011</v>
      </c>
      <c r="CA24" s="49" t="str">
        <f t="shared" si="9"/>
        <v>0011</v>
      </c>
      <c r="CB24" s="45">
        <v>75</v>
      </c>
      <c r="CC24" s="44">
        <v>1</v>
      </c>
      <c r="CD24" s="50" t="s">
        <v>490</v>
      </c>
      <c r="CE24" s="80">
        <v>2</v>
      </c>
      <c r="CF24" s="80">
        <v>7</v>
      </c>
      <c r="CG24" s="95" t="str">
        <f t="shared" si="10"/>
        <v>ZM</v>
      </c>
      <c r="CH24" s="95">
        <f t="shared" si="11"/>
        <v>2</v>
      </c>
      <c r="CI24" s="95">
        <f t="shared" si="12"/>
        <v>42</v>
      </c>
      <c r="CJ24" s="95">
        <f t="shared" si="13"/>
        <v>10</v>
      </c>
      <c r="CK24" s="43" t="str">
        <f t="shared" si="14"/>
        <v>K00_C_0581</v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S24" s="43" t="str">
        <f>IFERROR(IF(INDEX(Estrutura_P01[#All],MATCH($C24,Estrutura_P01[[#All],[txtMAKT-MAKTX]],0),MATCH(CS$3,Estrutura_P01[#Headers],0))=0,"",INDEX(Estrutura_P01[#All],MATCH($C24,Estrutura_P01[[#All],[txtMAKT-MAKTX]],0),MATCH(CS$3,Estrutura_P01[#Headers],0))),"")</f>
        <v/>
      </c>
      <c r="CU24" s="43" t="str">
        <f t="shared" si="15"/>
        <v/>
      </c>
      <c r="CV24" s="55"/>
      <c r="CW24" s="43" t="str">
        <f t="shared" ca="1" si="16"/>
        <v/>
      </c>
      <c r="CX24" s="43" t="str">
        <f t="shared" si="17"/>
        <v/>
      </c>
      <c r="CZ24" s="44"/>
      <c r="DA24" s="44">
        <v>2</v>
      </c>
      <c r="DB24" s="44">
        <v>1</v>
      </c>
      <c r="DC24" s="44"/>
      <c r="DD24" s="90" t="str">
        <f t="shared" si="18"/>
        <v/>
      </c>
      <c r="DE24" s="43">
        <f t="shared" si="19"/>
        <v>0.01</v>
      </c>
      <c r="DF24" s="43" t="str">
        <f t="shared" si="20"/>
        <v>KG</v>
      </c>
      <c r="DG24" s="44">
        <v>1</v>
      </c>
      <c r="DH24" s="50" t="s">
        <v>223</v>
      </c>
      <c r="DI24" s="50" t="s">
        <v>902</v>
      </c>
      <c r="DJ24" s="43" t="str">
        <f>IFERROR(IF(INDEX(Estrutura_P01[#All],MATCH($C24,Estrutura_P01[[#All],[txtMAKT-MAKTX]],0),MATCH(DJ$3,Estrutura_P01[#Headers],0))=0,"",INDEX(Estrutura_P01[#All],MATCH($C24,Estrutura_P01[[#All],[txtMAKT-MAKTX]],0),MATCH(DJ$3,Estrutura_P01[#Headers],0))),"")</f>
        <v/>
      </c>
      <c r="DK24" s="44">
        <v>1000</v>
      </c>
      <c r="DL24" s="60">
        <v>0</v>
      </c>
      <c r="DM24" s="44"/>
      <c r="DN24" s="44">
        <v>1</v>
      </c>
      <c r="DO24" s="44">
        <v>0</v>
      </c>
      <c r="DP24" s="44" t="s">
        <v>862</v>
      </c>
      <c r="DQ24" s="45">
        <v>0</v>
      </c>
      <c r="DR24" s="44">
        <v>1000</v>
      </c>
      <c r="DS24" s="91" t="str">
        <f>IF(AQ24=68,1,IFERROR(VLOOKUP(CM24,'Listas de Dados'!BX:BY,2,0),""))</f>
        <v/>
      </c>
      <c r="DT24" s="90" t="str">
        <f t="shared" ca="1" si="21"/>
        <v/>
      </c>
      <c r="DU24" s="65"/>
    </row>
    <row r="25" spans="1:125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44"/>
      <c r="BA25" s="47"/>
      <c r="BB25" s="50"/>
      <c r="BC25" s="50">
        <v>1</v>
      </c>
      <c r="BD25" s="50" t="s">
        <v>192</v>
      </c>
      <c r="BE25" s="95" t="str">
        <f t="shared" si="4"/>
        <v>01</v>
      </c>
      <c r="BF25" s="95" t="str">
        <f t="shared" si="5"/>
        <v>NORM</v>
      </c>
      <c r="BG25" s="44">
        <v>1</v>
      </c>
      <c r="BH25" s="44">
        <v>1</v>
      </c>
      <c r="BI25" s="44">
        <v>1</v>
      </c>
      <c r="BJ25" s="95" t="str">
        <f t="shared" si="6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7"/>
        <v>581</v>
      </c>
      <c r="BS25" s="45" t="s">
        <v>40</v>
      </c>
      <c r="BT25" s="101">
        <v>25000</v>
      </c>
      <c r="BU25" s="43" t="str">
        <f>IFERROR(IF(INDEX(Estrutura_P01[#All],MATCH($C25,Estrutura_P01[[#All],[txtMAKT-MAKTX]],0),MATCH(BU$3,Estrutura_P01[#Headers],0))=0,"",INDEX(Estrutura_P01[#All],MATCH($C25,Estrutura_P01[[#All],[txtMAKT-MAKTX]],0),MATCH(BU$3,Estrutura_P01[#Headers],0))),"")</f>
        <v/>
      </c>
      <c r="BV25" s="45">
        <v>0</v>
      </c>
      <c r="BW25" s="45" t="s">
        <v>473</v>
      </c>
      <c r="BX25" s="45"/>
      <c r="BY25" s="44"/>
      <c r="BZ25" s="49" t="str">
        <f t="shared" si="8"/>
        <v>0011</v>
      </c>
      <c r="CA25" s="49" t="str">
        <f t="shared" si="9"/>
        <v>0011</v>
      </c>
      <c r="CB25" s="45">
        <v>75</v>
      </c>
      <c r="CC25" s="44">
        <v>1</v>
      </c>
      <c r="CD25" s="50" t="s">
        <v>490</v>
      </c>
      <c r="CE25" s="80">
        <v>2</v>
      </c>
      <c r="CF25" s="80">
        <v>7</v>
      </c>
      <c r="CG25" s="95" t="str">
        <f t="shared" si="10"/>
        <v>ZM</v>
      </c>
      <c r="CH25" s="95">
        <f t="shared" si="11"/>
        <v>2</v>
      </c>
      <c r="CI25" s="95">
        <f t="shared" si="12"/>
        <v>42</v>
      </c>
      <c r="CJ25" s="95">
        <f t="shared" si="13"/>
        <v>10</v>
      </c>
      <c r="CK25" s="43" t="str">
        <f t="shared" si="14"/>
        <v>K00_C_0581</v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S25" s="43" t="str">
        <f>IFERROR(IF(INDEX(Estrutura_P01[#All],MATCH($C25,Estrutura_P01[[#All],[txtMAKT-MAKTX]],0),MATCH(CS$3,Estrutura_P01[#Headers],0))=0,"",INDEX(Estrutura_P01[#All],MATCH($C25,Estrutura_P01[[#All],[txtMAKT-MAKTX]],0),MATCH(CS$3,Estrutura_P01[#Headers],0))),"")</f>
        <v/>
      </c>
      <c r="CU25" s="43" t="str">
        <f t="shared" si="15"/>
        <v/>
      </c>
      <c r="CV25" s="55"/>
      <c r="CW25" s="43" t="str">
        <f t="shared" ca="1" si="16"/>
        <v/>
      </c>
      <c r="CX25" s="43" t="str">
        <f t="shared" si="17"/>
        <v/>
      </c>
      <c r="CZ25" s="44"/>
      <c r="DA25" s="44">
        <v>2</v>
      </c>
      <c r="DB25" s="44">
        <v>1</v>
      </c>
      <c r="DC25" s="44"/>
      <c r="DD25" s="90" t="str">
        <f t="shared" si="18"/>
        <v/>
      </c>
      <c r="DE25" s="43">
        <f t="shared" si="19"/>
        <v>0.01</v>
      </c>
      <c r="DF25" s="43" t="str">
        <f t="shared" si="20"/>
        <v>KG</v>
      </c>
      <c r="DG25" s="44">
        <v>1</v>
      </c>
      <c r="DH25" s="50" t="s">
        <v>223</v>
      </c>
      <c r="DI25" s="50" t="s">
        <v>902</v>
      </c>
      <c r="DJ25" s="43" t="str">
        <f>IFERROR(IF(INDEX(Estrutura_P01[#All],MATCH($C25,Estrutura_P01[[#All],[txtMAKT-MAKTX]],0),MATCH(DJ$3,Estrutura_P01[#Headers],0))=0,"",INDEX(Estrutura_P01[#All],MATCH($C25,Estrutura_P01[[#All],[txtMAKT-MAKTX]],0),MATCH(DJ$3,Estrutura_P01[#Headers],0))),"")</f>
        <v/>
      </c>
      <c r="DK25" s="44">
        <v>1000</v>
      </c>
      <c r="DL25" s="60">
        <v>0</v>
      </c>
      <c r="DM25" s="44"/>
      <c r="DN25" s="44">
        <v>1</v>
      </c>
      <c r="DO25" s="44">
        <v>0</v>
      </c>
      <c r="DP25" s="44" t="s">
        <v>862</v>
      </c>
      <c r="DQ25" s="45">
        <v>0</v>
      </c>
      <c r="DR25" s="44">
        <v>1000</v>
      </c>
      <c r="DS25" s="91" t="str">
        <f>IF(AQ25=68,1,IFERROR(VLOOKUP(CM25,'Listas de Dados'!BX:BY,2,0),""))</f>
        <v/>
      </c>
      <c r="DT25" s="90" t="str">
        <f t="shared" ca="1" si="21"/>
        <v/>
      </c>
      <c r="DU25" s="65"/>
    </row>
    <row r="26" spans="1:125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44"/>
      <c r="BA26" s="47"/>
      <c r="BB26" s="50"/>
      <c r="BC26" s="50">
        <v>1</v>
      </c>
      <c r="BD26" s="50" t="s">
        <v>192</v>
      </c>
      <c r="BE26" s="95" t="str">
        <f t="shared" si="4"/>
        <v>01</v>
      </c>
      <c r="BF26" s="95" t="str">
        <f t="shared" si="5"/>
        <v>NORM</v>
      </c>
      <c r="BG26" s="44">
        <v>1</v>
      </c>
      <c r="BH26" s="44">
        <v>1</v>
      </c>
      <c r="BI26" s="44">
        <v>1</v>
      </c>
      <c r="BJ26" s="95" t="str">
        <f t="shared" si="6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7"/>
        <v>581</v>
      </c>
      <c r="BS26" s="45" t="s">
        <v>40</v>
      </c>
      <c r="BT26" s="101">
        <v>25000</v>
      </c>
      <c r="BU26" s="43" t="str">
        <f>IFERROR(IF(INDEX(Estrutura_P01[#All],MATCH($C26,Estrutura_P01[[#All],[txtMAKT-MAKTX]],0),MATCH(BU$3,Estrutura_P01[#Headers],0))=0,"",INDEX(Estrutura_P01[#All],MATCH($C26,Estrutura_P01[[#All],[txtMAKT-MAKTX]],0),MATCH(BU$3,Estrutura_P01[#Headers],0))),"")</f>
        <v/>
      </c>
      <c r="BV26" s="45">
        <v>0</v>
      </c>
      <c r="BW26" s="45" t="s">
        <v>473</v>
      </c>
      <c r="BX26" s="45"/>
      <c r="BY26" s="44"/>
      <c r="BZ26" s="49" t="str">
        <f t="shared" si="8"/>
        <v>0011</v>
      </c>
      <c r="CA26" s="49" t="str">
        <f t="shared" si="9"/>
        <v>0011</v>
      </c>
      <c r="CB26" s="45">
        <v>75</v>
      </c>
      <c r="CC26" s="44">
        <v>1</v>
      </c>
      <c r="CD26" s="50" t="s">
        <v>490</v>
      </c>
      <c r="CE26" s="80">
        <v>2</v>
      </c>
      <c r="CF26" s="80">
        <v>7</v>
      </c>
      <c r="CG26" s="95" t="str">
        <f t="shared" si="10"/>
        <v>ZM</v>
      </c>
      <c r="CH26" s="95">
        <f t="shared" si="11"/>
        <v>2</v>
      </c>
      <c r="CI26" s="95">
        <f t="shared" si="12"/>
        <v>42</v>
      </c>
      <c r="CJ26" s="95">
        <f t="shared" si="13"/>
        <v>10</v>
      </c>
      <c r="CK26" s="43" t="str">
        <f t="shared" si="14"/>
        <v>K00_C_0581</v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S26" s="43" t="str">
        <f>IFERROR(IF(INDEX(Estrutura_P01[#All],MATCH($C26,Estrutura_P01[[#All],[txtMAKT-MAKTX]],0),MATCH(CS$3,Estrutura_P01[#Headers],0))=0,"",INDEX(Estrutura_P01[#All],MATCH($C26,Estrutura_P01[[#All],[txtMAKT-MAKTX]],0),MATCH(CS$3,Estrutura_P01[#Headers],0))),"")</f>
        <v/>
      </c>
      <c r="CU26" s="43" t="str">
        <f t="shared" si="15"/>
        <v/>
      </c>
      <c r="CV26" s="55"/>
      <c r="CW26" s="43" t="str">
        <f t="shared" ca="1" si="16"/>
        <v/>
      </c>
      <c r="CX26" s="43" t="str">
        <f t="shared" si="17"/>
        <v/>
      </c>
      <c r="CZ26" s="44"/>
      <c r="DA26" s="44">
        <v>2</v>
      </c>
      <c r="DB26" s="44">
        <v>1</v>
      </c>
      <c r="DC26" s="44"/>
      <c r="DD26" s="90" t="str">
        <f t="shared" si="18"/>
        <v/>
      </c>
      <c r="DE26" s="43">
        <f t="shared" si="19"/>
        <v>0.01</v>
      </c>
      <c r="DF26" s="43" t="str">
        <f t="shared" si="20"/>
        <v>KG</v>
      </c>
      <c r="DG26" s="44">
        <v>1</v>
      </c>
      <c r="DH26" s="50" t="s">
        <v>223</v>
      </c>
      <c r="DI26" s="50" t="s">
        <v>902</v>
      </c>
      <c r="DJ26" s="43" t="str">
        <f>IFERROR(IF(INDEX(Estrutura_P01[#All],MATCH($C26,Estrutura_P01[[#All],[txtMAKT-MAKTX]],0),MATCH(DJ$3,Estrutura_P01[#Headers],0))=0,"",INDEX(Estrutura_P01[#All],MATCH($C26,Estrutura_P01[[#All],[txtMAKT-MAKTX]],0),MATCH(DJ$3,Estrutura_P01[#Headers],0))),"")</f>
        <v/>
      </c>
      <c r="DK26" s="44">
        <v>1000</v>
      </c>
      <c r="DL26" s="60">
        <v>0</v>
      </c>
      <c r="DM26" s="44"/>
      <c r="DN26" s="44">
        <v>1</v>
      </c>
      <c r="DO26" s="44">
        <v>0</v>
      </c>
      <c r="DP26" s="44" t="s">
        <v>862</v>
      </c>
      <c r="DQ26" s="45">
        <v>0</v>
      </c>
      <c r="DR26" s="44">
        <v>1000</v>
      </c>
      <c r="DS26" s="91" t="str">
        <f>IF(AQ26=68,1,IFERROR(VLOOKUP(CM26,'Listas de Dados'!BX:BY,2,0),""))</f>
        <v/>
      </c>
      <c r="DT26" s="90" t="str">
        <f t="shared" ca="1" si="21"/>
        <v/>
      </c>
      <c r="DU26" s="65"/>
    </row>
    <row r="27" spans="1:125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44"/>
      <c r="BA27" s="47"/>
      <c r="BB27" s="50"/>
      <c r="BC27" s="50">
        <v>1</v>
      </c>
      <c r="BD27" s="50" t="s">
        <v>192</v>
      </c>
      <c r="BE27" s="95" t="str">
        <f t="shared" si="4"/>
        <v>01</v>
      </c>
      <c r="BF27" s="95" t="str">
        <f t="shared" si="5"/>
        <v>NORM</v>
      </c>
      <c r="BG27" s="44">
        <v>1</v>
      </c>
      <c r="BH27" s="44">
        <v>1</v>
      </c>
      <c r="BI27" s="44">
        <v>1</v>
      </c>
      <c r="BJ27" s="95" t="str">
        <f t="shared" si="6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7"/>
        <v>581</v>
      </c>
      <c r="BS27" s="45" t="s">
        <v>40</v>
      </c>
      <c r="BT27" s="101">
        <v>25000</v>
      </c>
      <c r="BU27" s="43" t="str">
        <f>IFERROR(IF(INDEX(Estrutura_P01[#All],MATCH($C27,Estrutura_P01[[#All],[txtMAKT-MAKTX]],0),MATCH(BU$3,Estrutura_P01[#Headers],0))=0,"",INDEX(Estrutura_P01[#All],MATCH($C27,Estrutura_P01[[#All],[txtMAKT-MAKTX]],0),MATCH(BU$3,Estrutura_P01[#Headers],0))),"")</f>
        <v/>
      </c>
      <c r="BV27" s="45">
        <v>0</v>
      </c>
      <c r="BW27" s="45" t="s">
        <v>473</v>
      </c>
      <c r="BX27" s="45"/>
      <c r="BY27" s="44"/>
      <c r="BZ27" s="49" t="str">
        <f t="shared" si="8"/>
        <v>0011</v>
      </c>
      <c r="CA27" s="49" t="str">
        <f t="shared" si="9"/>
        <v>0011</v>
      </c>
      <c r="CB27" s="45">
        <v>75</v>
      </c>
      <c r="CC27" s="44">
        <v>1</v>
      </c>
      <c r="CD27" s="50" t="s">
        <v>490</v>
      </c>
      <c r="CE27" s="80">
        <v>2</v>
      </c>
      <c r="CF27" s="80">
        <v>7</v>
      </c>
      <c r="CG27" s="95" t="str">
        <f t="shared" si="10"/>
        <v>ZM</v>
      </c>
      <c r="CH27" s="95">
        <f t="shared" si="11"/>
        <v>2</v>
      </c>
      <c r="CI27" s="95">
        <f t="shared" si="12"/>
        <v>42</v>
      </c>
      <c r="CJ27" s="95">
        <f t="shared" si="13"/>
        <v>10</v>
      </c>
      <c r="CK27" s="43" t="str">
        <f t="shared" si="14"/>
        <v>K00_C_0581</v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S27" s="43" t="str">
        <f>IFERROR(IF(INDEX(Estrutura_P01[#All],MATCH($C27,Estrutura_P01[[#All],[txtMAKT-MAKTX]],0),MATCH(CS$3,Estrutura_P01[#Headers],0))=0,"",INDEX(Estrutura_P01[#All],MATCH($C27,Estrutura_P01[[#All],[txtMAKT-MAKTX]],0),MATCH(CS$3,Estrutura_P01[#Headers],0))),"")</f>
        <v/>
      </c>
      <c r="CU27" s="43" t="str">
        <f t="shared" si="15"/>
        <v/>
      </c>
      <c r="CV27" s="55"/>
      <c r="CW27" s="43" t="str">
        <f t="shared" ca="1" si="16"/>
        <v/>
      </c>
      <c r="CX27" s="43" t="str">
        <f t="shared" si="17"/>
        <v/>
      </c>
      <c r="CZ27" s="44"/>
      <c r="DA27" s="44">
        <v>2</v>
      </c>
      <c r="DB27" s="44">
        <v>1</v>
      </c>
      <c r="DC27" s="44"/>
      <c r="DD27" s="90" t="str">
        <f t="shared" si="18"/>
        <v/>
      </c>
      <c r="DE27" s="43">
        <f t="shared" si="19"/>
        <v>0.01</v>
      </c>
      <c r="DF27" s="43" t="str">
        <f t="shared" si="20"/>
        <v>KG</v>
      </c>
      <c r="DG27" s="44">
        <v>1</v>
      </c>
      <c r="DH27" s="50" t="s">
        <v>223</v>
      </c>
      <c r="DI27" s="50" t="s">
        <v>902</v>
      </c>
      <c r="DJ27" s="43" t="str">
        <f>IFERROR(IF(INDEX(Estrutura_P01[#All],MATCH($C27,Estrutura_P01[[#All],[txtMAKT-MAKTX]],0),MATCH(DJ$3,Estrutura_P01[#Headers],0))=0,"",INDEX(Estrutura_P01[#All],MATCH($C27,Estrutura_P01[[#All],[txtMAKT-MAKTX]],0),MATCH(DJ$3,Estrutura_P01[#Headers],0))),"")</f>
        <v/>
      </c>
      <c r="DK27" s="44">
        <v>1000</v>
      </c>
      <c r="DL27" s="60">
        <v>0</v>
      </c>
      <c r="DM27" s="44"/>
      <c r="DN27" s="44">
        <v>1</v>
      </c>
      <c r="DO27" s="44">
        <v>0</v>
      </c>
      <c r="DP27" s="44" t="s">
        <v>862</v>
      </c>
      <c r="DQ27" s="45">
        <v>0</v>
      </c>
      <c r="DR27" s="44">
        <v>1000</v>
      </c>
      <c r="DS27" s="91" t="str">
        <f>IF(AQ27=68,1,IFERROR(VLOOKUP(CM27,'Listas de Dados'!BX:BY,2,0),""))</f>
        <v/>
      </c>
      <c r="DT27" s="90" t="str">
        <f t="shared" ca="1" si="21"/>
        <v/>
      </c>
      <c r="DU27" s="65"/>
    </row>
    <row r="28" spans="1:125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44"/>
      <c r="BA28" s="47"/>
      <c r="BB28" s="50"/>
      <c r="BC28" s="50">
        <v>1</v>
      </c>
      <c r="BD28" s="50" t="s">
        <v>192</v>
      </c>
      <c r="BE28" s="95" t="str">
        <f t="shared" si="4"/>
        <v>01</v>
      </c>
      <c r="BF28" s="95" t="str">
        <f t="shared" si="5"/>
        <v>NORM</v>
      </c>
      <c r="BG28" s="44">
        <v>1</v>
      </c>
      <c r="BH28" s="44">
        <v>1</v>
      </c>
      <c r="BI28" s="44">
        <v>1</v>
      </c>
      <c r="BJ28" s="95" t="str">
        <f t="shared" si="6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7"/>
        <v>581</v>
      </c>
      <c r="BS28" s="45" t="s">
        <v>40</v>
      </c>
      <c r="BT28" s="101">
        <v>25000</v>
      </c>
      <c r="BU28" s="43" t="str">
        <f>IFERROR(IF(INDEX(Estrutura_P01[#All],MATCH($C28,Estrutura_P01[[#All],[txtMAKT-MAKTX]],0),MATCH(BU$3,Estrutura_P01[#Headers],0))=0,"",INDEX(Estrutura_P01[#All],MATCH($C28,Estrutura_P01[[#All],[txtMAKT-MAKTX]],0),MATCH(BU$3,Estrutura_P01[#Headers],0))),"")</f>
        <v/>
      </c>
      <c r="BV28" s="45">
        <v>0</v>
      </c>
      <c r="BW28" s="45" t="s">
        <v>473</v>
      </c>
      <c r="BX28" s="45"/>
      <c r="BY28" s="44"/>
      <c r="BZ28" s="49" t="str">
        <f t="shared" si="8"/>
        <v>0011</v>
      </c>
      <c r="CA28" s="49" t="str">
        <f t="shared" si="9"/>
        <v>0011</v>
      </c>
      <c r="CB28" s="45">
        <v>75</v>
      </c>
      <c r="CC28" s="44">
        <v>1</v>
      </c>
      <c r="CD28" s="50" t="s">
        <v>490</v>
      </c>
      <c r="CE28" s="80">
        <v>2</v>
      </c>
      <c r="CF28" s="80">
        <v>7</v>
      </c>
      <c r="CG28" s="95" t="str">
        <f t="shared" si="10"/>
        <v>ZM</v>
      </c>
      <c r="CH28" s="95">
        <f t="shared" si="11"/>
        <v>2</v>
      </c>
      <c r="CI28" s="95">
        <f t="shared" si="12"/>
        <v>42</v>
      </c>
      <c r="CJ28" s="95">
        <f t="shared" si="13"/>
        <v>10</v>
      </c>
      <c r="CK28" s="43" t="str">
        <f t="shared" si="14"/>
        <v>K00_C_0581</v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S28" s="43" t="str">
        <f>IFERROR(IF(INDEX(Estrutura_P01[#All],MATCH($C28,Estrutura_P01[[#All],[txtMAKT-MAKTX]],0),MATCH(CS$3,Estrutura_P01[#Headers],0))=0,"",INDEX(Estrutura_P01[#All],MATCH($C28,Estrutura_P01[[#All],[txtMAKT-MAKTX]],0),MATCH(CS$3,Estrutura_P01[#Headers],0))),"")</f>
        <v/>
      </c>
      <c r="CU28" s="43" t="str">
        <f t="shared" si="15"/>
        <v/>
      </c>
      <c r="CV28" s="55"/>
      <c r="CW28" s="43" t="str">
        <f t="shared" ca="1" si="16"/>
        <v/>
      </c>
      <c r="CX28" s="43" t="str">
        <f t="shared" si="17"/>
        <v/>
      </c>
      <c r="CZ28" s="44"/>
      <c r="DA28" s="44">
        <v>2</v>
      </c>
      <c r="DB28" s="44">
        <v>1</v>
      </c>
      <c r="DC28" s="44"/>
      <c r="DD28" s="90" t="str">
        <f t="shared" si="18"/>
        <v/>
      </c>
      <c r="DE28" s="43">
        <f t="shared" si="19"/>
        <v>0.01</v>
      </c>
      <c r="DF28" s="43" t="str">
        <f t="shared" si="20"/>
        <v>KG</v>
      </c>
      <c r="DG28" s="44">
        <v>1</v>
      </c>
      <c r="DH28" s="50" t="s">
        <v>223</v>
      </c>
      <c r="DI28" s="50" t="s">
        <v>902</v>
      </c>
      <c r="DJ28" s="43" t="str">
        <f>IFERROR(IF(INDEX(Estrutura_P01[#All],MATCH($C28,Estrutura_P01[[#All],[txtMAKT-MAKTX]],0),MATCH(DJ$3,Estrutura_P01[#Headers],0))=0,"",INDEX(Estrutura_P01[#All],MATCH($C28,Estrutura_P01[[#All],[txtMAKT-MAKTX]],0),MATCH(DJ$3,Estrutura_P01[#Headers],0))),"")</f>
        <v/>
      </c>
      <c r="DK28" s="44">
        <v>1000</v>
      </c>
      <c r="DL28" s="60">
        <v>0</v>
      </c>
      <c r="DM28" s="44"/>
      <c r="DN28" s="44">
        <v>1</v>
      </c>
      <c r="DO28" s="44">
        <v>0</v>
      </c>
      <c r="DP28" s="44" t="s">
        <v>862</v>
      </c>
      <c r="DQ28" s="45">
        <v>0</v>
      </c>
      <c r="DR28" s="44">
        <v>1000</v>
      </c>
      <c r="DS28" s="91" t="str">
        <f>IF(AQ28=68,1,IFERROR(VLOOKUP(CM28,'Listas de Dados'!BX:BY,2,0),""))</f>
        <v/>
      </c>
      <c r="DT28" s="90" t="str">
        <f t="shared" ca="1" si="21"/>
        <v/>
      </c>
      <c r="DU28" s="65"/>
    </row>
    <row r="29" spans="1:125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44"/>
      <c r="BA29" s="47"/>
      <c r="BB29" s="50"/>
      <c r="BC29" s="50">
        <v>1</v>
      </c>
      <c r="BD29" s="50" t="s">
        <v>192</v>
      </c>
      <c r="BE29" s="95" t="str">
        <f t="shared" si="4"/>
        <v>01</v>
      </c>
      <c r="BF29" s="95" t="str">
        <f t="shared" si="5"/>
        <v>NORM</v>
      </c>
      <c r="BG29" s="44">
        <v>1</v>
      </c>
      <c r="BH29" s="44">
        <v>1</v>
      </c>
      <c r="BI29" s="44">
        <v>1</v>
      </c>
      <c r="BJ29" s="95" t="str">
        <f t="shared" si="6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7"/>
        <v>581</v>
      </c>
      <c r="BS29" s="45" t="s">
        <v>40</v>
      </c>
      <c r="BT29" s="101">
        <v>25000</v>
      </c>
      <c r="BU29" s="43" t="str">
        <f>IFERROR(IF(INDEX(Estrutura_P01[#All],MATCH($C29,Estrutura_P01[[#All],[txtMAKT-MAKTX]],0),MATCH(BU$3,Estrutura_P01[#Headers],0))=0,"",INDEX(Estrutura_P01[#All],MATCH($C29,Estrutura_P01[[#All],[txtMAKT-MAKTX]],0),MATCH(BU$3,Estrutura_P01[#Headers],0))),"")</f>
        <v/>
      </c>
      <c r="BV29" s="45">
        <v>0</v>
      </c>
      <c r="BW29" s="45" t="s">
        <v>473</v>
      </c>
      <c r="BX29" s="45"/>
      <c r="BY29" s="44"/>
      <c r="BZ29" s="49" t="str">
        <f t="shared" si="8"/>
        <v>0011</v>
      </c>
      <c r="CA29" s="49" t="str">
        <f t="shared" si="9"/>
        <v>0011</v>
      </c>
      <c r="CB29" s="45">
        <v>75</v>
      </c>
      <c r="CC29" s="44">
        <v>1</v>
      </c>
      <c r="CD29" s="50" t="s">
        <v>490</v>
      </c>
      <c r="CE29" s="80">
        <v>2</v>
      </c>
      <c r="CF29" s="80">
        <v>7</v>
      </c>
      <c r="CG29" s="95" t="str">
        <f t="shared" si="10"/>
        <v>ZM</v>
      </c>
      <c r="CH29" s="95">
        <f t="shared" si="11"/>
        <v>2</v>
      </c>
      <c r="CI29" s="95">
        <f t="shared" si="12"/>
        <v>42</v>
      </c>
      <c r="CJ29" s="95">
        <f t="shared" si="13"/>
        <v>10</v>
      </c>
      <c r="CK29" s="43" t="str">
        <f t="shared" si="14"/>
        <v>K00_C_0581</v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S29" s="43" t="str">
        <f>IFERROR(IF(INDEX(Estrutura_P01[#All],MATCH($C29,Estrutura_P01[[#All],[txtMAKT-MAKTX]],0),MATCH(CS$3,Estrutura_P01[#Headers],0))=0,"",INDEX(Estrutura_P01[#All],MATCH($C29,Estrutura_P01[[#All],[txtMAKT-MAKTX]],0),MATCH(CS$3,Estrutura_P01[#Headers],0))),"")</f>
        <v/>
      </c>
      <c r="CU29" s="43" t="str">
        <f t="shared" si="15"/>
        <v/>
      </c>
      <c r="CV29" s="55"/>
      <c r="CW29" s="43" t="str">
        <f t="shared" ca="1" si="16"/>
        <v/>
      </c>
      <c r="CX29" s="43" t="str">
        <f t="shared" si="17"/>
        <v/>
      </c>
      <c r="CZ29" s="44"/>
      <c r="DA29" s="44">
        <v>2</v>
      </c>
      <c r="DB29" s="44">
        <v>1</v>
      </c>
      <c r="DC29" s="44"/>
      <c r="DD29" s="90" t="str">
        <f t="shared" si="18"/>
        <v/>
      </c>
      <c r="DE29" s="43">
        <f t="shared" si="19"/>
        <v>0.01</v>
      </c>
      <c r="DF29" s="43" t="str">
        <f t="shared" si="20"/>
        <v>KG</v>
      </c>
      <c r="DG29" s="44">
        <v>1</v>
      </c>
      <c r="DH29" s="50" t="s">
        <v>223</v>
      </c>
      <c r="DI29" s="50" t="s">
        <v>902</v>
      </c>
      <c r="DJ29" s="43" t="str">
        <f>IFERROR(IF(INDEX(Estrutura_P01[#All],MATCH($C29,Estrutura_P01[[#All],[txtMAKT-MAKTX]],0),MATCH(DJ$3,Estrutura_P01[#Headers],0))=0,"",INDEX(Estrutura_P01[#All],MATCH($C29,Estrutura_P01[[#All],[txtMAKT-MAKTX]],0),MATCH(DJ$3,Estrutura_P01[#Headers],0))),"")</f>
        <v/>
      </c>
      <c r="DK29" s="44">
        <v>1000</v>
      </c>
      <c r="DL29" s="60">
        <v>0</v>
      </c>
      <c r="DM29" s="44"/>
      <c r="DN29" s="44">
        <v>1</v>
      </c>
      <c r="DO29" s="44">
        <v>0</v>
      </c>
      <c r="DP29" s="44" t="s">
        <v>862</v>
      </c>
      <c r="DQ29" s="45">
        <v>0</v>
      </c>
      <c r="DR29" s="44">
        <v>1000</v>
      </c>
      <c r="DS29" s="91" t="str">
        <f>IF(AQ29=68,1,IFERROR(VLOOKUP(CM29,'Listas de Dados'!BX:BY,2,0),""))</f>
        <v/>
      </c>
      <c r="DT29" s="90" t="str">
        <f t="shared" ca="1" si="21"/>
        <v/>
      </c>
      <c r="DU29" s="65"/>
    </row>
    <row r="30" spans="1:125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44"/>
      <c r="BA30" s="47"/>
      <c r="BB30" s="50"/>
      <c r="BC30" s="50">
        <v>1</v>
      </c>
      <c r="BD30" s="50" t="s">
        <v>192</v>
      </c>
      <c r="BE30" s="95" t="str">
        <f t="shared" si="4"/>
        <v>01</v>
      </c>
      <c r="BF30" s="95" t="str">
        <f t="shared" si="5"/>
        <v>NORM</v>
      </c>
      <c r="BG30" s="44">
        <v>1</v>
      </c>
      <c r="BH30" s="44">
        <v>1</v>
      </c>
      <c r="BI30" s="44">
        <v>1</v>
      </c>
      <c r="BJ30" s="95" t="str">
        <f t="shared" si="6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7"/>
        <v>581</v>
      </c>
      <c r="BS30" s="45" t="s">
        <v>40</v>
      </c>
      <c r="BT30" s="101">
        <v>25000</v>
      </c>
      <c r="BU30" s="43" t="str">
        <f>IFERROR(IF(INDEX(Estrutura_P01[#All],MATCH($C30,Estrutura_P01[[#All],[txtMAKT-MAKTX]],0),MATCH(BU$3,Estrutura_P01[#Headers],0))=0,"",INDEX(Estrutura_P01[#All],MATCH($C30,Estrutura_P01[[#All],[txtMAKT-MAKTX]],0),MATCH(BU$3,Estrutura_P01[#Headers],0))),"")</f>
        <v/>
      </c>
      <c r="BV30" s="45">
        <v>0</v>
      </c>
      <c r="BW30" s="45" t="s">
        <v>473</v>
      </c>
      <c r="BX30" s="45"/>
      <c r="BY30" s="44"/>
      <c r="BZ30" s="49" t="str">
        <f t="shared" si="8"/>
        <v>0011</v>
      </c>
      <c r="CA30" s="49" t="str">
        <f t="shared" si="9"/>
        <v>0011</v>
      </c>
      <c r="CB30" s="45">
        <v>75</v>
      </c>
      <c r="CC30" s="44">
        <v>1</v>
      </c>
      <c r="CD30" s="50" t="s">
        <v>490</v>
      </c>
      <c r="CE30" s="80">
        <v>2</v>
      </c>
      <c r="CF30" s="80">
        <v>7</v>
      </c>
      <c r="CG30" s="95" t="str">
        <f t="shared" si="10"/>
        <v>ZM</v>
      </c>
      <c r="CH30" s="95">
        <f t="shared" si="11"/>
        <v>2</v>
      </c>
      <c r="CI30" s="95">
        <f t="shared" si="12"/>
        <v>42</v>
      </c>
      <c r="CJ30" s="95">
        <f t="shared" si="13"/>
        <v>10</v>
      </c>
      <c r="CK30" s="43" t="str">
        <f t="shared" si="14"/>
        <v>K00_C_0581</v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S30" s="43" t="str">
        <f>IFERROR(IF(INDEX(Estrutura_P01[#All],MATCH($C30,Estrutura_P01[[#All],[txtMAKT-MAKTX]],0),MATCH(CS$3,Estrutura_P01[#Headers],0))=0,"",INDEX(Estrutura_P01[#All],MATCH($C30,Estrutura_P01[[#All],[txtMAKT-MAKTX]],0),MATCH(CS$3,Estrutura_P01[#Headers],0))),"")</f>
        <v/>
      </c>
      <c r="CU30" s="43" t="str">
        <f t="shared" si="15"/>
        <v/>
      </c>
      <c r="CV30" s="55"/>
      <c r="CW30" s="43" t="str">
        <f t="shared" ca="1" si="16"/>
        <v/>
      </c>
      <c r="CX30" s="43" t="str">
        <f t="shared" si="17"/>
        <v/>
      </c>
      <c r="CZ30" s="44"/>
      <c r="DA30" s="44">
        <v>2</v>
      </c>
      <c r="DB30" s="44">
        <v>1</v>
      </c>
      <c r="DC30" s="44"/>
      <c r="DD30" s="90" t="str">
        <f t="shared" si="18"/>
        <v/>
      </c>
      <c r="DE30" s="43">
        <f t="shared" si="19"/>
        <v>0.01</v>
      </c>
      <c r="DF30" s="43" t="str">
        <f t="shared" si="20"/>
        <v>KG</v>
      </c>
      <c r="DG30" s="44">
        <v>1</v>
      </c>
      <c r="DH30" s="50" t="s">
        <v>223</v>
      </c>
      <c r="DI30" s="50" t="s">
        <v>902</v>
      </c>
      <c r="DJ30" s="43" t="str">
        <f>IFERROR(IF(INDEX(Estrutura_P01[#All],MATCH($C30,Estrutura_P01[[#All],[txtMAKT-MAKTX]],0),MATCH(DJ$3,Estrutura_P01[#Headers],0))=0,"",INDEX(Estrutura_P01[#All],MATCH($C30,Estrutura_P01[[#All],[txtMAKT-MAKTX]],0),MATCH(DJ$3,Estrutura_P01[#Headers],0))),"")</f>
        <v/>
      </c>
      <c r="DK30" s="44">
        <v>1000</v>
      </c>
      <c r="DL30" s="60">
        <v>0</v>
      </c>
      <c r="DM30" s="44"/>
      <c r="DN30" s="44">
        <v>1</v>
      </c>
      <c r="DO30" s="44">
        <v>0</v>
      </c>
      <c r="DP30" s="44" t="s">
        <v>862</v>
      </c>
      <c r="DQ30" s="45">
        <v>0</v>
      </c>
      <c r="DR30" s="44">
        <v>1000</v>
      </c>
      <c r="DS30" s="91" t="str">
        <f>IF(AQ30=68,1,IFERROR(VLOOKUP(CM30,'Listas de Dados'!BX:BY,2,0),""))</f>
        <v/>
      </c>
      <c r="DT30" s="90" t="str">
        <f t="shared" ca="1" si="21"/>
        <v/>
      </c>
      <c r="DU30" s="65"/>
    </row>
    <row r="31" spans="1:125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44"/>
      <c r="BA31" s="47"/>
      <c r="BB31" s="50"/>
      <c r="BC31" s="50">
        <v>1</v>
      </c>
      <c r="BD31" s="50" t="s">
        <v>192</v>
      </c>
      <c r="BE31" s="95" t="str">
        <f t="shared" si="4"/>
        <v>01</v>
      </c>
      <c r="BF31" s="95" t="str">
        <f t="shared" si="5"/>
        <v>NORM</v>
      </c>
      <c r="BG31" s="44">
        <v>1</v>
      </c>
      <c r="BH31" s="44">
        <v>1</v>
      </c>
      <c r="BI31" s="44">
        <v>1</v>
      </c>
      <c r="BJ31" s="95" t="str">
        <f t="shared" si="6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7"/>
        <v>581</v>
      </c>
      <c r="BS31" s="45" t="s">
        <v>40</v>
      </c>
      <c r="BT31" s="101">
        <v>25000</v>
      </c>
      <c r="BU31" s="43" t="str">
        <f>IFERROR(IF(INDEX(Estrutura_P01[#All],MATCH($C31,Estrutura_P01[[#All],[txtMAKT-MAKTX]],0),MATCH(BU$3,Estrutura_P01[#Headers],0))=0,"",INDEX(Estrutura_P01[#All],MATCH($C31,Estrutura_P01[[#All],[txtMAKT-MAKTX]],0),MATCH(BU$3,Estrutura_P01[#Headers],0))),"")</f>
        <v/>
      </c>
      <c r="BV31" s="45">
        <v>0</v>
      </c>
      <c r="BW31" s="45" t="s">
        <v>473</v>
      </c>
      <c r="BX31" s="45"/>
      <c r="BY31" s="44"/>
      <c r="BZ31" s="49" t="str">
        <f t="shared" si="8"/>
        <v>0011</v>
      </c>
      <c r="CA31" s="49" t="str">
        <f t="shared" si="9"/>
        <v>0011</v>
      </c>
      <c r="CB31" s="45">
        <v>75</v>
      </c>
      <c r="CC31" s="44">
        <v>1</v>
      </c>
      <c r="CD31" s="50" t="s">
        <v>490</v>
      </c>
      <c r="CE31" s="80">
        <v>2</v>
      </c>
      <c r="CF31" s="80">
        <v>7</v>
      </c>
      <c r="CG31" s="95" t="str">
        <f t="shared" si="10"/>
        <v>ZM</v>
      </c>
      <c r="CH31" s="95">
        <f t="shared" si="11"/>
        <v>2</v>
      </c>
      <c r="CI31" s="95">
        <f t="shared" si="12"/>
        <v>42</v>
      </c>
      <c r="CJ31" s="95">
        <f t="shared" si="13"/>
        <v>10</v>
      </c>
      <c r="CK31" s="43" t="str">
        <f t="shared" si="14"/>
        <v>K00_C_0581</v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S31" s="43" t="str">
        <f>IFERROR(IF(INDEX(Estrutura_P01[#All],MATCH($C31,Estrutura_P01[[#All],[txtMAKT-MAKTX]],0),MATCH(CS$3,Estrutura_P01[#Headers],0))=0,"",INDEX(Estrutura_P01[#All],MATCH($C31,Estrutura_P01[[#All],[txtMAKT-MAKTX]],0),MATCH(CS$3,Estrutura_P01[#Headers],0))),"")</f>
        <v/>
      </c>
      <c r="CU31" s="43" t="str">
        <f t="shared" si="15"/>
        <v/>
      </c>
      <c r="CV31" s="55"/>
      <c r="CW31" s="43" t="str">
        <f t="shared" ca="1" si="16"/>
        <v/>
      </c>
      <c r="CX31" s="43" t="str">
        <f t="shared" si="17"/>
        <v/>
      </c>
      <c r="CZ31" s="44"/>
      <c r="DA31" s="44">
        <v>2</v>
      </c>
      <c r="DB31" s="44">
        <v>1</v>
      </c>
      <c r="DC31" s="44"/>
      <c r="DD31" s="90" t="str">
        <f t="shared" si="18"/>
        <v/>
      </c>
      <c r="DE31" s="43">
        <f t="shared" si="19"/>
        <v>0.01</v>
      </c>
      <c r="DF31" s="43" t="str">
        <f t="shared" si="20"/>
        <v>KG</v>
      </c>
      <c r="DG31" s="44">
        <v>1</v>
      </c>
      <c r="DH31" s="50" t="s">
        <v>223</v>
      </c>
      <c r="DI31" s="50" t="s">
        <v>902</v>
      </c>
      <c r="DJ31" s="43" t="str">
        <f>IFERROR(IF(INDEX(Estrutura_P01[#All],MATCH($C31,Estrutura_P01[[#All],[txtMAKT-MAKTX]],0),MATCH(DJ$3,Estrutura_P01[#Headers],0))=0,"",INDEX(Estrutura_P01[#All],MATCH($C31,Estrutura_P01[[#All],[txtMAKT-MAKTX]],0),MATCH(DJ$3,Estrutura_P01[#Headers],0))),"")</f>
        <v/>
      </c>
      <c r="DK31" s="44">
        <v>1000</v>
      </c>
      <c r="DL31" s="60">
        <v>0</v>
      </c>
      <c r="DM31" s="44"/>
      <c r="DN31" s="44">
        <v>1</v>
      </c>
      <c r="DO31" s="44">
        <v>0</v>
      </c>
      <c r="DP31" s="44" t="s">
        <v>862</v>
      </c>
      <c r="DQ31" s="45">
        <v>0</v>
      </c>
      <c r="DR31" s="44">
        <v>1000</v>
      </c>
      <c r="DS31" s="91" t="str">
        <f>IF(AQ31=68,1,IFERROR(VLOOKUP(CM31,'Listas de Dados'!BX:BY,2,0),""))</f>
        <v/>
      </c>
      <c r="DT31" s="90" t="str">
        <f t="shared" ca="1" si="21"/>
        <v/>
      </c>
      <c r="DU31" s="65"/>
    </row>
    <row r="32" spans="1:125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44"/>
      <c r="BA32" s="47"/>
      <c r="BB32" s="50"/>
      <c r="BC32" s="50">
        <v>1</v>
      </c>
      <c r="BD32" s="50" t="s">
        <v>192</v>
      </c>
      <c r="BE32" s="95" t="str">
        <f t="shared" si="4"/>
        <v>01</v>
      </c>
      <c r="BF32" s="95" t="str">
        <f t="shared" si="5"/>
        <v>NORM</v>
      </c>
      <c r="BG32" s="44">
        <v>1</v>
      </c>
      <c r="BH32" s="44">
        <v>1</v>
      </c>
      <c r="BI32" s="44">
        <v>1</v>
      </c>
      <c r="BJ32" s="95" t="str">
        <f t="shared" si="6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7"/>
        <v>581</v>
      </c>
      <c r="BS32" s="45" t="s">
        <v>40</v>
      </c>
      <c r="BT32" s="101">
        <v>25000</v>
      </c>
      <c r="BU32" s="43" t="str">
        <f>IFERROR(IF(INDEX(Estrutura_P01[#All],MATCH($C32,Estrutura_P01[[#All],[txtMAKT-MAKTX]],0),MATCH(BU$3,Estrutura_P01[#Headers],0))=0,"",INDEX(Estrutura_P01[#All],MATCH($C32,Estrutura_P01[[#All],[txtMAKT-MAKTX]],0),MATCH(BU$3,Estrutura_P01[#Headers],0))),"")</f>
        <v/>
      </c>
      <c r="BV32" s="45">
        <v>0</v>
      </c>
      <c r="BW32" s="45" t="s">
        <v>473</v>
      </c>
      <c r="BX32" s="45"/>
      <c r="BY32" s="44"/>
      <c r="BZ32" s="49" t="str">
        <f t="shared" si="8"/>
        <v>0011</v>
      </c>
      <c r="CA32" s="49" t="str">
        <f t="shared" si="9"/>
        <v>0011</v>
      </c>
      <c r="CB32" s="45">
        <v>75</v>
      </c>
      <c r="CC32" s="44">
        <v>1</v>
      </c>
      <c r="CD32" s="50" t="s">
        <v>490</v>
      </c>
      <c r="CE32" s="80">
        <v>2</v>
      </c>
      <c r="CF32" s="80">
        <v>7</v>
      </c>
      <c r="CG32" s="95" t="str">
        <f t="shared" si="10"/>
        <v>ZM</v>
      </c>
      <c r="CH32" s="95">
        <f t="shared" si="11"/>
        <v>2</v>
      </c>
      <c r="CI32" s="95">
        <f t="shared" si="12"/>
        <v>42</v>
      </c>
      <c r="CJ32" s="95">
        <f t="shared" si="13"/>
        <v>10</v>
      </c>
      <c r="CK32" s="43" t="str">
        <f t="shared" si="14"/>
        <v>K00_C_0581</v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S32" s="43" t="str">
        <f>IFERROR(IF(INDEX(Estrutura_P01[#All],MATCH($C32,Estrutura_P01[[#All],[txtMAKT-MAKTX]],0),MATCH(CS$3,Estrutura_P01[#Headers],0))=0,"",INDEX(Estrutura_P01[#All],MATCH($C32,Estrutura_P01[[#All],[txtMAKT-MAKTX]],0),MATCH(CS$3,Estrutura_P01[#Headers],0))),"")</f>
        <v/>
      </c>
      <c r="CU32" s="43" t="str">
        <f t="shared" si="15"/>
        <v/>
      </c>
      <c r="CV32" s="55"/>
      <c r="CW32" s="43" t="str">
        <f t="shared" ca="1" si="16"/>
        <v/>
      </c>
      <c r="CX32" s="43" t="str">
        <f t="shared" si="17"/>
        <v/>
      </c>
      <c r="CZ32" s="44"/>
      <c r="DA32" s="44">
        <v>2</v>
      </c>
      <c r="DB32" s="44">
        <v>1</v>
      </c>
      <c r="DC32" s="44"/>
      <c r="DD32" s="90" t="str">
        <f t="shared" si="18"/>
        <v/>
      </c>
      <c r="DE32" s="43">
        <f t="shared" si="19"/>
        <v>0.01</v>
      </c>
      <c r="DF32" s="43" t="str">
        <f t="shared" si="20"/>
        <v>KG</v>
      </c>
      <c r="DG32" s="44">
        <v>1</v>
      </c>
      <c r="DH32" s="50" t="s">
        <v>223</v>
      </c>
      <c r="DI32" s="50" t="s">
        <v>902</v>
      </c>
      <c r="DJ32" s="43" t="str">
        <f>IFERROR(IF(INDEX(Estrutura_P01[#All],MATCH($C32,Estrutura_P01[[#All],[txtMAKT-MAKTX]],0),MATCH(DJ$3,Estrutura_P01[#Headers],0))=0,"",INDEX(Estrutura_P01[#All],MATCH($C32,Estrutura_P01[[#All],[txtMAKT-MAKTX]],0),MATCH(DJ$3,Estrutura_P01[#Headers],0))),"")</f>
        <v/>
      </c>
      <c r="DK32" s="44">
        <v>1000</v>
      </c>
      <c r="DL32" s="60">
        <v>0</v>
      </c>
      <c r="DM32" s="44"/>
      <c r="DN32" s="44">
        <v>1</v>
      </c>
      <c r="DO32" s="44">
        <v>0</v>
      </c>
      <c r="DP32" s="44" t="s">
        <v>862</v>
      </c>
      <c r="DQ32" s="45">
        <v>0</v>
      </c>
      <c r="DR32" s="44">
        <v>1000</v>
      </c>
      <c r="DS32" s="91" t="str">
        <f>IF(AQ32=68,1,IFERROR(VLOOKUP(CM32,'Listas de Dados'!BX:BY,2,0),""))</f>
        <v/>
      </c>
      <c r="DT32" s="90" t="str">
        <f t="shared" ca="1" si="21"/>
        <v/>
      </c>
      <c r="DU32" s="65"/>
    </row>
    <row r="33" spans="1:125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44"/>
      <c r="BA33" s="47"/>
      <c r="BB33" s="50"/>
      <c r="BC33" s="50">
        <v>1</v>
      </c>
      <c r="BD33" s="50" t="s">
        <v>192</v>
      </c>
      <c r="BE33" s="95" t="str">
        <f t="shared" si="4"/>
        <v>01</v>
      </c>
      <c r="BF33" s="95" t="str">
        <f t="shared" si="5"/>
        <v>NORM</v>
      </c>
      <c r="BG33" s="44">
        <v>1</v>
      </c>
      <c r="BH33" s="44">
        <v>1</v>
      </c>
      <c r="BI33" s="44">
        <v>1</v>
      </c>
      <c r="BJ33" s="95" t="str">
        <f t="shared" si="6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7"/>
        <v>581</v>
      </c>
      <c r="BS33" s="45" t="s">
        <v>40</v>
      </c>
      <c r="BT33" s="101">
        <v>25000</v>
      </c>
      <c r="BU33" s="43" t="str">
        <f>IFERROR(IF(INDEX(Estrutura_P01[#All],MATCH($C33,Estrutura_P01[[#All],[txtMAKT-MAKTX]],0),MATCH(BU$3,Estrutura_P01[#Headers],0))=0,"",INDEX(Estrutura_P01[#All],MATCH($C33,Estrutura_P01[[#All],[txtMAKT-MAKTX]],0),MATCH(BU$3,Estrutura_P01[#Headers],0))),"")</f>
        <v/>
      </c>
      <c r="BV33" s="45">
        <v>0</v>
      </c>
      <c r="BW33" s="45" t="s">
        <v>473</v>
      </c>
      <c r="BX33" s="45"/>
      <c r="BY33" s="44"/>
      <c r="BZ33" s="49" t="str">
        <f t="shared" si="8"/>
        <v>0011</v>
      </c>
      <c r="CA33" s="49" t="str">
        <f t="shared" si="9"/>
        <v>0011</v>
      </c>
      <c r="CB33" s="45">
        <v>75</v>
      </c>
      <c r="CC33" s="44">
        <v>1</v>
      </c>
      <c r="CD33" s="50" t="s">
        <v>490</v>
      </c>
      <c r="CE33" s="80">
        <v>2</v>
      </c>
      <c r="CF33" s="80">
        <v>7</v>
      </c>
      <c r="CG33" s="95" t="str">
        <f t="shared" si="10"/>
        <v>ZM</v>
      </c>
      <c r="CH33" s="95">
        <f t="shared" si="11"/>
        <v>2</v>
      </c>
      <c r="CI33" s="95">
        <f t="shared" si="12"/>
        <v>42</v>
      </c>
      <c r="CJ33" s="95">
        <f t="shared" si="13"/>
        <v>10</v>
      </c>
      <c r="CK33" s="43" t="str">
        <f t="shared" si="14"/>
        <v>K00_C_0581</v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S33" s="43" t="str">
        <f>IFERROR(IF(INDEX(Estrutura_P01[#All],MATCH($C33,Estrutura_P01[[#All],[txtMAKT-MAKTX]],0),MATCH(CS$3,Estrutura_P01[#Headers],0))=0,"",INDEX(Estrutura_P01[#All],MATCH($C33,Estrutura_P01[[#All],[txtMAKT-MAKTX]],0),MATCH(CS$3,Estrutura_P01[#Headers],0))),"")</f>
        <v/>
      </c>
      <c r="CU33" s="43" t="str">
        <f t="shared" si="15"/>
        <v/>
      </c>
      <c r="CV33" s="55"/>
      <c r="CW33" s="43" t="str">
        <f t="shared" ca="1" si="16"/>
        <v/>
      </c>
      <c r="CX33" s="43" t="str">
        <f t="shared" si="17"/>
        <v/>
      </c>
      <c r="CZ33" s="44"/>
      <c r="DA33" s="44">
        <v>2</v>
      </c>
      <c r="DB33" s="44">
        <v>1</v>
      </c>
      <c r="DC33" s="44"/>
      <c r="DD33" s="90" t="str">
        <f t="shared" si="18"/>
        <v/>
      </c>
      <c r="DE33" s="43">
        <f t="shared" si="19"/>
        <v>0.01</v>
      </c>
      <c r="DF33" s="43" t="str">
        <f t="shared" si="20"/>
        <v>KG</v>
      </c>
      <c r="DG33" s="44">
        <v>1</v>
      </c>
      <c r="DH33" s="50" t="s">
        <v>223</v>
      </c>
      <c r="DI33" s="50" t="s">
        <v>902</v>
      </c>
      <c r="DJ33" s="43" t="str">
        <f>IFERROR(IF(INDEX(Estrutura_P01[#All],MATCH($C33,Estrutura_P01[[#All],[txtMAKT-MAKTX]],0),MATCH(DJ$3,Estrutura_P01[#Headers],0))=0,"",INDEX(Estrutura_P01[#All],MATCH($C33,Estrutura_P01[[#All],[txtMAKT-MAKTX]],0),MATCH(DJ$3,Estrutura_P01[#Headers],0))),"")</f>
        <v/>
      </c>
      <c r="DK33" s="44">
        <v>1000</v>
      </c>
      <c r="DL33" s="60">
        <v>0</v>
      </c>
      <c r="DM33" s="44"/>
      <c r="DN33" s="44">
        <v>1</v>
      </c>
      <c r="DO33" s="44">
        <v>0</v>
      </c>
      <c r="DP33" s="44" t="s">
        <v>862</v>
      </c>
      <c r="DQ33" s="45">
        <v>0</v>
      </c>
      <c r="DR33" s="44">
        <v>1000</v>
      </c>
      <c r="DS33" s="91" t="str">
        <f>IF(AQ33=68,1,IFERROR(VLOOKUP(CM33,'Listas de Dados'!BX:BY,2,0),""))</f>
        <v/>
      </c>
      <c r="DT33" s="90" t="str">
        <f t="shared" ca="1" si="21"/>
        <v/>
      </c>
      <c r="DU33" s="65"/>
    </row>
    <row r="34" spans="1:125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44"/>
      <c r="BA34" s="47"/>
      <c r="BB34" s="50"/>
      <c r="BC34" s="50">
        <v>1</v>
      </c>
      <c r="BD34" s="50" t="s">
        <v>192</v>
      </c>
      <c r="BE34" s="95" t="str">
        <f t="shared" si="4"/>
        <v>01</v>
      </c>
      <c r="BF34" s="95" t="str">
        <f t="shared" si="5"/>
        <v>NORM</v>
      </c>
      <c r="BG34" s="44">
        <v>1</v>
      </c>
      <c r="BH34" s="44">
        <v>1</v>
      </c>
      <c r="BI34" s="44">
        <v>1</v>
      </c>
      <c r="BJ34" s="95" t="str">
        <f t="shared" si="6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7"/>
        <v>581</v>
      </c>
      <c r="BS34" s="45" t="s">
        <v>40</v>
      </c>
      <c r="BT34" s="101">
        <v>25000</v>
      </c>
      <c r="BU34" s="43" t="str">
        <f>IFERROR(IF(INDEX(Estrutura_P01[#All],MATCH($C34,Estrutura_P01[[#All],[txtMAKT-MAKTX]],0),MATCH(BU$3,Estrutura_P01[#Headers],0))=0,"",INDEX(Estrutura_P01[#All],MATCH($C34,Estrutura_P01[[#All],[txtMAKT-MAKTX]],0),MATCH(BU$3,Estrutura_P01[#Headers],0))),"")</f>
        <v/>
      </c>
      <c r="BV34" s="45">
        <v>0</v>
      </c>
      <c r="BW34" s="45" t="s">
        <v>473</v>
      </c>
      <c r="BX34" s="45"/>
      <c r="BY34" s="44"/>
      <c r="BZ34" s="49" t="str">
        <f t="shared" si="8"/>
        <v>0011</v>
      </c>
      <c r="CA34" s="49" t="str">
        <f t="shared" si="9"/>
        <v>0011</v>
      </c>
      <c r="CB34" s="45">
        <v>75</v>
      </c>
      <c r="CC34" s="44">
        <v>1</v>
      </c>
      <c r="CD34" s="50" t="s">
        <v>490</v>
      </c>
      <c r="CE34" s="80">
        <v>2</v>
      </c>
      <c r="CF34" s="80">
        <v>7</v>
      </c>
      <c r="CG34" s="95" t="str">
        <f t="shared" si="10"/>
        <v>ZM</v>
      </c>
      <c r="CH34" s="95">
        <f t="shared" si="11"/>
        <v>2</v>
      </c>
      <c r="CI34" s="95">
        <f t="shared" si="12"/>
        <v>42</v>
      </c>
      <c r="CJ34" s="95">
        <f t="shared" si="13"/>
        <v>10</v>
      </c>
      <c r="CK34" s="43" t="str">
        <f t="shared" si="14"/>
        <v>K00_C_0581</v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S34" s="43" t="str">
        <f>IFERROR(IF(INDEX(Estrutura_P01[#All],MATCH($C34,Estrutura_P01[[#All],[txtMAKT-MAKTX]],0),MATCH(CS$3,Estrutura_P01[#Headers],0))=0,"",INDEX(Estrutura_P01[#All],MATCH($C34,Estrutura_P01[[#All],[txtMAKT-MAKTX]],0),MATCH(CS$3,Estrutura_P01[#Headers],0))),"")</f>
        <v/>
      </c>
      <c r="CU34" s="43" t="str">
        <f t="shared" si="15"/>
        <v/>
      </c>
      <c r="CV34" s="55"/>
      <c r="CW34" s="43" t="str">
        <f t="shared" ca="1" si="16"/>
        <v/>
      </c>
      <c r="CX34" s="43" t="str">
        <f t="shared" si="17"/>
        <v/>
      </c>
      <c r="CZ34" s="44"/>
      <c r="DA34" s="44">
        <v>2</v>
      </c>
      <c r="DB34" s="44">
        <v>1</v>
      </c>
      <c r="DC34" s="44"/>
      <c r="DD34" s="90" t="str">
        <f t="shared" si="18"/>
        <v/>
      </c>
      <c r="DE34" s="43">
        <f t="shared" si="19"/>
        <v>0.01</v>
      </c>
      <c r="DF34" s="43" t="str">
        <f t="shared" si="20"/>
        <v>KG</v>
      </c>
      <c r="DG34" s="44">
        <v>1</v>
      </c>
      <c r="DH34" s="50" t="s">
        <v>223</v>
      </c>
      <c r="DI34" s="50" t="s">
        <v>902</v>
      </c>
      <c r="DJ34" s="43" t="str">
        <f>IFERROR(IF(INDEX(Estrutura_P01[#All],MATCH($C34,Estrutura_P01[[#All],[txtMAKT-MAKTX]],0),MATCH(DJ$3,Estrutura_P01[#Headers],0))=0,"",INDEX(Estrutura_P01[#All],MATCH($C34,Estrutura_P01[[#All],[txtMAKT-MAKTX]],0),MATCH(DJ$3,Estrutura_P01[#Headers],0))),"")</f>
        <v/>
      </c>
      <c r="DK34" s="44">
        <v>1000</v>
      </c>
      <c r="DL34" s="60">
        <v>0</v>
      </c>
      <c r="DM34" s="44"/>
      <c r="DN34" s="44">
        <v>1</v>
      </c>
      <c r="DO34" s="44">
        <v>0</v>
      </c>
      <c r="DP34" s="44" t="s">
        <v>862</v>
      </c>
      <c r="DQ34" s="45">
        <v>0</v>
      </c>
      <c r="DR34" s="44">
        <v>1000</v>
      </c>
      <c r="DS34" s="91" t="str">
        <f>IF(AQ34=68,1,IFERROR(VLOOKUP(CM34,'Listas de Dados'!BX:BY,2,0),""))</f>
        <v/>
      </c>
      <c r="DT34" s="90" t="str">
        <f t="shared" ca="1" si="21"/>
        <v/>
      </c>
      <c r="DU34" s="65"/>
    </row>
    <row r="35" spans="1:125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44"/>
      <c r="BA35" s="47"/>
      <c r="BB35" s="50"/>
      <c r="BC35" s="50">
        <v>1</v>
      </c>
      <c r="BD35" s="50" t="s">
        <v>192</v>
      </c>
      <c r="BE35" s="95" t="str">
        <f t="shared" si="4"/>
        <v>01</v>
      </c>
      <c r="BF35" s="95" t="str">
        <f t="shared" si="5"/>
        <v>NORM</v>
      </c>
      <c r="BG35" s="44">
        <v>1</v>
      </c>
      <c r="BH35" s="44">
        <v>1</v>
      </c>
      <c r="BI35" s="44">
        <v>1</v>
      </c>
      <c r="BJ35" s="95" t="str">
        <f t="shared" si="6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7"/>
        <v>581</v>
      </c>
      <c r="BS35" s="45" t="s">
        <v>40</v>
      </c>
      <c r="BT35" s="101">
        <v>25000</v>
      </c>
      <c r="BU35" s="43" t="str">
        <f>IFERROR(IF(INDEX(Estrutura_P01[#All],MATCH($C35,Estrutura_P01[[#All],[txtMAKT-MAKTX]],0),MATCH(BU$3,Estrutura_P01[#Headers],0))=0,"",INDEX(Estrutura_P01[#All],MATCH($C35,Estrutura_P01[[#All],[txtMAKT-MAKTX]],0),MATCH(BU$3,Estrutura_P01[#Headers],0))),"")</f>
        <v/>
      </c>
      <c r="BV35" s="45">
        <v>0</v>
      </c>
      <c r="BW35" s="45" t="s">
        <v>473</v>
      </c>
      <c r="BX35" s="45"/>
      <c r="BY35" s="44"/>
      <c r="BZ35" s="49" t="str">
        <f t="shared" si="8"/>
        <v>0011</v>
      </c>
      <c r="CA35" s="49" t="str">
        <f t="shared" si="9"/>
        <v>0011</v>
      </c>
      <c r="CB35" s="45">
        <v>75</v>
      </c>
      <c r="CC35" s="44">
        <v>1</v>
      </c>
      <c r="CD35" s="50" t="s">
        <v>490</v>
      </c>
      <c r="CE35" s="80">
        <v>2</v>
      </c>
      <c r="CF35" s="80">
        <v>7</v>
      </c>
      <c r="CG35" s="95" t="str">
        <f t="shared" si="10"/>
        <v>ZM</v>
      </c>
      <c r="CH35" s="95">
        <f t="shared" si="11"/>
        <v>2</v>
      </c>
      <c r="CI35" s="95">
        <f t="shared" si="12"/>
        <v>42</v>
      </c>
      <c r="CJ35" s="95">
        <f t="shared" si="13"/>
        <v>10</v>
      </c>
      <c r="CK35" s="43" t="str">
        <f t="shared" si="14"/>
        <v>K00_C_0581</v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S35" s="43" t="str">
        <f>IFERROR(IF(INDEX(Estrutura_P01[#All],MATCH($C35,Estrutura_P01[[#All],[txtMAKT-MAKTX]],0),MATCH(CS$3,Estrutura_P01[#Headers],0))=0,"",INDEX(Estrutura_P01[#All],MATCH($C35,Estrutura_P01[[#All],[txtMAKT-MAKTX]],0),MATCH(CS$3,Estrutura_P01[#Headers],0))),"")</f>
        <v/>
      </c>
      <c r="CU35" s="43" t="str">
        <f t="shared" si="15"/>
        <v/>
      </c>
      <c r="CV35" s="55"/>
      <c r="CW35" s="43" t="str">
        <f t="shared" ca="1" si="16"/>
        <v/>
      </c>
      <c r="CX35" s="43" t="str">
        <f t="shared" si="17"/>
        <v/>
      </c>
      <c r="CZ35" s="44"/>
      <c r="DA35" s="44">
        <v>2</v>
      </c>
      <c r="DB35" s="44">
        <v>1</v>
      </c>
      <c r="DC35" s="44"/>
      <c r="DD35" s="90" t="str">
        <f t="shared" si="18"/>
        <v/>
      </c>
      <c r="DE35" s="43">
        <f t="shared" si="19"/>
        <v>0.01</v>
      </c>
      <c r="DF35" s="43" t="str">
        <f t="shared" si="20"/>
        <v>KG</v>
      </c>
      <c r="DG35" s="44">
        <v>1</v>
      </c>
      <c r="DH35" s="50" t="s">
        <v>223</v>
      </c>
      <c r="DI35" s="50" t="s">
        <v>902</v>
      </c>
      <c r="DJ35" s="43" t="str">
        <f>IFERROR(IF(INDEX(Estrutura_P01[#All],MATCH($C35,Estrutura_P01[[#All],[txtMAKT-MAKTX]],0),MATCH(DJ$3,Estrutura_P01[#Headers],0))=0,"",INDEX(Estrutura_P01[#All],MATCH($C35,Estrutura_P01[[#All],[txtMAKT-MAKTX]],0),MATCH(DJ$3,Estrutura_P01[#Headers],0))),"")</f>
        <v/>
      </c>
      <c r="DK35" s="44">
        <v>1000</v>
      </c>
      <c r="DL35" s="60">
        <v>0</v>
      </c>
      <c r="DM35" s="44"/>
      <c r="DN35" s="44">
        <v>1</v>
      </c>
      <c r="DO35" s="44">
        <v>0</v>
      </c>
      <c r="DP35" s="44" t="s">
        <v>862</v>
      </c>
      <c r="DQ35" s="45">
        <v>0</v>
      </c>
      <c r="DR35" s="44">
        <v>1000</v>
      </c>
      <c r="DS35" s="91" t="str">
        <f>IF(AQ35=68,1,IFERROR(VLOOKUP(CM35,'Listas de Dados'!BX:BY,2,0),""))</f>
        <v/>
      </c>
      <c r="DT35" s="90" t="str">
        <f t="shared" ca="1" si="21"/>
        <v/>
      </c>
      <c r="DU35" s="65"/>
    </row>
    <row r="36" spans="1:125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44"/>
      <c r="BA36" s="47"/>
      <c r="BB36" s="50"/>
      <c r="BC36" s="50">
        <v>1</v>
      </c>
      <c r="BD36" s="50" t="s">
        <v>192</v>
      </c>
      <c r="BE36" s="95" t="str">
        <f t="shared" si="4"/>
        <v>01</v>
      </c>
      <c r="BF36" s="95" t="str">
        <f t="shared" si="5"/>
        <v>NORM</v>
      </c>
      <c r="BG36" s="44">
        <v>1</v>
      </c>
      <c r="BH36" s="44">
        <v>1</v>
      </c>
      <c r="BI36" s="44">
        <v>1</v>
      </c>
      <c r="BJ36" s="95" t="str">
        <f t="shared" si="6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7"/>
        <v>581</v>
      </c>
      <c r="BS36" s="45" t="s">
        <v>40</v>
      </c>
      <c r="BT36" s="101">
        <v>25000</v>
      </c>
      <c r="BU36" s="43" t="str">
        <f>IFERROR(IF(INDEX(Estrutura_P01[#All],MATCH($C36,Estrutura_P01[[#All],[txtMAKT-MAKTX]],0),MATCH(BU$3,Estrutura_P01[#Headers],0))=0,"",INDEX(Estrutura_P01[#All],MATCH($C36,Estrutura_P01[[#All],[txtMAKT-MAKTX]],0),MATCH(BU$3,Estrutura_P01[#Headers],0))),"")</f>
        <v/>
      </c>
      <c r="BV36" s="45">
        <v>0</v>
      </c>
      <c r="BW36" s="45" t="s">
        <v>473</v>
      </c>
      <c r="BX36" s="45"/>
      <c r="BY36" s="44"/>
      <c r="BZ36" s="49" t="str">
        <f t="shared" si="8"/>
        <v>0011</v>
      </c>
      <c r="CA36" s="49" t="str">
        <f t="shared" si="9"/>
        <v>0011</v>
      </c>
      <c r="CB36" s="45">
        <v>75</v>
      </c>
      <c r="CC36" s="44">
        <v>1</v>
      </c>
      <c r="CD36" s="50" t="s">
        <v>490</v>
      </c>
      <c r="CE36" s="80">
        <v>2</v>
      </c>
      <c r="CF36" s="80">
        <v>7</v>
      </c>
      <c r="CG36" s="95" t="str">
        <f t="shared" si="10"/>
        <v>ZM</v>
      </c>
      <c r="CH36" s="95">
        <f t="shared" si="11"/>
        <v>2</v>
      </c>
      <c r="CI36" s="95">
        <f t="shared" si="12"/>
        <v>42</v>
      </c>
      <c r="CJ36" s="95">
        <f t="shared" si="13"/>
        <v>10</v>
      </c>
      <c r="CK36" s="43" t="str">
        <f t="shared" si="14"/>
        <v>K00_C_0581</v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S36" s="43" t="str">
        <f>IFERROR(IF(INDEX(Estrutura_P01[#All],MATCH($C36,Estrutura_P01[[#All],[txtMAKT-MAKTX]],0),MATCH(CS$3,Estrutura_P01[#Headers],0))=0,"",INDEX(Estrutura_P01[#All],MATCH($C36,Estrutura_P01[[#All],[txtMAKT-MAKTX]],0),MATCH(CS$3,Estrutura_P01[#Headers],0))),"")</f>
        <v/>
      </c>
      <c r="CU36" s="43" t="str">
        <f t="shared" si="15"/>
        <v/>
      </c>
      <c r="CV36" s="55"/>
      <c r="CW36" s="43" t="str">
        <f t="shared" ca="1" si="16"/>
        <v/>
      </c>
      <c r="CX36" s="43" t="str">
        <f t="shared" si="17"/>
        <v/>
      </c>
      <c r="CZ36" s="44"/>
      <c r="DA36" s="44">
        <v>2</v>
      </c>
      <c r="DB36" s="44">
        <v>1</v>
      </c>
      <c r="DC36" s="44"/>
      <c r="DD36" s="90" t="str">
        <f t="shared" si="18"/>
        <v/>
      </c>
      <c r="DE36" s="43">
        <f t="shared" si="19"/>
        <v>0.01</v>
      </c>
      <c r="DF36" s="43" t="str">
        <f t="shared" si="20"/>
        <v>KG</v>
      </c>
      <c r="DG36" s="44">
        <v>1</v>
      </c>
      <c r="DH36" s="50" t="s">
        <v>223</v>
      </c>
      <c r="DI36" s="50" t="s">
        <v>902</v>
      </c>
      <c r="DJ36" s="43" t="str">
        <f>IFERROR(IF(INDEX(Estrutura_P01[#All],MATCH($C36,Estrutura_P01[[#All],[txtMAKT-MAKTX]],0),MATCH(DJ$3,Estrutura_P01[#Headers],0))=0,"",INDEX(Estrutura_P01[#All],MATCH($C36,Estrutura_P01[[#All],[txtMAKT-MAKTX]],0),MATCH(DJ$3,Estrutura_P01[#Headers],0))),"")</f>
        <v/>
      </c>
      <c r="DK36" s="44">
        <v>1000</v>
      </c>
      <c r="DL36" s="60">
        <v>0</v>
      </c>
      <c r="DM36" s="44"/>
      <c r="DN36" s="44">
        <v>1</v>
      </c>
      <c r="DO36" s="44">
        <v>0</v>
      </c>
      <c r="DP36" s="44" t="s">
        <v>862</v>
      </c>
      <c r="DQ36" s="45">
        <v>0</v>
      </c>
      <c r="DR36" s="44">
        <v>1000</v>
      </c>
      <c r="DS36" s="91" t="str">
        <f>IF(AQ36=68,1,IFERROR(VLOOKUP(CM36,'Listas de Dados'!BX:BY,2,0),""))</f>
        <v/>
      </c>
      <c r="DT36" s="90" t="str">
        <f t="shared" ca="1" si="21"/>
        <v/>
      </c>
      <c r="DU36" s="65"/>
    </row>
    <row r="37" spans="1:125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44"/>
      <c r="BA37" s="47"/>
      <c r="BB37" s="50"/>
      <c r="BC37" s="50">
        <v>1</v>
      </c>
      <c r="BD37" s="50" t="s">
        <v>192</v>
      </c>
      <c r="BE37" s="95" t="str">
        <f t="shared" si="4"/>
        <v>01</v>
      </c>
      <c r="BF37" s="95" t="str">
        <f t="shared" si="5"/>
        <v>NORM</v>
      </c>
      <c r="BG37" s="44">
        <v>1</v>
      </c>
      <c r="BH37" s="44">
        <v>1</v>
      </c>
      <c r="BI37" s="44">
        <v>1</v>
      </c>
      <c r="BJ37" s="95" t="str">
        <f t="shared" si="6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7"/>
        <v>581</v>
      </c>
      <c r="BS37" s="45" t="s">
        <v>40</v>
      </c>
      <c r="BT37" s="101">
        <v>25000</v>
      </c>
      <c r="BU37" s="43" t="str">
        <f>IFERROR(IF(INDEX(Estrutura_P01[#All],MATCH($C37,Estrutura_P01[[#All],[txtMAKT-MAKTX]],0),MATCH(BU$3,Estrutura_P01[#Headers],0))=0,"",INDEX(Estrutura_P01[#All],MATCH($C37,Estrutura_P01[[#All],[txtMAKT-MAKTX]],0),MATCH(BU$3,Estrutura_P01[#Headers],0))),"")</f>
        <v/>
      </c>
      <c r="BV37" s="45">
        <v>0</v>
      </c>
      <c r="BW37" s="45" t="s">
        <v>473</v>
      </c>
      <c r="BX37" s="45"/>
      <c r="BY37" s="44"/>
      <c r="BZ37" s="49" t="str">
        <f t="shared" si="8"/>
        <v>0011</v>
      </c>
      <c r="CA37" s="49" t="str">
        <f t="shared" si="9"/>
        <v>0011</v>
      </c>
      <c r="CB37" s="45">
        <v>75</v>
      </c>
      <c r="CC37" s="44">
        <v>1</v>
      </c>
      <c r="CD37" s="50" t="s">
        <v>490</v>
      </c>
      <c r="CE37" s="80">
        <v>2</v>
      </c>
      <c r="CF37" s="80">
        <v>7</v>
      </c>
      <c r="CG37" s="95" t="str">
        <f t="shared" si="10"/>
        <v>ZM</v>
      </c>
      <c r="CH37" s="95">
        <f t="shared" si="11"/>
        <v>2</v>
      </c>
      <c r="CI37" s="95">
        <f t="shared" si="12"/>
        <v>42</v>
      </c>
      <c r="CJ37" s="95">
        <f t="shared" si="13"/>
        <v>10</v>
      </c>
      <c r="CK37" s="43" t="str">
        <f t="shared" si="14"/>
        <v>K00_C_0581</v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S37" s="43" t="str">
        <f>IFERROR(IF(INDEX(Estrutura_P01[#All],MATCH($C37,Estrutura_P01[[#All],[txtMAKT-MAKTX]],0),MATCH(CS$3,Estrutura_P01[#Headers],0))=0,"",INDEX(Estrutura_P01[#All],MATCH($C37,Estrutura_P01[[#All],[txtMAKT-MAKTX]],0),MATCH(CS$3,Estrutura_P01[#Headers],0))),"")</f>
        <v/>
      </c>
      <c r="CU37" s="43" t="str">
        <f t="shared" si="15"/>
        <v/>
      </c>
      <c r="CV37" s="55"/>
      <c r="CW37" s="43" t="str">
        <f t="shared" ca="1" si="16"/>
        <v/>
      </c>
      <c r="CX37" s="43" t="str">
        <f t="shared" si="17"/>
        <v/>
      </c>
      <c r="CZ37" s="44"/>
      <c r="DA37" s="44">
        <v>2</v>
      </c>
      <c r="DB37" s="44">
        <v>1</v>
      </c>
      <c r="DC37" s="44"/>
      <c r="DD37" s="90" t="str">
        <f t="shared" si="18"/>
        <v/>
      </c>
      <c r="DE37" s="43">
        <f t="shared" si="19"/>
        <v>0.01</v>
      </c>
      <c r="DF37" s="43" t="str">
        <f t="shared" si="20"/>
        <v>KG</v>
      </c>
      <c r="DG37" s="44">
        <v>1</v>
      </c>
      <c r="DH37" s="50" t="s">
        <v>223</v>
      </c>
      <c r="DI37" s="50" t="s">
        <v>902</v>
      </c>
      <c r="DJ37" s="43" t="str">
        <f>IFERROR(IF(INDEX(Estrutura_P01[#All],MATCH($C37,Estrutura_P01[[#All],[txtMAKT-MAKTX]],0),MATCH(DJ$3,Estrutura_P01[#Headers],0))=0,"",INDEX(Estrutura_P01[#All],MATCH($C37,Estrutura_P01[[#All],[txtMAKT-MAKTX]],0),MATCH(DJ$3,Estrutura_P01[#Headers],0))),"")</f>
        <v/>
      </c>
      <c r="DK37" s="44">
        <v>1000</v>
      </c>
      <c r="DL37" s="60">
        <v>0</v>
      </c>
      <c r="DM37" s="44"/>
      <c r="DN37" s="44">
        <v>1</v>
      </c>
      <c r="DO37" s="44">
        <v>0</v>
      </c>
      <c r="DP37" s="44" t="s">
        <v>862</v>
      </c>
      <c r="DQ37" s="45">
        <v>0</v>
      </c>
      <c r="DR37" s="44">
        <v>1000</v>
      </c>
      <c r="DS37" s="91" t="str">
        <f>IF(AQ37=68,1,IFERROR(VLOOKUP(CM37,'Listas de Dados'!BX:BY,2,0),""))</f>
        <v/>
      </c>
      <c r="DT37" s="90" t="str">
        <f t="shared" ca="1" si="21"/>
        <v/>
      </c>
      <c r="DU37" s="65"/>
    </row>
    <row r="38" spans="1:125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44"/>
      <c r="BA38" s="47"/>
      <c r="BB38" s="50"/>
      <c r="BC38" s="50">
        <v>1</v>
      </c>
      <c r="BD38" s="50" t="s">
        <v>192</v>
      </c>
      <c r="BE38" s="95" t="str">
        <f t="shared" si="4"/>
        <v>01</v>
      </c>
      <c r="BF38" s="95" t="str">
        <f t="shared" si="5"/>
        <v>NORM</v>
      </c>
      <c r="BG38" s="44">
        <v>1</v>
      </c>
      <c r="BH38" s="44">
        <v>1</v>
      </c>
      <c r="BI38" s="44">
        <v>1</v>
      </c>
      <c r="BJ38" s="95" t="str">
        <f t="shared" si="6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7"/>
        <v>581</v>
      </c>
      <c r="BS38" s="45" t="s">
        <v>40</v>
      </c>
      <c r="BT38" s="101">
        <v>25000</v>
      </c>
      <c r="BU38" s="43" t="str">
        <f>IFERROR(IF(INDEX(Estrutura_P01[#All],MATCH($C38,Estrutura_P01[[#All],[txtMAKT-MAKTX]],0),MATCH(BU$3,Estrutura_P01[#Headers],0))=0,"",INDEX(Estrutura_P01[#All],MATCH($C38,Estrutura_P01[[#All],[txtMAKT-MAKTX]],0),MATCH(BU$3,Estrutura_P01[#Headers],0))),"")</f>
        <v/>
      </c>
      <c r="BV38" s="45">
        <v>0</v>
      </c>
      <c r="BW38" s="45" t="s">
        <v>473</v>
      </c>
      <c r="BX38" s="45"/>
      <c r="BY38" s="44"/>
      <c r="BZ38" s="49" t="str">
        <f t="shared" si="8"/>
        <v>0011</v>
      </c>
      <c r="CA38" s="49" t="str">
        <f t="shared" si="9"/>
        <v>0011</v>
      </c>
      <c r="CB38" s="45">
        <v>75</v>
      </c>
      <c r="CC38" s="44">
        <v>1</v>
      </c>
      <c r="CD38" s="50" t="s">
        <v>490</v>
      </c>
      <c r="CE38" s="80">
        <v>2</v>
      </c>
      <c r="CF38" s="80">
        <v>7</v>
      </c>
      <c r="CG38" s="95" t="str">
        <f t="shared" si="10"/>
        <v>ZM</v>
      </c>
      <c r="CH38" s="95">
        <f t="shared" si="11"/>
        <v>2</v>
      </c>
      <c r="CI38" s="95">
        <f t="shared" si="12"/>
        <v>42</v>
      </c>
      <c r="CJ38" s="95">
        <f t="shared" si="13"/>
        <v>10</v>
      </c>
      <c r="CK38" s="43" t="str">
        <f t="shared" si="14"/>
        <v>K00_C_0581</v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S38" s="43" t="str">
        <f>IFERROR(IF(INDEX(Estrutura_P01[#All],MATCH($C38,Estrutura_P01[[#All],[txtMAKT-MAKTX]],0),MATCH(CS$3,Estrutura_P01[#Headers],0))=0,"",INDEX(Estrutura_P01[#All],MATCH($C38,Estrutura_P01[[#All],[txtMAKT-MAKTX]],0),MATCH(CS$3,Estrutura_P01[#Headers],0))),"")</f>
        <v/>
      </c>
      <c r="CU38" s="43" t="str">
        <f t="shared" si="15"/>
        <v/>
      </c>
      <c r="CV38" s="55"/>
      <c r="CW38" s="43" t="str">
        <f t="shared" ca="1" si="16"/>
        <v/>
      </c>
      <c r="CX38" s="43" t="str">
        <f t="shared" si="17"/>
        <v/>
      </c>
      <c r="CZ38" s="44"/>
      <c r="DA38" s="44">
        <v>2</v>
      </c>
      <c r="DB38" s="44">
        <v>1</v>
      </c>
      <c r="DC38" s="44"/>
      <c r="DD38" s="90" t="str">
        <f t="shared" si="18"/>
        <v/>
      </c>
      <c r="DE38" s="43">
        <f t="shared" si="19"/>
        <v>0.01</v>
      </c>
      <c r="DF38" s="43" t="str">
        <f t="shared" si="20"/>
        <v>KG</v>
      </c>
      <c r="DG38" s="44">
        <v>1</v>
      </c>
      <c r="DH38" s="50" t="s">
        <v>223</v>
      </c>
      <c r="DI38" s="50" t="s">
        <v>902</v>
      </c>
      <c r="DJ38" s="43" t="str">
        <f>IFERROR(IF(INDEX(Estrutura_P01[#All],MATCH($C38,Estrutura_P01[[#All],[txtMAKT-MAKTX]],0),MATCH(DJ$3,Estrutura_P01[#Headers],0))=0,"",INDEX(Estrutura_P01[#All],MATCH($C38,Estrutura_P01[[#All],[txtMAKT-MAKTX]],0),MATCH(DJ$3,Estrutura_P01[#Headers],0))),"")</f>
        <v/>
      </c>
      <c r="DK38" s="44">
        <v>1000</v>
      </c>
      <c r="DL38" s="60">
        <v>0</v>
      </c>
      <c r="DM38" s="44"/>
      <c r="DN38" s="44">
        <v>1</v>
      </c>
      <c r="DO38" s="44">
        <v>0</v>
      </c>
      <c r="DP38" s="44" t="s">
        <v>862</v>
      </c>
      <c r="DQ38" s="45">
        <v>0</v>
      </c>
      <c r="DR38" s="44">
        <v>1000</v>
      </c>
      <c r="DS38" s="91" t="str">
        <f>IF(AQ38=68,1,IFERROR(VLOOKUP(CM38,'Listas de Dados'!BX:BY,2,0),""))</f>
        <v/>
      </c>
      <c r="DT38" s="90" t="str">
        <f t="shared" ca="1" si="21"/>
        <v/>
      </c>
      <c r="DU38" s="65"/>
    </row>
    <row r="39" spans="1:125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44"/>
      <c r="BA39" s="47"/>
      <c r="BB39" s="50"/>
      <c r="BC39" s="50">
        <v>1</v>
      </c>
      <c r="BD39" s="50" t="s">
        <v>192</v>
      </c>
      <c r="BE39" s="95" t="str">
        <f t="shared" si="4"/>
        <v>01</v>
      </c>
      <c r="BF39" s="95" t="str">
        <f t="shared" si="5"/>
        <v>NORM</v>
      </c>
      <c r="BG39" s="44">
        <v>1</v>
      </c>
      <c r="BH39" s="44">
        <v>1</v>
      </c>
      <c r="BI39" s="44">
        <v>1</v>
      </c>
      <c r="BJ39" s="95" t="str">
        <f t="shared" si="6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7"/>
        <v>581</v>
      </c>
      <c r="BS39" s="45" t="s">
        <v>40</v>
      </c>
      <c r="BT39" s="101">
        <v>25000</v>
      </c>
      <c r="BU39" s="43" t="str">
        <f>IFERROR(IF(INDEX(Estrutura_P01[#All],MATCH($C39,Estrutura_P01[[#All],[txtMAKT-MAKTX]],0),MATCH(BU$3,Estrutura_P01[#Headers],0))=0,"",INDEX(Estrutura_P01[#All],MATCH($C39,Estrutura_P01[[#All],[txtMAKT-MAKTX]],0),MATCH(BU$3,Estrutura_P01[#Headers],0))),"")</f>
        <v/>
      </c>
      <c r="BV39" s="45">
        <v>0</v>
      </c>
      <c r="BW39" s="45" t="s">
        <v>473</v>
      </c>
      <c r="BX39" s="45"/>
      <c r="BY39" s="44"/>
      <c r="BZ39" s="49" t="str">
        <f t="shared" si="8"/>
        <v>0011</v>
      </c>
      <c r="CA39" s="49" t="str">
        <f t="shared" si="9"/>
        <v>0011</v>
      </c>
      <c r="CB39" s="45">
        <v>75</v>
      </c>
      <c r="CC39" s="44">
        <v>1</v>
      </c>
      <c r="CD39" s="50" t="s">
        <v>490</v>
      </c>
      <c r="CE39" s="80">
        <v>2</v>
      </c>
      <c r="CF39" s="80">
        <v>7</v>
      </c>
      <c r="CG39" s="95" t="str">
        <f t="shared" si="10"/>
        <v>ZM</v>
      </c>
      <c r="CH39" s="95">
        <f t="shared" si="11"/>
        <v>2</v>
      </c>
      <c r="CI39" s="95">
        <f t="shared" si="12"/>
        <v>42</v>
      </c>
      <c r="CJ39" s="95">
        <f t="shared" si="13"/>
        <v>10</v>
      </c>
      <c r="CK39" s="43" t="str">
        <f t="shared" si="14"/>
        <v>K00_C_0581</v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S39" s="43" t="str">
        <f>IFERROR(IF(INDEX(Estrutura_P01[#All],MATCH($C39,Estrutura_P01[[#All],[txtMAKT-MAKTX]],0),MATCH(CS$3,Estrutura_P01[#Headers],0))=0,"",INDEX(Estrutura_P01[#All],MATCH($C39,Estrutura_P01[[#All],[txtMAKT-MAKTX]],0),MATCH(CS$3,Estrutura_P01[#Headers],0))),"")</f>
        <v/>
      </c>
      <c r="CU39" s="43" t="str">
        <f t="shared" si="15"/>
        <v/>
      </c>
      <c r="CV39" s="55"/>
      <c r="CW39" s="43" t="str">
        <f t="shared" ca="1" si="16"/>
        <v/>
      </c>
      <c r="CX39" s="43" t="str">
        <f t="shared" si="17"/>
        <v/>
      </c>
      <c r="CZ39" s="44"/>
      <c r="DA39" s="44">
        <v>2</v>
      </c>
      <c r="DB39" s="44">
        <v>1</v>
      </c>
      <c r="DC39" s="44"/>
      <c r="DD39" s="90" t="str">
        <f t="shared" si="18"/>
        <v/>
      </c>
      <c r="DE39" s="43">
        <f t="shared" si="19"/>
        <v>0.01</v>
      </c>
      <c r="DF39" s="43" t="str">
        <f t="shared" si="20"/>
        <v>KG</v>
      </c>
      <c r="DG39" s="44">
        <v>1</v>
      </c>
      <c r="DH39" s="50" t="s">
        <v>223</v>
      </c>
      <c r="DI39" s="50" t="s">
        <v>902</v>
      </c>
      <c r="DJ39" s="43" t="str">
        <f>IFERROR(IF(INDEX(Estrutura_P01[#All],MATCH($C39,Estrutura_P01[[#All],[txtMAKT-MAKTX]],0),MATCH(DJ$3,Estrutura_P01[#Headers],0))=0,"",INDEX(Estrutura_P01[#All],MATCH($C39,Estrutura_P01[[#All],[txtMAKT-MAKTX]],0),MATCH(DJ$3,Estrutura_P01[#Headers],0))),"")</f>
        <v/>
      </c>
      <c r="DK39" s="44">
        <v>1000</v>
      </c>
      <c r="DL39" s="60">
        <v>0</v>
      </c>
      <c r="DM39" s="44"/>
      <c r="DN39" s="44">
        <v>1</v>
      </c>
      <c r="DO39" s="44">
        <v>0</v>
      </c>
      <c r="DP39" s="44" t="s">
        <v>862</v>
      </c>
      <c r="DQ39" s="45">
        <v>0</v>
      </c>
      <c r="DR39" s="44">
        <v>1000</v>
      </c>
      <c r="DS39" s="91" t="str">
        <f>IF(AQ39=68,1,IFERROR(VLOOKUP(CM39,'Listas de Dados'!BX:BY,2,0),""))</f>
        <v/>
      </c>
      <c r="DT39" s="90" t="str">
        <f t="shared" ca="1" si="21"/>
        <v/>
      </c>
      <c r="DU39" s="65"/>
    </row>
    <row r="40" spans="1:125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44"/>
      <c r="BA40" s="47"/>
      <c r="BB40" s="50"/>
      <c r="BC40" s="50">
        <v>1</v>
      </c>
      <c r="BD40" s="50" t="s">
        <v>192</v>
      </c>
      <c r="BE40" s="95" t="str">
        <f t="shared" si="4"/>
        <v>01</v>
      </c>
      <c r="BF40" s="95" t="str">
        <f t="shared" si="5"/>
        <v>NORM</v>
      </c>
      <c r="BG40" s="44">
        <v>1</v>
      </c>
      <c r="BH40" s="44">
        <v>1</v>
      </c>
      <c r="BI40" s="44">
        <v>1</v>
      </c>
      <c r="BJ40" s="95" t="str">
        <f t="shared" si="6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7"/>
        <v>581</v>
      </c>
      <c r="BS40" s="45" t="s">
        <v>40</v>
      </c>
      <c r="BT40" s="101">
        <v>25000</v>
      </c>
      <c r="BU40" s="43" t="str">
        <f>IFERROR(IF(INDEX(Estrutura_P01[#All],MATCH($C40,Estrutura_P01[[#All],[txtMAKT-MAKTX]],0),MATCH(BU$3,Estrutura_P01[#Headers],0))=0,"",INDEX(Estrutura_P01[#All],MATCH($C40,Estrutura_P01[[#All],[txtMAKT-MAKTX]],0),MATCH(BU$3,Estrutura_P01[#Headers],0))),"")</f>
        <v/>
      </c>
      <c r="BV40" s="45">
        <v>0</v>
      </c>
      <c r="BW40" s="45" t="s">
        <v>473</v>
      </c>
      <c r="BX40" s="45"/>
      <c r="BY40" s="44"/>
      <c r="BZ40" s="49" t="str">
        <f t="shared" si="8"/>
        <v>0011</v>
      </c>
      <c r="CA40" s="49" t="str">
        <f t="shared" si="9"/>
        <v>0011</v>
      </c>
      <c r="CB40" s="45">
        <v>75</v>
      </c>
      <c r="CC40" s="44">
        <v>1</v>
      </c>
      <c r="CD40" s="50" t="s">
        <v>490</v>
      </c>
      <c r="CE40" s="80">
        <v>2</v>
      </c>
      <c r="CF40" s="80">
        <v>7</v>
      </c>
      <c r="CG40" s="95" t="str">
        <f t="shared" si="10"/>
        <v>ZM</v>
      </c>
      <c r="CH40" s="95">
        <f t="shared" si="11"/>
        <v>2</v>
      </c>
      <c r="CI40" s="95">
        <f t="shared" si="12"/>
        <v>42</v>
      </c>
      <c r="CJ40" s="95">
        <f t="shared" si="13"/>
        <v>10</v>
      </c>
      <c r="CK40" s="43" t="str">
        <f t="shared" si="14"/>
        <v>K00_C_0581</v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S40" s="43" t="str">
        <f>IFERROR(IF(INDEX(Estrutura_P01[#All],MATCH($C40,Estrutura_P01[[#All],[txtMAKT-MAKTX]],0),MATCH(CS$3,Estrutura_P01[#Headers],0))=0,"",INDEX(Estrutura_P01[#All],MATCH($C40,Estrutura_P01[[#All],[txtMAKT-MAKTX]],0),MATCH(CS$3,Estrutura_P01[#Headers],0))),"")</f>
        <v/>
      </c>
      <c r="CU40" s="43" t="str">
        <f t="shared" si="15"/>
        <v/>
      </c>
      <c r="CV40" s="55"/>
      <c r="CW40" s="43" t="str">
        <f t="shared" ca="1" si="16"/>
        <v/>
      </c>
      <c r="CX40" s="43" t="str">
        <f t="shared" si="17"/>
        <v/>
      </c>
      <c r="CZ40" s="44"/>
      <c r="DA40" s="44">
        <v>2</v>
      </c>
      <c r="DB40" s="44">
        <v>1</v>
      </c>
      <c r="DC40" s="44"/>
      <c r="DD40" s="90" t="str">
        <f t="shared" si="18"/>
        <v/>
      </c>
      <c r="DE40" s="43">
        <f t="shared" si="19"/>
        <v>0.01</v>
      </c>
      <c r="DF40" s="43" t="str">
        <f t="shared" si="20"/>
        <v>KG</v>
      </c>
      <c r="DG40" s="44">
        <v>1</v>
      </c>
      <c r="DH40" s="50" t="s">
        <v>223</v>
      </c>
      <c r="DI40" s="50" t="s">
        <v>902</v>
      </c>
      <c r="DJ40" s="43" t="str">
        <f>IFERROR(IF(INDEX(Estrutura_P01[#All],MATCH($C40,Estrutura_P01[[#All],[txtMAKT-MAKTX]],0),MATCH(DJ$3,Estrutura_P01[#Headers],0))=0,"",INDEX(Estrutura_P01[#All],MATCH($C40,Estrutura_P01[[#All],[txtMAKT-MAKTX]],0),MATCH(DJ$3,Estrutura_P01[#Headers],0))),"")</f>
        <v/>
      </c>
      <c r="DK40" s="44">
        <v>1000</v>
      </c>
      <c r="DL40" s="60">
        <v>0</v>
      </c>
      <c r="DM40" s="44"/>
      <c r="DN40" s="44">
        <v>1</v>
      </c>
      <c r="DO40" s="44">
        <v>0</v>
      </c>
      <c r="DP40" s="44" t="s">
        <v>862</v>
      </c>
      <c r="DQ40" s="45">
        <v>0</v>
      </c>
      <c r="DR40" s="44">
        <v>1000</v>
      </c>
      <c r="DS40" s="91" t="str">
        <f>IF(AQ40=68,1,IFERROR(VLOOKUP(CM40,'Listas de Dados'!BX:BY,2,0),""))</f>
        <v/>
      </c>
      <c r="DT40" s="90" t="str">
        <f t="shared" ca="1" si="21"/>
        <v/>
      </c>
      <c r="DU40" s="65"/>
    </row>
  </sheetData>
  <sortState ref="B5:B61">
    <sortCondition ref="B5"/>
  </sortState>
  <mergeCells count="5">
    <mergeCell ref="CY1:CY2"/>
    <mergeCell ref="L3:AL3"/>
    <mergeCell ref="AM1:AM2"/>
    <mergeCell ref="K1:K2"/>
    <mergeCell ref="CT1:CT2"/>
  </mergeCells>
  <conditionalFormatting sqref="B5:C5">
    <cfRule type="beginsWith" dxfId="177" priority="150" operator="beginsWith" text="L">
      <formula>LEFT(B5,LEN("L"))="L"</formula>
    </cfRule>
  </conditionalFormatting>
  <conditionalFormatting sqref="AU5">
    <cfRule type="beginsWith" dxfId="176" priority="115" operator="beginsWith" text="L">
      <formula>LEFT(AU5,LEN("L"))="L"</formula>
    </cfRule>
  </conditionalFormatting>
  <conditionalFormatting sqref="AY5">
    <cfRule type="beginsWith" dxfId="175" priority="113" operator="beginsWith" text="L">
      <formula>LEFT(AY5,LEN("L"))="L"</formula>
    </cfRule>
  </conditionalFormatting>
  <conditionalFormatting sqref="DU1:DU5 DU41:DU1048576">
    <cfRule type="containsText" dxfId="174" priority="67" operator="containsText" text="criadas">
      <formula>NOT(ISERROR(SEARCH("criadas",DU1)))</formula>
    </cfRule>
    <cfRule type="containsText" dxfId="173" priority="69" operator="containsText" text="é gravado">
      <formula>NOT(ISERROR(SEARCH("é gravado",DU1)))</formula>
    </cfRule>
    <cfRule type="containsText" dxfId="172" priority="70" operator="containsText" text="é modificado">
      <formula>NOT(ISERROR(SEARCH("é modificado",DU1)))</formula>
    </cfRule>
    <cfRule type="containsText" dxfId="171" priority="71" operator="containsText" text="Error">
      <formula>NOT(ISERROR(SEARCH("Error",DU1)))</formula>
    </cfRule>
    <cfRule type="containsText" dxfId="170" priority="72" operator="containsText" text="é criado">
      <formula>NOT(ISERROR(SEARCH("é criado",DU1)))</formula>
    </cfRule>
  </conditionalFormatting>
  <conditionalFormatting sqref="F5">
    <cfRule type="beginsWith" dxfId="169" priority="64" operator="beginsWith" text="L">
      <formula>LEFT(F5,LEN("L"))="L"</formula>
    </cfRule>
  </conditionalFormatting>
  <conditionalFormatting sqref="G5">
    <cfRule type="beginsWith" dxfId="168" priority="63" operator="beginsWith" text="L">
      <formula>LEFT(G5,LEN("L"))="L"</formula>
    </cfRule>
  </conditionalFormatting>
  <conditionalFormatting sqref="I5">
    <cfRule type="beginsWith" dxfId="167" priority="62" operator="beginsWith" text="L">
      <formula>LEFT(I5,LEN("L"))="L"</formula>
    </cfRule>
  </conditionalFormatting>
  <conditionalFormatting sqref="CR5">
    <cfRule type="beginsWith" dxfId="166" priority="32" operator="beginsWith" text="L">
      <formula>LEFT(CR5,LEN("L"))="L"</formula>
    </cfRule>
  </conditionalFormatting>
  <conditionalFormatting sqref="D5">
    <cfRule type="beginsWith" dxfId="165" priority="60" operator="beginsWith" text="L">
      <formula>LEFT(D5,LEN("L"))="L"</formula>
    </cfRule>
  </conditionalFormatting>
  <conditionalFormatting sqref="AO5">
    <cfRule type="beginsWith" dxfId="164" priority="44" operator="beginsWith" text="L">
      <formula>LEFT(AO5,LEN("L"))="L"</formula>
    </cfRule>
  </conditionalFormatting>
  <conditionalFormatting sqref="AQ5">
    <cfRule type="beginsWith" dxfId="163" priority="43" operator="beginsWith" text="L">
      <formula>LEFT(AQ5,LEN("L"))="L"</formula>
    </cfRule>
  </conditionalFormatting>
  <conditionalFormatting sqref="AX5">
    <cfRule type="beginsWith" dxfId="162" priority="42" operator="beginsWith" text="L">
      <formula>LEFT(AX5,LEN("L"))="L"</formula>
    </cfRule>
  </conditionalFormatting>
  <conditionalFormatting sqref="BM5">
    <cfRule type="beginsWith" dxfId="161" priority="41" operator="beginsWith" text="L">
      <formula>LEFT(BM5,LEN("L"))="L"</formula>
    </cfRule>
  </conditionalFormatting>
  <conditionalFormatting sqref="BQ5">
    <cfRule type="beginsWith" dxfId="160" priority="40" operator="beginsWith" text="L">
      <formula>LEFT(BQ5,LEN("L"))="L"</formula>
    </cfRule>
  </conditionalFormatting>
  <conditionalFormatting sqref="BU5">
    <cfRule type="beginsWith" dxfId="159" priority="39" operator="beginsWith" text="L">
      <formula>LEFT(BU5,LEN("L"))="L"</formula>
    </cfRule>
  </conditionalFormatting>
  <conditionalFormatting sqref="CL5">
    <cfRule type="beginsWith" dxfId="158" priority="38" operator="beginsWith" text="L">
      <formula>LEFT(CL5,LEN("L"))="L"</formula>
    </cfRule>
  </conditionalFormatting>
  <conditionalFormatting sqref="CM5">
    <cfRule type="beginsWith" dxfId="157" priority="37" operator="beginsWith" text="L">
      <formula>LEFT(CM5,LEN("L"))="L"</formula>
    </cfRule>
  </conditionalFormatting>
  <conditionalFormatting sqref="CN5">
    <cfRule type="beginsWith" dxfId="156" priority="36" operator="beginsWith" text="L">
      <formula>LEFT(CN5,LEN("L"))="L"</formula>
    </cfRule>
  </conditionalFormatting>
  <conditionalFormatting sqref="CO5">
    <cfRule type="beginsWith" dxfId="155" priority="35" operator="beginsWith" text="L">
      <formula>LEFT(CO5,LEN("L"))="L"</formula>
    </cfRule>
  </conditionalFormatting>
  <conditionalFormatting sqref="CP5">
    <cfRule type="beginsWith" dxfId="154" priority="34" operator="beginsWith" text="L">
      <formula>LEFT(CP5,LEN("L"))="L"</formula>
    </cfRule>
  </conditionalFormatting>
  <conditionalFormatting sqref="CQ5">
    <cfRule type="beginsWith" dxfId="153" priority="33" operator="beginsWith" text="L">
      <formula>LEFT(CQ5,LEN("L"))="L"</formula>
    </cfRule>
  </conditionalFormatting>
  <conditionalFormatting sqref="CS5">
    <cfRule type="beginsWith" dxfId="152" priority="31" operator="beginsWith" text="L">
      <formula>LEFT(CS5,LEN("L"))="L"</formula>
    </cfRule>
  </conditionalFormatting>
  <conditionalFormatting sqref="DJ5">
    <cfRule type="beginsWith" dxfId="151" priority="30" operator="beginsWith" text="L">
      <formula>LEFT(DJ5,LEN("L"))="L"</formula>
    </cfRule>
  </conditionalFormatting>
  <conditionalFormatting sqref="B6:C40">
    <cfRule type="beginsWith" dxfId="150" priority="29" operator="beginsWith" text="L">
      <formula>LEFT(B6,LEN("L"))="L"</formula>
    </cfRule>
  </conditionalFormatting>
  <conditionalFormatting sqref="AU6:AU40">
    <cfRule type="beginsWith" dxfId="149" priority="28" operator="beginsWith" text="L">
      <formula>LEFT(AU6,LEN("L"))="L"</formula>
    </cfRule>
  </conditionalFormatting>
  <conditionalFormatting sqref="AY6:AY40">
    <cfRule type="beginsWith" dxfId="148" priority="27" operator="beginsWith" text="L">
      <formula>LEFT(AY6,LEN("L"))="L"</formula>
    </cfRule>
  </conditionalFormatting>
  <conditionalFormatting sqref="DU6:DU40">
    <cfRule type="containsText" dxfId="147" priority="22" operator="containsText" text="criadas">
      <formula>NOT(ISERROR(SEARCH("criadas",DU6)))</formula>
    </cfRule>
    <cfRule type="containsText" dxfId="146" priority="23" operator="containsText" text="é gravado">
      <formula>NOT(ISERROR(SEARCH("é gravado",DU6)))</formula>
    </cfRule>
    <cfRule type="containsText" dxfId="145" priority="24" operator="containsText" text="é modificado">
      <formula>NOT(ISERROR(SEARCH("é modificado",DU6)))</formula>
    </cfRule>
    <cfRule type="containsText" dxfId="144" priority="25" operator="containsText" text="Error">
      <formula>NOT(ISERROR(SEARCH("Error",DU6)))</formula>
    </cfRule>
    <cfRule type="containsText" dxfId="143" priority="26" operator="containsText" text="é criado">
      <formula>NOT(ISERROR(SEARCH("é criado",DU6)))</formula>
    </cfRule>
  </conditionalFormatting>
  <conditionalFormatting sqref="F6:F40">
    <cfRule type="beginsWith" dxfId="142" priority="21" operator="beginsWith" text="L">
      <formula>LEFT(F6,LEN("L"))="L"</formula>
    </cfRule>
  </conditionalFormatting>
  <conditionalFormatting sqref="G6:G40">
    <cfRule type="beginsWith" dxfId="141" priority="20" operator="beginsWith" text="L">
      <formula>LEFT(G6,LEN("L"))="L"</formula>
    </cfRule>
  </conditionalFormatting>
  <conditionalFormatting sqref="I6:I40">
    <cfRule type="beginsWith" dxfId="140" priority="19" operator="beginsWith" text="L">
      <formula>LEFT(I6,LEN("L"))="L"</formula>
    </cfRule>
  </conditionalFormatting>
  <conditionalFormatting sqref="CR6:CR40">
    <cfRule type="beginsWith" dxfId="139" priority="5" operator="beginsWith" text="L">
      <formula>LEFT(CR6,LEN("L"))="L"</formula>
    </cfRule>
  </conditionalFormatting>
  <conditionalFormatting sqref="D6:D40">
    <cfRule type="beginsWith" dxfId="138" priority="18" operator="beginsWith" text="L">
      <formula>LEFT(D6,LEN("L"))="L"</formula>
    </cfRule>
  </conditionalFormatting>
  <conditionalFormatting sqref="AO6:AO40">
    <cfRule type="beginsWith" dxfId="137" priority="17" operator="beginsWith" text="L">
      <formula>LEFT(AO6,LEN("L"))="L"</formula>
    </cfRule>
  </conditionalFormatting>
  <conditionalFormatting sqref="AQ6:AQ40">
    <cfRule type="beginsWith" dxfId="136" priority="16" operator="beginsWith" text="L">
      <formula>LEFT(AQ6,LEN("L"))="L"</formula>
    </cfRule>
  </conditionalFormatting>
  <conditionalFormatting sqref="AX6:AX40">
    <cfRule type="beginsWith" dxfId="135" priority="15" operator="beginsWith" text="L">
      <formula>LEFT(AX6,LEN("L"))="L"</formula>
    </cfRule>
  </conditionalFormatting>
  <conditionalFormatting sqref="BM6:BM40">
    <cfRule type="beginsWith" dxfId="134" priority="14" operator="beginsWith" text="L">
      <formula>LEFT(BM6,LEN("L"))="L"</formula>
    </cfRule>
  </conditionalFormatting>
  <conditionalFormatting sqref="BQ6:BQ40">
    <cfRule type="beginsWith" dxfId="133" priority="13" operator="beginsWith" text="L">
      <formula>LEFT(BQ6,LEN("L"))="L"</formula>
    </cfRule>
  </conditionalFormatting>
  <conditionalFormatting sqref="BU6:BU40">
    <cfRule type="beginsWith" dxfId="132" priority="12" operator="beginsWith" text="L">
      <formula>LEFT(BU6,LEN("L"))="L"</formula>
    </cfRule>
  </conditionalFormatting>
  <conditionalFormatting sqref="CL6:CL40">
    <cfRule type="beginsWith" dxfId="131" priority="11" operator="beginsWith" text="L">
      <formula>LEFT(CL6,LEN("L"))="L"</formula>
    </cfRule>
  </conditionalFormatting>
  <conditionalFormatting sqref="CM6:CM40">
    <cfRule type="beginsWith" dxfId="130" priority="10" operator="beginsWith" text="L">
      <formula>LEFT(CM6,LEN("L"))="L"</formula>
    </cfRule>
  </conditionalFormatting>
  <conditionalFormatting sqref="CN6:CN40">
    <cfRule type="beginsWith" dxfId="129" priority="9" operator="beginsWith" text="L">
      <formula>LEFT(CN6,LEN("L"))="L"</formula>
    </cfRule>
  </conditionalFormatting>
  <conditionalFormatting sqref="CO6:CO40">
    <cfRule type="beginsWith" dxfId="128" priority="8" operator="beginsWith" text="L">
      <formula>LEFT(CO6,LEN("L"))="L"</formula>
    </cfRule>
  </conditionalFormatting>
  <conditionalFormatting sqref="CP6:CP40">
    <cfRule type="beginsWith" dxfId="127" priority="7" operator="beginsWith" text="L">
      <formula>LEFT(CP6,LEN("L"))="L"</formula>
    </cfRule>
  </conditionalFormatting>
  <conditionalFormatting sqref="CQ6:CQ40">
    <cfRule type="beginsWith" dxfId="126" priority="6" operator="beginsWith" text="L">
      <formula>LEFT(CQ6,LEN("L"))="L"</formula>
    </cfRule>
  </conditionalFormatting>
  <conditionalFormatting sqref="CS6:CS40">
    <cfRule type="beginsWith" dxfId="125" priority="4" operator="beginsWith" text="L">
      <formula>LEFT(CS6,LEN("L"))="L"</formula>
    </cfRule>
  </conditionalFormatting>
  <conditionalFormatting sqref="DJ6:DJ40">
    <cfRule type="beginsWith" dxfId="124" priority="3" operator="beginsWith" text="L">
      <formula>LEFT(DJ6,LEN("L"))="L"</formula>
    </cfRule>
  </conditionalFormatting>
  <conditionalFormatting sqref="DT5:DT40">
    <cfRule type="beginsWith" dxfId="123" priority="1" operator="beginsWith" text="L">
      <formula>LEFT(DT5,LEN("L"))="L"</formula>
    </cfRule>
  </conditionalFormatting>
  <dataValidations count="5">
    <dataValidation type="list" allowBlank="1" showInputMessage="1" showErrorMessage="1" sqref="BV5:BV40 BG5:BI40 DG5:DG40">
      <formula1>"0,1"</formula1>
    </dataValidation>
    <dataValidation type="list" allowBlank="1" showInputMessage="1" showErrorMessage="1" sqref="DL5:DL40 DQ5:DQ40 DB5:DB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V5:CV40">
      <formula1>#REF!</formula1>
    </dataValidation>
    <dataValidation type="decimal" allowBlank="1" showInputMessage="1" showErrorMessage="1" sqref="BT5:BT40">
      <formula1>0</formula1>
      <formula2>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100" t="s">
        <v>170</v>
      </c>
      <c r="AN1" s="100" t="s">
        <v>127</v>
      </c>
      <c r="AY1" s="100" t="s">
        <v>922</v>
      </c>
      <c r="CQ1" s="98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100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100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100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98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99" t="s">
        <v>155</v>
      </c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IFERROR(IF(INDEX('MM01-BOB'!$A:$DM,MATCH('MM01'!$B5,'MM01-BOB'!$B:$B,0),MATCH('MM01'!AP$3,'MM01-BOB'!$3:$3,0))=0,"",INDEX('MM01-BOB'!$A:$DM,MATCH('MM01'!$B5,'MM01-BOB'!$B:$B,0),MATCH('MM01'!AP$3,'MM01-BOB'!$3:$3,0))),"")</f>
        <v/>
      </c>
      <c r="AQ5" s="45"/>
      <c r="AR5" s="43" t="str">
        <f>IFERROR(IF(INDEX('MM01-BOB'!$A:$DM,MATCH('MM01'!$B5,'MM01-BOB'!$B:$B,0),MATCH('MM01'!AR$3,'MM01-BOB'!$3:$3,0))=0,"",INDEX('MM01-BOB'!$A:$DM,MATCH('MM01'!$B5,'MM01-BOB'!$B:$B,0),MATCH('MM01'!AR$3,'MM01-BOB'!$3:$3,0))),"")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IFERROR(IF(INDEX('MM01-BOB'!$A:$DM,MATCH('MM01'!$B5,'MM01-BOB'!$B:$B,0),MATCH('MM01'!AY$3,'MM01-BOB'!$3:$3,0))=0,"",INDEX('MM01-BOB'!$A:$DM,MATCH('MM01'!$B5,'MM01-BOB'!$B:$B,0),MATCH('MM01'!AY$3,'MM01-BOB'!$3:$3,0))),"")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IFERROR(IF(INDEX('MM01-BOB'!$A:$DM,MATCH('MM01'!$B5,'MM01-BOB'!$B:$B,0),MATCH('MM01'!BN$3,'MM01-BOB'!$3:$3,0))=0,"",INDEX('MM01-BOB'!$A:$DM,MATCH('MM01'!$B5,'MM01-BOB'!$B:$B,0),MATCH('MM01'!BN$3,'MM01-BOB'!$3:$3,0))),"")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04.04.2022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IFERROR(IF(INDEX('MM01-BOB'!$A:$DM,MATCH('MM01'!$B6,'MM01-BOB'!$B:$B,0),MATCH('MM01'!AP$3,'MM01-BOB'!$3:$3,0))=0,"",INDEX('MM01-BOB'!$A:$DM,MATCH('MM01'!$B6,'MM01-BOB'!$B:$B,0),MATCH('MM01'!AP$3,'MM01-BOB'!$3:$3,0))),"")</f>
        <v/>
      </c>
      <c r="AQ6" s="45"/>
      <c r="AR6" s="43" t="str">
        <f>IFERROR(IF(INDEX('MM01-BOB'!$A:$DM,MATCH('MM01'!$B6,'MM01-BOB'!$B:$B,0),MATCH('MM01'!AR$3,'MM01-BOB'!$3:$3,0))=0,"",INDEX('MM01-BOB'!$A:$DM,MATCH('MM01'!$B6,'MM01-BOB'!$B:$B,0),MATCH('MM01'!AR$3,'MM01-BOB'!$3:$3,0))),"")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IFERROR(IF(INDEX('MM01-BOB'!$A:$DM,MATCH('MM01'!$B6,'MM01-BOB'!$B:$B,0),MATCH('MM01'!AY$3,'MM01-BOB'!$3:$3,0))=0,"",INDEX('MM01-BOB'!$A:$DM,MATCH('MM01'!$B6,'MM01-BOB'!$B:$B,0),MATCH('MM01'!AY$3,'MM01-BOB'!$3:$3,0))),"")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IFERROR(IF(INDEX('MM01-BOB'!$A:$DM,MATCH('MM01'!$B6,'MM01-BOB'!$B:$B,0),MATCH('MM01'!BN$3,'MM01-BOB'!$3:$3,0))=0,"",INDEX('MM01-BOB'!$A:$DM,MATCH('MM01'!$B6,'MM01-BOB'!$B:$B,0),MATCH('MM01'!BN$3,'MM01-BOB'!$3:$3,0))),"")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04.04.2022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IFERROR(IF(INDEX('MM01-BOB'!$A:$DM,MATCH('MM01'!$B7,'MM01-BOB'!$B:$B,0),MATCH('MM01'!AP$3,'MM01-BOB'!$3:$3,0))=0,"",INDEX('MM01-BOB'!$A:$DM,MATCH('MM01'!$B7,'MM01-BOB'!$B:$B,0),MATCH('MM01'!AP$3,'MM01-BOB'!$3:$3,0))),"")</f>
        <v/>
      </c>
      <c r="AQ7" s="45"/>
      <c r="AR7" s="43" t="str">
        <f>IFERROR(IF(INDEX('MM01-BOB'!$A:$DM,MATCH('MM01'!$B7,'MM01-BOB'!$B:$B,0),MATCH('MM01'!AR$3,'MM01-BOB'!$3:$3,0))=0,"",INDEX('MM01-BOB'!$A:$DM,MATCH('MM01'!$B7,'MM01-BOB'!$B:$B,0),MATCH('MM01'!AR$3,'MM01-BOB'!$3:$3,0))),"")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IFERROR(IF(INDEX('MM01-BOB'!$A:$DM,MATCH('MM01'!$B7,'MM01-BOB'!$B:$B,0),MATCH('MM01'!AY$3,'MM01-BOB'!$3:$3,0))=0,"",INDEX('MM01-BOB'!$A:$DM,MATCH('MM01'!$B7,'MM01-BOB'!$B:$B,0),MATCH('MM01'!AY$3,'MM01-BOB'!$3:$3,0))),"")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IFERROR(IF(INDEX('MM01-BOB'!$A:$DM,MATCH('MM01'!$B7,'MM01-BOB'!$B:$B,0),MATCH('MM01'!BN$3,'MM01-BOB'!$3:$3,0))=0,"",INDEX('MM01-BOB'!$A:$DM,MATCH('MM01'!$B7,'MM01-BOB'!$B:$B,0),MATCH('MM01'!BN$3,'MM01-BOB'!$3:$3,0))),"")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04.04.2022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IFERROR(IF(INDEX('MM01-BOB'!$A:$DM,MATCH('MM01'!$B8,'MM01-BOB'!$B:$B,0),MATCH('MM01'!AP$3,'MM01-BOB'!$3:$3,0))=0,"",INDEX('MM01-BOB'!$A:$DM,MATCH('MM01'!$B8,'MM01-BOB'!$B:$B,0),MATCH('MM01'!AP$3,'MM01-BOB'!$3:$3,0))),"")</f>
        <v/>
      </c>
      <c r="AQ8" s="45"/>
      <c r="AR8" s="43" t="str">
        <f>IFERROR(IF(INDEX('MM01-BOB'!$A:$DM,MATCH('MM01'!$B8,'MM01-BOB'!$B:$B,0),MATCH('MM01'!AR$3,'MM01-BOB'!$3:$3,0))=0,"",INDEX('MM01-BOB'!$A:$DM,MATCH('MM01'!$B8,'MM01-BOB'!$B:$B,0),MATCH('MM01'!AR$3,'MM01-BOB'!$3:$3,0))),"")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IFERROR(IF(INDEX('MM01-BOB'!$A:$DM,MATCH('MM01'!$B8,'MM01-BOB'!$B:$B,0),MATCH('MM01'!AY$3,'MM01-BOB'!$3:$3,0))=0,"",INDEX('MM01-BOB'!$A:$DM,MATCH('MM01'!$B8,'MM01-BOB'!$B:$B,0),MATCH('MM01'!AY$3,'MM01-BOB'!$3:$3,0))),"")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IFERROR(IF(INDEX('MM01-BOB'!$A:$DM,MATCH('MM01'!$B8,'MM01-BOB'!$B:$B,0),MATCH('MM01'!BN$3,'MM01-BOB'!$3:$3,0))=0,"",INDEX('MM01-BOB'!$A:$DM,MATCH('MM01'!$B8,'MM01-BOB'!$B:$B,0),MATCH('MM01'!BN$3,'MM01-BOB'!$3:$3,0))),"")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04.04.2022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IFERROR(IF(INDEX('MM01-BOB'!$A:$DM,MATCH('MM01'!$B9,'MM01-BOB'!$B:$B,0),MATCH('MM01'!AP$3,'MM01-BOB'!$3:$3,0))=0,"",INDEX('MM01-BOB'!$A:$DM,MATCH('MM01'!$B9,'MM01-BOB'!$B:$B,0),MATCH('MM01'!AP$3,'MM01-BOB'!$3:$3,0))),"")</f>
        <v/>
      </c>
      <c r="AQ9" s="45"/>
      <c r="AR9" s="43" t="str">
        <f>IFERROR(IF(INDEX('MM01-BOB'!$A:$DM,MATCH('MM01'!$B9,'MM01-BOB'!$B:$B,0),MATCH('MM01'!AR$3,'MM01-BOB'!$3:$3,0))=0,"",INDEX('MM01-BOB'!$A:$DM,MATCH('MM01'!$B9,'MM01-BOB'!$B:$B,0),MATCH('MM01'!AR$3,'MM01-BOB'!$3:$3,0))),"")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IFERROR(IF(INDEX('MM01-BOB'!$A:$DM,MATCH('MM01'!$B9,'MM01-BOB'!$B:$B,0),MATCH('MM01'!AY$3,'MM01-BOB'!$3:$3,0))=0,"",INDEX('MM01-BOB'!$A:$DM,MATCH('MM01'!$B9,'MM01-BOB'!$B:$B,0),MATCH('MM01'!AY$3,'MM01-BOB'!$3:$3,0))),"")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IFERROR(IF(INDEX('MM01-BOB'!$A:$DM,MATCH('MM01'!$B9,'MM01-BOB'!$B:$B,0),MATCH('MM01'!BN$3,'MM01-BOB'!$3:$3,0))=0,"",INDEX('MM01-BOB'!$A:$DM,MATCH('MM01'!$B9,'MM01-BOB'!$B:$B,0),MATCH('MM01'!BN$3,'MM01-BOB'!$3:$3,0))),"")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04.04.2022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IFERROR(IF(INDEX('MM01-BOB'!$A:$DM,MATCH('MM01'!$B10,'MM01-BOB'!$B:$B,0),MATCH('MM01'!AP$3,'MM01-BOB'!$3:$3,0))=0,"",INDEX('MM01-BOB'!$A:$DM,MATCH('MM01'!$B10,'MM01-BOB'!$B:$B,0),MATCH('MM01'!AP$3,'MM01-BOB'!$3:$3,0))),"")</f>
        <v/>
      </c>
      <c r="AQ10" s="45"/>
      <c r="AR10" s="43" t="str">
        <f>IFERROR(IF(INDEX('MM01-BOB'!$A:$DM,MATCH('MM01'!$B10,'MM01-BOB'!$B:$B,0),MATCH('MM01'!AR$3,'MM01-BOB'!$3:$3,0))=0,"",INDEX('MM01-BOB'!$A:$DM,MATCH('MM01'!$B10,'MM01-BOB'!$B:$B,0),MATCH('MM01'!AR$3,'MM01-BOB'!$3:$3,0))),"")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IFERROR(IF(INDEX('MM01-BOB'!$A:$DM,MATCH('MM01'!$B10,'MM01-BOB'!$B:$B,0),MATCH('MM01'!AY$3,'MM01-BOB'!$3:$3,0))=0,"",INDEX('MM01-BOB'!$A:$DM,MATCH('MM01'!$B10,'MM01-BOB'!$B:$B,0),MATCH('MM01'!AY$3,'MM01-BOB'!$3:$3,0))),"")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IFERROR(IF(INDEX('MM01-BOB'!$A:$DM,MATCH('MM01'!$B10,'MM01-BOB'!$B:$B,0),MATCH('MM01'!BN$3,'MM01-BOB'!$3:$3,0))=0,"",INDEX('MM01-BOB'!$A:$DM,MATCH('MM01'!$B10,'MM01-BOB'!$B:$B,0),MATCH('MM01'!BN$3,'MM01-BOB'!$3:$3,0))),"")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04.04.2022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IFERROR(IF(INDEX('MM01-BOB'!$A:$DM,MATCH('MM01'!$B11,'MM01-BOB'!$B:$B,0),MATCH('MM01'!AP$3,'MM01-BOB'!$3:$3,0))=0,"",INDEX('MM01-BOB'!$A:$DM,MATCH('MM01'!$B11,'MM01-BOB'!$B:$B,0),MATCH('MM01'!AP$3,'MM01-BOB'!$3:$3,0))),"")</f>
        <v/>
      </c>
      <c r="AQ11" s="45"/>
      <c r="AR11" s="43" t="str">
        <f>IFERROR(IF(INDEX('MM01-BOB'!$A:$DM,MATCH('MM01'!$B11,'MM01-BOB'!$B:$B,0),MATCH('MM01'!AR$3,'MM01-BOB'!$3:$3,0))=0,"",INDEX('MM01-BOB'!$A:$DM,MATCH('MM01'!$B11,'MM01-BOB'!$B:$B,0),MATCH('MM01'!AR$3,'MM01-BOB'!$3:$3,0))),"")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IFERROR(IF(INDEX('MM01-BOB'!$A:$DM,MATCH('MM01'!$B11,'MM01-BOB'!$B:$B,0),MATCH('MM01'!AY$3,'MM01-BOB'!$3:$3,0))=0,"",INDEX('MM01-BOB'!$A:$DM,MATCH('MM01'!$B11,'MM01-BOB'!$B:$B,0),MATCH('MM01'!AY$3,'MM01-BOB'!$3:$3,0))),"")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IFERROR(IF(INDEX('MM01-BOB'!$A:$DM,MATCH('MM01'!$B11,'MM01-BOB'!$B:$B,0),MATCH('MM01'!BN$3,'MM01-BOB'!$3:$3,0))=0,"",INDEX('MM01-BOB'!$A:$DM,MATCH('MM01'!$B11,'MM01-BOB'!$B:$B,0),MATCH('MM01'!BN$3,'MM01-BOB'!$3:$3,0))),"")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04.04.2022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IFERROR(IF(INDEX('MM01-BOB'!$A:$DM,MATCH('MM01'!$B12,'MM01-BOB'!$B:$B,0),MATCH('MM01'!AP$3,'MM01-BOB'!$3:$3,0))=0,"",INDEX('MM01-BOB'!$A:$DM,MATCH('MM01'!$B12,'MM01-BOB'!$B:$B,0),MATCH('MM01'!AP$3,'MM01-BOB'!$3:$3,0))),"")</f>
        <v/>
      </c>
      <c r="AQ12" s="45"/>
      <c r="AR12" s="43" t="str">
        <f>IFERROR(IF(INDEX('MM01-BOB'!$A:$DM,MATCH('MM01'!$B12,'MM01-BOB'!$B:$B,0),MATCH('MM01'!AR$3,'MM01-BOB'!$3:$3,0))=0,"",INDEX('MM01-BOB'!$A:$DM,MATCH('MM01'!$B12,'MM01-BOB'!$B:$B,0),MATCH('MM01'!AR$3,'MM01-BOB'!$3:$3,0))),"")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IFERROR(IF(INDEX('MM01-BOB'!$A:$DM,MATCH('MM01'!$B12,'MM01-BOB'!$B:$B,0),MATCH('MM01'!AY$3,'MM01-BOB'!$3:$3,0))=0,"",INDEX('MM01-BOB'!$A:$DM,MATCH('MM01'!$B12,'MM01-BOB'!$B:$B,0),MATCH('MM01'!AY$3,'MM01-BOB'!$3:$3,0))),"")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IFERROR(IF(INDEX('MM01-BOB'!$A:$DM,MATCH('MM01'!$B12,'MM01-BOB'!$B:$B,0),MATCH('MM01'!BN$3,'MM01-BOB'!$3:$3,0))=0,"",INDEX('MM01-BOB'!$A:$DM,MATCH('MM01'!$B12,'MM01-BOB'!$B:$B,0),MATCH('MM01'!BN$3,'MM01-BOB'!$3:$3,0))),"")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04.04.2022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IFERROR(IF(INDEX('MM01-BOB'!$A:$DM,MATCH('MM01'!$B13,'MM01-BOB'!$B:$B,0),MATCH('MM01'!AP$3,'MM01-BOB'!$3:$3,0))=0,"",INDEX('MM01-BOB'!$A:$DM,MATCH('MM01'!$B13,'MM01-BOB'!$B:$B,0),MATCH('MM01'!AP$3,'MM01-BOB'!$3:$3,0))),"")</f>
        <v/>
      </c>
      <c r="AQ13" s="45"/>
      <c r="AR13" s="43" t="str">
        <f>IFERROR(IF(INDEX('MM01-BOB'!$A:$DM,MATCH('MM01'!$B13,'MM01-BOB'!$B:$B,0),MATCH('MM01'!AR$3,'MM01-BOB'!$3:$3,0))=0,"",INDEX('MM01-BOB'!$A:$DM,MATCH('MM01'!$B13,'MM01-BOB'!$B:$B,0),MATCH('MM01'!AR$3,'MM01-BOB'!$3:$3,0))),"")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IFERROR(IF(INDEX('MM01-BOB'!$A:$DM,MATCH('MM01'!$B13,'MM01-BOB'!$B:$B,0),MATCH('MM01'!AY$3,'MM01-BOB'!$3:$3,0))=0,"",INDEX('MM01-BOB'!$A:$DM,MATCH('MM01'!$B13,'MM01-BOB'!$B:$B,0),MATCH('MM01'!AY$3,'MM01-BOB'!$3:$3,0))),"")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IFERROR(IF(INDEX('MM01-BOB'!$A:$DM,MATCH('MM01'!$B13,'MM01-BOB'!$B:$B,0),MATCH('MM01'!BN$3,'MM01-BOB'!$3:$3,0))=0,"",INDEX('MM01-BOB'!$A:$DM,MATCH('MM01'!$B13,'MM01-BOB'!$B:$B,0),MATCH('MM01'!BN$3,'MM01-BOB'!$3:$3,0))),"")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04.04.2022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IFERROR(IF(INDEX('MM01-BOB'!$A:$DM,MATCH('MM01'!$B14,'MM01-BOB'!$B:$B,0),MATCH('MM01'!AP$3,'MM01-BOB'!$3:$3,0))=0,"",INDEX('MM01-BOB'!$A:$DM,MATCH('MM01'!$B14,'MM01-BOB'!$B:$B,0),MATCH('MM01'!AP$3,'MM01-BOB'!$3:$3,0))),"")</f>
        <v/>
      </c>
      <c r="AQ14" s="45"/>
      <c r="AR14" s="43" t="str">
        <f>IFERROR(IF(INDEX('MM01-BOB'!$A:$DM,MATCH('MM01'!$B14,'MM01-BOB'!$B:$B,0),MATCH('MM01'!AR$3,'MM01-BOB'!$3:$3,0))=0,"",INDEX('MM01-BOB'!$A:$DM,MATCH('MM01'!$B14,'MM01-BOB'!$B:$B,0),MATCH('MM01'!AR$3,'MM01-BOB'!$3:$3,0))),"")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IFERROR(IF(INDEX('MM01-BOB'!$A:$DM,MATCH('MM01'!$B14,'MM01-BOB'!$B:$B,0),MATCH('MM01'!AY$3,'MM01-BOB'!$3:$3,0))=0,"",INDEX('MM01-BOB'!$A:$DM,MATCH('MM01'!$B14,'MM01-BOB'!$B:$B,0),MATCH('MM01'!AY$3,'MM01-BOB'!$3:$3,0))),"")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IFERROR(IF(INDEX('MM01-BOB'!$A:$DM,MATCH('MM01'!$B14,'MM01-BOB'!$B:$B,0),MATCH('MM01'!BN$3,'MM01-BOB'!$3:$3,0))=0,"",INDEX('MM01-BOB'!$A:$DM,MATCH('MM01'!$B14,'MM01-BOB'!$B:$B,0),MATCH('MM01'!BN$3,'MM01-BOB'!$3:$3,0))),"")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04.04.2022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IFERROR(IF(INDEX('MM01-BOB'!$A:$DM,MATCH('MM01'!$B15,'MM01-BOB'!$B:$B,0),MATCH('MM01'!AP$3,'MM01-BOB'!$3:$3,0))=0,"",INDEX('MM01-BOB'!$A:$DM,MATCH('MM01'!$B15,'MM01-BOB'!$B:$B,0),MATCH('MM01'!AP$3,'MM01-BOB'!$3:$3,0))),"")</f>
        <v/>
      </c>
      <c r="AQ15" s="45"/>
      <c r="AR15" s="43" t="str">
        <f>IFERROR(IF(INDEX('MM01-BOB'!$A:$DM,MATCH('MM01'!$B15,'MM01-BOB'!$B:$B,0),MATCH('MM01'!AR$3,'MM01-BOB'!$3:$3,0))=0,"",INDEX('MM01-BOB'!$A:$DM,MATCH('MM01'!$B15,'MM01-BOB'!$B:$B,0),MATCH('MM01'!AR$3,'MM01-BOB'!$3:$3,0))),"")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IFERROR(IF(INDEX('MM01-BOB'!$A:$DM,MATCH('MM01'!$B15,'MM01-BOB'!$B:$B,0),MATCH('MM01'!AY$3,'MM01-BOB'!$3:$3,0))=0,"",INDEX('MM01-BOB'!$A:$DM,MATCH('MM01'!$B15,'MM01-BOB'!$B:$B,0),MATCH('MM01'!AY$3,'MM01-BOB'!$3:$3,0))),"")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IFERROR(IF(INDEX('MM01-BOB'!$A:$DM,MATCH('MM01'!$B15,'MM01-BOB'!$B:$B,0),MATCH('MM01'!BN$3,'MM01-BOB'!$3:$3,0))=0,"",INDEX('MM01-BOB'!$A:$DM,MATCH('MM01'!$B15,'MM01-BOB'!$B:$B,0),MATCH('MM01'!BN$3,'MM01-BOB'!$3:$3,0))),"")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04.04.2022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IFERROR(IF(INDEX('MM01-BOB'!$A:$DM,MATCH('MM01'!$B16,'MM01-BOB'!$B:$B,0),MATCH('MM01'!AP$3,'MM01-BOB'!$3:$3,0))=0,"",INDEX('MM01-BOB'!$A:$DM,MATCH('MM01'!$B16,'MM01-BOB'!$B:$B,0),MATCH('MM01'!AP$3,'MM01-BOB'!$3:$3,0))),"")</f>
        <v/>
      </c>
      <c r="AQ16" s="45"/>
      <c r="AR16" s="43" t="str">
        <f>IFERROR(IF(INDEX('MM01-BOB'!$A:$DM,MATCH('MM01'!$B16,'MM01-BOB'!$B:$B,0),MATCH('MM01'!AR$3,'MM01-BOB'!$3:$3,0))=0,"",INDEX('MM01-BOB'!$A:$DM,MATCH('MM01'!$B16,'MM01-BOB'!$B:$B,0),MATCH('MM01'!AR$3,'MM01-BOB'!$3:$3,0))),"")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IFERROR(IF(INDEX('MM01-BOB'!$A:$DM,MATCH('MM01'!$B16,'MM01-BOB'!$B:$B,0),MATCH('MM01'!AY$3,'MM01-BOB'!$3:$3,0))=0,"",INDEX('MM01-BOB'!$A:$DM,MATCH('MM01'!$B16,'MM01-BOB'!$B:$B,0),MATCH('MM01'!AY$3,'MM01-BOB'!$3:$3,0))),"")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IFERROR(IF(INDEX('MM01-BOB'!$A:$DM,MATCH('MM01'!$B16,'MM01-BOB'!$B:$B,0),MATCH('MM01'!BN$3,'MM01-BOB'!$3:$3,0))=0,"",INDEX('MM01-BOB'!$A:$DM,MATCH('MM01'!$B16,'MM01-BOB'!$B:$B,0),MATCH('MM01'!BN$3,'MM01-BOB'!$3:$3,0))),"")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04.04.2022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IFERROR(IF(INDEX('MM01-BOB'!$A:$DM,MATCH('MM01'!$B17,'MM01-BOB'!$B:$B,0),MATCH('MM01'!AP$3,'MM01-BOB'!$3:$3,0))=0,"",INDEX('MM01-BOB'!$A:$DM,MATCH('MM01'!$B17,'MM01-BOB'!$B:$B,0),MATCH('MM01'!AP$3,'MM01-BOB'!$3:$3,0))),"")</f>
        <v/>
      </c>
      <c r="AQ17" s="45"/>
      <c r="AR17" s="43" t="str">
        <f>IFERROR(IF(INDEX('MM01-BOB'!$A:$DM,MATCH('MM01'!$B17,'MM01-BOB'!$B:$B,0),MATCH('MM01'!AR$3,'MM01-BOB'!$3:$3,0))=0,"",INDEX('MM01-BOB'!$A:$DM,MATCH('MM01'!$B17,'MM01-BOB'!$B:$B,0),MATCH('MM01'!AR$3,'MM01-BOB'!$3:$3,0))),"")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IFERROR(IF(INDEX('MM01-BOB'!$A:$DM,MATCH('MM01'!$B17,'MM01-BOB'!$B:$B,0),MATCH('MM01'!AY$3,'MM01-BOB'!$3:$3,0))=0,"",INDEX('MM01-BOB'!$A:$DM,MATCH('MM01'!$B17,'MM01-BOB'!$B:$B,0),MATCH('MM01'!AY$3,'MM01-BOB'!$3:$3,0))),"")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IFERROR(IF(INDEX('MM01-BOB'!$A:$DM,MATCH('MM01'!$B17,'MM01-BOB'!$B:$B,0),MATCH('MM01'!BN$3,'MM01-BOB'!$3:$3,0))=0,"",INDEX('MM01-BOB'!$A:$DM,MATCH('MM01'!$B17,'MM01-BOB'!$B:$B,0),MATCH('MM01'!BN$3,'MM01-BOB'!$3:$3,0))),"")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04.04.2022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IFERROR(IF(INDEX('MM01-BOB'!$A:$DM,MATCH('MM01'!$B18,'MM01-BOB'!$B:$B,0),MATCH('MM01'!AP$3,'MM01-BOB'!$3:$3,0))=0,"",INDEX('MM01-BOB'!$A:$DM,MATCH('MM01'!$B18,'MM01-BOB'!$B:$B,0),MATCH('MM01'!AP$3,'MM01-BOB'!$3:$3,0))),"")</f>
        <v/>
      </c>
      <c r="AQ18" s="45"/>
      <c r="AR18" s="43" t="str">
        <f>IFERROR(IF(INDEX('MM01-BOB'!$A:$DM,MATCH('MM01'!$B18,'MM01-BOB'!$B:$B,0),MATCH('MM01'!AR$3,'MM01-BOB'!$3:$3,0))=0,"",INDEX('MM01-BOB'!$A:$DM,MATCH('MM01'!$B18,'MM01-BOB'!$B:$B,0),MATCH('MM01'!AR$3,'MM01-BOB'!$3:$3,0))),"")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IFERROR(IF(INDEX('MM01-BOB'!$A:$DM,MATCH('MM01'!$B18,'MM01-BOB'!$B:$B,0),MATCH('MM01'!AY$3,'MM01-BOB'!$3:$3,0))=0,"",INDEX('MM01-BOB'!$A:$DM,MATCH('MM01'!$B18,'MM01-BOB'!$B:$B,0),MATCH('MM01'!AY$3,'MM01-BOB'!$3:$3,0))),"")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IFERROR(IF(INDEX('MM01-BOB'!$A:$DM,MATCH('MM01'!$B18,'MM01-BOB'!$B:$B,0),MATCH('MM01'!BN$3,'MM01-BOB'!$3:$3,0))=0,"",INDEX('MM01-BOB'!$A:$DM,MATCH('MM01'!$B18,'MM01-BOB'!$B:$B,0),MATCH('MM01'!BN$3,'MM01-BOB'!$3:$3,0))),"")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04.04.2022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IFERROR(IF(INDEX('MM01-BOB'!$A:$DM,MATCH('MM01'!$B19,'MM01-BOB'!$B:$B,0),MATCH('MM01'!AP$3,'MM01-BOB'!$3:$3,0))=0,"",INDEX('MM01-BOB'!$A:$DM,MATCH('MM01'!$B19,'MM01-BOB'!$B:$B,0),MATCH('MM01'!AP$3,'MM01-BOB'!$3:$3,0))),"")</f>
        <v/>
      </c>
      <c r="AQ19" s="45"/>
      <c r="AR19" s="43" t="str">
        <f>IFERROR(IF(INDEX('MM01-BOB'!$A:$DM,MATCH('MM01'!$B19,'MM01-BOB'!$B:$B,0),MATCH('MM01'!AR$3,'MM01-BOB'!$3:$3,0))=0,"",INDEX('MM01-BOB'!$A:$DM,MATCH('MM01'!$B19,'MM01-BOB'!$B:$B,0),MATCH('MM01'!AR$3,'MM01-BOB'!$3:$3,0))),"")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IFERROR(IF(INDEX('MM01-BOB'!$A:$DM,MATCH('MM01'!$B19,'MM01-BOB'!$B:$B,0),MATCH('MM01'!AY$3,'MM01-BOB'!$3:$3,0))=0,"",INDEX('MM01-BOB'!$A:$DM,MATCH('MM01'!$B19,'MM01-BOB'!$B:$B,0),MATCH('MM01'!AY$3,'MM01-BOB'!$3:$3,0))),"")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IFERROR(IF(INDEX('MM01-BOB'!$A:$DM,MATCH('MM01'!$B19,'MM01-BOB'!$B:$B,0),MATCH('MM01'!BN$3,'MM01-BOB'!$3:$3,0))=0,"",INDEX('MM01-BOB'!$A:$DM,MATCH('MM01'!$B19,'MM01-BOB'!$B:$B,0),MATCH('MM01'!BN$3,'MM01-BOB'!$3:$3,0))),"")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04.04.2022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IFERROR(IF(INDEX('MM01-BOB'!$A:$DM,MATCH('MM01'!$B20,'MM01-BOB'!$B:$B,0),MATCH('MM01'!AP$3,'MM01-BOB'!$3:$3,0))=0,"",INDEX('MM01-BOB'!$A:$DM,MATCH('MM01'!$B20,'MM01-BOB'!$B:$B,0),MATCH('MM01'!AP$3,'MM01-BOB'!$3:$3,0))),"")</f>
        <v/>
      </c>
      <c r="AQ20" s="45"/>
      <c r="AR20" s="43" t="str">
        <f>IFERROR(IF(INDEX('MM01-BOB'!$A:$DM,MATCH('MM01'!$B20,'MM01-BOB'!$B:$B,0),MATCH('MM01'!AR$3,'MM01-BOB'!$3:$3,0))=0,"",INDEX('MM01-BOB'!$A:$DM,MATCH('MM01'!$B20,'MM01-BOB'!$B:$B,0),MATCH('MM01'!AR$3,'MM01-BOB'!$3:$3,0))),"")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IFERROR(IF(INDEX('MM01-BOB'!$A:$DM,MATCH('MM01'!$B20,'MM01-BOB'!$B:$B,0),MATCH('MM01'!AY$3,'MM01-BOB'!$3:$3,0))=0,"",INDEX('MM01-BOB'!$A:$DM,MATCH('MM01'!$B20,'MM01-BOB'!$B:$B,0),MATCH('MM01'!AY$3,'MM01-BOB'!$3:$3,0))),"")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IFERROR(IF(INDEX('MM01-BOB'!$A:$DM,MATCH('MM01'!$B20,'MM01-BOB'!$B:$B,0),MATCH('MM01'!BN$3,'MM01-BOB'!$3:$3,0))=0,"",INDEX('MM01-BOB'!$A:$DM,MATCH('MM01'!$B20,'MM01-BOB'!$B:$B,0),MATCH('MM01'!BN$3,'MM01-BOB'!$3:$3,0))),"")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04.04.2022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IFERROR(IF(INDEX('MM01-BOB'!$A:$DM,MATCH('MM01'!$B21,'MM01-BOB'!$B:$B,0),MATCH('MM01'!AP$3,'MM01-BOB'!$3:$3,0))=0,"",INDEX('MM01-BOB'!$A:$DM,MATCH('MM01'!$B21,'MM01-BOB'!$B:$B,0),MATCH('MM01'!AP$3,'MM01-BOB'!$3:$3,0))),"")</f>
        <v/>
      </c>
      <c r="AQ21" s="45"/>
      <c r="AR21" s="43" t="str">
        <f>IFERROR(IF(INDEX('MM01-BOB'!$A:$DM,MATCH('MM01'!$B21,'MM01-BOB'!$B:$B,0),MATCH('MM01'!AR$3,'MM01-BOB'!$3:$3,0))=0,"",INDEX('MM01-BOB'!$A:$DM,MATCH('MM01'!$B21,'MM01-BOB'!$B:$B,0),MATCH('MM01'!AR$3,'MM01-BOB'!$3:$3,0))),"")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IFERROR(IF(INDEX('MM01-BOB'!$A:$DM,MATCH('MM01'!$B21,'MM01-BOB'!$B:$B,0),MATCH('MM01'!AY$3,'MM01-BOB'!$3:$3,0))=0,"",INDEX('MM01-BOB'!$A:$DM,MATCH('MM01'!$B21,'MM01-BOB'!$B:$B,0),MATCH('MM01'!AY$3,'MM01-BOB'!$3:$3,0))),"")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IFERROR(IF(INDEX('MM01-BOB'!$A:$DM,MATCH('MM01'!$B21,'MM01-BOB'!$B:$B,0),MATCH('MM01'!BN$3,'MM01-BOB'!$3:$3,0))=0,"",INDEX('MM01-BOB'!$A:$DM,MATCH('MM01'!$B21,'MM01-BOB'!$B:$B,0),MATCH('MM01'!BN$3,'MM01-BOB'!$3:$3,0))),"")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04.04.2022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IFERROR(IF(INDEX('MM01-BOB'!$A:$DM,MATCH('MM01'!$B22,'MM01-BOB'!$B:$B,0),MATCH('MM01'!AP$3,'MM01-BOB'!$3:$3,0))=0,"",INDEX('MM01-BOB'!$A:$DM,MATCH('MM01'!$B22,'MM01-BOB'!$B:$B,0),MATCH('MM01'!AP$3,'MM01-BOB'!$3:$3,0))),"")</f>
        <v/>
      </c>
      <c r="AQ22" s="45"/>
      <c r="AR22" s="43" t="str">
        <f>IFERROR(IF(INDEX('MM01-BOB'!$A:$DM,MATCH('MM01'!$B22,'MM01-BOB'!$B:$B,0),MATCH('MM01'!AR$3,'MM01-BOB'!$3:$3,0))=0,"",INDEX('MM01-BOB'!$A:$DM,MATCH('MM01'!$B22,'MM01-BOB'!$B:$B,0),MATCH('MM01'!AR$3,'MM01-BOB'!$3:$3,0))),"")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IFERROR(IF(INDEX('MM01-BOB'!$A:$DM,MATCH('MM01'!$B22,'MM01-BOB'!$B:$B,0),MATCH('MM01'!AY$3,'MM01-BOB'!$3:$3,0))=0,"",INDEX('MM01-BOB'!$A:$DM,MATCH('MM01'!$B22,'MM01-BOB'!$B:$B,0),MATCH('MM01'!AY$3,'MM01-BOB'!$3:$3,0))),"")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IFERROR(IF(INDEX('MM01-BOB'!$A:$DM,MATCH('MM01'!$B22,'MM01-BOB'!$B:$B,0),MATCH('MM01'!BN$3,'MM01-BOB'!$3:$3,0))=0,"",INDEX('MM01-BOB'!$A:$DM,MATCH('MM01'!$B22,'MM01-BOB'!$B:$B,0),MATCH('MM01'!BN$3,'MM01-BOB'!$3:$3,0))),"")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04.04.2022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IFERROR(IF(INDEX('MM01-BOB'!$A:$DM,MATCH('MM01'!$B23,'MM01-BOB'!$B:$B,0),MATCH('MM01'!AP$3,'MM01-BOB'!$3:$3,0))=0,"",INDEX('MM01-BOB'!$A:$DM,MATCH('MM01'!$B23,'MM01-BOB'!$B:$B,0),MATCH('MM01'!AP$3,'MM01-BOB'!$3:$3,0))),"")</f>
        <v/>
      </c>
      <c r="AQ23" s="45"/>
      <c r="AR23" s="43" t="str">
        <f>IFERROR(IF(INDEX('MM01-BOB'!$A:$DM,MATCH('MM01'!$B23,'MM01-BOB'!$B:$B,0),MATCH('MM01'!AR$3,'MM01-BOB'!$3:$3,0))=0,"",INDEX('MM01-BOB'!$A:$DM,MATCH('MM01'!$B23,'MM01-BOB'!$B:$B,0),MATCH('MM01'!AR$3,'MM01-BOB'!$3:$3,0))),"")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IFERROR(IF(INDEX('MM01-BOB'!$A:$DM,MATCH('MM01'!$B23,'MM01-BOB'!$B:$B,0),MATCH('MM01'!AY$3,'MM01-BOB'!$3:$3,0))=0,"",INDEX('MM01-BOB'!$A:$DM,MATCH('MM01'!$B23,'MM01-BOB'!$B:$B,0),MATCH('MM01'!AY$3,'MM01-BOB'!$3:$3,0))),"")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IFERROR(IF(INDEX('MM01-BOB'!$A:$DM,MATCH('MM01'!$B23,'MM01-BOB'!$B:$B,0),MATCH('MM01'!BN$3,'MM01-BOB'!$3:$3,0))=0,"",INDEX('MM01-BOB'!$A:$DM,MATCH('MM01'!$B23,'MM01-BOB'!$B:$B,0),MATCH('MM01'!BN$3,'MM01-BOB'!$3:$3,0))),"")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04.04.2022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IFERROR(IF(INDEX('MM01-BOB'!$A:$DM,MATCH('MM01'!$B24,'MM01-BOB'!$B:$B,0),MATCH('MM01'!AP$3,'MM01-BOB'!$3:$3,0))=0,"",INDEX('MM01-BOB'!$A:$DM,MATCH('MM01'!$B24,'MM01-BOB'!$B:$B,0),MATCH('MM01'!AP$3,'MM01-BOB'!$3:$3,0))),"")</f>
        <v/>
      </c>
      <c r="AQ24" s="45"/>
      <c r="AR24" s="43" t="str">
        <f>IFERROR(IF(INDEX('MM01-BOB'!$A:$DM,MATCH('MM01'!$B24,'MM01-BOB'!$B:$B,0),MATCH('MM01'!AR$3,'MM01-BOB'!$3:$3,0))=0,"",INDEX('MM01-BOB'!$A:$DM,MATCH('MM01'!$B24,'MM01-BOB'!$B:$B,0),MATCH('MM01'!AR$3,'MM01-BOB'!$3:$3,0))),"")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IFERROR(IF(INDEX('MM01-BOB'!$A:$DM,MATCH('MM01'!$B24,'MM01-BOB'!$B:$B,0),MATCH('MM01'!AY$3,'MM01-BOB'!$3:$3,0))=0,"",INDEX('MM01-BOB'!$A:$DM,MATCH('MM01'!$B24,'MM01-BOB'!$B:$B,0),MATCH('MM01'!AY$3,'MM01-BOB'!$3:$3,0))),"")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IFERROR(IF(INDEX('MM01-BOB'!$A:$DM,MATCH('MM01'!$B24,'MM01-BOB'!$B:$B,0),MATCH('MM01'!BN$3,'MM01-BOB'!$3:$3,0))=0,"",INDEX('MM01-BOB'!$A:$DM,MATCH('MM01'!$B24,'MM01-BOB'!$B:$B,0),MATCH('MM01'!BN$3,'MM01-BOB'!$3:$3,0))),"")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04.04.2022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IFERROR(IF(INDEX('MM01-BOB'!$A:$DM,MATCH('MM01'!$B25,'MM01-BOB'!$B:$B,0),MATCH('MM01'!AP$3,'MM01-BOB'!$3:$3,0))=0,"",INDEX('MM01-BOB'!$A:$DM,MATCH('MM01'!$B25,'MM01-BOB'!$B:$B,0),MATCH('MM01'!AP$3,'MM01-BOB'!$3:$3,0))),"")</f>
        <v/>
      </c>
      <c r="AQ25" s="45"/>
      <c r="AR25" s="43" t="str">
        <f>IFERROR(IF(INDEX('MM01-BOB'!$A:$DM,MATCH('MM01'!$B25,'MM01-BOB'!$B:$B,0),MATCH('MM01'!AR$3,'MM01-BOB'!$3:$3,0))=0,"",INDEX('MM01-BOB'!$A:$DM,MATCH('MM01'!$B25,'MM01-BOB'!$B:$B,0),MATCH('MM01'!AR$3,'MM01-BOB'!$3:$3,0))),"")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IFERROR(IF(INDEX('MM01-BOB'!$A:$DM,MATCH('MM01'!$B25,'MM01-BOB'!$B:$B,0),MATCH('MM01'!AY$3,'MM01-BOB'!$3:$3,0))=0,"",INDEX('MM01-BOB'!$A:$DM,MATCH('MM01'!$B25,'MM01-BOB'!$B:$B,0),MATCH('MM01'!AY$3,'MM01-BOB'!$3:$3,0))),"")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IFERROR(IF(INDEX('MM01-BOB'!$A:$DM,MATCH('MM01'!$B25,'MM01-BOB'!$B:$B,0),MATCH('MM01'!BN$3,'MM01-BOB'!$3:$3,0))=0,"",INDEX('MM01-BOB'!$A:$DM,MATCH('MM01'!$B25,'MM01-BOB'!$B:$B,0),MATCH('MM01'!BN$3,'MM01-BOB'!$3:$3,0))),"")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04.04.2022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IFERROR(IF(INDEX('MM01-BOB'!$A:$DM,MATCH('MM01'!$B26,'MM01-BOB'!$B:$B,0),MATCH('MM01'!AP$3,'MM01-BOB'!$3:$3,0))=0,"",INDEX('MM01-BOB'!$A:$DM,MATCH('MM01'!$B26,'MM01-BOB'!$B:$B,0),MATCH('MM01'!AP$3,'MM01-BOB'!$3:$3,0))),"")</f>
        <v/>
      </c>
      <c r="AQ26" s="45"/>
      <c r="AR26" s="43" t="str">
        <f>IFERROR(IF(INDEX('MM01-BOB'!$A:$DM,MATCH('MM01'!$B26,'MM01-BOB'!$B:$B,0),MATCH('MM01'!AR$3,'MM01-BOB'!$3:$3,0))=0,"",INDEX('MM01-BOB'!$A:$DM,MATCH('MM01'!$B26,'MM01-BOB'!$B:$B,0),MATCH('MM01'!AR$3,'MM01-BOB'!$3:$3,0))),"")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IFERROR(IF(INDEX('MM01-BOB'!$A:$DM,MATCH('MM01'!$B26,'MM01-BOB'!$B:$B,0),MATCH('MM01'!AY$3,'MM01-BOB'!$3:$3,0))=0,"",INDEX('MM01-BOB'!$A:$DM,MATCH('MM01'!$B26,'MM01-BOB'!$B:$B,0),MATCH('MM01'!AY$3,'MM01-BOB'!$3:$3,0))),"")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IFERROR(IF(INDEX('MM01-BOB'!$A:$DM,MATCH('MM01'!$B26,'MM01-BOB'!$B:$B,0),MATCH('MM01'!BN$3,'MM01-BOB'!$3:$3,0))=0,"",INDEX('MM01-BOB'!$A:$DM,MATCH('MM01'!$B26,'MM01-BOB'!$B:$B,0),MATCH('MM01'!BN$3,'MM01-BOB'!$3:$3,0))),"")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04.04.2022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IFERROR(IF(INDEX('MM01-BOB'!$A:$DM,MATCH('MM01'!$B27,'MM01-BOB'!$B:$B,0),MATCH('MM01'!AP$3,'MM01-BOB'!$3:$3,0))=0,"",INDEX('MM01-BOB'!$A:$DM,MATCH('MM01'!$B27,'MM01-BOB'!$B:$B,0),MATCH('MM01'!AP$3,'MM01-BOB'!$3:$3,0))),"")</f>
        <v/>
      </c>
      <c r="AQ27" s="45"/>
      <c r="AR27" s="43" t="str">
        <f>IFERROR(IF(INDEX('MM01-BOB'!$A:$DM,MATCH('MM01'!$B27,'MM01-BOB'!$B:$B,0),MATCH('MM01'!AR$3,'MM01-BOB'!$3:$3,0))=0,"",INDEX('MM01-BOB'!$A:$DM,MATCH('MM01'!$B27,'MM01-BOB'!$B:$B,0),MATCH('MM01'!AR$3,'MM01-BOB'!$3:$3,0))),"")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IFERROR(IF(INDEX('MM01-BOB'!$A:$DM,MATCH('MM01'!$B27,'MM01-BOB'!$B:$B,0),MATCH('MM01'!AY$3,'MM01-BOB'!$3:$3,0))=0,"",INDEX('MM01-BOB'!$A:$DM,MATCH('MM01'!$B27,'MM01-BOB'!$B:$B,0),MATCH('MM01'!AY$3,'MM01-BOB'!$3:$3,0))),"")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IFERROR(IF(INDEX('MM01-BOB'!$A:$DM,MATCH('MM01'!$B27,'MM01-BOB'!$B:$B,0),MATCH('MM01'!BN$3,'MM01-BOB'!$3:$3,0))=0,"",INDEX('MM01-BOB'!$A:$DM,MATCH('MM01'!$B27,'MM01-BOB'!$B:$B,0),MATCH('MM01'!BN$3,'MM01-BOB'!$3:$3,0))),"")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04.04.2022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IFERROR(IF(INDEX('MM01-BOB'!$A:$DM,MATCH('MM01'!$B28,'MM01-BOB'!$B:$B,0),MATCH('MM01'!AP$3,'MM01-BOB'!$3:$3,0))=0,"",INDEX('MM01-BOB'!$A:$DM,MATCH('MM01'!$B28,'MM01-BOB'!$B:$B,0),MATCH('MM01'!AP$3,'MM01-BOB'!$3:$3,0))),"")</f>
        <v/>
      </c>
      <c r="AQ28" s="45"/>
      <c r="AR28" s="43" t="str">
        <f>IFERROR(IF(INDEX('MM01-BOB'!$A:$DM,MATCH('MM01'!$B28,'MM01-BOB'!$B:$B,0),MATCH('MM01'!AR$3,'MM01-BOB'!$3:$3,0))=0,"",INDEX('MM01-BOB'!$A:$DM,MATCH('MM01'!$B28,'MM01-BOB'!$B:$B,0),MATCH('MM01'!AR$3,'MM01-BOB'!$3:$3,0))),"")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IFERROR(IF(INDEX('MM01-BOB'!$A:$DM,MATCH('MM01'!$B28,'MM01-BOB'!$B:$B,0),MATCH('MM01'!AY$3,'MM01-BOB'!$3:$3,0))=0,"",INDEX('MM01-BOB'!$A:$DM,MATCH('MM01'!$B28,'MM01-BOB'!$B:$B,0),MATCH('MM01'!AY$3,'MM01-BOB'!$3:$3,0))),"")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IFERROR(IF(INDEX('MM01-BOB'!$A:$DM,MATCH('MM01'!$B28,'MM01-BOB'!$B:$B,0),MATCH('MM01'!BN$3,'MM01-BOB'!$3:$3,0))=0,"",INDEX('MM01-BOB'!$A:$DM,MATCH('MM01'!$B28,'MM01-BOB'!$B:$B,0),MATCH('MM01'!BN$3,'MM01-BOB'!$3:$3,0))),"")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04.04.2022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IFERROR(IF(INDEX('MM01-BOB'!$A:$DM,MATCH('MM01'!$B29,'MM01-BOB'!$B:$B,0),MATCH('MM01'!AP$3,'MM01-BOB'!$3:$3,0))=0,"",INDEX('MM01-BOB'!$A:$DM,MATCH('MM01'!$B29,'MM01-BOB'!$B:$B,0),MATCH('MM01'!AP$3,'MM01-BOB'!$3:$3,0))),"")</f>
        <v/>
      </c>
      <c r="AQ29" s="45"/>
      <c r="AR29" s="43" t="str">
        <f>IFERROR(IF(INDEX('MM01-BOB'!$A:$DM,MATCH('MM01'!$B29,'MM01-BOB'!$B:$B,0),MATCH('MM01'!AR$3,'MM01-BOB'!$3:$3,0))=0,"",INDEX('MM01-BOB'!$A:$DM,MATCH('MM01'!$B29,'MM01-BOB'!$B:$B,0),MATCH('MM01'!AR$3,'MM01-BOB'!$3:$3,0))),"")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IFERROR(IF(INDEX('MM01-BOB'!$A:$DM,MATCH('MM01'!$B29,'MM01-BOB'!$B:$B,0),MATCH('MM01'!AY$3,'MM01-BOB'!$3:$3,0))=0,"",INDEX('MM01-BOB'!$A:$DM,MATCH('MM01'!$B29,'MM01-BOB'!$B:$B,0),MATCH('MM01'!AY$3,'MM01-BOB'!$3:$3,0))),"")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IFERROR(IF(INDEX('MM01-BOB'!$A:$DM,MATCH('MM01'!$B29,'MM01-BOB'!$B:$B,0),MATCH('MM01'!BN$3,'MM01-BOB'!$3:$3,0))=0,"",INDEX('MM01-BOB'!$A:$DM,MATCH('MM01'!$B29,'MM01-BOB'!$B:$B,0),MATCH('MM01'!BN$3,'MM01-BOB'!$3:$3,0))),"")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04.04.2022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IFERROR(IF(INDEX('MM01-BOB'!$A:$DM,MATCH('MM01'!$B30,'MM01-BOB'!$B:$B,0),MATCH('MM01'!AP$3,'MM01-BOB'!$3:$3,0))=0,"",INDEX('MM01-BOB'!$A:$DM,MATCH('MM01'!$B30,'MM01-BOB'!$B:$B,0),MATCH('MM01'!AP$3,'MM01-BOB'!$3:$3,0))),"")</f>
        <v/>
      </c>
      <c r="AQ30" s="45"/>
      <c r="AR30" s="43" t="str">
        <f>IFERROR(IF(INDEX('MM01-BOB'!$A:$DM,MATCH('MM01'!$B30,'MM01-BOB'!$B:$B,0),MATCH('MM01'!AR$3,'MM01-BOB'!$3:$3,0))=0,"",INDEX('MM01-BOB'!$A:$DM,MATCH('MM01'!$B30,'MM01-BOB'!$B:$B,0),MATCH('MM01'!AR$3,'MM01-BOB'!$3:$3,0))),"")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IFERROR(IF(INDEX('MM01-BOB'!$A:$DM,MATCH('MM01'!$B30,'MM01-BOB'!$B:$B,0),MATCH('MM01'!AY$3,'MM01-BOB'!$3:$3,0))=0,"",INDEX('MM01-BOB'!$A:$DM,MATCH('MM01'!$B30,'MM01-BOB'!$B:$B,0),MATCH('MM01'!AY$3,'MM01-BOB'!$3:$3,0))),"")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IFERROR(IF(INDEX('MM01-BOB'!$A:$DM,MATCH('MM01'!$B30,'MM01-BOB'!$B:$B,0),MATCH('MM01'!BN$3,'MM01-BOB'!$3:$3,0))=0,"",INDEX('MM01-BOB'!$A:$DM,MATCH('MM01'!$B30,'MM01-BOB'!$B:$B,0),MATCH('MM01'!BN$3,'MM01-BOB'!$3:$3,0))),"")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04.04.2022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IFERROR(IF(INDEX('MM01-BOB'!$A:$DM,MATCH('MM01'!$B31,'MM01-BOB'!$B:$B,0),MATCH('MM01'!AP$3,'MM01-BOB'!$3:$3,0))=0,"",INDEX('MM01-BOB'!$A:$DM,MATCH('MM01'!$B31,'MM01-BOB'!$B:$B,0),MATCH('MM01'!AP$3,'MM01-BOB'!$3:$3,0))),"")</f>
        <v/>
      </c>
      <c r="AQ31" s="45"/>
      <c r="AR31" s="43" t="str">
        <f>IFERROR(IF(INDEX('MM01-BOB'!$A:$DM,MATCH('MM01'!$B31,'MM01-BOB'!$B:$B,0),MATCH('MM01'!AR$3,'MM01-BOB'!$3:$3,0))=0,"",INDEX('MM01-BOB'!$A:$DM,MATCH('MM01'!$B31,'MM01-BOB'!$B:$B,0),MATCH('MM01'!AR$3,'MM01-BOB'!$3:$3,0))),"")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IFERROR(IF(INDEX('MM01-BOB'!$A:$DM,MATCH('MM01'!$B31,'MM01-BOB'!$B:$B,0),MATCH('MM01'!AY$3,'MM01-BOB'!$3:$3,0))=0,"",INDEX('MM01-BOB'!$A:$DM,MATCH('MM01'!$B31,'MM01-BOB'!$B:$B,0),MATCH('MM01'!AY$3,'MM01-BOB'!$3:$3,0))),"")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IFERROR(IF(INDEX('MM01-BOB'!$A:$DM,MATCH('MM01'!$B31,'MM01-BOB'!$B:$B,0),MATCH('MM01'!BN$3,'MM01-BOB'!$3:$3,0))=0,"",INDEX('MM01-BOB'!$A:$DM,MATCH('MM01'!$B31,'MM01-BOB'!$B:$B,0),MATCH('MM01'!BN$3,'MM01-BOB'!$3:$3,0))),"")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04.04.2022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IFERROR(IF(INDEX('MM01-BOB'!$A:$DM,MATCH('MM01'!$B32,'MM01-BOB'!$B:$B,0),MATCH('MM01'!AP$3,'MM01-BOB'!$3:$3,0))=0,"",INDEX('MM01-BOB'!$A:$DM,MATCH('MM01'!$B32,'MM01-BOB'!$B:$B,0),MATCH('MM01'!AP$3,'MM01-BOB'!$3:$3,0))),"")</f>
        <v/>
      </c>
      <c r="AQ32" s="45"/>
      <c r="AR32" s="43" t="str">
        <f>IFERROR(IF(INDEX('MM01-BOB'!$A:$DM,MATCH('MM01'!$B32,'MM01-BOB'!$B:$B,0),MATCH('MM01'!AR$3,'MM01-BOB'!$3:$3,0))=0,"",INDEX('MM01-BOB'!$A:$DM,MATCH('MM01'!$B32,'MM01-BOB'!$B:$B,0),MATCH('MM01'!AR$3,'MM01-BOB'!$3:$3,0))),"")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IFERROR(IF(INDEX('MM01-BOB'!$A:$DM,MATCH('MM01'!$B32,'MM01-BOB'!$B:$B,0),MATCH('MM01'!AY$3,'MM01-BOB'!$3:$3,0))=0,"",INDEX('MM01-BOB'!$A:$DM,MATCH('MM01'!$B32,'MM01-BOB'!$B:$B,0),MATCH('MM01'!AY$3,'MM01-BOB'!$3:$3,0))),"")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IFERROR(IF(INDEX('MM01-BOB'!$A:$DM,MATCH('MM01'!$B32,'MM01-BOB'!$B:$B,0),MATCH('MM01'!BN$3,'MM01-BOB'!$3:$3,0))=0,"",INDEX('MM01-BOB'!$A:$DM,MATCH('MM01'!$B32,'MM01-BOB'!$B:$B,0),MATCH('MM01'!BN$3,'MM01-BOB'!$3:$3,0))),"")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04.04.2022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IFERROR(IF(INDEX('MM01-BOB'!$A:$DM,MATCH('MM01'!$B33,'MM01-BOB'!$B:$B,0),MATCH('MM01'!AP$3,'MM01-BOB'!$3:$3,0))=0,"",INDEX('MM01-BOB'!$A:$DM,MATCH('MM01'!$B33,'MM01-BOB'!$B:$B,0),MATCH('MM01'!AP$3,'MM01-BOB'!$3:$3,0))),"")</f>
        <v/>
      </c>
      <c r="AQ33" s="45"/>
      <c r="AR33" s="43" t="str">
        <f>IFERROR(IF(INDEX('MM01-BOB'!$A:$DM,MATCH('MM01'!$B33,'MM01-BOB'!$B:$B,0),MATCH('MM01'!AR$3,'MM01-BOB'!$3:$3,0))=0,"",INDEX('MM01-BOB'!$A:$DM,MATCH('MM01'!$B33,'MM01-BOB'!$B:$B,0),MATCH('MM01'!AR$3,'MM01-BOB'!$3:$3,0))),"")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IFERROR(IF(INDEX('MM01-BOB'!$A:$DM,MATCH('MM01'!$B33,'MM01-BOB'!$B:$B,0),MATCH('MM01'!AY$3,'MM01-BOB'!$3:$3,0))=0,"",INDEX('MM01-BOB'!$A:$DM,MATCH('MM01'!$B33,'MM01-BOB'!$B:$B,0),MATCH('MM01'!AY$3,'MM01-BOB'!$3:$3,0))),"")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IFERROR(IF(INDEX('MM01-BOB'!$A:$DM,MATCH('MM01'!$B33,'MM01-BOB'!$B:$B,0),MATCH('MM01'!BN$3,'MM01-BOB'!$3:$3,0))=0,"",INDEX('MM01-BOB'!$A:$DM,MATCH('MM01'!$B33,'MM01-BOB'!$B:$B,0),MATCH('MM01'!BN$3,'MM01-BOB'!$3:$3,0))),"")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04.04.2022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IFERROR(IF(INDEX('MM01-BOB'!$A:$DM,MATCH('MM01'!$B34,'MM01-BOB'!$B:$B,0),MATCH('MM01'!AP$3,'MM01-BOB'!$3:$3,0))=0,"",INDEX('MM01-BOB'!$A:$DM,MATCH('MM01'!$B34,'MM01-BOB'!$B:$B,0),MATCH('MM01'!AP$3,'MM01-BOB'!$3:$3,0))),"")</f>
        <v/>
      </c>
      <c r="AQ34" s="45"/>
      <c r="AR34" s="43" t="str">
        <f>IFERROR(IF(INDEX('MM01-BOB'!$A:$DM,MATCH('MM01'!$B34,'MM01-BOB'!$B:$B,0),MATCH('MM01'!AR$3,'MM01-BOB'!$3:$3,0))=0,"",INDEX('MM01-BOB'!$A:$DM,MATCH('MM01'!$B34,'MM01-BOB'!$B:$B,0),MATCH('MM01'!AR$3,'MM01-BOB'!$3:$3,0))),"")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IFERROR(IF(INDEX('MM01-BOB'!$A:$DM,MATCH('MM01'!$B34,'MM01-BOB'!$B:$B,0),MATCH('MM01'!AY$3,'MM01-BOB'!$3:$3,0))=0,"",INDEX('MM01-BOB'!$A:$DM,MATCH('MM01'!$B34,'MM01-BOB'!$B:$B,0),MATCH('MM01'!AY$3,'MM01-BOB'!$3:$3,0))),"")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IFERROR(IF(INDEX('MM01-BOB'!$A:$DM,MATCH('MM01'!$B34,'MM01-BOB'!$B:$B,0),MATCH('MM01'!BN$3,'MM01-BOB'!$3:$3,0))=0,"",INDEX('MM01-BOB'!$A:$DM,MATCH('MM01'!$B34,'MM01-BOB'!$B:$B,0),MATCH('MM01'!BN$3,'MM01-BOB'!$3:$3,0))),"")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04.04.2022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IFERROR(IF(INDEX('MM01-BOB'!$A:$DM,MATCH('MM01'!$B35,'MM01-BOB'!$B:$B,0),MATCH('MM01'!AP$3,'MM01-BOB'!$3:$3,0))=0,"",INDEX('MM01-BOB'!$A:$DM,MATCH('MM01'!$B35,'MM01-BOB'!$B:$B,0),MATCH('MM01'!AP$3,'MM01-BOB'!$3:$3,0))),"")</f>
        <v/>
      </c>
      <c r="AQ35" s="45"/>
      <c r="AR35" s="43" t="str">
        <f>IFERROR(IF(INDEX('MM01-BOB'!$A:$DM,MATCH('MM01'!$B35,'MM01-BOB'!$B:$B,0),MATCH('MM01'!AR$3,'MM01-BOB'!$3:$3,0))=0,"",INDEX('MM01-BOB'!$A:$DM,MATCH('MM01'!$B35,'MM01-BOB'!$B:$B,0),MATCH('MM01'!AR$3,'MM01-BOB'!$3:$3,0))),"")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IFERROR(IF(INDEX('MM01-BOB'!$A:$DM,MATCH('MM01'!$B35,'MM01-BOB'!$B:$B,0),MATCH('MM01'!AY$3,'MM01-BOB'!$3:$3,0))=0,"",INDEX('MM01-BOB'!$A:$DM,MATCH('MM01'!$B35,'MM01-BOB'!$B:$B,0),MATCH('MM01'!AY$3,'MM01-BOB'!$3:$3,0))),"")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IFERROR(IF(INDEX('MM01-BOB'!$A:$DM,MATCH('MM01'!$B35,'MM01-BOB'!$B:$B,0),MATCH('MM01'!BN$3,'MM01-BOB'!$3:$3,0))=0,"",INDEX('MM01-BOB'!$A:$DM,MATCH('MM01'!$B35,'MM01-BOB'!$B:$B,0),MATCH('MM01'!BN$3,'MM01-BOB'!$3:$3,0))),"")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04.04.2022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IFERROR(IF(INDEX('MM01-BOB'!$A:$DM,MATCH('MM01'!$B36,'MM01-BOB'!$B:$B,0),MATCH('MM01'!AP$3,'MM01-BOB'!$3:$3,0))=0,"",INDEX('MM01-BOB'!$A:$DM,MATCH('MM01'!$B36,'MM01-BOB'!$B:$B,0),MATCH('MM01'!AP$3,'MM01-BOB'!$3:$3,0))),"")</f>
        <v/>
      </c>
      <c r="AQ36" s="45"/>
      <c r="AR36" s="43" t="str">
        <f>IFERROR(IF(INDEX('MM01-BOB'!$A:$DM,MATCH('MM01'!$B36,'MM01-BOB'!$B:$B,0),MATCH('MM01'!AR$3,'MM01-BOB'!$3:$3,0))=0,"",INDEX('MM01-BOB'!$A:$DM,MATCH('MM01'!$B36,'MM01-BOB'!$B:$B,0),MATCH('MM01'!AR$3,'MM01-BOB'!$3:$3,0))),"")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IFERROR(IF(INDEX('MM01-BOB'!$A:$DM,MATCH('MM01'!$B36,'MM01-BOB'!$B:$B,0),MATCH('MM01'!AY$3,'MM01-BOB'!$3:$3,0))=0,"",INDEX('MM01-BOB'!$A:$DM,MATCH('MM01'!$B36,'MM01-BOB'!$B:$B,0),MATCH('MM01'!AY$3,'MM01-BOB'!$3:$3,0))),"")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IFERROR(IF(INDEX('MM01-BOB'!$A:$DM,MATCH('MM01'!$B36,'MM01-BOB'!$B:$B,0),MATCH('MM01'!BN$3,'MM01-BOB'!$3:$3,0))=0,"",INDEX('MM01-BOB'!$A:$DM,MATCH('MM01'!$B36,'MM01-BOB'!$B:$B,0),MATCH('MM01'!BN$3,'MM01-BOB'!$3:$3,0))),"")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04.04.2022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IFERROR(IF(INDEX('MM01-BOB'!$A:$DM,MATCH('MM01'!$B37,'MM01-BOB'!$B:$B,0),MATCH('MM01'!AP$3,'MM01-BOB'!$3:$3,0))=0,"",INDEX('MM01-BOB'!$A:$DM,MATCH('MM01'!$B37,'MM01-BOB'!$B:$B,0),MATCH('MM01'!AP$3,'MM01-BOB'!$3:$3,0))),"")</f>
        <v/>
      </c>
      <c r="AQ37" s="45"/>
      <c r="AR37" s="43" t="str">
        <f>IFERROR(IF(INDEX('MM01-BOB'!$A:$DM,MATCH('MM01'!$B37,'MM01-BOB'!$B:$B,0),MATCH('MM01'!AR$3,'MM01-BOB'!$3:$3,0))=0,"",INDEX('MM01-BOB'!$A:$DM,MATCH('MM01'!$B37,'MM01-BOB'!$B:$B,0),MATCH('MM01'!AR$3,'MM01-BOB'!$3:$3,0))),"")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IFERROR(IF(INDEX('MM01-BOB'!$A:$DM,MATCH('MM01'!$B37,'MM01-BOB'!$B:$B,0),MATCH('MM01'!AY$3,'MM01-BOB'!$3:$3,0))=0,"",INDEX('MM01-BOB'!$A:$DM,MATCH('MM01'!$B37,'MM01-BOB'!$B:$B,0),MATCH('MM01'!AY$3,'MM01-BOB'!$3:$3,0))),"")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IFERROR(IF(INDEX('MM01-BOB'!$A:$DM,MATCH('MM01'!$B37,'MM01-BOB'!$B:$B,0),MATCH('MM01'!BN$3,'MM01-BOB'!$3:$3,0))=0,"",INDEX('MM01-BOB'!$A:$DM,MATCH('MM01'!$B37,'MM01-BOB'!$B:$B,0),MATCH('MM01'!BN$3,'MM01-BOB'!$3:$3,0))),"")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04.04.2022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IFERROR(IF(INDEX('MM01-BOB'!$A:$DM,MATCH('MM01'!$B38,'MM01-BOB'!$B:$B,0),MATCH('MM01'!AP$3,'MM01-BOB'!$3:$3,0))=0,"",INDEX('MM01-BOB'!$A:$DM,MATCH('MM01'!$B38,'MM01-BOB'!$B:$B,0),MATCH('MM01'!AP$3,'MM01-BOB'!$3:$3,0))),"")</f>
        <v/>
      </c>
      <c r="AQ38" s="45"/>
      <c r="AR38" s="43" t="str">
        <f>IFERROR(IF(INDEX('MM01-BOB'!$A:$DM,MATCH('MM01'!$B38,'MM01-BOB'!$B:$B,0),MATCH('MM01'!AR$3,'MM01-BOB'!$3:$3,0))=0,"",INDEX('MM01-BOB'!$A:$DM,MATCH('MM01'!$B38,'MM01-BOB'!$B:$B,0),MATCH('MM01'!AR$3,'MM01-BOB'!$3:$3,0))),"")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IFERROR(IF(INDEX('MM01-BOB'!$A:$DM,MATCH('MM01'!$B38,'MM01-BOB'!$B:$B,0),MATCH('MM01'!AY$3,'MM01-BOB'!$3:$3,0))=0,"",INDEX('MM01-BOB'!$A:$DM,MATCH('MM01'!$B38,'MM01-BOB'!$B:$B,0),MATCH('MM01'!AY$3,'MM01-BOB'!$3:$3,0))),"")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IFERROR(IF(INDEX('MM01-BOB'!$A:$DM,MATCH('MM01'!$B38,'MM01-BOB'!$B:$B,0),MATCH('MM01'!BN$3,'MM01-BOB'!$3:$3,0))=0,"",INDEX('MM01-BOB'!$A:$DM,MATCH('MM01'!$B38,'MM01-BOB'!$B:$B,0),MATCH('MM01'!BN$3,'MM01-BOB'!$3:$3,0))),"")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04.04.2022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IFERROR(IF(INDEX('MM01-BOB'!$A:$DM,MATCH('MM01'!$B39,'MM01-BOB'!$B:$B,0),MATCH('MM01'!AP$3,'MM01-BOB'!$3:$3,0))=0,"",INDEX('MM01-BOB'!$A:$DM,MATCH('MM01'!$B39,'MM01-BOB'!$B:$B,0),MATCH('MM01'!AP$3,'MM01-BOB'!$3:$3,0))),"")</f>
        <v/>
      </c>
      <c r="AQ39" s="45"/>
      <c r="AR39" s="43" t="str">
        <f>IFERROR(IF(INDEX('MM01-BOB'!$A:$DM,MATCH('MM01'!$B39,'MM01-BOB'!$B:$B,0),MATCH('MM01'!AR$3,'MM01-BOB'!$3:$3,0))=0,"",INDEX('MM01-BOB'!$A:$DM,MATCH('MM01'!$B39,'MM01-BOB'!$B:$B,0),MATCH('MM01'!AR$3,'MM01-BOB'!$3:$3,0))),"")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IFERROR(IF(INDEX('MM01-BOB'!$A:$DM,MATCH('MM01'!$B39,'MM01-BOB'!$B:$B,0),MATCH('MM01'!AY$3,'MM01-BOB'!$3:$3,0))=0,"",INDEX('MM01-BOB'!$A:$DM,MATCH('MM01'!$B39,'MM01-BOB'!$B:$B,0),MATCH('MM01'!AY$3,'MM01-BOB'!$3:$3,0))),"")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IFERROR(IF(INDEX('MM01-BOB'!$A:$DM,MATCH('MM01'!$B39,'MM01-BOB'!$B:$B,0),MATCH('MM01'!BN$3,'MM01-BOB'!$3:$3,0))=0,"",INDEX('MM01-BOB'!$A:$DM,MATCH('MM01'!$B39,'MM01-BOB'!$B:$B,0),MATCH('MM01'!BN$3,'MM01-BOB'!$3:$3,0))),"")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04.04.2022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IFERROR(IF(INDEX('MM01-BOB'!$A:$DM,MATCH('MM01'!$B40,'MM01-BOB'!$B:$B,0),MATCH('MM01'!AP$3,'MM01-BOB'!$3:$3,0))=0,"",INDEX('MM01-BOB'!$A:$DM,MATCH('MM01'!$B40,'MM01-BOB'!$B:$B,0),MATCH('MM01'!AP$3,'MM01-BOB'!$3:$3,0))),"")</f>
        <v/>
      </c>
      <c r="AQ40" s="45"/>
      <c r="AR40" s="43" t="str">
        <f>IFERROR(IF(INDEX('MM01-BOB'!$A:$DM,MATCH('MM01'!$B40,'MM01-BOB'!$B:$B,0),MATCH('MM01'!AR$3,'MM01-BOB'!$3:$3,0))=0,"",INDEX('MM01-BOB'!$A:$DM,MATCH('MM01'!$B40,'MM01-BOB'!$B:$B,0),MATCH('MM01'!AR$3,'MM01-BOB'!$3:$3,0))),"")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IFERROR(IF(INDEX('MM01-BOB'!$A:$DM,MATCH('MM01'!$B40,'MM01-BOB'!$B:$B,0),MATCH('MM01'!AY$3,'MM01-BOB'!$3:$3,0))=0,"",INDEX('MM01-BOB'!$A:$DM,MATCH('MM01'!$B40,'MM01-BOB'!$B:$B,0),MATCH('MM01'!AY$3,'MM01-BOB'!$3:$3,0))),"")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IFERROR(IF(INDEX('MM01-BOB'!$A:$DM,MATCH('MM01'!$B40,'MM01-BOB'!$B:$B,0),MATCH('MM01'!BN$3,'MM01-BOB'!$3:$3,0))=0,"",INDEX('MM01-BOB'!$A:$DM,MATCH('MM01'!$B40,'MM01-BOB'!$B:$B,0),MATCH('MM01'!BN$3,'MM01-BOB'!$3:$3,0))),"")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04.04.2022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2" priority="50" operator="beginsWith" text="L">
      <formula>LEFT(D5,LEN("L"))="L"</formula>
    </cfRule>
  </conditionalFormatting>
  <conditionalFormatting sqref="AV5">
    <cfRule type="beginsWith" dxfId="121" priority="47" operator="beginsWith" text="L">
      <formula>LEFT(AV5,LEN("L"))="L"</formula>
    </cfRule>
  </conditionalFormatting>
  <conditionalFormatting sqref="AZ5">
    <cfRule type="beginsWith" dxfId="120" priority="46" operator="beginsWith" text="L">
      <formula>LEFT(AZ5,LEN("L"))="L"</formula>
    </cfRule>
  </conditionalFormatting>
  <conditionalFormatting sqref="DK1:DK5 DK41:DK1048576">
    <cfRule type="containsText" dxfId="119" priority="36" operator="containsText" text="criadas">
      <formula>NOT(ISERROR(SEARCH("criadas",DK1)))</formula>
    </cfRule>
    <cfRule type="containsText" dxfId="118" priority="37" operator="containsText" text="é gravado">
      <formula>NOT(ISERROR(SEARCH("é gravado",DK1)))</formula>
    </cfRule>
    <cfRule type="containsText" dxfId="117" priority="38" operator="containsText" text="é modificado">
      <formula>NOT(ISERROR(SEARCH("é modificado",DK1)))</formula>
    </cfRule>
    <cfRule type="containsText" dxfId="116" priority="39" operator="containsText" text="Error">
      <formula>NOT(ISERROR(SEARCH("Error",DK1)))</formula>
    </cfRule>
    <cfRule type="containsText" dxfId="115" priority="40" operator="containsText" text="é criado">
      <formula>NOT(ISERROR(SEARCH("é criado",DK1)))</formula>
    </cfRule>
  </conditionalFormatting>
  <conditionalFormatting sqref="J5">
    <cfRule type="beginsWith" dxfId="114" priority="32" operator="beginsWith" text="L">
      <formula>LEFT(J5,LEN("L"))="L"</formula>
    </cfRule>
  </conditionalFormatting>
  <conditionalFormatting sqref="G5">
    <cfRule type="beginsWith" dxfId="113" priority="34" operator="beginsWith" text="L">
      <formula>LEFT(G5,LEN("L"))="L"</formula>
    </cfRule>
  </conditionalFormatting>
  <conditionalFormatting sqref="H5">
    <cfRule type="beginsWith" dxfId="112" priority="33" operator="beginsWith" text="L">
      <formula>LEFT(H5,LEN("L"))="L"</formula>
    </cfRule>
  </conditionalFormatting>
  <conditionalFormatting sqref="B5">
    <cfRule type="beginsWith" dxfId="111" priority="30" operator="beginsWith" text="L">
      <formula>LEFT(B5,LEN("L"))="L"</formula>
    </cfRule>
  </conditionalFormatting>
  <conditionalFormatting sqref="AY5">
    <cfRule type="beginsWith" dxfId="110" priority="28" operator="beginsWith" text="L">
      <formula>LEFT(AY5,LEN("L"))="L"</formula>
    </cfRule>
  </conditionalFormatting>
  <conditionalFormatting sqref="AR5">
    <cfRule type="beginsWith" dxfId="109" priority="27" operator="beginsWith" text="L">
      <formula>LEFT(AR5,LEN("L"))="L"</formula>
    </cfRule>
  </conditionalFormatting>
  <conditionalFormatting sqref="AP5">
    <cfRule type="beginsWith" dxfId="108" priority="26" operator="beginsWith" text="L">
      <formula>LEFT(AP5,LEN("L"))="L"</formula>
    </cfRule>
  </conditionalFormatting>
  <conditionalFormatting sqref="BN5">
    <cfRule type="beginsWith" dxfId="107" priority="25" operator="beginsWith" text="L">
      <formula>LEFT(BN5,LEN("L"))="L"</formula>
    </cfRule>
  </conditionalFormatting>
  <conditionalFormatting sqref="E5">
    <cfRule type="beginsWith" dxfId="106" priority="22" operator="beginsWith" text="L">
      <formula>LEFT(E5,LEN("L"))="L"</formula>
    </cfRule>
  </conditionalFormatting>
  <conditionalFormatting sqref="DB5">
    <cfRule type="beginsWith" dxfId="105" priority="21" operator="beginsWith" text="L">
      <formula>LEFT(DB5,LEN("L"))="L"</formula>
    </cfRule>
  </conditionalFormatting>
  <conditionalFormatting sqref="C5">
    <cfRule type="beginsWith" dxfId="104" priority="20" operator="beginsWith" text="L">
      <formula>LEFT(C5,LEN("L"))="L"</formula>
    </cfRule>
  </conditionalFormatting>
  <conditionalFormatting sqref="D6:D40">
    <cfRule type="beginsWith" dxfId="103" priority="19" operator="beginsWith" text="L">
      <formula>LEFT(D6,LEN("L"))="L"</formula>
    </cfRule>
  </conditionalFormatting>
  <conditionalFormatting sqref="AV6:AV40">
    <cfRule type="beginsWith" dxfId="102" priority="18" operator="beginsWith" text="L">
      <formula>LEFT(AV6,LEN("L"))="L"</formula>
    </cfRule>
  </conditionalFormatting>
  <conditionalFormatting sqref="AZ6:AZ40">
    <cfRule type="beginsWith" dxfId="101" priority="17" operator="beginsWith" text="L">
      <formula>LEFT(AZ6,LEN("L"))="L"</formula>
    </cfRule>
  </conditionalFormatting>
  <conditionalFormatting sqref="DK6:DK40">
    <cfRule type="containsText" dxfId="100" priority="12" operator="containsText" text="criadas">
      <formula>NOT(ISERROR(SEARCH("criadas",DK6)))</formula>
    </cfRule>
    <cfRule type="containsText" dxfId="99" priority="13" operator="containsText" text="é gravado">
      <formula>NOT(ISERROR(SEARCH("é gravado",DK6)))</formula>
    </cfRule>
    <cfRule type="containsText" dxfId="98" priority="14" operator="containsText" text="é modificado">
      <formula>NOT(ISERROR(SEARCH("é modificado",DK6)))</formula>
    </cfRule>
    <cfRule type="containsText" dxfId="97" priority="15" operator="containsText" text="Error">
      <formula>NOT(ISERROR(SEARCH("Error",DK6)))</formula>
    </cfRule>
    <cfRule type="containsText" dxfId="96" priority="16" operator="containsText" text="é criado">
      <formula>NOT(ISERROR(SEARCH("é criado",DK6)))</formula>
    </cfRule>
  </conditionalFormatting>
  <conditionalFormatting sqref="J6:J40">
    <cfRule type="beginsWith" dxfId="95" priority="9" operator="beginsWith" text="L">
      <formula>LEFT(J6,LEN("L"))="L"</formula>
    </cfRule>
  </conditionalFormatting>
  <conditionalFormatting sqref="G6:G40">
    <cfRule type="beginsWith" dxfId="94" priority="11" operator="beginsWith" text="L">
      <formula>LEFT(G6,LEN("L"))="L"</formula>
    </cfRule>
  </conditionalFormatting>
  <conditionalFormatting sqref="H6:H40">
    <cfRule type="beginsWith" dxfId="93" priority="10" operator="beginsWith" text="L">
      <formula>LEFT(H6,LEN("L"))="L"</formula>
    </cfRule>
  </conditionalFormatting>
  <conditionalFormatting sqref="B6:B40">
    <cfRule type="beginsWith" dxfId="92" priority="8" operator="beginsWith" text="L">
      <formula>LEFT(B6,LEN("L"))="L"</formula>
    </cfRule>
  </conditionalFormatting>
  <conditionalFormatting sqref="AY6:AY40">
    <cfRule type="beginsWith" dxfId="91" priority="7" operator="beginsWith" text="L">
      <formula>LEFT(AY6,LEN("L"))="L"</formula>
    </cfRule>
  </conditionalFormatting>
  <conditionalFormatting sqref="AR6:AR40">
    <cfRule type="beginsWith" dxfId="90" priority="6" operator="beginsWith" text="L">
      <formula>LEFT(AR6,LEN("L"))="L"</formula>
    </cfRule>
  </conditionalFormatting>
  <conditionalFormatting sqref="AP6:AP40">
    <cfRule type="beginsWith" dxfId="89" priority="5" operator="beginsWith" text="L">
      <formula>LEFT(AP6,LEN("L"))="L"</formula>
    </cfRule>
  </conditionalFormatting>
  <conditionalFormatting sqref="BN6:BN40">
    <cfRule type="beginsWith" dxfId="88" priority="4" operator="beginsWith" text="L">
      <formula>LEFT(BN6,LEN("L"))="L"</formula>
    </cfRule>
  </conditionalFormatting>
  <conditionalFormatting sqref="E6:E40">
    <cfRule type="beginsWith" dxfId="87" priority="3" operator="beginsWith" text="L">
      <formula>LEFT(E6,LEN("L"))="L"</formula>
    </cfRule>
  </conditionalFormatting>
  <conditionalFormatting sqref="DB6:DB40">
    <cfRule type="beginsWith" dxfId="86" priority="2" operator="beginsWith" text="L">
      <formula>LEFT(DB6,LEN("L"))="L"</formula>
    </cfRule>
  </conditionalFormatting>
  <conditionalFormatting sqref="C6:C40">
    <cfRule type="beginsWith" dxfId="85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4" priority="26" operator="beginsWith" text="L">
      <formula>LEFT(B5,LEN("L"))="L"</formula>
    </cfRule>
  </conditionalFormatting>
  <conditionalFormatting sqref="B6:B54">
    <cfRule type="beginsWith" dxfId="83" priority="23" operator="beginsWith" text="L">
      <formula>LEFT(B6,LEN("L"))="L"</formula>
    </cfRule>
  </conditionalFormatting>
  <conditionalFormatting sqref="E1:E1048576">
    <cfRule type="containsText" dxfId="82" priority="2" operator="containsText" text="criadas">
      <formula>NOT(ISERROR(SEARCH("criadas",E1)))</formula>
    </cfRule>
    <cfRule type="containsText" dxfId="81" priority="3" operator="containsText" text="é gravado">
      <formula>NOT(ISERROR(SEARCH("é gravado",E1)))</formula>
    </cfRule>
    <cfRule type="containsText" dxfId="80" priority="4" operator="containsText" text="é modificado">
      <formula>NOT(ISERROR(SEARCH("é modificado",E1)))</formula>
    </cfRule>
    <cfRule type="containsText" dxfId="79" priority="5" operator="containsText" text="Error">
      <formula>NOT(ISERROR(SEARCH("Error",E1)))</formula>
    </cfRule>
    <cfRule type="containsText" dxfId="78" priority="6" operator="containsText" text="é criado">
      <formula>NOT(ISERROR(SEARCH("é criado",E1)))</formula>
    </cfRule>
  </conditionalFormatting>
  <conditionalFormatting sqref="C5:C54">
    <cfRule type="beginsWith" dxfId="77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6" priority="58" operator="beginsWith" text="L">
      <formula>LEFT(B5,LEN("L"))="L"</formula>
    </cfRule>
  </conditionalFormatting>
  <conditionalFormatting sqref="B6:B14">
    <cfRule type="beginsWith" dxfId="75" priority="42" operator="beginsWith" text="L">
      <formula>LEFT(B6,LEN("L"))="L"</formula>
    </cfRule>
  </conditionalFormatting>
  <conditionalFormatting sqref="B15:B54">
    <cfRule type="beginsWith" dxfId="74" priority="28" operator="beginsWith" text="L">
      <formula>LEFT(B15,LEN("L"))="L"</formula>
    </cfRule>
  </conditionalFormatting>
  <conditionalFormatting sqref="F1:F1048576">
    <cfRule type="containsText" dxfId="73" priority="3" operator="containsText" text="criadas">
      <formula>NOT(ISERROR(SEARCH("criadas",F1)))</formula>
    </cfRule>
    <cfRule type="containsText" dxfId="72" priority="4" operator="containsText" text="é gravado">
      <formula>NOT(ISERROR(SEARCH("é gravado",F1)))</formula>
    </cfRule>
    <cfRule type="containsText" dxfId="71" priority="5" operator="containsText" text="é modificado">
      <formula>NOT(ISERROR(SEARCH("é modificado",F1)))</formula>
    </cfRule>
    <cfRule type="containsText" dxfId="70" priority="6" operator="containsText" text="Error">
      <formula>NOT(ISERROR(SEARCH("Error",F1)))</formula>
    </cfRule>
    <cfRule type="containsText" dxfId="69" priority="7" operator="containsText" text="é criado">
      <formula>NOT(ISERROR(SEARCH("é criado",F1)))</formula>
    </cfRule>
  </conditionalFormatting>
  <conditionalFormatting sqref="C5:C54">
    <cfRule type="beginsWith" dxfId="68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67" priority="28" operator="beginsWith" text="L">
      <formula>LEFT(B5,LEN("L"))="L"</formula>
    </cfRule>
  </conditionalFormatting>
  <conditionalFormatting sqref="B6:B14">
    <cfRule type="beginsWith" dxfId="66" priority="25" operator="beginsWith" text="L">
      <formula>LEFT(B6,LEN("L"))="L"</formula>
    </cfRule>
  </conditionalFormatting>
  <conditionalFormatting sqref="B15:B54">
    <cfRule type="beginsWith" dxfId="65" priority="22" operator="beginsWith" text="L">
      <formula>LEFT(B15,LEN("L"))="L"</formula>
    </cfRule>
  </conditionalFormatting>
  <conditionalFormatting sqref="E1:E1048576">
    <cfRule type="containsText" dxfId="64" priority="2" operator="containsText" text="criadas">
      <formula>NOT(ISERROR(SEARCH("criadas",E1)))</formula>
    </cfRule>
    <cfRule type="containsText" dxfId="63" priority="3" operator="containsText" text="é gravado">
      <formula>NOT(ISERROR(SEARCH("é gravado",E1)))</formula>
    </cfRule>
    <cfRule type="containsText" dxfId="62" priority="4" operator="containsText" text="é modificado">
      <formula>NOT(ISERROR(SEARCH("é modificado",E1)))</formula>
    </cfRule>
    <cfRule type="containsText" dxfId="61" priority="5" operator="containsText" text="Error">
      <formula>NOT(ISERROR(SEARCH("Error",E1)))</formula>
    </cfRule>
    <cfRule type="containsText" dxfId="60" priority="6" operator="containsText" text="é criado">
      <formula>NOT(ISERROR(SEARCH("é criado",E1)))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04.04.2022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04.04.2022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04.04.2022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04.04.2022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04.04.2022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04.04.2022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04.04.2022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04.04.2022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04.04.2022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04.04.2022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04.04.2022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04.04.2022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04.04.2022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04.04.2022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04.04.2022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04.04.2022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04.04.2022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04.04.2022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04.04.2022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04.04.2022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04.04.2022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04.04.2022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04.04.2022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04.04.2022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04.04.2022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04.04.2022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04.04.2022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04.04.2022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04.04.2022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04.04.2022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04.04.2022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04.04.2022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04.04.2022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04.04.2022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04.04.2022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04.04.2022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04.04.2022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04.04.2022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04.04.2022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04.04.2022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04.04.2022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04.04.2022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04.04.2022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04.04.2022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04.04.2022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04.04.2022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04.04.2022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04.04.2022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04.04.2022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04.04.2022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58" priority="9" operator="beginsWith" text="L">
      <formula>LEFT(B5,LEN("L"))="L"</formula>
    </cfRule>
  </conditionalFormatting>
  <conditionalFormatting sqref="B6:B14">
    <cfRule type="beginsWith" dxfId="57" priority="8" operator="beginsWith" text="L">
      <formula>LEFT(B6,LEN("L"))="L"</formula>
    </cfRule>
  </conditionalFormatting>
  <conditionalFormatting sqref="B15:B54">
    <cfRule type="beginsWith" dxfId="56" priority="7" operator="beginsWith" text="L">
      <formula>LEFT(B15,LEN("L"))="L"</formula>
    </cfRule>
  </conditionalFormatting>
  <conditionalFormatting sqref="K1:K1048576">
    <cfRule type="containsText" dxfId="55" priority="2" operator="containsText" text="criadas">
      <formula>NOT(ISERROR(SEARCH("criadas",K1)))</formula>
    </cfRule>
    <cfRule type="containsText" dxfId="54" priority="3" operator="containsText" text="é gravado">
      <formula>NOT(ISERROR(SEARCH("é gravado",K1)))</formula>
    </cfRule>
    <cfRule type="containsText" dxfId="53" priority="4" operator="containsText" text="é modificado">
      <formula>NOT(ISERROR(SEARCH("é modificado",K1)))</formula>
    </cfRule>
    <cfRule type="containsText" dxfId="52" priority="5" operator="containsText" text="Error">
      <formula>NOT(ISERROR(SEARCH("Error",K1)))</formula>
    </cfRule>
    <cfRule type="containsText" dxfId="51" priority="6" operator="containsText" text="é criado">
      <formula>NOT(ISERROR(SEARCH("é criado",K1)))</formula>
    </cfRule>
  </conditionalFormatting>
  <conditionalFormatting sqref="C5:C54">
    <cfRule type="beginsWith" dxfId="5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100" t="s">
        <v>170</v>
      </c>
      <c r="AN1" s="100" t="s">
        <v>127</v>
      </c>
      <c r="CF1" s="98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100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100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98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99" t="s">
        <v>155</v>
      </c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04.04.2022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04.04.2022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04.04.2022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04.04.2022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04.04.2022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04.04.2022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04.04.2022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04.04.2022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04.04.2022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04.04.2022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04.04.2022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04.04.2022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04.04.2022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04.04.2022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04.04.2022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04.04.2022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04.04.2022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04.04.2022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04.04.2022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04.04.2022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04.04.2022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04.04.2022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04.04.2022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04.04.2022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04.04.2022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04.04.2022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04.04.2022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04.04.2022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04.04.2022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04.04.2022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04.04.2022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04.04.2022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04.04.2022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04.04.2022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04.04.2022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04.04.2022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49" priority="58" operator="beginsWith" text="L">
      <formula>LEFT(C5,LEN("L"))="L"</formula>
    </cfRule>
  </conditionalFormatting>
  <conditionalFormatting sqref="G5">
    <cfRule type="beginsWith" dxfId="48" priority="46" operator="beginsWith" text="L">
      <formula>LEFT(G5,LEN("L"))="L"</formula>
    </cfRule>
  </conditionalFormatting>
  <conditionalFormatting sqref="H5">
    <cfRule type="beginsWith" dxfId="47" priority="45" operator="beginsWith" text="L">
      <formula>LEFT(H5,LEN("L"))="L"</formula>
    </cfRule>
  </conditionalFormatting>
  <conditionalFormatting sqref="AO5">
    <cfRule type="beginsWith" dxfId="46" priority="54" operator="beginsWith" text="L">
      <formula>LEFT(AO5,LEN("L"))="L"</formula>
    </cfRule>
  </conditionalFormatting>
  <conditionalFormatting sqref="CX1:CX5 CX41:CX1048576">
    <cfRule type="containsText" dxfId="45" priority="48" operator="containsText" text="criadas">
      <formula>NOT(ISERROR(SEARCH("criadas",CX1)))</formula>
    </cfRule>
    <cfRule type="containsText" dxfId="44" priority="49" operator="containsText" text="é gravado">
      <formula>NOT(ISERROR(SEARCH("é gravado",CX1)))</formula>
    </cfRule>
    <cfRule type="containsText" dxfId="43" priority="50" operator="containsText" text="é modificado">
      <formula>NOT(ISERROR(SEARCH("é modificado",CX1)))</formula>
    </cfRule>
    <cfRule type="containsText" dxfId="42" priority="51" operator="containsText" text="Error">
      <formula>NOT(ISERROR(SEARCH("Error",CX1)))</formula>
    </cfRule>
    <cfRule type="containsText" dxfId="41" priority="52" operator="containsText" text="é criado">
      <formula>NOT(ISERROR(SEARCH("é criado",CX1)))</formula>
    </cfRule>
  </conditionalFormatting>
  <conditionalFormatting sqref="J5">
    <cfRule type="beginsWith" dxfId="40" priority="44" operator="beginsWith" text="L">
      <formula>LEFT(J5,LEN("L"))="L"</formula>
    </cfRule>
  </conditionalFormatting>
  <conditionalFormatting sqref="AR5">
    <cfRule type="beginsWith" dxfId="39" priority="33" operator="beginsWith" text="L">
      <formula>LEFT(AR5,LEN("L"))="L"</formula>
    </cfRule>
  </conditionalFormatting>
  <conditionalFormatting sqref="B5">
    <cfRule type="beginsWith" dxfId="38" priority="42" operator="beginsWith" text="L">
      <formula>LEFT(B5,LEN("L"))="L"</formula>
    </cfRule>
  </conditionalFormatting>
  <conditionalFormatting sqref="AP5">
    <cfRule type="beginsWith" dxfId="37" priority="39" operator="beginsWith" text="L">
      <formula>LEFT(AP5,LEN("L"))="L"</formula>
    </cfRule>
  </conditionalFormatting>
  <conditionalFormatting sqref="AQ5">
    <cfRule type="beginsWith" dxfId="36" priority="38" operator="beginsWith" text="L">
      <formula>LEFT(AQ5,LEN("L"))="L"</formula>
    </cfRule>
  </conditionalFormatting>
  <conditionalFormatting sqref="AS5">
    <cfRule type="beginsWith" dxfId="35" priority="37" operator="beginsWith" text="L">
      <formula>LEFT(AS5,LEN("L"))="L"</formula>
    </cfRule>
  </conditionalFormatting>
  <conditionalFormatting sqref="AT5">
    <cfRule type="beginsWith" dxfId="34" priority="36" operator="beginsWith" text="L">
      <formula>LEFT(AT5,LEN("L"))="L"</formula>
    </cfRule>
  </conditionalFormatting>
  <conditionalFormatting sqref="AU5">
    <cfRule type="beginsWith" dxfId="33" priority="35" operator="beginsWith" text="L">
      <formula>LEFT(AU5,LEN("L"))="L"</formula>
    </cfRule>
  </conditionalFormatting>
  <conditionalFormatting sqref="AV5">
    <cfRule type="beginsWith" dxfId="32" priority="34" operator="beginsWith" text="L">
      <formula>LEFT(AV5,LEN("L"))="L"</formula>
    </cfRule>
  </conditionalFormatting>
  <conditionalFormatting sqref="CJ5">
    <cfRule type="beginsWith" dxfId="31" priority="32" operator="beginsWith" text="L">
      <formula>LEFT(CJ5,LEN("L"))="L"</formula>
    </cfRule>
  </conditionalFormatting>
  <conditionalFormatting sqref="CO5">
    <cfRule type="beginsWith" dxfId="30" priority="31" operator="beginsWith" text="L">
      <formula>LEFT(CO5,LEN("L"))="L"</formula>
    </cfRule>
  </conditionalFormatting>
  <conditionalFormatting sqref="CP5">
    <cfRule type="beginsWith" dxfId="29" priority="30" operator="beginsWith" text="L">
      <formula>LEFT(CP5,LEN("L"))="L"</formula>
    </cfRule>
  </conditionalFormatting>
  <conditionalFormatting sqref="CW5">
    <cfRule type="beginsWith" dxfId="28" priority="29" operator="beginsWith" text="L">
      <formula>LEFT(CW5,LEN("L"))="L"</formula>
    </cfRule>
  </conditionalFormatting>
  <conditionalFormatting sqref="D5">
    <cfRule type="beginsWith" dxfId="27" priority="28" operator="beginsWith" text="L">
      <formula>LEFT(D5,LEN("L"))="L"</formula>
    </cfRule>
  </conditionalFormatting>
  <conditionalFormatting sqref="E5">
    <cfRule type="beginsWith" dxfId="26" priority="27" operator="beginsWith" text="L">
      <formula>LEFT(E5,LEN("L"))="L"</formula>
    </cfRule>
  </conditionalFormatting>
  <conditionalFormatting sqref="BC5">
    <cfRule type="beginsWith" dxfId="25" priority="26" operator="beginsWith" text="L">
      <formula>LEFT(BC5,LEN("L"))="L"</formula>
    </cfRule>
  </conditionalFormatting>
  <conditionalFormatting sqref="C6:C40">
    <cfRule type="beginsWith" dxfId="24" priority="25" operator="beginsWith" text="L">
      <formula>LEFT(C6,LEN("L"))="L"</formula>
    </cfRule>
  </conditionalFormatting>
  <conditionalFormatting sqref="G6:G40">
    <cfRule type="beginsWith" dxfId="23" priority="18" operator="beginsWith" text="L">
      <formula>LEFT(G6,LEN("L"))="L"</formula>
    </cfRule>
  </conditionalFormatting>
  <conditionalFormatting sqref="H6:H40">
    <cfRule type="beginsWith" dxfId="22" priority="17" operator="beginsWith" text="L">
      <formula>LEFT(H6,LEN("L"))="L"</formula>
    </cfRule>
  </conditionalFormatting>
  <conditionalFormatting sqref="AO6:AO40">
    <cfRule type="beginsWith" dxfId="21" priority="24" operator="beginsWith" text="L">
      <formula>LEFT(AO6,LEN("L"))="L"</formula>
    </cfRule>
  </conditionalFormatting>
  <conditionalFormatting sqref="CX6:CX40">
    <cfRule type="containsText" dxfId="20" priority="19" operator="containsText" text="criadas">
      <formula>NOT(ISERROR(SEARCH("criadas",CX6)))</formula>
    </cfRule>
    <cfRule type="containsText" dxfId="19" priority="20" operator="containsText" text="é gravado">
      <formula>NOT(ISERROR(SEARCH("é gravado",CX6)))</formula>
    </cfRule>
    <cfRule type="containsText" dxfId="18" priority="21" operator="containsText" text="é modificado">
      <formula>NOT(ISERROR(SEARCH("é modificado",CX6)))</formula>
    </cfRule>
    <cfRule type="containsText" dxfId="17" priority="22" operator="containsText" text="Error">
      <formula>NOT(ISERROR(SEARCH("Error",CX6)))</formula>
    </cfRule>
    <cfRule type="containsText" dxfId="16" priority="23" operator="containsText" text="é criado">
      <formula>NOT(ISERROR(SEARCH("é criado",CX6)))</formula>
    </cfRule>
  </conditionalFormatting>
  <conditionalFormatting sqref="J6:J40">
    <cfRule type="beginsWith" dxfId="15" priority="16" operator="beginsWith" text="L">
      <formula>LEFT(J6,LEN("L"))="L"</formula>
    </cfRule>
  </conditionalFormatting>
  <conditionalFormatting sqref="AR6:AR40">
    <cfRule type="beginsWith" dxfId="14" priority="8" operator="beginsWith" text="L">
      <formula>LEFT(AR6,LEN("L"))="L"</formula>
    </cfRule>
  </conditionalFormatting>
  <conditionalFormatting sqref="B6:B40">
    <cfRule type="beginsWith" dxfId="13" priority="15" operator="beginsWith" text="L">
      <formula>LEFT(B6,LEN("L"))="L"</formula>
    </cfRule>
  </conditionalFormatting>
  <conditionalFormatting sqref="AP6:AP40">
    <cfRule type="beginsWith" dxfId="12" priority="14" operator="beginsWith" text="L">
      <formula>LEFT(AP6,LEN("L"))="L"</formula>
    </cfRule>
  </conditionalFormatting>
  <conditionalFormatting sqref="AQ6:AQ40">
    <cfRule type="beginsWith" dxfId="11" priority="13" operator="beginsWith" text="L">
      <formula>LEFT(AQ6,LEN("L"))="L"</formula>
    </cfRule>
  </conditionalFormatting>
  <conditionalFormatting sqref="AS6:AS40">
    <cfRule type="beginsWith" dxfId="10" priority="12" operator="beginsWith" text="L">
      <formula>LEFT(AS6,LEN("L"))="L"</formula>
    </cfRule>
  </conditionalFormatting>
  <conditionalFormatting sqref="AT6:AT40">
    <cfRule type="beginsWith" dxfId="9" priority="11" operator="beginsWith" text="L">
      <formula>LEFT(AT6,LEN("L"))="L"</formula>
    </cfRule>
  </conditionalFormatting>
  <conditionalFormatting sqref="AU6:AU40">
    <cfRule type="beginsWith" dxfId="8" priority="10" operator="beginsWith" text="L">
      <formula>LEFT(AU6,LEN("L"))="L"</formula>
    </cfRule>
  </conditionalFormatting>
  <conditionalFormatting sqref="AV6:AV40">
    <cfRule type="beginsWith" dxfId="7" priority="9" operator="beginsWith" text="L">
      <formula>LEFT(AV6,LEN("L"))="L"</formula>
    </cfRule>
  </conditionalFormatting>
  <conditionalFormatting sqref="CJ6:CJ40">
    <cfRule type="beginsWith" dxfId="6" priority="7" operator="beginsWith" text="L">
      <formula>LEFT(CJ6,LEN("L"))="L"</formula>
    </cfRule>
  </conditionalFormatting>
  <conditionalFormatting sqref="CO6:CO40">
    <cfRule type="beginsWith" dxfId="5" priority="6" operator="beginsWith" text="L">
      <formula>LEFT(CO6,LEN("L"))="L"</formula>
    </cfRule>
  </conditionalFormatting>
  <conditionalFormatting sqref="CP6:CP40">
    <cfRule type="beginsWith" dxfId="4" priority="5" operator="beginsWith" text="L">
      <formula>LEFT(CP6,LEN("L"))="L"</formula>
    </cfRule>
  </conditionalFormatting>
  <conditionalFormatting sqref="CW6:CW40">
    <cfRule type="beginsWith" dxfId="3" priority="4" operator="beginsWith" text="L">
      <formula>LEFT(CW6,LEN("L"))="L"</formula>
    </cfRule>
  </conditionalFormatting>
  <conditionalFormatting sqref="D6:D40">
    <cfRule type="beginsWith" dxfId="2" priority="3" operator="beginsWith" text="L">
      <formula>LEFT(D6,LEN("L"))="L"</formula>
    </cfRule>
  </conditionalFormatting>
  <conditionalFormatting sqref="E6:E40">
    <cfRule type="beginsWith" dxfId="1" priority="2" operator="beginsWith" text="L">
      <formula>LEFT(E6,LEN("L"))="L"</formula>
    </cfRule>
  </conditionalFormatting>
  <conditionalFormatting sqref="BC6:BC40">
    <cfRule type="beginsWith" dxfId="0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10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100"/>
      <c r="B2" s="100" t="s">
        <v>10</v>
      </c>
      <c r="C2" s="100"/>
      <c r="D2" s="100"/>
      <c r="E2" s="100"/>
      <c r="F2" s="15"/>
      <c r="G2" s="100" t="s">
        <v>33</v>
      </c>
      <c r="H2" s="100"/>
      <c r="I2" s="15"/>
      <c r="J2" s="100" t="s">
        <v>127</v>
      </c>
      <c r="K2" s="100"/>
      <c r="L2" s="15"/>
      <c r="M2" s="100" t="s">
        <v>172</v>
      </c>
      <c r="N2" s="100"/>
      <c r="O2" s="15"/>
      <c r="P2" s="100" t="s">
        <v>184</v>
      </c>
      <c r="Q2" s="100"/>
      <c r="R2" s="100"/>
      <c r="S2" s="100"/>
      <c r="T2" s="100"/>
      <c r="U2" s="100"/>
      <c r="V2" s="100"/>
      <c r="W2" s="100"/>
      <c r="X2" s="100"/>
      <c r="Y2" s="100"/>
      <c r="Z2" s="34"/>
      <c r="AA2" s="100" t="s">
        <v>290</v>
      </c>
      <c r="AB2" s="100"/>
      <c r="AC2" s="15"/>
      <c r="AD2" s="100" t="s">
        <v>299</v>
      </c>
      <c r="AE2" s="100"/>
      <c r="AF2" s="19"/>
      <c r="AG2" s="19" t="s">
        <v>299</v>
      </c>
      <c r="AH2" s="22"/>
      <c r="AI2" s="100" t="s">
        <v>349</v>
      </c>
      <c r="AJ2" s="100"/>
      <c r="AK2" s="22"/>
      <c r="AL2" s="100" t="s">
        <v>385</v>
      </c>
      <c r="AM2" s="100"/>
      <c r="AN2" s="22"/>
      <c r="AO2" s="100" t="s">
        <v>33</v>
      </c>
      <c r="AP2" s="100"/>
      <c r="AQ2" s="22"/>
      <c r="AR2" s="100" t="s">
        <v>388</v>
      </c>
      <c r="AS2" s="100"/>
      <c r="AT2" s="22"/>
      <c r="AU2" s="100" t="s">
        <v>403</v>
      </c>
      <c r="AV2" s="100"/>
      <c r="AW2" s="22"/>
      <c r="AX2" s="100" t="s">
        <v>468</v>
      </c>
      <c r="AY2" s="100"/>
      <c r="AZ2" s="25"/>
      <c r="BA2" s="100" t="s">
        <v>505</v>
      </c>
      <c r="BB2" s="100"/>
      <c r="BC2" s="100"/>
      <c r="BD2" s="100"/>
      <c r="BE2" s="28"/>
      <c r="BF2" s="100" t="s">
        <v>658</v>
      </c>
      <c r="BG2" s="100"/>
      <c r="BH2" s="100"/>
      <c r="BI2" s="37"/>
      <c r="BJ2" s="100" t="s">
        <v>753</v>
      </c>
      <c r="BK2" s="100"/>
      <c r="BL2" s="51"/>
      <c r="BM2" s="51" t="s">
        <v>99</v>
      </c>
      <c r="BN2" s="51"/>
      <c r="BO2" s="100" t="s">
        <v>826</v>
      </c>
      <c r="BP2" s="100"/>
      <c r="BQ2" s="51"/>
      <c r="BR2" s="51" t="s">
        <v>827</v>
      </c>
      <c r="BS2" s="70"/>
      <c r="BT2" s="100" t="s">
        <v>847</v>
      </c>
      <c r="BU2" s="100"/>
      <c r="BV2" s="100"/>
      <c r="BX2" s="100" t="s">
        <v>986</v>
      </c>
      <c r="BY2" s="100"/>
    </row>
    <row r="3" spans="1:77" s="2" customFormat="1" ht="17.100000000000001" customHeight="1" x14ac:dyDescent="0.2">
      <c r="A3" s="10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BX2:BY2"/>
    <mergeCell ref="BT2:BV2"/>
    <mergeCell ref="BO2:BP2"/>
    <mergeCell ref="A1:A3"/>
    <mergeCell ref="G2:H2"/>
    <mergeCell ref="M2:N2"/>
    <mergeCell ref="P2:Y2"/>
    <mergeCell ref="J2:K2"/>
    <mergeCell ref="B2:E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2022-04-04T19:15:46Z</dcterms:modified>
</cp:coreProperties>
</file>