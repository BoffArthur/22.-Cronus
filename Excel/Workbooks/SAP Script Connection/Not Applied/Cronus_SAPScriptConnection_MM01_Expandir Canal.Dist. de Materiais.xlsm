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847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D6" i="6" l="1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7" i="6" l="1"/>
  <c r="D19" i="6"/>
  <c r="D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<sst xmlns="http://schemas.openxmlformats.org/spreadsheetml/2006/main" count="1417" uniqueCount="735">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</sst>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9" xfId="2" applyNumberFormat="1" applyProtection="1">
      <alignment horizontal="center" vertical="center"/>
    </xf>
    <xf numFmtId="49" fontId="1" fillId="3" borderId="9" xfId="2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5" dataDxfId="4">
  <autoFilter ref="A6:A7"/>
  <tableColumns count="1">
    <tableColumn id="1" name="DIRETORIO DA CONSULTA (POWER QUERY)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5703125" style="6" customWidth="1" outlineLevel="1"/>
    <col min="5" max="5" width="23.42578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9" t="s">
        <v>157</v>
      </c>
      <c r="AH1" s="59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9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9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154</v>
      </c>
      <c r="E3" s="13" t="s">
        <v>156</v>
      </c>
      <c r="F3" s="16"/>
      <c r="G3" s="58" t="s">
        <v>152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155</v>
      </c>
      <c r="E4" s="14" t="s">
        <v>2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7"/>
      <c r="D5" s="41">
        <f t="shared" ref="D5:D36" si="0">C5</f>
        <v>0</v>
      </c>
      <c r="E5" s="56"/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>
        <f t="shared" ref="AL5:AL36" si="1">C5</f>
        <v>0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7"/>
      <c r="D6" s="41">
        <f t="shared" si="0"/>
        <v>0</v>
      </c>
      <c r="E6" s="56"/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>
        <f t="shared" si="1"/>
        <v>0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7"/>
      <c r="D7" s="41">
        <f t="shared" si="0"/>
        <v>0</v>
      </c>
      <c r="E7" s="56"/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>
        <f t="shared" si="1"/>
        <v>0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7"/>
      <c r="D8" s="41">
        <f t="shared" si="0"/>
        <v>0</v>
      </c>
      <c r="E8" s="56"/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>
        <f t="shared" si="1"/>
        <v>0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7"/>
      <c r="D9" s="41">
        <f t="shared" si="0"/>
        <v>0</v>
      </c>
      <c r="E9" s="56"/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>
        <f t="shared" si="1"/>
        <v>0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7"/>
      <c r="D10" s="41">
        <f t="shared" si="0"/>
        <v>0</v>
      </c>
      <c r="E10" s="56"/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>
        <f t="shared" si="1"/>
        <v>0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7"/>
      <c r="D11" s="41">
        <f t="shared" si="0"/>
        <v>0</v>
      </c>
      <c r="E11" s="56"/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>
        <f t="shared" si="1"/>
        <v>0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7"/>
      <c r="D12" s="41">
        <f t="shared" si="0"/>
        <v>0</v>
      </c>
      <c r="E12" s="56"/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>
        <f t="shared" si="1"/>
        <v>0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7"/>
      <c r="D13" s="41">
        <f t="shared" si="0"/>
        <v>0</v>
      </c>
      <c r="E13" s="56"/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>
        <f t="shared" si="1"/>
        <v>0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7"/>
      <c r="D14" s="41">
        <f t="shared" si="0"/>
        <v>0</v>
      </c>
      <c r="E14" s="56"/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>
        <f t="shared" si="1"/>
        <v>0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7"/>
      <c r="D15" s="41">
        <f t="shared" si="0"/>
        <v>0</v>
      </c>
      <c r="E15" s="56"/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>
        <f t="shared" si="1"/>
        <v>0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7"/>
      <c r="D16" s="41">
        <f t="shared" si="0"/>
        <v>0</v>
      </c>
      <c r="E16" s="56"/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>
        <f t="shared" si="1"/>
        <v>0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7"/>
      <c r="D17" s="41">
        <f t="shared" si="0"/>
        <v>0</v>
      </c>
      <c r="E17" s="56"/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>
        <f t="shared" si="1"/>
        <v>0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7"/>
      <c r="D18" s="41">
        <f t="shared" si="0"/>
        <v>0</v>
      </c>
      <c r="E18" s="56"/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>
        <f t="shared" si="1"/>
        <v>0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7"/>
      <c r="D19" s="41">
        <f t="shared" si="0"/>
        <v>0</v>
      </c>
      <c r="E19" s="56"/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>
        <f t="shared" si="1"/>
        <v>0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7"/>
      <c r="D20" s="41">
        <f t="shared" si="0"/>
        <v>0</v>
      </c>
      <c r="E20" s="56"/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>
        <f t="shared" si="1"/>
        <v>0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7"/>
      <c r="D21" s="41">
        <f t="shared" si="0"/>
        <v>0</v>
      </c>
      <c r="E21" s="56"/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>
        <f t="shared" si="1"/>
        <v>0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7"/>
      <c r="D22" s="41">
        <f t="shared" si="0"/>
        <v>0</v>
      </c>
      <c r="E22" s="56"/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>
        <f t="shared" si="1"/>
        <v>0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7"/>
      <c r="D23" s="41">
        <f t="shared" si="0"/>
        <v>0</v>
      </c>
      <c r="E23" s="56"/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>
        <f t="shared" si="1"/>
        <v>0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7"/>
      <c r="D24" s="41">
        <f t="shared" si="0"/>
        <v>0</v>
      </c>
      <c r="E24" s="56"/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>
        <f t="shared" si="1"/>
        <v>0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7"/>
      <c r="D25" s="41">
        <f t="shared" si="0"/>
        <v>0</v>
      </c>
      <c r="E25" s="56"/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>
        <f t="shared" si="1"/>
        <v>0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7"/>
      <c r="D26" s="41">
        <f t="shared" si="0"/>
        <v>0</v>
      </c>
      <c r="E26" s="56"/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>
        <f t="shared" si="1"/>
        <v>0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7"/>
      <c r="D27" s="41">
        <f t="shared" si="0"/>
        <v>0</v>
      </c>
      <c r="E27" s="56"/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>
        <f t="shared" si="1"/>
        <v>0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7"/>
      <c r="D28" s="41">
        <f t="shared" si="0"/>
        <v>0</v>
      </c>
      <c r="E28" s="56"/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>
        <f t="shared" si="1"/>
        <v>0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7"/>
      <c r="D29" s="41">
        <f t="shared" si="0"/>
        <v>0</v>
      </c>
      <c r="E29" s="56"/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>
        <f t="shared" si="1"/>
        <v>0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7"/>
      <c r="D30" s="41">
        <f t="shared" si="0"/>
        <v>0</v>
      </c>
      <c r="E30" s="56"/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>
        <f t="shared" si="1"/>
        <v>0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7"/>
      <c r="D31" s="41">
        <f t="shared" si="0"/>
        <v>0</v>
      </c>
      <c r="E31" s="56"/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>
        <f t="shared" si="1"/>
        <v>0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7"/>
      <c r="D32" s="41">
        <f t="shared" si="0"/>
        <v>0</v>
      </c>
      <c r="E32" s="56"/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>
        <f t="shared" si="1"/>
        <v>0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7"/>
      <c r="D33" s="41">
        <f t="shared" si="0"/>
        <v>0</v>
      </c>
      <c r="E33" s="56"/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>
        <f t="shared" si="1"/>
        <v>0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7"/>
      <c r="D34" s="41">
        <f t="shared" si="0"/>
        <v>0</v>
      </c>
      <c r="E34" s="56"/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>
        <f t="shared" si="1"/>
        <v>0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7"/>
      <c r="D35" s="41">
        <f t="shared" si="0"/>
        <v>0</v>
      </c>
      <c r="E35" s="56"/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>
        <f t="shared" si="1"/>
        <v>0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7"/>
      <c r="D36" s="41">
        <f t="shared" si="0"/>
        <v>0</v>
      </c>
      <c r="E36" s="56"/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>
        <f t="shared" si="1"/>
        <v>0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7"/>
      <c r="D37" s="41">
        <f t="shared" ref="D37:D54" si="4">C37</f>
        <v>0</v>
      </c>
      <c r="E37" s="56"/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>
        <f t="shared" ref="AL37:AL54" si="5">C37</f>
        <v>0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7"/>
      <c r="D38" s="41">
        <f t="shared" si="4"/>
        <v>0</v>
      </c>
      <c r="E38" s="56"/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>
        <f t="shared" si="5"/>
        <v>0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7"/>
      <c r="D39" s="41">
        <f t="shared" si="4"/>
        <v>0</v>
      </c>
      <c r="E39" s="56"/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>
        <f t="shared" si="5"/>
        <v>0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7"/>
      <c r="D40" s="41">
        <f t="shared" si="4"/>
        <v>0</v>
      </c>
      <c r="E40" s="56"/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>
        <f t="shared" si="5"/>
        <v>0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7"/>
      <c r="D41" s="41">
        <f t="shared" si="4"/>
        <v>0</v>
      </c>
      <c r="E41" s="56"/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>
        <f t="shared" si="5"/>
        <v>0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7"/>
      <c r="D42" s="41">
        <f t="shared" si="4"/>
        <v>0</v>
      </c>
      <c r="E42" s="56"/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>
        <f t="shared" si="5"/>
        <v>0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7"/>
      <c r="D43" s="41">
        <f t="shared" si="4"/>
        <v>0</v>
      </c>
      <c r="E43" s="56"/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>
        <f t="shared" si="5"/>
        <v>0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7"/>
      <c r="D44" s="41">
        <f t="shared" si="4"/>
        <v>0</v>
      </c>
      <c r="E44" s="56"/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>
        <f t="shared" si="5"/>
        <v>0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7"/>
      <c r="D45" s="41">
        <f t="shared" si="4"/>
        <v>0</v>
      </c>
      <c r="E45" s="56"/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>
        <f t="shared" si="5"/>
        <v>0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7"/>
      <c r="D46" s="41">
        <f t="shared" si="4"/>
        <v>0</v>
      </c>
      <c r="E46" s="56"/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>
        <f t="shared" si="5"/>
        <v>0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7"/>
      <c r="D47" s="41">
        <f t="shared" si="4"/>
        <v>0</v>
      </c>
      <c r="E47" s="56"/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>
        <f t="shared" si="5"/>
        <v>0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7"/>
      <c r="D48" s="41">
        <f t="shared" si="4"/>
        <v>0</v>
      </c>
      <c r="E48" s="56"/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>
        <f t="shared" si="5"/>
        <v>0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7"/>
      <c r="D49" s="41">
        <f t="shared" si="4"/>
        <v>0</v>
      </c>
      <c r="E49" s="56"/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>
        <f t="shared" si="5"/>
        <v>0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7"/>
      <c r="D50" s="41">
        <f t="shared" si="4"/>
        <v>0</v>
      </c>
      <c r="E50" s="56"/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>
        <f t="shared" si="5"/>
        <v>0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7"/>
      <c r="D51" s="41">
        <f t="shared" si="4"/>
        <v>0</v>
      </c>
      <c r="E51" s="56"/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>
        <f t="shared" si="5"/>
        <v>0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7"/>
      <c r="D52" s="41">
        <f t="shared" si="4"/>
        <v>0</v>
      </c>
      <c r="E52" s="56"/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>
        <f t="shared" si="5"/>
        <v>0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7"/>
      <c r="D53" s="41">
        <f t="shared" si="4"/>
        <v>0</v>
      </c>
      <c r="E53" s="56"/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>
        <f t="shared" si="5"/>
        <v>0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7"/>
      <c r="D54" s="41">
        <f t="shared" si="4"/>
        <v>0</v>
      </c>
      <c r="E54" s="56"/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>
        <f t="shared" si="5"/>
        <v>0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21" priority="96" operator="beginsWith" text="L">
      <formula>LEFT(B5,LEN("L"))="L"</formula>
    </cfRule>
  </conditionalFormatting>
  <conditionalFormatting sqref="AI5">
    <cfRule type="beginsWith" dxfId="20" priority="59" operator="beginsWith" text="L">
      <formula>LEFT(AI5,LEN("L"))="L"</formula>
    </cfRule>
  </conditionalFormatting>
  <conditionalFormatting sqref="AU5">
    <cfRule type="beginsWith" dxfId="19" priority="58" operator="beginsWith" text="L">
      <formula>LEFT(AU5,LEN("L"))="L"</formula>
    </cfRule>
  </conditionalFormatting>
  <conditionalFormatting sqref="B9:B54">
    <cfRule type="beginsWith" dxfId="18" priority="34" operator="beginsWith" text="L">
      <formula>LEFT(B9,LEN("L"))="L"</formula>
    </cfRule>
  </conditionalFormatting>
  <conditionalFormatting sqref="AI6:AI54">
    <cfRule type="beginsWith" dxfId="17" priority="27" operator="beginsWith" text="L">
      <formula>LEFT(AI6,LEN("L"))="L"</formula>
    </cfRule>
  </conditionalFormatting>
  <conditionalFormatting sqref="AU6:AU54">
    <cfRule type="beginsWith" dxfId="16" priority="26" operator="beginsWith" text="L">
      <formula>LEFT(AU6,LEN("L"))="L"</formula>
    </cfRule>
  </conditionalFormatting>
  <conditionalFormatting sqref="AV1:AV1048576">
    <cfRule type="containsText" dxfId="15" priority="13" operator="containsText" text="criadas">
      <formula>NOT(ISERROR(SEARCH("criadas",AV1)))</formula>
    </cfRule>
    <cfRule type="containsText" dxfId="14" priority="15" operator="containsText" text="é gravado">
      <formula>NOT(ISERROR(SEARCH("é gravado",AV1)))</formula>
    </cfRule>
    <cfRule type="containsText" dxfId="13" priority="16" operator="containsText" text="é modificado">
      <formula>NOT(ISERROR(SEARCH("é modificado",AV1)))</formula>
    </cfRule>
    <cfRule type="containsText" dxfId="12" priority="17" operator="containsText" text="Error">
      <formula>NOT(ISERROR(SEARCH("Error",AV1)))</formula>
    </cfRule>
    <cfRule type="containsText" dxfId="11" priority="18" operator="containsText" text="é criado">
      <formula>NOT(ISERROR(SEARCH("é criado",AV1)))</formula>
    </cfRule>
  </conditionalFormatting>
  <conditionalFormatting sqref="C5:C54">
    <cfRule type="beginsWith" dxfId="10" priority="10" operator="beginsWith" text="L">
      <formula>LEFT(C5,LEN("L"))="L"</formula>
    </cfRule>
  </conditionalFormatting>
  <conditionalFormatting sqref="E5:E54">
    <cfRule type="beginsWith" dxfId="9" priority="8" operator="beginsWith" text="L">
      <formula>LEFT(E5,LEN("L"))="L"</formula>
    </cfRule>
  </conditionalFormatting>
  <conditionalFormatting sqref="B6">
    <cfRule type="beginsWith" dxfId="2" priority="3" operator="beginsWith" text="L">
      <formula>LEFT(B6,LEN("L"))="L"</formula>
    </cfRule>
  </conditionalFormatting>
  <conditionalFormatting sqref="B7">
    <cfRule type="beginsWith" dxfId="1" priority="2" operator="beginsWith" text="L">
      <formula>LEFT(B7,LEN("L"))="L"</formula>
    </cfRule>
  </conditionalFormatting>
  <conditionalFormatting sqref="B8">
    <cfRule type="beginsWith" dxfId="0" priority="1" operator="beginsWith" text="L">
      <formula>LEFT(B8,LEN("L"))="L"</formula>
    </cfRule>
  </conditionalFormatting>
  <dataValidations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D5:D54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E5:E54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9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9"/>
      <c r="B2" s="59" t="s">
        <v>10</v>
      </c>
      <c r="C2" s="59"/>
      <c r="D2" s="59"/>
      <c r="E2" s="59"/>
      <c r="F2" s="15"/>
      <c r="G2" s="59" t="s">
        <v>33</v>
      </c>
      <c r="H2" s="59"/>
      <c r="I2" s="15"/>
      <c r="J2" s="59" t="s">
        <v>124</v>
      </c>
      <c r="K2" s="59"/>
      <c r="L2" s="15"/>
      <c r="M2" s="59" t="s">
        <v>158</v>
      </c>
      <c r="N2" s="59"/>
      <c r="O2" s="15"/>
      <c r="P2" s="59" t="s">
        <v>170</v>
      </c>
      <c r="Q2" s="59"/>
      <c r="R2" s="59"/>
      <c r="S2" s="59"/>
      <c r="T2" s="59"/>
      <c r="U2" s="59"/>
      <c r="V2" s="59"/>
      <c r="W2" s="59"/>
      <c r="X2" s="59"/>
      <c r="Y2" s="59"/>
      <c r="Z2" s="30"/>
      <c r="AA2" s="59" t="s">
        <v>272</v>
      </c>
      <c r="AB2" s="59"/>
      <c r="AC2" s="15"/>
      <c r="AD2" s="59" t="s">
        <v>275</v>
      </c>
      <c r="AE2" s="59"/>
      <c r="AF2" s="18"/>
      <c r="AG2" s="18" t="s">
        <v>275</v>
      </c>
      <c r="AH2" s="21"/>
      <c r="AI2" s="59" t="s">
        <v>325</v>
      </c>
      <c r="AJ2" s="59"/>
      <c r="AK2" s="21"/>
      <c r="AL2" s="59" t="s">
        <v>355</v>
      </c>
      <c r="AM2" s="59"/>
      <c r="AN2" s="21"/>
      <c r="AO2" s="59" t="s">
        <v>33</v>
      </c>
      <c r="AP2" s="59"/>
      <c r="AQ2" s="21"/>
      <c r="AR2" s="59" t="s">
        <v>356</v>
      </c>
      <c r="AS2" s="59"/>
      <c r="AT2" s="21"/>
      <c r="AU2" s="59" t="s">
        <v>370</v>
      </c>
      <c r="AV2" s="59"/>
      <c r="AW2" s="21"/>
      <c r="AX2" s="59" t="s">
        <v>432</v>
      </c>
      <c r="AY2" s="59"/>
      <c r="AZ2" s="23"/>
      <c r="BA2" s="59" t="s">
        <v>444</v>
      </c>
      <c r="BB2" s="59"/>
      <c r="BC2" s="59"/>
      <c r="BD2" s="59"/>
      <c r="BE2" s="25"/>
      <c r="BF2" s="59" t="s">
        <v>590</v>
      </c>
      <c r="BG2" s="59"/>
      <c r="BH2" s="59"/>
      <c r="BI2" s="33"/>
      <c r="BJ2" s="59" t="s">
        <v>645</v>
      </c>
      <c r="BK2" s="59"/>
      <c r="BL2" s="43"/>
      <c r="BM2" s="43" t="s">
        <v>96</v>
      </c>
      <c r="BN2" s="43"/>
      <c r="BO2" s="59" t="s">
        <v>716</v>
      </c>
      <c r="BP2" s="59"/>
      <c r="BQ2" s="43"/>
      <c r="BR2" s="43" t="s">
        <v>717</v>
      </c>
      <c r="BS2" s="55"/>
      <c r="BT2" s="59" t="s">
        <v>729</v>
      </c>
      <c r="BU2" s="59"/>
      <c r="BV2" s="59"/>
    </row>
    <row r="3" spans="1:75" s="2" customFormat="1" ht="17.100000000000001" customHeight="1" x14ac:dyDescent="0.2">
      <c r="A3" s="5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2022-03-01T12:57:09Z</dcterms:modified>
</cp:coreProperties>
</file>