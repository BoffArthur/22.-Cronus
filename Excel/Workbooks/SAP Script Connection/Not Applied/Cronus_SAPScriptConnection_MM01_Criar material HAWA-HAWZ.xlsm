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5595" yWindow="70200" windowWidth="28800" windowHeight="14130"/>
  </bookViews>
  <sheets>
    <sheet name="MM01" sheetId="6" r:id="rId1"/>
    <sheet name="Consulta" sheetId="7" r:id="rId2"/>
    <sheet name="Listas de Dados" sheetId="2" r:id="rId3"/>
  </sheets>
  <functionGroups builtInGroupCount="18"/>
  <definedNames>
    <definedName name="DadosExternos_1" localSheetId="1" hidden="1">Consulta!$A$1:$BR$2</definedName>
  </definedNames>
  <calcPr calcId="162913"/>
</workbook>
</file>

<file path=xl/calcChain.xml><?xml version="1.0" encoding="utf-8"?>
<calcChain xmlns="http://schemas.openxmlformats.org/spreadsheetml/2006/main">
  <c r="EJ154" i="6" l="1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F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BH152" i="6" s="1"/>
  <c r="BF152" i="6" s="1"/>
  <c r="BG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BX151" i="6"/>
  <c r="BO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K151" i="6"/>
  <c r="J151" i="6"/>
  <c r="I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R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K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K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I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F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X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X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R142" i="6"/>
  <c r="BX142" i="6"/>
  <c r="BO142" i="6"/>
  <c r="BN142" i="6"/>
  <c r="BL142" i="6"/>
  <c r="BI142" i="6"/>
  <c r="BE142" i="6"/>
  <c r="BA142" i="6"/>
  <c r="AX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X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I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I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Z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R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R127" i="6"/>
  <c r="BX127" i="6"/>
  <c r="BN127" i="6"/>
  <c r="BL127" i="6"/>
  <c r="BI127" i="6"/>
  <c r="BE127" i="6"/>
  <c r="BA127" i="6"/>
  <c r="AX127" i="6"/>
  <c r="AW127" i="6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Z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BH124" i="6" s="1"/>
  <c r="BF124" i="6" s="1"/>
  <c r="BG124" i="6" s="1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X122" i="6" s="1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I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R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K117" i="6"/>
  <c r="J117" i="6"/>
  <c r="H117" i="6"/>
  <c r="CJ117" i="6" s="1"/>
  <c r="G117" i="6"/>
  <c r="CC117" i="6" s="1"/>
  <c r="E117" i="6"/>
  <c r="BH117" i="6" s="1"/>
  <c r="BF117" i="6" s="1"/>
  <c r="BG117" i="6" s="1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X116" i="6" s="1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Y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K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X109" i="6" s="1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X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BH107" i="6" s="1"/>
  <c r="BF107" i="6" s="1"/>
  <c r="BG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Y106" i="6"/>
  <c r="CW106" i="6"/>
  <c r="CV106" i="6"/>
  <c r="CU106" i="6"/>
  <c r="CT106" i="6"/>
  <c r="CX106" i="6" s="1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BH106" i="6" s="1"/>
  <c r="BF106" i="6" s="1"/>
  <c r="BG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B101" i="6"/>
  <c r="BD101" i="6" s="1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C97" i="6"/>
  <c r="BX97" i="6"/>
  <c r="BN97" i="6"/>
  <c r="BL97" i="6"/>
  <c r="BI97" i="6"/>
  <c r="BE97" i="6"/>
  <c r="BB97" i="6"/>
  <c r="BD97" i="6" s="1"/>
  <c r="BA97" i="6"/>
  <c r="AX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B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B95" i="6"/>
  <c r="BD95" i="6" s="1"/>
  <c r="BA95" i="6"/>
  <c r="AX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BH95" i="6" s="1"/>
  <c r="BF95" i="6" s="1"/>
  <c r="BG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K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S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S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B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S79" i="6"/>
  <c r="AR79" i="6"/>
  <c r="AP79" i="6"/>
  <c r="J79" i="6"/>
  <c r="H79" i="6"/>
  <c r="CJ79" i="6" s="1"/>
  <c r="G79" i="6"/>
  <c r="I79" i="6" s="1"/>
  <c r="E79" i="6"/>
  <c r="D79" i="6"/>
  <c r="BH79" i="6" s="1"/>
  <c r="BF79" i="6" s="1"/>
  <c r="BG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X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B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B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C70" i="6"/>
  <c r="BX70" i="6"/>
  <c r="BO70" i="6"/>
  <c r="BN70" i="6"/>
  <c r="BL70" i="6"/>
  <c r="BI70" i="6"/>
  <c r="BE70" i="6"/>
  <c r="BA70" i="6"/>
  <c r="AW70" i="6"/>
  <c r="DF70" i="6" s="1"/>
  <c r="AU70" i="6"/>
  <c r="AS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X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C68" i="6"/>
  <c r="BX68" i="6"/>
  <c r="BN68" i="6"/>
  <c r="BL68" i="6"/>
  <c r="BI68" i="6"/>
  <c r="BE68" i="6"/>
  <c r="BA68" i="6"/>
  <c r="AX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I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X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R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I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X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R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I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R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K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K55" i="6"/>
  <c r="J55" i="6"/>
  <c r="H55" i="6"/>
  <c r="CJ55" i="6" s="1"/>
  <c r="G55" i="6"/>
  <c r="I55" i="6" s="1"/>
  <c r="E55" i="6"/>
  <c r="DB55" i="6" s="1"/>
  <c r="D55" i="6"/>
  <c r="CZ55" i="6" s="1"/>
  <c r="C55" i="6"/>
  <c r="A55" i="6"/>
  <c r="AX62" i="6" l="1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BC101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BC126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D9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D87" i="6"/>
  <c r="BC87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BC99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S3" i="7"/>
  <c r="BC103" i="6" l="1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CM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<sst xmlns="http://schemas.openxmlformats.org/spreadsheetml/2006/main" count="7328" uniqueCount="974">
  <si>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</si>
  <si>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</si>
  <si>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</si>
  <si>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</si>
  <si>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</si>
  <si>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</si>
  <si>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</si>
  <si>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</si>
  <si>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</si>
  <si>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</si>
  <si>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</si>
  <si>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</si>
  <si>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</si>
  <si>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</si>
  <si>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</si>
  <si>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</si>
  <si>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</si>
  <si>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</si>
  <si>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</si>
  <si>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</si>
  <si>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</si>
  <si>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</si>
  <si>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</si>
  <si>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</si>
  <si>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</si>
  <si>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</si>
  <si>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</si>
  <si>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</si>
  <si>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</si>
  <si>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</si>
  <si>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</si>
  <si>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</si>
  <si>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</si>
  <si>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</si>
  <si>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</si>
  <si>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</si>
  <si>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</si>
  <si>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</si>
  <si>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</si>
  <si>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</si>
  <si>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</si>
  <si>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</si>
  <si>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</si>
  <si>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</si>
  <si>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</si>
  <si>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</si>
  <si>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</si>
  <si>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</si>
  <si>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</si>
  <si>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</si>
  <si>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</si>
  <si>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</si>
  <si>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</si>
  <si>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</si>
  <si>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</si>
  <si>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</si>
  <si>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</si>
  <si>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</si>
  <si>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</si>
  <si>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</si>
  <si>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</si>
  <si>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</si>
  <si>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</si>
  <si>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</si>
  <si>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</si>
  <si>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</si>
  <si>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</si>
  <si>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</si>
  <si>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</si>
  <si>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</si>
  <si>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</si>
  <si>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</si>
  <si>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</si>
  <si>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</si>
  <si>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</si>
  <si>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</si>
  <si>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</si>
  <si>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</si>
  <si>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</si>
  <si>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</si>
  <si>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</si>
  <si>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</si>
  <si>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</si>
  <si>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</si>
  <si>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</si>
  <si>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</si>
  <si>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</si>
  <si>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</si>
  <si>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</si>
  <si>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</si>
  <si>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</si>
  <si>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</si>
  <si>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</si>
  <si>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</si>
  <si>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</si>
  <si>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</si>
  <si>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</si>
  <si>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</si>
  <si>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</si>
  <si>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</si>
  <si>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</si>
  <si>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</si>
  <si>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</si>
  <si>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</si>
  <si>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</si>
  <si>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</si>
  <si>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</si>
  <si>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</si>
  <si>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</si>
  <si>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</si>
  <si>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</si>
  <si>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</si>
  <si>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</si>
  <si>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</si>
  <si>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</si>
  <si>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</si>
  <si>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</si>
  <si>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</si>
  <si>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</si>
  <si>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</si>
  <si>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</si>
  <si>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</si>
  <si>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</si>
  <si>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</si>
  <si>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</si>
  <si>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</si>
  <si>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</si>
  <si>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</si>
  <si>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</si>
  <si>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</si>
  <si>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</si>
  <si>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</si>
  <si>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</si>
  <si>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</si>
  <si>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</si>
  <si>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</si>
  <si>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</si>
  <si>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</si>
  <si>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</si>
  <si>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</si>
  <si>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</si>
  <si>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</si>
  <si>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</si>
  <si>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</si>
  <si>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</si>
  <si>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</si>
  <si>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</si>
  <si>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</si>
  <si>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</si>
  <si>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</si>
  <si>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</si>
  <si>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</si>
  <si>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</si>
  <si>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</si>
  <si>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</si>
  <si>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</si>
  <si>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</si>
  <si>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</si>
  <si>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</si>
  <si>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</si>
  <si>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</si>
  <si>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</si>
  <si>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</si>
  <si>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</si>
  <si>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</si>
  <si>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</si>
  <si>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</si>
  <si>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</si>
  <si>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</si>
  <si>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</si>
  <si>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</si>
  <si>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</si>
  <si>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</si>
  <si>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</si>
  <si>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</si>
  <si>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</si>
  <si>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</si>
  <si>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</si>
  <si>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</si>
  <si>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</si>
  <si>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</si>
  <si>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</si>
  <si>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</si>
  <si>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</si>
  <si>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</si>
  <si>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</si>
  <si>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</si>
  <si>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</si>
  <si>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</si>
  <si>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</si>
  <si>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</si>
  <si>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</si>
  <si>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</si>
  <si>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</si>
  <si>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</si>
  <si>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</si>
  <si>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</si>
  <si>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</si>
  <si>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</si>
  <si>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</si>
  <si>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</si>
  <si>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</si>
  <si>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</si>
  <si>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</si>
  <si>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</si>
  <si>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</si>
  <si>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</si>
  <si>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</si>
  <si>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</si>
  <si>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</si>
  <si>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</si>
  <si>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</si>
  <si>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</si>
  <si>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</si>
  <si>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</si>
  <si>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</si>
  <si>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</si>
  <si>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</si>
  <si>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</si>
  <si>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</si>
  <si>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</si>
  <si>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</si>
  <si>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</si>
  <si>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</si>
  <si>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</si>
  <si>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</si>
  <si>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</si>
  <si>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</si>
  <si>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</si>
  <si>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</si>
  <si>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</si>
  <si>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</si>
  <si>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</si>
  <si>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</si>
  <si>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</si>
  <si>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</si>
  <si>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</si>
  <si>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</si>
  <si>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</si>
  <si>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</si>
  <si>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</si>
  <si>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</si>
  <si>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</si>
  <si>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</si>
  <si>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</si>
  <si>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</si>
  <si>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</si>
  <si>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</si>
  <si>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</si>
  <si>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</si>
  <si>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</si>
  <si>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</si>
  <si>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</si>
  <si>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</si>
  <si>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</si>
  <si>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</si>
  <si>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</si>
  <si>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</si>
  <si>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</si>
  <si>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</si>
  <si>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</si>
  <si>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</si>
  <si>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</si>
  <si>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</si>
  <si>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</si>
  <si>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</si>
  <si>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</si>
  <si>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</si>
  <si>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</si>
  <si>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</si>
  <si>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</si>
  <si>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</si>
  <si>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</si>
  <si>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</si>
  <si>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</si>
  <si>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</si>
  <si>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</si>
  <si>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</si>
  <si>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</si>
  <si>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</si>
  <si>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</si>
  <si>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</si>
  <si>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</si>
  <si>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</si>
  <si>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</si>
  <si>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</si>
  <si>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</si>
  <si>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</si>
  <si>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</si>
  <si>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</si>
  <si>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</si>
  <si>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</si>
  <si>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</si>
  <si>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</si>
  <si>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</si>
  <si>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</si>
  <si>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</si>
  <si>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</si>
  <si>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</si>
  <si>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</si>
  <si>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</si>
  <si>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</si>
  <si>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</si>
  <si>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</si>
  <si>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</si>
  <si>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</si>
  <si>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</si>
  <si>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</si>
  <si>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</si>
  <si>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</si>
  <si>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</si>
  <si>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</si>
  <si>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</si>
  <si>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</si>
  <si>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</si>
  <si>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</si>
  <si>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</si>
  <si>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</si>
  <si>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</si>
  <si>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</si>
  <si>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</si>
  <si>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</si>
  <si>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</si>
  <si>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</si>
  <si>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</si>
  <si>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</si>
  <si>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</si>
  <si>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</si>
  <si>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</si>
  <si>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</si>
  <si>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</si>
  <si>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</si>
  <si>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</si>
  <si>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</si>
  <si>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</si>
  <si>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</si>
  <si>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</si>
  <si>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</si>
  <si>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</si>
  <si>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</si>
  <si>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</si>
  <si>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</si>
  <si>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</si>
  <si>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</si>
  <si>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</si>
  <si>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</si>
  <si>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</si>
  <si>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</si>
  <si>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</si>
  <si>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</si>
  <si>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</si>
  <si>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</si>
  <si>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</si>
  <si>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</si>
  <si>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</si>
  <si>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</si>
  <si>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</si>
  <si>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</si>
  <si>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</si>
  <si>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</si>
  <si>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</si>
  <si>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</si>
  <si>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</si>
  <si>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</si>
  <si>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</si>
  <si>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</si>
  <si>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</si>
  <si>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</si>
  <si>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</si>
  <si>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</si>
  <si>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</si>
  <si>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</si>
  <si>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</si>
  <si>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</si>
  <si>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</si>
  <si>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</si>
  <si>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</si>
  <si>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</si>
  <si>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</si>
  <si>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</si>
  <si>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</si>
  <si>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</si>
  <si>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</si>
  <si>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</si>
  <si>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</si>
  <si>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</si>
  <si>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</si>
  <si>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</si>
  <si>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</si>
  <si>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</si>
  <si>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</si>
  <si>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</si>
  <si>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</si>
  <si>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</si>
  <si>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</si>
  <si>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</si>
  <si>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</si>
  <si>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</si>
  <si>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</si>
  <si>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</si>
  <si>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</si>
  <si>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</si>
  <si>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</si>
  <si>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</si>
  <si>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</si>
  <si>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</si>
  <si>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</si>
  <si>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</si>
  <si>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</si>
  <si>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</si>
  <si>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</si>
  <si>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</si>
  <si>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</si>
  <si>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</si>
  <si>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</si>
  <si>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</si>
  <si>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</si>
  <si>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</si>
  <si>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</si>
  <si>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</si>
  <si>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</si>
  <si>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</si>
  <si>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</si>
  <si>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</si>
  <si>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</si>
  <si>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</si>
  <si>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</si>
  <si>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</si>
  <si>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</si>
  <si>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</si>
  <si>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</si>
  <si>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</si>
  <si>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</si>
  <si>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</si>
  <si>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</si>
  <si>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</si>
  <si>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</si>
  <si>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</si>
  <si>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</si>
  <si>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</si>
  <si>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</si>
  <si>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</si>
  <si>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</si>
  <si>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</si>
  <si>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</si>
  <si>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</si>
  <si>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</si>
  <si>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</si>
  <si>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</si>
  <si>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</si>
  <si>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</si>
  <si>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</si>
  <si>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</si>
  <si>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</si>
  <si>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</si>
  <si>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</si>
  <si>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</si>
  <si>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</si>
  <si>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</si>
  <si>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</si>
  <si>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</si>
  <si>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</si>
  <si>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</si>
  <si>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</si>
  <si>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</si>
  <si>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</si>
  <si>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</si>
  <si>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</si>
  <si>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</si>
  <si>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</si>
  <si>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</si>
  <si>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</si>
  <si>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</si>
  <si>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</si>
  <si>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</si>
  <si>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</si>
  <si>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</si>
  <si>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</si>
  <si>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</si>
  <si>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</si>
  <si>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</si>
  <si>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</si>
  <si>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</si>
  <si>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</si>
  <si>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</si>
  <si>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</si>
  <si>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</si>
  <si>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</si>
  <si>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</si>
  <si>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</si>
  <si>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</si>
  <si>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</si>
  <si>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</si>
  <si>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</si>
  <si>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</si>
  <si>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</si>
  <si>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</si>
  <si>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</si>
  <si>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</si>
  <si>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</si>
  <si>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</si>
  <si>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</si>
  <si>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</si>
  <si>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</si>
  <si>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</si>
  <si>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</si>
  <si>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</si>
  <si>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</si>
  <si>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</si>
  <si>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</si>
  <si>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</si>
  <si>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</si>
  <si>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</si>
  <si>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</si>
  <si>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</si>
  <si>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</si>
  <si>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</si>
  <si>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</si>
  <si>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</si>
  <si>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</si>
  <si>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</si>
  <si>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</si>
  <si>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</si>
  <si>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</si>
  <si>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</si>
  <si>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</si>
  <si>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</si>
  <si>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</si>
  <si>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</si>
  <si>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</si>
  <si>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</si>
  <si>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</si>
  <si>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</si>
  <si>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</si>
  <si>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</si>
  <si>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</si>
  <si>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</si>
  <si>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</si>
  <si>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</si>
  <si>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</si>
  <si>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</si>
  <si>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</si>
  <si>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</si>
  <si>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</si>
  <si>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</si>
  <si>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</si>
  <si>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</si>
  <si>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</si>
  <si>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</si>
  <si>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</si>
  <si>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</si>
  <si>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</si>
  <si>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</si>
  <si>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</si>
  <si>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</si>
  <si>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</si>
  <si>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</si>
  <si>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</si>
  <si>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</si>
  <si>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</si>
  <si>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</si>
  <si>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</si>
  <si>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</si>
  <si>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</si>
  <si>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</si>
  <si>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</si>
  <si>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</si>
  <si>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</si>
  <si>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</si>
  <si>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</si>
  <si>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</si>
  <si>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</si>
  <si>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</si>
  <si>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</si>
  <si>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</si>
  <si>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</si>
  <si>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</si>
  <si>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</si>
  <si>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</si>
  <si>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</si>
  <si>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</si>
  <si>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</si>
  <si>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</si>
  <si>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</si>
  <si>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</si>
  <si>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</si>
  <si>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</si>
  <si>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</si>
  <si>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</si>
  <si>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</si>
  <si>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</si>
  <si>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</si>
  <si>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</si>
  <si>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</si>
  <si>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</si>
  <si>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</si>
  <si>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</si>
  <si>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</si>
  <si>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</si>
  <si>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</si>
  <si>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</si>
  <si>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</si>
  <si>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</si>
  <si>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</si>
  <si>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</si>
  <si>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</si>
  <si>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</si>
  <si>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</si>
  <si>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</si>
  <si>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</si>
  <si>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</si>
  <si>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</si>
  <si>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</si>
  <si>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</si>
  <si>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</si>
  <si>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</si>
  <si>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</si>
  <si>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</si>
  <si>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</si>
  <si>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</si>
  <si>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</si>
  <si>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</si>
  <si>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</si>
  <si>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</si>
  <si>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</si>
  <si>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</si>
  <si>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</si>
  <si>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</si>
  <si>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</si>
  <si>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</si>
  <si>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</si>
  <si>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</si>
  <si>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</si>
  <si>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</si>
  <si>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</si>
  <si>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</si>
  <si>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</si>
  <si>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</si>
  <si>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</si>
  <si>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</si>
  <si>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</si>
  <si>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</si>
  <si>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</si>
  <si>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</si>
  <si>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</si>
  <si>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</si>
  <si>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</si>
  <si>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</si>
  <si>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</si>
  <si>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</si>
  <si>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</si>
  <si>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</si>
  <si>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</si>
  <si>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</si>
  <si>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</si>
  <si>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</si>
  <si>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</si>
  <si>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</si>
  <si>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</si>
  <si>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</si>
  <si>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</si>
  <si>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</si>
  <si>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</si>
  <si>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</si>
  <si>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</si>
  <si>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</si>
  <si>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</si>
  <si>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</si>
  <si>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</si>
  <si>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</si>
  <si>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</si>
  <si>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</si>
  <si>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</si>
  <si>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</si>
  <si>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</si>
  <si>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</si>
  <si>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</si>
  <si>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</si>
  <si>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</si>
  <si>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</si>
  <si>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</si>
  <si>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</si>
  <si>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</si>
  <si>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</si>
  <si>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</si>
  <si>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</si>
  <si>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</si>
  <si>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</si>
  <si>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</si>
  <si>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</si>
  <si>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</si>
  <si>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</si>
  <si>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</si>
  <si>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</si>
  <si>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</si>
  <si>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</si>
  <si>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</si>
  <si>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</si>
  <si>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</si>
  <si>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</si>
  <si>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</si>
  <si>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</si>
  <si>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</si>
  <si>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</si>
  <si>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</si>
  <si>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</si>
  <si>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</si>
  <si>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</si>
  <si>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</si>
  <si>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</si>
  <si>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</si>
  <si>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</si>
  <si>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</si>
  <si>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</si>
  <si>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</si>
  <si>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</si>
  <si>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</si>
  <si>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</si>
  <si>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</si>
  <si>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</si>
  <si>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</si>
  <si>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</si>
  <si>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</si>
  <si>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</si>
  <si>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</si>
  <si>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</si>
  <si>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</si>
  <si>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</si>
  <si>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</si>
  <si>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</si>
  <si>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</si>
  <si>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</si>
  <si>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</si>
  <si>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</si>
  <si>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</si>
  <si>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</si>
  <si>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</si>
  <si>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</si>
  <si>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</si>
  <si>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</si>
  <si>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</si>
  <si>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</si>
  <si>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</si>
  <si>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</si>
  <si>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</si>
  <si>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</si>
  <si>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</si>
  <si>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</si>
  <si>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</si>
  <si>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</si>
  <si>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</si>
  <si>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</si>
  <si>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</si>
  <si>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</si>
  <si>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</si>
  <si>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</si>
  <si>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</si>
  <si>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</si>
  <si>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</si>
  <si>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</si>
  <si>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</si>
  <si>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</si>
  <si>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</si>
  <si>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</si>
  <si>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</si>
  <si>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</si>
  <si>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</si>
  <si>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</si>
  <si>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</si>
  <si>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</si>
  <si>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</si>
  <si>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</si>
  <si>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</si>
  <si>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</si>
  <si>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</si>
  <si>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</si>
  <si>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</si>
  <si>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</si>
  <si>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</si>
  <si>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</si>
  <si>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</si>
  <si>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</si>
  <si>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</si>
  <si>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</si>
  <si>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</si>
  <si>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</si>
  <si>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</si>
  <si>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</si>
  <si>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</si>
  <si>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</si>
  <si>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</si>
  <si>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</si>
  <si>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</si>
  <si>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</si>
  <si>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</si>
  <si>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</si>
  <si>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</si>
  <si>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</si>
  <si>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</si>
  <si>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</si>
  <si>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</si>
  <si>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</si>
  <si>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</si>
  <si>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</si>
  <si>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</si>
  <si>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</si>
  <si>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</si>
  <si>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</si>
  <si>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</si>
  <si>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</si>
  <si>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</si>
  <si>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</si>
  <si>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</si>
  <si>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</si>
  <si>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</si>
  <si>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</si>
  <si>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</si>
  <si>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</si>
  <si>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</si>
  <si>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</si>
  <si>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</si>
  <si>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</si>
  <si>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</si>
  <si>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</si>
  <si>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</si>
  <si>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</si>
  <si>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</si>
  <si>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</si>
  <si>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</si>
  <si>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</si>
  <si>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</si>
  <si>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</si>
  <si>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</si>
  <si>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</si>
  <si>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</si>
  <si>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</si>
  <si>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</si>
  <si>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</si>
  <si>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</si>
  <si>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</si>
  <si>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</si>
  <si>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</si>
  <si>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</si>
  <si>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</si>
  <si>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</si>
  <si>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</si>
  <si>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</si>
  <si>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</si>
  <si>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</si>
  <si>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</si>
  <si>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</si>
  <si>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</si>
  <si>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</si>
  <si>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</si>
  <si>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</si>
  <si>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</si>
  <si>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</si>
  <si>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</si>
  <si>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</si>
  <si>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</si>
  <si>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</si>
  <si>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</si>
  <si>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</si>
  <si>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</si>
  <si>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</si>
  <si>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</si>
  <si>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</si>
  <si>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</si>
  <si>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</si>
  <si>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</si>
  <si>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</si>
  <si>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</si>
  <si>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</si>
  <si>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</si>
  <si>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</si>
  <si>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</si>
  <si>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</si>
  <si>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</si>
  <si>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</si>
  <si>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</si>
  <si>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</si>
  <si>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</si>
  <si>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</si>
  <si>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</si>
  <si>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</si>
  <si>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</si>
  <si>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</si>
  <si>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</si>
  <si>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</si>
  <si>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</si>
  <si>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</si>
  <si>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</si>
  <si>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</si>
  <si>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</si>
  <si>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</si>
  <si>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</si>
  <si>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</si>
  <si>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</si>
  <si>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</si>
  <si>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</si>
  <si>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</si>
  <si>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</si>
  <si>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</si>
  <si>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</si>
  <si>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</si>
  <si>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</si>
  <si>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</si>
  <si>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</si>
  <si>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</si>
  <si>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</si>
  <si>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</si>
  <si>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</si>
  <si>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</si>
  <si>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</si>
  <si>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</si>
  <si>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</si>
  <si>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</si>
  <si>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</si>
  <si>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</si>
  <si>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</si>
  <si>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</si>
  <si>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</si>
  <si>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</si>
  <si>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</si>
  <si>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</si>
  <si>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</si>
  <si>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</si>
  <si>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</si>
  <si>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</si>
  <si>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</si>
  <si>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</si>
  <si>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</si>
  <si>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</si>
  <si>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</si>
  <si>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</si>
  <si>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</si>
  <si>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</si>
  <si>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</si>
  <si>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</si>
  <si>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</si>
  <si>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</si>
  <si>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</si>
  <si>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</si>
  <si>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</si>
  <si>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</si>
  <si>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</si>
  <si>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</si>
  <si>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</si>
  <si>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</si>
  <si>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</si>
  <si>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</si>
  <si>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</si>
  <si>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</si>
  <si>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</si>
  <si>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</si>
  <si>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</si>
  <si>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</si>
  <si>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</si>
  <si>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</si>
  <si>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</si>
  <si>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</si>
  <si>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</si>
  <si>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</si>
  <si>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</si>
  <si>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</si>
  <si>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</si>
  <si>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</si>
  <si>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</si>
  <si>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</si>
  <si>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</si>
  <si>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</si>
  <si>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Q:\Trabalhos em Andamento\Arthur Boff\8. Planilhas\12. Estrutura de cadastro padrão P01\2020-05-01_AB_Estrutura P01 (REV19).xlsm</t>
  </si>
  <si>
    <t>Column70</t>
  </si>
  <si>
    <t>Column71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</si>
</sst>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6"/>
      <tableStyleElement type="headerRow" dxfId="185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Column70" tableColumnId="70"/>
      <queryTableField id="71" dataBound="0" tableColumnId="7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3" tableType="queryTable" insertRow="1" totalsRowCount="1">
  <autoFilter ref="A1:BS2">
    <filterColumn colId="1">
      <filters>
        <filter val="NEW"/>
      </filters>
    </filterColumn>
  </autoFilter>
  <tableColumns count="71">
    <tableColumn id="1" uniqueName="1" name="PJT" totalsRowLabel="Total" queryTableFieldId="1" dataDxfId="73"/>
    <tableColumn id="2" uniqueName="2" name="STS" queryTableFieldId="2" dataDxfId="72"/>
    <tableColumn id="3" uniqueName="3" name="Código P01" queryTableFieldId="3" dataDxfId="71"/>
    <tableColumn id="4" uniqueName="4" name="Descrição P01" queryTableFieldId="4" dataDxfId="70"/>
    <tableColumn id="5" uniqueName="5" name="Modelo" queryTableFieldId="5" dataDxfId="69"/>
    <tableColumn id="6" uniqueName="6" name="Descrição do Modelo" queryTableFieldId="6" dataDxfId="68"/>
    <tableColumn id="7" uniqueName="7" name="Centro" queryTableFieldId="7" dataDxfId="67"/>
    <tableColumn id="8" uniqueName="8" name="Comprimento_x000a_Final" queryTableFieldId="8" dataDxfId="66"/>
    <tableColumn id="9" uniqueName="9" name="Peso Kg/m" queryTableFieldId="9" dataDxfId="65"/>
    <tableColumn id="10" uniqueName="10" name="KG/PC" queryTableFieldId="10" dataDxfId="64"/>
    <tableColumn id="11" uniqueName="11" name="Hierarquia 1" queryTableFieldId="11" dataDxfId="63"/>
    <tableColumn id="12" uniqueName="12" name="Hierarquia 2" queryTableFieldId="12" dataDxfId="62"/>
    <tableColumn id="13" uniqueName="13" name="Hierarquia 3" queryTableFieldId="13" dataDxfId="61"/>
    <tableColumn id="14" uniqueName="14" name="Hierarquia 4" queryTableFieldId="14" dataDxfId="60"/>
    <tableColumn id="15" uniqueName="15" name="Hierarquia 5" queryTableFieldId="15" dataDxfId="59"/>
    <tableColumn id="16" uniqueName="16" name="Hierarquia Final" queryTableFieldId="16" dataDxfId="58"/>
    <tableColumn id="17" uniqueName="17" name="GrPMerc." queryTableFieldId="17" dataDxfId="57"/>
    <tableColumn id="18" uniqueName="18" name="Bitola de Produção_x000a_          Descrição" queryTableFieldId="18" dataDxfId="56"/>
    <tableColumn id="19" uniqueName="19" name="N° SAP da Bitola" queryTableFieldId="19" dataDxfId="55"/>
    <tableColumn id="20" uniqueName="20" name="Unidade de Venda" queryTableFieldId="20" dataDxfId="54"/>
    <tableColumn id="21" uniqueName="21" name="NCM" queryTableFieldId="21" dataDxfId="53"/>
    <tableColumn id="22" uniqueName="22" name="Peças por _x000a_Amarrado" queryTableFieldId="22" dataDxfId="52"/>
    <tableColumn id="23" uniqueName="23" name="Centro de trabalho" queryTableFieldId="23" dataDxfId="51"/>
    <tableColumn id="24" uniqueName="24" name="Tempo_x000a_Setup" queryTableFieldId="24" dataDxfId="50"/>
    <tableColumn id="25" uniqueName="25" name="Tempo de_x000a_Operação" queryTableFieldId="25" dataDxfId="49"/>
    <tableColumn id="26" uniqueName="26" name="Perda de _x000a_Processo" queryTableFieldId="26" dataDxfId="48"/>
    <tableColumn id="27" uniqueName="27" name="Código do componente" queryTableFieldId="27" dataDxfId="47"/>
    <tableColumn id="28" uniqueName="28" name="Comprimento _x000a_do Multiplo" queryTableFieldId="28" dataDxfId="46"/>
    <tableColumn id="29" uniqueName="29" name="Perda em Kg para fabricar 1000 peças do tubo cortado (perda inerente)" queryTableFieldId="29" dataDxfId="45"/>
    <tableColumn id="30" uniqueName="30" name="Quantidade em metros para fabricar 1000 peças + perda de processo" queryTableFieldId="30" dataDxfId="44"/>
    <tableColumn id="31" uniqueName="31" name="Quantidade em peças para fabricar 1000 peças + perda de processo" queryTableFieldId="31" dataDxfId="43"/>
    <tableColumn id="32" uniqueName="32" name="DADOS AO" queryTableFieldId="32" dataDxfId="42"/>
    <tableColumn id="33" uniqueName="33" name="Chave LNTR" queryTableFieldId="33" dataDxfId="41"/>
    <tableColumn id="34" uniqueName="34" name="Espessura nominal" queryTableFieldId="34" dataDxfId="40"/>
    <tableColumn id="35" uniqueName="35" name="Laminação" queryTableFieldId="35" dataDxfId="39"/>
    <tableColumn id="36" uniqueName="36" name="MTH?_x000a_MTL?" queryTableFieldId="36" dataDxfId="38"/>
    <tableColumn id="37" uniqueName="37" name="Espessura Mínima" queryTableFieldId="37" dataDxfId="37"/>
    <tableColumn id="38" uniqueName="38" name="Espessura Máxima" queryTableFieldId="38" dataDxfId="36"/>
    <tableColumn id="39" uniqueName="39" name="Máquina" queryTableFieldId="39" dataDxfId="35"/>
    <tableColumn id="40" uniqueName="40" name="Mapa/Plano de montagem" queryTableFieldId="40" dataDxfId="34"/>
    <tableColumn id="41" uniqueName="41" name="Velocidade_x000a_(m/hr)" queryTableFieldId="41" dataDxfId="33"/>
    <tableColumn id="42" uniqueName="42" name="Nave" queryTableFieldId="42" dataDxfId="32"/>
    <tableColumn id="43" uniqueName="43" name="Tempo de _x000a_pré-instalação" queryTableFieldId="43" dataDxfId="31"/>
    <tableColumn id="44" uniqueName="44" name="Sucata (m)" queryTableFieldId="44" dataDxfId="30"/>
    <tableColumn id="45" uniqueName="45" name="Perda (%)" queryTableFieldId="45" dataDxfId="29"/>
    <tableColumn id="46" uniqueName="46" name="Largura da tira" queryTableFieldId="46" dataDxfId="28"/>
    <tableColumn id="47" uniqueName="47" name="Bobina_x000a_ configuravel?" queryTableFieldId="47" dataDxfId="27"/>
    <tableColumn id="48" uniqueName="48" name="Largura ideal" queryTableFieldId="48" dataDxfId="26"/>
    <tableColumn id="49" uniqueName="49" name="Velocidade_x000a_3000 até 4999" queryTableFieldId="49" dataDxfId="25"/>
    <tableColumn id="50" uniqueName="50" name="Velocidade_x000a_5000 até 8000" queryTableFieldId="50" dataDxfId="24"/>
    <tableColumn id="51" uniqueName="51" name="Velocidade_x000a_8001 até 14000" queryTableFieldId="51" dataDxfId="23"/>
    <tableColumn id="52" uniqueName="52" name="DADOS LNP" queryTableFieldId="52" dataDxfId="22"/>
    <tableColumn id="53" uniqueName="53" name="Cliente" queryTableFieldId="53" dataDxfId="21"/>
    <tableColumn id="54" uniqueName="54" name="Preço de terceirização " queryTableFieldId="54" dataDxfId="20"/>
    <tableColumn id="55" uniqueName="55" name="Centro de Produção" queryTableFieldId="55" dataDxfId="19"/>
    <tableColumn id="56" uniqueName="56" name="Column56" queryTableFieldId="56" dataDxfId="18"/>
    <tableColumn id="57" uniqueName="57" name="Depósito de produção" queryTableFieldId="57" dataDxfId="17"/>
    <tableColumn id="58" uniqueName="58" name="Column58" queryTableFieldId="58" dataDxfId="16"/>
    <tableColumn id="59" uniqueName="59" name="Canal de Distribuição" queryTableFieldId="59" dataDxfId="15"/>
    <tableColumn id="60" uniqueName="60" name="Column60" queryTableFieldId="60" dataDxfId="14"/>
    <tableColumn id="61" uniqueName="61" name="Setor de Atividade" queryTableFieldId="61" dataDxfId="13"/>
    <tableColumn id="62" uniqueName="62" name="Column62" queryTableFieldId="62" dataDxfId="12"/>
    <tableColumn id="63" uniqueName="63" name="Níveis Organizacionais SAP" queryTableFieldId="63" dataDxfId="11"/>
    <tableColumn id="64" uniqueName="64" name="Tipo de Material PROF" queryTableFieldId="64" dataDxfId="10"/>
    <tableColumn id="65" uniqueName="65" name="Geometria CHAR" queryTableFieldId="65" dataDxfId="9"/>
    <tableColumn id="66" uniqueName="66" name="Espessura CHAR" queryTableFieldId="66" dataDxfId="8"/>
    <tableColumn id="67" uniqueName="67" name="Raspagem Interna?" queryTableFieldId="67" dataDxfId="7"/>
    <tableColumn id="68" uniqueName="68" name="Metalização?" queryTableFieldId="68" dataDxfId="6"/>
    <tableColumn id="69" uniqueName="69" name="DADOS VARIANT" queryTableFieldId="69" dataDxfId="5"/>
    <tableColumn id="70" uniqueName="70" name="Column70" queryTableFieldId="70" dataDxfId="4"/>
    <tableColumn id="71" uniqueName="71" name="Column71" totalsRowFunction="count" queryTableFieldId="7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71" t="s">
        <v>170</v>
      </c>
      <c r="AN1" s="71" t="s">
        <v>127</v>
      </c>
      <c r="AZ1" s="34" t="s">
        <v>319</v>
      </c>
      <c r="BJ1" s="70" t="s">
        <v>320</v>
      </c>
      <c r="BK1" s="71"/>
      <c r="DW1" s="70" t="s">
        <v>761</v>
      </c>
      <c r="EG1" s="61"/>
      <c r="EK1" s="56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7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0"/>
      <c r="BK2" s="7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1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2" t="s">
        <v>155</v>
      </c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59" t="s">
        <v>783</v>
      </c>
      <c r="EE3" s="27" t="s">
        <v>785</v>
      </c>
      <c r="EF3" s="27" t="s">
        <v>786</v>
      </c>
      <c r="EG3" s="62" t="s">
        <v>788</v>
      </c>
      <c r="EH3" s="62" t="s">
        <v>949</v>
      </c>
      <c r="EI3" s="27" t="s">
        <v>790</v>
      </c>
      <c r="EJ3" s="27" t="s">
        <v>792</v>
      </c>
      <c r="EK3" s="56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950</v>
      </c>
      <c r="EI4" s="14" t="s">
        <v>791</v>
      </c>
      <c r="EJ4" s="14" t="s">
        <v>793</v>
      </c>
      <c r="EK4" s="5" t="s">
        <v>948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IF(IFERROR(INDEX(Consulta!$A:$DF,MATCH('MM01'!$B5,Consulta!$C:$C,0),'MM01'!C$2),"")=0,"",IFERROR(INDEX(Consulta!$A:$DF,MATCH('MM01'!$B5,Consulta!$C:$C,0),'MM01'!C$2),""))</f>
        <v/>
      </c>
      <c r="D5" s="43" t="str">
        <f>IF(IFERROR(INDEX(Consulta!$A:$DF,MATCH('MM01'!$B5,Consulta!$C:$C,0),'MM01'!D$2),"")=0,"",IFERROR(INDEX(Consulta!$A:$DF,MATCH('MM01'!$B5,Consulta!$C:$C,0),'MM01'!D$2),""))</f>
        <v/>
      </c>
      <c r="E5" s="43" t="str">
        <f>IF(IFERROR(INDEX(Consulta!$A:$DF,MATCH('MM01'!$B5,Consulta!$C:$C,0),'MM01'!E$2),"")=0,"",IFERROR(INDEX(Consulta!$A:$DF,MATCH('MM01'!$B5,Consulta!$C:$C,0),'MM01'!E$2),""))</f>
        <v/>
      </c>
      <c r="F5" s="44" t="s">
        <v>100</v>
      </c>
      <c r="G5" s="49" t="str">
        <f>IF(IFERROR(INDEX(Consulta!$A:$DF,MATCH('MM01'!$B5,Consulta!$C:$C,0),'MM01'!G$2),"")=0,"",IFERROR(INDEX(Consulta!$A:$DF,MATCH('MM01'!$B5,Consulta!$C:$C,0),'MM01'!G$2),""))</f>
        <v/>
      </c>
      <c r="H5" s="49" t="str">
        <f>IF(IFERROR(INDEX(Consulta!$A:$DF,MATCH('MM01'!$B5,Consulta!$C:$C,0),'MM01'!H$2),"")=0,"",IFERROR(INDEX(Consulta!$A:$DF,MATCH('MM01'!$B5,Consulta!$C:$C,0),'MM01'!H$2),""))</f>
        <v/>
      </c>
      <c r="I5" s="49" t="str">
        <f>G5</f>
        <v/>
      </c>
      <c r="J5" s="49" t="str">
        <f>IF(IFERROR(INDEX(Consulta!$A:$DF,MATCH('MM01'!$B5,Consulta!$C:$C,0),'MM01'!J$2),"")=0,"",IFERROR(INDEX(Consulta!$A:$DF,MATCH('MM01'!$B5,Consulta!$C:$C,0),'MM01'!J$2),""))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IF(IFERROR(INDEX(Consulta!$A:$DF,MATCH('MM01'!$B5,Consulta!$C:$C,0),'MM01'!AP$2),"")=0,"",IFERROR(INDEX(Consulta!$A:$DF,MATCH('MM01'!$B5,Consulta!$C:$C,0),'MM01'!AP$2),""))</f>
        <v/>
      </c>
      <c r="AQ5" s="45"/>
      <c r="AR5" s="43" t="str">
        <f>IF(IFERROR(INDEX(Consulta!$A:$DF,MATCH('MM01'!$B5,Consulta!$C:$C,0),'MM01'!AR$2),"")=0,"",IFERROR(INDEX(Consulta!$A:$DF,MATCH('MM01'!$B5,Consulta!$C:$C,0),'MM01'!AR$2),""))</f>
        <v/>
      </c>
      <c r="AS5" s="43" t="str">
        <f>IF(IFERROR(INDEX(Consulta!$A:$DF,MATCH('MM01'!$B5,Consulta!$C:$C,0),'MM01'!AS$2),"")=0,"",IF(AR5="68",5102,IFERROR(INDEX(Consulta!$A:$DF,MATCH('MM01'!$B5,Consulta!$C:$C,0),'MM01'!AS$2),"")))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IF(IFERROR(INDEX(Consulta!$A:$DF,MATCH('MM01'!$B5,Consulta!$C:$C,0),'MM01'!AW$2),"")=0,"",IFERROR(ROUND(INDEX(Consulta!$A:$DF,MATCH('MM01'!$B5,Consulta!$C:$C,0),'MM01'!AW$2),3),""))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IF(IFERROR(INDEX(Consulta!$A:$DF,MATCH('MM01'!$B5,Consulta!$C:$C,0),'MM01'!BA$2),"")=0,"",IFERROR(INDEX(Consulta!$A:$DF,MATCH('MM01'!$B5,Consulta!$C:$C,0),'MM01'!BA$2),""))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IF(IFERROR(INDEX(Consulta!$A:$DF,MATCH('MM01'!$B5,Consulta!$C:$C,0),'MM01'!BL$2),"")=0,"",IFERROR(INDEX(Consulta!$A:$DF,MATCH('MM01'!$B5,Consulta!$C:$C,0),'MM01'!BL$2),""))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IF(IFERROR(INDEX(Consulta!$A:$DF,MATCH('MM01'!$B5,Consulta!$C:$C,0),'MM01'!BX$2),"")=0,"",IFERROR(INDEX(Consulta!$A:$DF,MATCH('MM01'!$B5,Consulta!$C:$C,0),'MM01'!BX$2),""))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IF(IFERROR(INDEX(Consulta!$A:$DF,MATCH('MM01'!$B5,Consulta!$C:$C,0),'MM01'!CT$2),"")=0,"",IFERROR(INDEX(Consulta!$A:$DF,MATCH('MM01'!$B5,Consulta!$C:$C,0),'MM01'!CT$2),""))</f>
        <v/>
      </c>
      <c r="CU5" s="43" t="str">
        <f>IF(IFERROR(INDEX(Consulta!$A:$DF,MATCH('MM01'!$B5,Consulta!$C:$C,0),'MM01'!CU$2),"")=0,"",IFERROR(INDEX(Consulta!$A:$DF,MATCH('MM01'!$B5,Consulta!$C:$C,0),'MM01'!CU$2),""))</f>
        <v/>
      </c>
      <c r="CV5" s="43" t="str">
        <f>IF(IFERROR(INDEX(Consulta!$A:$DF,MATCH('MM01'!$B5,Consulta!$C:$C,0),'MM01'!CV$2),"")=0,"",IFERROR(INDEX(Consulta!$A:$DF,MATCH('MM01'!$B5,Consulta!$C:$C,0),'MM01'!CV$2),""))</f>
        <v/>
      </c>
      <c r="CW5" s="43" t="str">
        <f>IF(IFERROR(INDEX(Consulta!$A:$DF,MATCH('MM01'!$B5,Consulta!$C:$C,0),'MM01'!CW$2),"")=0,"",IFERROR(INDEX(Consulta!$A:$DF,MATCH('MM01'!$B5,Consulta!$C:$C,0),'MM01'!CW$2),""))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IF(IFERROR(INDEX(Consulta!$A:$DF,MATCH('MM01'!$B5,Consulta!$C:$C,0),'MM01'!DA$2),"")=0,"",IFERROR(INDEX(Consulta!$A:$DF,MATCH('MM01'!$B5,Consulta!$C:$C,0),'MM01'!DA$2),""))</f>
        <v/>
      </c>
      <c r="DB5" s="43" t="str">
        <f>IF(E5=0,"",E5)</f>
        <v/>
      </c>
      <c r="DC5" s="43" t="str">
        <f>IF(IFERROR(INDEX(Consulta!$A:$DF,MATCH('MM01'!$B5,Consulta!$C:$C,0),'MM01'!DC$2),"")=0,"",IFERROR(INDEX(Consulta!$A:$DF,MATCH('MM01'!$B5,Consulta!$C:$C,0),'MM01'!DC$2),""))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5" t="s">
        <v>747</v>
      </c>
      <c r="DI5" s="43" t="str">
        <f ca="1">IF(DH5&lt;&gt;0,TEXT(TODAY(),"dd.mm.aaaa"),"")</f>
        <v>08.02.2022</v>
      </c>
      <c r="DJ5" s="43" t="str">
        <f>IF(DH5&lt;&gt;0,"31.12.9999","")</f>
        <v>31.12.9999</v>
      </c>
      <c r="DK5" s="43" t="str">
        <f>IF(DL5&lt;&gt;0,2,"")</f>
        <v/>
      </c>
      <c r="DL5" s="55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5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5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IF(IFERROR(INDEX(Consulta!$A:$DF,MATCH('MM01'!$B5,Consulta!$C:$C,0),'MM01'!EB$2),"")=0,"7925",IF(IFERROR(INDEX(Consulta!$A:$DF,MATCH('MM01'!$B5,Consulta!$C:$C,0),'MM01'!EB$2),"")="68","7910","7925"))</f>
        <v>7925</v>
      </c>
      <c r="EC5" s="44">
        <v>100</v>
      </c>
      <c r="ED5" s="60">
        <v>1</v>
      </c>
      <c r="EE5" s="43">
        <f>EC5</f>
        <v>100</v>
      </c>
      <c r="EF5" s="44">
        <v>1</v>
      </c>
      <c r="EG5" s="44">
        <v>0</v>
      </c>
      <c r="EH5" s="44" t="s">
        <v>867</v>
      </c>
      <c r="EI5" s="45">
        <v>0</v>
      </c>
      <c r="EJ5" s="43">
        <f>CS5</f>
        <v>5000</v>
      </c>
      <c r="EK5" s="64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IF(IFERROR(INDEX(Consulta!$A:$DF,MATCH('MM01'!$B6,Consulta!$C:$C,0),'MM01'!C$2),"")=0,"",IFERROR(INDEX(Consulta!$A:$DF,MATCH('MM01'!$B6,Consulta!$C:$C,0),'MM01'!C$2),""))</f>
        <v/>
      </c>
      <c r="D6" s="43" t="str">
        <f>IF(IFERROR(INDEX(Consulta!$A:$DF,MATCH('MM01'!$B6,Consulta!$C:$C,0),'MM01'!D$2),"")=0,"",IFERROR(INDEX(Consulta!$A:$DF,MATCH('MM01'!$B6,Consulta!$C:$C,0),'MM01'!D$2),""))</f>
        <v/>
      </c>
      <c r="E6" s="43" t="str">
        <f>IF(IFERROR(INDEX(Consulta!$A:$DF,MATCH('MM01'!$B6,Consulta!$C:$C,0),'MM01'!E$2),"")=0,"",IFERROR(INDEX(Consulta!$A:$DF,MATCH('MM01'!$B6,Consulta!$C:$C,0),'MM01'!E$2),""))</f>
        <v/>
      </c>
      <c r="F6" s="44" t="s">
        <v>100</v>
      </c>
      <c r="G6" s="49" t="str">
        <f>IF(IFERROR(INDEX(Consulta!$A:$DF,MATCH('MM01'!$B6,Consulta!$C:$C,0),'MM01'!G$2),"")=0,"",IFERROR(INDEX(Consulta!$A:$DF,MATCH('MM01'!$B6,Consulta!$C:$C,0),'MM01'!G$2),""))</f>
        <v/>
      </c>
      <c r="H6" s="49" t="str">
        <f>IF(IFERROR(INDEX(Consulta!$A:$DF,MATCH('MM01'!$B6,Consulta!$C:$C,0),'MM01'!H$2),"")=0,"",IFERROR(INDEX(Consulta!$A:$DF,MATCH('MM01'!$B6,Consulta!$C:$C,0),'MM01'!H$2),""))</f>
        <v/>
      </c>
      <c r="I6" s="49" t="str">
        <f t="shared" ref="I6:I54" si="1">G6</f>
        <v/>
      </c>
      <c r="J6" s="49" t="str">
        <f>IF(IFERROR(INDEX(Consulta!$A:$DF,MATCH('MM01'!$B6,Consulta!$C:$C,0),'MM01'!J$2),"")=0,"",IFERROR(INDEX(Consulta!$A:$DF,MATCH('MM01'!$B6,Consulta!$C:$C,0),'MM01'!J$2),""))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IF(IFERROR(INDEX(Consulta!$A:$DF,MATCH('MM01'!$B6,Consulta!$C:$C,0),'MM01'!AP$2),"")=0,"",IFERROR(INDEX(Consulta!$A:$DF,MATCH('MM01'!$B6,Consulta!$C:$C,0),'MM01'!AP$2),""))</f>
        <v/>
      </c>
      <c r="AQ6" s="45"/>
      <c r="AR6" s="43" t="str">
        <f>IF(IFERROR(INDEX(Consulta!$A:$DF,MATCH('MM01'!$B6,Consulta!$C:$C,0),'MM01'!AR$2),"")=0,"",IFERROR(INDEX(Consulta!$A:$DF,MATCH('MM01'!$B6,Consulta!$C:$C,0),'MM01'!AR$2),""))</f>
        <v/>
      </c>
      <c r="AS6" s="43" t="str">
        <f>IF(IFERROR(INDEX(Consulta!$A:$DF,MATCH('MM01'!$B6,Consulta!$C:$C,0),'MM01'!AS$2),"")=0,"",IF(AR6="68",5102,IFERROR(INDEX(Consulta!$A:$DF,MATCH('MM01'!$B6,Consulta!$C:$C,0),'MM01'!AS$2),"")))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IF(IFERROR(INDEX(Consulta!$A:$DF,MATCH('MM01'!$B6,Consulta!$C:$C,0),'MM01'!AW$2),"")=0,"",IFERROR(ROUND(INDEX(Consulta!$A:$DF,MATCH('MM01'!$B6,Consulta!$C:$C,0),'MM01'!AW$2),3),""))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IF(IFERROR(INDEX(Consulta!$A:$DF,MATCH('MM01'!$B6,Consulta!$C:$C,0),'MM01'!BA$2),"")=0,"",IFERROR(INDEX(Consulta!$A:$DF,MATCH('MM01'!$B6,Consulta!$C:$C,0),'MM01'!BA$2),""))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IF(IFERROR(INDEX(Consulta!$A:$DF,MATCH('MM01'!$B6,Consulta!$C:$C,0),'MM01'!BL$2),"")=0,"",IFERROR(INDEX(Consulta!$A:$DF,MATCH('MM01'!$B6,Consulta!$C:$C,0),'MM01'!BL$2),""))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IF(IFERROR(INDEX(Consulta!$A:$DF,MATCH('MM01'!$B6,Consulta!$C:$C,0),'MM01'!BX$2),"")=0,"",IFERROR(INDEX(Consulta!$A:$DF,MATCH('MM01'!$B6,Consulta!$C:$C,0),'MM01'!BX$2),""))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IF(IFERROR(INDEX(Consulta!$A:$DF,MATCH('MM01'!$B6,Consulta!$C:$C,0),'MM01'!CT$2),"")=0,"",IFERROR(INDEX(Consulta!$A:$DF,MATCH('MM01'!$B6,Consulta!$C:$C,0),'MM01'!CT$2),""))</f>
        <v/>
      </c>
      <c r="CU6" s="43" t="str">
        <f>IF(IFERROR(INDEX(Consulta!$A:$DF,MATCH('MM01'!$B6,Consulta!$C:$C,0),'MM01'!CU$2),"")=0,"",IFERROR(INDEX(Consulta!$A:$DF,MATCH('MM01'!$B6,Consulta!$C:$C,0),'MM01'!CU$2),""))</f>
        <v/>
      </c>
      <c r="CV6" s="43" t="str">
        <f>IF(IFERROR(INDEX(Consulta!$A:$DF,MATCH('MM01'!$B6,Consulta!$C:$C,0),'MM01'!CV$2),"")=0,"",IFERROR(INDEX(Consulta!$A:$DF,MATCH('MM01'!$B6,Consulta!$C:$C,0),'MM01'!CV$2),""))</f>
        <v/>
      </c>
      <c r="CW6" s="43" t="str">
        <f>IF(IFERROR(INDEX(Consulta!$A:$DF,MATCH('MM01'!$B6,Consulta!$C:$C,0),'MM01'!CW$2),"")=0,"",IFERROR(INDEX(Consulta!$A:$DF,MATCH('MM01'!$B6,Consulta!$C:$C,0),'MM01'!CW$2),""))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IF(IFERROR(INDEX(Consulta!$A:$DF,MATCH('MM01'!$B6,Consulta!$C:$C,0),'MM01'!DA$2),"")=0,"",IFERROR(INDEX(Consulta!$A:$DF,MATCH('MM01'!$B6,Consulta!$C:$C,0),'MM01'!DA$2),""))</f>
        <v/>
      </c>
      <c r="DB6" s="43" t="str">
        <f t="shared" ref="DB6:DB54" si="22">IF(E6=0,"",E6)</f>
        <v/>
      </c>
      <c r="DC6" s="43" t="str">
        <f>IF(IFERROR(INDEX(Consulta!$A:$DF,MATCH('MM01'!$B6,Consulta!$C:$C,0),'MM01'!DC$2),"")=0,"",IFERROR(INDEX(Consulta!$A:$DF,MATCH('MM01'!$B6,Consulta!$C:$C,0),'MM01'!DC$2),""))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5" t="s">
        <v>747</v>
      </c>
      <c r="DI6" s="43" t="str">
        <f t="shared" ref="DI6:DI54" ca="1" si="25">IF(DH6&lt;&gt;0,TEXT(TODAY(),"dd.mm.aaaa"),"")</f>
        <v>08.02.2022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5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5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5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IF(IFERROR(INDEX(Consulta!$A:$DF,MATCH('MM01'!$B6,Consulta!$C:$C,0),'MM01'!EB$2),"")=0,"7925",IF(IFERROR(INDEX(Consulta!$A:$DF,MATCH('MM01'!$B6,Consulta!$C:$C,0),'MM01'!EB$2),"")="68","7910","7925"))</f>
        <v>7925</v>
      </c>
      <c r="EC6" s="44">
        <v>100</v>
      </c>
      <c r="ED6" s="60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867</v>
      </c>
      <c r="EI6" s="45">
        <v>0</v>
      </c>
      <c r="EJ6" s="43">
        <f t="shared" ref="EJ6:EJ54" si="39">CS6</f>
        <v>5000</v>
      </c>
      <c r="EK6" s="65"/>
    </row>
    <row r="7" spans="1:141" x14ac:dyDescent="0.3">
      <c r="A7" s="7" t="str">
        <f t="shared" si="0"/>
        <v>Execução 3</v>
      </c>
      <c r="B7" s="42"/>
      <c r="C7" s="43" t="str">
        <f>IF(IFERROR(INDEX(Consulta!$A:$DF,MATCH('MM01'!$B7,Consulta!$C:$C,0),'MM01'!C$2),"")=0,"",IFERROR(INDEX(Consulta!$A:$DF,MATCH('MM01'!$B7,Consulta!$C:$C,0),'MM01'!C$2),""))</f>
        <v/>
      </c>
      <c r="D7" s="43" t="str">
        <f>IF(IFERROR(INDEX(Consulta!$A:$DF,MATCH('MM01'!$B7,Consulta!$C:$C,0),'MM01'!D$2),"")=0,"",IFERROR(INDEX(Consulta!$A:$DF,MATCH('MM01'!$B7,Consulta!$C:$C,0),'MM01'!D$2),""))</f>
        <v/>
      </c>
      <c r="E7" s="43" t="str">
        <f>IF(IFERROR(INDEX(Consulta!$A:$DF,MATCH('MM01'!$B7,Consulta!$C:$C,0),'MM01'!E$2),"")=0,"",IFERROR(INDEX(Consulta!$A:$DF,MATCH('MM01'!$B7,Consulta!$C:$C,0),'MM01'!E$2),""))</f>
        <v/>
      </c>
      <c r="F7" s="44" t="s">
        <v>100</v>
      </c>
      <c r="G7" s="49" t="str">
        <f>IF(IFERROR(INDEX(Consulta!$A:$DF,MATCH('MM01'!$B7,Consulta!$C:$C,0),'MM01'!G$2),"")=0,"",IFERROR(INDEX(Consulta!$A:$DF,MATCH('MM01'!$B7,Consulta!$C:$C,0),'MM01'!G$2),""))</f>
        <v/>
      </c>
      <c r="H7" s="49" t="str">
        <f>IF(IFERROR(INDEX(Consulta!$A:$DF,MATCH('MM01'!$B7,Consulta!$C:$C,0),'MM01'!H$2),"")=0,"",IFERROR(INDEX(Consulta!$A:$DF,MATCH('MM01'!$B7,Consulta!$C:$C,0),'MM01'!H$2),""))</f>
        <v/>
      </c>
      <c r="I7" s="49" t="str">
        <f t="shared" si="1"/>
        <v/>
      </c>
      <c r="J7" s="49" t="str">
        <f>IF(IFERROR(INDEX(Consulta!$A:$DF,MATCH('MM01'!$B7,Consulta!$C:$C,0),'MM01'!J$2),"")=0,"",IFERROR(INDEX(Consulta!$A:$DF,MATCH('MM01'!$B7,Consulta!$C:$C,0),'MM01'!J$2),""))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IF(IFERROR(INDEX(Consulta!$A:$DF,MATCH('MM01'!$B7,Consulta!$C:$C,0),'MM01'!AP$2),"")=0,"",IFERROR(INDEX(Consulta!$A:$DF,MATCH('MM01'!$B7,Consulta!$C:$C,0),'MM01'!AP$2),""))</f>
        <v/>
      </c>
      <c r="AQ7" s="45"/>
      <c r="AR7" s="43" t="str">
        <f>IF(IFERROR(INDEX(Consulta!$A:$DF,MATCH('MM01'!$B7,Consulta!$C:$C,0),'MM01'!AR$2),"")=0,"",IFERROR(INDEX(Consulta!$A:$DF,MATCH('MM01'!$B7,Consulta!$C:$C,0),'MM01'!AR$2),""))</f>
        <v/>
      </c>
      <c r="AS7" s="43" t="str">
        <f>IF(IFERROR(INDEX(Consulta!$A:$DF,MATCH('MM01'!$B7,Consulta!$C:$C,0),'MM01'!AS$2),"")=0,"",IF(AR7="68",5102,IFERROR(INDEX(Consulta!$A:$DF,MATCH('MM01'!$B7,Consulta!$C:$C,0),'MM01'!AS$2),"")))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IF(IFERROR(INDEX(Consulta!$A:$DF,MATCH('MM01'!$B7,Consulta!$C:$C,0),'MM01'!AW$2),"")=0,"",IFERROR(ROUND(INDEX(Consulta!$A:$DF,MATCH('MM01'!$B7,Consulta!$C:$C,0),'MM01'!AW$2),3),""))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IF(IFERROR(INDEX(Consulta!$A:$DF,MATCH('MM01'!$B7,Consulta!$C:$C,0),'MM01'!BA$2),"")=0,"",IFERROR(INDEX(Consulta!$A:$DF,MATCH('MM01'!$B7,Consulta!$C:$C,0),'MM01'!BA$2),""))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IF(IFERROR(INDEX(Consulta!$A:$DF,MATCH('MM01'!$B7,Consulta!$C:$C,0),'MM01'!BL$2),"")=0,"",IFERROR(INDEX(Consulta!$A:$DF,MATCH('MM01'!$B7,Consulta!$C:$C,0),'MM01'!BL$2),""))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IF(IFERROR(INDEX(Consulta!$A:$DF,MATCH('MM01'!$B7,Consulta!$C:$C,0),'MM01'!BX$2),"")=0,"",IFERROR(INDEX(Consulta!$A:$DF,MATCH('MM01'!$B7,Consulta!$C:$C,0),'MM01'!BX$2),""))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IF(IFERROR(INDEX(Consulta!$A:$DF,MATCH('MM01'!$B7,Consulta!$C:$C,0),'MM01'!CT$2),"")=0,"",IFERROR(INDEX(Consulta!$A:$DF,MATCH('MM01'!$B7,Consulta!$C:$C,0),'MM01'!CT$2),""))</f>
        <v/>
      </c>
      <c r="CU7" s="43" t="str">
        <f>IF(IFERROR(INDEX(Consulta!$A:$DF,MATCH('MM01'!$B7,Consulta!$C:$C,0),'MM01'!CU$2),"")=0,"",IFERROR(INDEX(Consulta!$A:$DF,MATCH('MM01'!$B7,Consulta!$C:$C,0),'MM01'!CU$2),""))</f>
        <v/>
      </c>
      <c r="CV7" s="43" t="str">
        <f>IF(IFERROR(INDEX(Consulta!$A:$DF,MATCH('MM01'!$B7,Consulta!$C:$C,0),'MM01'!CV$2),"")=0,"",IFERROR(INDEX(Consulta!$A:$DF,MATCH('MM01'!$B7,Consulta!$C:$C,0),'MM01'!CV$2),""))</f>
        <v/>
      </c>
      <c r="CW7" s="43" t="str">
        <f>IF(IFERROR(INDEX(Consulta!$A:$DF,MATCH('MM01'!$B7,Consulta!$C:$C,0),'MM01'!CW$2),"")=0,"",IFERROR(INDEX(Consulta!$A:$DF,MATCH('MM01'!$B7,Consulta!$C:$C,0),'MM01'!CW$2),""))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IF(IFERROR(INDEX(Consulta!$A:$DF,MATCH('MM01'!$B7,Consulta!$C:$C,0),'MM01'!DA$2),"")=0,"",IFERROR(INDEX(Consulta!$A:$DF,MATCH('MM01'!$B7,Consulta!$C:$C,0),'MM01'!DA$2),""))</f>
        <v/>
      </c>
      <c r="DB7" s="43" t="str">
        <f t="shared" si="22"/>
        <v/>
      </c>
      <c r="DC7" s="43" t="str">
        <f>IF(IFERROR(INDEX(Consulta!$A:$DF,MATCH('MM01'!$B7,Consulta!$C:$C,0),'MM01'!DC$2),"")=0,"",IFERROR(INDEX(Consulta!$A:$DF,MATCH('MM01'!$B7,Consulta!$C:$C,0),'MM01'!DC$2),""))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5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5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5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5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IF(IFERROR(INDEX(Consulta!$A:$DF,MATCH('MM01'!$B7,Consulta!$C:$C,0),'MM01'!EB$2),"")=0,"7925",IF(IFERROR(INDEX(Consulta!$A:$DF,MATCH('MM01'!$B7,Consulta!$C:$C,0),'MM01'!EB$2),"")="68","7910","7925"))</f>
        <v>7925</v>
      </c>
      <c r="EC7" s="44">
        <v>100</v>
      </c>
      <c r="ED7" s="60">
        <v>1</v>
      </c>
      <c r="EE7" s="43">
        <f t="shared" si="38"/>
        <v>100</v>
      </c>
      <c r="EF7" s="44">
        <v>1</v>
      </c>
      <c r="EG7" s="44">
        <v>0</v>
      </c>
      <c r="EH7" s="44" t="s">
        <v>867</v>
      </c>
      <c r="EI7" s="45">
        <v>0</v>
      </c>
      <c r="EJ7" s="43">
        <f t="shared" si="39"/>
        <v>5000</v>
      </c>
      <c r="EK7" s="65"/>
    </row>
    <row r="8" spans="1:141" x14ac:dyDescent="0.3">
      <c r="A8" s="7" t="str">
        <f t="shared" si="0"/>
        <v>Execução 4</v>
      </c>
      <c r="B8" s="42"/>
      <c r="C8" s="43" t="str">
        <f>IF(IFERROR(INDEX(Consulta!$A:$DF,MATCH('MM01'!$B8,Consulta!$C:$C,0),'MM01'!C$2),"")=0,"",IFERROR(INDEX(Consulta!$A:$DF,MATCH('MM01'!$B8,Consulta!$C:$C,0),'MM01'!C$2),""))</f>
        <v/>
      </c>
      <c r="D8" s="43" t="str">
        <f>IF(IFERROR(INDEX(Consulta!$A:$DF,MATCH('MM01'!$B8,Consulta!$C:$C,0),'MM01'!D$2),"")=0,"",IFERROR(INDEX(Consulta!$A:$DF,MATCH('MM01'!$B8,Consulta!$C:$C,0),'MM01'!D$2),""))</f>
        <v/>
      </c>
      <c r="E8" s="43" t="str">
        <f>IF(IFERROR(INDEX(Consulta!$A:$DF,MATCH('MM01'!$B8,Consulta!$C:$C,0),'MM01'!E$2),"")=0,"",IFERROR(INDEX(Consulta!$A:$DF,MATCH('MM01'!$B8,Consulta!$C:$C,0),'MM01'!E$2),""))</f>
        <v/>
      </c>
      <c r="F8" s="44" t="s">
        <v>100</v>
      </c>
      <c r="G8" s="49" t="str">
        <f>IF(IFERROR(INDEX(Consulta!$A:$DF,MATCH('MM01'!$B8,Consulta!$C:$C,0),'MM01'!G$2),"")=0,"",IFERROR(INDEX(Consulta!$A:$DF,MATCH('MM01'!$B8,Consulta!$C:$C,0),'MM01'!G$2),""))</f>
        <v/>
      </c>
      <c r="H8" s="49" t="str">
        <f>IF(IFERROR(INDEX(Consulta!$A:$DF,MATCH('MM01'!$B8,Consulta!$C:$C,0),'MM01'!H$2),"")=0,"",IFERROR(INDEX(Consulta!$A:$DF,MATCH('MM01'!$B8,Consulta!$C:$C,0),'MM01'!H$2),""))</f>
        <v/>
      </c>
      <c r="I8" s="49" t="str">
        <f t="shared" si="1"/>
        <v/>
      </c>
      <c r="J8" s="49" t="str">
        <f>IF(IFERROR(INDEX(Consulta!$A:$DF,MATCH('MM01'!$B8,Consulta!$C:$C,0),'MM01'!J$2),"")=0,"",IFERROR(INDEX(Consulta!$A:$DF,MATCH('MM01'!$B8,Consulta!$C:$C,0),'MM01'!J$2),""))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IF(IFERROR(INDEX(Consulta!$A:$DF,MATCH('MM01'!$B8,Consulta!$C:$C,0),'MM01'!AP$2),"")=0,"",IFERROR(INDEX(Consulta!$A:$DF,MATCH('MM01'!$B8,Consulta!$C:$C,0),'MM01'!AP$2),""))</f>
        <v/>
      </c>
      <c r="AQ8" s="45"/>
      <c r="AR8" s="43" t="str">
        <f>IF(IFERROR(INDEX(Consulta!$A:$DF,MATCH('MM01'!$B8,Consulta!$C:$C,0),'MM01'!AR$2),"")=0,"",IFERROR(INDEX(Consulta!$A:$DF,MATCH('MM01'!$B8,Consulta!$C:$C,0),'MM01'!AR$2),""))</f>
        <v/>
      </c>
      <c r="AS8" s="43" t="str">
        <f>IF(IFERROR(INDEX(Consulta!$A:$DF,MATCH('MM01'!$B8,Consulta!$C:$C,0),'MM01'!AS$2),"")=0,"",IF(AR8="68",5102,IFERROR(INDEX(Consulta!$A:$DF,MATCH('MM01'!$B8,Consulta!$C:$C,0),'MM01'!AS$2),"")))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IF(IFERROR(INDEX(Consulta!$A:$DF,MATCH('MM01'!$B8,Consulta!$C:$C,0),'MM01'!AW$2),"")=0,"",IFERROR(ROUND(INDEX(Consulta!$A:$DF,MATCH('MM01'!$B8,Consulta!$C:$C,0),'MM01'!AW$2),3),""))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IF(IFERROR(INDEX(Consulta!$A:$DF,MATCH('MM01'!$B8,Consulta!$C:$C,0),'MM01'!BA$2),"")=0,"",IFERROR(INDEX(Consulta!$A:$DF,MATCH('MM01'!$B8,Consulta!$C:$C,0),'MM01'!BA$2),""))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IF(IFERROR(INDEX(Consulta!$A:$DF,MATCH('MM01'!$B8,Consulta!$C:$C,0),'MM01'!BL$2),"")=0,"",IFERROR(INDEX(Consulta!$A:$DF,MATCH('MM01'!$B8,Consulta!$C:$C,0),'MM01'!BL$2),""))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IF(IFERROR(INDEX(Consulta!$A:$DF,MATCH('MM01'!$B8,Consulta!$C:$C,0),'MM01'!BX$2),"")=0,"",IFERROR(INDEX(Consulta!$A:$DF,MATCH('MM01'!$B8,Consulta!$C:$C,0),'MM01'!BX$2),""))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IF(IFERROR(INDEX(Consulta!$A:$DF,MATCH('MM01'!$B8,Consulta!$C:$C,0),'MM01'!CT$2),"")=0,"",IFERROR(INDEX(Consulta!$A:$DF,MATCH('MM01'!$B8,Consulta!$C:$C,0),'MM01'!CT$2),""))</f>
        <v/>
      </c>
      <c r="CU8" s="43" t="str">
        <f>IF(IFERROR(INDEX(Consulta!$A:$DF,MATCH('MM01'!$B8,Consulta!$C:$C,0),'MM01'!CU$2),"")=0,"",IFERROR(INDEX(Consulta!$A:$DF,MATCH('MM01'!$B8,Consulta!$C:$C,0),'MM01'!CU$2),""))</f>
        <v/>
      </c>
      <c r="CV8" s="43" t="str">
        <f>IF(IFERROR(INDEX(Consulta!$A:$DF,MATCH('MM01'!$B8,Consulta!$C:$C,0),'MM01'!CV$2),"")=0,"",IFERROR(INDEX(Consulta!$A:$DF,MATCH('MM01'!$B8,Consulta!$C:$C,0),'MM01'!CV$2),""))</f>
        <v/>
      </c>
      <c r="CW8" s="43" t="str">
        <f>IF(IFERROR(INDEX(Consulta!$A:$DF,MATCH('MM01'!$B8,Consulta!$C:$C,0),'MM01'!CW$2),"")=0,"",IFERROR(INDEX(Consulta!$A:$DF,MATCH('MM01'!$B8,Consulta!$C:$C,0),'MM01'!CW$2),""))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IF(IFERROR(INDEX(Consulta!$A:$DF,MATCH('MM01'!$B8,Consulta!$C:$C,0),'MM01'!DA$2),"")=0,"",IFERROR(INDEX(Consulta!$A:$DF,MATCH('MM01'!$B8,Consulta!$C:$C,0),'MM01'!DA$2),""))</f>
        <v/>
      </c>
      <c r="DB8" s="43" t="str">
        <f t="shared" si="22"/>
        <v/>
      </c>
      <c r="DC8" s="43" t="str">
        <f>IF(IFERROR(INDEX(Consulta!$A:$DF,MATCH('MM01'!$B8,Consulta!$C:$C,0),'MM01'!DC$2),"")=0,"",IFERROR(INDEX(Consulta!$A:$DF,MATCH('MM01'!$B8,Consulta!$C:$C,0),'MM01'!DC$2),""))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5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5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5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5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IF(IFERROR(INDEX(Consulta!$A:$DF,MATCH('MM01'!$B8,Consulta!$C:$C,0),'MM01'!EB$2),"")=0,"7925",IF(IFERROR(INDEX(Consulta!$A:$DF,MATCH('MM01'!$B8,Consulta!$C:$C,0),'MM01'!EB$2),"")="68","7910","7925"))</f>
        <v>7925</v>
      </c>
      <c r="EC8" s="44">
        <v>100</v>
      </c>
      <c r="ED8" s="60">
        <v>1</v>
      </c>
      <c r="EE8" s="43">
        <f t="shared" si="38"/>
        <v>100</v>
      </c>
      <c r="EF8" s="44">
        <v>1</v>
      </c>
      <c r="EG8" s="44">
        <v>0</v>
      </c>
      <c r="EH8" s="44" t="s">
        <v>867</v>
      </c>
      <c r="EI8" s="45">
        <v>0</v>
      </c>
      <c r="EJ8" s="43">
        <f t="shared" si="39"/>
        <v>5000</v>
      </c>
      <c r="EK8" s="65"/>
    </row>
    <row r="9" spans="1:141" x14ac:dyDescent="0.3">
      <c r="A9" s="7" t="str">
        <f t="shared" si="0"/>
        <v>Execução 5</v>
      </c>
      <c r="B9" s="42"/>
      <c r="C9" s="43" t="str">
        <f>IF(IFERROR(INDEX(Consulta!$A:$DF,MATCH('MM01'!$B9,Consulta!$C:$C,0),'MM01'!C$2),"")=0,"",IFERROR(INDEX(Consulta!$A:$DF,MATCH('MM01'!$B9,Consulta!$C:$C,0),'MM01'!C$2),""))</f>
        <v/>
      </c>
      <c r="D9" s="43" t="str">
        <f>IF(IFERROR(INDEX(Consulta!$A:$DF,MATCH('MM01'!$B9,Consulta!$C:$C,0),'MM01'!D$2),"")=0,"",IFERROR(INDEX(Consulta!$A:$DF,MATCH('MM01'!$B9,Consulta!$C:$C,0),'MM01'!D$2),""))</f>
        <v/>
      </c>
      <c r="E9" s="43" t="str">
        <f>IF(IFERROR(INDEX(Consulta!$A:$DF,MATCH('MM01'!$B9,Consulta!$C:$C,0),'MM01'!E$2),"")=0,"",IFERROR(INDEX(Consulta!$A:$DF,MATCH('MM01'!$B9,Consulta!$C:$C,0),'MM01'!E$2),""))</f>
        <v/>
      </c>
      <c r="F9" s="44" t="s">
        <v>100</v>
      </c>
      <c r="G9" s="49" t="str">
        <f>IF(IFERROR(INDEX(Consulta!$A:$DF,MATCH('MM01'!$B9,Consulta!$C:$C,0),'MM01'!G$2),"")=0,"",IFERROR(INDEX(Consulta!$A:$DF,MATCH('MM01'!$B9,Consulta!$C:$C,0),'MM01'!G$2),""))</f>
        <v/>
      </c>
      <c r="H9" s="49" t="str">
        <f>IF(IFERROR(INDEX(Consulta!$A:$DF,MATCH('MM01'!$B9,Consulta!$C:$C,0),'MM01'!H$2),"")=0,"",IFERROR(INDEX(Consulta!$A:$DF,MATCH('MM01'!$B9,Consulta!$C:$C,0),'MM01'!H$2),""))</f>
        <v/>
      </c>
      <c r="I9" s="49" t="str">
        <f t="shared" si="1"/>
        <v/>
      </c>
      <c r="J9" s="49" t="str">
        <f>IF(IFERROR(INDEX(Consulta!$A:$DF,MATCH('MM01'!$B9,Consulta!$C:$C,0),'MM01'!J$2),"")=0,"",IFERROR(INDEX(Consulta!$A:$DF,MATCH('MM01'!$B9,Consulta!$C:$C,0),'MM01'!J$2),""))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IF(IFERROR(INDEX(Consulta!$A:$DF,MATCH('MM01'!$B9,Consulta!$C:$C,0),'MM01'!AP$2),"")=0,"",IFERROR(INDEX(Consulta!$A:$DF,MATCH('MM01'!$B9,Consulta!$C:$C,0),'MM01'!AP$2),""))</f>
        <v/>
      </c>
      <c r="AQ9" s="45"/>
      <c r="AR9" s="43" t="str">
        <f>IF(IFERROR(INDEX(Consulta!$A:$DF,MATCH('MM01'!$B9,Consulta!$C:$C,0),'MM01'!AR$2),"")=0,"",IFERROR(INDEX(Consulta!$A:$DF,MATCH('MM01'!$B9,Consulta!$C:$C,0),'MM01'!AR$2),""))</f>
        <v/>
      </c>
      <c r="AS9" s="43" t="str">
        <f>IF(IFERROR(INDEX(Consulta!$A:$DF,MATCH('MM01'!$B9,Consulta!$C:$C,0),'MM01'!AS$2),"")=0,"",IF(AR9="68",5102,IFERROR(INDEX(Consulta!$A:$DF,MATCH('MM01'!$B9,Consulta!$C:$C,0),'MM01'!AS$2),"")))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IF(IFERROR(INDEX(Consulta!$A:$DF,MATCH('MM01'!$B9,Consulta!$C:$C,0),'MM01'!AW$2),"")=0,"",IFERROR(ROUND(INDEX(Consulta!$A:$DF,MATCH('MM01'!$B9,Consulta!$C:$C,0),'MM01'!AW$2),3),""))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IF(IFERROR(INDEX(Consulta!$A:$DF,MATCH('MM01'!$B9,Consulta!$C:$C,0),'MM01'!BA$2),"")=0,"",IFERROR(INDEX(Consulta!$A:$DF,MATCH('MM01'!$B9,Consulta!$C:$C,0),'MM01'!BA$2),""))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IF(IFERROR(INDEX(Consulta!$A:$DF,MATCH('MM01'!$B9,Consulta!$C:$C,0),'MM01'!BL$2),"")=0,"",IFERROR(INDEX(Consulta!$A:$DF,MATCH('MM01'!$B9,Consulta!$C:$C,0),'MM01'!BL$2),""))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IF(IFERROR(INDEX(Consulta!$A:$DF,MATCH('MM01'!$B9,Consulta!$C:$C,0),'MM01'!BX$2),"")=0,"",IFERROR(INDEX(Consulta!$A:$DF,MATCH('MM01'!$B9,Consulta!$C:$C,0),'MM01'!BX$2),""))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IF(IFERROR(INDEX(Consulta!$A:$DF,MATCH('MM01'!$B9,Consulta!$C:$C,0),'MM01'!CT$2),"")=0,"",IFERROR(INDEX(Consulta!$A:$DF,MATCH('MM01'!$B9,Consulta!$C:$C,0),'MM01'!CT$2),""))</f>
        <v/>
      </c>
      <c r="CU9" s="43" t="str">
        <f>IF(IFERROR(INDEX(Consulta!$A:$DF,MATCH('MM01'!$B9,Consulta!$C:$C,0),'MM01'!CU$2),"")=0,"",IFERROR(INDEX(Consulta!$A:$DF,MATCH('MM01'!$B9,Consulta!$C:$C,0),'MM01'!CU$2),""))</f>
        <v/>
      </c>
      <c r="CV9" s="43" t="str">
        <f>IF(IFERROR(INDEX(Consulta!$A:$DF,MATCH('MM01'!$B9,Consulta!$C:$C,0),'MM01'!CV$2),"")=0,"",IFERROR(INDEX(Consulta!$A:$DF,MATCH('MM01'!$B9,Consulta!$C:$C,0),'MM01'!CV$2),""))</f>
        <v/>
      </c>
      <c r="CW9" s="43" t="str">
        <f>IF(IFERROR(INDEX(Consulta!$A:$DF,MATCH('MM01'!$B9,Consulta!$C:$C,0),'MM01'!CW$2),"")=0,"",IFERROR(INDEX(Consulta!$A:$DF,MATCH('MM01'!$B9,Consulta!$C:$C,0),'MM01'!CW$2),""))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IF(IFERROR(INDEX(Consulta!$A:$DF,MATCH('MM01'!$B9,Consulta!$C:$C,0),'MM01'!DA$2),"")=0,"",IFERROR(INDEX(Consulta!$A:$DF,MATCH('MM01'!$B9,Consulta!$C:$C,0),'MM01'!DA$2),""))</f>
        <v/>
      </c>
      <c r="DB9" s="43" t="str">
        <f t="shared" si="22"/>
        <v/>
      </c>
      <c r="DC9" s="43" t="str">
        <f>IF(IFERROR(INDEX(Consulta!$A:$DF,MATCH('MM01'!$B9,Consulta!$C:$C,0),'MM01'!DC$2),"")=0,"",IFERROR(INDEX(Consulta!$A:$DF,MATCH('MM01'!$B9,Consulta!$C:$C,0),'MM01'!DC$2),""))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5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5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5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5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IF(IFERROR(INDEX(Consulta!$A:$DF,MATCH('MM01'!$B9,Consulta!$C:$C,0),'MM01'!EB$2),"")=0,"7925",IF(IFERROR(INDEX(Consulta!$A:$DF,MATCH('MM01'!$B9,Consulta!$C:$C,0),'MM01'!EB$2),"")="68","7910","7925"))</f>
        <v>7925</v>
      </c>
      <c r="EC9" s="44">
        <v>100</v>
      </c>
      <c r="ED9" s="60">
        <v>1</v>
      </c>
      <c r="EE9" s="43">
        <f t="shared" si="38"/>
        <v>100</v>
      </c>
      <c r="EF9" s="44">
        <v>1</v>
      </c>
      <c r="EG9" s="44">
        <v>0</v>
      </c>
      <c r="EH9" s="44" t="s">
        <v>867</v>
      </c>
      <c r="EI9" s="45">
        <v>0</v>
      </c>
      <c r="EJ9" s="43">
        <f t="shared" si="39"/>
        <v>5000</v>
      </c>
      <c r="EK9" s="65"/>
    </row>
    <row r="10" spans="1:141" x14ac:dyDescent="0.3">
      <c r="A10" s="7" t="str">
        <f t="shared" si="0"/>
        <v>Execução 6</v>
      </c>
      <c r="B10" s="42"/>
      <c r="C10" s="43" t="str">
        <f>IF(IFERROR(INDEX(Consulta!$A:$DF,MATCH('MM01'!$B10,Consulta!$C:$C,0),'MM01'!C$2),"")=0,"",IFERROR(INDEX(Consulta!$A:$DF,MATCH('MM01'!$B10,Consulta!$C:$C,0),'MM01'!C$2),""))</f>
        <v/>
      </c>
      <c r="D10" s="43" t="str">
        <f>IF(IFERROR(INDEX(Consulta!$A:$DF,MATCH('MM01'!$B10,Consulta!$C:$C,0),'MM01'!D$2),"")=0,"",IFERROR(INDEX(Consulta!$A:$DF,MATCH('MM01'!$B10,Consulta!$C:$C,0),'MM01'!D$2),""))</f>
        <v/>
      </c>
      <c r="E10" s="43" t="str">
        <f>IF(IFERROR(INDEX(Consulta!$A:$DF,MATCH('MM01'!$B10,Consulta!$C:$C,0),'MM01'!E$2),"")=0,"",IFERROR(INDEX(Consulta!$A:$DF,MATCH('MM01'!$B10,Consulta!$C:$C,0),'MM01'!E$2),""))</f>
        <v/>
      </c>
      <c r="F10" s="44" t="s">
        <v>100</v>
      </c>
      <c r="G10" s="49" t="str">
        <f>IF(IFERROR(INDEX(Consulta!$A:$DF,MATCH('MM01'!$B10,Consulta!$C:$C,0),'MM01'!G$2),"")=0,"",IFERROR(INDEX(Consulta!$A:$DF,MATCH('MM01'!$B10,Consulta!$C:$C,0),'MM01'!G$2),""))</f>
        <v/>
      </c>
      <c r="H10" s="49" t="str">
        <f>IF(IFERROR(INDEX(Consulta!$A:$DF,MATCH('MM01'!$B10,Consulta!$C:$C,0),'MM01'!H$2),"")=0,"",IFERROR(INDEX(Consulta!$A:$DF,MATCH('MM01'!$B10,Consulta!$C:$C,0),'MM01'!H$2),""))</f>
        <v/>
      </c>
      <c r="I10" s="49" t="str">
        <f t="shared" si="1"/>
        <v/>
      </c>
      <c r="J10" s="49" t="str">
        <f>IF(IFERROR(INDEX(Consulta!$A:$DF,MATCH('MM01'!$B10,Consulta!$C:$C,0),'MM01'!J$2),"")=0,"",IFERROR(INDEX(Consulta!$A:$DF,MATCH('MM01'!$B10,Consulta!$C:$C,0),'MM01'!J$2),""))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IF(IFERROR(INDEX(Consulta!$A:$DF,MATCH('MM01'!$B10,Consulta!$C:$C,0),'MM01'!AP$2),"")=0,"",IFERROR(INDEX(Consulta!$A:$DF,MATCH('MM01'!$B10,Consulta!$C:$C,0),'MM01'!AP$2),""))</f>
        <v/>
      </c>
      <c r="AQ10" s="45"/>
      <c r="AR10" s="43" t="str">
        <f>IF(IFERROR(INDEX(Consulta!$A:$DF,MATCH('MM01'!$B10,Consulta!$C:$C,0),'MM01'!AR$2),"")=0,"",IFERROR(INDEX(Consulta!$A:$DF,MATCH('MM01'!$B10,Consulta!$C:$C,0),'MM01'!AR$2),""))</f>
        <v/>
      </c>
      <c r="AS10" s="43" t="str">
        <f>IF(IFERROR(INDEX(Consulta!$A:$DF,MATCH('MM01'!$B10,Consulta!$C:$C,0),'MM01'!AS$2),"")=0,"",IF(AR10="68",5102,IFERROR(INDEX(Consulta!$A:$DF,MATCH('MM01'!$B10,Consulta!$C:$C,0),'MM01'!AS$2),"")))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IF(IFERROR(INDEX(Consulta!$A:$DF,MATCH('MM01'!$B10,Consulta!$C:$C,0),'MM01'!AW$2),"")=0,"",IFERROR(ROUND(INDEX(Consulta!$A:$DF,MATCH('MM01'!$B10,Consulta!$C:$C,0),'MM01'!AW$2),3),""))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IF(IFERROR(INDEX(Consulta!$A:$DF,MATCH('MM01'!$B10,Consulta!$C:$C,0),'MM01'!BA$2),"")=0,"",IFERROR(INDEX(Consulta!$A:$DF,MATCH('MM01'!$B10,Consulta!$C:$C,0),'MM01'!BA$2),""))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IF(IFERROR(INDEX(Consulta!$A:$DF,MATCH('MM01'!$B10,Consulta!$C:$C,0),'MM01'!BL$2),"")=0,"",IFERROR(INDEX(Consulta!$A:$DF,MATCH('MM01'!$B10,Consulta!$C:$C,0),'MM01'!BL$2),""))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IF(IFERROR(INDEX(Consulta!$A:$DF,MATCH('MM01'!$B10,Consulta!$C:$C,0),'MM01'!BX$2),"")=0,"",IFERROR(INDEX(Consulta!$A:$DF,MATCH('MM01'!$B10,Consulta!$C:$C,0),'MM01'!BX$2),""))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IF(IFERROR(INDEX(Consulta!$A:$DF,MATCH('MM01'!$B10,Consulta!$C:$C,0),'MM01'!CT$2),"")=0,"",IFERROR(INDEX(Consulta!$A:$DF,MATCH('MM01'!$B10,Consulta!$C:$C,0),'MM01'!CT$2),""))</f>
        <v/>
      </c>
      <c r="CU10" s="43" t="str">
        <f>IF(IFERROR(INDEX(Consulta!$A:$DF,MATCH('MM01'!$B10,Consulta!$C:$C,0),'MM01'!CU$2),"")=0,"",IFERROR(INDEX(Consulta!$A:$DF,MATCH('MM01'!$B10,Consulta!$C:$C,0),'MM01'!CU$2),""))</f>
        <v/>
      </c>
      <c r="CV10" s="43" t="str">
        <f>IF(IFERROR(INDEX(Consulta!$A:$DF,MATCH('MM01'!$B10,Consulta!$C:$C,0),'MM01'!CV$2),"")=0,"",IFERROR(INDEX(Consulta!$A:$DF,MATCH('MM01'!$B10,Consulta!$C:$C,0),'MM01'!CV$2),""))</f>
        <v/>
      </c>
      <c r="CW10" s="43" t="str">
        <f>IF(IFERROR(INDEX(Consulta!$A:$DF,MATCH('MM01'!$B10,Consulta!$C:$C,0),'MM01'!CW$2),"")=0,"",IFERROR(INDEX(Consulta!$A:$DF,MATCH('MM01'!$B10,Consulta!$C:$C,0),'MM01'!CW$2),""))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IF(IFERROR(INDEX(Consulta!$A:$DF,MATCH('MM01'!$B10,Consulta!$C:$C,0),'MM01'!DA$2),"")=0,"",IFERROR(INDEX(Consulta!$A:$DF,MATCH('MM01'!$B10,Consulta!$C:$C,0),'MM01'!DA$2),""))</f>
        <v/>
      </c>
      <c r="DB10" s="43" t="str">
        <f t="shared" si="22"/>
        <v/>
      </c>
      <c r="DC10" s="43" t="str">
        <f>IF(IFERROR(INDEX(Consulta!$A:$DF,MATCH('MM01'!$B10,Consulta!$C:$C,0),'MM01'!DC$2),"")=0,"",IFERROR(INDEX(Consulta!$A:$DF,MATCH('MM01'!$B10,Consulta!$C:$C,0),'MM01'!DC$2),""))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5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5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5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5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IF(IFERROR(INDEX(Consulta!$A:$DF,MATCH('MM01'!$B10,Consulta!$C:$C,0),'MM01'!EB$2),"")=0,"7925",IF(IFERROR(INDEX(Consulta!$A:$DF,MATCH('MM01'!$B10,Consulta!$C:$C,0),'MM01'!EB$2),"")="68","7910","7925"))</f>
        <v>7925</v>
      </c>
      <c r="EC10" s="44">
        <v>100</v>
      </c>
      <c r="ED10" s="60">
        <v>1</v>
      </c>
      <c r="EE10" s="43">
        <f t="shared" si="38"/>
        <v>100</v>
      </c>
      <c r="EF10" s="44">
        <v>1</v>
      </c>
      <c r="EG10" s="44">
        <v>0</v>
      </c>
      <c r="EH10" s="44" t="s">
        <v>867</v>
      </c>
      <c r="EI10" s="45">
        <v>0</v>
      </c>
      <c r="EJ10" s="43">
        <f t="shared" si="39"/>
        <v>5000</v>
      </c>
      <c r="EK10" s="65"/>
    </row>
    <row r="11" spans="1:141" x14ac:dyDescent="0.3">
      <c r="A11" s="7" t="str">
        <f t="shared" si="0"/>
        <v>Execução 7</v>
      </c>
      <c r="B11" s="42"/>
      <c r="C11" s="43" t="str">
        <f>IF(IFERROR(INDEX(Consulta!$A:$DF,MATCH('MM01'!$B11,Consulta!$C:$C,0),'MM01'!C$2),"")=0,"",IFERROR(INDEX(Consulta!$A:$DF,MATCH('MM01'!$B11,Consulta!$C:$C,0),'MM01'!C$2),""))</f>
        <v/>
      </c>
      <c r="D11" s="43" t="str">
        <f>IF(IFERROR(INDEX(Consulta!$A:$DF,MATCH('MM01'!$B11,Consulta!$C:$C,0),'MM01'!D$2),"")=0,"",IFERROR(INDEX(Consulta!$A:$DF,MATCH('MM01'!$B11,Consulta!$C:$C,0),'MM01'!D$2),""))</f>
        <v/>
      </c>
      <c r="E11" s="43" t="str">
        <f>IF(IFERROR(INDEX(Consulta!$A:$DF,MATCH('MM01'!$B11,Consulta!$C:$C,0),'MM01'!E$2),"")=0,"",IFERROR(INDEX(Consulta!$A:$DF,MATCH('MM01'!$B11,Consulta!$C:$C,0),'MM01'!E$2),""))</f>
        <v/>
      </c>
      <c r="F11" s="44" t="s">
        <v>100</v>
      </c>
      <c r="G11" s="49" t="str">
        <f>IF(IFERROR(INDEX(Consulta!$A:$DF,MATCH('MM01'!$B11,Consulta!$C:$C,0),'MM01'!G$2),"")=0,"",IFERROR(INDEX(Consulta!$A:$DF,MATCH('MM01'!$B11,Consulta!$C:$C,0),'MM01'!G$2),""))</f>
        <v/>
      </c>
      <c r="H11" s="49" t="str">
        <f>IF(IFERROR(INDEX(Consulta!$A:$DF,MATCH('MM01'!$B11,Consulta!$C:$C,0),'MM01'!H$2),"")=0,"",IFERROR(INDEX(Consulta!$A:$DF,MATCH('MM01'!$B11,Consulta!$C:$C,0),'MM01'!H$2),""))</f>
        <v/>
      </c>
      <c r="I11" s="49" t="str">
        <f t="shared" si="1"/>
        <v/>
      </c>
      <c r="J11" s="49" t="str">
        <f>IF(IFERROR(INDEX(Consulta!$A:$DF,MATCH('MM01'!$B11,Consulta!$C:$C,0),'MM01'!J$2),"")=0,"",IFERROR(INDEX(Consulta!$A:$DF,MATCH('MM01'!$B11,Consulta!$C:$C,0),'MM01'!J$2),""))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IF(IFERROR(INDEX(Consulta!$A:$DF,MATCH('MM01'!$B11,Consulta!$C:$C,0),'MM01'!AP$2),"")=0,"",IFERROR(INDEX(Consulta!$A:$DF,MATCH('MM01'!$B11,Consulta!$C:$C,0),'MM01'!AP$2),""))</f>
        <v/>
      </c>
      <c r="AQ11" s="45"/>
      <c r="AR11" s="43" t="str">
        <f>IF(IFERROR(INDEX(Consulta!$A:$DF,MATCH('MM01'!$B11,Consulta!$C:$C,0),'MM01'!AR$2),"")=0,"",IFERROR(INDEX(Consulta!$A:$DF,MATCH('MM01'!$B11,Consulta!$C:$C,0),'MM01'!AR$2),""))</f>
        <v/>
      </c>
      <c r="AS11" s="43" t="str">
        <f>IF(IFERROR(INDEX(Consulta!$A:$DF,MATCH('MM01'!$B11,Consulta!$C:$C,0),'MM01'!AS$2),"")=0,"",IF(AR11="68",5102,IFERROR(INDEX(Consulta!$A:$DF,MATCH('MM01'!$B11,Consulta!$C:$C,0),'MM01'!AS$2),"")))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IF(IFERROR(INDEX(Consulta!$A:$DF,MATCH('MM01'!$B11,Consulta!$C:$C,0),'MM01'!AW$2),"")=0,"",IFERROR(ROUND(INDEX(Consulta!$A:$DF,MATCH('MM01'!$B11,Consulta!$C:$C,0),'MM01'!AW$2),3),""))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IF(IFERROR(INDEX(Consulta!$A:$DF,MATCH('MM01'!$B11,Consulta!$C:$C,0),'MM01'!BA$2),"")=0,"",IFERROR(INDEX(Consulta!$A:$DF,MATCH('MM01'!$B11,Consulta!$C:$C,0),'MM01'!BA$2),""))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IF(IFERROR(INDEX(Consulta!$A:$DF,MATCH('MM01'!$B11,Consulta!$C:$C,0),'MM01'!BL$2),"")=0,"",IFERROR(INDEX(Consulta!$A:$DF,MATCH('MM01'!$B11,Consulta!$C:$C,0),'MM01'!BL$2),""))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IF(IFERROR(INDEX(Consulta!$A:$DF,MATCH('MM01'!$B11,Consulta!$C:$C,0),'MM01'!BX$2),"")=0,"",IFERROR(INDEX(Consulta!$A:$DF,MATCH('MM01'!$B11,Consulta!$C:$C,0),'MM01'!BX$2),""))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IF(IFERROR(INDEX(Consulta!$A:$DF,MATCH('MM01'!$B11,Consulta!$C:$C,0),'MM01'!CT$2),"")=0,"",IFERROR(INDEX(Consulta!$A:$DF,MATCH('MM01'!$B11,Consulta!$C:$C,0),'MM01'!CT$2),""))</f>
        <v/>
      </c>
      <c r="CU11" s="43" t="str">
        <f>IF(IFERROR(INDEX(Consulta!$A:$DF,MATCH('MM01'!$B11,Consulta!$C:$C,0),'MM01'!CU$2),"")=0,"",IFERROR(INDEX(Consulta!$A:$DF,MATCH('MM01'!$B11,Consulta!$C:$C,0),'MM01'!CU$2),""))</f>
        <v/>
      </c>
      <c r="CV11" s="43" t="str">
        <f>IF(IFERROR(INDEX(Consulta!$A:$DF,MATCH('MM01'!$B11,Consulta!$C:$C,0),'MM01'!CV$2),"")=0,"",IFERROR(INDEX(Consulta!$A:$DF,MATCH('MM01'!$B11,Consulta!$C:$C,0),'MM01'!CV$2),""))</f>
        <v/>
      </c>
      <c r="CW11" s="43" t="str">
        <f>IF(IFERROR(INDEX(Consulta!$A:$DF,MATCH('MM01'!$B11,Consulta!$C:$C,0),'MM01'!CW$2),"")=0,"",IFERROR(INDEX(Consulta!$A:$DF,MATCH('MM01'!$B11,Consulta!$C:$C,0),'MM01'!CW$2),""))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IF(IFERROR(INDEX(Consulta!$A:$DF,MATCH('MM01'!$B11,Consulta!$C:$C,0),'MM01'!DA$2),"")=0,"",IFERROR(INDEX(Consulta!$A:$DF,MATCH('MM01'!$B11,Consulta!$C:$C,0),'MM01'!DA$2),""))</f>
        <v/>
      </c>
      <c r="DB11" s="43" t="str">
        <f t="shared" si="22"/>
        <v/>
      </c>
      <c r="DC11" s="43" t="str">
        <f>IF(IFERROR(INDEX(Consulta!$A:$DF,MATCH('MM01'!$B11,Consulta!$C:$C,0),'MM01'!DC$2),"")=0,"",IFERROR(INDEX(Consulta!$A:$DF,MATCH('MM01'!$B11,Consulta!$C:$C,0),'MM01'!DC$2),""))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5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5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5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5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IF(IFERROR(INDEX(Consulta!$A:$DF,MATCH('MM01'!$B11,Consulta!$C:$C,0),'MM01'!EB$2),"")=0,"7925",IF(IFERROR(INDEX(Consulta!$A:$DF,MATCH('MM01'!$B11,Consulta!$C:$C,0),'MM01'!EB$2),"")="68","7910","7925"))</f>
        <v>7925</v>
      </c>
      <c r="EC11" s="44">
        <v>100</v>
      </c>
      <c r="ED11" s="60">
        <v>1</v>
      </c>
      <c r="EE11" s="43">
        <f t="shared" si="38"/>
        <v>100</v>
      </c>
      <c r="EF11" s="44">
        <v>1</v>
      </c>
      <c r="EG11" s="44">
        <v>0</v>
      </c>
      <c r="EH11" s="44" t="s">
        <v>867</v>
      </c>
      <c r="EI11" s="45">
        <v>0</v>
      </c>
      <c r="EJ11" s="43">
        <f t="shared" si="39"/>
        <v>5000</v>
      </c>
      <c r="EK11" s="65"/>
    </row>
    <row r="12" spans="1:141" x14ac:dyDescent="0.3">
      <c r="A12" s="7" t="str">
        <f t="shared" si="0"/>
        <v>Execução 8</v>
      </c>
      <c r="B12" s="42"/>
      <c r="C12" s="43" t="str">
        <f>IF(IFERROR(INDEX(Consulta!$A:$DF,MATCH('MM01'!$B12,Consulta!$C:$C,0),'MM01'!C$2),"")=0,"",IFERROR(INDEX(Consulta!$A:$DF,MATCH('MM01'!$B12,Consulta!$C:$C,0),'MM01'!C$2),""))</f>
        <v/>
      </c>
      <c r="D12" s="43" t="str">
        <f>IF(IFERROR(INDEX(Consulta!$A:$DF,MATCH('MM01'!$B12,Consulta!$C:$C,0),'MM01'!D$2),"")=0,"",IFERROR(INDEX(Consulta!$A:$DF,MATCH('MM01'!$B12,Consulta!$C:$C,0),'MM01'!D$2),""))</f>
        <v/>
      </c>
      <c r="E12" s="43" t="str">
        <f>IF(IFERROR(INDEX(Consulta!$A:$DF,MATCH('MM01'!$B12,Consulta!$C:$C,0),'MM01'!E$2),"")=0,"",IFERROR(INDEX(Consulta!$A:$DF,MATCH('MM01'!$B12,Consulta!$C:$C,0),'MM01'!E$2),""))</f>
        <v/>
      </c>
      <c r="F12" s="44" t="s">
        <v>100</v>
      </c>
      <c r="G12" s="49" t="str">
        <f>IF(IFERROR(INDEX(Consulta!$A:$DF,MATCH('MM01'!$B12,Consulta!$C:$C,0),'MM01'!G$2),"")=0,"",IFERROR(INDEX(Consulta!$A:$DF,MATCH('MM01'!$B12,Consulta!$C:$C,0),'MM01'!G$2),""))</f>
        <v/>
      </c>
      <c r="H12" s="49" t="str">
        <f>IF(IFERROR(INDEX(Consulta!$A:$DF,MATCH('MM01'!$B12,Consulta!$C:$C,0),'MM01'!H$2),"")=0,"",IFERROR(INDEX(Consulta!$A:$DF,MATCH('MM01'!$B12,Consulta!$C:$C,0),'MM01'!H$2),""))</f>
        <v/>
      </c>
      <c r="I12" s="49" t="str">
        <f t="shared" si="1"/>
        <v/>
      </c>
      <c r="J12" s="49" t="str">
        <f>IF(IFERROR(INDEX(Consulta!$A:$DF,MATCH('MM01'!$B12,Consulta!$C:$C,0),'MM01'!J$2),"")=0,"",IFERROR(INDEX(Consulta!$A:$DF,MATCH('MM01'!$B12,Consulta!$C:$C,0),'MM01'!J$2),""))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IF(IFERROR(INDEX(Consulta!$A:$DF,MATCH('MM01'!$B12,Consulta!$C:$C,0),'MM01'!AP$2),"")=0,"",IFERROR(INDEX(Consulta!$A:$DF,MATCH('MM01'!$B12,Consulta!$C:$C,0),'MM01'!AP$2),""))</f>
        <v/>
      </c>
      <c r="AQ12" s="45"/>
      <c r="AR12" s="43" t="str">
        <f>IF(IFERROR(INDEX(Consulta!$A:$DF,MATCH('MM01'!$B12,Consulta!$C:$C,0),'MM01'!AR$2),"")=0,"",IFERROR(INDEX(Consulta!$A:$DF,MATCH('MM01'!$B12,Consulta!$C:$C,0),'MM01'!AR$2),""))</f>
        <v/>
      </c>
      <c r="AS12" s="43" t="str">
        <f>IF(IFERROR(INDEX(Consulta!$A:$DF,MATCH('MM01'!$B12,Consulta!$C:$C,0),'MM01'!AS$2),"")=0,"",IF(AR12="68",5102,IFERROR(INDEX(Consulta!$A:$DF,MATCH('MM01'!$B12,Consulta!$C:$C,0),'MM01'!AS$2),"")))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IF(IFERROR(INDEX(Consulta!$A:$DF,MATCH('MM01'!$B12,Consulta!$C:$C,0),'MM01'!AW$2),"")=0,"",IFERROR(ROUND(INDEX(Consulta!$A:$DF,MATCH('MM01'!$B12,Consulta!$C:$C,0),'MM01'!AW$2),3),""))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IF(IFERROR(INDEX(Consulta!$A:$DF,MATCH('MM01'!$B12,Consulta!$C:$C,0),'MM01'!BA$2),"")=0,"",IFERROR(INDEX(Consulta!$A:$DF,MATCH('MM01'!$B12,Consulta!$C:$C,0),'MM01'!BA$2),""))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IF(IFERROR(INDEX(Consulta!$A:$DF,MATCH('MM01'!$B12,Consulta!$C:$C,0),'MM01'!BL$2),"")=0,"",IFERROR(INDEX(Consulta!$A:$DF,MATCH('MM01'!$B12,Consulta!$C:$C,0),'MM01'!BL$2),""))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IF(IFERROR(INDEX(Consulta!$A:$DF,MATCH('MM01'!$B12,Consulta!$C:$C,0),'MM01'!BX$2),"")=0,"",IFERROR(INDEX(Consulta!$A:$DF,MATCH('MM01'!$B12,Consulta!$C:$C,0),'MM01'!BX$2),""))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IF(IFERROR(INDEX(Consulta!$A:$DF,MATCH('MM01'!$B12,Consulta!$C:$C,0),'MM01'!CT$2),"")=0,"",IFERROR(INDEX(Consulta!$A:$DF,MATCH('MM01'!$B12,Consulta!$C:$C,0),'MM01'!CT$2),""))</f>
        <v/>
      </c>
      <c r="CU12" s="43" t="str">
        <f>IF(IFERROR(INDEX(Consulta!$A:$DF,MATCH('MM01'!$B12,Consulta!$C:$C,0),'MM01'!CU$2),"")=0,"",IFERROR(INDEX(Consulta!$A:$DF,MATCH('MM01'!$B12,Consulta!$C:$C,0),'MM01'!CU$2),""))</f>
        <v/>
      </c>
      <c r="CV12" s="43" t="str">
        <f>IF(IFERROR(INDEX(Consulta!$A:$DF,MATCH('MM01'!$B12,Consulta!$C:$C,0),'MM01'!CV$2),"")=0,"",IFERROR(INDEX(Consulta!$A:$DF,MATCH('MM01'!$B12,Consulta!$C:$C,0),'MM01'!CV$2),""))</f>
        <v/>
      </c>
      <c r="CW12" s="43" t="str">
        <f>IF(IFERROR(INDEX(Consulta!$A:$DF,MATCH('MM01'!$B12,Consulta!$C:$C,0),'MM01'!CW$2),"")=0,"",IFERROR(INDEX(Consulta!$A:$DF,MATCH('MM01'!$B12,Consulta!$C:$C,0),'MM01'!CW$2),""))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IF(IFERROR(INDEX(Consulta!$A:$DF,MATCH('MM01'!$B12,Consulta!$C:$C,0),'MM01'!DA$2),"")=0,"",IFERROR(INDEX(Consulta!$A:$DF,MATCH('MM01'!$B12,Consulta!$C:$C,0),'MM01'!DA$2),""))</f>
        <v/>
      </c>
      <c r="DB12" s="43" t="str">
        <f t="shared" si="22"/>
        <v/>
      </c>
      <c r="DC12" s="43" t="str">
        <f>IF(IFERROR(INDEX(Consulta!$A:$DF,MATCH('MM01'!$B12,Consulta!$C:$C,0),'MM01'!DC$2),"")=0,"",IFERROR(INDEX(Consulta!$A:$DF,MATCH('MM01'!$B12,Consulta!$C:$C,0),'MM01'!DC$2),""))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5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5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5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5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IF(IFERROR(INDEX(Consulta!$A:$DF,MATCH('MM01'!$B12,Consulta!$C:$C,0),'MM01'!EB$2),"")=0,"7925",IF(IFERROR(INDEX(Consulta!$A:$DF,MATCH('MM01'!$B12,Consulta!$C:$C,0),'MM01'!EB$2),"")="68","7910","7925"))</f>
        <v>7925</v>
      </c>
      <c r="EC12" s="44">
        <v>100</v>
      </c>
      <c r="ED12" s="60">
        <v>1</v>
      </c>
      <c r="EE12" s="43">
        <f t="shared" si="38"/>
        <v>100</v>
      </c>
      <c r="EF12" s="44">
        <v>1</v>
      </c>
      <c r="EG12" s="44">
        <v>0</v>
      </c>
      <c r="EH12" s="44" t="s">
        <v>867</v>
      </c>
      <c r="EI12" s="45">
        <v>0</v>
      </c>
      <c r="EJ12" s="43">
        <f t="shared" si="39"/>
        <v>5000</v>
      </c>
      <c r="EK12" s="65"/>
    </row>
    <row r="13" spans="1:141" x14ac:dyDescent="0.3">
      <c r="A13" s="7" t="str">
        <f t="shared" si="0"/>
        <v>Execução 9</v>
      </c>
      <c r="B13" s="42"/>
      <c r="C13" s="43" t="str">
        <f>IF(IFERROR(INDEX(Consulta!$A:$DF,MATCH('MM01'!$B13,Consulta!$C:$C,0),'MM01'!C$2),"")=0,"",IFERROR(INDEX(Consulta!$A:$DF,MATCH('MM01'!$B13,Consulta!$C:$C,0),'MM01'!C$2),""))</f>
        <v/>
      </c>
      <c r="D13" s="43" t="str">
        <f>IF(IFERROR(INDEX(Consulta!$A:$DF,MATCH('MM01'!$B13,Consulta!$C:$C,0),'MM01'!D$2),"")=0,"",IFERROR(INDEX(Consulta!$A:$DF,MATCH('MM01'!$B13,Consulta!$C:$C,0),'MM01'!D$2),""))</f>
        <v/>
      </c>
      <c r="E13" s="43" t="str">
        <f>IF(IFERROR(INDEX(Consulta!$A:$DF,MATCH('MM01'!$B13,Consulta!$C:$C,0),'MM01'!E$2),"")=0,"",IFERROR(INDEX(Consulta!$A:$DF,MATCH('MM01'!$B13,Consulta!$C:$C,0),'MM01'!E$2),""))</f>
        <v/>
      </c>
      <c r="F13" s="44" t="s">
        <v>100</v>
      </c>
      <c r="G13" s="49" t="str">
        <f>IF(IFERROR(INDEX(Consulta!$A:$DF,MATCH('MM01'!$B13,Consulta!$C:$C,0),'MM01'!G$2),"")=0,"",IFERROR(INDEX(Consulta!$A:$DF,MATCH('MM01'!$B13,Consulta!$C:$C,0),'MM01'!G$2),""))</f>
        <v/>
      </c>
      <c r="H13" s="49" t="str">
        <f>IF(IFERROR(INDEX(Consulta!$A:$DF,MATCH('MM01'!$B13,Consulta!$C:$C,0),'MM01'!H$2),"")=0,"",IFERROR(INDEX(Consulta!$A:$DF,MATCH('MM01'!$B13,Consulta!$C:$C,0),'MM01'!H$2),""))</f>
        <v/>
      </c>
      <c r="I13" s="49" t="str">
        <f t="shared" si="1"/>
        <v/>
      </c>
      <c r="J13" s="49" t="str">
        <f>IF(IFERROR(INDEX(Consulta!$A:$DF,MATCH('MM01'!$B13,Consulta!$C:$C,0),'MM01'!J$2),"")=0,"",IFERROR(INDEX(Consulta!$A:$DF,MATCH('MM01'!$B13,Consulta!$C:$C,0),'MM01'!J$2),""))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IF(IFERROR(INDEX(Consulta!$A:$DF,MATCH('MM01'!$B13,Consulta!$C:$C,0),'MM01'!AP$2),"")=0,"",IFERROR(INDEX(Consulta!$A:$DF,MATCH('MM01'!$B13,Consulta!$C:$C,0),'MM01'!AP$2),""))</f>
        <v/>
      </c>
      <c r="AQ13" s="45"/>
      <c r="AR13" s="43" t="str">
        <f>IF(IFERROR(INDEX(Consulta!$A:$DF,MATCH('MM01'!$B13,Consulta!$C:$C,0),'MM01'!AR$2),"")=0,"",IFERROR(INDEX(Consulta!$A:$DF,MATCH('MM01'!$B13,Consulta!$C:$C,0),'MM01'!AR$2),""))</f>
        <v/>
      </c>
      <c r="AS13" s="43" t="str">
        <f>IF(IFERROR(INDEX(Consulta!$A:$DF,MATCH('MM01'!$B13,Consulta!$C:$C,0),'MM01'!AS$2),"")=0,"",IF(AR13="68",5102,IFERROR(INDEX(Consulta!$A:$DF,MATCH('MM01'!$B13,Consulta!$C:$C,0),'MM01'!AS$2),"")))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IF(IFERROR(INDEX(Consulta!$A:$DF,MATCH('MM01'!$B13,Consulta!$C:$C,0),'MM01'!AW$2),"")=0,"",IFERROR(ROUND(INDEX(Consulta!$A:$DF,MATCH('MM01'!$B13,Consulta!$C:$C,0),'MM01'!AW$2),3),""))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IF(IFERROR(INDEX(Consulta!$A:$DF,MATCH('MM01'!$B13,Consulta!$C:$C,0),'MM01'!BA$2),"")=0,"",IFERROR(INDEX(Consulta!$A:$DF,MATCH('MM01'!$B13,Consulta!$C:$C,0),'MM01'!BA$2),""))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IF(IFERROR(INDEX(Consulta!$A:$DF,MATCH('MM01'!$B13,Consulta!$C:$C,0),'MM01'!BL$2),"")=0,"",IFERROR(INDEX(Consulta!$A:$DF,MATCH('MM01'!$B13,Consulta!$C:$C,0),'MM01'!BL$2),""))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IF(IFERROR(INDEX(Consulta!$A:$DF,MATCH('MM01'!$B13,Consulta!$C:$C,0),'MM01'!BX$2),"")=0,"",IFERROR(INDEX(Consulta!$A:$DF,MATCH('MM01'!$B13,Consulta!$C:$C,0),'MM01'!BX$2),""))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IF(IFERROR(INDEX(Consulta!$A:$DF,MATCH('MM01'!$B13,Consulta!$C:$C,0),'MM01'!CT$2),"")=0,"",IFERROR(INDEX(Consulta!$A:$DF,MATCH('MM01'!$B13,Consulta!$C:$C,0),'MM01'!CT$2),""))</f>
        <v/>
      </c>
      <c r="CU13" s="43" t="str">
        <f>IF(IFERROR(INDEX(Consulta!$A:$DF,MATCH('MM01'!$B13,Consulta!$C:$C,0),'MM01'!CU$2),"")=0,"",IFERROR(INDEX(Consulta!$A:$DF,MATCH('MM01'!$B13,Consulta!$C:$C,0),'MM01'!CU$2),""))</f>
        <v/>
      </c>
      <c r="CV13" s="43" t="str">
        <f>IF(IFERROR(INDEX(Consulta!$A:$DF,MATCH('MM01'!$B13,Consulta!$C:$C,0),'MM01'!CV$2),"")=0,"",IFERROR(INDEX(Consulta!$A:$DF,MATCH('MM01'!$B13,Consulta!$C:$C,0),'MM01'!CV$2),""))</f>
        <v/>
      </c>
      <c r="CW13" s="43" t="str">
        <f>IF(IFERROR(INDEX(Consulta!$A:$DF,MATCH('MM01'!$B13,Consulta!$C:$C,0),'MM01'!CW$2),"")=0,"",IFERROR(INDEX(Consulta!$A:$DF,MATCH('MM01'!$B13,Consulta!$C:$C,0),'MM01'!CW$2),""))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IF(IFERROR(INDEX(Consulta!$A:$DF,MATCH('MM01'!$B13,Consulta!$C:$C,0),'MM01'!DA$2),"")=0,"",IFERROR(INDEX(Consulta!$A:$DF,MATCH('MM01'!$B13,Consulta!$C:$C,0),'MM01'!DA$2),""))</f>
        <v/>
      </c>
      <c r="DB13" s="43" t="str">
        <f t="shared" si="22"/>
        <v/>
      </c>
      <c r="DC13" s="43" t="str">
        <f>IF(IFERROR(INDEX(Consulta!$A:$DF,MATCH('MM01'!$B13,Consulta!$C:$C,0),'MM01'!DC$2),"")=0,"",IFERROR(INDEX(Consulta!$A:$DF,MATCH('MM01'!$B13,Consulta!$C:$C,0),'MM01'!DC$2),""))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5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5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5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5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IF(IFERROR(INDEX(Consulta!$A:$DF,MATCH('MM01'!$B13,Consulta!$C:$C,0),'MM01'!EB$2),"")=0,"7925",IF(IFERROR(INDEX(Consulta!$A:$DF,MATCH('MM01'!$B13,Consulta!$C:$C,0),'MM01'!EB$2),"")="68","7910","7925"))</f>
        <v>7925</v>
      </c>
      <c r="EC13" s="44">
        <v>100</v>
      </c>
      <c r="ED13" s="60">
        <v>1</v>
      </c>
      <c r="EE13" s="43">
        <f t="shared" si="38"/>
        <v>100</v>
      </c>
      <c r="EF13" s="44">
        <v>1</v>
      </c>
      <c r="EG13" s="44">
        <v>0</v>
      </c>
      <c r="EH13" s="44" t="s">
        <v>867</v>
      </c>
      <c r="EI13" s="45">
        <v>0</v>
      </c>
      <c r="EJ13" s="43">
        <f t="shared" si="39"/>
        <v>5000</v>
      </c>
      <c r="EK13" s="65"/>
    </row>
    <row r="14" spans="1:141" x14ac:dyDescent="0.3">
      <c r="A14" s="7" t="str">
        <f t="shared" si="0"/>
        <v>Execução 10</v>
      </c>
      <c r="B14" s="42"/>
      <c r="C14" s="43" t="str">
        <f>IF(IFERROR(INDEX(Consulta!$A:$DF,MATCH('MM01'!$B14,Consulta!$C:$C,0),'MM01'!C$2),"")=0,"",IFERROR(INDEX(Consulta!$A:$DF,MATCH('MM01'!$B14,Consulta!$C:$C,0),'MM01'!C$2),""))</f>
        <v/>
      </c>
      <c r="D14" s="43" t="str">
        <f>IF(IFERROR(INDEX(Consulta!$A:$DF,MATCH('MM01'!$B14,Consulta!$C:$C,0),'MM01'!D$2),"")=0,"",IFERROR(INDEX(Consulta!$A:$DF,MATCH('MM01'!$B14,Consulta!$C:$C,0),'MM01'!D$2),""))</f>
        <v/>
      </c>
      <c r="E14" s="43" t="str">
        <f>IF(IFERROR(INDEX(Consulta!$A:$DF,MATCH('MM01'!$B14,Consulta!$C:$C,0),'MM01'!E$2),"")=0,"",IFERROR(INDEX(Consulta!$A:$DF,MATCH('MM01'!$B14,Consulta!$C:$C,0),'MM01'!E$2),""))</f>
        <v/>
      </c>
      <c r="F14" s="44" t="s">
        <v>100</v>
      </c>
      <c r="G14" s="49" t="str">
        <f>IF(IFERROR(INDEX(Consulta!$A:$DF,MATCH('MM01'!$B14,Consulta!$C:$C,0),'MM01'!G$2),"")=0,"",IFERROR(INDEX(Consulta!$A:$DF,MATCH('MM01'!$B14,Consulta!$C:$C,0),'MM01'!G$2),""))</f>
        <v/>
      </c>
      <c r="H14" s="49" t="str">
        <f>IF(IFERROR(INDEX(Consulta!$A:$DF,MATCH('MM01'!$B14,Consulta!$C:$C,0),'MM01'!H$2),"")=0,"",IFERROR(INDEX(Consulta!$A:$DF,MATCH('MM01'!$B14,Consulta!$C:$C,0),'MM01'!H$2),""))</f>
        <v/>
      </c>
      <c r="I14" s="49" t="str">
        <f t="shared" si="1"/>
        <v/>
      </c>
      <c r="J14" s="49" t="str">
        <f>IF(IFERROR(INDEX(Consulta!$A:$DF,MATCH('MM01'!$B14,Consulta!$C:$C,0),'MM01'!J$2),"")=0,"",IFERROR(INDEX(Consulta!$A:$DF,MATCH('MM01'!$B14,Consulta!$C:$C,0),'MM01'!J$2),""))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IF(IFERROR(INDEX(Consulta!$A:$DF,MATCH('MM01'!$B14,Consulta!$C:$C,0),'MM01'!AP$2),"")=0,"",IFERROR(INDEX(Consulta!$A:$DF,MATCH('MM01'!$B14,Consulta!$C:$C,0),'MM01'!AP$2),""))</f>
        <v/>
      </c>
      <c r="AQ14" s="45"/>
      <c r="AR14" s="43" t="str">
        <f>IF(IFERROR(INDEX(Consulta!$A:$DF,MATCH('MM01'!$B14,Consulta!$C:$C,0),'MM01'!AR$2),"")=0,"",IFERROR(INDEX(Consulta!$A:$DF,MATCH('MM01'!$B14,Consulta!$C:$C,0),'MM01'!AR$2),""))</f>
        <v/>
      </c>
      <c r="AS14" s="43" t="str">
        <f>IF(IFERROR(INDEX(Consulta!$A:$DF,MATCH('MM01'!$B14,Consulta!$C:$C,0),'MM01'!AS$2),"")=0,"",IF(AR14="68",5102,IFERROR(INDEX(Consulta!$A:$DF,MATCH('MM01'!$B14,Consulta!$C:$C,0),'MM01'!AS$2),"")))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IF(IFERROR(INDEX(Consulta!$A:$DF,MATCH('MM01'!$B14,Consulta!$C:$C,0),'MM01'!AW$2),"")=0,"",IFERROR(ROUND(INDEX(Consulta!$A:$DF,MATCH('MM01'!$B14,Consulta!$C:$C,0),'MM01'!AW$2),3),""))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IF(IFERROR(INDEX(Consulta!$A:$DF,MATCH('MM01'!$B14,Consulta!$C:$C,0),'MM01'!BA$2),"")=0,"",IFERROR(INDEX(Consulta!$A:$DF,MATCH('MM01'!$B14,Consulta!$C:$C,0),'MM01'!BA$2),""))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IF(IFERROR(INDEX(Consulta!$A:$DF,MATCH('MM01'!$B14,Consulta!$C:$C,0),'MM01'!BL$2),"")=0,"",IFERROR(INDEX(Consulta!$A:$DF,MATCH('MM01'!$B14,Consulta!$C:$C,0),'MM01'!BL$2),""))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IF(IFERROR(INDEX(Consulta!$A:$DF,MATCH('MM01'!$B14,Consulta!$C:$C,0),'MM01'!BX$2),"")=0,"",IFERROR(INDEX(Consulta!$A:$DF,MATCH('MM01'!$B14,Consulta!$C:$C,0),'MM01'!BX$2),""))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IF(IFERROR(INDEX(Consulta!$A:$DF,MATCH('MM01'!$B14,Consulta!$C:$C,0),'MM01'!CT$2),"")=0,"",IFERROR(INDEX(Consulta!$A:$DF,MATCH('MM01'!$B14,Consulta!$C:$C,0),'MM01'!CT$2),""))</f>
        <v/>
      </c>
      <c r="CU14" s="43" t="str">
        <f>IF(IFERROR(INDEX(Consulta!$A:$DF,MATCH('MM01'!$B14,Consulta!$C:$C,0),'MM01'!CU$2),"")=0,"",IFERROR(INDEX(Consulta!$A:$DF,MATCH('MM01'!$B14,Consulta!$C:$C,0),'MM01'!CU$2),""))</f>
        <v/>
      </c>
      <c r="CV14" s="43" t="str">
        <f>IF(IFERROR(INDEX(Consulta!$A:$DF,MATCH('MM01'!$B14,Consulta!$C:$C,0),'MM01'!CV$2),"")=0,"",IFERROR(INDEX(Consulta!$A:$DF,MATCH('MM01'!$B14,Consulta!$C:$C,0),'MM01'!CV$2),""))</f>
        <v/>
      </c>
      <c r="CW14" s="43" t="str">
        <f>IF(IFERROR(INDEX(Consulta!$A:$DF,MATCH('MM01'!$B14,Consulta!$C:$C,0),'MM01'!CW$2),"")=0,"",IFERROR(INDEX(Consulta!$A:$DF,MATCH('MM01'!$B14,Consulta!$C:$C,0),'MM01'!CW$2),""))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IF(IFERROR(INDEX(Consulta!$A:$DF,MATCH('MM01'!$B14,Consulta!$C:$C,0),'MM01'!DA$2),"")=0,"",IFERROR(INDEX(Consulta!$A:$DF,MATCH('MM01'!$B14,Consulta!$C:$C,0),'MM01'!DA$2),""))</f>
        <v/>
      </c>
      <c r="DB14" s="43" t="str">
        <f t="shared" si="22"/>
        <v/>
      </c>
      <c r="DC14" s="43" t="str">
        <f>IF(IFERROR(INDEX(Consulta!$A:$DF,MATCH('MM01'!$B14,Consulta!$C:$C,0),'MM01'!DC$2),"")=0,"",IFERROR(INDEX(Consulta!$A:$DF,MATCH('MM01'!$B14,Consulta!$C:$C,0),'MM01'!DC$2),""))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5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5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5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5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IF(IFERROR(INDEX(Consulta!$A:$DF,MATCH('MM01'!$B14,Consulta!$C:$C,0),'MM01'!EB$2),"")=0,"7925",IF(IFERROR(INDEX(Consulta!$A:$DF,MATCH('MM01'!$B14,Consulta!$C:$C,0),'MM01'!EB$2),"")="68","7910","7925"))</f>
        <v>7925</v>
      </c>
      <c r="EC14" s="44">
        <v>100</v>
      </c>
      <c r="ED14" s="60">
        <v>1</v>
      </c>
      <c r="EE14" s="43">
        <f t="shared" si="38"/>
        <v>100</v>
      </c>
      <c r="EF14" s="44">
        <v>1</v>
      </c>
      <c r="EG14" s="44">
        <v>0</v>
      </c>
      <c r="EH14" s="44" t="s">
        <v>867</v>
      </c>
      <c r="EI14" s="45">
        <v>0</v>
      </c>
      <c r="EJ14" s="43">
        <f t="shared" si="39"/>
        <v>5000</v>
      </c>
      <c r="EK14" s="65"/>
    </row>
    <row r="15" spans="1:141" x14ac:dyDescent="0.3">
      <c r="A15" s="7" t="str">
        <f t="shared" si="0"/>
        <v>Execução 11</v>
      </c>
      <c r="B15" s="42"/>
      <c r="C15" s="43" t="str">
        <f>IF(IFERROR(INDEX(Consulta!$A:$DF,MATCH('MM01'!$B15,Consulta!$C:$C,0),'MM01'!C$2),"")=0,"",IFERROR(INDEX(Consulta!$A:$DF,MATCH('MM01'!$B15,Consulta!$C:$C,0),'MM01'!C$2),""))</f>
        <v/>
      </c>
      <c r="D15" s="43" t="str">
        <f>IF(IFERROR(INDEX(Consulta!$A:$DF,MATCH('MM01'!$B15,Consulta!$C:$C,0),'MM01'!D$2),"")=0,"",IFERROR(INDEX(Consulta!$A:$DF,MATCH('MM01'!$B15,Consulta!$C:$C,0),'MM01'!D$2),""))</f>
        <v/>
      </c>
      <c r="E15" s="43" t="str">
        <f>IF(IFERROR(INDEX(Consulta!$A:$DF,MATCH('MM01'!$B15,Consulta!$C:$C,0),'MM01'!E$2),"")=0,"",IFERROR(INDEX(Consulta!$A:$DF,MATCH('MM01'!$B15,Consulta!$C:$C,0),'MM01'!E$2),""))</f>
        <v/>
      </c>
      <c r="F15" s="44" t="s">
        <v>100</v>
      </c>
      <c r="G15" s="49" t="str">
        <f>IF(IFERROR(INDEX(Consulta!$A:$DF,MATCH('MM01'!$B15,Consulta!$C:$C,0),'MM01'!G$2),"")=0,"",IFERROR(INDEX(Consulta!$A:$DF,MATCH('MM01'!$B15,Consulta!$C:$C,0),'MM01'!G$2),""))</f>
        <v/>
      </c>
      <c r="H15" s="49" t="str">
        <f>IF(IFERROR(INDEX(Consulta!$A:$DF,MATCH('MM01'!$B15,Consulta!$C:$C,0),'MM01'!H$2),"")=0,"",IFERROR(INDEX(Consulta!$A:$DF,MATCH('MM01'!$B15,Consulta!$C:$C,0),'MM01'!H$2),""))</f>
        <v/>
      </c>
      <c r="I15" s="49" t="str">
        <f t="shared" si="1"/>
        <v/>
      </c>
      <c r="J15" s="49" t="str">
        <f>IF(IFERROR(INDEX(Consulta!$A:$DF,MATCH('MM01'!$B15,Consulta!$C:$C,0),'MM01'!J$2),"")=0,"",IFERROR(INDEX(Consulta!$A:$DF,MATCH('MM01'!$B15,Consulta!$C:$C,0),'MM01'!J$2),""))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IF(IFERROR(INDEX(Consulta!$A:$DF,MATCH('MM01'!$B15,Consulta!$C:$C,0),'MM01'!AP$2),"")=0,"",IFERROR(INDEX(Consulta!$A:$DF,MATCH('MM01'!$B15,Consulta!$C:$C,0),'MM01'!AP$2),""))</f>
        <v/>
      </c>
      <c r="AQ15" s="45"/>
      <c r="AR15" s="43" t="str">
        <f>IF(IFERROR(INDEX(Consulta!$A:$DF,MATCH('MM01'!$B15,Consulta!$C:$C,0),'MM01'!AR$2),"")=0,"",IFERROR(INDEX(Consulta!$A:$DF,MATCH('MM01'!$B15,Consulta!$C:$C,0),'MM01'!AR$2),""))</f>
        <v/>
      </c>
      <c r="AS15" s="43" t="str">
        <f>IF(IFERROR(INDEX(Consulta!$A:$DF,MATCH('MM01'!$B15,Consulta!$C:$C,0),'MM01'!AS$2),"")=0,"",IF(AR15="68",5102,IFERROR(INDEX(Consulta!$A:$DF,MATCH('MM01'!$B15,Consulta!$C:$C,0),'MM01'!AS$2),"")))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IF(IFERROR(INDEX(Consulta!$A:$DF,MATCH('MM01'!$B15,Consulta!$C:$C,0),'MM01'!AW$2),"")=0,"",IFERROR(ROUND(INDEX(Consulta!$A:$DF,MATCH('MM01'!$B15,Consulta!$C:$C,0),'MM01'!AW$2),3),""))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IF(IFERROR(INDEX(Consulta!$A:$DF,MATCH('MM01'!$B15,Consulta!$C:$C,0),'MM01'!BA$2),"")=0,"",IFERROR(INDEX(Consulta!$A:$DF,MATCH('MM01'!$B15,Consulta!$C:$C,0),'MM01'!BA$2),""))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IF(IFERROR(INDEX(Consulta!$A:$DF,MATCH('MM01'!$B15,Consulta!$C:$C,0),'MM01'!BL$2),"")=0,"",IFERROR(INDEX(Consulta!$A:$DF,MATCH('MM01'!$B15,Consulta!$C:$C,0),'MM01'!BL$2),""))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IF(IFERROR(INDEX(Consulta!$A:$DF,MATCH('MM01'!$B15,Consulta!$C:$C,0),'MM01'!BX$2),"")=0,"",IFERROR(INDEX(Consulta!$A:$DF,MATCH('MM01'!$B15,Consulta!$C:$C,0),'MM01'!BX$2),""))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IF(IFERROR(INDEX(Consulta!$A:$DF,MATCH('MM01'!$B15,Consulta!$C:$C,0),'MM01'!CT$2),"")=0,"",IFERROR(INDEX(Consulta!$A:$DF,MATCH('MM01'!$B15,Consulta!$C:$C,0),'MM01'!CT$2),""))</f>
        <v/>
      </c>
      <c r="CU15" s="43" t="str">
        <f>IF(IFERROR(INDEX(Consulta!$A:$DF,MATCH('MM01'!$B15,Consulta!$C:$C,0),'MM01'!CU$2),"")=0,"",IFERROR(INDEX(Consulta!$A:$DF,MATCH('MM01'!$B15,Consulta!$C:$C,0),'MM01'!CU$2),""))</f>
        <v/>
      </c>
      <c r="CV15" s="43" t="str">
        <f>IF(IFERROR(INDEX(Consulta!$A:$DF,MATCH('MM01'!$B15,Consulta!$C:$C,0),'MM01'!CV$2),"")=0,"",IFERROR(INDEX(Consulta!$A:$DF,MATCH('MM01'!$B15,Consulta!$C:$C,0),'MM01'!CV$2),""))</f>
        <v/>
      </c>
      <c r="CW15" s="43" t="str">
        <f>IF(IFERROR(INDEX(Consulta!$A:$DF,MATCH('MM01'!$B15,Consulta!$C:$C,0),'MM01'!CW$2),"")=0,"",IFERROR(INDEX(Consulta!$A:$DF,MATCH('MM01'!$B15,Consulta!$C:$C,0),'MM01'!CW$2),""))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IF(IFERROR(INDEX(Consulta!$A:$DF,MATCH('MM01'!$B15,Consulta!$C:$C,0),'MM01'!DA$2),"")=0,"",IFERROR(INDEX(Consulta!$A:$DF,MATCH('MM01'!$B15,Consulta!$C:$C,0),'MM01'!DA$2),""))</f>
        <v/>
      </c>
      <c r="DB15" s="43" t="str">
        <f t="shared" si="22"/>
        <v/>
      </c>
      <c r="DC15" s="43" t="str">
        <f>IF(IFERROR(INDEX(Consulta!$A:$DF,MATCH('MM01'!$B15,Consulta!$C:$C,0),'MM01'!DC$2),"")=0,"",IFERROR(INDEX(Consulta!$A:$DF,MATCH('MM01'!$B15,Consulta!$C:$C,0),'MM01'!DC$2),""))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5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5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5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5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IF(IFERROR(INDEX(Consulta!$A:$DF,MATCH('MM01'!$B15,Consulta!$C:$C,0),'MM01'!EB$2),"")=0,"7925",IF(IFERROR(INDEX(Consulta!$A:$DF,MATCH('MM01'!$B15,Consulta!$C:$C,0),'MM01'!EB$2),"")="68","7910","7925"))</f>
        <v>7925</v>
      </c>
      <c r="EC15" s="44">
        <v>100</v>
      </c>
      <c r="ED15" s="60">
        <v>1</v>
      </c>
      <c r="EE15" s="43">
        <f t="shared" si="38"/>
        <v>100</v>
      </c>
      <c r="EF15" s="44">
        <v>1</v>
      </c>
      <c r="EG15" s="44">
        <v>0</v>
      </c>
      <c r="EH15" s="44" t="s">
        <v>867</v>
      </c>
      <c r="EI15" s="45">
        <v>0</v>
      </c>
      <c r="EJ15" s="43">
        <f t="shared" si="39"/>
        <v>5000</v>
      </c>
      <c r="EK15" s="65"/>
    </row>
    <row r="16" spans="1:141" x14ac:dyDescent="0.3">
      <c r="A16" s="7" t="str">
        <f t="shared" si="0"/>
        <v>Execução 12</v>
      </c>
      <c r="B16" s="42"/>
      <c r="C16" s="43" t="str">
        <f>IF(IFERROR(INDEX(Consulta!$A:$DF,MATCH('MM01'!$B16,Consulta!$C:$C,0),'MM01'!C$2),"")=0,"",IFERROR(INDEX(Consulta!$A:$DF,MATCH('MM01'!$B16,Consulta!$C:$C,0),'MM01'!C$2),""))</f>
        <v/>
      </c>
      <c r="D16" s="43" t="str">
        <f>IF(IFERROR(INDEX(Consulta!$A:$DF,MATCH('MM01'!$B16,Consulta!$C:$C,0),'MM01'!D$2),"")=0,"",IFERROR(INDEX(Consulta!$A:$DF,MATCH('MM01'!$B16,Consulta!$C:$C,0),'MM01'!D$2),""))</f>
        <v/>
      </c>
      <c r="E16" s="43" t="str">
        <f>IF(IFERROR(INDEX(Consulta!$A:$DF,MATCH('MM01'!$B16,Consulta!$C:$C,0),'MM01'!E$2),"")=0,"",IFERROR(INDEX(Consulta!$A:$DF,MATCH('MM01'!$B16,Consulta!$C:$C,0),'MM01'!E$2),""))</f>
        <v/>
      </c>
      <c r="F16" s="44" t="s">
        <v>100</v>
      </c>
      <c r="G16" s="49" t="str">
        <f>IF(IFERROR(INDEX(Consulta!$A:$DF,MATCH('MM01'!$B16,Consulta!$C:$C,0),'MM01'!G$2),"")=0,"",IFERROR(INDEX(Consulta!$A:$DF,MATCH('MM01'!$B16,Consulta!$C:$C,0),'MM01'!G$2),""))</f>
        <v/>
      </c>
      <c r="H16" s="49" t="str">
        <f>IF(IFERROR(INDEX(Consulta!$A:$DF,MATCH('MM01'!$B16,Consulta!$C:$C,0),'MM01'!H$2),"")=0,"",IFERROR(INDEX(Consulta!$A:$DF,MATCH('MM01'!$B16,Consulta!$C:$C,0),'MM01'!H$2),""))</f>
        <v/>
      </c>
      <c r="I16" s="49" t="str">
        <f t="shared" si="1"/>
        <v/>
      </c>
      <c r="J16" s="49" t="str">
        <f>IF(IFERROR(INDEX(Consulta!$A:$DF,MATCH('MM01'!$B16,Consulta!$C:$C,0),'MM01'!J$2),"")=0,"",IFERROR(INDEX(Consulta!$A:$DF,MATCH('MM01'!$B16,Consulta!$C:$C,0),'MM01'!J$2),""))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IF(IFERROR(INDEX(Consulta!$A:$DF,MATCH('MM01'!$B16,Consulta!$C:$C,0),'MM01'!AP$2),"")=0,"",IFERROR(INDEX(Consulta!$A:$DF,MATCH('MM01'!$B16,Consulta!$C:$C,0),'MM01'!AP$2),""))</f>
        <v/>
      </c>
      <c r="AQ16" s="45"/>
      <c r="AR16" s="43" t="str">
        <f>IF(IFERROR(INDEX(Consulta!$A:$DF,MATCH('MM01'!$B16,Consulta!$C:$C,0),'MM01'!AR$2),"")=0,"",IFERROR(INDEX(Consulta!$A:$DF,MATCH('MM01'!$B16,Consulta!$C:$C,0),'MM01'!AR$2),""))</f>
        <v/>
      </c>
      <c r="AS16" s="43" t="str">
        <f>IF(IFERROR(INDEX(Consulta!$A:$DF,MATCH('MM01'!$B16,Consulta!$C:$C,0),'MM01'!AS$2),"")=0,"",IF(AR16="68",5102,IFERROR(INDEX(Consulta!$A:$DF,MATCH('MM01'!$B16,Consulta!$C:$C,0),'MM01'!AS$2),"")))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IF(IFERROR(INDEX(Consulta!$A:$DF,MATCH('MM01'!$B16,Consulta!$C:$C,0),'MM01'!AW$2),"")=0,"",IFERROR(ROUND(INDEX(Consulta!$A:$DF,MATCH('MM01'!$B16,Consulta!$C:$C,0),'MM01'!AW$2),3),""))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IF(IFERROR(INDEX(Consulta!$A:$DF,MATCH('MM01'!$B16,Consulta!$C:$C,0),'MM01'!BA$2),"")=0,"",IFERROR(INDEX(Consulta!$A:$DF,MATCH('MM01'!$B16,Consulta!$C:$C,0),'MM01'!BA$2),""))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IF(IFERROR(INDEX(Consulta!$A:$DF,MATCH('MM01'!$B16,Consulta!$C:$C,0),'MM01'!BL$2),"")=0,"",IFERROR(INDEX(Consulta!$A:$DF,MATCH('MM01'!$B16,Consulta!$C:$C,0),'MM01'!BL$2),""))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IF(IFERROR(INDEX(Consulta!$A:$DF,MATCH('MM01'!$B16,Consulta!$C:$C,0),'MM01'!BX$2),"")=0,"",IFERROR(INDEX(Consulta!$A:$DF,MATCH('MM01'!$B16,Consulta!$C:$C,0),'MM01'!BX$2),""))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IF(IFERROR(INDEX(Consulta!$A:$DF,MATCH('MM01'!$B16,Consulta!$C:$C,0),'MM01'!CT$2),"")=0,"",IFERROR(INDEX(Consulta!$A:$DF,MATCH('MM01'!$B16,Consulta!$C:$C,0),'MM01'!CT$2),""))</f>
        <v/>
      </c>
      <c r="CU16" s="43" t="str">
        <f>IF(IFERROR(INDEX(Consulta!$A:$DF,MATCH('MM01'!$B16,Consulta!$C:$C,0),'MM01'!CU$2),"")=0,"",IFERROR(INDEX(Consulta!$A:$DF,MATCH('MM01'!$B16,Consulta!$C:$C,0),'MM01'!CU$2),""))</f>
        <v/>
      </c>
      <c r="CV16" s="43" t="str">
        <f>IF(IFERROR(INDEX(Consulta!$A:$DF,MATCH('MM01'!$B16,Consulta!$C:$C,0),'MM01'!CV$2),"")=0,"",IFERROR(INDEX(Consulta!$A:$DF,MATCH('MM01'!$B16,Consulta!$C:$C,0),'MM01'!CV$2),""))</f>
        <v/>
      </c>
      <c r="CW16" s="43" t="str">
        <f>IF(IFERROR(INDEX(Consulta!$A:$DF,MATCH('MM01'!$B16,Consulta!$C:$C,0),'MM01'!CW$2),"")=0,"",IFERROR(INDEX(Consulta!$A:$DF,MATCH('MM01'!$B16,Consulta!$C:$C,0),'MM01'!CW$2),""))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IF(IFERROR(INDEX(Consulta!$A:$DF,MATCH('MM01'!$B16,Consulta!$C:$C,0),'MM01'!DA$2),"")=0,"",IFERROR(INDEX(Consulta!$A:$DF,MATCH('MM01'!$B16,Consulta!$C:$C,0),'MM01'!DA$2),""))</f>
        <v/>
      </c>
      <c r="DB16" s="43" t="str">
        <f t="shared" si="22"/>
        <v/>
      </c>
      <c r="DC16" s="43" t="str">
        <f>IF(IFERROR(INDEX(Consulta!$A:$DF,MATCH('MM01'!$B16,Consulta!$C:$C,0),'MM01'!DC$2),"")=0,"",IFERROR(INDEX(Consulta!$A:$DF,MATCH('MM01'!$B16,Consulta!$C:$C,0),'MM01'!DC$2),""))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5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5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5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5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IF(IFERROR(INDEX(Consulta!$A:$DF,MATCH('MM01'!$B16,Consulta!$C:$C,0),'MM01'!EB$2),"")=0,"7925",IF(IFERROR(INDEX(Consulta!$A:$DF,MATCH('MM01'!$B16,Consulta!$C:$C,0),'MM01'!EB$2),"")="68","7910","7925"))</f>
        <v>7925</v>
      </c>
      <c r="EC16" s="44">
        <v>100</v>
      </c>
      <c r="ED16" s="60">
        <v>1</v>
      </c>
      <c r="EE16" s="43">
        <f t="shared" si="38"/>
        <v>100</v>
      </c>
      <c r="EF16" s="44">
        <v>1</v>
      </c>
      <c r="EG16" s="44">
        <v>0</v>
      </c>
      <c r="EH16" s="44" t="s">
        <v>867</v>
      </c>
      <c r="EI16" s="45">
        <v>0</v>
      </c>
      <c r="EJ16" s="43">
        <f t="shared" si="39"/>
        <v>5000</v>
      </c>
      <c r="EK16" s="65"/>
    </row>
    <row r="17" spans="1:141" x14ac:dyDescent="0.3">
      <c r="A17" s="7" t="str">
        <f t="shared" si="0"/>
        <v>Execução 13</v>
      </c>
      <c r="B17" s="42"/>
      <c r="C17" s="43" t="str">
        <f>IF(IFERROR(INDEX(Consulta!$A:$DF,MATCH('MM01'!$B17,Consulta!$C:$C,0),'MM01'!C$2),"")=0,"",IFERROR(INDEX(Consulta!$A:$DF,MATCH('MM01'!$B17,Consulta!$C:$C,0),'MM01'!C$2),""))</f>
        <v/>
      </c>
      <c r="D17" s="43" t="str">
        <f>IF(IFERROR(INDEX(Consulta!$A:$DF,MATCH('MM01'!$B17,Consulta!$C:$C,0),'MM01'!D$2),"")=0,"",IFERROR(INDEX(Consulta!$A:$DF,MATCH('MM01'!$B17,Consulta!$C:$C,0),'MM01'!D$2),""))</f>
        <v/>
      </c>
      <c r="E17" s="43" t="str">
        <f>IF(IFERROR(INDEX(Consulta!$A:$DF,MATCH('MM01'!$B17,Consulta!$C:$C,0),'MM01'!E$2),"")=0,"",IFERROR(INDEX(Consulta!$A:$DF,MATCH('MM01'!$B17,Consulta!$C:$C,0),'MM01'!E$2),""))</f>
        <v/>
      </c>
      <c r="F17" s="44" t="s">
        <v>100</v>
      </c>
      <c r="G17" s="49" t="str">
        <f>IF(IFERROR(INDEX(Consulta!$A:$DF,MATCH('MM01'!$B17,Consulta!$C:$C,0),'MM01'!G$2),"")=0,"",IFERROR(INDEX(Consulta!$A:$DF,MATCH('MM01'!$B17,Consulta!$C:$C,0),'MM01'!G$2),""))</f>
        <v/>
      </c>
      <c r="H17" s="49" t="str">
        <f>IF(IFERROR(INDEX(Consulta!$A:$DF,MATCH('MM01'!$B17,Consulta!$C:$C,0),'MM01'!H$2),"")=0,"",IFERROR(INDEX(Consulta!$A:$DF,MATCH('MM01'!$B17,Consulta!$C:$C,0),'MM01'!H$2),""))</f>
        <v/>
      </c>
      <c r="I17" s="49" t="str">
        <f t="shared" si="1"/>
        <v/>
      </c>
      <c r="J17" s="49" t="str">
        <f>IF(IFERROR(INDEX(Consulta!$A:$DF,MATCH('MM01'!$B17,Consulta!$C:$C,0),'MM01'!J$2),"")=0,"",IFERROR(INDEX(Consulta!$A:$DF,MATCH('MM01'!$B17,Consulta!$C:$C,0),'MM01'!J$2),""))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IF(IFERROR(INDEX(Consulta!$A:$DF,MATCH('MM01'!$B17,Consulta!$C:$C,0),'MM01'!AP$2),"")=0,"",IFERROR(INDEX(Consulta!$A:$DF,MATCH('MM01'!$B17,Consulta!$C:$C,0),'MM01'!AP$2),""))</f>
        <v/>
      </c>
      <c r="AQ17" s="45"/>
      <c r="AR17" s="43" t="str">
        <f>IF(IFERROR(INDEX(Consulta!$A:$DF,MATCH('MM01'!$B17,Consulta!$C:$C,0),'MM01'!AR$2),"")=0,"",IFERROR(INDEX(Consulta!$A:$DF,MATCH('MM01'!$B17,Consulta!$C:$C,0),'MM01'!AR$2),""))</f>
        <v/>
      </c>
      <c r="AS17" s="43" t="str">
        <f>IF(IFERROR(INDEX(Consulta!$A:$DF,MATCH('MM01'!$B17,Consulta!$C:$C,0),'MM01'!AS$2),"")=0,"",IF(AR17="68",5102,IFERROR(INDEX(Consulta!$A:$DF,MATCH('MM01'!$B17,Consulta!$C:$C,0),'MM01'!AS$2),"")))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IF(IFERROR(INDEX(Consulta!$A:$DF,MATCH('MM01'!$B17,Consulta!$C:$C,0),'MM01'!AW$2),"")=0,"",IFERROR(ROUND(INDEX(Consulta!$A:$DF,MATCH('MM01'!$B17,Consulta!$C:$C,0),'MM01'!AW$2),3),""))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IF(IFERROR(INDEX(Consulta!$A:$DF,MATCH('MM01'!$B17,Consulta!$C:$C,0),'MM01'!BA$2),"")=0,"",IFERROR(INDEX(Consulta!$A:$DF,MATCH('MM01'!$B17,Consulta!$C:$C,0),'MM01'!BA$2),""))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IF(IFERROR(INDEX(Consulta!$A:$DF,MATCH('MM01'!$B17,Consulta!$C:$C,0),'MM01'!BL$2),"")=0,"",IFERROR(INDEX(Consulta!$A:$DF,MATCH('MM01'!$B17,Consulta!$C:$C,0),'MM01'!BL$2),""))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IF(IFERROR(INDEX(Consulta!$A:$DF,MATCH('MM01'!$B17,Consulta!$C:$C,0),'MM01'!BX$2),"")=0,"",IFERROR(INDEX(Consulta!$A:$DF,MATCH('MM01'!$B17,Consulta!$C:$C,0),'MM01'!BX$2),""))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IF(IFERROR(INDEX(Consulta!$A:$DF,MATCH('MM01'!$B17,Consulta!$C:$C,0),'MM01'!CT$2),"")=0,"",IFERROR(INDEX(Consulta!$A:$DF,MATCH('MM01'!$B17,Consulta!$C:$C,0),'MM01'!CT$2),""))</f>
        <v/>
      </c>
      <c r="CU17" s="43" t="str">
        <f>IF(IFERROR(INDEX(Consulta!$A:$DF,MATCH('MM01'!$B17,Consulta!$C:$C,0),'MM01'!CU$2),"")=0,"",IFERROR(INDEX(Consulta!$A:$DF,MATCH('MM01'!$B17,Consulta!$C:$C,0),'MM01'!CU$2),""))</f>
        <v/>
      </c>
      <c r="CV17" s="43" t="str">
        <f>IF(IFERROR(INDEX(Consulta!$A:$DF,MATCH('MM01'!$B17,Consulta!$C:$C,0),'MM01'!CV$2),"")=0,"",IFERROR(INDEX(Consulta!$A:$DF,MATCH('MM01'!$B17,Consulta!$C:$C,0),'MM01'!CV$2),""))</f>
        <v/>
      </c>
      <c r="CW17" s="43" t="str">
        <f>IF(IFERROR(INDEX(Consulta!$A:$DF,MATCH('MM01'!$B17,Consulta!$C:$C,0),'MM01'!CW$2),"")=0,"",IFERROR(INDEX(Consulta!$A:$DF,MATCH('MM01'!$B17,Consulta!$C:$C,0),'MM01'!CW$2),""))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IF(IFERROR(INDEX(Consulta!$A:$DF,MATCH('MM01'!$B17,Consulta!$C:$C,0),'MM01'!DA$2),"")=0,"",IFERROR(INDEX(Consulta!$A:$DF,MATCH('MM01'!$B17,Consulta!$C:$C,0),'MM01'!DA$2),""))</f>
        <v/>
      </c>
      <c r="DB17" s="43" t="str">
        <f t="shared" si="22"/>
        <v/>
      </c>
      <c r="DC17" s="43" t="str">
        <f>IF(IFERROR(INDEX(Consulta!$A:$DF,MATCH('MM01'!$B17,Consulta!$C:$C,0),'MM01'!DC$2),"")=0,"",IFERROR(INDEX(Consulta!$A:$DF,MATCH('MM01'!$B17,Consulta!$C:$C,0),'MM01'!DC$2),""))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5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5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5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5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IF(IFERROR(INDEX(Consulta!$A:$DF,MATCH('MM01'!$B17,Consulta!$C:$C,0),'MM01'!EB$2),"")=0,"7925",IF(IFERROR(INDEX(Consulta!$A:$DF,MATCH('MM01'!$B17,Consulta!$C:$C,0),'MM01'!EB$2),"")="68","7910","7925"))</f>
        <v>7925</v>
      </c>
      <c r="EC17" s="44">
        <v>100</v>
      </c>
      <c r="ED17" s="60">
        <v>1</v>
      </c>
      <c r="EE17" s="43">
        <f t="shared" si="38"/>
        <v>100</v>
      </c>
      <c r="EF17" s="44">
        <v>1</v>
      </c>
      <c r="EG17" s="44">
        <v>0</v>
      </c>
      <c r="EH17" s="44" t="s">
        <v>867</v>
      </c>
      <c r="EI17" s="45">
        <v>0</v>
      </c>
      <c r="EJ17" s="43">
        <f t="shared" si="39"/>
        <v>5000</v>
      </c>
      <c r="EK17" s="65"/>
    </row>
    <row r="18" spans="1:141" x14ac:dyDescent="0.3">
      <c r="A18" s="7" t="str">
        <f t="shared" si="0"/>
        <v>Execução 14</v>
      </c>
      <c r="B18" s="42"/>
      <c r="C18" s="43" t="str">
        <f>IF(IFERROR(INDEX(Consulta!$A:$DF,MATCH('MM01'!$B18,Consulta!$C:$C,0),'MM01'!C$2),"")=0,"",IFERROR(INDEX(Consulta!$A:$DF,MATCH('MM01'!$B18,Consulta!$C:$C,0),'MM01'!C$2),""))</f>
        <v/>
      </c>
      <c r="D18" s="43" t="str">
        <f>IF(IFERROR(INDEX(Consulta!$A:$DF,MATCH('MM01'!$B18,Consulta!$C:$C,0),'MM01'!D$2),"")=0,"",IFERROR(INDEX(Consulta!$A:$DF,MATCH('MM01'!$B18,Consulta!$C:$C,0),'MM01'!D$2),""))</f>
        <v/>
      </c>
      <c r="E18" s="43" t="str">
        <f>IF(IFERROR(INDEX(Consulta!$A:$DF,MATCH('MM01'!$B18,Consulta!$C:$C,0),'MM01'!E$2),"")=0,"",IFERROR(INDEX(Consulta!$A:$DF,MATCH('MM01'!$B18,Consulta!$C:$C,0),'MM01'!E$2),""))</f>
        <v/>
      </c>
      <c r="F18" s="44" t="s">
        <v>100</v>
      </c>
      <c r="G18" s="49" t="str">
        <f>IF(IFERROR(INDEX(Consulta!$A:$DF,MATCH('MM01'!$B18,Consulta!$C:$C,0),'MM01'!G$2),"")=0,"",IFERROR(INDEX(Consulta!$A:$DF,MATCH('MM01'!$B18,Consulta!$C:$C,0),'MM01'!G$2),""))</f>
        <v/>
      </c>
      <c r="H18" s="49" t="str">
        <f>IF(IFERROR(INDEX(Consulta!$A:$DF,MATCH('MM01'!$B18,Consulta!$C:$C,0),'MM01'!H$2),"")=0,"",IFERROR(INDEX(Consulta!$A:$DF,MATCH('MM01'!$B18,Consulta!$C:$C,0),'MM01'!H$2),""))</f>
        <v/>
      </c>
      <c r="I18" s="49" t="str">
        <f t="shared" si="1"/>
        <v/>
      </c>
      <c r="J18" s="49" t="str">
        <f>IF(IFERROR(INDEX(Consulta!$A:$DF,MATCH('MM01'!$B18,Consulta!$C:$C,0),'MM01'!J$2),"")=0,"",IFERROR(INDEX(Consulta!$A:$DF,MATCH('MM01'!$B18,Consulta!$C:$C,0),'MM01'!J$2),""))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IF(IFERROR(INDEX(Consulta!$A:$DF,MATCH('MM01'!$B18,Consulta!$C:$C,0),'MM01'!AP$2),"")=0,"",IFERROR(INDEX(Consulta!$A:$DF,MATCH('MM01'!$B18,Consulta!$C:$C,0),'MM01'!AP$2),""))</f>
        <v/>
      </c>
      <c r="AQ18" s="45"/>
      <c r="AR18" s="43" t="str">
        <f>IF(IFERROR(INDEX(Consulta!$A:$DF,MATCH('MM01'!$B18,Consulta!$C:$C,0),'MM01'!AR$2),"")=0,"",IFERROR(INDEX(Consulta!$A:$DF,MATCH('MM01'!$B18,Consulta!$C:$C,0),'MM01'!AR$2),""))</f>
        <v/>
      </c>
      <c r="AS18" s="43" t="str">
        <f>IF(IFERROR(INDEX(Consulta!$A:$DF,MATCH('MM01'!$B18,Consulta!$C:$C,0),'MM01'!AS$2),"")=0,"",IF(AR18="68",5102,IFERROR(INDEX(Consulta!$A:$DF,MATCH('MM01'!$B18,Consulta!$C:$C,0),'MM01'!AS$2),"")))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IF(IFERROR(INDEX(Consulta!$A:$DF,MATCH('MM01'!$B18,Consulta!$C:$C,0),'MM01'!AW$2),"")=0,"",IFERROR(ROUND(INDEX(Consulta!$A:$DF,MATCH('MM01'!$B18,Consulta!$C:$C,0),'MM01'!AW$2),3),""))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IF(IFERROR(INDEX(Consulta!$A:$DF,MATCH('MM01'!$B18,Consulta!$C:$C,0),'MM01'!BA$2),"")=0,"",IFERROR(INDEX(Consulta!$A:$DF,MATCH('MM01'!$B18,Consulta!$C:$C,0),'MM01'!BA$2),""))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IF(IFERROR(INDEX(Consulta!$A:$DF,MATCH('MM01'!$B18,Consulta!$C:$C,0),'MM01'!BL$2),"")=0,"",IFERROR(INDEX(Consulta!$A:$DF,MATCH('MM01'!$B18,Consulta!$C:$C,0),'MM01'!BL$2),""))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IF(IFERROR(INDEX(Consulta!$A:$DF,MATCH('MM01'!$B18,Consulta!$C:$C,0),'MM01'!BX$2),"")=0,"",IFERROR(INDEX(Consulta!$A:$DF,MATCH('MM01'!$B18,Consulta!$C:$C,0),'MM01'!BX$2),""))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IF(IFERROR(INDEX(Consulta!$A:$DF,MATCH('MM01'!$B18,Consulta!$C:$C,0),'MM01'!CT$2),"")=0,"",IFERROR(INDEX(Consulta!$A:$DF,MATCH('MM01'!$B18,Consulta!$C:$C,0),'MM01'!CT$2),""))</f>
        <v/>
      </c>
      <c r="CU18" s="43" t="str">
        <f>IF(IFERROR(INDEX(Consulta!$A:$DF,MATCH('MM01'!$B18,Consulta!$C:$C,0),'MM01'!CU$2),"")=0,"",IFERROR(INDEX(Consulta!$A:$DF,MATCH('MM01'!$B18,Consulta!$C:$C,0),'MM01'!CU$2),""))</f>
        <v/>
      </c>
      <c r="CV18" s="43" t="str">
        <f>IF(IFERROR(INDEX(Consulta!$A:$DF,MATCH('MM01'!$B18,Consulta!$C:$C,0),'MM01'!CV$2),"")=0,"",IFERROR(INDEX(Consulta!$A:$DF,MATCH('MM01'!$B18,Consulta!$C:$C,0),'MM01'!CV$2),""))</f>
        <v/>
      </c>
      <c r="CW18" s="43" t="str">
        <f>IF(IFERROR(INDEX(Consulta!$A:$DF,MATCH('MM01'!$B18,Consulta!$C:$C,0),'MM01'!CW$2),"")=0,"",IFERROR(INDEX(Consulta!$A:$DF,MATCH('MM01'!$B18,Consulta!$C:$C,0),'MM01'!CW$2),""))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IF(IFERROR(INDEX(Consulta!$A:$DF,MATCH('MM01'!$B18,Consulta!$C:$C,0),'MM01'!DA$2),"")=0,"",IFERROR(INDEX(Consulta!$A:$DF,MATCH('MM01'!$B18,Consulta!$C:$C,0),'MM01'!DA$2),""))</f>
        <v/>
      </c>
      <c r="DB18" s="43" t="str">
        <f t="shared" si="22"/>
        <v/>
      </c>
      <c r="DC18" s="43" t="str">
        <f>IF(IFERROR(INDEX(Consulta!$A:$DF,MATCH('MM01'!$B18,Consulta!$C:$C,0),'MM01'!DC$2),"")=0,"",IFERROR(INDEX(Consulta!$A:$DF,MATCH('MM01'!$B18,Consulta!$C:$C,0),'MM01'!DC$2),""))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5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5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5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5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IF(IFERROR(INDEX(Consulta!$A:$DF,MATCH('MM01'!$B18,Consulta!$C:$C,0),'MM01'!EB$2),"")=0,"7925",IF(IFERROR(INDEX(Consulta!$A:$DF,MATCH('MM01'!$B18,Consulta!$C:$C,0),'MM01'!EB$2),"")="68","7910","7925"))</f>
        <v>7925</v>
      </c>
      <c r="EC18" s="44">
        <v>100</v>
      </c>
      <c r="ED18" s="60">
        <v>1</v>
      </c>
      <c r="EE18" s="43">
        <f t="shared" si="38"/>
        <v>100</v>
      </c>
      <c r="EF18" s="44">
        <v>1</v>
      </c>
      <c r="EG18" s="44">
        <v>0</v>
      </c>
      <c r="EH18" s="44" t="s">
        <v>867</v>
      </c>
      <c r="EI18" s="45">
        <v>0</v>
      </c>
      <c r="EJ18" s="43">
        <f t="shared" si="39"/>
        <v>5000</v>
      </c>
      <c r="EK18" s="65"/>
    </row>
    <row r="19" spans="1:141" x14ac:dyDescent="0.3">
      <c r="A19" s="7" t="str">
        <f t="shared" si="0"/>
        <v>Execução 15</v>
      </c>
      <c r="B19" s="42"/>
      <c r="C19" s="43" t="str">
        <f>IF(IFERROR(INDEX(Consulta!$A:$DF,MATCH('MM01'!$B19,Consulta!$C:$C,0),'MM01'!C$2),"")=0,"",IFERROR(INDEX(Consulta!$A:$DF,MATCH('MM01'!$B19,Consulta!$C:$C,0),'MM01'!C$2),""))</f>
        <v/>
      </c>
      <c r="D19" s="43" t="str">
        <f>IF(IFERROR(INDEX(Consulta!$A:$DF,MATCH('MM01'!$B19,Consulta!$C:$C,0),'MM01'!D$2),"")=0,"",IFERROR(INDEX(Consulta!$A:$DF,MATCH('MM01'!$B19,Consulta!$C:$C,0),'MM01'!D$2),""))</f>
        <v/>
      </c>
      <c r="E19" s="43" t="str">
        <f>IF(IFERROR(INDEX(Consulta!$A:$DF,MATCH('MM01'!$B19,Consulta!$C:$C,0),'MM01'!E$2),"")=0,"",IFERROR(INDEX(Consulta!$A:$DF,MATCH('MM01'!$B19,Consulta!$C:$C,0),'MM01'!E$2),""))</f>
        <v/>
      </c>
      <c r="F19" s="44" t="s">
        <v>100</v>
      </c>
      <c r="G19" s="49" t="str">
        <f>IF(IFERROR(INDEX(Consulta!$A:$DF,MATCH('MM01'!$B19,Consulta!$C:$C,0),'MM01'!G$2),"")=0,"",IFERROR(INDEX(Consulta!$A:$DF,MATCH('MM01'!$B19,Consulta!$C:$C,0),'MM01'!G$2),""))</f>
        <v/>
      </c>
      <c r="H19" s="49" t="str">
        <f>IF(IFERROR(INDEX(Consulta!$A:$DF,MATCH('MM01'!$B19,Consulta!$C:$C,0),'MM01'!H$2),"")=0,"",IFERROR(INDEX(Consulta!$A:$DF,MATCH('MM01'!$B19,Consulta!$C:$C,0),'MM01'!H$2),""))</f>
        <v/>
      </c>
      <c r="I19" s="49" t="str">
        <f t="shared" si="1"/>
        <v/>
      </c>
      <c r="J19" s="49" t="str">
        <f>IF(IFERROR(INDEX(Consulta!$A:$DF,MATCH('MM01'!$B19,Consulta!$C:$C,0),'MM01'!J$2),"")=0,"",IFERROR(INDEX(Consulta!$A:$DF,MATCH('MM01'!$B19,Consulta!$C:$C,0),'MM01'!J$2),""))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IF(IFERROR(INDEX(Consulta!$A:$DF,MATCH('MM01'!$B19,Consulta!$C:$C,0),'MM01'!AP$2),"")=0,"",IFERROR(INDEX(Consulta!$A:$DF,MATCH('MM01'!$B19,Consulta!$C:$C,0),'MM01'!AP$2),""))</f>
        <v/>
      </c>
      <c r="AQ19" s="45"/>
      <c r="AR19" s="43" t="str">
        <f>IF(IFERROR(INDEX(Consulta!$A:$DF,MATCH('MM01'!$B19,Consulta!$C:$C,0),'MM01'!AR$2),"")=0,"",IFERROR(INDEX(Consulta!$A:$DF,MATCH('MM01'!$B19,Consulta!$C:$C,0),'MM01'!AR$2),""))</f>
        <v/>
      </c>
      <c r="AS19" s="43" t="str">
        <f>IF(IFERROR(INDEX(Consulta!$A:$DF,MATCH('MM01'!$B19,Consulta!$C:$C,0),'MM01'!AS$2),"")=0,"",IF(AR19="68",5102,IFERROR(INDEX(Consulta!$A:$DF,MATCH('MM01'!$B19,Consulta!$C:$C,0),'MM01'!AS$2),"")))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IF(IFERROR(INDEX(Consulta!$A:$DF,MATCH('MM01'!$B19,Consulta!$C:$C,0),'MM01'!AW$2),"")=0,"",IFERROR(ROUND(INDEX(Consulta!$A:$DF,MATCH('MM01'!$B19,Consulta!$C:$C,0),'MM01'!AW$2),3),""))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IF(IFERROR(INDEX(Consulta!$A:$DF,MATCH('MM01'!$B19,Consulta!$C:$C,0),'MM01'!BA$2),"")=0,"",IFERROR(INDEX(Consulta!$A:$DF,MATCH('MM01'!$B19,Consulta!$C:$C,0),'MM01'!BA$2),""))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IF(IFERROR(INDEX(Consulta!$A:$DF,MATCH('MM01'!$B19,Consulta!$C:$C,0),'MM01'!BL$2),"")=0,"",IFERROR(INDEX(Consulta!$A:$DF,MATCH('MM01'!$B19,Consulta!$C:$C,0),'MM01'!BL$2),""))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IF(IFERROR(INDEX(Consulta!$A:$DF,MATCH('MM01'!$B19,Consulta!$C:$C,0),'MM01'!BX$2),"")=0,"",IFERROR(INDEX(Consulta!$A:$DF,MATCH('MM01'!$B19,Consulta!$C:$C,0),'MM01'!BX$2),""))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IF(IFERROR(INDEX(Consulta!$A:$DF,MATCH('MM01'!$B19,Consulta!$C:$C,0),'MM01'!CT$2),"")=0,"",IFERROR(INDEX(Consulta!$A:$DF,MATCH('MM01'!$B19,Consulta!$C:$C,0),'MM01'!CT$2),""))</f>
        <v/>
      </c>
      <c r="CU19" s="43" t="str">
        <f>IF(IFERROR(INDEX(Consulta!$A:$DF,MATCH('MM01'!$B19,Consulta!$C:$C,0),'MM01'!CU$2),"")=0,"",IFERROR(INDEX(Consulta!$A:$DF,MATCH('MM01'!$B19,Consulta!$C:$C,0),'MM01'!CU$2),""))</f>
        <v/>
      </c>
      <c r="CV19" s="43" t="str">
        <f>IF(IFERROR(INDEX(Consulta!$A:$DF,MATCH('MM01'!$B19,Consulta!$C:$C,0),'MM01'!CV$2),"")=0,"",IFERROR(INDEX(Consulta!$A:$DF,MATCH('MM01'!$B19,Consulta!$C:$C,0),'MM01'!CV$2),""))</f>
        <v/>
      </c>
      <c r="CW19" s="43" t="str">
        <f>IF(IFERROR(INDEX(Consulta!$A:$DF,MATCH('MM01'!$B19,Consulta!$C:$C,0),'MM01'!CW$2),"")=0,"",IFERROR(INDEX(Consulta!$A:$DF,MATCH('MM01'!$B19,Consulta!$C:$C,0),'MM01'!CW$2),""))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IF(IFERROR(INDEX(Consulta!$A:$DF,MATCH('MM01'!$B19,Consulta!$C:$C,0),'MM01'!DA$2),"")=0,"",IFERROR(INDEX(Consulta!$A:$DF,MATCH('MM01'!$B19,Consulta!$C:$C,0),'MM01'!DA$2),""))</f>
        <v/>
      </c>
      <c r="DB19" s="43" t="str">
        <f t="shared" si="22"/>
        <v/>
      </c>
      <c r="DC19" s="43" t="str">
        <f>IF(IFERROR(INDEX(Consulta!$A:$DF,MATCH('MM01'!$B19,Consulta!$C:$C,0),'MM01'!DC$2),"")=0,"",IFERROR(INDEX(Consulta!$A:$DF,MATCH('MM01'!$B19,Consulta!$C:$C,0),'MM01'!DC$2),""))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5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5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5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5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IF(IFERROR(INDEX(Consulta!$A:$DF,MATCH('MM01'!$B19,Consulta!$C:$C,0),'MM01'!EB$2),"")=0,"7925",IF(IFERROR(INDEX(Consulta!$A:$DF,MATCH('MM01'!$B19,Consulta!$C:$C,0),'MM01'!EB$2),"")="68","7910","7925"))</f>
        <v>7925</v>
      </c>
      <c r="EC19" s="44">
        <v>100</v>
      </c>
      <c r="ED19" s="60">
        <v>1</v>
      </c>
      <c r="EE19" s="43">
        <f t="shared" si="38"/>
        <v>100</v>
      </c>
      <c r="EF19" s="44">
        <v>1</v>
      </c>
      <c r="EG19" s="44">
        <v>0</v>
      </c>
      <c r="EH19" s="44" t="s">
        <v>867</v>
      </c>
      <c r="EI19" s="45">
        <v>0</v>
      </c>
      <c r="EJ19" s="43">
        <f t="shared" si="39"/>
        <v>5000</v>
      </c>
      <c r="EK19" s="65"/>
    </row>
    <row r="20" spans="1:141" x14ac:dyDescent="0.3">
      <c r="A20" s="7" t="str">
        <f t="shared" si="0"/>
        <v>Execução 16</v>
      </c>
      <c r="B20" s="42"/>
      <c r="C20" s="43" t="str">
        <f>IF(IFERROR(INDEX(Consulta!$A:$DF,MATCH('MM01'!$B20,Consulta!$C:$C,0),'MM01'!C$2),"")=0,"",IFERROR(INDEX(Consulta!$A:$DF,MATCH('MM01'!$B20,Consulta!$C:$C,0),'MM01'!C$2),""))</f>
        <v/>
      </c>
      <c r="D20" s="43" t="str">
        <f>IF(IFERROR(INDEX(Consulta!$A:$DF,MATCH('MM01'!$B20,Consulta!$C:$C,0),'MM01'!D$2),"")=0,"",IFERROR(INDEX(Consulta!$A:$DF,MATCH('MM01'!$B20,Consulta!$C:$C,0),'MM01'!D$2),""))</f>
        <v/>
      </c>
      <c r="E20" s="43" t="str">
        <f>IF(IFERROR(INDEX(Consulta!$A:$DF,MATCH('MM01'!$B20,Consulta!$C:$C,0),'MM01'!E$2),"")=0,"",IFERROR(INDEX(Consulta!$A:$DF,MATCH('MM01'!$B20,Consulta!$C:$C,0),'MM01'!E$2),""))</f>
        <v/>
      </c>
      <c r="F20" s="44" t="s">
        <v>100</v>
      </c>
      <c r="G20" s="49" t="str">
        <f>IF(IFERROR(INDEX(Consulta!$A:$DF,MATCH('MM01'!$B20,Consulta!$C:$C,0),'MM01'!G$2),"")=0,"",IFERROR(INDEX(Consulta!$A:$DF,MATCH('MM01'!$B20,Consulta!$C:$C,0),'MM01'!G$2),""))</f>
        <v/>
      </c>
      <c r="H20" s="49" t="str">
        <f>IF(IFERROR(INDEX(Consulta!$A:$DF,MATCH('MM01'!$B20,Consulta!$C:$C,0),'MM01'!H$2),"")=0,"",IFERROR(INDEX(Consulta!$A:$DF,MATCH('MM01'!$B20,Consulta!$C:$C,0),'MM01'!H$2),""))</f>
        <v/>
      </c>
      <c r="I20" s="49" t="str">
        <f t="shared" si="1"/>
        <v/>
      </c>
      <c r="J20" s="49" t="str">
        <f>IF(IFERROR(INDEX(Consulta!$A:$DF,MATCH('MM01'!$B20,Consulta!$C:$C,0),'MM01'!J$2),"")=0,"",IFERROR(INDEX(Consulta!$A:$DF,MATCH('MM01'!$B20,Consulta!$C:$C,0),'MM01'!J$2),""))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IF(IFERROR(INDEX(Consulta!$A:$DF,MATCH('MM01'!$B20,Consulta!$C:$C,0),'MM01'!AP$2),"")=0,"",IFERROR(INDEX(Consulta!$A:$DF,MATCH('MM01'!$B20,Consulta!$C:$C,0),'MM01'!AP$2),""))</f>
        <v/>
      </c>
      <c r="AQ20" s="45"/>
      <c r="AR20" s="43" t="str">
        <f>IF(IFERROR(INDEX(Consulta!$A:$DF,MATCH('MM01'!$B20,Consulta!$C:$C,0),'MM01'!AR$2),"")=0,"",IFERROR(INDEX(Consulta!$A:$DF,MATCH('MM01'!$B20,Consulta!$C:$C,0),'MM01'!AR$2),""))</f>
        <v/>
      </c>
      <c r="AS20" s="43" t="str">
        <f>IF(IFERROR(INDEX(Consulta!$A:$DF,MATCH('MM01'!$B20,Consulta!$C:$C,0),'MM01'!AS$2),"")=0,"",IF(AR20="68",5102,IFERROR(INDEX(Consulta!$A:$DF,MATCH('MM01'!$B20,Consulta!$C:$C,0),'MM01'!AS$2),"")))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IF(IFERROR(INDEX(Consulta!$A:$DF,MATCH('MM01'!$B20,Consulta!$C:$C,0),'MM01'!AW$2),"")=0,"",IFERROR(ROUND(INDEX(Consulta!$A:$DF,MATCH('MM01'!$B20,Consulta!$C:$C,0),'MM01'!AW$2),3),""))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IF(IFERROR(INDEX(Consulta!$A:$DF,MATCH('MM01'!$B20,Consulta!$C:$C,0),'MM01'!BA$2),"")=0,"",IFERROR(INDEX(Consulta!$A:$DF,MATCH('MM01'!$B20,Consulta!$C:$C,0),'MM01'!BA$2),""))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IF(IFERROR(INDEX(Consulta!$A:$DF,MATCH('MM01'!$B20,Consulta!$C:$C,0),'MM01'!BL$2),"")=0,"",IFERROR(INDEX(Consulta!$A:$DF,MATCH('MM01'!$B20,Consulta!$C:$C,0),'MM01'!BL$2),""))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IF(IFERROR(INDEX(Consulta!$A:$DF,MATCH('MM01'!$B20,Consulta!$C:$C,0),'MM01'!BX$2),"")=0,"",IFERROR(INDEX(Consulta!$A:$DF,MATCH('MM01'!$B20,Consulta!$C:$C,0),'MM01'!BX$2),""))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IF(IFERROR(INDEX(Consulta!$A:$DF,MATCH('MM01'!$B20,Consulta!$C:$C,0),'MM01'!CT$2),"")=0,"",IFERROR(INDEX(Consulta!$A:$DF,MATCH('MM01'!$B20,Consulta!$C:$C,0),'MM01'!CT$2),""))</f>
        <v/>
      </c>
      <c r="CU20" s="43" t="str">
        <f>IF(IFERROR(INDEX(Consulta!$A:$DF,MATCH('MM01'!$B20,Consulta!$C:$C,0),'MM01'!CU$2),"")=0,"",IFERROR(INDEX(Consulta!$A:$DF,MATCH('MM01'!$B20,Consulta!$C:$C,0),'MM01'!CU$2),""))</f>
        <v/>
      </c>
      <c r="CV20" s="43" t="str">
        <f>IF(IFERROR(INDEX(Consulta!$A:$DF,MATCH('MM01'!$B20,Consulta!$C:$C,0),'MM01'!CV$2),"")=0,"",IFERROR(INDEX(Consulta!$A:$DF,MATCH('MM01'!$B20,Consulta!$C:$C,0),'MM01'!CV$2),""))</f>
        <v/>
      </c>
      <c r="CW20" s="43" t="str">
        <f>IF(IFERROR(INDEX(Consulta!$A:$DF,MATCH('MM01'!$B20,Consulta!$C:$C,0),'MM01'!CW$2),"")=0,"",IFERROR(INDEX(Consulta!$A:$DF,MATCH('MM01'!$B20,Consulta!$C:$C,0),'MM01'!CW$2),""))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IF(IFERROR(INDEX(Consulta!$A:$DF,MATCH('MM01'!$B20,Consulta!$C:$C,0),'MM01'!DA$2),"")=0,"",IFERROR(INDEX(Consulta!$A:$DF,MATCH('MM01'!$B20,Consulta!$C:$C,0),'MM01'!DA$2),""))</f>
        <v/>
      </c>
      <c r="DB20" s="43" t="str">
        <f t="shared" si="22"/>
        <v/>
      </c>
      <c r="DC20" s="43" t="str">
        <f>IF(IFERROR(INDEX(Consulta!$A:$DF,MATCH('MM01'!$B20,Consulta!$C:$C,0),'MM01'!DC$2),"")=0,"",IFERROR(INDEX(Consulta!$A:$DF,MATCH('MM01'!$B20,Consulta!$C:$C,0),'MM01'!DC$2),""))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5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5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5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5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IF(IFERROR(INDEX(Consulta!$A:$DF,MATCH('MM01'!$B20,Consulta!$C:$C,0),'MM01'!EB$2),"")=0,"7925",IF(IFERROR(INDEX(Consulta!$A:$DF,MATCH('MM01'!$B20,Consulta!$C:$C,0),'MM01'!EB$2),"")="68","7910","7925"))</f>
        <v>7925</v>
      </c>
      <c r="EC20" s="44">
        <v>100</v>
      </c>
      <c r="ED20" s="60">
        <v>1</v>
      </c>
      <c r="EE20" s="43">
        <f t="shared" si="38"/>
        <v>100</v>
      </c>
      <c r="EF20" s="44">
        <v>1</v>
      </c>
      <c r="EG20" s="44">
        <v>0</v>
      </c>
      <c r="EH20" s="44" t="s">
        <v>867</v>
      </c>
      <c r="EI20" s="45">
        <v>0</v>
      </c>
      <c r="EJ20" s="43">
        <f t="shared" si="39"/>
        <v>5000</v>
      </c>
      <c r="EK20" s="65"/>
    </row>
    <row r="21" spans="1:141" x14ac:dyDescent="0.3">
      <c r="A21" s="7" t="str">
        <f t="shared" si="0"/>
        <v>Execução 17</v>
      </c>
      <c r="B21" s="42"/>
      <c r="C21" s="43" t="str">
        <f>IF(IFERROR(INDEX(Consulta!$A:$DF,MATCH('MM01'!$B21,Consulta!$C:$C,0),'MM01'!C$2),"")=0,"",IFERROR(INDEX(Consulta!$A:$DF,MATCH('MM01'!$B21,Consulta!$C:$C,0),'MM01'!C$2),""))</f>
        <v/>
      </c>
      <c r="D21" s="43" t="str">
        <f>IF(IFERROR(INDEX(Consulta!$A:$DF,MATCH('MM01'!$B21,Consulta!$C:$C,0),'MM01'!D$2),"")=0,"",IFERROR(INDEX(Consulta!$A:$DF,MATCH('MM01'!$B21,Consulta!$C:$C,0),'MM01'!D$2),""))</f>
        <v/>
      </c>
      <c r="E21" s="43" t="str">
        <f>IF(IFERROR(INDEX(Consulta!$A:$DF,MATCH('MM01'!$B21,Consulta!$C:$C,0),'MM01'!E$2),"")=0,"",IFERROR(INDEX(Consulta!$A:$DF,MATCH('MM01'!$B21,Consulta!$C:$C,0),'MM01'!E$2),""))</f>
        <v/>
      </c>
      <c r="F21" s="44" t="s">
        <v>100</v>
      </c>
      <c r="G21" s="49" t="str">
        <f>IF(IFERROR(INDEX(Consulta!$A:$DF,MATCH('MM01'!$B21,Consulta!$C:$C,0),'MM01'!G$2),"")=0,"",IFERROR(INDEX(Consulta!$A:$DF,MATCH('MM01'!$B21,Consulta!$C:$C,0),'MM01'!G$2),""))</f>
        <v/>
      </c>
      <c r="H21" s="49" t="str">
        <f>IF(IFERROR(INDEX(Consulta!$A:$DF,MATCH('MM01'!$B21,Consulta!$C:$C,0),'MM01'!H$2),"")=0,"",IFERROR(INDEX(Consulta!$A:$DF,MATCH('MM01'!$B21,Consulta!$C:$C,0),'MM01'!H$2),""))</f>
        <v/>
      </c>
      <c r="I21" s="49" t="str">
        <f t="shared" si="1"/>
        <v/>
      </c>
      <c r="J21" s="49" t="str">
        <f>IF(IFERROR(INDEX(Consulta!$A:$DF,MATCH('MM01'!$B21,Consulta!$C:$C,0),'MM01'!J$2),"")=0,"",IFERROR(INDEX(Consulta!$A:$DF,MATCH('MM01'!$B21,Consulta!$C:$C,0),'MM01'!J$2),""))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IF(IFERROR(INDEX(Consulta!$A:$DF,MATCH('MM01'!$B21,Consulta!$C:$C,0),'MM01'!AP$2),"")=0,"",IFERROR(INDEX(Consulta!$A:$DF,MATCH('MM01'!$B21,Consulta!$C:$C,0),'MM01'!AP$2),""))</f>
        <v/>
      </c>
      <c r="AQ21" s="45"/>
      <c r="AR21" s="43" t="str">
        <f>IF(IFERROR(INDEX(Consulta!$A:$DF,MATCH('MM01'!$B21,Consulta!$C:$C,0),'MM01'!AR$2),"")=0,"",IFERROR(INDEX(Consulta!$A:$DF,MATCH('MM01'!$B21,Consulta!$C:$C,0),'MM01'!AR$2),""))</f>
        <v/>
      </c>
      <c r="AS21" s="43" t="str">
        <f>IF(IFERROR(INDEX(Consulta!$A:$DF,MATCH('MM01'!$B21,Consulta!$C:$C,0),'MM01'!AS$2),"")=0,"",IF(AR21="68",5102,IFERROR(INDEX(Consulta!$A:$DF,MATCH('MM01'!$B21,Consulta!$C:$C,0),'MM01'!AS$2),"")))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IF(IFERROR(INDEX(Consulta!$A:$DF,MATCH('MM01'!$B21,Consulta!$C:$C,0),'MM01'!AW$2),"")=0,"",IFERROR(ROUND(INDEX(Consulta!$A:$DF,MATCH('MM01'!$B21,Consulta!$C:$C,0),'MM01'!AW$2),3),""))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IF(IFERROR(INDEX(Consulta!$A:$DF,MATCH('MM01'!$B21,Consulta!$C:$C,0),'MM01'!BA$2),"")=0,"",IFERROR(INDEX(Consulta!$A:$DF,MATCH('MM01'!$B21,Consulta!$C:$C,0),'MM01'!BA$2),""))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IF(IFERROR(INDEX(Consulta!$A:$DF,MATCH('MM01'!$B21,Consulta!$C:$C,0),'MM01'!BL$2),"")=0,"",IFERROR(INDEX(Consulta!$A:$DF,MATCH('MM01'!$B21,Consulta!$C:$C,0),'MM01'!BL$2),""))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IF(IFERROR(INDEX(Consulta!$A:$DF,MATCH('MM01'!$B21,Consulta!$C:$C,0),'MM01'!BX$2),"")=0,"",IFERROR(INDEX(Consulta!$A:$DF,MATCH('MM01'!$B21,Consulta!$C:$C,0),'MM01'!BX$2),""))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IF(IFERROR(INDEX(Consulta!$A:$DF,MATCH('MM01'!$B21,Consulta!$C:$C,0),'MM01'!CT$2),"")=0,"",IFERROR(INDEX(Consulta!$A:$DF,MATCH('MM01'!$B21,Consulta!$C:$C,0),'MM01'!CT$2),""))</f>
        <v/>
      </c>
      <c r="CU21" s="43" t="str">
        <f>IF(IFERROR(INDEX(Consulta!$A:$DF,MATCH('MM01'!$B21,Consulta!$C:$C,0),'MM01'!CU$2),"")=0,"",IFERROR(INDEX(Consulta!$A:$DF,MATCH('MM01'!$B21,Consulta!$C:$C,0),'MM01'!CU$2),""))</f>
        <v/>
      </c>
      <c r="CV21" s="43" t="str">
        <f>IF(IFERROR(INDEX(Consulta!$A:$DF,MATCH('MM01'!$B21,Consulta!$C:$C,0),'MM01'!CV$2),"")=0,"",IFERROR(INDEX(Consulta!$A:$DF,MATCH('MM01'!$B21,Consulta!$C:$C,0),'MM01'!CV$2),""))</f>
        <v/>
      </c>
      <c r="CW21" s="43" t="str">
        <f>IF(IFERROR(INDEX(Consulta!$A:$DF,MATCH('MM01'!$B21,Consulta!$C:$C,0),'MM01'!CW$2),"")=0,"",IFERROR(INDEX(Consulta!$A:$DF,MATCH('MM01'!$B21,Consulta!$C:$C,0),'MM01'!CW$2),""))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IF(IFERROR(INDEX(Consulta!$A:$DF,MATCH('MM01'!$B21,Consulta!$C:$C,0),'MM01'!DA$2),"")=0,"",IFERROR(INDEX(Consulta!$A:$DF,MATCH('MM01'!$B21,Consulta!$C:$C,0),'MM01'!DA$2),""))</f>
        <v/>
      </c>
      <c r="DB21" s="43" t="str">
        <f t="shared" si="22"/>
        <v/>
      </c>
      <c r="DC21" s="43" t="str">
        <f>IF(IFERROR(INDEX(Consulta!$A:$DF,MATCH('MM01'!$B21,Consulta!$C:$C,0),'MM01'!DC$2),"")=0,"",IFERROR(INDEX(Consulta!$A:$DF,MATCH('MM01'!$B21,Consulta!$C:$C,0),'MM01'!DC$2),""))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5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5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5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5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IF(IFERROR(INDEX(Consulta!$A:$DF,MATCH('MM01'!$B21,Consulta!$C:$C,0),'MM01'!EB$2),"")=0,"7925",IF(IFERROR(INDEX(Consulta!$A:$DF,MATCH('MM01'!$B21,Consulta!$C:$C,0),'MM01'!EB$2),"")="68","7910","7925"))</f>
        <v>7925</v>
      </c>
      <c r="EC21" s="44">
        <v>100</v>
      </c>
      <c r="ED21" s="60">
        <v>1</v>
      </c>
      <c r="EE21" s="43">
        <f t="shared" si="38"/>
        <v>100</v>
      </c>
      <c r="EF21" s="44">
        <v>1</v>
      </c>
      <c r="EG21" s="44">
        <v>0</v>
      </c>
      <c r="EH21" s="44" t="s">
        <v>867</v>
      </c>
      <c r="EI21" s="45">
        <v>0</v>
      </c>
      <c r="EJ21" s="43">
        <f t="shared" si="39"/>
        <v>5000</v>
      </c>
      <c r="EK21" s="65"/>
    </row>
    <row r="22" spans="1:141" x14ac:dyDescent="0.3">
      <c r="A22" s="7" t="str">
        <f t="shared" si="0"/>
        <v>Execução 18</v>
      </c>
      <c r="B22" s="42"/>
      <c r="C22" s="43" t="str">
        <f>IF(IFERROR(INDEX(Consulta!$A:$DF,MATCH('MM01'!$B22,Consulta!$C:$C,0),'MM01'!C$2),"")=0,"",IFERROR(INDEX(Consulta!$A:$DF,MATCH('MM01'!$B22,Consulta!$C:$C,0),'MM01'!C$2),""))</f>
        <v/>
      </c>
      <c r="D22" s="43" t="str">
        <f>IF(IFERROR(INDEX(Consulta!$A:$DF,MATCH('MM01'!$B22,Consulta!$C:$C,0),'MM01'!D$2),"")=0,"",IFERROR(INDEX(Consulta!$A:$DF,MATCH('MM01'!$B22,Consulta!$C:$C,0),'MM01'!D$2),""))</f>
        <v/>
      </c>
      <c r="E22" s="43" t="str">
        <f>IF(IFERROR(INDEX(Consulta!$A:$DF,MATCH('MM01'!$B22,Consulta!$C:$C,0),'MM01'!E$2),"")=0,"",IFERROR(INDEX(Consulta!$A:$DF,MATCH('MM01'!$B22,Consulta!$C:$C,0),'MM01'!E$2),""))</f>
        <v/>
      </c>
      <c r="F22" s="44" t="s">
        <v>100</v>
      </c>
      <c r="G22" s="49" t="str">
        <f>IF(IFERROR(INDEX(Consulta!$A:$DF,MATCH('MM01'!$B22,Consulta!$C:$C,0),'MM01'!G$2),"")=0,"",IFERROR(INDEX(Consulta!$A:$DF,MATCH('MM01'!$B22,Consulta!$C:$C,0),'MM01'!G$2),""))</f>
        <v/>
      </c>
      <c r="H22" s="49" t="str">
        <f>IF(IFERROR(INDEX(Consulta!$A:$DF,MATCH('MM01'!$B22,Consulta!$C:$C,0),'MM01'!H$2),"")=0,"",IFERROR(INDEX(Consulta!$A:$DF,MATCH('MM01'!$B22,Consulta!$C:$C,0),'MM01'!H$2),""))</f>
        <v/>
      </c>
      <c r="I22" s="49" t="str">
        <f t="shared" si="1"/>
        <v/>
      </c>
      <c r="J22" s="49" t="str">
        <f>IF(IFERROR(INDEX(Consulta!$A:$DF,MATCH('MM01'!$B22,Consulta!$C:$C,0),'MM01'!J$2),"")=0,"",IFERROR(INDEX(Consulta!$A:$DF,MATCH('MM01'!$B22,Consulta!$C:$C,0),'MM01'!J$2),""))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IF(IFERROR(INDEX(Consulta!$A:$DF,MATCH('MM01'!$B22,Consulta!$C:$C,0),'MM01'!AP$2),"")=0,"",IFERROR(INDEX(Consulta!$A:$DF,MATCH('MM01'!$B22,Consulta!$C:$C,0),'MM01'!AP$2),""))</f>
        <v/>
      </c>
      <c r="AQ22" s="45"/>
      <c r="AR22" s="43" t="str">
        <f>IF(IFERROR(INDEX(Consulta!$A:$DF,MATCH('MM01'!$B22,Consulta!$C:$C,0),'MM01'!AR$2),"")=0,"",IFERROR(INDEX(Consulta!$A:$DF,MATCH('MM01'!$B22,Consulta!$C:$C,0),'MM01'!AR$2),""))</f>
        <v/>
      </c>
      <c r="AS22" s="43" t="str">
        <f>IF(IFERROR(INDEX(Consulta!$A:$DF,MATCH('MM01'!$B22,Consulta!$C:$C,0),'MM01'!AS$2),"")=0,"",IF(AR22="68",5102,IFERROR(INDEX(Consulta!$A:$DF,MATCH('MM01'!$B22,Consulta!$C:$C,0),'MM01'!AS$2),"")))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IF(IFERROR(INDEX(Consulta!$A:$DF,MATCH('MM01'!$B22,Consulta!$C:$C,0),'MM01'!AW$2),"")=0,"",IFERROR(ROUND(INDEX(Consulta!$A:$DF,MATCH('MM01'!$B22,Consulta!$C:$C,0),'MM01'!AW$2),3),""))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IF(IFERROR(INDEX(Consulta!$A:$DF,MATCH('MM01'!$B22,Consulta!$C:$C,0),'MM01'!BA$2),"")=0,"",IFERROR(INDEX(Consulta!$A:$DF,MATCH('MM01'!$B22,Consulta!$C:$C,0),'MM01'!BA$2),""))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IF(IFERROR(INDEX(Consulta!$A:$DF,MATCH('MM01'!$B22,Consulta!$C:$C,0),'MM01'!BL$2),"")=0,"",IFERROR(INDEX(Consulta!$A:$DF,MATCH('MM01'!$B22,Consulta!$C:$C,0),'MM01'!BL$2),""))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IF(IFERROR(INDEX(Consulta!$A:$DF,MATCH('MM01'!$B22,Consulta!$C:$C,0),'MM01'!BX$2),"")=0,"",IFERROR(INDEX(Consulta!$A:$DF,MATCH('MM01'!$B22,Consulta!$C:$C,0),'MM01'!BX$2),""))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IF(IFERROR(INDEX(Consulta!$A:$DF,MATCH('MM01'!$B22,Consulta!$C:$C,0),'MM01'!CT$2),"")=0,"",IFERROR(INDEX(Consulta!$A:$DF,MATCH('MM01'!$B22,Consulta!$C:$C,0),'MM01'!CT$2),""))</f>
        <v/>
      </c>
      <c r="CU22" s="43" t="str">
        <f>IF(IFERROR(INDEX(Consulta!$A:$DF,MATCH('MM01'!$B22,Consulta!$C:$C,0),'MM01'!CU$2),"")=0,"",IFERROR(INDEX(Consulta!$A:$DF,MATCH('MM01'!$B22,Consulta!$C:$C,0),'MM01'!CU$2),""))</f>
        <v/>
      </c>
      <c r="CV22" s="43" t="str">
        <f>IF(IFERROR(INDEX(Consulta!$A:$DF,MATCH('MM01'!$B22,Consulta!$C:$C,0),'MM01'!CV$2),"")=0,"",IFERROR(INDEX(Consulta!$A:$DF,MATCH('MM01'!$B22,Consulta!$C:$C,0),'MM01'!CV$2),""))</f>
        <v/>
      </c>
      <c r="CW22" s="43" t="str">
        <f>IF(IFERROR(INDEX(Consulta!$A:$DF,MATCH('MM01'!$B22,Consulta!$C:$C,0),'MM01'!CW$2),"")=0,"",IFERROR(INDEX(Consulta!$A:$DF,MATCH('MM01'!$B22,Consulta!$C:$C,0),'MM01'!CW$2),""))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IF(IFERROR(INDEX(Consulta!$A:$DF,MATCH('MM01'!$B22,Consulta!$C:$C,0),'MM01'!DA$2),"")=0,"",IFERROR(INDEX(Consulta!$A:$DF,MATCH('MM01'!$B22,Consulta!$C:$C,0),'MM01'!DA$2),""))</f>
        <v/>
      </c>
      <c r="DB22" s="43" t="str">
        <f t="shared" si="22"/>
        <v/>
      </c>
      <c r="DC22" s="43" t="str">
        <f>IF(IFERROR(INDEX(Consulta!$A:$DF,MATCH('MM01'!$B22,Consulta!$C:$C,0),'MM01'!DC$2),"")=0,"",IFERROR(INDEX(Consulta!$A:$DF,MATCH('MM01'!$B22,Consulta!$C:$C,0),'MM01'!DC$2),""))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5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5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5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5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IF(IFERROR(INDEX(Consulta!$A:$DF,MATCH('MM01'!$B22,Consulta!$C:$C,0),'MM01'!EB$2),"")=0,"7925",IF(IFERROR(INDEX(Consulta!$A:$DF,MATCH('MM01'!$B22,Consulta!$C:$C,0),'MM01'!EB$2),"")="68","7910","7925"))</f>
        <v>7925</v>
      </c>
      <c r="EC22" s="44">
        <v>100</v>
      </c>
      <c r="ED22" s="60">
        <v>1</v>
      </c>
      <c r="EE22" s="43">
        <f t="shared" si="38"/>
        <v>100</v>
      </c>
      <c r="EF22" s="44">
        <v>1</v>
      </c>
      <c r="EG22" s="44">
        <v>0</v>
      </c>
      <c r="EH22" s="44" t="s">
        <v>867</v>
      </c>
      <c r="EI22" s="45">
        <v>0</v>
      </c>
      <c r="EJ22" s="43">
        <f t="shared" si="39"/>
        <v>5000</v>
      </c>
      <c r="EK22" s="65"/>
    </row>
    <row r="23" spans="1:141" x14ac:dyDescent="0.3">
      <c r="A23" s="7" t="str">
        <f t="shared" si="0"/>
        <v>Execução 19</v>
      </c>
      <c r="B23" s="42"/>
      <c r="C23" s="43" t="str">
        <f>IF(IFERROR(INDEX(Consulta!$A:$DF,MATCH('MM01'!$B23,Consulta!$C:$C,0),'MM01'!C$2),"")=0,"",IFERROR(INDEX(Consulta!$A:$DF,MATCH('MM01'!$B23,Consulta!$C:$C,0),'MM01'!C$2),""))</f>
        <v/>
      </c>
      <c r="D23" s="43" t="str">
        <f>IF(IFERROR(INDEX(Consulta!$A:$DF,MATCH('MM01'!$B23,Consulta!$C:$C,0),'MM01'!D$2),"")=0,"",IFERROR(INDEX(Consulta!$A:$DF,MATCH('MM01'!$B23,Consulta!$C:$C,0),'MM01'!D$2),""))</f>
        <v/>
      </c>
      <c r="E23" s="43" t="str">
        <f>IF(IFERROR(INDEX(Consulta!$A:$DF,MATCH('MM01'!$B23,Consulta!$C:$C,0),'MM01'!E$2),"")=0,"",IFERROR(INDEX(Consulta!$A:$DF,MATCH('MM01'!$B23,Consulta!$C:$C,0),'MM01'!E$2),""))</f>
        <v/>
      </c>
      <c r="F23" s="44" t="s">
        <v>100</v>
      </c>
      <c r="G23" s="49" t="str">
        <f>IF(IFERROR(INDEX(Consulta!$A:$DF,MATCH('MM01'!$B23,Consulta!$C:$C,0),'MM01'!G$2),"")=0,"",IFERROR(INDEX(Consulta!$A:$DF,MATCH('MM01'!$B23,Consulta!$C:$C,0),'MM01'!G$2),""))</f>
        <v/>
      </c>
      <c r="H23" s="49" t="str">
        <f>IF(IFERROR(INDEX(Consulta!$A:$DF,MATCH('MM01'!$B23,Consulta!$C:$C,0),'MM01'!H$2),"")=0,"",IFERROR(INDEX(Consulta!$A:$DF,MATCH('MM01'!$B23,Consulta!$C:$C,0),'MM01'!H$2),""))</f>
        <v/>
      </c>
      <c r="I23" s="49" t="str">
        <f t="shared" si="1"/>
        <v/>
      </c>
      <c r="J23" s="49" t="str">
        <f>IF(IFERROR(INDEX(Consulta!$A:$DF,MATCH('MM01'!$B23,Consulta!$C:$C,0),'MM01'!J$2),"")=0,"",IFERROR(INDEX(Consulta!$A:$DF,MATCH('MM01'!$B23,Consulta!$C:$C,0),'MM01'!J$2),""))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IF(IFERROR(INDEX(Consulta!$A:$DF,MATCH('MM01'!$B23,Consulta!$C:$C,0),'MM01'!AP$2),"")=0,"",IFERROR(INDEX(Consulta!$A:$DF,MATCH('MM01'!$B23,Consulta!$C:$C,0),'MM01'!AP$2),""))</f>
        <v/>
      </c>
      <c r="AQ23" s="45"/>
      <c r="AR23" s="43" t="str">
        <f>IF(IFERROR(INDEX(Consulta!$A:$DF,MATCH('MM01'!$B23,Consulta!$C:$C,0),'MM01'!AR$2),"")=0,"",IFERROR(INDEX(Consulta!$A:$DF,MATCH('MM01'!$B23,Consulta!$C:$C,0),'MM01'!AR$2),""))</f>
        <v/>
      </c>
      <c r="AS23" s="43" t="str">
        <f>IF(IFERROR(INDEX(Consulta!$A:$DF,MATCH('MM01'!$B23,Consulta!$C:$C,0),'MM01'!AS$2),"")=0,"",IF(AR23="68",5102,IFERROR(INDEX(Consulta!$A:$DF,MATCH('MM01'!$B23,Consulta!$C:$C,0),'MM01'!AS$2),"")))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IF(IFERROR(INDEX(Consulta!$A:$DF,MATCH('MM01'!$B23,Consulta!$C:$C,0),'MM01'!AW$2),"")=0,"",IFERROR(ROUND(INDEX(Consulta!$A:$DF,MATCH('MM01'!$B23,Consulta!$C:$C,0),'MM01'!AW$2),3),""))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IF(IFERROR(INDEX(Consulta!$A:$DF,MATCH('MM01'!$B23,Consulta!$C:$C,0),'MM01'!BA$2),"")=0,"",IFERROR(INDEX(Consulta!$A:$DF,MATCH('MM01'!$B23,Consulta!$C:$C,0),'MM01'!BA$2),""))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IF(IFERROR(INDEX(Consulta!$A:$DF,MATCH('MM01'!$B23,Consulta!$C:$C,0),'MM01'!BL$2),"")=0,"",IFERROR(INDEX(Consulta!$A:$DF,MATCH('MM01'!$B23,Consulta!$C:$C,0),'MM01'!BL$2),""))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IF(IFERROR(INDEX(Consulta!$A:$DF,MATCH('MM01'!$B23,Consulta!$C:$C,0),'MM01'!BX$2),"")=0,"",IFERROR(INDEX(Consulta!$A:$DF,MATCH('MM01'!$B23,Consulta!$C:$C,0),'MM01'!BX$2),""))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IF(IFERROR(INDEX(Consulta!$A:$DF,MATCH('MM01'!$B23,Consulta!$C:$C,0),'MM01'!CT$2),"")=0,"",IFERROR(INDEX(Consulta!$A:$DF,MATCH('MM01'!$B23,Consulta!$C:$C,0),'MM01'!CT$2),""))</f>
        <v/>
      </c>
      <c r="CU23" s="43" t="str">
        <f>IF(IFERROR(INDEX(Consulta!$A:$DF,MATCH('MM01'!$B23,Consulta!$C:$C,0),'MM01'!CU$2),"")=0,"",IFERROR(INDEX(Consulta!$A:$DF,MATCH('MM01'!$B23,Consulta!$C:$C,0),'MM01'!CU$2),""))</f>
        <v/>
      </c>
      <c r="CV23" s="43" t="str">
        <f>IF(IFERROR(INDEX(Consulta!$A:$DF,MATCH('MM01'!$B23,Consulta!$C:$C,0),'MM01'!CV$2),"")=0,"",IFERROR(INDEX(Consulta!$A:$DF,MATCH('MM01'!$B23,Consulta!$C:$C,0),'MM01'!CV$2),""))</f>
        <v/>
      </c>
      <c r="CW23" s="43" t="str">
        <f>IF(IFERROR(INDEX(Consulta!$A:$DF,MATCH('MM01'!$B23,Consulta!$C:$C,0),'MM01'!CW$2),"")=0,"",IFERROR(INDEX(Consulta!$A:$DF,MATCH('MM01'!$B23,Consulta!$C:$C,0),'MM01'!CW$2),""))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IF(IFERROR(INDEX(Consulta!$A:$DF,MATCH('MM01'!$B23,Consulta!$C:$C,0),'MM01'!DA$2),"")=0,"",IFERROR(INDEX(Consulta!$A:$DF,MATCH('MM01'!$B23,Consulta!$C:$C,0),'MM01'!DA$2),""))</f>
        <v/>
      </c>
      <c r="DB23" s="43" t="str">
        <f t="shared" si="22"/>
        <v/>
      </c>
      <c r="DC23" s="43" t="str">
        <f>IF(IFERROR(INDEX(Consulta!$A:$DF,MATCH('MM01'!$B23,Consulta!$C:$C,0),'MM01'!DC$2),"")=0,"",IFERROR(INDEX(Consulta!$A:$DF,MATCH('MM01'!$B23,Consulta!$C:$C,0),'MM01'!DC$2),""))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5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5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5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5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IF(IFERROR(INDEX(Consulta!$A:$DF,MATCH('MM01'!$B23,Consulta!$C:$C,0),'MM01'!EB$2),"")=0,"7925",IF(IFERROR(INDEX(Consulta!$A:$DF,MATCH('MM01'!$B23,Consulta!$C:$C,0),'MM01'!EB$2),"")="68","7910","7925"))</f>
        <v>7925</v>
      </c>
      <c r="EC23" s="44">
        <v>100</v>
      </c>
      <c r="ED23" s="60">
        <v>1</v>
      </c>
      <c r="EE23" s="43">
        <f t="shared" si="38"/>
        <v>100</v>
      </c>
      <c r="EF23" s="44">
        <v>1</v>
      </c>
      <c r="EG23" s="44">
        <v>0</v>
      </c>
      <c r="EH23" s="44" t="s">
        <v>867</v>
      </c>
      <c r="EI23" s="45">
        <v>0</v>
      </c>
      <c r="EJ23" s="43">
        <f t="shared" si="39"/>
        <v>5000</v>
      </c>
      <c r="EK23" s="65"/>
    </row>
    <row r="24" spans="1:141" x14ac:dyDescent="0.3">
      <c r="A24" s="7" t="str">
        <f t="shared" si="0"/>
        <v>Execução 20</v>
      </c>
      <c r="B24" s="42"/>
      <c r="C24" s="43" t="str">
        <f>IF(IFERROR(INDEX(Consulta!$A:$DF,MATCH('MM01'!$B24,Consulta!$C:$C,0),'MM01'!C$2),"")=0,"",IFERROR(INDEX(Consulta!$A:$DF,MATCH('MM01'!$B24,Consulta!$C:$C,0),'MM01'!C$2),""))</f>
        <v/>
      </c>
      <c r="D24" s="43" t="str">
        <f>IF(IFERROR(INDEX(Consulta!$A:$DF,MATCH('MM01'!$B24,Consulta!$C:$C,0),'MM01'!D$2),"")=0,"",IFERROR(INDEX(Consulta!$A:$DF,MATCH('MM01'!$B24,Consulta!$C:$C,0),'MM01'!D$2),""))</f>
        <v/>
      </c>
      <c r="E24" s="43" t="str">
        <f>IF(IFERROR(INDEX(Consulta!$A:$DF,MATCH('MM01'!$B24,Consulta!$C:$C,0),'MM01'!E$2),"")=0,"",IFERROR(INDEX(Consulta!$A:$DF,MATCH('MM01'!$B24,Consulta!$C:$C,0),'MM01'!E$2),""))</f>
        <v/>
      </c>
      <c r="F24" s="44" t="s">
        <v>100</v>
      </c>
      <c r="G24" s="49" t="str">
        <f>IF(IFERROR(INDEX(Consulta!$A:$DF,MATCH('MM01'!$B24,Consulta!$C:$C,0),'MM01'!G$2),"")=0,"",IFERROR(INDEX(Consulta!$A:$DF,MATCH('MM01'!$B24,Consulta!$C:$C,0),'MM01'!G$2),""))</f>
        <v/>
      </c>
      <c r="H24" s="49" t="str">
        <f>IF(IFERROR(INDEX(Consulta!$A:$DF,MATCH('MM01'!$B24,Consulta!$C:$C,0),'MM01'!H$2),"")=0,"",IFERROR(INDEX(Consulta!$A:$DF,MATCH('MM01'!$B24,Consulta!$C:$C,0),'MM01'!H$2),""))</f>
        <v/>
      </c>
      <c r="I24" s="49" t="str">
        <f t="shared" si="1"/>
        <v/>
      </c>
      <c r="J24" s="49" t="str">
        <f>IF(IFERROR(INDEX(Consulta!$A:$DF,MATCH('MM01'!$B24,Consulta!$C:$C,0),'MM01'!J$2),"")=0,"",IFERROR(INDEX(Consulta!$A:$DF,MATCH('MM01'!$B24,Consulta!$C:$C,0),'MM01'!J$2),""))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IF(IFERROR(INDEX(Consulta!$A:$DF,MATCH('MM01'!$B24,Consulta!$C:$C,0),'MM01'!AP$2),"")=0,"",IFERROR(INDEX(Consulta!$A:$DF,MATCH('MM01'!$B24,Consulta!$C:$C,0),'MM01'!AP$2),""))</f>
        <v/>
      </c>
      <c r="AQ24" s="45"/>
      <c r="AR24" s="43" t="str">
        <f>IF(IFERROR(INDEX(Consulta!$A:$DF,MATCH('MM01'!$B24,Consulta!$C:$C,0),'MM01'!AR$2),"")=0,"",IFERROR(INDEX(Consulta!$A:$DF,MATCH('MM01'!$B24,Consulta!$C:$C,0),'MM01'!AR$2),""))</f>
        <v/>
      </c>
      <c r="AS24" s="43" t="str">
        <f>IF(IFERROR(INDEX(Consulta!$A:$DF,MATCH('MM01'!$B24,Consulta!$C:$C,0),'MM01'!AS$2),"")=0,"",IF(AR24="68",5102,IFERROR(INDEX(Consulta!$A:$DF,MATCH('MM01'!$B24,Consulta!$C:$C,0),'MM01'!AS$2),"")))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IF(IFERROR(INDEX(Consulta!$A:$DF,MATCH('MM01'!$B24,Consulta!$C:$C,0),'MM01'!AW$2),"")=0,"",IFERROR(ROUND(INDEX(Consulta!$A:$DF,MATCH('MM01'!$B24,Consulta!$C:$C,0),'MM01'!AW$2),3),""))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IF(IFERROR(INDEX(Consulta!$A:$DF,MATCH('MM01'!$B24,Consulta!$C:$C,0),'MM01'!BA$2),"")=0,"",IFERROR(INDEX(Consulta!$A:$DF,MATCH('MM01'!$B24,Consulta!$C:$C,0),'MM01'!BA$2),""))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IF(IFERROR(INDEX(Consulta!$A:$DF,MATCH('MM01'!$B24,Consulta!$C:$C,0),'MM01'!BL$2),"")=0,"",IFERROR(INDEX(Consulta!$A:$DF,MATCH('MM01'!$B24,Consulta!$C:$C,0),'MM01'!BL$2),""))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IF(IFERROR(INDEX(Consulta!$A:$DF,MATCH('MM01'!$B24,Consulta!$C:$C,0),'MM01'!BX$2),"")=0,"",IFERROR(INDEX(Consulta!$A:$DF,MATCH('MM01'!$B24,Consulta!$C:$C,0),'MM01'!BX$2),""))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IF(IFERROR(INDEX(Consulta!$A:$DF,MATCH('MM01'!$B24,Consulta!$C:$C,0),'MM01'!CT$2),"")=0,"",IFERROR(INDEX(Consulta!$A:$DF,MATCH('MM01'!$B24,Consulta!$C:$C,0),'MM01'!CT$2),""))</f>
        <v/>
      </c>
      <c r="CU24" s="43" t="str">
        <f>IF(IFERROR(INDEX(Consulta!$A:$DF,MATCH('MM01'!$B24,Consulta!$C:$C,0),'MM01'!CU$2),"")=0,"",IFERROR(INDEX(Consulta!$A:$DF,MATCH('MM01'!$B24,Consulta!$C:$C,0),'MM01'!CU$2),""))</f>
        <v/>
      </c>
      <c r="CV24" s="43" t="str">
        <f>IF(IFERROR(INDEX(Consulta!$A:$DF,MATCH('MM01'!$B24,Consulta!$C:$C,0),'MM01'!CV$2),"")=0,"",IFERROR(INDEX(Consulta!$A:$DF,MATCH('MM01'!$B24,Consulta!$C:$C,0),'MM01'!CV$2),""))</f>
        <v/>
      </c>
      <c r="CW24" s="43" t="str">
        <f>IF(IFERROR(INDEX(Consulta!$A:$DF,MATCH('MM01'!$B24,Consulta!$C:$C,0),'MM01'!CW$2),"")=0,"",IFERROR(INDEX(Consulta!$A:$DF,MATCH('MM01'!$B24,Consulta!$C:$C,0),'MM01'!CW$2),""))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IF(IFERROR(INDEX(Consulta!$A:$DF,MATCH('MM01'!$B24,Consulta!$C:$C,0),'MM01'!DA$2),"")=0,"",IFERROR(INDEX(Consulta!$A:$DF,MATCH('MM01'!$B24,Consulta!$C:$C,0),'MM01'!DA$2),""))</f>
        <v/>
      </c>
      <c r="DB24" s="43" t="str">
        <f t="shared" si="22"/>
        <v/>
      </c>
      <c r="DC24" s="43" t="str">
        <f>IF(IFERROR(INDEX(Consulta!$A:$DF,MATCH('MM01'!$B24,Consulta!$C:$C,0),'MM01'!DC$2),"")=0,"",IFERROR(INDEX(Consulta!$A:$DF,MATCH('MM01'!$B24,Consulta!$C:$C,0),'MM01'!DC$2),""))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5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5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5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5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IF(IFERROR(INDEX(Consulta!$A:$DF,MATCH('MM01'!$B24,Consulta!$C:$C,0),'MM01'!EB$2),"")=0,"7925",IF(IFERROR(INDEX(Consulta!$A:$DF,MATCH('MM01'!$B24,Consulta!$C:$C,0),'MM01'!EB$2),"")="68","7910","7925"))</f>
        <v>7925</v>
      </c>
      <c r="EC24" s="44">
        <v>100</v>
      </c>
      <c r="ED24" s="60">
        <v>1</v>
      </c>
      <c r="EE24" s="43">
        <f t="shared" si="38"/>
        <v>100</v>
      </c>
      <c r="EF24" s="44">
        <v>1</v>
      </c>
      <c r="EG24" s="44">
        <v>0</v>
      </c>
      <c r="EH24" s="44" t="s">
        <v>867</v>
      </c>
      <c r="EI24" s="45">
        <v>0</v>
      </c>
      <c r="EJ24" s="43">
        <f t="shared" si="39"/>
        <v>5000</v>
      </c>
      <c r="EK24" s="65"/>
    </row>
    <row r="25" spans="1:141" x14ac:dyDescent="0.3">
      <c r="A25" s="7" t="str">
        <f t="shared" si="0"/>
        <v>Execução 21</v>
      </c>
      <c r="B25" s="42"/>
      <c r="C25" s="43" t="str">
        <f>IF(IFERROR(INDEX(Consulta!$A:$DF,MATCH('MM01'!$B25,Consulta!$C:$C,0),'MM01'!C$2),"")=0,"",IFERROR(INDEX(Consulta!$A:$DF,MATCH('MM01'!$B25,Consulta!$C:$C,0),'MM01'!C$2),""))</f>
        <v/>
      </c>
      <c r="D25" s="43" t="str">
        <f>IF(IFERROR(INDEX(Consulta!$A:$DF,MATCH('MM01'!$B25,Consulta!$C:$C,0),'MM01'!D$2),"")=0,"",IFERROR(INDEX(Consulta!$A:$DF,MATCH('MM01'!$B25,Consulta!$C:$C,0),'MM01'!D$2),""))</f>
        <v/>
      </c>
      <c r="E25" s="43" t="str">
        <f>IF(IFERROR(INDEX(Consulta!$A:$DF,MATCH('MM01'!$B25,Consulta!$C:$C,0),'MM01'!E$2),"")=0,"",IFERROR(INDEX(Consulta!$A:$DF,MATCH('MM01'!$B25,Consulta!$C:$C,0),'MM01'!E$2),""))</f>
        <v/>
      </c>
      <c r="F25" s="44" t="s">
        <v>100</v>
      </c>
      <c r="G25" s="49" t="str">
        <f>IF(IFERROR(INDEX(Consulta!$A:$DF,MATCH('MM01'!$B25,Consulta!$C:$C,0),'MM01'!G$2),"")=0,"",IFERROR(INDEX(Consulta!$A:$DF,MATCH('MM01'!$B25,Consulta!$C:$C,0),'MM01'!G$2),""))</f>
        <v/>
      </c>
      <c r="H25" s="49" t="str">
        <f>IF(IFERROR(INDEX(Consulta!$A:$DF,MATCH('MM01'!$B25,Consulta!$C:$C,0),'MM01'!H$2),"")=0,"",IFERROR(INDEX(Consulta!$A:$DF,MATCH('MM01'!$B25,Consulta!$C:$C,0),'MM01'!H$2),""))</f>
        <v/>
      </c>
      <c r="I25" s="49" t="str">
        <f t="shared" si="1"/>
        <v/>
      </c>
      <c r="J25" s="49" t="str">
        <f>IF(IFERROR(INDEX(Consulta!$A:$DF,MATCH('MM01'!$B25,Consulta!$C:$C,0),'MM01'!J$2),"")=0,"",IFERROR(INDEX(Consulta!$A:$DF,MATCH('MM01'!$B25,Consulta!$C:$C,0),'MM01'!J$2),""))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IF(IFERROR(INDEX(Consulta!$A:$DF,MATCH('MM01'!$B25,Consulta!$C:$C,0),'MM01'!AP$2),"")=0,"",IFERROR(INDEX(Consulta!$A:$DF,MATCH('MM01'!$B25,Consulta!$C:$C,0),'MM01'!AP$2),""))</f>
        <v/>
      </c>
      <c r="AQ25" s="45"/>
      <c r="AR25" s="43" t="str">
        <f>IF(IFERROR(INDEX(Consulta!$A:$DF,MATCH('MM01'!$B25,Consulta!$C:$C,0),'MM01'!AR$2),"")=0,"",IFERROR(INDEX(Consulta!$A:$DF,MATCH('MM01'!$B25,Consulta!$C:$C,0),'MM01'!AR$2),""))</f>
        <v/>
      </c>
      <c r="AS25" s="43" t="str">
        <f>IF(IFERROR(INDEX(Consulta!$A:$DF,MATCH('MM01'!$B25,Consulta!$C:$C,0),'MM01'!AS$2),"")=0,"",IF(AR25="68",5102,IFERROR(INDEX(Consulta!$A:$DF,MATCH('MM01'!$B25,Consulta!$C:$C,0),'MM01'!AS$2),"")))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IF(IFERROR(INDEX(Consulta!$A:$DF,MATCH('MM01'!$B25,Consulta!$C:$C,0),'MM01'!AW$2),"")=0,"",IFERROR(ROUND(INDEX(Consulta!$A:$DF,MATCH('MM01'!$B25,Consulta!$C:$C,0),'MM01'!AW$2),3),""))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IF(IFERROR(INDEX(Consulta!$A:$DF,MATCH('MM01'!$B25,Consulta!$C:$C,0),'MM01'!BA$2),"")=0,"",IFERROR(INDEX(Consulta!$A:$DF,MATCH('MM01'!$B25,Consulta!$C:$C,0),'MM01'!BA$2),""))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IF(IFERROR(INDEX(Consulta!$A:$DF,MATCH('MM01'!$B25,Consulta!$C:$C,0),'MM01'!BL$2),"")=0,"",IFERROR(INDEX(Consulta!$A:$DF,MATCH('MM01'!$B25,Consulta!$C:$C,0),'MM01'!BL$2),""))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IF(IFERROR(INDEX(Consulta!$A:$DF,MATCH('MM01'!$B25,Consulta!$C:$C,0),'MM01'!BX$2),"")=0,"",IFERROR(INDEX(Consulta!$A:$DF,MATCH('MM01'!$B25,Consulta!$C:$C,0),'MM01'!BX$2),""))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IF(IFERROR(INDEX(Consulta!$A:$DF,MATCH('MM01'!$B25,Consulta!$C:$C,0),'MM01'!CT$2),"")=0,"",IFERROR(INDEX(Consulta!$A:$DF,MATCH('MM01'!$B25,Consulta!$C:$C,0),'MM01'!CT$2),""))</f>
        <v/>
      </c>
      <c r="CU25" s="43" t="str">
        <f>IF(IFERROR(INDEX(Consulta!$A:$DF,MATCH('MM01'!$B25,Consulta!$C:$C,0),'MM01'!CU$2),"")=0,"",IFERROR(INDEX(Consulta!$A:$DF,MATCH('MM01'!$B25,Consulta!$C:$C,0),'MM01'!CU$2),""))</f>
        <v/>
      </c>
      <c r="CV25" s="43" t="str">
        <f>IF(IFERROR(INDEX(Consulta!$A:$DF,MATCH('MM01'!$B25,Consulta!$C:$C,0),'MM01'!CV$2),"")=0,"",IFERROR(INDEX(Consulta!$A:$DF,MATCH('MM01'!$B25,Consulta!$C:$C,0),'MM01'!CV$2),""))</f>
        <v/>
      </c>
      <c r="CW25" s="43" t="str">
        <f>IF(IFERROR(INDEX(Consulta!$A:$DF,MATCH('MM01'!$B25,Consulta!$C:$C,0),'MM01'!CW$2),"")=0,"",IFERROR(INDEX(Consulta!$A:$DF,MATCH('MM01'!$B25,Consulta!$C:$C,0),'MM01'!CW$2),""))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IF(IFERROR(INDEX(Consulta!$A:$DF,MATCH('MM01'!$B25,Consulta!$C:$C,0),'MM01'!DA$2),"")=0,"",IFERROR(INDEX(Consulta!$A:$DF,MATCH('MM01'!$B25,Consulta!$C:$C,0),'MM01'!DA$2),""))</f>
        <v/>
      </c>
      <c r="DB25" s="43" t="str">
        <f t="shared" si="22"/>
        <v/>
      </c>
      <c r="DC25" s="43" t="str">
        <f>IF(IFERROR(INDEX(Consulta!$A:$DF,MATCH('MM01'!$B25,Consulta!$C:$C,0),'MM01'!DC$2),"")=0,"",IFERROR(INDEX(Consulta!$A:$DF,MATCH('MM01'!$B25,Consulta!$C:$C,0),'MM01'!DC$2),""))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5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5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5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5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IF(IFERROR(INDEX(Consulta!$A:$DF,MATCH('MM01'!$B25,Consulta!$C:$C,0),'MM01'!EB$2),"")=0,"7925",IF(IFERROR(INDEX(Consulta!$A:$DF,MATCH('MM01'!$B25,Consulta!$C:$C,0),'MM01'!EB$2),"")="68","7910","7925"))</f>
        <v>7925</v>
      </c>
      <c r="EC25" s="44">
        <v>100</v>
      </c>
      <c r="ED25" s="60">
        <v>1</v>
      </c>
      <c r="EE25" s="43">
        <f t="shared" si="38"/>
        <v>100</v>
      </c>
      <c r="EF25" s="44">
        <v>1</v>
      </c>
      <c r="EG25" s="44">
        <v>0</v>
      </c>
      <c r="EH25" s="44" t="s">
        <v>867</v>
      </c>
      <c r="EI25" s="45">
        <v>0</v>
      </c>
      <c r="EJ25" s="43">
        <f t="shared" si="39"/>
        <v>5000</v>
      </c>
      <c r="EK25" s="65"/>
    </row>
    <row r="26" spans="1:141" x14ac:dyDescent="0.3">
      <c r="A26" s="7" t="str">
        <f t="shared" si="0"/>
        <v>Execução 22</v>
      </c>
      <c r="B26" s="42"/>
      <c r="C26" s="43" t="str">
        <f>IF(IFERROR(INDEX(Consulta!$A:$DF,MATCH('MM01'!$B26,Consulta!$C:$C,0),'MM01'!C$2),"")=0,"",IFERROR(INDEX(Consulta!$A:$DF,MATCH('MM01'!$B26,Consulta!$C:$C,0),'MM01'!C$2),""))</f>
        <v/>
      </c>
      <c r="D26" s="43" t="str">
        <f>IF(IFERROR(INDEX(Consulta!$A:$DF,MATCH('MM01'!$B26,Consulta!$C:$C,0),'MM01'!D$2),"")=0,"",IFERROR(INDEX(Consulta!$A:$DF,MATCH('MM01'!$B26,Consulta!$C:$C,0),'MM01'!D$2),""))</f>
        <v/>
      </c>
      <c r="E26" s="43" t="str">
        <f>IF(IFERROR(INDEX(Consulta!$A:$DF,MATCH('MM01'!$B26,Consulta!$C:$C,0),'MM01'!E$2),"")=0,"",IFERROR(INDEX(Consulta!$A:$DF,MATCH('MM01'!$B26,Consulta!$C:$C,0),'MM01'!E$2),""))</f>
        <v/>
      </c>
      <c r="F26" s="44" t="s">
        <v>100</v>
      </c>
      <c r="G26" s="49" t="str">
        <f>IF(IFERROR(INDEX(Consulta!$A:$DF,MATCH('MM01'!$B26,Consulta!$C:$C,0),'MM01'!G$2),"")=0,"",IFERROR(INDEX(Consulta!$A:$DF,MATCH('MM01'!$B26,Consulta!$C:$C,0),'MM01'!G$2),""))</f>
        <v/>
      </c>
      <c r="H26" s="49" t="str">
        <f>IF(IFERROR(INDEX(Consulta!$A:$DF,MATCH('MM01'!$B26,Consulta!$C:$C,0),'MM01'!H$2),"")=0,"",IFERROR(INDEX(Consulta!$A:$DF,MATCH('MM01'!$B26,Consulta!$C:$C,0),'MM01'!H$2),""))</f>
        <v/>
      </c>
      <c r="I26" s="49" t="str">
        <f t="shared" si="1"/>
        <v/>
      </c>
      <c r="J26" s="49" t="str">
        <f>IF(IFERROR(INDEX(Consulta!$A:$DF,MATCH('MM01'!$B26,Consulta!$C:$C,0),'MM01'!J$2),"")=0,"",IFERROR(INDEX(Consulta!$A:$DF,MATCH('MM01'!$B26,Consulta!$C:$C,0),'MM01'!J$2),""))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IF(IFERROR(INDEX(Consulta!$A:$DF,MATCH('MM01'!$B26,Consulta!$C:$C,0),'MM01'!AP$2),"")=0,"",IFERROR(INDEX(Consulta!$A:$DF,MATCH('MM01'!$B26,Consulta!$C:$C,0),'MM01'!AP$2),""))</f>
        <v/>
      </c>
      <c r="AQ26" s="45"/>
      <c r="AR26" s="43" t="str">
        <f>IF(IFERROR(INDEX(Consulta!$A:$DF,MATCH('MM01'!$B26,Consulta!$C:$C,0),'MM01'!AR$2),"")=0,"",IFERROR(INDEX(Consulta!$A:$DF,MATCH('MM01'!$B26,Consulta!$C:$C,0),'MM01'!AR$2),""))</f>
        <v/>
      </c>
      <c r="AS26" s="43" t="str">
        <f>IF(IFERROR(INDEX(Consulta!$A:$DF,MATCH('MM01'!$B26,Consulta!$C:$C,0),'MM01'!AS$2),"")=0,"",IF(AR26="68",5102,IFERROR(INDEX(Consulta!$A:$DF,MATCH('MM01'!$B26,Consulta!$C:$C,0),'MM01'!AS$2),"")))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IF(IFERROR(INDEX(Consulta!$A:$DF,MATCH('MM01'!$B26,Consulta!$C:$C,0),'MM01'!AW$2),"")=0,"",IFERROR(ROUND(INDEX(Consulta!$A:$DF,MATCH('MM01'!$B26,Consulta!$C:$C,0),'MM01'!AW$2),3),""))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IF(IFERROR(INDEX(Consulta!$A:$DF,MATCH('MM01'!$B26,Consulta!$C:$C,0),'MM01'!BA$2),"")=0,"",IFERROR(INDEX(Consulta!$A:$DF,MATCH('MM01'!$B26,Consulta!$C:$C,0),'MM01'!BA$2),""))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IF(IFERROR(INDEX(Consulta!$A:$DF,MATCH('MM01'!$B26,Consulta!$C:$C,0),'MM01'!BL$2),"")=0,"",IFERROR(INDEX(Consulta!$A:$DF,MATCH('MM01'!$B26,Consulta!$C:$C,0),'MM01'!BL$2),""))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IF(IFERROR(INDEX(Consulta!$A:$DF,MATCH('MM01'!$B26,Consulta!$C:$C,0),'MM01'!BX$2),"")=0,"",IFERROR(INDEX(Consulta!$A:$DF,MATCH('MM01'!$B26,Consulta!$C:$C,0),'MM01'!BX$2),""))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IF(IFERROR(INDEX(Consulta!$A:$DF,MATCH('MM01'!$B26,Consulta!$C:$C,0),'MM01'!CT$2),"")=0,"",IFERROR(INDEX(Consulta!$A:$DF,MATCH('MM01'!$B26,Consulta!$C:$C,0),'MM01'!CT$2),""))</f>
        <v/>
      </c>
      <c r="CU26" s="43" t="str">
        <f>IF(IFERROR(INDEX(Consulta!$A:$DF,MATCH('MM01'!$B26,Consulta!$C:$C,0),'MM01'!CU$2),"")=0,"",IFERROR(INDEX(Consulta!$A:$DF,MATCH('MM01'!$B26,Consulta!$C:$C,0),'MM01'!CU$2),""))</f>
        <v/>
      </c>
      <c r="CV26" s="43" t="str">
        <f>IF(IFERROR(INDEX(Consulta!$A:$DF,MATCH('MM01'!$B26,Consulta!$C:$C,0),'MM01'!CV$2),"")=0,"",IFERROR(INDEX(Consulta!$A:$DF,MATCH('MM01'!$B26,Consulta!$C:$C,0),'MM01'!CV$2),""))</f>
        <v/>
      </c>
      <c r="CW26" s="43" t="str">
        <f>IF(IFERROR(INDEX(Consulta!$A:$DF,MATCH('MM01'!$B26,Consulta!$C:$C,0),'MM01'!CW$2),"")=0,"",IFERROR(INDEX(Consulta!$A:$DF,MATCH('MM01'!$B26,Consulta!$C:$C,0),'MM01'!CW$2),""))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IF(IFERROR(INDEX(Consulta!$A:$DF,MATCH('MM01'!$B26,Consulta!$C:$C,0),'MM01'!DA$2),"")=0,"",IFERROR(INDEX(Consulta!$A:$DF,MATCH('MM01'!$B26,Consulta!$C:$C,0),'MM01'!DA$2),""))</f>
        <v/>
      </c>
      <c r="DB26" s="43" t="str">
        <f t="shared" si="22"/>
        <v/>
      </c>
      <c r="DC26" s="43" t="str">
        <f>IF(IFERROR(INDEX(Consulta!$A:$DF,MATCH('MM01'!$B26,Consulta!$C:$C,0),'MM01'!DC$2),"")=0,"",IFERROR(INDEX(Consulta!$A:$DF,MATCH('MM01'!$B26,Consulta!$C:$C,0),'MM01'!DC$2),""))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5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5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5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5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IF(IFERROR(INDEX(Consulta!$A:$DF,MATCH('MM01'!$B26,Consulta!$C:$C,0),'MM01'!EB$2),"")=0,"7925",IF(IFERROR(INDEX(Consulta!$A:$DF,MATCH('MM01'!$B26,Consulta!$C:$C,0),'MM01'!EB$2),"")="68","7910","7925"))</f>
        <v>7925</v>
      </c>
      <c r="EC26" s="44">
        <v>100</v>
      </c>
      <c r="ED26" s="60">
        <v>1</v>
      </c>
      <c r="EE26" s="43">
        <f t="shared" si="38"/>
        <v>100</v>
      </c>
      <c r="EF26" s="44">
        <v>1</v>
      </c>
      <c r="EG26" s="44">
        <v>0</v>
      </c>
      <c r="EH26" s="44" t="s">
        <v>867</v>
      </c>
      <c r="EI26" s="45">
        <v>0</v>
      </c>
      <c r="EJ26" s="43">
        <f t="shared" si="39"/>
        <v>5000</v>
      </c>
      <c r="EK26" s="65"/>
    </row>
    <row r="27" spans="1:141" x14ac:dyDescent="0.3">
      <c r="A27" s="7" t="str">
        <f t="shared" si="0"/>
        <v>Execução 23</v>
      </c>
      <c r="B27" s="42"/>
      <c r="C27" s="43" t="str">
        <f>IF(IFERROR(INDEX(Consulta!$A:$DF,MATCH('MM01'!$B27,Consulta!$C:$C,0),'MM01'!C$2),"")=0,"",IFERROR(INDEX(Consulta!$A:$DF,MATCH('MM01'!$B27,Consulta!$C:$C,0),'MM01'!C$2),""))</f>
        <v/>
      </c>
      <c r="D27" s="43" t="str">
        <f>IF(IFERROR(INDEX(Consulta!$A:$DF,MATCH('MM01'!$B27,Consulta!$C:$C,0),'MM01'!D$2),"")=0,"",IFERROR(INDEX(Consulta!$A:$DF,MATCH('MM01'!$B27,Consulta!$C:$C,0),'MM01'!D$2),""))</f>
        <v/>
      </c>
      <c r="E27" s="43" t="str">
        <f>IF(IFERROR(INDEX(Consulta!$A:$DF,MATCH('MM01'!$B27,Consulta!$C:$C,0),'MM01'!E$2),"")=0,"",IFERROR(INDEX(Consulta!$A:$DF,MATCH('MM01'!$B27,Consulta!$C:$C,0),'MM01'!E$2),""))</f>
        <v/>
      </c>
      <c r="F27" s="44" t="s">
        <v>100</v>
      </c>
      <c r="G27" s="49" t="str">
        <f>IF(IFERROR(INDEX(Consulta!$A:$DF,MATCH('MM01'!$B27,Consulta!$C:$C,0),'MM01'!G$2),"")=0,"",IFERROR(INDEX(Consulta!$A:$DF,MATCH('MM01'!$B27,Consulta!$C:$C,0),'MM01'!G$2),""))</f>
        <v/>
      </c>
      <c r="H27" s="49" t="str">
        <f>IF(IFERROR(INDEX(Consulta!$A:$DF,MATCH('MM01'!$B27,Consulta!$C:$C,0),'MM01'!H$2),"")=0,"",IFERROR(INDEX(Consulta!$A:$DF,MATCH('MM01'!$B27,Consulta!$C:$C,0),'MM01'!H$2),""))</f>
        <v/>
      </c>
      <c r="I27" s="49" t="str">
        <f t="shared" si="1"/>
        <v/>
      </c>
      <c r="J27" s="49" t="str">
        <f>IF(IFERROR(INDEX(Consulta!$A:$DF,MATCH('MM01'!$B27,Consulta!$C:$C,0),'MM01'!J$2),"")=0,"",IFERROR(INDEX(Consulta!$A:$DF,MATCH('MM01'!$B27,Consulta!$C:$C,0),'MM01'!J$2),""))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IF(IFERROR(INDEX(Consulta!$A:$DF,MATCH('MM01'!$B27,Consulta!$C:$C,0),'MM01'!AP$2),"")=0,"",IFERROR(INDEX(Consulta!$A:$DF,MATCH('MM01'!$B27,Consulta!$C:$C,0),'MM01'!AP$2),""))</f>
        <v/>
      </c>
      <c r="AQ27" s="45"/>
      <c r="AR27" s="43" t="str">
        <f>IF(IFERROR(INDEX(Consulta!$A:$DF,MATCH('MM01'!$B27,Consulta!$C:$C,0),'MM01'!AR$2),"")=0,"",IFERROR(INDEX(Consulta!$A:$DF,MATCH('MM01'!$B27,Consulta!$C:$C,0),'MM01'!AR$2),""))</f>
        <v/>
      </c>
      <c r="AS27" s="43" t="str">
        <f>IF(IFERROR(INDEX(Consulta!$A:$DF,MATCH('MM01'!$B27,Consulta!$C:$C,0),'MM01'!AS$2),"")=0,"",IF(AR27="68",5102,IFERROR(INDEX(Consulta!$A:$DF,MATCH('MM01'!$B27,Consulta!$C:$C,0),'MM01'!AS$2),"")))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IF(IFERROR(INDEX(Consulta!$A:$DF,MATCH('MM01'!$B27,Consulta!$C:$C,0),'MM01'!AW$2),"")=0,"",IFERROR(ROUND(INDEX(Consulta!$A:$DF,MATCH('MM01'!$B27,Consulta!$C:$C,0),'MM01'!AW$2),3),""))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IF(IFERROR(INDEX(Consulta!$A:$DF,MATCH('MM01'!$B27,Consulta!$C:$C,0),'MM01'!BA$2),"")=0,"",IFERROR(INDEX(Consulta!$A:$DF,MATCH('MM01'!$B27,Consulta!$C:$C,0),'MM01'!BA$2),""))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IF(IFERROR(INDEX(Consulta!$A:$DF,MATCH('MM01'!$B27,Consulta!$C:$C,0),'MM01'!BL$2),"")=0,"",IFERROR(INDEX(Consulta!$A:$DF,MATCH('MM01'!$B27,Consulta!$C:$C,0),'MM01'!BL$2),""))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IF(IFERROR(INDEX(Consulta!$A:$DF,MATCH('MM01'!$B27,Consulta!$C:$C,0),'MM01'!BX$2),"")=0,"",IFERROR(INDEX(Consulta!$A:$DF,MATCH('MM01'!$B27,Consulta!$C:$C,0),'MM01'!BX$2),""))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IF(IFERROR(INDEX(Consulta!$A:$DF,MATCH('MM01'!$B27,Consulta!$C:$C,0),'MM01'!CT$2),"")=0,"",IFERROR(INDEX(Consulta!$A:$DF,MATCH('MM01'!$B27,Consulta!$C:$C,0),'MM01'!CT$2),""))</f>
        <v/>
      </c>
      <c r="CU27" s="43" t="str">
        <f>IF(IFERROR(INDEX(Consulta!$A:$DF,MATCH('MM01'!$B27,Consulta!$C:$C,0),'MM01'!CU$2),"")=0,"",IFERROR(INDEX(Consulta!$A:$DF,MATCH('MM01'!$B27,Consulta!$C:$C,0),'MM01'!CU$2),""))</f>
        <v/>
      </c>
      <c r="CV27" s="43" t="str">
        <f>IF(IFERROR(INDEX(Consulta!$A:$DF,MATCH('MM01'!$B27,Consulta!$C:$C,0),'MM01'!CV$2),"")=0,"",IFERROR(INDEX(Consulta!$A:$DF,MATCH('MM01'!$B27,Consulta!$C:$C,0),'MM01'!CV$2),""))</f>
        <v/>
      </c>
      <c r="CW27" s="43" t="str">
        <f>IF(IFERROR(INDEX(Consulta!$A:$DF,MATCH('MM01'!$B27,Consulta!$C:$C,0),'MM01'!CW$2),"")=0,"",IFERROR(INDEX(Consulta!$A:$DF,MATCH('MM01'!$B27,Consulta!$C:$C,0),'MM01'!CW$2),""))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IF(IFERROR(INDEX(Consulta!$A:$DF,MATCH('MM01'!$B27,Consulta!$C:$C,0),'MM01'!DA$2),"")=0,"",IFERROR(INDEX(Consulta!$A:$DF,MATCH('MM01'!$B27,Consulta!$C:$C,0),'MM01'!DA$2),""))</f>
        <v/>
      </c>
      <c r="DB27" s="43" t="str">
        <f t="shared" si="22"/>
        <v/>
      </c>
      <c r="DC27" s="43" t="str">
        <f>IF(IFERROR(INDEX(Consulta!$A:$DF,MATCH('MM01'!$B27,Consulta!$C:$C,0),'MM01'!DC$2),"")=0,"",IFERROR(INDEX(Consulta!$A:$DF,MATCH('MM01'!$B27,Consulta!$C:$C,0),'MM01'!DC$2),""))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5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5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5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5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IF(IFERROR(INDEX(Consulta!$A:$DF,MATCH('MM01'!$B27,Consulta!$C:$C,0),'MM01'!EB$2),"")=0,"7925",IF(IFERROR(INDEX(Consulta!$A:$DF,MATCH('MM01'!$B27,Consulta!$C:$C,0),'MM01'!EB$2),"")="68","7910","7925"))</f>
        <v>7925</v>
      </c>
      <c r="EC27" s="44">
        <v>100</v>
      </c>
      <c r="ED27" s="60">
        <v>1</v>
      </c>
      <c r="EE27" s="43">
        <f t="shared" si="38"/>
        <v>100</v>
      </c>
      <c r="EF27" s="44">
        <v>1</v>
      </c>
      <c r="EG27" s="44">
        <v>0</v>
      </c>
      <c r="EH27" s="44" t="s">
        <v>867</v>
      </c>
      <c r="EI27" s="45">
        <v>0</v>
      </c>
      <c r="EJ27" s="43">
        <f t="shared" si="39"/>
        <v>5000</v>
      </c>
      <c r="EK27" s="65"/>
    </row>
    <row r="28" spans="1:141" x14ac:dyDescent="0.3">
      <c r="A28" s="7" t="str">
        <f t="shared" si="0"/>
        <v>Execução 24</v>
      </c>
      <c r="B28" s="42"/>
      <c r="C28" s="43" t="str">
        <f>IF(IFERROR(INDEX(Consulta!$A:$DF,MATCH('MM01'!$B28,Consulta!$C:$C,0),'MM01'!C$2),"")=0,"",IFERROR(INDEX(Consulta!$A:$DF,MATCH('MM01'!$B28,Consulta!$C:$C,0),'MM01'!C$2),""))</f>
        <v/>
      </c>
      <c r="D28" s="43" t="str">
        <f>IF(IFERROR(INDEX(Consulta!$A:$DF,MATCH('MM01'!$B28,Consulta!$C:$C,0),'MM01'!D$2),"")=0,"",IFERROR(INDEX(Consulta!$A:$DF,MATCH('MM01'!$B28,Consulta!$C:$C,0),'MM01'!D$2),""))</f>
        <v/>
      </c>
      <c r="E28" s="43" t="str">
        <f>IF(IFERROR(INDEX(Consulta!$A:$DF,MATCH('MM01'!$B28,Consulta!$C:$C,0),'MM01'!E$2),"")=0,"",IFERROR(INDEX(Consulta!$A:$DF,MATCH('MM01'!$B28,Consulta!$C:$C,0),'MM01'!E$2),""))</f>
        <v/>
      </c>
      <c r="F28" s="44" t="s">
        <v>100</v>
      </c>
      <c r="G28" s="49" t="str">
        <f>IF(IFERROR(INDEX(Consulta!$A:$DF,MATCH('MM01'!$B28,Consulta!$C:$C,0),'MM01'!G$2),"")=0,"",IFERROR(INDEX(Consulta!$A:$DF,MATCH('MM01'!$B28,Consulta!$C:$C,0),'MM01'!G$2),""))</f>
        <v/>
      </c>
      <c r="H28" s="49" t="str">
        <f>IF(IFERROR(INDEX(Consulta!$A:$DF,MATCH('MM01'!$B28,Consulta!$C:$C,0),'MM01'!H$2),"")=0,"",IFERROR(INDEX(Consulta!$A:$DF,MATCH('MM01'!$B28,Consulta!$C:$C,0),'MM01'!H$2),""))</f>
        <v/>
      </c>
      <c r="I28" s="49" t="str">
        <f t="shared" si="1"/>
        <v/>
      </c>
      <c r="J28" s="49" t="str">
        <f>IF(IFERROR(INDEX(Consulta!$A:$DF,MATCH('MM01'!$B28,Consulta!$C:$C,0),'MM01'!J$2),"")=0,"",IFERROR(INDEX(Consulta!$A:$DF,MATCH('MM01'!$B28,Consulta!$C:$C,0),'MM01'!J$2),""))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IF(IFERROR(INDEX(Consulta!$A:$DF,MATCH('MM01'!$B28,Consulta!$C:$C,0),'MM01'!AP$2),"")=0,"",IFERROR(INDEX(Consulta!$A:$DF,MATCH('MM01'!$B28,Consulta!$C:$C,0),'MM01'!AP$2),""))</f>
        <v/>
      </c>
      <c r="AQ28" s="45"/>
      <c r="AR28" s="43" t="str">
        <f>IF(IFERROR(INDEX(Consulta!$A:$DF,MATCH('MM01'!$B28,Consulta!$C:$C,0),'MM01'!AR$2),"")=0,"",IFERROR(INDEX(Consulta!$A:$DF,MATCH('MM01'!$B28,Consulta!$C:$C,0),'MM01'!AR$2),""))</f>
        <v/>
      </c>
      <c r="AS28" s="43" t="str">
        <f>IF(IFERROR(INDEX(Consulta!$A:$DF,MATCH('MM01'!$B28,Consulta!$C:$C,0),'MM01'!AS$2),"")=0,"",IF(AR28="68",5102,IFERROR(INDEX(Consulta!$A:$DF,MATCH('MM01'!$B28,Consulta!$C:$C,0),'MM01'!AS$2),"")))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IF(IFERROR(INDEX(Consulta!$A:$DF,MATCH('MM01'!$B28,Consulta!$C:$C,0),'MM01'!AW$2),"")=0,"",IFERROR(ROUND(INDEX(Consulta!$A:$DF,MATCH('MM01'!$B28,Consulta!$C:$C,0),'MM01'!AW$2),3),""))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IF(IFERROR(INDEX(Consulta!$A:$DF,MATCH('MM01'!$B28,Consulta!$C:$C,0),'MM01'!BA$2),"")=0,"",IFERROR(INDEX(Consulta!$A:$DF,MATCH('MM01'!$B28,Consulta!$C:$C,0),'MM01'!BA$2),""))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IF(IFERROR(INDEX(Consulta!$A:$DF,MATCH('MM01'!$B28,Consulta!$C:$C,0),'MM01'!BL$2),"")=0,"",IFERROR(INDEX(Consulta!$A:$DF,MATCH('MM01'!$B28,Consulta!$C:$C,0),'MM01'!BL$2),""))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IF(IFERROR(INDEX(Consulta!$A:$DF,MATCH('MM01'!$B28,Consulta!$C:$C,0),'MM01'!BX$2),"")=0,"",IFERROR(INDEX(Consulta!$A:$DF,MATCH('MM01'!$B28,Consulta!$C:$C,0),'MM01'!BX$2),""))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IF(IFERROR(INDEX(Consulta!$A:$DF,MATCH('MM01'!$B28,Consulta!$C:$C,0),'MM01'!CT$2),"")=0,"",IFERROR(INDEX(Consulta!$A:$DF,MATCH('MM01'!$B28,Consulta!$C:$C,0),'MM01'!CT$2),""))</f>
        <v/>
      </c>
      <c r="CU28" s="43" t="str">
        <f>IF(IFERROR(INDEX(Consulta!$A:$DF,MATCH('MM01'!$B28,Consulta!$C:$C,0),'MM01'!CU$2),"")=0,"",IFERROR(INDEX(Consulta!$A:$DF,MATCH('MM01'!$B28,Consulta!$C:$C,0),'MM01'!CU$2),""))</f>
        <v/>
      </c>
      <c r="CV28" s="43" t="str">
        <f>IF(IFERROR(INDEX(Consulta!$A:$DF,MATCH('MM01'!$B28,Consulta!$C:$C,0),'MM01'!CV$2),"")=0,"",IFERROR(INDEX(Consulta!$A:$DF,MATCH('MM01'!$B28,Consulta!$C:$C,0),'MM01'!CV$2),""))</f>
        <v/>
      </c>
      <c r="CW28" s="43" t="str">
        <f>IF(IFERROR(INDEX(Consulta!$A:$DF,MATCH('MM01'!$B28,Consulta!$C:$C,0),'MM01'!CW$2),"")=0,"",IFERROR(INDEX(Consulta!$A:$DF,MATCH('MM01'!$B28,Consulta!$C:$C,0),'MM01'!CW$2),""))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IF(IFERROR(INDEX(Consulta!$A:$DF,MATCH('MM01'!$B28,Consulta!$C:$C,0),'MM01'!DA$2),"")=0,"",IFERROR(INDEX(Consulta!$A:$DF,MATCH('MM01'!$B28,Consulta!$C:$C,0),'MM01'!DA$2),""))</f>
        <v/>
      </c>
      <c r="DB28" s="43" t="str">
        <f t="shared" si="22"/>
        <v/>
      </c>
      <c r="DC28" s="43" t="str">
        <f>IF(IFERROR(INDEX(Consulta!$A:$DF,MATCH('MM01'!$B28,Consulta!$C:$C,0),'MM01'!DC$2),"")=0,"",IFERROR(INDEX(Consulta!$A:$DF,MATCH('MM01'!$B28,Consulta!$C:$C,0),'MM01'!DC$2),""))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5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5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5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5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IF(IFERROR(INDEX(Consulta!$A:$DF,MATCH('MM01'!$B28,Consulta!$C:$C,0),'MM01'!EB$2),"")=0,"7925",IF(IFERROR(INDEX(Consulta!$A:$DF,MATCH('MM01'!$B28,Consulta!$C:$C,0),'MM01'!EB$2),"")="68","7910","7925"))</f>
        <v>7925</v>
      </c>
      <c r="EC28" s="44">
        <v>100</v>
      </c>
      <c r="ED28" s="60">
        <v>1</v>
      </c>
      <c r="EE28" s="43">
        <f t="shared" si="38"/>
        <v>100</v>
      </c>
      <c r="EF28" s="44">
        <v>1</v>
      </c>
      <c r="EG28" s="44">
        <v>0</v>
      </c>
      <c r="EH28" s="44" t="s">
        <v>867</v>
      </c>
      <c r="EI28" s="45">
        <v>0</v>
      </c>
      <c r="EJ28" s="43">
        <f t="shared" si="39"/>
        <v>5000</v>
      </c>
      <c r="EK28" s="65"/>
    </row>
    <row r="29" spans="1:141" x14ac:dyDescent="0.3">
      <c r="A29" s="7" t="str">
        <f t="shared" si="0"/>
        <v>Execução 25</v>
      </c>
      <c r="B29" s="42"/>
      <c r="C29" s="43" t="str">
        <f>IF(IFERROR(INDEX(Consulta!$A:$DF,MATCH('MM01'!$B29,Consulta!$C:$C,0),'MM01'!C$2),"")=0,"",IFERROR(INDEX(Consulta!$A:$DF,MATCH('MM01'!$B29,Consulta!$C:$C,0),'MM01'!C$2),""))</f>
        <v/>
      </c>
      <c r="D29" s="43" t="str">
        <f>IF(IFERROR(INDEX(Consulta!$A:$DF,MATCH('MM01'!$B29,Consulta!$C:$C,0),'MM01'!D$2),"")=0,"",IFERROR(INDEX(Consulta!$A:$DF,MATCH('MM01'!$B29,Consulta!$C:$C,0),'MM01'!D$2),""))</f>
        <v/>
      </c>
      <c r="E29" s="43" t="str">
        <f>IF(IFERROR(INDEX(Consulta!$A:$DF,MATCH('MM01'!$B29,Consulta!$C:$C,0),'MM01'!E$2),"")=0,"",IFERROR(INDEX(Consulta!$A:$DF,MATCH('MM01'!$B29,Consulta!$C:$C,0),'MM01'!E$2),""))</f>
        <v/>
      </c>
      <c r="F29" s="44" t="s">
        <v>100</v>
      </c>
      <c r="G29" s="49" t="str">
        <f>IF(IFERROR(INDEX(Consulta!$A:$DF,MATCH('MM01'!$B29,Consulta!$C:$C,0),'MM01'!G$2),"")=0,"",IFERROR(INDEX(Consulta!$A:$DF,MATCH('MM01'!$B29,Consulta!$C:$C,0),'MM01'!G$2),""))</f>
        <v/>
      </c>
      <c r="H29" s="49" t="str">
        <f>IF(IFERROR(INDEX(Consulta!$A:$DF,MATCH('MM01'!$B29,Consulta!$C:$C,0),'MM01'!H$2),"")=0,"",IFERROR(INDEX(Consulta!$A:$DF,MATCH('MM01'!$B29,Consulta!$C:$C,0),'MM01'!H$2),""))</f>
        <v/>
      </c>
      <c r="I29" s="49" t="str">
        <f t="shared" si="1"/>
        <v/>
      </c>
      <c r="J29" s="49" t="str">
        <f>IF(IFERROR(INDEX(Consulta!$A:$DF,MATCH('MM01'!$B29,Consulta!$C:$C,0),'MM01'!J$2),"")=0,"",IFERROR(INDEX(Consulta!$A:$DF,MATCH('MM01'!$B29,Consulta!$C:$C,0),'MM01'!J$2),""))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IF(IFERROR(INDEX(Consulta!$A:$DF,MATCH('MM01'!$B29,Consulta!$C:$C,0),'MM01'!AP$2),"")=0,"",IFERROR(INDEX(Consulta!$A:$DF,MATCH('MM01'!$B29,Consulta!$C:$C,0),'MM01'!AP$2),""))</f>
        <v/>
      </c>
      <c r="AQ29" s="45"/>
      <c r="AR29" s="43" t="str">
        <f>IF(IFERROR(INDEX(Consulta!$A:$DF,MATCH('MM01'!$B29,Consulta!$C:$C,0),'MM01'!AR$2),"")=0,"",IFERROR(INDEX(Consulta!$A:$DF,MATCH('MM01'!$B29,Consulta!$C:$C,0),'MM01'!AR$2),""))</f>
        <v/>
      </c>
      <c r="AS29" s="43" t="str">
        <f>IF(IFERROR(INDEX(Consulta!$A:$DF,MATCH('MM01'!$B29,Consulta!$C:$C,0),'MM01'!AS$2),"")=0,"",IF(AR29="68",5102,IFERROR(INDEX(Consulta!$A:$DF,MATCH('MM01'!$B29,Consulta!$C:$C,0),'MM01'!AS$2),"")))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IF(IFERROR(INDEX(Consulta!$A:$DF,MATCH('MM01'!$B29,Consulta!$C:$C,0),'MM01'!AW$2),"")=0,"",IFERROR(ROUND(INDEX(Consulta!$A:$DF,MATCH('MM01'!$B29,Consulta!$C:$C,0),'MM01'!AW$2),3),""))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IF(IFERROR(INDEX(Consulta!$A:$DF,MATCH('MM01'!$B29,Consulta!$C:$C,0),'MM01'!BA$2),"")=0,"",IFERROR(INDEX(Consulta!$A:$DF,MATCH('MM01'!$B29,Consulta!$C:$C,0),'MM01'!BA$2),""))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IF(IFERROR(INDEX(Consulta!$A:$DF,MATCH('MM01'!$B29,Consulta!$C:$C,0),'MM01'!BL$2),"")=0,"",IFERROR(INDEX(Consulta!$A:$DF,MATCH('MM01'!$B29,Consulta!$C:$C,0),'MM01'!BL$2),""))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IF(IFERROR(INDEX(Consulta!$A:$DF,MATCH('MM01'!$B29,Consulta!$C:$C,0),'MM01'!BX$2),"")=0,"",IFERROR(INDEX(Consulta!$A:$DF,MATCH('MM01'!$B29,Consulta!$C:$C,0),'MM01'!BX$2),""))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IF(IFERROR(INDEX(Consulta!$A:$DF,MATCH('MM01'!$B29,Consulta!$C:$C,0),'MM01'!CT$2),"")=0,"",IFERROR(INDEX(Consulta!$A:$DF,MATCH('MM01'!$B29,Consulta!$C:$C,0),'MM01'!CT$2),""))</f>
        <v/>
      </c>
      <c r="CU29" s="43" t="str">
        <f>IF(IFERROR(INDEX(Consulta!$A:$DF,MATCH('MM01'!$B29,Consulta!$C:$C,0),'MM01'!CU$2),"")=0,"",IFERROR(INDEX(Consulta!$A:$DF,MATCH('MM01'!$B29,Consulta!$C:$C,0),'MM01'!CU$2),""))</f>
        <v/>
      </c>
      <c r="CV29" s="43" t="str">
        <f>IF(IFERROR(INDEX(Consulta!$A:$DF,MATCH('MM01'!$B29,Consulta!$C:$C,0),'MM01'!CV$2),"")=0,"",IFERROR(INDEX(Consulta!$A:$DF,MATCH('MM01'!$B29,Consulta!$C:$C,0),'MM01'!CV$2),""))</f>
        <v/>
      </c>
      <c r="CW29" s="43" t="str">
        <f>IF(IFERROR(INDEX(Consulta!$A:$DF,MATCH('MM01'!$B29,Consulta!$C:$C,0),'MM01'!CW$2),"")=0,"",IFERROR(INDEX(Consulta!$A:$DF,MATCH('MM01'!$B29,Consulta!$C:$C,0),'MM01'!CW$2),""))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IF(IFERROR(INDEX(Consulta!$A:$DF,MATCH('MM01'!$B29,Consulta!$C:$C,0),'MM01'!DA$2),"")=0,"",IFERROR(INDEX(Consulta!$A:$DF,MATCH('MM01'!$B29,Consulta!$C:$C,0),'MM01'!DA$2),""))</f>
        <v/>
      </c>
      <c r="DB29" s="43" t="str">
        <f t="shared" si="22"/>
        <v/>
      </c>
      <c r="DC29" s="43" t="str">
        <f>IF(IFERROR(INDEX(Consulta!$A:$DF,MATCH('MM01'!$B29,Consulta!$C:$C,0),'MM01'!DC$2),"")=0,"",IFERROR(INDEX(Consulta!$A:$DF,MATCH('MM01'!$B29,Consulta!$C:$C,0),'MM01'!DC$2),""))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5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5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5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5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IF(IFERROR(INDEX(Consulta!$A:$DF,MATCH('MM01'!$B29,Consulta!$C:$C,0),'MM01'!EB$2),"")=0,"7925",IF(IFERROR(INDEX(Consulta!$A:$DF,MATCH('MM01'!$B29,Consulta!$C:$C,0),'MM01'!EB$2),"")="68","7910","7925"))</f>
        <v>7925</v>
      </c>
      <c r="EC29" s="44">
        <v>100</v>
      </c>
      <c r="ED29" s="60">
        <v>1</v>
      </c>
      <c r="EE29" s="43">
        <f t="shared" si="38"/>
        <v>100</v>
      </c>
      <c r="EF29" s="44">
        <v>1</v>
      </c>
      <c r="EG29" s="44">
        <v>0</v>
      </c>
      <c r="EH29" s="44" t="s">
        <v>867</v>
      </c>
      <c r="EI29" s="45">
        <v>0</v>
      </c>
      <c r="EJ29" s="43">
        <f t="shared" si="39"/>
        <v>5000</v>
      </c>
      <c r="EK29" s="65"/>
    </row>
    <row r="30" spans="1:141" x14ac:dyDescent="0.3">
      <c r="A30" s="7" t="str">
        <f t="shared" si="0"/>
        <v>Execução 26</v>
      </c>
      <c r="B30" s="42"/>
      <c r="C30" s="43" t="str">
        <f>IF(IFERROR(INDEX(Consulta!$A:$DF,MATCH('MM01'!$B30,Consulta!$C:$C,0),'MM01'!C$2),"")=0,"",IFERROR(INDEX(Consulta!$A:$DF,MATCH('MM01'!$B30,Consulta!$C:$C,0),'MM01'!C$2),""))</f>
        <v/>
      </c>
      <c r="D30" s="43" t="str">
        <f>IF(IFERROR(INDEX(Consulta!$A:$DF,MATCH('MM01'!$B30,Consulta!$C:$C,0),'MM01'!D$2),"")=0,"",IFERROR(INDEX(Consulta!$A:$DF,MATCH('MM01'!$B30,Consulta!$C:$C,0),'MM01'!D$2),""))</f>
        <v/>
      </c>
      <c r="E30" s="43" t="str">
        <f>IF(IFERROR(INDEX(Consulta!$A:$DF,MATCH('MM01'!$B30,Consulta!$C:$C,0),'MM01'!E$2),"")=0,"",IFERROR(INDEX(Consulta!$A:$DF,MATCH('MM01'!$B30,Consulta!$C:$C,0),'MM01'!E$2),""))</f>
        <v/>
      </c>
      <c r="F30" s="44" t="s">
        <v>100</v>
      </c>
      <c r="G30" s="49" t="str">
        <f>IF(IFERROR(INDEX(Consulta!$A:$DF,MATCH('MM01'!$B30,Consulta!$C:$C,0),'MM01'!G$2),"")=0,"",IFERROR(INDEX(Consulta!$A:$DF,MATCH('MM01'!$B30,Consulta!$C:$C,0),'MM01'!G$2),""))</f>
        <v/>
      </c>
      <c r="H30" s="49" t="str">
        <f>IF(IFERROR(INDEX(Consulta!$A:$DF,MATCH('MM01'!$B30,Consulta!$C:$C,0),'MM01'!H$2),"")=0,"",IFERROR(INDEX(Consulta!$A:$DF,MATCH('MM01'!$B30,Consulta!$C:$C,0),'MM01'!H$2),""))</f>
        <v/>
      </c>
      <c r="I30" s="49" t="str">
        <f t="shared" si="1"/>
        <v/>
      </c>
      <c r="J30" s="49" t="str">
        <f>IF(IFERROR(INDEX(Consulta!$A:$DF,MATCH('MM01'!$B30,Consulta!$C:$C,0),'MM01'!J$2),"")=0,"",IFERROR(INDEX(Consulta!$A:$DF,MATCH('MM01'!$B30,Consulta!$C:$C,0),'MM01'!J$2),""))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IF(IFERROR(INDEX(Consulta!$A:$DF,MATCH('MM01'!$B30,Consulta!$C:$C,0),'MM01'!AP$2),"")=0,"",IFERROR(INDEX(Consulta!$A:$DF,MATCH('MM01'!$B30,Consulta!$C:$C,0),'MM01'!AP$2),""))</f>
        <v/>
      </c>
      <c r="AQ30" s="45"/>
      <c r="AR30" s="43" t="str">
        <f>IF(IFERROR(INDEX(Consulta!$A:$DF,MATCH('MM01'!$B30,Consulta!$C:$C,0),'MM01'!AR$2),"")=0,"",IFERROR(INDEX(Consulta!$A:$DF,MATCH('MM01'!$B30,Consulta!$C:$C,0),'MM01'!AR$2),""))</f>
        <v/>
      </c>
      <c r="AS30" s="43" t="str">
        <f>IF(IFERROR(INDEX(Consulta!$A:$DF,MATCH('MM01'!$B30,Consulta!$C:$C,0),'MM01'!AS$2),"")=0,"",IF(AR30="68",5102,IFERROR(INDEX(Consulta!$A:$DF,MATCH('MM01'!$B30,Consulta!$C:$C,0),'MM01'!AS$2),"")))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IF(IFERROR(INDEX(Consulta!$A:$DF,MATCH('MM01'!$B30,Consulta!$C:$C,0),'MM01'!AW$2),"")=0,"",IFERROR(ROUND(INDEX(Consulta!$A:$DF,MATCH('MM01'!$B30,Consulta!$C:$C,0),'MM01'!AW$2),3),""))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IF(IFERROR(INDEX(Consulta!$A:$DF,MATCH('MM01'!$B30,Consulta!$C:$C,0),'MM01'!BA$2),"")=0,"",IFERROR(INDEX(Consulta!$A:$DF,MATCH('MM01'!$B30,Consulta!$C:$C,0),'MM01'!BA$2),""))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IF(IFERROR(INDEX(Consulta!$A:$DF,MATCH('MM01'!$B30,Consulta!$C:$C,0),'MM01'!BL$2),"")=0,"",IFERROR(INDEX(Consulta!$A:$DF,MATCH('MM01'!$B30,Consulta!$C:$C,0),'MM01'!BL$2),""))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IF(IFERROR(INDEX(Consulta!$A:$DF,MATCH('MM01'!$B30,Consulta!$C:$C,0),'MM01'!BX$2),"")=0,"",IFERROR(INDEX(Consulta!$A:$DF,MATCH('MM01'!$B30,Consulta!$C:$C,0),'MM01'!BX$2),""))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IF(IFERROR(INDEX(Consulta!$A:$DF,MATCH('MM01'!$B30,Consulta!$C:$C,0),'MM01'!CT$2),"")=0,"",IFERROR(INDEX(Consulta!$A:$DF,MATCH('MM01'!$B30,Consulta!$C:$C,0),'MM01'!CT$2),""))</f>
        <v/>
      </c>
      <c r="CU30" s="43" t="str">
        <f>IF(IFERROR(INDEX(Consulta!$A:$DF,MATCH('MM01'!$B30,Consulta!$C:$C,0),'MM01'!CU$2),"")=0,"",IFERROR(INDEX(Consulta!$A:$DF,MATCH('MM01'!$B30,Consulta!$C:$C,0),'MM01'!CU$2),""))</f>
        <v/>
      </c>
      <c r="CV30" s="43" t="str">
        <f>IF(IFERROR(INDEX(Consulta!$A:$DF,MATCH('MM01'!$B30,Consulta!$C:$C,0),'MM01'!CV$2),"")=0,"",IFERROR(INDEX(Consulta!$A:$DF,MATCH('MM01'!$B30,Consulta!$C:$C,0),'MM01'!CV$2),""))</f>
        <v/>
      </c>
      <c r="CW30" s="43" t="str">
        <f>IF(IFERROR(INDEX(Consulta!$A:$DF,MATCH('MM01'!$B30,Consulta!$C:$C,0),'MM01'!CW$2),"")=0,"",IFERROR(INDEX(Consulta!$A:$DF,MATCH('MM01'!$B30,Consulta!$C:$C,0),'MM01'!CW$2),""))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IF(IFERROR(INDEX(Consulta!$A:$DF,MATCH('MM01'!$B30,Consulta!$C:$C,0),'MM01'!DA$2),"")=0,"",IFERROR(INDEX(Consulta!$A:$DF,MATCH('MM01'!$B30,Consulta!$C:$C,0),'MM01'!DA$2),""))</f>
        <v/>
      </c>
      <c r="DB30" s="43" t="str">
        <f t="shared" si="22"/>
        <v/>
      </c>
      <c r="DC30" s="43" t="str">
        <f>IF(IFERROR(INDEX(Consulta!$A:$DF,MATCH('MM01'!$B30,Consulta!$C:$C,0),'MM01'!DC$2),"")=0,"",IFERROR(INDEX(Consulta!$A:$DF,MATCH('MM01'!$B30,Consulta!$C:$C,0),'MM01'!DC$2),""))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5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5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5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5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IF(IFERROR(INDEX(Consulta!$A:$DF,MATCH('MM01'!$B30,Consulta!$C:$C,0),'MM01'!EB$2),"")=0,"7925",IF(IFERROR(INDEX(Consulta!$A:$DF,MATCH('MM01'!$B30,Consulta!$C:$C,0),'MM01'!EB$2),"")="68","7910","7925"))</f>
        <v>7925</v>
      </c>
      <c r="EC30" s="44">
        <v>100</v>
      </c>
      <c r="ED30" s="60">
        <v>1</v>
      </c>
      <c r="EE30" s="43">
        <f t="shared" si="38"/>
        <v>100</v>
      </c>
      <c r="EF30" s="44">
        <v>1</v>
      </c>
      <c r="EG30" s="44">
        <v>0</v>
      </c>
      <c r="EH30" s="44" t="s">
        <v>867</v>
      </c>
      <c r="EI30" s="45">
        <v>0</v>
      </c>
      <c r="EJ30" s="43">
        <f t="shared" si="39"/>
        <v>5000</v>
      </c>
      <c r="EK30" s="65"/>
    </row>
    <row r="31" spans="1:141" x14ac:dyDescent="0.3">
      <c r="A31" s="7" t="str">
        <f t="shared" si="0"/>
        <v>Execução 27</v>
      </c>
      <c r="B31" s="42"/>
      <c r="C31" s="43" t="str">
        <f>IF(IFERROR(INDEX(Consulta!$A:$DF,MATCH('MM01'!$B31,Consulta!$C:$C,0),'MM01'!C$2),"")=0,"",IFERROR(INDEX(Consulta!$A:$DF,MATCH('MM01'!$B31,Consulta!$C:$C,0),'MM01'!C$2),""))</f>
        <v/>
      </c>
      <c r="D31" s="43" t="str">
        <f>IF(IFERROR(INDEX(Consulta!$A:$DF,MATCH('MM01'!$B31,Consulta!$C:$C,0),'MM01'!D$2),"")=0,"",IFERROR(INDEX(Consulta!$A:$DF,MATCH('MM01'!$B31,Consulta!$C:$C,0),'MM01'!D$2),""))</f>
        <v/>
      </c>
      <c r="E31" s="43" t="str">
        <f>IF(IFERROR(INDEX(Consulta!$A:$DF,MATCH('MM01'!$B31,Consulta!$C:$C,0),'MM01'!E$2),"")=0,"",IFERROR(INDEX(Consulta!$A:$DF,MATCH('MM01'!$B31,Consulta!$C:$C,0),'MM01'!E$2),""))</f>
        <v/>
      </c>
      <c r="F31" s="44" t="s">
        <v>100</v>
      </c>
      <c r="G31" s="49" t="str">
        <f>IF(IFERROR(INDEX(Consulta!$A:$DF,MATCH('MM01'!$B31,Consulta!$C:$C,0),'MM01'!G$2),"")=0,"",IFERROR(INDEX(Consulta!$A:$DF,MATCH('MM01'!$B31,Consulta!$C:$C,0),'MM01'!G$2),""))</f>
        <v/>
      </c>
      <c r="H31" s="49" t="str">
        <f>IF(IFERROR(INDEX(Consulta!$A:$DF,MATCH('MM01'!$B31,Consulta!$C:$C,0),'MM01'!H$2),"")=0,"",IFERROR(INDEX(Consulta!$A:$DF,MATCH('MM01'!$B31,Consulta!$C:$C,0),'MM01'!H$2),""))</f>
        <v/>
      </c>
      <c r="I31" s="49" t="str">
        <f t="shared" si="1"/>
        <v/>
      </c>
      <c r="J31" s="49" t="str">
        <f>IF(IFERROR(INDEX(Consulta!$A:$DF,MATCH('MM01'!$B31,Consulta!$C:$C,0),'MM01'!J$2),"")=0,"",IFERROR(INDEX(Consulta!$A:$DF,MATCH('MM01'!$B31,Consulta!$C:$C,0),'MM01'!J$2),""))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IF(IFERROR(INDEX(Consulta!$A:$DF,MATCH('MM01'!$B31,Consulta!$C:$C,0),'MM01'!AP$2),"")=0,"",IFERROR(INDEX(Consulta!$A:$DF,MATCH('MM01'!$B31,Consulta!$C:$C,0),'MM01'!AP$2),""))</f>
        <v/>
      </c>
      <c r="AQ31" s="45"/>
      <c r="AR31" s="43" t="str">
        <f>IF(IFERROR(INDEX(Consulta!$A:$DF,MATCH('MM01'!$B31,Consulta!$C:$C,0),'MM01'!AR$2),"")=0,"",IFERROR(INDEX(Consulta!$A:$DF,MATCH('MM01'!$B31,Consulta!$C:$C,0),'MM01'!AR$2),""))</f>
        <v/>
      </c>
      <c r="AS31" s="43" t="str">
        <f>IF(IFERROR(INDEX(Consulta!$A:$DF,MATCH('MM01'!$B31,Consulta!$C:$C,0),'MM01'!AS$2),"")=0,"",IF(AR31="68",5102,IFERROR(INDEX(Consulta!$A:$DF,MATCH('MM01'!$B31,Consulta!$C:$C,0),'MM01'!AS$2),"")))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IF(IFERROR(INDEX(Consulta!$A:$DF,MATCH('MM01'!$B31,Consulta!$C:$C,0),'MM01'!AW$2),"")=0,"",IFERROR(ROUND(INDEX(Consulta!$A:$DF,MATCH('MM01'!$B31,Consulta!$C:$C,0),'MM01'!AW$2),3),""))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IF(IFERROR(INDEX(Consulta!$A:$DF,MATCH('MM01'!$B31,Consulta!$C:$C,0),'MM01'!BA$2),"")=0,"",IFERROR(INDEX(Consulta!$A:$DF,MATCH('MM01'!$B31,Consulta!$C:$C,0),'MM01'!BA$2),""))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IF(IFERROR(INDEX(Consulta!$A:$DF,MATCH('MM01'!$B31,Consulta!$C:$C,0),'MM01'!BL$2),"")=0,"",IFERROR(INDEX(Consulta!$A:$DF,MATCH('MM01'!$B31,Consulta!$C:$C,0),'MM01'!BL$2),""))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IF(IFERROR(INDEX(Consulta!$A:$DF,MATCH('MM01'!$B31,Consulta!$C:$C,0),'MM01'!BX$2),"")=0,"",IFERROR(INDEX(Consulta!$A:$DF,MATCH('MM01'!$B31,Consulta!$C:$C,0),'MM01'!BX$2),""))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IF(IFERROR(INDEX(Consulta!$A:$DF,MATCH('MM01'!$B31,Consulta!$C:$C,0),'MM01'!CT$2),"")=0,"",IFERROR(INDEX(Consulta!$A:$DF,MATCH('MM01'!$B31,Consulta!$C:$C,0),'MM01'!CT$2),""))</f>
        <v/>
      </c>
      <c r="CU31" s="43" t="str">
        <f>IF(IFERROR(INDEX(Consulta!$A:$DF,MATCH('MM01'!$B31,Consulta!$C:$C,0),'MM01'!CU$2),"")=0,"",IFERROR(INDEX(Consulta!$A:$DF,MATCH('MM01'!$B31,Consulta!$C:$C,0),'MM01'!CU$2),""))</f>
        <v/>
      </c>
      <c r="CV31" s="43" t="str">
        <f>IF(IFERROR(INDEX(Consulta!$A:$DF,MATCH('MM01'!$B31,Consulta!$C:$C,0),'MM01'!CV$2),"")=0,"",IFERROR(INDEX(Consulta!$A:$DF,MATCH('MM01'!$B31,Consulta!$C:$C,0),'MM01'!CV$2),""))</f>
        <v/>
      </c>
      <c r="CW31" s="43" t="str">
        <f>IF(IFERROR(INDEX(Consulta!$A:$DF,MATCH('MM01'!$B31,Consulta!$C:$C,0),'MM01'!CW$2),"")=0,"",IFERROR(INDEX(Consulta!$A:$DF,MATCH('MM01'!$B31,Consulta!$C:$C,0),'MM01'!CW$2),""))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IF(IFERROR(INDEX(Consulta!$A:$DF,MATCH('MM01'!$B31,Consulta!$C:$C,0),'MM01'!DA$2),"")=0,"",IFERROR(INDEX(Consulta!$A:$DF,MATCH('MM01'!$B31,Consulta!$C:$C,0),'MM01'!DA$2),""))</f>
        <v/>
      </c>
      <c r="DB31" s="43" t="str">
        <f t="shared" si="22"/>
        <v/>
      </c>
      <c r="DC31" s="43" t="str">
        <f>IF(IFERROR(INDEX(Consulta!$A:$DF,MATCH('MM01'!$B31,Consulta!$C:$C,0),'MM01'!DC$2),"")=0,"",IFERROR(INDEX(Consulta!$A:$DF,MATCH('MM01'!$B31,Consulta!$C:$C,0),'MM01'!DC$2),""))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5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5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5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5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IF(IFERROR(INDEX(Consulta!$A:$DF,MATCH('MM01'!$B31,Consulta!$C:$C,0),'MM01'!EB$2),"")=0,"7925",IF(IFERROR(INDEX(Consulta!$A:$DF,MATCH('MM01'!$B31,Consulta!$C:$C,0),'MM01'!EB$2),"")="68","7910","7925"))</f>
        <v>7925</v>
      </c>
      <c r="EC31" s="44">
        <v>100</v>
      </c>
      <c r="ED31" s="60">
        <v>1</v>
      </c>
      <c r="EE31" s="43">
        <f t="shared" si="38"/>
        <v>100</v>
      </c>
      <c r="EF31" s="44">
        <v>1</v>
      </c>
      <c r="EG31" s="44">
        <v>0</v>
      </c>
      <c r="EH31" s="44" t="s">
        <v>867</v>
      </c>
      <c r="EI31" s="45">
        <v>0</v>
      </c>
      <c r="EJ31" s="43">
        <f t="shared" si="39"/>
        <v>5000</v>
      </c>
      <c r="EK31" s="65"/>
    </row>
    <row r="32" spans="1:141" x14ac:dyDescent="0.3">
      <c r="A32" s="7" t="str">
        <f t="shared" si="0"/>
        <v>Execução 28</v>
      </c>
      <c r="B32" s="42"/>
      <c r="C32" s="43" t="str">
        <f>IF(IFERROR(INDEX(Consulta!$A:$DF,MATCH('MM01'!$B32,Consulta!$C:$C,0),'MM01'!C$2),"")=0,"",IFERROR(INDEX(Consulta!$A:$DF,MATCH('MM01'!$B32,Consulta!$C:$C,0),'MM01'!C$2),""))</f>
        <v/>
      </c>
      <c r="D32" s="43" t="str">
        <f>IF(IFERROR(INDEX(Consulta!$A:$DF,MATCH('MM01'!$B32,Consulta!$C:$C,0),'MM01'!D$2),"")=0,"",IFERROR(INDEX(Consulta!$A:$DF,MATCH('MM01'!$B32,Consulta!$C:$C,0),'MM01'!D$2),""))</f>
        <v/>
      </c>
      <c r="E32" s="43" t="str">
        <f>IF(IFERROR(INDEX(Consulta!$A:$DF,MATCH('MM01'!$B32,Consulta!$C:$C,0),'MM01'!E$2),"")=0,"",IFERROR(INDEX(Consulta!$A:$DF,MATCH('MM01'!$B32,Consulta!$C:$C,0),'MM01'!E$2),""))</f>
        <v/>
      </c>
      <c r="F32" s="44" t="s">
        <v>100</v>
      </c>
      <c r="G32" s="49" t="str">
        <f>IF(IFERROR(INDEX(Consulta!$A:$DF,MATCH('MM01'!$B32,Consulta!$C:$C,0),'MM01'!G$2),"")=0,"",IFERROR(INDEX(Consulta!$A:$DF,MATCH('MM01'!$B32,Consulta!$C:$C,0),'MM01'!G$2),""))</f>
        <v/>
      </c>
      <c r="H32" s="49" t="str">
        <f>IF(IFERROR(INDEX(Consulta!$A:$DF,MATCH('MM01'!$B32,Consulta!$C:$C,0),'MM01'!H$2),"")=0,"",IFERROR(INDEX(Consulta!$A:$DF,MATCH('MM01'!$B32,Consulta!$C:$C,0),'MM01'!H$2),""))</f>
        <v/>
      </c>
      <c r="I32" s="49" t="str">
        <f t="shared" si="1"/>
        <v/>
      </c>
      <c r="J32" s="49" t="str">
        <f>IF(IFERROR(INDEX(Consulta!$A:$DF,MATCH('MM01'!$B32,Consulta!$C:$C,0),'MM01'!J$2),"")=0,"",IFERROR(INDEX(Consulta!$A:$DF,MATCH('MM01'!$B32,Consulta!$C:$C,0),'MM01'!J$2),""))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IF(IFERROR(INDEX(Consulta!$A:$DF,MATCH('MM01'!$B32,Consulta!$C:$C,0),'MM01'!AP$2),"")=0,"",IFERROR(INDEX(Consulta!$A:$DF,MATCH('MM01'!$B32,Consulta!$C:$C,0),'MM01'!AP$2),""))</f>
        <v/>
      </c>
      <c r="AQ32" s="45"/>
      <c r="AR32" s="43" t="str">
        <f>IF(IFERROR(INDEX(Consulta!$A:$DF,MATCH('MM01'!$B32,Consulta!$C:$C,0),'MM01'!AR$2),"")=0,"",IFERROR(INDEX(Consulta!$A:$DF,MATCH('MM01'!$B32,Consulta!$C:$C,0),'MM01'!AR$2),""))</f>
        <v/>
      </c>
      <c r="AS32" s="43" t="str">
        <f>IF(IFERROR(INDEX(Consulta!$A:$DF,MATCH('MM01'!$B32,Consulta!$C:$C,0),'MM01'!AS$2),"")=0,"",IF(AR32="68",5102,IFERROR(INDEX(Consulta!$A:$DF,MATCH('MM01'!$B32,Consulta!$C:$C,0),'MM01'!AS$2),"")))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IF(IFERROR(INDEX(Consulta!$A:$DF,MATCH('MM01'!$B32,Consulta!$C:$C,0),'MM01'!AW$2),"")=0,"",IFERROR(ROUND(INDEX(Consulta!$A:$DF,MATCH('MM01'!$B32,Consulta!$C:$C,0),'MM01'!AW$2),3),""))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IF(IFERROR(INDEX(Consulta!$A:$DF,MATCH('MM01'!$B32,Consulta!$C:$C,0),'MM01'!BA$2),"")=0,"",IFERROR(INDEX(Consulta!$A:$DF,MATCH('MM01'!$B32,Consulta!$C:$C,0),'MM01'!BA$2),""))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IF(IFERROR(INDEX(Consulta!$A:$DF,MATCH('MM01'!$B32,Consulta!$C:$C,0),'MM01'!BL$2),"")=0,"",IFERROR(INDEX(Consulta!$A:$DF,MATCH('MM01'!$B32,Consulta!$C:$C,0),'MM01'!BL$2),""))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IF(IFERROR(INDEX(Consulta!$A:$DF,MATCH('MM01'!$B32,Consulta!$C:$C,0),'MM01'!BX$2),"")=0,"",IFERROR(INDEX(Consulta!$A:$DF,MATCH('MM01'!$B32,Consulta!$C:$C,0),'MM01'!BX$2),""))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IF(IFERROR(INDEX(Consulta!$A:$DF,MATCH('MM01'!$B32,Consulta!$C:$C,0),'MM01'!CT$2),"")=0,"",IFERROR(INDEX(Consulta!$A:$DF,MATCH('MM01'!$B32,Consulta!$C:$C,0),'MM01'!CT$2),""))</f>
        <v/>
      </c>
      <c r="CU32" s="43" t="str">
        <f>IF(IFERROR(INDEX(Consulta!$A:$DF,MATCH('MM01'!$B32,Consulta!$C:$C,0),'MM01'!CU$2),"")=0,"",IFERROR(INDEX(Consulta!$A:$DF,MATCH('MM01'!$B32,Consulta!$C:$C,0),'MM01'!CU$2),""))</f>
        <v/>
      </c>
      <c r="CV32" s="43" t="str">
        <f>IF(IFERROR(INDEX(Consulta!$A:$DF,MATCH('MM01'!$B32,Consulta!$C:$C,0),'MM01'!CV$2),"")=0,"",IFERROR(INDEX(Consulta!$A:$DF,MATCH('MM01'!$B32,Consulta!$C:$C,0),'MM01'!CV$2),""))</f>
        <v/>
      </c>
      <c r="CW32" s="43" t="str">
        <f>IF(IFERROR(INDEX(Consulta!$A:$DF,MATCH('MM01'!$B32,Consulta!$C:$C,0),'MM01'!CW$2),"")=0,"",IFERROR(INDEX(Consulta!$A:$DF,MATCH('MM01'!$B32,Consulta!$C:$C,0),'MM01'!CW$2),""))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IF(IFERROR(INDEX(Consulta!$A:$DF,MATCH('MM01'!$B32,Consulta!$C:$C,0),'MM01'!DA$2),"")=0,"",IFERROR(INDEX(Consulta!$A:$DF,MATCH('MM01'!$B32,Consulta!$C:$C,0),'MM01'!DA$2),""))</f>
        <v/>
      </c>
      <c r="DB32" s="43" t="str">
        <f t="shared" si="22"/>
        <v/>
      </c>
      <c r="DC32" s="43" t="str">
        <f>IF(IFERROR(INDEX(Consulta!$A:$DF,MATCH('MM01'!$B32,Consulta!$C:$C,0),'MM01'!DC$2),"")=0,"",IFERROR(INDEX(Consulta!$A:$DF,MATCH('MM01'!$B32,Consulta!$C:$C,0),'MM01'!DC$2),""))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5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5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5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5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IF(IFERROR(INDEX(Consulta!$A:$DF,MATCH('MM01'!$B32,Consulta!$C:$C,0),'MM01'!EB$2),"")=0,"7925",IF(IFERROR(INDEX(Consulta!$A:$DF,MATCH('MM01'!$B32,Consulta!$C:$C,0),'MM01'!EB$2),"")="68","7910","7925"))</f>
        <v>7925</v>
      </c>
      <c r="EC32" s="44">
        <v>100</v>
      </c>
      <c r="ED32" s="60">
        <v>1</v>
      </c>
      <c r="EE32" s="43">
        <f t="shared" si="38"/>
        <v>100</v>
      </c>
      <c r="EF32" s="44">
        <v>1</v>
      </c>
      <c r="EG32" s="44">
        <v>0</v>
      </c>
      <c r="EH32" s="44" t="s">
        <v>867</v>
      </c>
      <c r="EI32" s="45">
        <v>0</v>
      </c>
      <c r="EJ32" s="43">
        <f t="shared" si="39"/>
        <v>5000</v>
      </c>
      <c r="EK32" s="65"/>
    </row>
    <row r="33" spans="1:141" x14ac:dyDescent="0.3">
      <c r="A33" s="7" t="str">
        <f t="shared" si="0"/>
        <v>Execução 29</v>
      </c>
      <c r="B33" s="42"/>
      <c r="C33" s="43" t="str">
        <f>IF(IFERROR(INDEX(Consulta!$A:$DF,MATCH('MM01'!$B33,Consulta!$C:$C,0),'MM01'!C$2),"")=0,"",IFERROR(INDEX(Consulta!$A:$DF,MATCH('MM01'!$B33,Consulta!$C:$C,0),'MM01'!C$2),""))</f>
        <v/>
      </c>
      <c r="D33" s="43" t="str">
        <f>IF(IFERROR(INDEX(Consulta!$A:$DF,MATCH('MM01'!$B33,Consulta!$C:$C,0),'MM01'!D$2),"")=0,"",IFERROR(INDEX(Consulta!$A:$DF,MATCH('MM01'!$B33,Consulta!$C:$C,0),'MM01'!D$2),""))</f>
        <v/>
      </c>
      <c r="E33" s="43" t="str">
        <f>IF(IFERROR(INDEX(Consulta!$A:$DF,MATCH('MM01'!$B33,Consulta!$C:$C,0),'MM01'!E$2),"")=0,"",IFERROR(INDEX(Consulta!$A:$DF,MATCH('MM01'!$B33,Consulta!$C:$C,0),'MM01'!E$2),""))</f>
        <v/>
      </c>
      <c r="F33" s="44" t="s">
        <v>100</v>
      </c>
      <c r="G33" s="49" t="str">
        <f>IF(IFERROR(INDEX(Consulta!$A:$DF,MATCH('MM01'!$B33,Consulta!$C:$C,0),'MM01'!G$2),"")=0,"",IFERROR(INDEX(Consulta!$A:$DF,MATCH('MM01'!$B33,Consulta!$C:$C,0),'MM01'!G$2),""))</f>
        <v/>
      </c>
      <c r="H33" s="49" t="str">
        <f>IF(IFERROR(INDEX(Consulta!$A:$DF,MATCH('MM01'!$B33,Consulta!$C:$C,0),'MM01'!H$2),"")=0,"",IFERROR(INDEX(Consulta!$A:$DF,MATCH('MM01'!$B33,Consulta!$C:$C,0),'MM01'!H$2),""))</f>
        <v/>
      </c>
      <c r="I33" s="49" t="str">
        <f t="shared" si="1"/>
        <v/>
      </c>
      <c r="J33" s="49" t="str">
        <f>IF(IFERROR(INDEX(Consulta!$A:$DF,MATCH('MM01'!$B33,Consulta!$C:$C,0),'MM01'!J$2),"")=0,"",IFERROR(INDEX(Consulta!$A:$DF,MATCH('MM01'!$B33,Consulta!$C:$C,0),'MM01'!J$2),""))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IF(IFERROR(INDEX(Consulta!$A:$DF,MATCH('MM01'!$B33,Consulta!$C:$C,0),'MM01'!AP$2),"")=0,"",IFERROR(INDEX(Consulta!$A:$DF,MATCH('MM01'!$B33,Consulta!$C:$C,0),'MM01'!AP$2),""))</f>
        <v/>
      </c>
      <c r="AQ33" s="45"/>
      <c r="AR33" s="43" t="str">
        <f>IF(IFERROR(INDEX(Consulta!$A:$DF,MATCH('MM01'!$B33,Consulta!$C:$C,0),'MM01'!AR$2),"")=0,"",IFERROR(INDEX(Consulta!$A:$DF,MATCH('MM01'!$B33,Consulta!$C:$C,0),'MM01'!AR$2),""))</f>
        <v/>
      </c>
      <c r="AS33" s="43" t="str">
        <f>IF(IFERROR(INDEX(Consulta!$A:$DF,MATCH('MM01'!$B33,Consulta!$C:$C,0),'MM01'!AS$2),"")=0,"",IF(AR33="68",5102,IFERROR(INDEX(Consulta!$A:$DF,MATCH('MM01'!$B33,Consulta!$C:$C,0),'MM01'!AS$2),"")))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IF(IFERROR(INDEX(Consulta!$A:$DF,MATCH('MM01'!$B33,Consulta!$C:$C,0),'MM01'!AW$2),"")=0,"",IFERROR(ROUND(INDEX(Consulta!$A:$DF,MATCH('MM01'!$B33,Consulta!$C:$C,0),'MM01'!AW$2),3),""))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IF(IFERROR(INDEX(Consulta!$A:$DF,MATCH('MM01'!$B33,Consulta!$C:$C,0),'MM01'!BA$2),"")=0,"",IFERROR(INDEX(Consulta!$A:$DF,MATCH('MM01'!$B33,Consulta!$C:$C,0),'MM01'!BA$2),""))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IF(IFERROR(INDEX(Consulta!$A:$DF,MATCH('MM01'!$B33,Consulta!$C:$C,0),'MM01'!BL$2),"")=0,"",IFERROR(INDEX(Consulta!$A:$DF,MATCH('MM01'!$B33,Consulta!$C:$C,0),'MM01'!BL$2),""))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IF(IFERROR(INDEX(Consulta!$A:$DF,MATCH('MM01'!$B33,Consulta!$C:$C,0),'MM01'!BX$2),"")=0,"",IFERROR(INDEX(Consulta!$A:$DF,MATCH('MM01'!$B33,Consulta!$C:$C,0),'MM01'!BX$2),""))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IF(IFERROR(INDEX(Consulta!$A:$DF,MATCH('MM01'!$B33,Consulta!$C:$C,0),'MM01'!CT$2),"")=0,"",IFERROR(INDEX(Consulta!$A:$DF,MATCH('MM01'!$B33,Consulta!$C:$C,0),'MM01'!CT$2),""))</f>
        <v/>
      </c>
      <c r="CU33" s="43" t="str">
        <f>IF(IFERROR(INDEX(Consulta!$A:$DF,MATCH('MM01'!$B33,Consulta!$C:$C,0),'MM01'!CU$2),"")=0,"",IFERROR(INDEX(Consulta!$A:$DF,MATCH('MM01'!$B33,Consulta!$C:$C,0),'MM01'!CU$2),""))</f>
        <v/>
      </c>
      <c r="CV33" s="43" t="str">
        <f>IF(IFERROR(INDEX(Consulta!$A:$DF,MATCH('MM01'!$B33,Consulta!$C:$C,0),'MM01'!CV$2),"")=0,"",IFERROR(INDEX(Consulta!$A:$DF,MATCH('MM01'!$B33,Consulta!$C:$C,0),'MM01'!CV$2),""))</f>
        <v/>
      </c>
      <c r="CW33" s="43" t="str">
        <f>IF(IFERROR(INDEX(Consulta!$A:$DF,MATCH('MM01'!$B33,Consulta!$C:$C,0),'MM01'!CW$2),"")=0,"",IFERROR(INDEX(Consulta!$A:$DF,MATCH('MM01'!$B33,Consulta!$C:$C,0),'MM01'!CW$2),""))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IF(IFERROR(INDEX(Consulta!$A:$DF,MATCH('MM01'!$B33,Consulta!$C:$C,0),'MM01'!DA$2),"")=0,"",IFERROR(INDEX(Consulta!$A:$DF,MATCH('MM01'!$B33,Consulta!$C:$C,0),'MM01'!DA$2),""))</f>
        <v/>
      </c>
      <c r="DB33" s="43" t="str">
        <f t="shared" si="22"/>
        <v/>
      </c>
      <c r="DC33" s="43" t="str">
        <f>IF(IFERROR(INDEX(Consulta!$A:$DF,MATCH('MM01'!$B33,Consulta!$C:$C,0),'MM01'!DC$2),"")=0,"",IFERROR(INDEX(Consulta!$A:$DF,MATCH('MM01'!$B33,Consulta!$C:$C,0),'MM01'!DC$2),""))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5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5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5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5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IF(IFERROR(INDEX(Consulta!$A:$DF,MATCH('MM01'!$B33,Consulta!$C:$C,0),'MM01'!EB$2),"")=0,"7925",IF(IFERROR(INDEX(Consulta!$A:$DF,MATCH('MM01'!$B33,Consulta!$C:$C,0),'MM01'!EB$2),"")="68","7910","7925"))</f>
        <v>7925</v>
      </c>
      <c r="EC33" s="44">
        <v>100</v>
      </c>
      <c r="ED33" s="60">
        <v>1</v>
      </c>
      <c r="EE33" s="43">
        <f t="shared" si="38"/>
        <v>100</v>
      </c>
      <c r="EF33" s="44">
        <v>1</v>
      </c>
      <c r="EG33" s="44">
        <v>0</v>
      </c>
      <c r="EH33" s="44" t="s">
        <v>867</v>
      </c>
      <c r="EI33" s="45">
        <v>0</v>
      </c>
      <c r="EJ33" s="43">
        <f t="shared" si="39"/>
        <v>5000</v>
      </c>
      <c r="EK33" s="65"/>
    </row>
    <row r="34" spans="1:141" x14ac:dyDescent="0.3">
      <c r="A34" s="7" t="str">
        <f t="shared" si="0"/>
        <v>Execução 30</v>
      </c>
      <c r="B34" s="42"/>
      <c r="C34" s="43" t="str">
        <f>IF(IFERROR(INDEX(Consulta!$A:$DF,MATCH('MM01'!$B34,Consulta!$C:$C,0),'MM01'!C$2),"")=0,"",IFERROR(INDEX(Consulta!$A:$DF,MATCH('MM01'!$B34,Consulta!$C:$C,0),'MM01'!C$2),""))</f>
        <v/>
      </c>
      <c r="D34" s="43" t="str">
        <f>IF(IFERROR(INDEX(Consulta!$A:$DF,MATCH('MM01'!$B34,Consulta!$C:$C,0),'MM01'!D$2),"")=0,"",IFERROR(INDEX(Consulta!$A:$DF,MATCH('MM01'!$B34,Consulta!$C:$C,0),'MM01'!D$2),""))</f>
        <v/>
      </c>
      <c r="E34" s="43" t="str">
        <f>IF(IFERROR(INDEX(Consulta!$A:$DF,MATCH('MM01'!$B34,Consulta!$C:$C,0),'MM01'!E$2),"")=0,"",IFERROR(INDEX(Consulta!$A:$DF,MATCH('MM01'!$B34,Consulta!$C:$C,0),'MM01'!E$2),""))</f>
        <v/>
      </c>
      <c r="F34" s="44" t="s">
        <v>100</v>
      </c>
      <c r="G34" s="49" t="str">
        <f>IF(IFERROR(INDEX(Consulta!$A:$DF,MATCH('MM01'!$B34,Consulta!$C:$C,0),'MM01'!G$2),"")=0,"",IFERROR(INDEX(Consulta!$A:$DF,MATCH('MM01'!$B34,Consulta!$C:$C,0),'MM01'!G$2),""))</f>
        <v/>
      </c>
      <c r="H34" s="49" t="str">
        <f>IF(IFERROR(INDEX(Consulta!$A:$DF,MATCH('MM01'!$B34,Consulta!$C:$C,0),'MM01'!H$2),"")=0,"",IFERROR(INDEX(Consulta!$A:$DF,MATCH('MM01'!$B34,Consulta!$C:$C,0),'MM01'!H$2),""))</f>
        <v/>
      </c>
      <c r="I34" s="49" t="str">
        <f t="shared" si="1"/>
        <v/>
      </c>
      <c r="J34" s="49" t="str">
        <f>IF(IFERROR(INDEX(Consulta!$A:$DF,MATCH('MM01'!$B34,Consulta!$C:$C,0),'MM01'!J$2),"")=0,"",IFERROR(INDEX(Consulta!$A:$DF,MATCH('MM01'!$B34,Consulta!$C:$C,0),'MM01'!J$2),""))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IF(IFERROR(INDEX(Consulta!$A:$DF,MATCH('MM01'!$B34,Consulta!$C:$C,0),'MM01'!AP$2),"")=0,"",IFERROR(INDEX(Consulta!$A:$DF,MATCH('MM01'!$B34,Consulta!$C:$C,0),'MM01'!AP$2),""))</f>
        <v/>
      </c>
      <c r="AQ34" s="45"/>
      <c r="AR34" s="43" t="str">
        <f>IF(IFERROR(INDEX(Consulta!$A:$DF,MATCH('MM01'!$B34,Consulta!$C:$C,0),'MM01'!AR$2),"")=0,"",IFERROR(INDEX(Consulta!$A:$DF,MATCH('MM01'!$B34,Consulta!$C:$C,0),'MM01'!AR$2),""))</f>
        <v/>
      </c>
      <c r="AS34" s="43" t="str">
        <f>IF(IFERROR(INDEX(Consulta!$A:$DF,MATCH('MM01'!$B34,Consulta!$C:$C,0),'MM01'!AS$2),"")=0,"",IF(AR34="68",5102,IFERROR(INDEX(Consulta!$A:$DF,MATCH('MM01'!$B34,Consulta!$C:$C,0),'MM01'!AS$2),"")))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IF(IFERROR(INDEX(Consulta!$A:$DF,MATCH('MM01'!$B34,Consulta!$C:$C,0),'MM01'!AW$2),"")=0,"",IFERROR(ROUND(INDEX(Consulta!$A:$DF,MATCH('MM01'!$B34,Consulta!$C:$C,0),'MM01'!AW$2),3),""))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IF(IFERROR(INDEX(Consulta!$A:$DF,MATCH('MM01'!$B34,Consulta!$C:$C,0),'MM01'!BA$2),"")=0,"",IFERROR(INDEX(Consulta!$A:$DF,MATCH('MM01'!$B34,Consulta!$C:$C,0),'MM01'!BA$2),""))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IF(IFERROR(INDEX(Consulta!$A:$DF,MATCH('MM01'!$B34,Consulta!$C:$C,0),'MM01'!BL$2),"")=0,"",IFERROR(INDEX(Consulta!$A:$DF,MATCH('MM01'!$B34,Consulta!$C:$C,0),'MM01'!BL$2),""))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IF(IFERROR(INDEX(Consulta!$A:$DF,MATCH('MM01'!$B34,Consulta!$C:$C,0),'MM01'!BX$2),"")=0,"",IFERROR(INDEX(Consulta!$A:$DF,MATCH('MM01'!$B34,Consulta!$C:$C,0),'MM01'!BX$2),""))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IF(IFERROR(INDEX(Consulta!$A:$DF,MATCH('MM01'!$B34,Consulta!$C:$C,0),'MM01'!CT$2),"")=0,"",IFERROR(INDEX(Consulta!$A:$DF,MATCH('MM01'!$B34,Consulta!$C:$C,0),'MM01'!CT$2),""))</f>
        <v/>
      </c>
      <c r="CU34" s="43" t="str">
        <f>IF(IFERROR(INDEX(Consulta!$A:$DF,MATCH('MM01'!$B34,Consulta!$C:$C,0),'MM01'!CU$2),"")=0,"",IFERROR(INDEX(Consulta!$A:$DF,MATCH('MM01'!$B34,Consulta!$C:$C,0),'MM01'!CU$2),""))</f>
        <v/>
      </c>
      <c r="CV34" s="43" t="str">
        <f>IF(IFERROR(INDEX(Consulta!$A:$DF,MATCH('MM01'!$B34,Consulta!$C:$C,0),'MM01'!CV$2),"")=0,"",IFERROR(INDEX(Consulta!$A:$DF,MATCH('MM01'!$B34,Consulta!$C:$C,0),'MM01'!CV$2),""))</f>
        <v/>
      </c>
      <c r="CW34" s="43" t="str">
        <f>IF(IFERROR(INDEX(Consulta!$A:$DF,MATCH('MM01'!$B34,Consulta!$C:$C,0),'MM01'!CW$2),"")=0,"",IFERROR(INDEX(Consulta!$A:$DF,MATCH('MM01'!$B34,Consulta!$C:$C,0),'MM01'!CW$2),""))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IF(IFERROR(INDEX(Consulta!$A:$DF,MATCH('MM01'!$B34,Consulta!$C:$C,0),'MM01'!DA$2),"")=0,"",IFERROR(INDEX(Consulta!$A:$DF,MATCH('MM01'!$B34,Consulta!$C:$C,0),'MM01'!DA$2),""))</f>
        <v/>
      </c>
      <c r="DB34" s="43" t="str">
        <f t="shared" si="22"/>
        <v/>
      </c>
      <c r="DC34" s="43" t="str">
        <f>IF(IFERROR(INDEX(Consulta!$A:$DF,MATCH('MM01'!$B34,Consulta!$C:$C,0),'MM01'!DC$2),"")=0,"",IFERROR(INDEX(Consulta!$A:$DF,MATCH('MM01'!$B34,Consulta!$C:$C,0),'MM01'!DC$2),""))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5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5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5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5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IF(IFERROR(INDEX(Consulta!$A:$DF,MATCH('MM01'!$B34,Consulta!$C:$C,0),'MM01'!EB$2),"")=0,"7925",IF(IFERROR(INDEX(Consulta!$A:$DF,MATCH('MM01'!$B34,Consulta!$C:$C,0),'MM01'!EB$2),"")="68","7910","7925"))</f>
        <v>7925</v>
      </c>
      <c r="EC34" s="44">
        <v>100</v>
      </c>
      <c r="ED34" s="60">
        <v>1</v>
      </c>
      <c r="EE34" s="43">
        <f t="shared" si="38"/>
        <v>100</v>
      </c>
      <c r="EF34" s="44">
        <v>1</v>
      </c>
      <c r="EG34" s="44">
        <v>0</v>
      </c>
      <c r="EH34" s="44" t="s">
        <v>867</v>
      </c>
      <c r="EI34" s="45">
        <v>0</v>
      </c>
      <c r="EJ34" s="43">
        <f t="shared" si="39"/>
        <v>5000</v>
      </c>
      <c r="EK34" s="65"/>
    </row>
    <row r="35" spans="1:141" x14ac:dyDescent="0.3">
      <c r="A35" s="7" t="str">
        <f t="shared" si="0"/>
        <v>Execução 31</v>
      </c>
      <c r="B35" s="42"/>
      <c r="C35" s="43" t="str">
        <f>IF(IFERROR(INDEX(Consulta!$A:$DF,MATCH('MM01'!$B35,Consulta!$C:$C,0),'MM01'!C$2),"")=0,"",IFERROR(INDEX(Consulta!$A:$DF,MATCH('MM01'!$B35,Consulta!$C:$C,0),'MM01'!C$2),""))</f>
        <v/>
      </c>
      <c r="D35" s="43" t="str">
        <f>IF(IFERROR(INDEX(Consulta!$A:$DF,MATCH('MM01'!$B35,Consulta!$C:$C,0),'MM01'!D$2),"")=0,"",IFERROR(INDEX(Consulta!$A:$DF,MATCH('MM01'!$B35,Consulta!$C:$C,0),'MM01'!D$2),""))</f>
        <v/>
      </c>
      <c r="E35" s="43" t="str">
        <f>IF(IFERROR(INDEX(Consulta!$A:$DF,MATCH('MM01'!$B35,Consulta!$C:$C,0),'MM01'!E$2),"")=0,"",IFERROR(INDEX(Consulta!$A:$DF,MATCH('MM01'!$B35,Consulta!$C:$C,0),'MM01'!E$2),""))</f>
        <v/>
      </c>
      <c r="F35" s="44" t="s">
        <v>100</v>
      </c>
      <c r="G35" s="49" t="str">
        <f>IF(IFERROR(INDEX(Consulta!$A:$DF,MATCH('MM01'!$B35,Consulta!$C:$C,0),'MM01'!G$2),"")=0,"",IFERROR(INDEX(Consulta!$A:$DF,MATCH('MM01'!$B35,Consulta!$C:$C,0),'MM01'!G$2),""))</f>
        <v/>
      </c>
      <c r="H35" s="49" t="str">
        <f>IF(IFERROR(INDEX(Consulta!$A:$DF,MATCH('MM01'!$B35,Consulta!$C:$C,0),'MM01'!H$2),"")=0,"",IFERROR(INDEX(Consulta!$A:$DF,MATCH('MM01'!$B35,Consulta!$C:$C,0),'MM01'!H$2),""))</f>
        <v/>
      </c>
      <c r="I35" s="49" t="str">
        <f t="shared" si="1"/>
        <v/>
      </c>
      <c r="J35" s="49" t="str">
        <f>IF(IFERROR(INDEX(Consulta!$A:$DF,MATCH('MM01'!$B35,Consulta!$C:$C,0),'MM01'!J$2),"")=0,"",IFERROR(INDEX(Consulta!$A:$DF,MATCH('MM01'!$B35,Consulta!$C:$C,0),'MM01'!J$2),""))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IF(IFERROR(INDEX(Consulta!$A:$DF,MATCH('MM01'!$B35,Consulta!$C:$C,0),'MM01'!AP$2),"")=0,"",IFERROR(INDEX(Consulta!$A:$DF,MATCH('MM01'!$B35,Consulta!$C:$C,0),'MM01'!AP$2),""))</f>
        <v/>
      </c>
      <c r="AQ35" s="45"/>
      <c r="AR35" s="43" t="str">
        <f>IF(IFERROR(INDEX(Consulta!$A:$DF,MATCH('MM01'!$B35,Consulta!$C:$C,0),'MM01'!AR$2),"")=0,"",IFERROR(INDEX(Consulta!$A:$DF,MATCH('MM01'!$B35,Consulta!$C:$C,0),'MM01'!AR$2),""))</f>
        <v/>
      </c>
      <c r="AS35" s="43" t="str">
        <f>IF(IFERROR(INDEX(Consulta!$A:$DF,MATCH('MM01'!$B35,Consulta!$C:$C,0),'MM01'!AS$2),"")=0,"",IF(AR35="68",5102,IFERROR(INDEX(Consulta!$A:$DF,MATCH('MM01'!$B35,Consulta!$C:$C,0),'MM01'!AS$2),"")))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IF(IFERROR(INDEX(Consulta!$A:$DF,MATCH('MM01'!$B35,Consulta!$C:$C,0),'MM01'!AW$2),"")=0,"",IFERROR(ROUND(INDEX(Consulta!$A:$DF,MATCH('MM01'!$B35,Consulta!$C:$C,0),'MM01'!AW$2),3),""))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IF(IFERROR(INDEX(Consulta!$A:$DF,MATCH('MM01'!$B35,Consulta!$C:$C,0),'MM01'!BA$2),"")=0,"",IFERROR(INDEX(Consulta!$A:$DF,MATCH('MM01'!$B35,Consulta!$C:$C,0),'MM01'!BA$2),""))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IF(IFERROR(INDEX(Consulta!$A:$DF,MATCH('MM01'!$B35,Consulta!$C:$C,0),'MM01'!BL$2),"")=0,"",IFERROR(INDEX(Consulta!$A:$DF,MATCH('MM01'!$B35,Consulta!$C:$C,0),'MM01'!BL$2),""))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IF(IFERROR(INDEX(Consulta!$A:$DF,MATCH('MM01'!$B35,Consulta!$C:$C,0),'MM01'!BX$2),"")=0,"",IFERROR(INDEX(Consulta!$A:$DF,MATCH('MM01'!$B35,Consulta!$C:$C,0),'MM01'!BX$2),""))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IF(IFERROR(INDEX(Consulta!$A:$DF,MATCH('MM01'!$B35,Consulta!$C:$C,0),'MM01'!CT$2),"")=0,"",IFERROR(INDEX(Consulta!$A:$DF,MATCH('MM01'!$B35,Consulta!$C:$C,0),'MM01'!CT$2),""))</f>
        <v/>
      </c>
      <c r="CU35" s="43" t="str">
        <f>IF(IFERROR(INDEX(Consulta!$A:$DF,MATCH('MM01'!$B35,Consulta!$C:$C,0),'MM01'!CU$2),"")=0,"",IFERROR(INDEX(Consulta!$A:$DF,MATCH('MM01'!$B35,Consulta!$C:$C,0),'MM01'!CU$2),""))</f>
        <v/>
      </c>
      <c r="CV35" s="43" t="str">
        <f>IF(IFERROR(INDEX(Consulta!$A:$DF,MATCH('MM01'!$B35,Consulta!$C:$C,0),'MM01'!CV$2),"")=0,"",IFERROR(INDEX(Consulta!$A:$DF,MATCH('MM01'!$B35,Consulta!$C:$C,0),'MM01'!CV$2),""))</f>
        <v/>
      </c>
      <c r="CW35" s="43" t="str">
        <f>IF(IFERROR(INDEX(Consulta!$A:$DF,MATCH('MM01'!$B35,Consulta!$C:$C,0),'MM01'!CW$2),"")=0,"",IFERROR(INDEX(Consulta!$A:$DF,MATCH('MM01'!$B35,Consulta!$C:$C,0),'MM01'!CW$2),""))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IF(IFERROR(INDEX(Consulta!$A:$DF,MATCH('MM01'!$B35,Consulta!$C:$C,0),'MM01'!DA$2),"")=0,"",IFERROR(INDEX(Consulta!$A:$DF,MATCH('MM01'!$B35,Consulta!$C:$C,0),'MM01'!DA$2),""))</f>
        <v/>
      </c>
      <c r="DB35" s="43" t="str">
        <f t="shared" si="22"/>
        <v/>
      </c>
      <c r="DC35" s="43" t="str">
        <f>IF(IFERROR(INDEX(Consulta!$A:$DF,MATCH('MM01'!$B35,Consulta!$C:$C,0),'MM01'!DC$2),"")=0,"",IFERROR(INDEX(Consulta!$A:$DF,MATCH('MM01'!$B35,Consulta!$C:$C,0),'MM01'!DC$2),""))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5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5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5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5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IF(IFERROR(INDEX(Consulta!$A:$DF,MATCH('MM01'!$B35,Consulta!$C:$C,0),'MM01'!EB$2),"")=0,"7925",IF(IFERROR(INDEX(Consulta!$A:$DF,MATCH('MM01'!$B35,Consulta!$C:$C,0),'MM01'!EB$2),"")="68","7910","7925"))</f>
        <v>7925</v>
      </c>
      <c r="EC35" s="44">
        <v>100</v>
      </c>
      <c r="ED35" s="60">
        <v>1</v>
      </c>
      <c r="EE35" s="43">
        <f t="shared" si="38"/>
        <v>100</v>
      </c>
      <c r="EF35" s="44">
        <v>1</v>
      </c>
      <c r="EG35" s="44">
        <v>0</v>
      </c>
      <c r="EH35" s="44" t="s">
        <v>867</v>
      </c>
      <c r="EI35" s="45">
        <v>0</v>
      </c>
      <c r="EJ35" s="43">
        <f t="shared" si="39"/>
        <v>5000</v>
      </c>
      <c r="EK35" s="65"/>
    </row>
    <row r="36" spans="1:141" x14ac:dyDescent="0.3">
      <c r="A36" s="7" t="str">
        <f t="shared" si="0"/>
        <v>Execução 32</v>
      </c>
      <c r="B36" s="42"/>
      <c r="C36" s="43" t="str">
        <f>IF(IFERROR(INDEX(Consulta!$A:$DF,MATCH('MM01'!$B36,Consulta!$C:$C,0),'MM01'!C$2),"")=0,"",IFERROR(INDEX(Consulta!$A:$DF,MATCH('MM01'!$B36,Consulta!$C:$C,0),'MM01'!C$2),""))</f>
        <v/>
      </c>
      <c r="D36" s="43" t="str">
        <f>IF(IFERROR(INDEX(Consulta!$A:$DF,MATCH('MM01'!$B36,Consulta!$C:$C,0),'MM01'!D$2),"")=0,"",IFERROR(INDEX(Consulta!$A:$DF,MATCH('MM01'!$B36,Consulta!$C:$C,0),'MM01'!D$2),""))</f>
        <v/>
      </c>
      <c r="E36" s="43" t="str">
        <f>IF(IFERROR(INDEX(Consulta!$A:$DF,MATCH('MM01'!$B36,Consulta!$C:$C,0),'MM01'!E$2),"")=0,"",IFERROR(INDEX(Consulta!$A:$DF,MATCH('MM01'!$B36,Consulta!$C:$C,0),'MM01'!E$2),""))</f>
        <v/>
      </c>
      <c r="F36" s="44" t="s">
        <v>100</v>
      </c>
      <c r="G36" s="49" t="str">
        <f>IF(IFERROR(INDEX(Consulta!$A:$DF,MATCH('MM01'!$B36,Consulta!$C:$C,0),'MM01'!G$2),"")=0,"",IFERROR(INDEX(Consulta!$A:$DF,MATCH('MM01'!$B36,Consulta!$C:$C,0),'MM01'!G$2),""))</f>
        <v/>
      </c>
      <c r="H36" s="49" t="str">
        <f>IF(IFERROR(INDEX(Consulta!$A:$DF,MATCH('MM01'!$B36,Consulta!$C:$C,0),'MM01'!H$2),"")=0,"",IFERROR(INDEX(Consulta!$A:$DF,MATCH('MM01'!$B36,Consulta!$C:$C,0),'MM01'!H$2),""))</f>
        <v/>
      </c>
      <c r="I36" s="49" t="str">
        <f t="shared" si="1"/>
        <v/>
      </c>
      <c r="J36" s="49" t="str">
        <f>IF(IFERROR(INDEX(Consulta!$A:$DF,MATCH('MM01'!$B36,Consulta!$C:$C,0),'MM01'!J$2),"")=0,"",IFERROR(INDEX(Consulta!$A:$DF,MATCH('MM01'!$B36,Consulta!$C:$C,0),'MM01'!J$2),""))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IF(IFERROR(INDEX(Consulta!$A:$DF,MATCH('MM01'!$B36,Consulta!$C:$C,0),'MM01'!AP$2),"")=0,"",IFERROR(INDEX(Consulta!$A:$DF,MATCH('MM01'!$B36,Consulta!$C:$C,0),'MM01'!AP$2),""))</f>
        <v/>
      </c>
      <c r="AQ36" s="45"/>
      <c r="AR36" s="43" t="str">
        <f>IF(IFERROR(INDEX(Consulta!$A:$DF,MATCH('MM01'!$B36,Consulta!$C:$C,0),'MM01'!AR$2),"")=0,"",IFERROR(INDEX(Consulta!$A:$DF,MATCH('MM01'!$B36,Consulta!$C:$C,0),'MM01'!AR$2),""))</f>
        <v/>
      </c>
      <c r="AS36" s="43" t="str">
        <f>IF(IFERROR(INDEX(Consulta!$A:$DF,MATCH('MM01'!$B36,Consulta!$C:$C,0),'MM01'!AS$2),"")=0,"",IF(AR36="68",5102,IFERROR(INDEX(Consulta!$A:$DF,MATCH('MM01'!$B36,Consulta!$C:$C,0),'MM01'!AS$2),"")))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IF(IFERROR(INDEX(Consulta!$A:$DF,MATCH('MM01'!$B36,Consulta!$C:$C,0),'MM01'!AW$2),"")=0,"",IFERROR(ROUND(INDEX(Consulta!$A:$DF,MATCH('MM01'!$B36,Consulta!$C:$C,0),'MM01'!AW$2),3),""))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IF(IFERROR(INDEX(Consulta!$A:$DF,MATCH('MM01'!$B36,Consulta!$C:$C,0),'MM01'!BA$2),"")=0,"",IFERROR(INDEX(Consulta!$A:$DF,MATCH('MM01'!$B36,Consulta!$C:$C,0),'MM01'!BA$2),""))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IF(IFERROR(INDEX(Consulta!$A:$DF,MATCH('MM01'!$B36,Consulta!$C:$C,0),'MM01'!BL$2),"")=0,"",IFERROR(INDEX(Consulta!$A:$DF,MATCH('MM01'!$B36,Consulta!$C:$C,0),'MM01'!BL$2),""))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IF(IFERROR(INDEX(Consulta!$A:$DF,MATCH('MM01'!$B36,Consulta!$C:$C,0),'MM01'!BX$2),"")=0,"",IFERROR(INDEX(Consulta!$A:$DF,MATCH('MM01'!$B36,Consulta!$C:$C,0),'MM01'!BX$2),""))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IF(IFERROR(INDEX(Consulta!$A:$DF,MATCH('MM01'!$B36,Consulta!$C:$C,0),'MM01'!CT$2),"")=0,"",IFERROR(INDEX(Consulta!$A:$DF,MATCH('MM01'!$B36,Consulta!$C:$C,0),'MM01'!CT$2),""))</f>
        <v/>
      </c>
      <c r="CU36" s="43" t="str">
        <f>IF(IFERROR(INDEX(Consulta!$A:$DF,MATCH('MM01'!$B36,Consulta!$C:$C,0),'MM01'!CU$2),"")=0,"",IFERROR(INDEX(Consulta!$A:$DF,MATCH('MM01'!$B36,Consulta!$C:$C,0),'MM01'!CU$2),""))</f>
        <v/>
      </c>
      <c r="CV36" s="43" t="str">
        <f>IF(IFERROR(INDEX(Consulta!$A:$DF,MATCH('MM01'!$B36,Consulta!$C:$C,0),'MM01'!CV$2),"")=0,"",IFERROR(INDEX(Consulta!$A:$DF,MATCH('MM01'!$B36,Consulta!$C:$C,0),'MM01'!CV$2),""))</f>
        <v/>
      </c>
      <c r="CW36" s="43" t="str">
        <f>IF(IFERROR(INDEX(Consulta!$A:$DF,MATCH('MM01'!$B36,Consulta!$C:$C,0),'MM01'!CW$2),"")=0,"",IFERROR(INDEX(Consulta!$A:$DF,MATCH('MM01'!$B36,Consulta!$C:$C,0),'MM01'!CW$2),""))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IF(IFERROR(INDEX(Consulta!$A:$DF,MATCH('MM01'!$B36,Consulta!$C:$C,0),'MM01'!DA$2),"")=0,"",IFERROR(INDEX(Consulta!$A:$DF,MATCH('MM01'!$B36,Consulta!$C:$C,0),'MM01'!DA$2),""))</f>
        <v/>
      </c>
      <c r="DB36" s="43" t="str">
        <f t="shared" si="22"/>
        <v/>
      </c>
      <c r="DC36" s="43" t="str">
        <f>IF(IFERROR(INDEX(Consulta!$A:$DF,MATCH('MM01'!$B36,Consulta!$C:$C,0),'MM01'!DC$2),"")=0,"",IFERROR(INDEX(Consulta!$A:$DF,MATCH('MM01'!$B36,Consulta!$C:$C,0),'MM01'!DC$2),""))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5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5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5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5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IF(IFERROR(INDEX(Consulta!$A:$DF,MATCH('MM01'!$B36,Consulta!$C:$C,0),'MM01'!EB$2),"")=0,"7925",IF(IFERROR(INDEX(Consulta!$A:$DF,MATCH('MM01'!$B36,Consulta!$C:$C,0),'MM01'!EB$2),"")="68","7910","7925"))</f>
        <v>7925</v>
      </c>
      <c r="EC36" s="44">
        <v>100</v>
      </c>
      <c r="ED36" s="60">
        <v>1</v>
      </c>
      <c r="EE36" s="43">
        <f t="shared" si="38"/>
        <v>100</v>
      </c>
      <c r="EF36" s="44">
        <v>1</v>
      </c>
      <c r="EG36" s="44">
        <v>0</v>
      </c>
      <c r="EH36" s="44" t="s">
        <v>867</v>
      </c>
      <c r="EI36" s="45">
        <v>0</v>
      </c>
      <c r="EJ36" s="43">
        <f t="shared" si="39"/>
        <v>5000</v>
      </c>
      <c r="EK36" s="65"/>
    </row>
    <row r="37" spans="1:141" x14ac:dyDescent="0.3">
      <c r="A37" s="7" t="str">
        <f t="shared" si="0"/>
        <v>Execução 33</v>
      </c>
      <c r="B37" s="42"/>
      <c r="C37" s="43" t="str">
        <f>IF(IFERROR(INDEX(Consulta!$A:$DF,MATCH('MM01'!$B37,Consulta!$C:$C,0),'MM01'!C$2),"")=0,"",IFERROR(INDEX(Consulta!$A:$DF,MATCH('MM01'!$B37,Consulta!$C:$C,0),'MM01'!C$2),""))</f>
        <v/>
      </c>
      <c r="D37" s="43" t="str">
        <f>IF(IFERROR(INDEX(Consulta!$A:$DF,MATCH('MM01'!$B37,Consulta!$C:$C,0),'MM01'!D$2),"")=0,"",IFERROR(INDEX(Consulta!$A:$DF,MATCH('MM01'!$B37,Consulta!$C:$C,0),'MM01'!D$2),""))</f>
        <v/>
      </c>
      <c r="E37" s="43" t="str">
        <f>IF(IFERROR(INDEX(Consulta!$A:$DF,MATCH('MM01'!$B37,Consulta!$C:$C,0),'MM01'!E$2),"")=0,"",IFERROR(INDEX(Consulta!$A:$DF,MATCH('MM01'!$B37,Consulta!$C:$C,0),'MM01'!E$2),""))</f>
        <v/>
      </c>
      <c r="F37" s="44" t="s">
        <v>100</v>
      </c>
      <c r="G37" s="49" t="str">
        <f>IF(IFERROR(INDEX(Consulta!$A:$DF,MATCH('MM01'!$B37,Consulta!$C:$C,0),'MM01'!G$2),"")=0,"",IFERROR(INDEX(Consulta!$A:$DF,MATCH('MM01'!$B37,Consulta!$C:$C,0),'MM01'!G$2),""))</f>
        <v/>
      </c>
      <c r="H37" s="49" t="str">
        <f>IF(IFERROR(INDEX(Consulta!$A:$DF,MATCH('MM01'!$B37,Consulta!$C:$C,0),'MM01'!H$2),"")=0,"",IFERROR(INDEX(Consulta!$A:$DF,MATCH('MM01'!$B37,Consulta!$C:$C,0),'MM01'!H$2),""))</f>
        <v/>
      </c>
      <c r="I37" s="49" t="str">
        <f t="shared" si="1"/>
        <v/>
      </c>
      <c r="J37" s="49" t="str">
        <f>IF(IFERROR(INDEX(Consulta!$A:$DF,MATCH('MM01'!$B37,Consulta!$C:$C,0),'MM01'!J$2),"")=0,"",IFERROR(INDEX(Consulta!$A:$DF,MATCH('MM01'!$B37,Consulta!$C:$C,0),'MM01'!J$2),""))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IF(IFERROR(INDEX(Consulta!$A:$DF,MATCH('MM01'!$B37,Consulta!$C:$C,0),'MM01'!AP$2),"")=0,"",IFERROR(INDEX(Consulta!$A:$DF,MATCH('MM01'!$B37,Consulta!$C:$C,0),'MM01'!AP$2),""))</f>
        <v/>
      </c>
      <c r="AQ37" s="45"/>
      <c r="AR37" s="43" t="str">
        <f>IF(IFERROR(INDEX(Consulta!$A:$DF,MATCH('MM01'!$B37,Consulta!$C:$C,0),'MM01'!AR$2),"")=0,"",IFERROR(INDEX(Consulta!$A:$DF,MATCH('MM01'!$B37,Consulta!$C:$C,0),'MM01'!AR$2),""))</f>
        <v/>
      </c>
      <c r="AS37" s="43" t="str">
        <f>IF(IFERROR(INDEX(Consulta!$A:$DF,MATCH('MM01'!$B37,Consulta!$C:$C,0),'MM01'!AS$2),"")=0,"",IF(AR37="68",5102,IFERROR(INDEX(Consulta!$A:$DF,MATCH('MM01'!$B37,Consulta!$C:$C,0),'MM01'!AS$2),"")))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IF(IFERROR(INDEX(Consulta!$A:$DF,MATCH('MM01'!$B37,Consulta!$C:$C,0),'MM01'!AW$2),"")=0,"",IFERROR(ROUND(INDEX(Consulta!$A:$DF,MATCH('MM01'!$B37,Consulta!$C:$C,0),'MM01'!AW$2),3),""))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IF(IFERROR(INDEX(Consulta!$A:$DF,MATCH('MM01'!$B37,Consulta!$C:$C,0),'MM01'!BA$2),"")=0,"",IFERROR(INDEX(Consulta!$A:$DF,MATCH('MM01'!$B37,Consulta!$C:$C,0),'MM01'!BA$2),""))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IF(IFERROR(INDEX(Consulta!$A:$DF,MATCH('MM01'!$B37,Consulta!$C:$C,0),'MM01'!BL$2),"")=0,"",IFERROR(INDEX(Consulta!$A:$DF,MATCH('MM01'!$B37,Consulta!$C:$C,0),'MM01'!BL$2),""))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IF(IFERROR(INDEX(Consulta!$A:$DF,MATCH('MM01'!$B37,Consulta!$C:$C,0),'MM01'!BX$2),"")=0,"",IFERROR(INDEX(Consulta!$A:$DF,MATCH('MM01'!$B37,Consulta!$C:$C,0),'MM01'!BX$2),""))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IF(IFERROR(INDEX(Consulta!$A:$DF,MATCH('MM01'!$B37,Consulta!$C:$C,0),'MM01'!CT$2),"")=0,"",IFERROR(INDEX(Consulta!$A:$DF,MATCH('MM01'!$B37,Consulta!$C:$C,0),'MM01'!CT$2),""))</f>
        <v/>
      </c>
      <c r="CU37" s="43" t="str">
        <f>IF(IFERROR(INDEX(Consulta!$A:$DF,MATCH('MM01'!$B37,Consulta!$C:$C,0),'MM01'!CU$2),"")=0,"",IFERROR(INDEX(Consulta!$A:$DF,MATCH('MM01'!$B37,Consulta!$C:$C,0),'MM01'!CU$2),""))</f>
        <v/>
      </c>
      <c r="CV37" s="43" t="str">
        <f>IF(IFERROR(INDEX(Consulta!$A:$DF,MATCH('MM01'!$B37,Consulta!$C:$C,0),'MM01'!CV$2),"")=0,"",IFERROR(INDEX(Consulta!$A:$DF,MATCH('MM01'!$B37,Consulta!$C:$C,0),'MM01'!CV$2),""))</f>
        <v/>
      </c>
      <c r="CW37" s="43" t="str">
        <f>IF(IFERROR(INDEX(Consulta!$A:$DF,MATCH('MM01'!$B37,Consulta!$C:$C,0),'MM01'!CW$2),"")=0,"",IFERROR(INDEX(Consulta!$A:$DF,MATCH('MM01'!$B37,Consulta!$C:$C,0),'MM01'!CW$2),""))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IF(IFERROR(INDEX(Consulta!$A:$DF,MATCH('MM01'!$B37,Consulta!$C:$C,0),'MM01'!DA$2),"")=0,"",IFERROR(INDEX(Consulta!$A:$DF,MATCH('MM01'!$B37,Consulta!$C:$C,0),'MM01'!DA$2),""))</f>
        <v/>
      </c>
      <c r="DB37" s="43" t="str">
        <f t="shared" si="22"/>
        <v/>
      </c>
      <c r="DC37" s="43" t="str">
        <f>IF(IFERROR(INDEX(Consulta!$A:$DF,MATCH('MM01'!$B37,Consulta!$C:$C,0),'MM01'!DC$2),"")=0,"",IFERROR(INDEX(Consulta!$A:$DF,MATCH('MM01'!$B37,Consulta!$C:$C,0),'MM01'!DC$2),""))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5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5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5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5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IF(IFERROR(INDEX(Consulta!$A:$DF,MATCH('MM01'!$B37,Consulta!$C:$C,0),'MM01'!EB$2),"")=0,"7925",IF(IFERROR(INDEX(Consulta!$A:$DF,MATCH('MM01'!$B37,Consulta!$C:$C,0),'MM01'!EB$2),"")="68","7910","7925"))</f>
        <v>7925</v>
      </c>
      <c r="EC37" s="44">
        <v>100</v>
      </c>
      <c r="ED37" s="60">
        <v>1</v>
      </c>
      <c r="EE37" s="43">
        <f t="shared" si="38"/>
        <v>100</v>
      </c>
      <c r="EF37" s="44">
        <v>1</v>
      </c>
      <c r="EG37" s="44">
        <v>0</v>
      </c>
      <c r="EH37" s="44" t="s">
        <v>867</v>
      </c>
      <c r="EI37" s="45">
        <v>0</v>
      </c>
      <c r="EJ37" s="43">
        <f t="shared" si="39"/>
        <v>5000</v>
      </c>
      <c r="EK37" s="65"/>
    </row>
    <row r="38" spans="1:141" x14ac:dyDescent="0.3">
      <c r="A38" s="7" t="str">
        <f t="shared" si="0"/>
        <v>Execução 34</v>
      </c>
      <c r="B38" s="42"/>
      <c r="C38" s="43" t="str">
        <f>IF(IFERROR(INDEX(Consulta!$A:$DF,MATCH('MM01'!$B38,Consulta!$C:$C,0),'MM01'!C$2),"")=0,"",IFERROR(INDEX(Consulta!$A:$DF,MATCH('MM01'!$B38,Consulta!$C:$C,0),'MM01'!C$2),""))</f>
        <v/>
      </c>
      <c r="D38" s="43" t="str">
        <f>IF(IFERROR(INDEX(Consulta!$A:$DF,MATCH('MM01'!$B38,Consulta!$C:$C,0),'MM01'!D$2),"")=0,"",IFERROR(INDEX(Consulta!$A:$DF,MATCH('MM01'!$B38,Consulta!$C:$C,0),'MM01'!D$2),""))</f>
        <v/>
      </c>
      <c r="E38" s="43" t="str">
        <f>IF(IFERROR(INDEX(Consulta!$A:$DF,MATCH('MM01'!$B38,Consulta!$C:$C,0),'MM01'!E$2),"")=0,"",IFERROR(INDEX(Consulta!$A:$DF,MATCH('MM01'!$B38,Consulta!$C:$C,0),'MM01'!E$2),""))</f>
        <v/>
      </c>
      <c r="F38" s="44" t="s">
        <v>100</v>
      </c>
      <c r="G38" s="49" t="str">
        <f>IF(IFERROR(INDEX(Consulta!$A:$DF,MATCH('MM01'!$B38,Consulta!$C:$C,0),'MM01'!G$2),"")=0,"",IFERROR(INDEX(Consulta!$A:$DF,MATCH('MM01'!$B38,Consulta!$C:$C,0),'MM01'!G$2),""))</f>
        <v/>
      </c>
      <c r="H38" s="49" t="str">
        <f>IF(IFERROR(INDEX(Consulta!$A:$DF,MATCH('MM01'!$B38,Consulta!$C:$C,0),'MM01'!H$2),"")=0,"",IFERROR(INDEX(Consulta!$A:$DF,MATCH('MM01'!$B38,Consulta!$C:$C,0),'MM01'!H$2),""))</f>
        <v/>
      </c>
      <c r="I38" s="49" t="str">
        <f t="shared" si="1"/>
        <v/>
      </c>
      <c r="J38" s="49" t="str">
        <f>IF(IFERROR(INDEX(Consulta!$A:$DF,MATCH('MM01'!$B38,Consulta!$C:$C,0),'MM01'!J$2),"")=0,"",IFERROR(INDEX(Consulta!$A:$DF,MATCH('MM01'!$B38,Consulta!$C:$C,0),'MM01'!J$2),""))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IF(IFERROR(INDEX(Consulta!$A:$DF,MATCH('MM01'!$B38,Consulta!$C:$C,0),'MM01'!AP$2),"")=0,"",IFERROR(INDEX(Consulta!$A:$DF,MATCH('MM01'!$B38,Consulta!$C:$C,0),'MM01'!AP$2),""))</f>
        <v/>
      </c>
      <c r="AQ38" s="45"/>
      <c r="AR38" s="43" t="str">
        <f>IF(IFERROR(INDEX(Consulta!$A:$DF,MATCH('MM01'!$B38,Consulta!$C:$C,0),'MM01'!AR$2),"")=0,"",IFERROR(INDEX(Consulta!$A:$DF,MATCH('MM01'!$B38,Consulta!$C:$C,0),'MM01'!AR$2),""))</f>
        <v/>
      </c>
      <c r="AS38" s="43" t="str">
        <f>IF(IFERROR(INDEX(Consulta!$A:$DF,MATCH('MM01'!$B38,Consulta!$C:$C,0),'MM01'!AS$2),"")=0,"",IF(AR38="68",5102,IFERROR(INDEX(Consulta!$A:$DF,MATCH('MM01'!$B38,Consulta!$C:$C,0),'MM01'!AS$2),"")))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IF(IFERROR(INDEX(Consulta!$A:$DF,MATCH('MM01'!$B38,Consulta!$C:$C,0),'MM01'!AW$2),"")=0,"",IFERROR(ROUND(INDEX(Consulta!$A:$DF,MATCH('MM01'!$B38,Consulta!$C:$C,0),'MM01'!AW$2),3),""))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IF(IFERROR(INDEX(Consulta!$A:$DF,MATCH('MM01'!$B38,Consulta!$C:$C,0),'MM01'!BA$2),"")=0,"",IFERROR(INDEX(Consulta!$A:$DF,MATCH('MM01'!$B38,Consulta!$C:$C,0),'MM01'!BA$2),""))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IF(IFERROR(INDEX(Consulta!$A:$DF,MATCH('MM01'!$B38,Consulta!$C:$C,0),'MM01'!BL$2),"")=0,"",IFERROR(INDEX(Consulta!$A:$DF,MATCH('MM01'!$B38,Consulta!$C:$C,0),'MM01'!BL$2),""))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IF(IFERROR(INDEX(Consulta!$A:$DF,MATCH('MM01'!$B38,Consulta!$C:$C,0),'MM01'!BX$2),"")=0,"",IFERROR(INDEX(Consulta!$A:$DF,MATCH('MM01'!$B38,Consulta!$C:$C,0),'MM01'!BX$2),""))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IF(IFERROR(INDEX(Consulta!$A:$DF,MATCH('MM01'!$B38,Consulta!$C:$C,0),'MM01'!CT$2),"")=0,"",IFERROR(INDEX(Consulta!$A:$DF,MATCH('MM01'!$B38,Consulta!$C:$C,0),'MM01'!CT$2),""))</f>
        <v/>
      </c>
      <c r="CU38" s="43" t="str">
        <f>IF(IFERROR(INDEX(Consulta!$A:$DF,MATCH('MM01'!$B38,Consulta!$C:$C,0),'MM01'!CU$2),"")=0,"",IFERROR(INDEX(Consulta!$A:$DF,MATCH('MM01'!$B38,Consulta!$C:$C,0),'MM01'!CU$2),""))</f>
        <v/>
      </c>
      <c r="CV38" s="43" t="str">
        <f>IF(IFERROR(INDEX(Consulta!$A:$DF,MATCH('MM01'!$B38,Consulta!$C:$C,0),'MM01'!CV$2),"")=0,"",IFERROR(INDEX(Consulta!$A:$DF,MATCH('MM01'!$B38,Consulta!$C:$C,0),'MM01'!CV$2),""))</f>
        <v/>
      </c>
      <c r="CW38" s="43" t="str">
        <f>IF(IFERROR(INDEX(Consulta!$A:$DF,MATCH('MM01'!$B38,Consulta!$C:$C,0),'MM01'!CW$2),"")=0,"",IFERROR(INDEX(Consulta!$A:$DF,MATCH('MM01'!$B38,Consulta!$C:$C,0),'MM01'!CW$2),""))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IF(IFERROR(INDEX(Consulta!$A:$DF,MATCH('MM01'!$B38,Consulta!$C:$C,0),'MM01'!DA$2),"")=0,"",IFERROR(INDEX(Consulta!$A:$DF,MATCH('MM01'!$B38,Consulta!$C:$C,0),'MM01'!DA$2),""))</f>
        <v/>
      </c>
      <c r="DB38" s="43" t="str">
        <f t="shared" si="22"/>
        <v/>
      </c>
      <c r="DC38" s="43" t="str">
        <f>IF(IFERROR(INDEX(Consulta!$A:$DF,MATCH('MM01'!$B38,Consulta!$C:$C,0),'MM01'!DC$2),"")=0,"",IFERROR(INDEX(Consulta!$A:$DF,MATCH('MM01'!$B38,Consulta!$C:$C,0),'MM01'!DC$2),""))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5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5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5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5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IF(IFERROR(INDEX(Consulta!$A:$DF,MATCH('MM01'!$B38,Consulta!$C:$C,0),'MM01'!EB$2),"")=0,"7925",IF(IFERROR(INDEX(Consulta!$A:$DF,MATCH('MM01'!$B38,Consulta!$C:$C,0),'MM01'!EB$2),"")="68","7910","7925"))</f>
        <v>7925</v>
      </c>
      <c r="EC38" s="44">
        <v>100</v>
      </c>
      <c r="ED38" s="60">
        <v>1</v>
      </c>
      <c r="EE38" s="43">
        <f t="shared" si="38"/>
        <v>100</v>
      </c>
      <c r="EF38" s="44">
        <v>1</v>
      </c>
      <c r="EG38" s="44">
        <v>0</v>
      </c>
      <c r="EH38" s="44" t="s">
        <v>867</v>
      </c>
      <c r="EI38" s="45">
        <v>0</v>
      </c>
      <c r="EJ38" s="43">
        <f t="shared" si="39"/>
        <v>5000</v>
      </c>
      <c r="EK38" s="65"/>
    </row>
    <row r="39" spans="1:141" x14ac:dyDescent="0.3">
      <c r="A39" s="7" t="str">
        <f t="shared" si="0"/>
        <v>Execução 35</v>
      </c>
      <c r="B39" s="42"/>
      <c r="C39" s="43" t="str">
        <f>IF(IFERROR(INDEX(Consulta!$A:$DF,MATCH('MM01'!$B39,Consulta!$C:$C,0),'MM01'!C$2),"")=0,"",IFERROR(INDEX(Consulta!$A:$DF,MATCH('MM01'!$B39,Consulta!$C:$C,0),'MM01'!C$2),""))</f>
        <v/>
      </c>
      <c r="D39" s="43" t="str">
        <f>IF(IFERROR(INDEX(Consulta!$A:$DF,MATCH('MM01'!$B39,Consulta!$C:$C,0),'MM01'!D$2),"")=0,"",IFERROR(INDEX(Consulta!$A:$DF,MATCH('MM01'!$B39,Consulta!$C:$C,0),'MM01'!D$2),""))</f>
        <v/>
      </c>
      <c r="E39" s="43" t="str">
        <f>IF(IFERROR(INDEX(Consulta!$A:$DF,MATCH('MM01'!$B39,Consulta!$C:$C,0),'MM01'!E$2),"")=0,"",IFERROR(INDEX(Consulta!$A:$DF,MATCH('MM01'!$B39,Consulta!$C:$C,0),'MM01'!E$2),""))</f>
        <v/>
      </c>
      <c r="F39" s="44" t="s">
        <v>100</v>
      </c>
      <c r="G39" s="49" t="str">
        <f>IF(IFERROR(INDEX(Consulta!$A:$DF,MATCH('MM01'!$B39,Consulta!$C:$C,0),'MM01'!G$2),"")=0,"",IFERROR(INDEX(Consulta!$A:$DF,MATCH('MM01'!$B39,Consulta!$C:$C,0),'MM01'!G$2),""))</f>
        <v/>
      </c>
      <c r="H39" s="49" t="str">
        <f>IF(IFERROR(INDEX(Consulta!$A:$DF,MATCH('MM01'!$B39,Consulta!$C:$C,0),'MM01'!H$2),"")=0,"",IFERROR(INDEX(Consulta!$A:$DF,MATCH('MM01'!$B39,Consulta!$C:$C,0),'MM01'!H$2),""))</f>
        <v/>
      </c>
      <c r="I39" s="49" t="str">
        <f t="shared" si="1"/>
        <v/>
      </c>
      <c r="J39" s="49" t="str">
        <f>IF(IFERROR(INDEX(Consulta!$A:$DF,MATCH('MM01'!$B39,Consulta!$C:$C,0),'MM01'!J$2),"")=0,"",IFERROR(INDEX(Consulta!$A:$DF,MATCH('MM01'!$B39,Consulta!$C:$C,0),'MM01'!J$2),""))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IF(IFERROR(INDEX(Consulta!$A:$DF,MATCH('MM01'!$B39,Consulta!$C:$C,0),'MM01'!AP$2),"")=0,"",IFERROR(INDEX(Consulta!$A:$DF,MATCH('MM01'!$B39,Consulta!$C:$C,0),'MM01'!AP$2),""))</f>
        <v/>
      </c>
      <c r="AQ39" s="45"/>
      <c r="AR39" s="43" t="str">
        <f>IF(IFERROR(INDEX(Consulta!$A:$DF,MATCH('MM01'!$B39,Consulta!$C:$C,0),'MM01'!AR$2),"")=0,"",IFERROR(INDEX(Consulta!$A:$DF,MATCH('MM01'!$B39,Consulta!$C:$C,0),'MM01'!AR$2),""))</f>
        <v/>
      </c>
      <c r="AS39" s="43" t="str">
        <f>IF(IFERROR(INDEX(Consulta!$A:$DF,MATCH('MM01'!$B39,Consulta!$C:$C,0),'MM01'!AS$2),"")=0,"",IF(AR39="68",5102,IFERROR(INDEX(Consulta!$A:$DF,MATCH('MM01'!$B39,Consulta!$C:$C,0),'MM01'!AS$2),"")))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IF(IFERROR(INDEX(Consulta!$A:$DF,MATCH('MM01'!$B39,Consulta!$C:$C,0),'MM01'!AW$2),"")=0,"",IFERROR(ROUND(INDEX(Consulta!$A:$DF,MATCH('MM01'!$B39,Consulta!$C:$C,0),'MM01'!AW$2),3),""))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IF(IFERROR(INDEX(Consulta!$A:$DF,MATCH('MM01'!$B39,Consulta!$C:$C,0),'MM01'!BA$2),"")=0,"",IFERROR(INDEX(Consulta!$A:$DF,MATCH('MM01'!$B39,Consulta!$C:$C,0),'MM01'!BA$2),""))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IF(IFERROR(INDEX(Consulta!$A:$DF,MATCH('MM01'!$B39,Consulta!$C:$C,0),'MM01'!BL$2),"")=0,"",IFERROR(INDEX(Consulta!$A:$DF,MATCH('MM01'!$B39,Consulta!$C:$C,0),'MM01'!BL$2),""))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IF(IFERROR(INDEX(Consulta!$A:$DF,MATCH('MM01'!$B39,Consulta!$C:$C,0),'MM01'!BX$2),"")=0,"",IFERROR(INDEX(Consulta!$A:$DF,MATCH('MM01'!$B39,Consulta!$C:$C,0),'MM01'!BX$2),""))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IF(IFERROR(INDEX(Consulta!$A:$DF,MATCH('MM01'!$B39,Consulta!$C:$C,0),'MM01'!CT$2),"")=0,"",IFERROR(INDEX(Consulta!$A:$DF,MATCH('MM01'!$B39,Consulta!$C:$C,0),'MM01'!CT$2),""))</f>
        <v/>
      </c>
      <c r="CU39" s="43" t="str">
        <f>IF(IFERROR(INDEX(Consulta!$A:$DF,MATCH('MM01'!$B39,Consulta!$C:$C,0),'MM01'!CU$2),"")=0,"",IFERROR(INDEX(Consulta!$A:$DF,MATCH('MM01'!$B39,Consulta!$C:$C,0),'MM01'!CU$2),""))</f>
        <v/>
      </c>
      <c r="CV39" s="43" t="str">
        <f>IF(IFERROR(INDEX(Consulta!$A:$DF,MATCH('MM01'!$B39,Consulta!$C:$C,0),'MM01'!CV$2),"")=0,"",IFERROR(INDEX(Consulta!$A:$DF,MATCH('MM01'!$B39,Consulta!$C:$C,0),'MM01'!CV$2),""))</f>
        <v/>
      </c>
      <c r="CW39" s="43" t="str">
        <f>IF(IFERROR(INDEX(Consulta!$A:$DF,MATCH('MM01'!$B39,Consulta!$C:$C,0),'MM01'!CW$2),"")=0,"",IFERROR(INDEX(Consulta!$A:$DF,MATCH('MM01'!$B39,Consulta!$C:$C,0),'MM01'!CW$2),""))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IF(IFERROR(INDEX(Consulta!$A:$DF,MATCH('MM01'!$B39,Consulta!$C:$C,0),'MM01'!DA$2),"")=0,"",IFERROR(INDEX(Consulta!$A:$DF,MATCH('MM01'!$B39,Consulta!$C:$C,0),'MM01'!DA$2),""))</f>
        <v/>
      </c>
      <c r="DB39" s="43" t="str">
        <f t="shared" si="22"/>
        <v/>
      </c>
      <c r="DC39" s="43" t="str">
        <f>IF(IFERROR(INDEX(Consulta!$A:$DF,MATCH('MM01'!$B39,Consulta!$C:$C,0),'MM01'!DC$2),"")=0,"",IFERROR(INDEX(Consulta!$A:$DF,MATCH('MM01'!$B39,Consulta!$C:$C,0),'MM01'!DC$2),""))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5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5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5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5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IF(IFERROR(INDEX(Consulta!$A:$DF,MATCH('MM01'!$B39,Consulta!$C:$C,0),'MM01'!EB$2),"")=0,"7925",IF(IFERROR(INDEX(Consulta!$A:$DF,MATCH('MM01'!$B39,Consulta!$C:$C,0),'MM01'!EB$2),"")="68","7910","7925"))</f>
        <v>7925</v>
      </c>
      <c r="EC39" s="44">
        <v>100</v>
      </c>
      <c r="ED39" s="60">
        <v>1</v>
      </c>
      <c r="EE39" s="43">
        <f t="shared" si="38"/>
        <v>100</v>
      </c>
      <c r="EF39" s="44">
        <v>1</v>
      </c>
      <c r="EG39" s="44">
        <v>0</v>
      </c>
      <c r="EH39" s="44" t="s">
        <v>867</v>
      </c>
      <c r="EI39" s="45">
        <v>0</v>
      </c>
      <c r="EJ39" s="43">
        <f t="shared" si="39"/>
        <v>5000</v>
      </c>
      <c r="EK39" s="65"/>
    </row>
    <row r="40" spans="1:141" x14ac:dyDescent="0.3">
      <c r="A40" s="7" t="str">
        <f t="shared" si="0"/>
        <v>Execução 36</v>
      </c>
      <c r="B40" s="42"/>
      <c r="C40" s="43" t="str">
        <f>IF(IFERROR(INDEX(Consulta!$A:$DF,MATCH('MM01'!$B40,Consulta!$C:$C,0),'MM01'!C$2),"")=0,"",IFERROR(INDEX(Consulta!$A:$DF,MATCH('MM01'!$B40,Consulta!$C:$C,0),'MM01'!C$2),""))</f>
        <v/>
      </c>
      <c r="D40" s="43" t="str">
        <f>IF(IFERROR(INDEX(Consulta!$A:$DF,MATCH('MM01'!$B40,Consulta!$C:$C,0),'MM01'!D$2),"")=0,"",IFERROR(INDEX(Consulta!$A:$DF,MATCH('MM01'!$B40,Consulta!$C:$C,0),'MM01'!D$2),""))</f>
        <v/>
      </c>
      <c r="E40" s="43" t="str">
        <f>IF(IFERROR(INDEX(Consulta!$A:$DF,MATCH('MM01'!$B40,Consulta!$C:$C,0),'MM01'!E$2),"")=0,"",IFERROR(INDEX(Consulta!$A:$DF,MATCH('MM01'!$B40,Consulta!$C:$C,0),'MM01'!E$2),""))</f>
        <v/>
      </c>
      <c r="F40" s="44" t="s">
        <v>100</v>
      </c>
      <c r="G40" s="49" t="str">
        <f>IF(IFERROR(INDEX(Consulta!$A:$DF,MATCH('MM01'!$B40,Consulta!$C:$C,0),'MM01'!G$2),"")=0,"",IFERROR(INDEX(Consulta!$A:$DF,MATCH('MM01'!$B40,Consulta!$C:$C,0),'MM01'!G$2),""))</f>
        <v/>
      </c>
      <c r="H40" s="49" t="str">
        <f>IF(IFERROR(INDEX(Consulta!$A:$DF,MATCH('MM01'!$B40,Consulta!$C:$C,0),'MM01'!H$2),"")=0,"",IFERROR(INDEX(Consulta!$A:$DF,MATCH('MM01'!$B40,Consulta!$C:$C,0),'MM01'!H$2),""))</f>
        <v/>
      </c>
      <c r="I40" s="49" t="str">
        <f t="shared" si="1"/>
        <v/>
      </c>
      <c r="J40" s="49" t="str">
        <f>IF(IFERROR(INDEX(Consulta!$A:$DF,MATCH('MM01'!$B40,Consulta!$C:$C,0),'MM01'!J$2),"")=0,"",IFERROR(INDEX(Consulta!$A:$DF,MATCH('MM01'!$B40,Consulta!$C:$C,0),'MM01'!J$2),""))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IF(IFERROR(INDEX(Consulta!$A:$DF,MATCH('MM01'!$B40,Consulta!$C:$C,0),'MM01'!AP$2),"")=0,"",IFERROR(INDEX(Consulta!$A:$DF,MATCH('MM01'!$B40,Consulta!$C:$C,0),'MM01'!AP$2),""))</f>
        <v/>
      </c>
      <c r="AQ40" s="45"/>
      <c r="AR40" s="43" t="str">
        <f>IF(IFERROR(INDEX(Consulta!$A:$DF,MATCH('MM01'!$B40,Consulta!$C:$C,0),'MM01'!AR$2),"")=0,"",IFERROR(INDEX(Consulta!$A:$DF,MATCH('MM01'!$B40,Consulta!$C:$C,0),'MM01'!AR$2),""))</f>
        <v/>
      </c>
      <c r="AS40" s="43" t="str">
        <f>IF(IFERROR(INDEX(Consulta!$A:$DF,MATCH('MM01'!$B40,Consulta!$C:$C,0),'MM01'!AS$2),"")=0,"",IF(AR40="68",5102,IFERROR(INDEX(Consulta!$A:$DF,MATCH('MM01'!$B40,Consulta!$C:$C,0),'MM01'!AS$2),"")))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IF(IFERROR(INDEX(Consulta!$A:$DF,MATCH('MM01'!$B40,Consulta!$C:$C,0),'MM01'!AW$2),"")=0,"",IFERROR(ROUND(INDEX(Consulta!$A:$DF,MATCH('MM01'!$B40,Consulta!$C:$C,0),'MM01'!AW$2),3),""))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IF(IFERROR(INDEX(Consulta!$A:$DF,MATCH('MM01'!$B40,Consulta!$C:$C,0),'MM01'!BA$2),"")=0,"",IFERROR(INDEX(Consulta!$A:$DF,MATCH('MM01'!$B40,Consulta!$C:$C,0),'MM01'!BA$2),""))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IF(IFERROR(INDEX(Consulta!$A:$DF,MATCH('MM01'!$B40,Consulta!$C:$C,0),'MM01'!BL$2),"")=0,"",IFERROR(INDEX(Consulta!$A:$DF,MATCH('MM01'!$B40,Consulta!$C:$C,0),'MM01'!BL$2),""))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IF(IFERROR(INDEX(Consulta!$A:$DF,MATCH('MM01'!$B40,Consulta!$C:$C,0),'MM01'!BX$2),"")=0,"",IFERROR(INDEX(Consulta!$A:$DF,MATCH('MM01'!$B40,Consulta!$C:$C,0),'MM01'!BX$2),""))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IF(IFERROR(INDEX(Consulta!$A:$DF,MATCH('MM01'!$B40,Consulta!$C:$C,0),'MM01'!CT$2),"")=0,"",IFERROR(INDEX(Consulta!$A:$DF,MATCH('MM01'!$B40,Consulta!$C:$C,0),'MM01'!CT$2),""))</f>
        <v/>
      </c>
      <c r="CU40" s="43" t="str">
        <f>IF(IFERROR(INDEX(Consulta!$A:$DF,MATCH('MM01'!$B40,Consulta!$C:$C,0),'MM01'!CU$2),"")=0,"",IFERROR(INDEX(Consulta!$A:$DF,MATCH('MM01'!$B40,Consulta!$C:$C,0),'MM01'!CU$2),""))</f>
        <v/>
      </c>
      <c r="CV40" s="43" t="str">
        <f>IF(IFERROR(INDEX(Consulta!$A:$DF,MATCH('MM01'!$B40,Consulta!$C:$C,0),'MM01'!CV$2),"")=0,"",IFERROR(INDEX(Consulta!$A:$DF,MATCH('MM01'!$B40,Consulta!$C:$C,0),'MM01'!CV$2),""))</f>
        <v/>
      </c>
      <c r="CW40" s="43" t="str">
        <f>IF(IFERROR(INDEX(Consulta!$A:$DF,MATCH('MM01'!$B40,Consulta!$C:$C,0),'MM01'!CW$2),"")=0,"",IFERROR(INDEX(Consulta!$A:$DF,MATCH('MM01'!$B40,Consulta!$C:$C,0),'MM01'!CW$2),""))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IF(IFERROR(INDEX(Consulta!$A:$DF,MATCH('MM01'!$B40,Consulta!$C:$C,0),'MM01'!DA$2),"")=0,"",IFERROR(INDEX(Consulta!$A:$DF,MATCH('MM01'!$B40,Consulta!$C:$C,0),'MM01'!DA$2),""))</f>
        <v/>
      </c>
      <c r="DB40" s="43" t="str">
        <f t="shared" si="22"/>
        <v/>
      </c>
      <c r="DC40" s="43" t="str">
        <f>IF(IFERROR(INDEX(Consulta!$A:$DF,MATCH('MM01'!$B40,Consulta!$C:$C,0),'MM01'!DC$2),"")=0,"",IFERROR(INDEX(Consulta!$A:$DF,MATCH('MM01'!$B40,Consulta!$C:$C,0),'MM01'!DC$2),""))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5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5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5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5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IF(IFERROR(INDEX(Consulta!$A:$DF,MATCH('MM01'!$B40,Consulta!$C:$C,0),'MM01'!EB$2),"")=0,"7925",IF(IFERROR(INDEX(Consulta!$A:$DF,MATCH('MM01'!$B40,Consulta!$C:$C,0),'MM01'!EB$2),"")="68","7910","7925"))</f>
        <v>7925</v>
      </c>
      <c r="EC40" s="44">
        <v>100</v>
      </c>
      <c r="ED40" s="60">
        <v>1</v>
      </c>
      <c r="EE40" s="43">
        <f t="shared" si="38"/>
        <v>100</v>
      </c>
      <c r="EF40" s="44">
        <v>1</v>
      </c>
      <c r="EG40" s="44">
        <v>0</v>
      </c>
      <c r="EH40" s="44" t="s">
        <v>867</v>
      </c>
      <c r="EI40" s="45">
        <v>0</v>
      </c>
      <c r="EJ40" s="43">
        <f t="shared" si="39"/>
        <v>5000</v>
      </c>
      <c r="EK40" s="65"/>
    </row>
    <row r="41" spans="1:141" x14ac:dyDescent="0.3">
      <c r="A41" s="7" t="str">
        <f t="shared" si="0"/>
        <v>Execução 37</v>
      </c>
      <c r="B41" s="42"/>
      <c r="C41" s="43" t="str">
        <f>IF(IFERROR(INDEX(Consulta!$A:$DF,MATCH('MM01'!$B41,Consulta!$C:$C,0),'MM01'!C$2),"")=0,"",IFERROR(INDEX(Consulta!$A:$DF,MATCH('MM01'!$B41,Consulta!$C:$C,0),'MM01'!C$2),""))</f>
        <v/>
      </c>
      <c r="D41" s="43" t="str">
        <f>IF(IFERROR(INDEX(Consulta!$A:$DF,MATCH('MM01'!$B41,Consulta!$C:$C,0),'MM01'!D$2),"")=0,"",IFERROR(INDEX(Consulta!$A:$DF,MATCH('MM01'!$B41,Consulta!$C:$C,0),'MM01'!D$2),""))</f>
        <v/>
      </c>
      <c r="E41" s="43" t="str">
        <f>IF(IFERROR(INDEX(Consulta!$A:$DF,MATCH('MM01'!$B41,Consulta!$C:$C,0),'MM01'!E$2),"")=0,"",IFERROR(INDEX(Consulta!$A:$DF,MATCH('MM01'!$B41,Consulta!$C:$C,0),'MM01'!E$2),""))</f>
        <v/>
      </c>
      <c r="F41" s="44" t="s">
        <v>100</v>
      </c>
      <c r="G41" s="49" t="str">
        <f>IF(IFERROR(INDEX(Consulta!$A:$DF,MATCH('MM01'!$B41,Consulta!$C:$C,0),'MM01'!G$2),"")=0,"",IFERROR(INDEX(Consulta!$A:$DF,MATCH('MM01'!$B41,Consulta!$C:$C,0),'MM01'!G$2),""))</f>
        <v/>
      </c>
      <c r="H41" s="49" t="str">
        <f>IF(IFERROR(INDEX(Consulta!$A:$DF,MATCH('MM01'!$B41,Consulta!$C:$C,0),'MM01'!H$2),"")=0,"",IFERROR(INDEX(Consulta!$A:$DF,MATCH('MM01'!$B41,Consulta!$C:$C,0),'MM01'!H$2),""))</f>
        <v/>
      </c>
      <c r="I41" s="49" t="str">
        <f t="shared" si="1"/>
        <v/>
      </c>
      <c r="J41" s="49" t="str">
        <f>IF(IFERROR(INDEX(Consulta!$A:$DF,MATCH('MM01'!$B41,Consulta!$C:$C,0),'MM01'!J$2),"")=0,"",IFERROR(INDEX(Consulta!$A:$DF,MATCH('MM01'!$B41,Consulta!$C:$C,0),'MM01'!J$2),""))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IF(IFERROR(INDEX(Consulta!$A:$DF,MATCH('MM01'!$B41,Consulta!$C:$C,0),'MM01'!AP$2),"")=0,"",IFERROR(INDEX(Consulta!$A:$DF,MATCH('MM01'!$B41,Consulta!$C:$C,0),'MM01'!AP$2),""))</f>
        <v/>
      </c>
      <c r="AQ41" s="45"/>
      <c r="AR41" s="43" t="str">
        <f>IF(IFERROR(INDEX(Consulta!$A:$DF,MATCH('MM01'!$B41,Consulta!$C:$C,0),'MM01'!AR$2),"")=0,"",IFERROR(INDEX(Consulta!$A:$DF,MATCH('MM01'!$B41,Consulta!$C:$C,0),'MM01'!AR$2),""))</f>
        <v/>
      </c>
      <c r="AS41" s="43" t="str">
        <f>IF(IFERROR(INDEX(Consulta!$A:$DF,MATCH('MM01'!$B41,Consulta!$C:$C,0),'MM01'!AS$2),"")=0,"",IF(AR41="68",5102,IFERROR(INDEX(Consulta!$A:$DF,MATCH('MM01'!$B41,Consulta!$C:$C,0),'MM01'!AS$2),"")))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IF(IFERROR(INDEX(Consulta!$A:$DF,MATCH('MM01'!$B41,Consulta!$C:$C,0),'MM01'!AW$2),"")=0,"",IFERROR(ROUND(INDEX(Consulta!$A:$DF,MATCH('MM01'!$B41,Consulta!$C:$C,0),'MM01'!AW$2),3),""))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IF(IFERROR(INDEX(Consulta!$A:$DF,MATCH('MM01'!$B41,Consulta!$C:$C,0),'MM01'!BA$2),"")=0,"",IFERROR(INDEX(Consulta!$A:$DF,MATCH('MM01'!$B41,Consulta!$C:$C,0),'MM01'!BA$2),""))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IF(IFERROR(INDEX(Consulta!$A:$DF,MATCH('MM01'!$B41,Consulta!$C:$C,0),'MM01'!BL$2),"")=0,"",IFERROR(INDEX(Consulta!$A:$DF,MATCH('MM01'!$B41,Consulta!$C:$C,0),'MM01'!BL$2),""))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IF(IFERROR(INDEX(Consulta!$A:$DF,MATCH('MM01'!$B41,Consulta!$C:$C,0),'MM01'!BX$2),"")=0,"",IFERROR(INDEX(Consulta!$A:$DF,MATCH('MM01'!$B41,Consulta!$C:$C,0),'MM01'!BX$2),""))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IF(IFERROR(INDEX(Consulta!$A:$DF,MATCH('MM01'!$B41,Consulta!$C:$C,0),'MM01'!CT$2),"")=0,"",IFERROR(INDEX(Consulta!$A:$DF,MATCH('MM01'!$B41,Consulta!$C:$C,0),'MM01'!CT$2),""))</f>
        <v/>
      </c>
      <c r="CU41" s="43" t="str">
        <f>IF(IFERROR(INDEX(Consulta!$A:$DF,MATCH('MM01'!$B41,Consulta!$C:$C,0),'MM01'!CU$2),"")=0,"",IFERROR(INDEX(Consulta!$A:$DF,MATCH('MM01'!$B41,Consulta!$C:$C,0),'MM01'!CU$2),""))</f>
        <v/>
      </c>
      <c r="CV41" s="43" t="str">
        <f>IF(IFERROR(INDEX(Consulta!$A:$DF,MATCH('MM01'!$B41,Consulta!$C:$C,0),'MM01'!CV$2),"")=0,"",IFERROR(INDEX(Consulta!$A:$DF,MATCH('MM01'!$B41,Consulta!$C:$C,0),'MM01'!CV$2),""))</f>
        <v/>
      </c>
      <c r="CW41" s="43" t="str">
        <f>IF(IFERROR(INDEX(Consulta!$A:$DF,MATCH('MM01'!$B41,Consulta!$C:$C,0),'MM01'!CW$2),"")=0,"",IFERROR(INDEX(Consulta!$A:$DF,MATCH('MM01'!$B41,Consulta!$C:$C,0),'MM01'!CW$2),""))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IF(IFERROR(INDEX(Consulta!$A:$DF,MATCH('MM01'!$B41,Consulta!$C:$C,0),'MM01'!DA$2),"")=0,"",IFERROR(INDEX(Consulta!$A:$DF,MATCH('MM01'!$B41,Consulta!$C:$C,0),'MM01'!DA$2),""))</f>
        <v/>
      </c>
      <c r="DB41" s="43" t="str">
        <f t="shared" si="22"/>
        <v/>
      </c>
      <c r="DC41" s="43" t="str">
        <f>IF(IFERROR(INDEX(Consulta!$A:$DF,MATCH('MM01'!$B41,Consulta!$C:$C,0),'MM01'!DC$2),"")=0,"",IFERROR(INDEX(Consulta!$A:$DF,MATCH('MM01'!$B41,Consulta!$C:$C,0),'MM01'!DC$2),""))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5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5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5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5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IF(IFERROR(INDEX(Consulta!$A:$DF,MATCH('MM01'!$B41,Consulta!$C:$C,0),'MM01'!EB$2),"")=0,"7925",IF(IFERROR(INDEX(Consulta!$A:$DF,MATCH('MM01'!$B41,Consulta!$C:$C,0),'MM01'!EB$2),"")="68","7910","7925"))</f>
        <v>7925</v>
      </c>
      <c r="EC41" s="44">
        <v>100</v>
      </c>
      <c r="ED41" s="60">
        <v>1</v>
      </c>
      <c r="EE41" s="43">
        <f t="shared" si="38"/>
        <v>100</v>
      </c>
      <c r="EF41" s="44">
        <v>1</v>
      </c>
      <c r="EG41" s="44">
        <v>0</v>
      </c>
      <c r="EH41" s="44" t="s">
        <v>867</v>
      </c>
      <c r="EI41" s="45">
        <v>0</v>
      </c>
      <c r="EJ41" s="43">
        <f t="shared" si="39"/>
        <v>5000</v>
      </c>
      <c r="EK41" s="65"/>
    </row>
    <row r="42" spans="1:141" x14ac:dyDescent="0.3">
      <c r="A42" s="7" t="str">
        <f t="shared" si="0"/>
        <v>Execução 38</v>
      </c>
      <c r="B42" s="42"/>
      <c r="C42" s="43" t="str">
        <f>IF(IFERROR(INDEX(Consulta!$A:$DF,MATCH('MM01'!$B42,Consulta!$C:$C,0),'MM01'!C$2),"")=0,"",IFERROR(INDEX(Consulta!$A:$DF,MATCH('MM01'!$B42,Consulta!$C:$C,0),'MM01'!C$2),""))</f>
        <v/>
      </c>
      <c r="D42" s="43" t="str">
        <f>IF(IFERROR(INDEX(Consulta!$A:$DF,MATCH('MM01'!$B42,Consulta!$C:$C,0),'MM01'!D$2),"")=0,"",IFERROR(INDEX(Consulta!$A:$DF,MATCH('MM01'!$B42,Consulta!$C:$C,0),'MM01'!D$2),""))</f>
        <v/>
      </c>
      <c r="E42" s="43" t="str">
        <f>IF(IFERROR(INDEX(Consulta!$A:$DF,MATCH('MM01'!$B42,Consulta!$C:$C,0),'MM01'!E$2),"")=0,"",IFERROR(INDEX(Consulta!$A:$DF,MATCH('MM01'!$B42,Consulta!$C:$C,0),'MM01'!E$2),""))</f>
        <v/>
      </c>
      <c r="F42" s="44" t="s">
        <v>100</v>
      </c>
      <c r="G42" s="49" t="str">
        <f>IF(IFERROR(INDEX(Consulta!$A:$DF,MATCH('MM01'!$B42,Consulta!$C:$C,0),'MM01'!G$2),"")=0,"",IFERROR(INDEX(Consulta!$A:$DF,MATCH('MM01'!$B42,Consulta!$C:$C,0),'MM01'!G$2),""))</f>
        <v/>
      </c>
      <c r="H42" s="49" t="str">
        <f>IF(IFERROR(INDEX(Consulta!$A:$DF,MATCH('MM01'!$B42,Consulta!$C:$C,0),'MM01'!H$2),"")=0,"",IFERROR(INDEX(Consulta!$A:$DF,MATCH('MM01'!$B42,Consulta!$C:$C,0),'MM01'!H$2),""))</f>
        <v/>
      </c>
      <c r="I42" s="49" t="str">
        <f t="shared" si="1"/>
        <v/>
      </c>
      <c r="J42" s="49" t="str">
        <f>IF(IFERROR(INDEX(Consulta!$A:$DF,MATCH('MM01'!$B42,Consulta!$C:$C,0),'MM01'!J$2),"")=0,"",IFERROR(INDEX(Consulta!$A:$DF,MATCH('MM01'!$B42,Consulta!$C:$C,0),'MM01'!J$2),""))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IF(IFERROR(INDEX(Consulta!$A:$DF,MATCH('MM01'!$B42,Consulta!$C:$C,0),'MM01'!AP$2),"")=0,"",IFERROR(INDEX(Consulta!$A:$DF,MATCH('MM01'!$B42,Consulta!$C:$C,0),'MM01'!AP$2),""))</f>
        <v/>
      </c>
      <c r="AQ42" s="45"/>
      <c r="AR42" s="43" t="str">
        <f>IF(IFERROR(INDEX(Consulta!$A:$DF,MATCH('MM01'!$B42,Consulta!$C:$C,0),'MM01'!AR$2),"")=0,"",IFERROR(INDEX(Consulta!$A:$DF,MATCH('MM01'!$B42,Consulta!$C:$C,0),'MM01'!AR$2),""))</f>
        <v/>
      </c>
      <c r="AS42" s="43" t="str">
        <f>IF(IFERROR(INDEX(Consulta!$A:$DF,MATCH('MM01'!$B42,Consulta!$C:$C,0),'MM01'!AS$2),"")=0,"",IF(AR42="68",5102,IFERROR(INDEX(Consulta!$A:$DF,MATCH('MM01'!$B42,Consulta!$C:$C,0),'MM01'!AS$2),"")))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IF(IFERROR(INDEX(Consulta!$A:$DF,MATCH('MM01'!$B42,Consulta!$C:$C,0),'MM01'!AW$2),"")=0,"",IFERROR(ROUND(INDEX(Consulta!$A:$DF,MATCH('MM01'!$B42,Consulta!$C:$C,0),'MM01'!AW$2),3),""))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IF(IFERROR(INDEX(Consulta!$A:$DF,MATCH('MM01'!$B42,Consulta!$C:$C,0),'MM01'!BA$2),"")=0,"",IFERROR(INDEX(Consulta!$A:$DF,MATCH('MM01'!$B42,Consulta!$C:$C,0),'MM01'!BA$2),""))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IF(IFERROR(INDEX(Consulta!$A:$DF,MATCH('MM01'!$B42,Consulta!$C:$C,0),'MM01'!BL$2),"")=0,"",IFERROR(INDEX(Consulta!$A:$DF,MATCH('MM01'!$B42,Consulta!$C:$C,0),'MM01'!BL$2),""))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IF(IFERROR(INDEX(Consulta!$A:$DF,MATCH('MM01'!$B42,Consulta!$C:$C,0),'MM01'!BX$2),"")=0,"",IFERROR(INDEX(Consulta!$A:$DF,MATCH('MM01'!$B42,Consulta!$C:$C,0),'MM01'!BX$2),""))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IF(IFERROR(INDEX(Consulta!$A:$DF,MATCH('MM01'!$B42,Consulta!$C:$C,0),'MM01'!CT$2),"")=0,"",IFERROR(INDEX(Consulta!$A:$DF,MATCH('MM01'!$B42,Consulta!$C:$C,0),'MM01'!CT$2),""))</f>
        <v/>
      </c>
      <c r="CU42" s="43" t="str">
        <f>IF(IFERROR(INDEX(Consulta!$A:$DF,MATCH('MM01'!$B42,Consulta!$C:$C,0),'MM01'!CU$2),"")=0,"",IFERROR(INDEX(Consulta!$A:$DF,MATCH('MM01'!$B42,Consulta!$C:$C,0),'MM01'!CU$2),""))</f>
        <v/>
      </c>
      <c r="CV42" s="43" t="str">
        <f>IF(IFERROR(INDEX(Consulta!$A:$DF,MATCH('MM01'!$B42,Consulta!$C:$C,0),'MM01'!CV$2),"")=0,"",IFERROR(INDEX(Consulta!$A:$DF,MATCH('MM01'!$B42,Consulta!$C:$C,0),'MM01'!CV$2),""))</f>
        <v/>
      </c>
      <c r="CW42" s="43" t="str">
        <f>IF(IFERROR(INDEX(Consulta!$A:$DF,MATCH('MM01'!$B42,Consulta!$C:$C,0),'MM01'!CW$2),"")=0,"",IFERROR(INDEX(Consulta!$A:$DF,MATCH('MM01'!$B42,Consulta!$C:$C,0),'MM01'!CW$2),""))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IF(IFERROR(INDEX(Consulta!$A:$DF,MATCH('MM01'!$B42,Consulta!$C:$C,0),'MM01'!DA$2),"")=0,"",IFERROR(INDEX(Consulta!$A:$DF,MATCH('MM01'!$B42,Consulta!$C:$C,0),'MM01'!DA$2),""))</f>
        <v/>
      </c>
      <c r="DB42" s="43" t="str">
        <f t="shared" si="22"/>
        <v/>
      </c>
      <c r="DC42" s="43" t="str">
        <f>IF(IFERROR(INDEX(Consulta!$A:$DF,MATCH('MM01'!$B42,Consulta!$C:$C,0),'MM01'!DC$2),"")=0,"",IFERROR(INDEX(Consulta!$A:$DF,MATCH('MM01'!$B42,Consulta!$C:$C,0),'MM01'!DC$2),""))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5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5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5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5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IF(IFERROR(INDEX(Consulta!$A:$DF,MATCH('MM01'!$B42,Consulta!$C:$C,0),'MM01'!EB$2),"")=0,"7925",IF(IFERROR(INDEX(Consulta!$A:$DF,MATCH('MM01'!$B42,Consulta!$C:$C,0),'MM01'!EB$2),"")="68","7910","7925"))</f>
        <v>7925</v>
      </c>
      <c r="EC42" s="44">
        <v>100</v>
      </c>
      <c r="ED42" s="60">
        <v>1</v>
      </c>
      <c r="EE42" s="43">
        <f t="shared" si="38"/>
        <v>100</v>
      </c>
      <c r="EF42" s="44">
        <v>1</v>
      </c>
      <c r="EG42" s="44">
        <v>0</v>
      </c>
      <c r="EH42" s="44" t="s">
        <v>867</v>
      </c>
      <c r="EI42" s="45">
        <v>0</v>
      </c>
      <c r="EJ42" s="43">
        <f t="shared" si="39"/>
        <v>5000</v>
      </c>
      <c r="EK42" s="65"/>
    </row>
    <row r="43" spans="1:141" x14ac:dyDescent="0.3">
      <c r="A43" s="7" t="str">
        <f t="shared" si="0"/>
        <v>Execução 39</v>
      </c>
      <c r="B43" s="42"/>
      <c r="C43" s="43" t="str">
        <f>IF(IFERROR(INDEX(Consulta!$A:$DF,MATCH('MM01'!$B43,Consulta!$C:$C,0),'MM01'!C$2),"")=0,"",IFERROR(INDEX(Consulta!$A:$DF,MATCH('MM01'!$B43,Consulta!$C:$C,0),'MM01'!C$2),""))</f>
        <v/>
      </c>
      <c r="D43" s="43" t="str">
        <f>IF(IFERROR(INDEX(Consulta!$A:$DF,MATCH('MM01'!$B43,Consulta!$C:$C,0),'MM01'!D$2),"")=0,"",IFERROR(INDEX(Consulta!$A:$DF,MATCH('MM01'!$B43,Consulta!$C:$C,0),'MM01'!D$2),""))</f>
        <v/>
      </c>
      <c r="E43" s="43" t="str">
        <f>IF(IFERROR(INDEX(Consulta!$A:$DF,MATCH('MM01'!$B43,Consulta!$C:$C,0),'MM01'!E$2),"")=0,"",IFERROR(INDEX(Consulta!$A:$DF,MATCH('MM01'!$B43,Consulta!$C:$C,0),'MM01'!E$2),""))</f>
        <v/>
      </c>
      <c r="F43" s="44" t="s">
        <v>100</v>
      </c>
      <c r="G43" s="49" t="str">
        <f>IF(IFERROR(INDEX(Consulta!$A:$DF,MATCH('MM01'!$B43,Consulta!$C:$C,0),'MM01'!G$2),"")=0,"",IFERROR(INDEX(Consulta!$A:$DF,MATCH('MM01'!$B43,Consulta!$C:$C,0),'MM01'!G$2),""))</f>
        <v/>
      </c>
      <c r="H43" s="49" t="str">
        <f>IF(IFERROR(INDEX(Consulta!$A:$DF,MATCH('MM01'!$B43,Consulta!$C:$C,0),'MM01'!H$2),"")=0,"",IFERROR(INDEX(Consulta!$A:$DF,MATCH('MM01'!$B43,Consulta!$C:$C,0),'MM01'!H$2),""))</f>
        <v/>
      </c>
      <c r="I43" s="49" t="str">
        <f t="shared" si="1"/>
        <v/>
      </c>
      <c r="J43" s="49" t="str">
        <f>IF(IFERROR(INDEX(Consulta!$A:$DF,MATCH('MM01'!$B43,Consulta!$C:$C,0),'MM01'!J$2),"")=0,"",IFERROR(INDEX(Consulta!$A:$DF,MATCH('MM01'!$B43,Consulta!$C:$C,0),'MM01'!J$2),""))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IF(IFERROR(INDEX(Consulta!$A:$DF,MATCH('MM01'!$B43,Consulta!$C:$C,0),'MM01'!AP$2),"")=0,"",IFERROR(INDEX(Consulta!$A:$DF,MATCH('MM01'!$B43,Consulta!$C:$C,0),'MM01'!AP$2),""))</f>
        <v/>
      </c>
      <c r="AQ43" s="45"/>
      <c r="AR43" s="43" t="str">
        <f>IF(IFERROR(INDEX(Consulta!$A:$DF,MATCH('MM01'!$B43,Consulta!$C:$C,0),'MM01'!AR$2),"")=0,"",IFERROR(INDEX(Consulta!$A:$DF,MATCH('MM01'!$B43,Consulta!$C:$C,0),'MM01'!AR$2),""))</f>
        <v/>
      </c>
      <c r="AS43" s="43" t="str">
        <f>IF(IFERROR(INDEX(Consulta!$A:$DF,MATCH('MM01'!$B43,Consulta!$C:$C,0),'MM01'!AS$2),"")=0,"",IF(AR43="68",5102,IFERROR(INDEX(Consulta!$A:$DF,MATCH('MM01'!$B43,Consulta!$C:$C,0),'MM01'!AS$2),"")))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IF(IFERROR(INDEX(Consulta!$A:$DF,MATCH('MM01'!$B43,Consulta!$C:$C,0),'MM01'!AW$2),"")=0,"",IFERROR(ROUND(INDEX(Consulta!$A:$DF,MATCH('MM01'!$B43,Consulta!$C:$C,0),'MM01'!AW$2),3),""))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IF(IFERROR(INDEX(Consulta!$A:$DF,MATCH('MM01'!$B43,Consulta!$C:$C,0),'MM01'!BA$2),"")=0,"",IFERROR(INDEX(Consulta!$A:$DF,MATCH('MM01'!$B43,Consulta!$C:$C,0),'MM01'!BA$2),""))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IF(IFERROR(INDEX(Consulta!$A:$DF,MATCH('MM01'!$B43,Consulta!$C:$C,0),'MM01'!BL$2),"")=0,"",IFERROR(INDEX(Consulta!$A:$DF,MATCH('MM01'!$B43,Consulta!$C:$C,0),'MM01'!BL$2),""))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IF(IFERROR(INDEX(Consulta!$A:$DF,MATCH('MM01'!$B43,Consulta!$C:$C,0),'MM01'!BX$2),"")=0,"",IFERROR(INDEX(Consulta!$A:$DF,MATCH('MM01'!$B43,Consulta!$C:$C,0),'MM01'!BX$2),""))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IF(IFERROR(INDEX(Consulta!$A:$DF,MATCH('MM01'!$B43,Consulta!$C:$C,0),'MM01'!CT$2),"")=0,"",IFERROR(INDEX(Consulta!$A:$DF,MATCH('MM01'!$B43,Consulta!$C:$C,0),'MM01'!CT$2),""))</f>
        <v/>
      </c>
      <c r="CU43" s="43" t="str">
        <f>IF(IFERROR(INDEX(Consulta!$A:$DF,MATCH('MM01'!$B43,Consulta!$C:$C,0),'MM01'!CU$2),"")=0,"",IFERROR(INDEX(Consulta!$A:$DF,MATCH('MM01'!$B43,Consulta!$C:$C,0),'MM01'!CU$2),""))</f>
        <v/>
      </c>
      <c r="CV43" s="43" t="str">
        <f>IF(IFERROR(INDEX(Consulta!$A:$DF,MATCH('MM01'!$B43,Consulta!$C:$C,0),'MM01'!CV$2),"")=0,"",IFERROR(INDEX(Consulta!$A:$DF,MATCH('MM01'!$B43,Consulta!$C:$C,0),'MM01'!CV$2),""))</f>
        <v/>
      </c>
      <c r="CW43" s="43" t="str">
        <f>IF(IFERROR(INDEX(Consulta!$A:$DF,MATCH('MM01'!$B43,Consulta!$C:$C,0),'MM01'!CW$2),"")=0,"",IFERROR(INDEX(Consulta!$A:$DF,MATCH('MM01'!$B43,Consulta!$C:$C,0),'MM01'!CW$2),""))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IF(IFERROR(INDEX(Consulta!$A:$DF,MATCH('MM01'!$B43,Consulta!$C:$C,0),'MM01'!DA$2),"")=0,"",IFERROR(INDEX(Consulta!$A:$DF,MATCH('MM01'!$B43,Consulta!$C:$C,0),'MM01'!DA$2),""))</f>
        <v/>
      </c>
      <c r="DB43" s="43" t="str">
        <f t="shared" si="22"/>
        <v/>
      </c>
      <c r="DC43" s="43" t="str">
        <f>IF(IFERROR(INDEX(Consulta!$A:$DF,MATCH('MM01'!$B43,Consulta!$C:$C,0),'MM01'!DC$2),"")=0,"",IFERROR(INDEX(Consulta!$A:$DF,MATCH('MM01'!$B43,Consulta!$C:$C,0),'MM01'!DC$2),""))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5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5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5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5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IF(IFERROR(INDEX(Consulta!$A:$DF,MATCH('MM01'!$B43,Consulta!$C:$C,0),'MM01'!EB$2),"")=0,"7925",IF(IFERROR(INDEX(Consulta!$A:$DF,MATCH('MM01'!$B43,Consulta!$C:$C,0),'MM01'!EB$2),"")="68","7910","7925"))</f>
        <v>7925</v>
      </c>
      <c r="EC43" s="44">
        <v>100</v>
      </c>
      <c r="ED43" s="60">
        <v>1</v>
      </c>
      <c r="EE43" s="43">
        <f t="shared" si="38"/>
        <v>100</v>
      </c>
      <c r="EF43" s="44">
        <v>1</v>
      </c>
      <c r="EG43" s="44">
        <v>0</v>
      </c>
      <c r="EH43" s="44" t="s">
        <v>867</v>
      </c>
      <c r="EI43" s="45">
        <v>0</v>
      </c>
      <c r="EJ43" s="43">
        <f t="shared" si="39"/>
        <v>5000</v>
      </c>
      <c r="EK43" s="65"/>
    </row>
    <row r="44" spans="1:141" x14ac:dyDescent="0.3">
      <c r="A44" s="7" t="str">
        <f t="shared" si="0"/>
        <v>Execução 40</v>
      </c>
      <c r="B44" s="42"/>
      <c r="C44" s="43" t="str">
        <f>IF(IFERROR(INDEX(Consulta!$A:$DF,MATCH('MM01'!$B44,Consulta!$C:$C,0),'MM01'!C$2),"")=0,"",IFERROR(INDEX(Consulta!$A:$DF,MATCH('MM01'!$B44,Consulta!$C:$C,0),'MM01'!C$2),""))</f>
        <v/>
      </c>
      <c r="D44" s="43" t="str">
        <f>IF(IFERROR(INDEX(Consulta!$A:$DF,MATCH('MM01'!$B44,Consulta!$C:$C,0),'MM01'!D$2),"")=0,"",IFERROR(INDEX(Consulta!$A:$DF,MATCH('MM01'!$B44,Consulta!$C:$C,0),'MM01'!D$2),""))</f>
        <v/>
      </c>
      <c r="E44" s="43" t="str">
        <f>IF(IFERROR(INDEX(Consulta!$A:$DF,MATCH('MM01'!$B44,Consulta!$C:$C,0),'MM01'!E$2),"")=0,"",IFERROR(INDEX(Consulta!$A:$DF,MATCH('MM01'!$B44,Consulta!$C:$C,0),'MM01'!E$2),""))</f>
        <v/>
      </c>
      <c r="F44" s="44" t="s">
        <v>100</v>
      </c>
      <c r="G44" s="49" t="str">
        <f>IF(IFERROR(INDEX(Consulta!$A:$DF,MATCH('MM01'!$B44,Consulta!$C:$C,0),'MM01'!G$2),"")=0,"",IFERROR(INDEX(Consulta!$A:$DF,MATCH('MM01'!$B44,Consulta!$C:$C,0),'MM01'!G$2),""))</f>
        <v/>
      </c>
      <c r="H44" s="49" t="str">
        <f>IF(IFERROR(INDEX(Consulta!$A:$DF,MATCH('MM01'!$B44,Consulta!$C:$C,0),'MM01'!H$2),"")=0,"",IFERROR(INDEX(Consulta!$A:$DF,MATCH('MM01'!$B44,Consulta!$C:$C,0),'MM01'!H$2),""))</f>
        <v/>
      </c>
      <c r="I44" s="49" t="str">
        <f t="shared" si="1"/>
        <v/>
      </c>
      <c r="J44" s="49" t="str">
        <f>IF(IFERROR(INDEX(Consulta!$A:$DF,MATCH('MM01'!$B44,Consulta!$C:$C,0),'MM01'!J$2),"")=0,"",IFERROR(INDEX(Consulta!$A:$DF,MATCH('MM01'!$B44,Consulta!$C:$C,0),'MM01'!J$2),""))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IF(IFERROR(INDEX(Consulta!$A:$DF,MATCH('MM01'!$B44,Consulta!$C:$C,0),'MM01'!AP$2),"")=0,"",IFERROR(INDEX(Consulta!$A:$DF,MATCH('MM01'!$B44,Consulta!$C:$C,0),'MM01'!AP$2),""))</f>
        <v/>
      </c>
      <c r="AQ44" s="45"/>
      <c r="AR44" s="43" t="str">
        <f>IF(IFERROR(INDEX(Consulta!$A:$DF,MATCH('MM01'!$B44,Consulta!$C:$C,0),'MM01'!AR$2),"")=0,"",IFERROR(INDEX(Consulta!$A:$DF,MATCH('MM01'!$B44,Consulta!$C:$C,0),'MM01'!AR$2),""))</f>
        <v/>
      </c>
      <c r="AS44" s="43" t="str">
        <f>IF(IFERROR(INDEX(Consulta!$A:$DF,MATCH('MM01'!$B44,Consulta!$C:$C,0),'MM01'!AS$2),"")=0,"",IF(AR44="68",5102,IFERROR(INDEX(Consulta!$A:$DF,MATCH('MM01'!$B44,Consulta!$C:$C,0),'MM01'!AS$2),"")))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IF(IFERROR(INDEX(Consulta!$A:$DF,MATCH('MM01'!$B44,Consulta!$C:$C,0),'MM01'!AW$2),"")=0,"",IFERROR(ROUND(INDEX(Consulta!$A:$DF,MATCH('MM01'!$B44,Consulta!$C:$C,0),'MM01'!AW$2),3),""))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IF(IFERROR(INDEX(Consulta!$A:$DF,MATCH('MM01'!$B44,Consulta!$C:$C,0),'MM01'!BA$2),"")=0,"",IFERROR(INDEX(Consulta!$A:$DF,MATCH('MM01'!$B44,Consulta!$C:$C,0),'MM01'!BA$2),""))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IF(IFERROR(INDEX(Consulta!$A:$DF,MATCH('MM01'!$B44,Consulta!$C:$C,0),'MM01'!BL$2),"")=0,"",IFERROR(INDEX(Consulta!$A:$DF,MATCH('MM01'!$B44,Consulta!$C:$C,0),'MM01'!BL$2),""))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IF(IFERROR(INDEX(Consulta!$A:$DF,MATCH('MM01'!$B44,Consulta!$C:$C,0),'MM01'!BX$2),"")=0,"",IFERROR(INDEX(Consulta!$A:$DF,MATCH('MM01'!$B44,Consulta!$C:$C,0),'MM01'!BX$2),""))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IF(IFERROR(INDEX(Consulta!$A:$DF,MATCH('MM01'!$B44,Consulta!$C:$C,0),'MM01'!CT$2),"")=0,"",IFERROR(INDEX(Consulta!$A:$DF,MATCH('MM01'!$B44,Consulta!$C:$C,0),'MM01'!CT$2),""))</f>
        <v/>
      </c>
      <c r="CU44" s="43" t="str">
        <f>IF(IFERROR(INDEX(Consulta!$A:$DF,MATCH('MM01'!$B44,Consulta!$C:$C,0),'MM01'!CU$2),"")=0,"",IFERROR(INDEX(Consulta!$A:$DF,MATCH('MM01'!$B44,Consulta!$C:$C,0),'MM01'!CU$2),""))</f>
        <v/>
      </c>
      <c r="CV44" s="43" t="str">
        <f>IF(IFERROR(INDEX(Consulta!$A:$DF,MATCH('MM01'!$B44,Consulta!$C:$C,0),'MM01'!CV$2),"")=0,"",IFERROR(INDEX(Consulta!$A:$DF,MATCH('MM01'!$B44,Consulta!$C:$C,0),'MM01'!CV$2),""))</f>
        <v/>
      </c>
      <c r="CW44" s="43" t="str">
        <f>IF(IFERROR(INDEX(Consulta!$A:$DF,MATCH('MM01'!$B44,Consulta!$C:$C,0),'MM01'!CW$2),"")=0,"",IFERROR(INDEX(Consulta!$A:$DF,MATCH('MM01'!$B44,Consulta!$C:$C,0),'MM01'!CW$2),""))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IF(IFERROR(INDEX(Consulta!$A:$DF,MATCH('MM01'!$B44,Consulta!$C:$C,0),'MM01'!DA$2),"")=0,"",IFERROR(INDEX(Consulta!$A:$DF,MATCH('MM01'!$B44,Consulta!$C:$C,0),'MM01'!DA$2),""))</f>
        <v/>
      </c>
      <c r="DB44" s="43" t="str">
        <f t="shared" si="22"/>
        <v/>
      </c>
      <c r="DC44" s="43" t="str">
        <f>IF(IFERROR(INDEX(Consulta!$A:$DF,MATCH('MM01'!$B44,Consulta!$C:$C,0),'MM01'!DC$2),"")=0,"",IFERROR(INDEX(Consulta!$A:$DF,MATCH('MM01'!$B44,Consulta!$C:$C,0),'MM01'!DC$2),""))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5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5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5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5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IF(IFERROR(INDEX(Consulta!$A:$DF,MATCH('MM01'!$B44,Consulta!$C:$C,0),'MM01'!EB$2),"")=0,"7925",IF(IFERROR(INDEX(Consulta!$A:$DF,MATCH('MM01'!$B44,Consulta!$C:$C,0),'MM01'!EB$2),"")="68","7910","7925"))</f>
        <v>7925</v>
      </c>
      <c r="EC44" s="44">
        <v>100</v>
      </c>
      <c r="ED44" s="60">
        <v>1</v>
      </c>
      <c r="EE44" s="43">
        <f t="shared" si="38"/>
        <v>100</v>
      </c>
      <c r="EF44" s="44">
        <v>1</v>
      </c>
      <c r="EG44" s="44">
        <v>0</v>
      </c>
      <c r="EH44" s="44" t="s">
        <v>867</v>
      </c>
      <c r="EI44" s="45">
        <v>0</v>
      </c>
      <c r="EJ44" s="43">
        <f t="shared" si="39"/>
        <v>5000</v>
      </c>
      <c r="EK44" s="65"/>
    </row>
    <row r="45" spans="1:141" x14ac:dyDescent="0.3">
      <c r="A45" s="7" t="str">
        <f t="shared" si="0"/>
        <v>Execução 41</v>
      </c>
      <c r="B45" s="42"/>
      <c r="C45" s="43" t="str">
        <f>IF(IFERROR(INDEX(Consulta!$A:$DF,MATCH('MM01'!$B45,Consulta!$C:$C,0),'MM01'!C$2),"")=0,"",IFERROR(INDEX(Consulta!$A:$DF,MATCH('MM01'!$B45,Consulta!$C:$C,0),'MM01'!C$2),""))</f>
        <v/>
      </c>
      <c r="D45" s="43" t="str">
        <f>IF(IFERROR(INDEX(Consulta!$A:$DF,MATCH('MM01'!$B45,Consulta!$C:$C,0),'MM01'!D$2),"")=0,"",IFERROR(INDEX(Consulta!$A:$DF,MATCH('MM01'!$B45,Consulta!$C:$C,0),'MM01'!D$2),""))</f>
        <v/>
      </c>
      <c r="E45" s="43" t="str">
        <f>IF(IFERROR(INDEX(Consulta!$A:$DF,MATCH('MM01'!$B45,Consulta!$C:$C,0),'MM01'!E$2),"")=0,"",IFERROR(INDEX(Consulta!$A:$DF,MATCH('MM01'!$B45,Consulta!$C:$C,0),'MM01'!E$2),""))</f>
        <v/>
      </c>
      <c r="F45" s="44" t="s">
        <v>100</v>
      </c>
      <c r="G45" s="49" t="str">
        <f>IF(IFERROR(INDEX(Consulta!$A:$DF,MATCH('MM01'!$B45,Consulta!$C:$C,0),'MM01'!G$2),"")=0,"",IFERROR(INDEX(Consulta!$A:$DF,MATCH('MM01'!$B45,Consulta!$C:$C,0),'MM01'!G$2),""))</f>
        <v/>
      </c>
      <c r="H45" s="49" t="str">
        <f>IF(IFERROR(INDEX(Consulta!$A:$DF,MATCH('MM01'!$B45,Consulta!$C:$C,0),'MM01'!H$2),"")=0,"",IFERROR(INDEX(Consulta!$A:$DF,MATCH('MM01'!$B45,Consulta!$C:$C,0),'MM01'!H$2),""))</f>
        <v/>
      </c>
      <c r="I45" s="49" t="str">
        <f t="shared" si="1"/>
        <v/>
      </c>
      <c r="J45" s="49" t="str">
        <f>IF(IFERROR(INDEX(Consulta!$A:$DF,MATCH('MM01'!$B45,Consulta!$C:$C,0),'MM01'!J$2),"")=0,"",IFERROR(INDEX(Consulta!$A:$DF,MATCH('MM01'!$B45,Consulta!$C:$C,0),'MM01'!J$2),""))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IF(IFERROR(INDEX(Consulta!$A:$DF,MATCH('MM01'!$B45,Consulta!$C:$C,0),'MM01'!AP$2),"")=0,"",IFERROR(INDEX(Consulta!$A:$DF,MATCH('MM01'!$B45,Consulta!$C:$C,0),'MM01'!AP$2),""))</f>
        <v/>
      </c>
      <c r="AQ45" s="45"/>
      <c r="AR45" s="43" t="str">
        <f>IF(IFERROR(INDEX(Consulta!$A:$DF,MATCH('MM01'!$B45,Consulta!$C:$C,0),'MM01'!AR$2),"")=0,"",IFERROR(INDEX(Consulta!$A:$DF,MATCH('MM01'!$B45,Consulta!$C:$C,0),'MM01'!AR$2),""))</f>
        <v/>
      </c>
      <c r="AS45" s="43" t="str">
        <f>IF(IFERROR(INDEX(Consulta!$A:$DF,MATCH('MM01'!$B45,Consulta!$C:$C,0),'MM01'!AS$2),"")=0,"",IF(AR45="68",5102,IFERROR(INDEX(Consulta!$A:$DF,MATCH('MM01'!$B45,Consulta!$C:$C,0),'MM01'!AS$2),"")))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IF(IFERROR(INDEX(Consulta!$A:$DF,MATCH('MM01'!$B45,Consulta!$C:$C,0),'MM01'!AW$2),"")=0,"",IFERROR(ROUND(INDEX(Consulta!$A:$DF,MATCH('MM01'!$B45,Consulta!$C:$C,0),'MM01'!AW$2),3),""))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IF(IFERROR(INDEX(Consulta!$A:$DF,MATCH('MM01'!$B45,Consulta!$C:$C,0),'MM01'!BA$2),"")=0,"",IFERROR(INDEX(Consulta!$A:$DF,MATCH('MM01'!$B45,Consulta!$C:$C,0),'MM01'!BA$2),""))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IF(IFERROR(INDEX(Consulta!$A:$DF,MATCH('MM01'!$B45,Consulta!$C:$C,0),'MM01'!BL$2),"")=0,"",IFERROR(INDEX(Consulta!$A:$DF,MATCH('MM01'!$B45,Consulta!$C:$C,0),'MM01'!BL$2),""))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IF(IFERROR(INDEX(Consulta!$A:$DF,MATCH('MM01'!$B45,Consulta!$C:$C,0),'MM01'!BX$2),"")=0,"",IFERROR(INDEX(Consulta!$A:$DF,MATCH('MM01'!$B45,Consulta!$C:$C,0),'MM01'!BX$2),""))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IF(IFERROR(INDEX(Consulta!$A:$DF,MATCH('MM01'!$B45,Consulta!$C:$C,0),'MM01'!CT$2),"")=0,"",IFERROR(INDEX(Consulta!$A:$DF,MATCH('MM01'!$B45,Consulta!$C:$C,0),'MM01'!CT$2),""))</f>
        <v/>
      </c>
      <c r="CU45" s="43" t="str">
        <f>IF(IFERROR(INDEX(Consulta!$A:$DF,MATCH('MM01'!$B45,Consulta!$C:$C,0),'MM01'!CU$2),"")=0,"",IFERROR(INDEX(Consulta!$A:$DF,MATCH('MM01'!$B45,Consulta!$C:$C,0),'MM01'!CU$2),""))</f>
        <v/>
      </c>
      <c r="CV45" s="43" t="str">
        <f>IF(IFERROR(INDEX(Consulta!$A:$DF,MATCH('MM01'!$B45,Consulta!$C:$C,0),'MM01'!CV$2),"")=0,"",IFERROR(INDEX(Consulta!$A:$DF,MATCH('MM01'!$B45,Consulta!$C:$C,0),'MM01'!CV$2),""))</f>
        <v/>
      </c>
      <c r="CW45" s="43" t="str">
        <f>IF(IFERROR(INDEX(Consulta!$A:$DF,MATCH('MM01'!$B45,Consulta!$C:$C,0),'MM01'!CW$2),"")=0,"",IFERROR(INDEX(Consulta!$A:$DF,MATCH('MM01'!$B45,Consulta!$C:$C,0),'MM01'!CW$2),""))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IF(IFERROR(INDEX(Consulta!$A:$DF,MATCH('MM01'!$B45,Consulta!$C:$C,0),'MM01'!DA$2),"")=0,"",IFERROR(INDEX(Consulta!$A:$DF,MATCH('MM01'!$B45,Consulta!$C:$C,0),'MM01'!DA$2),""))</f>
        <v/>
      </c>
      <c r="DB45" s="43" t="str">
        <f t="shared" si="22"/>
        <v/>
      </c>
      <c r="DC45" s="43" t="str">
        <f>IF(IFERROR(INDEX(Consulta!$A:$DF,MATCH('MM01'!$B45,Consulta!$C:$C,0),'MM01'!DC$2),"")=0,"",IFERROR(INDEX(Consulta!$A:$DF,MATCH('MM01'!$B45,Consulta!$C:$C,0),'MM01'!DC$2),""))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5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5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5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5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IF(IFERROR(INDEX(Consulta!$A:$DF,MATCH('MM01'!$B45,Consulta!$C:$C,0),'MM01'!EB$2),"")=0,"7925",IF(IFERROR(INDEX(Consulta!$A:$DF,MATCH('MM01'!$B45,Consulta!$C:$C,0),'MM01'!EB$2),"")="68","7910","7925"))</f>
        <v>7925</v>
      </c>
      <c r="EC45" s="44">
        <v>100</v>
      </c>
      <c r="ED45" s="60">
        <v>1</v>
      </c>
      <c r="EE45" s="43">
        <f t="shared" si="38"/>
        <v>100</v>
      </c>
      <c r="EF45" s="44">
        <v>1</v>
      </c>
      <c r="EG45" s="44">
        <v>0</v>
      </c>
      <c r="EH45" s="44" t="s">
        <v>867</v>
      </c>
      <c r="EI45" s="45">
        <v>0</v>
      </c>
      <c r="EJ45" s="43">
        <f t="shared" si="39"/>
        <v>5000</v>
      </c>
      <c r="EK45" s="65"/>
    </row>
    <row r="46" spans="1:141" x14ac:dyDescent="0.3">
      <c r="A46" s="7" t="str">
        <f t="shared" si="0"/>
        <v>Execução 42</v>
      </c>
      <c r="B46" s="42"/>
      <c r="C46" s="43" t="str">
        <f>IF(IFERROR(INDEX(Consulta!$A:$DF,MATCH('MM01'!$B46,Consulta!$C:$C,0),'MM01'!C$2),"")=0,"",IFERROR(INDEX(Consulta!$A:$DF,MATCH('MM01'!$B46,Consulta!$C:$C,0),'MM01'!C$2),""))</f>
        <v/>
      </c>
      <c r="D46" s="43" t="str">
        <f>IF(IFERROR(INDEX(Consulta!$A:$DF,MATCH('MM01'!$B46,Consulta!$C:$C,0),'MM01'!D$2),"")=0,"",IFERROR(INDEX(Consulta!$A:$DF,MATCH('MM01'!$B46,Consulta!$C:$C,0),'MM01'!D$2),""))</f>
        <v/>
      </c>
      <c r="E46" s="43" t="str">
        <f>IF(IFERROR(INDEX(Consulta!$A:$DF,MATCH('MM01'!$B46,Consulta!$C:$C,0),'MM01'!E$2),"")=0,"",IFERROR(INDEX(Consulta!$A:$DF,MATCH('MM01'!$B46,Consulta!$C:$C,0),'MM01'!E$2),""))</f>
        <v/>
      </c>
      <c r="F46" s="44" t="s">
        <v>100</v>
      </c>
      <c r="G46" s="49" t="str">
        <f>IF(IFERROR(INDEX(Consulta!$A:$DF,MATCH('MM01'!$B46,Consulta!$C:$C,0),'MM01'!G$2),"")=0,"",IFERROR(INDEX(Consulta!$A:$DF,MATCH('MM01'!$B46,Consulta!$C:$C,0),'MM01'!G$2),""))</f>
        <v/>
      </c>
      <c r="H46" s="49" t="str">
        <f>IF(IFERROR(INDEX(Consulta!$A:$DF,MATCH('MM01'!$B46,Consulta!$C:$C,0),'MM01'!H$2),"")=0,"",IFERROR(INDEX(Consulta!$A:$DF,MATCH('MM01'!$B46,Consulta!$C:$C,0),'MM01'!H$2),""))</f>
        <v/>
      </c>
      <c r="I46" s="49" t="str">
        <f t="shared" si="1"/>
        <v/>
      </c>
      <c r="J46" s="49" t="str">
        <f>IF(IFERROR(INDEX(Consulta!$A:$DF,MATCH('MM01'!$B46,Consulta!$C:$C,0),'MM01'!J$2),"")=0,"",IFERROR(INDEX(Consulta!$A:$DF,MATCH('MM01'!$B46,Consulta!$C:$C,0),'MM01'!J$2),""))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IF(IFERROR(INDEX(Consulta!$A:$DF,MATCH('MM01'!$B46,Consulta!$C:$C,0),'MM01'!AP$2),"")=0,"",IFERROR(INDEX(Consulta!$A:$DF,MATCH('MM01'!$B46,Consulta!$C:$C,0),'MM01'!AP$2),""))</f>
        <v/>
      </c>
      <c r="AQ46" s="45"/>
      <c r="AR46" s="43" t="str">
        <f>IF(IFERROR(INDEX(Consulta!$A:$DF,MATCH('MM01'!$B46,Consulta!$C:$C,0),'MM01'!AR$2),"")=0,"",IFERROR(INDEX(Consulta!$A:$DF,MATCH('MM01'!$B46,Consulta!$C:$C,0),'MM01'!AR$2),""))</f>
        <v/>
      </c>
      <c r="AS46" s="43" t="str">
        <f>IF(IFERROR(INDEX(Consulta!$A:$DF,MATCH('MM01'!$B46,Consulta!$C:$C,0),'MM01'!AS$2),"")=0,"",IF(AR46="68",5102,IFERROR(INDEX(Consulta!$A:$DF,MATCH('MM01'!$B46,Consulta!$C:$C,0),'MM01'!AS$2),"")))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IF(IFERROR(INDEX(Consulta!$A:$DF,MATCH('MM01'!$B46,Consulta!$C:$C,0),'MM01'!AW$2),"")=0,"",IFERROR(ROUND(INDEX(Consulta!$A:$DF,MATCH('MM01'!$B46,Consulta!$C:$C,0),'MM01'!AW$2),3),""))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IF(IFERROR(INDEX(Consulta!$A:$DF,MATCH('MM01'!$B46,Consulta!$C:$C,0),'MM01'!BA$2),"")=0,"",IFERROR(INDEX(Consulta!$A:$DF,MATCH('MM01'!$B46,Consulta!$C:$C,0),'MM01'!BA$2),""))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IF(IFERROR(INDEX(Consulta!$A:$DF,MATCH('MM01'!$B46,Consulta!$C:$C,0),'MM01'!BL$2),"")=0,"",IFERROR(INDEX(Consulta!$A:$DF,MATCH('MM01'!$B46,Consulta!$C:$C,0),'MM01'!BL$2),""))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IF(IFERROR(INDEX(Consulta!$A:$DF,MATCH('MM01'!$B46,Consulta!$C:$C,0),'MM01'!BX$2),"")=0,"",IFERROR(INDEX(Consulta!$A:$DF,MATCH('MM01'!$B46,Consulta!$C:$C,0),'MM01'!BX$2),""))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IF(IFERROR(INDEX(Consulta!$A:$DF,MATCH('MM01'!$B46,Consulta!$C:$C,0),'MM01'!CT$2),"")=0,"",IFERROR(INDEX(Consulta!$A:$DF,MATCH('MM01'!$B46,Consulta!$C:$C,0),'MM01'!CT$2),""))</f>
        <v/>
      </c>
      <c r="CU46" s="43" t="str">
        <f>IF(IFERROR(INDEX(Consulta!$A:$DF,MATCH('MM01'!$B46,Consulta!$C:$C,0),'MM01'!CU$2),"")=0,"",IFERROR(INDEX(Consulta!$A:$DF,MATCH('MM01'!$B46,Consulta!$C:$C,0),'MM01'!CU$2),""))</f>
        <v/>
      </c>
      <c r="CV46" s="43" t="str">
        <f>IF(IFERROR(INDEX(Consulta!$A:$DF,MATCH('MM01'!$B46,Consulta!$C:$C,0),'MM01'!CV$2),"")=0,"",IFERROR(INDEX(Consulta!$A:$DF,MATCH('MM01'!$B46,Consulta!$C:$C,0),'MM01'!CV$2),""))</f>
        <v/>
      </c>
      <c r="CW46" s="43" t="str">
        <f>IF(IFERROR(INDEX(Consulta!$A:$DF,MATCH('MM01'!$B46,Consulta!$C:$C,0),'MM01'!CW$2),"")=0,"",IFERROR(INDEX(Consulta!$A:$DF,MATCH('MM01'!$B46,Consulta!$C:$C,0),'MM01'!CW$2),""))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IF(IFERROR(INDEX(Consulta!$A:$DF,MATCH('MM01'!$B46,Consulta!$C:$C,0),'MM01'!DA$2),"")=0,"",IFERROR(INDEX(Consulta!$A:$DF,MATCH('MM01'!$B46,Consulta!$C:$C,0),'MM01'!DA$2),""))</f>
        <v/>
      </c>
      <c r="DB46" s="43" t="str">
        <f t="shared" si="22"/>
        <v/>
      </c>
      <c r="DC46" s="43" t="str">
        <f>IF(IFERROR(INDEX(Consulta!$A:$DF,MATCH('MM01'!$B46,Consulta!$C:$C,0),'MM01'!DC$2),"")=0,"",IFERROR(INDEX(Consulta!$A:$DF,MATCH('MM01'!$B46,Consulta!$C:$C,0),'MM01'!DC$2),""))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5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5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5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5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IF(IFERROR(INDEX(Consulta!$A:$DF,MATCH('MM01'!$B46,Consulta!$C:$C,0),'MM01'!EB$2),"")=0,"7925",IF(IFERROR(INDEX(Consulta!$A:$DF,MATCH('MM01'!$B46,Consulta!$C:$C,0),'MM01'!EB$2),"")="68","7910","7925"))</f>
        <v>7925</v>
      </c>
      <c r="EC46" s="44">
        <v>100</v>
      </c>
      <c r="ED46" s="60">
        <v>1</v>
      </c>
      <c r="EE46" s="43">
        <f t="shared" si="38"/>
        <v>100</v>
      </c>
      <c r="EF46" s="44">
        <v>1</v>
      </c>
      <c r="EG46" s="44">
        <v>0</v>
      </c>
      <c r="EH46" s="44" t="s">
        <v>867</v>
      </c>
      <c r="EI46" s="45">
        <v>0</v>
      </c>
      <c r="EJ46" s="43">
        <f t="shared" si="39"/>
        <v>5000</v>
      </c>
      <c r="EK46" s="65"/>
    </row>
    <row r="47" spans="1:141" x14ac:dyDescent="0.3">
      <c r="A47" s="7" t="str">
        <f t="shared" si="0"/>
        <v>Execução 43</v>
      </c>
      <c r="B47" s="42"/>
      <c r="C47" s="43" t="str">
        <f>IF(IFERROR(INDEX(Consulta!$A:$DF,MATCH('MM01'!$B47,Consulta!$C:$C,0),'MM01'!C$2),"")=0,"",IFERROR(INDEX(Consulta!$A:$DF,MATCH('MM01'!$B47,Consulta!$C:$C,0),'MM01'!C$2),""))</f>
        <v/>
      </c>
      <c r="D47" s="43" t="str">
        <f>IF(IFERROR(INDEX(Consulta!$A:$DF,MATCH('MM01'!$B47,Consulta!$C:$C,0),'MM01'!D$2),"")=0,"",IFERROR(INDEX(Consulta!$A:$DF,MATCH('MM01'!$B47,Consulta!$C:$C,0),'MM01'!D$2),""))</f>
        <v/>
      </c>
      <c r="E47" s="43" t="str">
        <f>IF(IFERROR(INDEX(Consulta!$A:$DF,MATCH('MM01'!$B47,Consulta!$C:$C,0),'MM01'!E$2),"")=0,"",IFERROR(INDEX(Consulta!$A:$DF,MATCH('MM01'!$B47,Consulta!$C:$C,0),'MM01'!E$2),""))</f>
        <v/>
      </c>
      <c r="F47" s="44" t="s">
        <v>100</v>
      </c>
      <c r="G47" s="49" t="str">
        <f>IF(IFERROR(INDEX(Consulta!$A:$DF,MATCH('MM01'!$B47,Consulta!$C:$C,0),'MM01'!G$2),"")=0,"",IFERROR(INDEX(Consulta!$A:$DF,MATCH('MM01'!$B47,Consulta!$C:$C,0),'MM01'!G$2),""))</f>
        <v/>
      </c>
      <c r="H47" s="49" t="str">
        <f>IF(IFERROR(INDEX(Consulta!$A:$DF,MATCH('MM01'!$B47,Consulta!$C:$C,0),'MM01'!H$2),"")=0,"",IFERROR(INDEX(Consulta!$A:$DF,MATCH('MM01'!$B47,Consulta!$C:$C,0),'MM01'!H$2),""))</f>
        <v/>
      </c>
      <c r="I47" s="49" t="str">
        <f t="shared" si="1"/>
        <v/>
      </c>
      <c r="J47" s="49" t="str">
        <f>IF(IFERROR(INDEX(Consulta!$A:$DF,MATCH('MM01'!$B47,Consulta!$C:$C,0),'MM01'!J$2),"")=0,"",IFERROR(INDEX(Consulta!$A:$DF,MATCH('MM01'!$B47,Consulta!$C:$C,0),'MM01'!J$2),""))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IF(IFERROR(INDEX(Consulta!$A:$DF,MATCH('MM01'!$B47,Consulta!$C:$C,0),'MM01'!AP$2),"")=0,"",IFERROR(INDEX(Consulta!$A:$DF,MATCH('MM01'!$B47,Consulta!$C:$C,0),'MM01'!AP$2),""))</f>
        <v/>
      </c>
      <c r="AQ47" s="45"/>
      <c r="AR47" s="43" t="str">
        <f>IF(IFERROR(INDEX(Consulta!$A:$DF,MATCH('MM01'!$B47,Consulta!$C:$C,0),'MM01'!AR$2),"")=0,"",IFERROR(INDEX(Consulta!$A:$DF,MATCH('MM01'!$B47,Consulta!$C:$C,0),'MM01'!AR$2),""))</f>
        <v/>
      </c>
      <c r="AS47" s="43" t="str">
        <f>IF(IFERROR(INDEX(Consulta!$A:$DF,MATCH('MM01'!$B47,Consulta!$C:$C,0),'MM01'!AS$2),"")=0,"",IF(AR47="68",5102,IFERROR(INDEX(Consulta!$A:$DF,MATCH('MM01'!$B47,Consulta!$C:$C,0),'MM01'!AS$2),"")))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IF(IFERROR(INDEX(Consulta!$A:$DF,MATCH('MM01'!$B47,Consulta!$C:$C,0),'MM01'!AW$2),"")=0,"",IFERROR(ROUND(INDEX(Consulta!$A:$DF,MATCH('MM01'!$B47,Consulta!$C:$C,0),'MM01'!AW$2),3),""))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IF(IFERROR(INDEX(Consulta!$A:$DF,MATCH('MM01'!$B47,Consulta!$C:$C,0),'MM01'!BA$2),"")=0,"",IFERROR(INDEX(Consulta!$A:$DF,MATCH('MM01'!$B47,Consulta!$C:$C,0),'MM01'!BA$2),""))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IF(IFERROR(INDEX(Consulta!$A:$DF,MATCH('MM01'!$B47,Consulta!$C:$C,0),'MM01'!BL$2),"")=0,"",IFERROR(INDEX(Consulta!$A:$DF,MATCH('MM01'!$B47,Consulta!$C:$C,0),'MM01'!BL$2),""))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IF(IFERROR(INDEX(Consulta!$A:$DF,MATCH('MM01'!$B47,Consulta!$C:$C,0),'MM01'!BX$2),"")=0,"",IFERROR(INDEX(Consulta!$A:$DF,MATCH('MM01'!$B47,Consulta!$C:$C,0),'MM01'!BX$2),""))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IF(IFERROR(INDEX(Consulta!$A:$DF,MATCH('MM01'!$B47,Consulta!$C:$C,0),'MM01'!CT$2),"")=0,"",IFERROR(INDEX(Consulta!$A:$DF,MATCH('MM01'!$B47,Consulta!$C:$C,0),'MM01'!CT$2),""))</f>
        <v/>
      </c>
      <c r="CU47" s="43" t="str">
        <f>IF(IFERROR(INDEX(Consulta!$A:$DF,MATCH('MM01'!$B47,Consulta!$C:$C,0),'MM01'!CU$2),"")=0,"",IFERROR(INDEX(Consulta!$A:$DF,MATCH('MM01'!$B47,Consulta!$C:$C,0),'MM01'!CU$2),""))</f>
        <v/>
      </c>
      <c r="CV47" s="43" t="str">
        <f>IF(IFERROR(INDEX(Consulta!$A:$DF,MATCH('MM01'!$B47,Consulta!$C:$C,0),'MM01'!CV$2),"")=0,"",IFERROR(INDEX(Consulta!$A:$DF,MATCH('MM01'!$B47,Consulta!$C:$C,0),'MM01'!CV$2),""))</f>
        <v/>
      </c>
      <c r="CW47" s="43" t="str">
        <f>IF(IFERROR(INDEX(Consulta!$A:$DF,MATCH('MM01'!$B47,Consulta!$C:$C,0),'MM01'!CW$2),"")=0,"",IFERROR(INDEX(Consulta!$A:$DF,MATCH('MM01'!$B47,Consulta!$C:$C,0),'MM01'!CW$2),""))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IF(IFERROR(INDEX(Consulta!$A:$DF,MATCH('MM01'!$B47,Consulta!$C:$C,0),'MM01'!DA$2),"")=0,"",IFERROR(INDEX(Consulta!$A:$DF,MATCH('MM01'!$B47,Consulta!$C:$C,0),'MM01'!DA$2),""))</f>
        <v/>
      </c>
      <c r="DB47" s="43" t="str">
        <f t="shared" si="22"/>
        <v/>
      </c>
      <c r="DC47" s="43" t="str">
        <f>IF(IFERROR(INDEX(Consulta!$A:$DF,MATCH('MM01'!$B47,Consulta!$C:$C,0),'MM01'!DC$2),"")=0,"",IFERROR(INDEX(Consulta!$A:$DF,MATCH('MM01'!$B47,Consulta!$C:$C,0),'MM01'!DC$2),""))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5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5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5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5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IF(IFERROR(INDEX(Consulta!$A:$DF,MATCH('MM01'!$B47,Consulta!$C:$C,0),'MM01'!EB$2),"")=0,"7925",IF(IFERROR(INDEX(Consulta!$A:$DF,MATCH('MM01'!$B47,Consulta!$C:$C,0),'MM01'!EB$2),"")="68","7910","7925"))</f>
        <v>7925</v>
      </c>
      <c r="EC47" s="44">
        <v>100</v>
      </c>
      <c r="ED47" s="60">
        <v>1</v>
      </c>
      <c r="EE47" s="43">
        <f t="shared" si="38"/>
        <v>100</v>
      </c>
      <c r="EF47" s="44">
        <v>1</v>
      </c>
      <c r="EG47" s="44">
        <v>0</v>
      </c>
      <c r="EH47" s="44" t="s">
        <v>867</v>
      </c>
      <c r="EI47" s="45">
        <v>0</v>
      </c>
      <c r="EJ47" s="43">
        <f t="shared" si="39"/>
        <v>5000</v>
      </c>
      <c r="EK47" s="65"/>
    </row>
    <row r="48" spans="1:141" x14ac:dyDescent="0.3">
      <c r="A48" s="7" t="str">
        <f t="shared" si="0"/>
        <v>Execução 44</v>
      </c>
      <c r="B48" s="42"/>
      <c r="C48" s="43" t="str">
        <f>IF(IFERROR(INDEX(Consulta!$A:$DF,MATCH('MM01'!$B48,Consulta!$C:$C,0),'MM01'!C$2),"")=0,"",IFERROR(INDEX(Consulta!$A:$DF,MATCH('MM01'!$B48,Consulta!$C:$C,0),'MM01'!C$2),""))</f>
        <v/>
      </c>
      <c r="D48" s="43" t="str">
        <f>IF(IFERROR(INDEX(Consulta!$A:$DF,MATCH('MM01'!$B48,Consulta!$C:$C,0),'MM01'!D$2),"")=0,"",IFERROR(INDEX(Consulta!$A:$DF,MATCH('MM01'!$B48,Consulta!$C:$C,0),'MM01'!D$2),""))</f>
        <v/>
      </c>
      <c r="E48" s="43" t="str">
        <f>IF(IFERROR(INDEX(Consulta!$A:$DF,MATCH('MM01'!$B48,Consulta!$C:$C,0),'MM01'!E$2),"")=0,"",IFERROR(INDEX(Consulta!$A:$DF,MATCH('MM01'!$B48,Consulta!$C:$C,0),'MM01'!E$2),""))</f>
        <v/>
      </c>
      <c r="F48" s="44" t="s">
        <v>100</v>
      </c>
      <c r="G48" s="49" t="str">
        <f>IF(IFERROR(INDEX(Consulta!$A:$DF,MATCH('MM01'!$B48,Consulta!$C:$C,0),'MM01'!G$2),"")=0,"",IFERROR(INDEX(Consulta!$A:$DF,MATCH('MM01'!$B48,Consulta!$C:$C,0),'MM01'!G$2),""))</f>
        <v/>
      </c>
      <c r="H48" s="49" t="str">
        <f>IF(IFERROR(INDEX(Consulta!$A:$DF,MATCH('MM01'!$B48,Consulta!$C:$C,0),'MM01'!H$2),"")=0,"",IFERROR(INDEX(Consulta!$A:$DF,MATCH('MM01'!$B48,Consulta!$C:$C,0),'MM01'!H$2),""))</f>
        <v/>
      </c>
      <c r="I48" s="49" t="str">
        <f t="shared" si="1"/>
        <v/>
      </c>
      <c r="J48" s="49" t="str">
        <f>IF(IFERROR(INDEX(Consulta!$A:$DF,MATCH('MM01'!$B48,Consulta!$C:$C,0),'MM01'!J$2),"")=0,"",IFERROR(INDEX(Consulta!$A:$DF,MATCH('MM01'!$B48,Consulta!$C:$C,0),'MM01'!J$2),""))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IF(IFERROR(INDEX(Consulta!$A:$DF,MATCH('MM01'!$B48,Consulta!$C:$C,0),'MM01'!AP$2),"")=0,"",IFERROR(INDEX(Consulta!$A:$DF,MATCH('MM01'!$B48,Consulta!$C:$C,0),'MM01'!AP$2),""))</f>
        <v/>
      </c>
      <c r="AQ48" s="45"/>
      <c r="AR48" s="43" t="str">
        <f>IF(IFERROR(INDEX(Consulta!$A:$DF,MATCH('MM01'!$B48,Consulta!$C:$C,0),'MM01'!AR$2),"")=0,"",IFERROR(INDEX(Consulta!$A:$DF,MATCH('MM01'!$B48,Consulta!$C:$C,0),'MM01'!AR$2),""))</f>
        <v/>
      </c>
      <c r="AS48" s="43" t="str">
        <f>IF(IFERROR(INDEX(Consulta!$A:$DF,MATCH('MM01'!$B48,Consulta!$C:$C,0),'MM01'!AS$2),"")=0,"",IF(AR48="68",5102,IFERROR(INDEX(Consulta!$A:$DF,MATCH('MM01'!$B48,Consulta!$C:$C,0),'MM01'!AS$2),"")))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IF(IFERROR(INDEX(Consulta!$A:$DF,MATCH('MM01'!$B48,Consulta!$C:$C,0),'MM01'!AW$2),"")=0,"",IFERROR(ROUND(INDEX(Consulta!$A:$DF,MATCH('MM01'!$B48,Consulta!$C:$C,0),'MM01'!AW$2),3),""))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IF(IFERROR(INDEX(Consulta!$A:$DF,MATCH('MM01'!$B48,Consulta!$C:$C,0),'MM01'!BA$2),"")=0,"",IFERROR(INDEX(Consulta!$A:$DF,MATCH('MM01'!$B48,Consulta!$C:$C,0),'MM01'!BA$2),""))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IF(IFERROR(INDEX(Consulta!$A:$DF,MATCH('MM01'!$B48,Consulta!$C:$C,0),'MM01'!BL$2),"")=0,"",IFERROR(INDEX(Consulta!$A:$DF,MATCH('MM01'!$B48,Consulta!$C:$C,0),'MM01'!BL$2),""))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IF(IFERROR(INDEX(Consulta!$A:$DF,MATCH('MM01'!$B48,Consulta!$C:$C,0),'MM01'!BX$2),"")=0,"",IFERROR(INDEX(Consulta!$A:$DF,MATCH('MM01'!$B48,Consulta!$C:$C,0),'MM01'!BX$2),""))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IF(IFERROR(INDEX(Consulta!$A:$DF,MATCH('MM01'!$B48,Consulta!$C:$C,0),'MM01'!CT$2),"")=0,"",IFERROR(INDEX(Consulta!$A:$DF,MATCH('MM01'!$B48,Consulta!$C:$C,0),'MM01'!CT$2),""))</f>
        <v/>
      </c>
      <c r="CU48" s="43" t="str">
        <f>IF(IFERROR(INDEX(Consulta!$A:$DF,MATCH('MM01'!$B48,Consulta!$C:$C,0),'MM01'!CU$2),"")=0,"",IFERROR(INDEX(Consulta!$A:$DF,MATCH('MM01'!$B48,Consulta!$C:$C,0),'MM01'!CU$2),""))</f>
        <v/>
      </c>
      <c r="CV48" s="43" t="str">
        <f>IF(IFERROR(INDEX(Consulta!$A:$DF,MATCH('MM01'!$B48,Consulta!$C:$C,0),'MM01'!CV$2),"")=0,"",IFERROR(INDEX(Consulta!$A:$DF,MATCH('MM01'!$B48,Consulta!$C:$C,0),'MM01'!CV$2),""))</f>
        <v/>
      </c>
      <c r="CW48" s="43" t="str">
        <f>IF(IFERROR(INDEX(Consulta!$A:$DF,MATCH('MM01'!$B48,Consulta!$C:$C,0),'MM01'!CW$2),"")=0,"",IFERROR(INDEX(Consulta!$A:$DF,MATCH('MM01'!$B48,Consulta!$C:$C,0),'MM01'!CW$2),""))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IF(IFERROR(INDEX(Consulta!$A:$DF,MATCH('MM01'!$B48,Consulta!$C:$C,0),'MM01'!DA$2),"")=0,"",IFERROR(INDEX(Consulta!$A:$DF,MATCH('MM01'!$B48,Consulta!$C:$C,0),'MM01'!DA$2),""))</f>
        <v/>
      </c>
      <c r="DB48" s="43" t="str">
        <f t="shared" si="22"/>
        <v/>
      </c>
      <c r="DC48" s="43" t="str">
        <f>IF(IFERROR(INDEX(Consulta!$A:$DF,MATCH('MM01'!$B48,Consulta!$C:$C,0),'MM01'!DC$2),"")=0,"",IFERROR(INDEX(Consulta!$A:$DF,MATCH('MM01'!$B48,Consulta!$C:$C,0),'MM01'!DC$2),""))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5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5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5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5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IF(IFERROR(INDEX(Consulta!$A:$DF,MATCH('MM01'!$B48,Consulta!$C:$C,0),'MM01'!EB$2),"")=0,"7925",IF(IFERROR(INDEX(Consulta!$A:$DF,MATCH('MM01'!$B48,Consulta!$C:$C,0),'MM01'!EB$2),"")="68","7910","7925"))</f>
        <v>7925</v>
      </c>
      <c r="EC48" s="44">
        <v>100</v>
      </c>
      <c r="ED48" s="60">
        <v>1</v>
      </c>
      <c r="EE48" s="43">
        <f t="shared" si="38"/>
        <v>100</v>
      </c>
      <c r="EF48" s="44">
        <v>1</v>
      </c>
      <c r="EG48" s="44">
        <v>0</v>
      </c>
      <c r="EH48" s="44" t="s">
        <v>867</v>
      </c>
      <c r="EI48" s="45">
        <v>0</v>
      </c>
      <c r="EJ48" s="43">
        <f t="shared" si="39"/>
        <v>5000</v>
      </c>
      <c r="EK48" s="65"/>
    </row>
    <row r="49" spans="1:141" x14ac:dyDescent="0.3">
      <c r="A49" s="7" t="str">
        <f t="shared" si="0"/>
        <v>Execução 45</v>
      </c>
      <c r="B49" s="42"/>
      <c r="C49" s="43" t="str">
        <f>IF(IFERROR(INDEX(Consulta!$A:$DF,MATCH('MM01'!$B49,Consulta!$C:$C,0),'MM01'!C$2),"")=0,"",IFERROR(INDEX(Consulta!$A:$DF,MATCH('MM01'!$B49,Consulta!$C:$C,0),'MM01'!C$2),""))</f>
        <v/>
      </c>
      <c r="D49" s="43" t="str">
        <f>IF(IFERROR(INDEX(Consulta!$A:$DF,MATCH('MM01'!$B49,Consulta!$C:$C,0),'MM01'!D$2),"")=0,"",IFERROR(INDEX(Consulta!$A:$DF,MATCH('MM01'!$B49,Consulta!$C:$C,0),'MM01'!D$2),""))</f>
        <v/>
      </c>
      <c r="E49" s="43" t="str">
        <f>IF(IFERROR(INDEX(Consulta!$A:$DF,MATCH('MM01'!$B49,Consulta!$C:$C,0),'MM01'!E$2),"")=0,"",IFERROR(INDEX(Consulta!$A:$DF,MATCH('MM01'!$B49,Consulta!$C:$C,0),'MM01'!E$2),""))</f>
        <v/>
      </c>
      <c r="F49" s="44" t="s">
        <v>100</v>
      </c>
      <c r="G49" s="49" t="str">
        <f>IF(IFERROR(INDEX(Consulta!$A:$DF,MATCH('MM01'!$B49,Consulta!$C:$C,0),'MM01'!G$2),"")=0,"",IFERROR(INDEX(Consulta!$A:$DF,MATCH('MM01'!$B49,Consulta!$C:$C,0),'MM01'!G$2),""))</f>
        <v/>
      </c>
      <c r="H49" s="49" t="str">
        <f>IF(IFERROR(INDEX(Consulta!$A:$DF,MATCH('MM01'!$B49,Consulta!$C:$C,0),'MM01'!H$2),"")=0,"",IFERROR(INDEX(Consulta!$A:$DF,MATCH('MM01'!$B49,Consulta!$C:$C,0),'MM01'!H$2),""))</f>
        <v/>
      </c>
      <c r="I49" s="49" t="str">
        <f t="shared" si="1"/>
        <v/>
      </c>
      <c r="J49" s="49" t="str">
        <f>IF(IFERROR(INDEX(Consulta!$A:$DF,MATCH('MM01'!$B49,Consulta!$C:$C,0),'MM01'!J$2),"")=0,"",IFERROR(INDEX(Consulta!$A:$DF,MATCH('MM01'!$B49,Consulta!$C:$C,0),'MM01'!J$2),""))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IF(IFERROR(INDEX(Consulta!$A:$DF,MATCH('MM01'!$B49,Consulta!$C:$C,0),'MM01'!AP$2),"")=0,"",IFERROR(INDEX(Consulta!$A:$DF,MATCH('MM01'!$B49,Consulta!$C:$C,0),'MM01'!AP$2),""))</f>
        <v/>
      </c>
      <c r="AQ49" s="45"/>
      <c r="AR49" s="43" t="str">
        <f>IF(IFERROR(INDEX(Consulta!$A:$DF,MATCH('MM01'!$B49,Consulta!$C:$C,0),'MM01'!AR$2),"")=0,"",IFERROR(INDEX(Consulta!$A:$DF,MATCH('MM01'!$B49,Consulta!$C:$C,0),'MM01'!AR$2),""))</f>
        <v/>
      </c>
      <c r="AS49" s="43" t="str">
        <f>IF(IFERROR(INDEX(Consulta!$A:$DF,MATCH('MM01'!$B49,Consulta!$C:$C,0),'MM01'!AS$2),"")=0,"",IF(AR49="68",5102,IFERROR(INDEX(Consulta!$A:$DF,MATCH('MM01'!$B49,Consulta!$C:$C,0),'MM01'!AS$2),"")))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IF(IFERROR(INDEX(Consulta!$A:$DF,MATCH('MM01'!$B49,Consulta!$C:$C,0),'MM01'!AW$2),"")=0,"",IFERROR(ROUND(INDEX(Consulta!$A:$DF,MATCH('MM01'!$B49,Consulta!$C:$C,0),'MM01'!AW$2),3),""))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IF(IFERROR(INDEX(Consulta!$A:$DF,MATCH('MM01'!$B49,Consulta!$C:$C,0),'MM01'!BA$2),"")=0,"",IFERROR(INDEX(Consulta!$A:$DF,MATCH('MM01'!$B49,Consulta!$C:$C,0),'MM01'!BA$2),""))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IF(IFERROR(INDEX(Consulta!$A:$DF,MATCH('MM01'!$B49,Consulta!$C:$C,0),'MM01'!BL$2),"")=0,"",IFERROR(INDEX(Consulta!$A:$DF,MATCH('MM01'!$B49,Consulta!$C:$C,0),'MM01'!BL$2),""))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IF(IFERROR(INDEX(Consulta!$A:$DF,MATCH('MM01'!$B49,Consulta!$C:$C,0),'MM01'!BX$2),"")=0,"",IFERROR(INDEX(Consulta!$A:$DF,MATCH('MM01'!$B49,Consulta!$C:$C,0),'MM01'!BX$2),""))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IF(IFERROR(INDEX(Consulta!$A:$DF,MATCH('MM01'!$B49,Consulta!$C:$C,0),'MM01'!CT$2),"")=0,"",IFERROR(INDEX(Consulta!$A:$DF,MATCH('MM01'!$B49,Consulta!$C:$C,0),'MM01'!CT$2),""))</f>
        <v/>
      </c>
      <c r="CU49" s="43" t="str">
        <f>IF(IFERROR(INDEX(Consulta!$A:$DF,MATCH('MM01'!$B49,Consulta!$C:$C,0),'MM01'!CU$2),"")=0,"",IFERROR(INDEX(Consulta!$A:$DF,MATCH('MM01'!$B49,Consulta!$C:$C,0),'MM01'!CU$2),""))</f>
        <v/>
      </c>
      <c r="CV49" s="43" t="str">
        <f>IF(IFERROR(INDEX(Consulta!$A:$DF,MATCH('MM01'!$B49,Consulta!$C:$C,0),'MM01'!CV$2),"")=0,"",IFERROR(INDEX(Consulta!$A:$DF,MATCH('MM01'!$B49,Consulta!$C:$C,0),'MM01'!CV$2),""))</f>
        <v/>
      </c>
      <c r="CW49" s="43" t="str">
        <f>IF(IFERROR(INDEX(Consulta!$A:$DF,MATCH('MM01'!$B49,Consulta!$C:$C,0),'MM01'!CW$2),"")=0,"",IFERROR(INDEX(Consulta!$A:$DF,MATCH('MM01'!$B49,Consulta!$C:$C,0),'MM01'!CW$2),""))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IF(IFERROR(INDEX(Consulta!$A:$DF,MATCH('MM01'!$B49,Consulta!$C:$C,0),'MM01'!DA$2),"")=0,"",IFERROR(INDEX(Consulta!$A:$DF,MATCH('MM01'!$B49,Consulta!$C:$C,0),'MM01'!DA$2),""))</f>
        <v/>
      </c>
      <c r="DB49" s="43" t="str">
        <f t="shared" si="22"/>
        <v/>
      </c>
      <c r="DC49" s="43" t="str">
        <f>IF(IFERROR(INDEX(Consulta!$A:$DF,MATCH('MM01'!$B49,Consulta!$C:$C,0),'MM01'!DC$2),"")=0,"",IFERROR(INDEX(Consulta!$A:$DF,MATCH('MM01'!$B49,Consulta!$C:$C,0),'MM01'!DC$2),""))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5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5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5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5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IF(IFERROR(INDEX(Consulta!$A:$DF,MATCH('MM01'!$B49,Consulta!$C:$C,0),'MM01'!EB$2),"")=0,"7925",IF(IFERROR(INDEX(Consulta!$A:$DF,MATCH('MM01'!$B49,Consulta!$C:$C,0),'MM01'!EB$2),"")="68","7910","7925"))</f>
        <v>7925</v>
      </c>
      <c r="EC49" s="44">
        <v>100</v>
      </c>
      <c r="ED49" s="60">
        <v>1</v>
      </c>
      <c r="EE49" s="43">
        <f t="shared" si="38"/>
        <v>100</v>
      </c>
      <c r="EF49" s="44">
        <v>1</v>
      </c>
      <c r="EG49" s="44">
        <v>0</v>
      </c>
      <c r="EH49" s="44" t="s">
        <v>867</v>
      </c>
      <c r="EI49" s="45">
        <v>0</v>
      </c>
      <c r="EJ49" s="43">
        <f t="shared" si="39"/>
        <v>5000</v>
      </c>
      <c r="EK49" s="65"/>
    </row>
    <row r="50" spans="1:141" x14ac:dyDescent="0.3">
      <c r="A50" s="7" t="str">
        <f t="shared" si="0"/>
        <v>Execução 46</v>
      </c>
      <c r="B50" s="42"/>
      <c r="C50" s="43" t="str">
        <f>IF(IFERROR(INDEX(Consulta!$A:$DF,MATCH('MM01'!$B50,Consulta!$C:$C,0),'MM01'!C$2),"")=0,"",IFERROR(INDEX(Consulta!$A:$DF,MATCH('MM01'!$B50,Consulta!$C:$C,0),'MM01'!C$2),""))</f>
        <v/>
      </c>
      <c r="D50" s="43" t="str">
        <f>IF(IFERROR(INDEX(Consulta!$A:$DF,MATCH('MM01'!$B50,Consulta!$C:$C,0),'MM01'!D$2),"")=0,"",IFERROR(INDEX(Consulta!$A:$DF,MATCH('MM01'!$B50,Consulta!$C:$C,0),'MM01'!D$2),""))</f>
        <v/>
      </c>
      <c r="E50" s="43" t="str">
        <f>IF(IFERROR(INDEX(Consulta!$A:$DF,MATCH('MM01'!$B50,Consulta!$C:$C,0),'MM01'!E$2),"")=0,"",IFERROR(INDEX(Consulta!$A:$DF,MATCH('MM01'!$B50,Consulta!$C:$C,0),'MM01'!E$2),""))</f>
        <v/>
      </c>
      <c r="F50" s="44" t="s">
        <v>100</v>
      </c>
      <c r="G50" s="49" t="str">
        <f>IF(IFERROR(INDEX(Consulta!$A:$DF,MATCH('MM01'!$B50,Consulta!$C:$C,0),'MM01'!G$2),"")=0,"",IFERROR(INDEX(Consulta!$A:$DF,MATCH('MM01'!$B50,Consulta!$C:$C,0),'MM01'!G$2),""))</f>
        <v/>
      </c>
      <c r="H50" s="49" t="str">
        <f>IF(IFERROR(INDEX(Consulta!$A:$DF,MATCH('MM01'!$B50,Consulta!$C:$C,0),'MM01'!H$2),"")=0,"",IFERROR(INDEX(Consulta!$A:$DF,MATCH('MM01'!$B50,Consulta!$C:$C,0),'MM01'!H$2),""))</f>
        <v/>
      </c>
      <c r="I50" s="49" t="str">
        <f t="shared" si="1"/>
        <v/>
      </c>
      <c r="J50" s="49" t="str">
        <f>IF(IFERROR(INDEX(Consulta!$A:$DF,MATCH('MM01'!$B50,Consulta!$C:$C,0),'MM01'!J$2),"")=0,"",IFERROR(INDEX(Consulta!$A:$DF,MATCH('MM01'!$B50,Consulta!$C:$C,0),'MM01'!J$2),""))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IF(IFERROR(INDEX(Consulta!$A:$DF,MATCH('MM01'!$B50,Consulta!$C:$C,0),'MM01'!AP$2),"")=0,"",IFERROR(INDEX(Consulta!$A:$DF,MATCH('MM01'!$B50,Consulta!$C:$C,0),'MM01'!AP$2),""))</f>
        <v/>
      </c>
      <c r="AQ50" s="45"/>
      <c r="AR50" s="43" t="str">
        <f>IF(IFERROR(INDEX(Consulta!$A:$DF,MATCH('MM01'!$B50,Consulta!$C:$C,0),'MM01'!AR$2),"")=0,"",IFERROR(INDEX(Consulta!$A:$DF,MATCH('MM01'!$B50,Consulta!$C:$C,0),'MM01'!AR$2),""))</f>
        <v/>
      </c>
      <c r="AS50" s="43" t="str">
        <f>IF(IFERROR(INDEX(Consulta!$A:$DF,MATCH('MM01'!$B50,Consulta!$C:$C,0),'MM01'!AS$2),"")=0,"",IF(AR50="68",5102,IFERROR(INDEX(Consulta!$A:$DF,MATCH('MM01'!$B50,Consulta!$C:$C,0),'MM01'!AS$2),"")))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IF(IFERROR(INDEX(Consulta!$A:$DF,MATCH('MM01'!$B50,Consulta!$C:$C,0),'MM01'!AW$2),"")=0,"",IFERROR(ROUND(INDEX(Consulta!$A:$DF,MATCH('MM01'!$B50,Consulta!$C:$C,0),'MM01'!AW$2),3),""))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IF(IFERROR(INDEX(Consulta!$A:$DF,MATCH('MM01'!$B50,Consulta!$C:$C,0),'MM01'!BA$2),"")=0,"",IFERROR(INDEX(Consulta!$A:$DF,MATCH('MM01'!$B50,Consulta!$C:$C,0),'MM01'!BA$2),""))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IF(IFERROR(INDEX(Consulta!$A:$DF,MATCH('MM01'!$B50,Consulta!$C:$C,0),'MM01'!BL$2),"")=0,"",IFERROR(INDEX(Consulta!$A:$DF,MATCH('MM01'!$B50,Consulta!$C:$C,0),'MM01'!BL$2),""))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IF(IFERROR(INDEX(Consulta!$A:$DF,MATCH('MM01'!$B50,Consulta!$C:$C,0),'MM01'!BX$2),"")=0,"",IFERROR(INDEX(Consulta!$A:$DF,MATCH('MM01'!$B50,Consulta!$C:$C,0),'MM01'!BX$2),""))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IF(IFERROR(INDEX(Consulta!$A:$DF,MATCH('MM01'!$B50,Consulta!$C:$C,0),'MM01'!CT$2),"")=0,"",IFERROR(INDEX(Consulta!$A:$DF,MATCH('MM01'!$B50,Consulta!$C:$C,0),'MM01'!CT$2),""))</f>
        <v/>
      </c>
      <c r="CU50" s="43" t="str">
        <f>IF(IFERROR(INDEX(Consulta!$A:$DF,MATCH('MM01'!$B50,Consulta!$C:$C,0),'MM01'!CU$2),"")=0,"",IFERROR(INDEX(Consulta!$A:$DF,MATCH('MM01'!$B50,Consulta!$C:$C,0),'MM01'!CU$2),""))</f>
        <v/>
      </c>
      <c r="CV50" s="43" t="str">
        <f>IF(IFERROR(INDEX(Consulta!$A:$DF,MATCH('MM01'!$B50,Consulta!$C:$C,0),'MM01'!CV$2),"")=0,"",IFERROR(INDEX(Consulta!$A:$DF,MATCH('MM01'!$B50,Consulta!$C:$C,0),'MM01'!CV$2),""))</f>
        <v/>
      </c>
      <c r="CW50" s="43" t="str">
        <f>IF(IFERROR(INDEX(Consulta!$A:$DF,MATCH('MM01'!$B50,Consulta!$C:$C,0),'MM01'!CW$2),"")=0,"",IFERROR(INDEX(Consulta!$A:$DF,MATCH('MM01'!$B50,Consulta!$C:$C,0),'MM01'!CW$2),""))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IF(IFERROR(INDEX(Consulta!$A:$DF,MATCH('MM01'!$B50,Consulta!$C:$C,0),'MM01'!DA$2),"")=0,"",IFERROR(INDEX(Consulta!$A:$DF,MATCH('MM01'!$B50,Consulta!$C:$C,0),'MM01'!DA$2),""))</f>
        <v/>
      </c>
      <c r="DB50" s="43" t="str">
        <f t="shared" si="22"/>
        <v/>
      </c>
      <c r="DC50" s="43" t="str">
        <f>IF(IFERROR(INDEX(Consulta!$A:$DF,MATCH('MM01'!$B50,Consulta!$C:$C,0),'MM01'!DC$2),"")=0,"",IFERROR(INDEX(Consulta!$A:$DF,MATCH('MM01'!$B50,Consulta!$C:$C,0),'MM01'!DC$2),""))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5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5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5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5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IF(IFERROR(INDEX(Consulta!$A:$DF,MATCH('MM01'!$B50,Consulta!$C:$C,0),'MM01'!EB$2),"")=0,"7925",IF(IFERROR(INDEX(Consulta!$A:$DF,MATCH('MM01'!$B50,Consulta!$C:$C,0),'MM01'!EB$2),"")="68","7910","7925"))</f>
        <v>7925</v>
      </c>
      <c r="EC50" s="44">
        <v>100</v>
      </c>
      <c r="ED50" s="60">
        <v>1</v>
      </c>
      <c r="EE50" s="43">
        <f t="shared" si="38"/>
        <v>100</v>
      </c>
      <c r="EF50" s="44">
        <v>1</v>
      </c>
      <c r="EG50" s="44">
        <v>0</v>
      </c>
      <c r="EH50" s="44" t="s">
        <v>867</v>
      </c>
      <c r="EI50" s="45">
        <v>0</v>
      </c>
      <c r="EJ50" s="43">
        <f t="shared" si="39"/>
        <v>5000</v>
      </c>
      <c r="EK50" s="65"/>
    </row>
    <row r="51" spans="1:141" x14ac:dyDescent="0.3">
      <c r="A51" s="7" t="str">
        <f t="shared" si="0"/>
        <v>Execução 47</v>
      </c>
      <c r="B51" s="42"/>
      <c r="C51" s="43" t="str">
        <f>IF(IFERROR(INDEX(Consulta!$A:$DF,MATCH('MM01'!$B51,Consulta!$C:$C,0),'MM01'!C$2),"")=0,"",IFERROR(INDEX(Consulta!$A:$DF,MATCH('MM01'!$B51,Consulta!$C:$C,0),'MM01'!C$2),""))</f>
        <v/>
      </c>
      <c r="D51" s="43" t="str">
        <f>IF(IFERROR(INDEX(Consulta!$A:$DF,MATCH('MM01'!$B51,Consulta!$C:$C,0),'MM01'!D$2),"")=0,"",IFERROR(INDEX(Consulta!$A:$DF,MATCH('MM01'!$B51,Consulta!$C:$C,0),'MM01'!D$2),""))</f>
        <v/>
      </c>
      <c r="E51" s="43" t="str">
        <f>IF(IFERROR(INDEX(Consulta!$A:$DF,MATCH('MM01'!$B51,Consulta!$C:$C,0),'MM01'!E$2),"")=0,"",IFERROR(INDEX(Consulta!$A:$DF,MATCH('MM01'!$B51,Consulta!$C:$C,0),'MM01'!E$2),""))</f>
        <v/>
      </c>
      <c r="F51" s="44" t="s">
        <v>100</v>
      </c>
      <c r="G51" s="49" t="str">
        <f>IF(IFERROR(INDEX(Consulta!$A:$DF,MATCH('MM01'!$B51,Consulta!$C:$C,0),'MM01'!G$2),"")=0,"",IFERROR(INDEX(Consulta!$A:$DF,MATCH('MM01'!$B51,Consulta!$C:$C,0),'MM01'!G$2),""))</f>
        <v/>
      </c>
      <c r="H51" s="49" t="str">
        <f>IF(IFERROR(INDEX(Consulta!$A:$DF,MATCH('MM01'!$B51,Consulta!$C:$C,0),'MM01'!H$2),"")=0,"",IFERROR(INDEX(Consulta!$A:$DF,MATCH('MM01'!$B51,Consulta!$C:$C,0),'MM01'!H$2),""))</f>
        <v/>
      </c>
      <c r="I51" s="49" t="str">
        <f t="shared" si="1"/>
        <v/>
      </c>
      <c r="J51" s="49" t="str">
        <f>IF(IFERROR(INDEX(Consulta!$A:$DF,MATCH('MM01'!$B51,Consulta!$C:$C,0),'MM01'!J$2),"")=0,"",IFERROR(INDEX(Consulta!$A:$DF,MATCH('MM01'!$B51,Consulta!$C:$C,0),'MM01'!J$2),""))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IF(IFERROR(INDEX(Consulta!$A:$DF,MATCH('MM01'!$B51,Consulta!$C:$C,0),'MM01'!AP$2),"")=0,"",IFERROR(INDEX(Consulta!$A:$DF,MATCH('MM01'!$B51,Consulta!$C:$C,0),'MM01'!AP$2),""))</f>
        <v/>
      </c>
      <c r="AQ51" s="45"/>
      <c r="AR51" s="43" t="str">
        <f>IF(IFERROR(INDEX(Consulta!$A:$DF,MATCH('MM01'!$B51,Consulta!$C:$C,0),'MM01'!AR$2),"")=0,"",IFERROR(INDEX(Consulta!$A:$DF,MATCH('MM01'!$B51,Consulta!$C:$C,0),'MM01'!AR$2),""))</f>
        <v/>
      </c>
      <c r="AS51" s="43" t="str">
        <f>IF(IFERROR(INDEX(Consulta!$A:$DF,MATCH('MM01'!$B51,Consulta!$C:$C,0),'MM01'!AS$2),"")=0,"",IF(AR51="68",5102,IFERROR(INDEX(Consulta!$A:$DF,MATCH('MM01'!$B51,Consulta!$C:$C,0),'MM01'!AS$2),"")))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IF(IFERROR(INDEX(Consulta!$A:$DF,MATCH('MM01'!$B51,Consulta!$C:$C,0),'MM01'!AW$2),"")=0,"",IFERROR(ROUND(INDEX(Consulta!$A:$DF,MATCH('MM01'!$B51,Consulta!$C:$C,0),'MM01'!AW$2),3),""))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IF(IFERROR(INDEX(Consulta!$A:$DF,MATCH('MM01'!$B51,Consulta!$C:$C,0),'MM01'!BA$2),"")=0,"",IFERROR(INDEX(Consulta!$A:$DF,MATCH('MM01'!$B51,Consulta!$C:$C,0),'MM01'!BA$2),""))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IF(IFERROR(INDEX(Consulta!$A:$DF,MATCH('MM01'!$B51,Consulta!$C:$C,0),'MM01'!BL$2),"")=0,"",IFERROR(INDEX(Consulta!$A:$DF,MATCH('MM01'!$B51,Consulta!$C:$C,0),'MM01'!BL$2),""))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IF(IFERROR(INDEX(Consulta!$A:$DF,MATCH('MM01'!$B51,Consulta!$C:$C,0),'MM01'!BX$2),"")=0,"",IFERROR(INDEX(Consulta!$A:$DF,MATCH('MM01'!$B51,Consulta!$C:$C,0),'MM01'!BX$2),""))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IF(IFERROR(INDEX(Consulta!$A:$DF,MATCH('MM01'!$B51,Consulta!$C:$C,0),'MM01'!CT$2),"")=0,"",IFERROR(INDEX(Consulta!$A:$DF,MATCH('MM01'!$B51,Consulta!$C:$C,0),'MM01'!CT$2),""))</f>
        <v/>
      </c>
      <c r="CU51" s="43" t="str">
        <f>IF(IFERROR(INDEX(Consulta!$A:$DF,MATCH('MM01'!$B51,Consulta!$C:$C,0),'MM01'!CU$2),"")=0,"",IFERROR(INDEX(Consulta!$A:$DF,MATCH('MM01'!$B51,Consulta!$C:$C,0),'MM01'!CU$2),""))</f>
        <v/>
      </c>
      <c r="CV51" s="43" t="str">
        <f>IF(IFERROR(INDEX(Consulta!$A:$DF,MATCH('MM01'!$B51,Consulta!$C:$C,0),'MM01'!CV$2),"")=0,"",IFERROR(INDEX(Consulta!$A:$DF,MATCH('MM01'!$B51,Consulta!$C:$C,0),'MM01'!CV$2),""))</f>
        <v/>
      </c>
      <c r="CW51" s="43" t="str">
        <f>IF(IFERROR(INDEX(Consulta!$A:$DF,MATCH('MM01'!$B51,Consulta!$C:$C,0),'MM01'!CW$2),"")=0,"",IFERROR(INDEX(Consulta!$A:$DF,MATCH('MM01'!$B51,Consulta!$C:$C,0),'MM01'!CW$2),""))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IF(IFERROR(INDEX(Consulta!$A:$DF,MATCH('MM01'!$B51,Consulta!$C:$C,0),'MM01'!DA$2),"")=0,"",IFERROR(INDEX(Consulta!$A:$DF,MATCH('MM01'!$B51,Consulta!$C:$C,0),'MM01'!DA$2),""))</f>
        <v/>
      </c>
      <c r="DB51" s="43" t="str">
        <f t="shared" si="22"/>
        <v/>
      </c>
      <c r="DC51" s="43" t="str">
        <f>IF(IFERROR(INDEX(Consulta!$A:$DF,MATCH('MM01'!$B51,Consulta!$C:$C,0),'MM01'!DC$2),"")=0,"",IFERROR(INDEX(Consulta!$A:$DF,MATCH('MM01'!$B51,Consulta!$C:$C,0),'MM01'!DC$2),""))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5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5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5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5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IF(IFERROR(INDEX(Consulta!$A:$DF,MATCH('MM01'!$B51,Consulta!$C:$C,0),'MM01'!EB$2),"")=0,"7925",IF(IFERROR(INDEX(Consulta!$A:$DF,MATCH('MM01'!$B51,Consulta!$C:$C,0),'MM01'!EB$2),"")="68","7910","7925"))</f>
        <v>7925</v>
      </c>
      <c r="EC51" s="44">
        <v>100</v>
      </c>
      <c r="ED51" s="60">
        <v>1</v>
      </c>
      <c r="EE51" s="43">
        <f t="shared" si="38"/>
        <v>100</v>
      </c>
      <c r="EF51" s="44">
        <v>1</v>
      </c>
      <c r="EG51" s="44">
        <v>0</v>
      </c>
      <c r="EH51" s="44" t="s">
        <v>867</v>
      </c>
      <c r="EI51" s="45">
        <v>0</v>
      </c>
      <c r="EJ51" s="43">
        <f t="shared" si="39"/>
        <v>5000</v>
      </c>
      <c r="EK51" s="65"/>
    </row>
    <row r="52" spans="1:141" x14ac:dyDescent="0.3">
      <c r="A52" s="7" t="str">
        <f t="shared" si="0"/>
        <v>Execução 48</v>
      </c>
      <c r="B52" s="42"/>
      <c r="C52" s="43" t="str">
        <f>IF(IFERROR(INDEX(Consulta!$A:$DF,MATCH('MM01'!$B52,Consulta!$C:$C,0),'MM01'!C$2),"")=0,"",IFERROR(INDEX(Consulta!$A:$DF,MATCH('MM01'!$B52,Consulta!$C:$C,0),'MM01'!C$2),""))</f>
        <v/>
      </c>
      <c r="D52" s="43" t="str">
        <f>IF(IFERROR(INDEX(Consulta!$A:$DF,MATCH('MM01'!$B52,Consulta!$C:$C,0),'MM01'!D$2),"")=0,"",IFERROR(INDEX(Consulta!$A:$DF,MATCH('MM01'!$B52,Consulta!$C:$C,0),'MM01'!D$2),""))</f>
        <v/>
      </c>
      <c r="E52" s="43" t="str">
        <f>IF(IFERROR(INDEX(Consulta!$A:$DF,MATCH('MM01'!$B52,Consulta!$C:$C,0),'MM01'!E$2),"")=0,"",IFERROR(INDEX(Consulta!$A:$DF,MATCH('MM01'!$B52,Consulta!$C:$C,0),'MM01'!E$2),""))</f>
        <v/>
      </c>
      <c r="F52" s="44" t="s">
        <v>100</v>
      </c>
      <c r="G52" s="49" t="str">
        <f>IF(IFERROR(INDEX(Consulta!$A:$DF,MATCH('MM01'!$B52,Consulta!$C:$C,0),'MM01'!G$2),"")=0,"",IFERROR(INDEX(Consulta!$A:$DF,MATCH('MM01'!$B52,Consulta!$C:$C,0),'MM01'!G$2),""))</f>
        <v/>
      </c>
      <c r="H52" s="49" t="str">
        <f>IF(IFERROR(INDEX(Consulta!$A:$DF,MATCH('MM01'!$B52,Consulta!$C:$C,0),'MM01'!H$2),"")=0,"",IFERROR(INDEX(Consulta!$A:$DF,MATCH('MM01'!$B52,Consulta!$C:$C,0),'MM01'!H$2),""))</f>
        <v/>
      </c>
      <c r="I52" s="49" t="str">
        <f t="shared" si="1"/>
        <v/>
      </c>
      <c r="J52" s="49" t="str">
        <f>IF(IFERROR(INDEX(Consulta!$A:$DF,MATCH('MM01'!$B52,Consulta!$C:$C,0),'MM01'!J$2),"")=0,"",IFERROR(INDEX(Consulta!$A:$DF,MATCH('MM01'!$B52,Consulta!$C:$C,0),'MM01'!J$2),""))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IF(IFERROR(INDEX(Consulta!$A:$DF,MATCH('MM01'!$B52,Consulta!$C:$C,0),'MM01'!AP$2),"")=0,"",IFERROR(INDEX(Consulta!$A:$DF,MATCH('MM01'!$B52,Consulta!$C:$C,0),'MM01'!AP$2),""))</f>
        <v/>
      </c>
      <c r="AQ52" s="45"/>
      <c r="AR52" s="43" t="str">
        <f>IF(IFERROR(INDEX(Consulta!$A:$DF,MATCH('MM01'!$B52,Consulta!$C:$C,0),'MM01'!AR$2),"")=0,"",IFERROR(INDEX(Consulta!$A:$DF,MATCH('MM01'!$B52,Consulta!$C:$C,0),'MM01'!AR$2),""))</f>
        <v/>
      </c>
      <c r="AS52" s="43" t="str">
        <f>IF(IFERROR(INDEX(Consulta!$A:$DF,MATCH('MM01'!$B52,Consulta!$C:$C,0),'MM01'!AS$2),"")=0,"",IF(AR52="68",5102,IFERROR(INDEX(Consulta!$A:$DF,MATCH('MM01'!$B52,Consulta!$C:$C,0),'MM01'!AS$2),"")))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IF(IFERROR(INDEX(Consulta!$A:$DF,MATCH('MM01'!$B52,Consulta!$C:$C,0),'MM01'!AW$2),"")=0,"",IFERROR(ROUND(INDEX(Consulta!$A:$DF,MATCH('MM01'!$B52,Consulta!$C:$C,0),'MM01'!AW$2),3),""))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IF(IFERROR(INDEX(Consulta!$A:$DF,MATCH('MM01'!$B52,Consulta!$C:$C,0),'MM01'!BA$2),"")=0,"",IFERROR(INDEX(Consulta!$A:$DF,MATCH('MM01'!$B52,Consulta!$C:$C,0),'MM01'!BA$2),""))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IF(IFERROR(INDEX(Consulta!$A:$DF,MATCH('MM01'!$B52,Consulta!$C:$C,0),'MM01'!BL$2),"")=0,"",IFERROR(INDEX(Consulta!$A:$DF,MATCH('MM01'!$B52,Consulta!$C:$C,0),'MM01'!BL$2),""))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IF(IFERROR(INDEX(Consulta!$A:$DF,MATCH('MM01'!$B52,Consulta!$C:$C,0),'MM01'!BX$2),"")=0,"",IFERROR(INDEX(Consulta!$A:$DF,MATCH('MM01'!$B52,Consulta!$C:$C,0),'MM01'!BX$2),""))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IF(IFERROR(INDEX(Consulta!$A:$DF,MATCH('MM01'!$B52,Consulta!$C:$C,0),'MM01'!CT$2),"")=0,"",IFERROR(INDEX(Consulta!$A:$DF,MATCH('MM01'!$B52,Consulta!$C:$C,0),'MM01'!CT$2),""))</f>
        <v/>
      </c>
      <c r="CU52" s="43" t="str">
        <f>IF(IFERROR(INDEX(Consulta!$A:$DF,MATCH('MM01'!$B52,Consulta!$C:$C,0),'MM01'!CU$2),"")=0,"",IFERROR(INDEX(Consulta!$A:$DF,MATCH('MM01'!$B52,Consulta!$C:$C,0),'MM01'!CU$2),""))</f>
        <v/>
      </c>
      <c r="CV52" s="43" t="str">
        <f>IF(IFERROR(INDEX(Consulta!$A:$DF,MATCH('MM01'!$B52,Consulta!$C:$C,0),'MM01'!CV$2),"")=0,"",IFERROR(INDEX(Consulta!$A:$DF,MATCH('MM01'!$B52,Consulta!$C:$C,0),'MM01'!CV$2),""))</f>
        <v/>
      </c>
      <c r="CW52" s="43" t="str">
        <f>IF(IFERROR(INDEX(Consulta!$A:$DF,MATCH('MM01'!$B52,Consulta!$C:$C,0),'MM01'!CW$2),"")=0,"",IFERROR(INDEX(Consulta!$A:$DF,MATCH('MM01'!$B52,Consulta!$C:$C,0),'MM01'!CW$2),""))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IF(IFERROR(INDEX(Consulta!$A:$DF,MATCH('MM01'!$B52,Consulta!$C:$C,0),'MM01'!DA$2),"")=0,"",IFERROR(INDEX(Consulta!$A:$DF,MATCH('MM01'!$B52,Consulta!$C:$C,0),'MM01'!DA$2),""))</f>
        <v/>
      </c>
      <c r="DB52" s="43" t="str">
        <f t="shared" si="22"/>
        <v/>
      </c>
      <c r="DC52" s="43" t="str">
        <f>IF(IFERROR(INDEX(Consulta!$A:$DF,MATCH('MM01'!$B52,Consulta!$C:$C,0),'MM01'!DC$2),"")=0,"",IFERROR(INDEX(Consulta!$A:$DF,MATCH('MM01'!$B52,Consulta!$C:$C,0),'MM01'!DC$2),""))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5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5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5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5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IF(IFERROR(INDEX(Consulta!$A:$DF,MATCH('MM01'!$B52,Consulta!$C:$C,0),'MM01'!EB$2),"")=0,"7925",IF(IFERROR(INDEX(Consulta!$A:$DF,MATCH('MM01'!$B52,Consulta!$C:$C,0),'MM01'!EB$2),"")="68","7910","7925"))</f>
        <v>7925</v>
      </c>
      <c r="EC52" s="44">
        <v>100</v>
      </c>
      <c r="ED52" s="60">
        <v>1</v>
      </c>
      <c r="EE52" s="43">
        <f t="shared" si="38"/>
        <v>100</v>
      </c>
      <c r="EF52" s="44">
        <v>1</v>
      </c>
      <c r="EG52" s="44">
        <v>0</v>
      </c>
      <c r="EH52" s="44" t="s">
        <v>867</v>
      </c>
      <c r="EI52" s="45">
        <v>0</v>
      </c>
      <c r="EJ52" s="43">
        <f t="shared" si="39"/>
        <v>5000</v>
      </c>
      <c r="EK52" s="65"/>
    </row>
    <row r="53" spans="1:141" x14ac:dyDescent="0.3">
      <c r="A53" s="7" t="str">
        <f t="shared" si="0"/>
        <v>Execução 49</v>
      </c>
      <c r="B53" s="42"/>
      <c r="C53" s="43" t="str">
        <f>IF(IFERROR(INDEX(Consulta!$A:$DF,MATCH('MM01'!$B53,Consulta!$C:$C,0),'MM01'!C$2),"")=0,"",IFERROR(INDEX(Consulta!$A:$DF,MATCH('MM01'!$B53,Consulta!$C:$C,0),'MM01'!C$2),""))</f>
        <v/>
      </c>
      <c r="D53" s="43" t="str">
        <f>IF(IFERROR(INDEX(Consulta!$A:$DF,MATCH('MM01'!$B53,Consulta!$C:$C,0),'MM01'!D$2),"")=0,"",IFERROR(INDEX(Consulta!$A:$DF,MATCH('MM01'!$B53,Consulta!$C:$C,0),'MM01'!D$2),""))</f>
        <v/>
      </c>
      <c r="E53" s="43" t="str">
        <f>IF(IFERROR(INDEX(Consulta!$A:$DF,MATCH('MM01'!$B53,Consulta!$C:$C,0),'MM01'!E$2),"")=0,"",IFERROR(INDEX(Consulta!$A:$DF,MATCH('MM01'!$B53,Consulta!$C:$C,0),'MM01'!E$2),""))</f>
        <v/>
      </c>
      <c r="F53" s="44" t="s">
        <v>100</v>
      </c>
      <c r="G53" s="49" t="str">
        <f>IF(IFERROR(INDEX(Consulta!$A:$DF,MATCH('MM01'!$B53,Consulta!$C:$C,0),'MM01'!G$2),"")=0,"",IFERROR(INDEX(Consulta!$A:$DF,MATCH('MM01'!$B53,Consulta!$C:$C,0),'MM01'!G$2),""))</f>
        <v/>
      </c>
      <c r="H53" s="49" t="str">
        <f>IF(IFERROR(INDEX(Consulta!$A:$DF,MATCH('MM01'!$B53,Consulta!$C:$C,0),'MM01'!H$2),"")=0,"",IFERROR(INDEX(Consulta!$A:$DF,MATCH('MM01'!$B53,Consulta!$C:$C,0),'MM01'!H$2),""))</f>
        <v/>
      </c>
      <c r="I53" s="49" t="str">
        <f t="shared" si="1"/>
        <v/>
      </c>
      <c r="J53" s="49" t="str">
        <f>IF(IFERROR(INDEX(Consulta!$A:$DF,MATCH('MM01'!$B53,Consulta!$C:$C,0),'MM01'!J$2),"")=0,"",IFERROR(INDEX(Consulta!$A:$DF,MATCH('MM01'!$B53,Consulta!$C:$C,0),'MM01'!J$2),""))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IF(IFERROR(INDEX(Consulta!$A:$DF,MATCH('MM01'!$B53,Consulta!$C:$C,0),'MM01'!AP$2),"")=0,"",IFERROR(INDEX(Consulta!$A:$DF,MATCH('MM01'!$B53,Consulta!$C:$C,0),'MM01'!AP$2),""))</f>
        <v/>
      </c>
      <c r="AQ53" s="45"/>
      <c r="AR53" s="43" t="str">
        <f>IF(IFERROR(INDEX(Consulta!$A:$DF,MATCH('MM01'!$B53,Consulta!$C:$C,0),'MM01'!AR$2),"")=0,"",IFERROR(INDEX(Consulta!$A:$DF,MATCH('MM01'!$B53,Consulta!$C:$C,0),'MM01'!AR$2),""))</f>
        <v/>
      </c>
      <c r="AS53" s="43" t="str">
        <f>IF(IFERROR(INDEX(Consulta!$A:$DF,MATCH('MM01'!$B53,Consulta!$C:$C,0),'MM01'!AS$2),"")=0,"",IF(AR53="68",5102,IFERROR(INDEX(Consulta!$A:$DF,MATCH('MM01'!$B53,Consulta!$C:$C,0),'MM01'!AS$2),"")))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IF(IFERROR(INDEX(Consulta!$A:$DF,MATCH('MM01'!$B53,Consulta!$C:$C,0),'MM01'!AW$2),"")=0,"",IFERROR(ROUND(INDEX(Consulta!$A:$DF,MATCH('MM01'!$B53,Consulta!$C:$C,0),'MM01'!AW$2),3),""))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IF(IFERROR(INDEX(Consulta!$A:$DF,MATCH('MM01'!$B53,Consulta!$C:$C,0),'MM01'!BA$2),"")=0,"",IFERROR(INDEX(Consulta!$A:$DF,MATCH('MM01'!$B53,Consulta!$C:$C,0),'MM01'!BA$2),""))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IF(IFERROR(INDEX(Consulta!$A:$DF,MATCH('MM01'!$B53,Consulta!$C:$C,0),'MM01'!BL$2),"")=0,"",IFERROR(INDEX(Consulta!$A:$DF,MATCH('MM01'!$B53,Consulta!$C:$C,0),'MM01'!BL$2),""))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IF(IFERROR(INDEX(Consulta!$A:$DF,MATCH('MM01'!$B53,Consulta!$C:$C,0),'MM01'!BX$2),"")=0,"",IFERROR(INDEX(Consulta!$A:$DF,MATCH('MM01'!$B53,Consulta!$C:$C,0),'MM01'!BX$2),""))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IF(IFERROR(INDEX(Consulta!$A:$DF,MATCH('MM01'!$B53,Consulta!$C:$C,0),'MM01'!CT$2),"")=0,"",IFERROR(INDEX(Consulta!$A:$DF,MATCH('MM01'!$B53,Consulta!$C:$C,0),'MM01'!CT$2),""))</f>
        <v/>
      </c>
      <c r="CU53" s="43" t="str">
        <f>IF(IFERROR(INDEX(Consulta!$A:$DF,MATCH('MM01'!$B53,Consulta!$C:$C,0),'MM01'!CU$2),"")=0,"",IFERROR(INDEX(Consulta!$A:$DF,MATCH('MM01'!$B53,Consulta!$C:$C,0),'MM01'!CU$2),""))</f>
        <v/>
      </c>
      <c r="CV53" s="43" t="str">
        <f>IF(IFERROR(INDEX(Consulta!$A:$DF,MATCH('MM01'!$B53,Consulta!$C:$C,0),'MM01'!CV$2),"")=0,"",IFERROR(INDEX(Consulta!$A:$DF,MATCH('MM01'!$B53,Consulta!$C:$C,0),'MM01'!CV$2),""))</f>
        <v/>
      </c>
      <c r="CW53" s="43" t="str">
        <f>IF(IFERROR(INDEX(Consulta!$A:$DF,MATCH('MM01'!$B53,Consulta!$C:$C,0),'MM01'!CW$2),"")=0,"",IFERROR(INDEX(Consulta!$A:$DF,MATCH('MM01'!$B53,Consulta!$C:$C,0),'MM01'!CW$2),""))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IF(IFERROR(INDEX(Consulta!$A:$DF,MATCH('MM01'!$B53,Consulta!$C:$C,0),'MM01'!DA$2),"")=0,"",IFERROR(INDEX(Consulta!$A:$DF,MATCH('MM01'!$B53,Consulta!$C:$C,0),'MM01'!DA$2),""))</f>
        <v/>
      </c>
      <c r="DB53" s="43" t="str">
        <f t="shared" si="22"/>
        <v/>
      </c>
      <c r="DC53" s="43" t="str">
        <f>IF(IFERROR(INDEX(Consulta!$A:$DF,MATCH('MM01'!$B53,Consulta!$C:$C,0),'MM01'!DC$2),"")=0,"",IFERROR(INDEX(Consulta!$A:$DF,MATCH('MM01'!$B53,Consulta!$C:$C,0),'MM01'!DC$2),""))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5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5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5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5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IF(IFERROR(INDEX(Consulta!$A:$DF,MATCH('MM01'!$B53,Consulta!$C:$C,0),'MM01'!EB$2),"")=0,"7925",IF(IFERROR(INDEX(Consulta!$A:$DF,MATCH('MM01'!$B53,Consulta!$C:$C,0),'MM01'!EB$2),"")="68","7910","7925"))</f>
        <v>7925</v>
      </c>
      <c r="EC53" s="44">
        <v>100</v>
      </c>
      <c r="ED53" s="60">
        <v>1</v>
      </c>
      <c r="EE53" s="43">
        <f t="shared" si="38"/>
        <v>100</v>
      </c>
      <c r="EF53" s="44">
        <v>1</v>
      </c>
      <c r="EG53" s="44">
        <v>0</v>
      </c>
      <c r="EH53" s="44" t="s">
        <v>867</v>
      </c>
      <c r="EI53" s="45">
        <v>0</v>
      </c>
      <c r="EJ53" s="43">
        <f t="shared" si="39"/>
        <v>5000</v>
      </c>
      <c r="EK53" s="65"/>
    </row>
    <row r="54" spans="1:141" x14ac:dyDescent="0.3">
      <c r="A54" s="7" t="str">
        <f t="shared" si="0"/>
        <v>Execução 50</v>
      </c>
      <c r="B54" s="42"/>
      <c r="C54" s="43" t="str">
        <f>IF(IFERROR(INDEX(Consulta!$A:$DF,MATCH('MM01'!$B54,Consulta!$C:$C,0),'MM01'!C$2),"")=0,"",IFERROR(INDEX(Consulta!$A:$DF,MATCH('MM01'!$B54,Consulta!$C:$C,0),'MM01'!C$2),""))</f>
        <v/>
      </c>
      <c r="D54" s="43" t="str">
        <f>IF(IFERROR(INDEX(Consulta!$A:$DF,MATCH('MM01'!$B54,Consulta!$C:$C,0),'MM01'!D$2),"")=0,"",IFERROR(INDEX(Consulta!$A:$DF,MATCH('MM01'!$B54,Consulta!$C:$C,0),'MM01'!D$2),""))</f>
        <v/>
      </c>
      <c r="E54" s="43" t="str">
        <f>IF(IFERROR(INDEX(Consulta!$A:$DF,MATCH('MM01'!$B54,Consulta!$C:$C,0),'MM01'!E$2),"")=0,"",IFERROR(INDEX(Consulta!$A:$DF,MATCH('MM01'!$B54,Consulta!$C:$C,0),'MM01'!E$2),""))</f>
        <v/>
      </c>
      <c r="F54" s="44" t="s">
        <v>100</v>
      </c>
      <c r="G54" s="49" t="str">
        <f>IF(IFERROR(INDEX(Consulta!$A:$DF,MATCH('MM01'!$B54,Consulta!$C:$C,0),'MM01'!G$2),"")=0,"",IFERROR(INDEX(Consulta!$A:$DF,MATCH('MM01'!$B54,Consulta!$C:$C,0),'MM01'!G$2),""))</f>
        <v/>
      </c>
      <c r="H54" s="49" t="str">
        <f>IF(IFERROR(INDEX(Consulta!$A:$DF,MATCH('MM01'!$B54,Consulta!$C:$C,0),'MM01'!H$2),"")=0,"",IFERROR(INDEX(Consulta!$A:$DF,MATCH('MM01'!$B54,Consulta!$C:$C,0),'MM01'!H$2),""))</f>
        <v/>
      </c>
      <c r="I54" s="49" t="str">
        <f t="shared" si="1"/>
        <v/>
      </c>
      <c r="J54" s="49" t="str">
        <f>IF(IFERROR(INDEX(Consulta!$A:$DF,MATCH('MM01'!$B54,Consulta!$C:$C,0),'MM01'!J$2),"")=0,"",IFERROR(INDEX(Consulta!$A:$DF,MATCH('MM01'!$B54,Consulta!$C:$C,0),'MM01'!J$2),""))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IF(IFERROR(INDEX(Consulta!$A:$DF,MATCH('MM01'!$B54,Consulta!$C:$C,0),'MM01'!AP$2),"")=0,"",IFERROR(INDEX(Consulta!$A:$DF,MATCH('MM01'!$B54,Consulta!$C:$C,0),'MM01'!AP$2),""))</f>
        <v/>
      </c>
      <c r="AQ54" s="45"/>
      <c r="AR54" s="43" t="str">
        <f>IF(IFERROR(INDEX(Consulta!$A:$DF,MATCH('MM01'!$B54,Consulta!$C:$C,0),'MM01'!AR$2),"")=0,"",IFERROR(INDEX(Consulta!$A:$DF,MATCH('MM01'!$B54,Consulta!$C:$C,0),'MM01'!AR$2),""))</f>
        <v/>
      </c>
      <c r="AS54" s="43" t="str">
        <f>IF(IFERROR(INDEX(Consulta!$A:$DF,MATCH('MM01'!$B54,Consulta!$C:$C,0),'MM01'!AS$2),"")=0,"",IF(AR54="68",5102,IFERROR(INDEX(Consulta!$A:$DF,MATCH('MM01'!$B54,Consulta!$C:$C,0),'MM01'!AS$2),"")))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IF(IFERROR(INDEX(Consulta!$A:$DF,MATCH('MM01'!$B54,Consulta!$C:$C,0),'MM01'!AW$2),"")=0,"",IFERROR(ROUND(INDEX(Consulta!$A:$DF,MATCH('MM01'!$B54,Consulta!$C:$C,0),'MM01'!AW$2),3),""))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IF(IFERROR(INDEX(Consulta!$A:$DF,MATCH('MM01'!$B54,Consulta!$C:$C,0),'MM01'!BA$2),"")=0,"",IFERROR(INDEX(Consulta!$A:$DF,MATCH('MM01'!$B54,Consulta!$C:$C,0),'MM01'!BA$2),""))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IF(IFERROR(INDEX(Consulta!$A:$DF,MATCH('MM01'!$B54,Consulta!$C:$C,0),'MM01'!BL$2),"")=0,"",IFERROR(INDEX(Consulta!$A:$DF,MATCH('MM01'!$B54,Consulta!$C:$C,0),'MM01'!BL$2),""))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IF(IFERROR(INDEX(Consulta!$A:$DF,MATCH('MM01'!$B54,Consulta!$C:$C,0),'MM01'!BX$2),"")=0,"",IFERROR(INDEX(Consulta!$A:$DF,MATCH('MM01'!$B54,Consulta!$C:$C,0),'MM01'!BX$2),""))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IF(IFERROR(INDEX(Consulta!$A:$DF,MATCH('MM01'!$B54,Consulta!$C:$C,0),'MM01'!CT$2),"")=0,"",IFERROR(INDEX(Consulta!$A:$DF,MATCH('MM01'!$B54,Consulta!$C:$C,0),'MM01'!CT$2),""))</f>
        <v/>
      </c>
      <c r="CU54" s="43" t="str">
        <f>IF(IFERROR(INDEX(Consulta!$A:$DF,MATCH('MM01'!$B54,Consulta!$C:$C,0),'MM01'!CU$2),"")=0,"",IFERROR(INDEX(Consulta!$A:$DF,MATCH('MM01'!$B54,Consulta!$C:$C,0),'MM01'!CU$2),""))</f>
        <v/>
      </c>
      <c r="CV54" s="43" t="str">
        <f>IF(IFERROR(INDEX(Consulta!$A:$DF,MATCH('MM01'!$B54,Consulta!$C:$C,0),'MM01'!CV$2),"")=0,"",IFERROR(INDEX(Consulta!$A:$DF,MATCH('MM01'!$B54,Consulta!$C:$C,0),'MM01'!CV$2),""))</f>
        <v/>
      </c>
      <c r="CW54" s="43" t="str">
        <f>IF(IFERROR(INDEX(Consulta!$A:$DF,MATCH('MM01'!$B54,Consulta!$C:$C,0),'MM01'!CW$2),"")=0,"",IFERROR(INDEX(Consulta!$A:$DF,MATCH('MM01'!$B54,Consulta!$C:$C,0),'MM01'!CW$2),""))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IF(IFERROR(INDEX(Consulta!$A:$DF,MATCH('MM01'!$B54,Consulta!$C:$C,0),'MM01'!DA$2),"")=0,"",IFERROR(INDEX(Consulta!$A:$DF,MATCH('MM01'!$B54,Consulta!$C:$C,0),'MM01'!DA$2),""))</f>
        <v/>
      </c>
      <c r="DB54" s="43" t="str">
        <f t="shared" si="22"/>
        <v/>
      </c>
      <c r="DC54" s="43" t="str">
        <f>IF(IFERROR(INDEX(Consulta!$A:$DF,MATCH('MM01'!$B54,Consulta!$C:$C,0),'MM01'!DC$2),"")=0,"",IFERROR(INDEX(Consulta!$A:$DF,MATCH('MM01'!$B54,Consulta!$C:$C,0),'MM01'!DC$2),""))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5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5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5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5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IF(IFERROR(INDEX(Consulta!$A:$DF,MATCH('MM01'!$B54,Consulta!$C:$C,0),'MM01'!EB$2),"")=0,"7925",IF(IFERROR(INDEX(Consulta!$A:$DF,MATCH('MM01'!$B54,Consulta!$C:$C,0),'MM01'!EB$2),"")="68","7910","7925"))</f>
        <v>7925</v>
      </c>
      <c r="EC54" s="44">
        <v>100</v>
      </c>
      <c r="ED54" s="60">
        <v>1</v>
      </c>
      <c r="EE54" s="43">
        <f t="shared" si="38"/>
        <v>100</v>
      </c>
      <c r="EF54" s="44">
        <v>1</v>
      </c>
      <c r="EG54" s="44">
        <v>0</v>
      </c>
      <c r="EH54" s="44" t="s">
        <v>867</v>
      </c>
      <c r="EI54" s="45">
        <v>0</v>
      </c>
      <c r="EJ54" s="43">
        <f t="shared" si="39"/>
        <v>5000</v>
      </c>
      <c r="EK54" s="66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IF(IFERROR(INDEX(Consulta!$A:$DF,MATCH('MM01'!$B55,Consulta!$C:$C,0),'MM01'!C$2),"")=0,"",IFERROR(INDEX(Consulta!$A:$DF,MATCH('MM01'!$B55,Consulta!$C:$C,0),'MM01'!C$2),""))</f>
        <v/>
      </c>
      <c r="D55" s="43" t="str">
        <f>IF(IFERROR(INDEX(Consulta!$A:$DF,MATCH('MM01'!$B55,Consulta!$C:$C,0),'MM01'!D$2),"")=0,"",IFERROR(INDEX(Consulta!$A:$DF,MATCH('MM01'!$B55,Consulta!$C:$C,0),'MM01'!D$2),""))</f>
        <v/>
      </c>
      <c r="E55" s="43" t="str">
        <f>IF(IFERROR(INDEX(Consulta!$A:$DF,MATCH('MM01'!$B55,Consulta!$C:$C,0),'MM01'!E$2),"")=0,"",IFERROR(INDEX(Consulta!$A:$DF,MATCH('MM01'!$B55,Consulta!$C:$C,0),'MM01'!E$2),""))</f>
        <v/>
      </c>
      <c r="F55" s="44" t="s">
        <v>100</v>
      </c>
      <c r="G55" s="49" t="str">
        <f>IF(IFERROR(INDEX(Consulta!$A:$DF,MATCH('MM01'!$B55,Consulta!$C:$C,0),'MM01'!G$2),"")=0,"",IFERROR(INDEX(Consulta!$A:$DF,MATCH('MM01'!$B55,Consulta!$C:$C,0),'MM01'!G$2),""))</f>
        <v/>
      </c>
      <c r="H55" s="49" t="str">
        <f>IF(IFERROR(INDEX(Consulta!$A:$DF,MATCH('MM01'!$B55,Consulta!$C:$C,0),'MM01'!H$2),"")=0,"",IFERROR(INDEX(Consulta!$A:$DF,MATCH('MM01'!$B55,Consulta!$C:$C,0),'MM01'!H$2),""))</f>
        <v/>
      </c>
      <c r="I55" s="49" t="str">
        <f>G55</f>
        <v/>
      </c>
      <c r="J55" s="49" t="str">
        <f>IF(IFERROR(INDEX(Consulta!$A:$DF,MATCH('MM01'!$B55,Consulta!$C:$C,0),'MM01'!J$2),"")=0,"",IFERROR(INDEX(Consulta!$A:$DF,MATCH('MM01'!$B55,Consulta!$C:$C,0),'MM01'!J$2),""))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IF(IFERROR(INDEX(Consulta!$A:$DF,MATCH('MM01'!$B55,Consulta!$C:$C,0),'MM01'!AP$2),"")=0,"",IFERROR(INDEX(Consulta!$A:$DF,MATCH('MM01'!$B55,Consulta!$C:$C,0),'MM01'!AP$2),""))</f>
        <v/>
      </c>
      <c r="AQ55" s="45"/>
      <c r="AR55" s="43" t="str">
        <f>IF(IFERROR(INDEX(Consulta!$A:$DF,MATCH('MM01'!$B55,Consulta!$C:$C,0),'MM01'!AR$2),"")=0,"",IFERROR(INDEX(Consulta!$A:$DF,MATCH('MM01'!$B55,Consulta!$C:$C,0),'MM01'!AR$2),""))</f>
        <v/>
      </c>
      <c r="AS55" s="43" t="str">
        <f>IF(IFERROR(INDEX(Consulta!$A:$DF,MATCH('MM01'!$B55,Consulta!$C:$C,0),'MM01'!AS$2),"")=0,"",IF(AR55="68",5102,IFERROR(INDEX(Consulta!$A:$DF,MATCH('MM01'!$B55,Consulta!$C:$C,0),'MM01'!AS$2),"")))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IF(IFERROR(INDEX(Consulta!$A:$DF,MATCH('MM01'!$B55,Consulta!$C:$C,0),'MM01'!AW$2),"")=0,"",IFERROR(ROUND(INDEX(Consulta!$A:$DF,MATCH('MM01'!$B55,Consulta!$C:$C,0),'MM01'!AW$2),3),""))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IF(IFERROR(INDEX(Consulta!$A:$DF,MATCH('MM01'!$B55,Consulta!$C:$C,0),'MM01'!BA$2),"")=0,"",IFERROR(INDEX(Consulta!$A:$DF,MATCH('MM01'!$B55,Consulta!$C:$C,0),'MM01'!BA$2),""))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IF(IFERROR(INDEX(Consulta!$A:$DF,MATCH('MM01'!$B55,Consulta!$C:$C,0),'MM01'!BL$2),"")=0,"",IFERROR(INDEX(Consulta!$A:$DF,MATCH('MM01'!$B55,Consulta!$C:$C,0),'MM01'!BL$2),""))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IF(IFERROR(INDEX(Consulta!$A:$DF,MATCH('MM01'!$B55,Consulta!$C:$C,0),'MM01'!BX$2),"")=0,"",IFERROR(INDEX(Consulta!$A:$DF,MATCH('MM01'!$B55,Consulta!$C:$C,0),'MM01'!BX$2),""))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IF(IFERROR(INDEX(Consulta!$A:$DF,MATCH('MM01'!$B55,Consulta!$C:$C,0),'MM01'!CT$2),"")=0,"",IFERROR(INDEX(Consulta!$A:$DF,MATCH('MM01'!$B55,Consulta!$C:$C,0),'MM01'!CT$2),""))</f>
        <v/>
      </c>
      <c r="CU55" s="43" t="str">
        <f>IF(IFERROR(INDEX(Consulta!$A:$DF,MATCH('MM01'!$B55,Consulta!$C:$C,0),'MM01'!CU$2),"")=0,"",IFERROR(INDEX(Consulta!$A:$DF,MATCH('MM01'!$B55,Consulta!$C:$C,0),'MM01'!CU$2),""))</f>
        <v/>
      </c>
      <c r="CV55" s="43" t="str">
        <f>IF(IFERROR(INDEX(Consulta!$A:$DF,MATCH('MM01'!$B55,Consulta!$C:$C,0),'MM01'!CV$2),"")=0,"",IFERROR(INDEX(Consulta!$A:$DF,MATCH('MM01'!$B55,Consulta!$C:$C,0),'MM01'!CV$2),""))</f>
        <v/>
      </c>
      <c r="CW55" s="43" t="str">
        <f>IF(IFERROR(INDEX(Consulta!$A:$DF,MATCH('MM01'!$B55,Consulta!$C:$C,0),'MM01'!CW$2),"")=0,"",IFERROR(INDEX(Consulta!$A:$DF,MATCH('MM01'!$B55,Consulta!$C:$C,0),'MM01'!CW$2),""))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IF(IFERROR(INDEX(Consulta!$A:$DF,MATCH('MM01'!$B55,Consulta!$C:$C,0),'MM01'!DA$2),"")=0,"",IFERROR(INDEX(Consulta!$A:$DF,MATCH('MM01'!$B55,Consulta!$C:$C,0),'MM01'!DA$2),""))</f>
        <v/>
      </c>
      <c r="DB55" s="43" t="str">
        <f>IF(E55=0,"",E55)</f>
        <v/>
      </c>
      <c r="DC55" s="43" t="str">
        <f>IF(IFERROR(INDEX(Consulta!$A:$DF,MATCH('MM01'!$B55,Consulta!$C:$C,0),'MM01'!DC$2),"")=0,"",IFERROR(INDEX(Consulta!$A:$DF,MATCH('MM01'!$B55,Consulta!$C:$C,0),'MM01'!DC$2),""))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5" t="s">
        <v>747</v>
      </c>
      <c r="DI55" s="43" t="str">
        <f ca="1">IF(DH55&lt;&gt;0,TEXT(TODAY(),"dd.mm.aaaa"),"")</f>
        <v>08.02.2022</v>
      </c>
      <c r="DJ55" s="43" t="str">
        <f>IF(DH55&lt;&gt;0,"31.12.9999","")</f>
        <v>31.12.9999</v>
      </c>
      <c r="DK55" s="43" t="str">
        <f>IF(DL55&lt;&gt;0,2,"")</f>
        <v/>
      </c>
      <c r="DL55" s="55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5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5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IF(IFERROR(INDEX(Consulta!$A:$DF,MATCH('MM01'!$B55,Consulta!$C:$C,0),'MM01'!EB$2),"")=0,"7925",IF(IFERROR(INDEX(Consulta!$A:$DF,MATCH('MM01'!$B55,Consulta!$C:$C,0),'MM01'!EB$2),"")="68","7910","7925"))</f>
        <v>7925</v>
      </c>
      <c r="EC55" s="44">
        <v>100</v>
      </c>
      <c r="ED55" s="60">
        <v>1</v>
      </c>
      <c r="EE55" s="43">
        <f>EC55</f>
        <v>100</v>
      </c>
      <c r="EF55" s="44">
        <v>1</v>
      </c>
      <c r="EG55" s="44">
        <v>0</v>
      </c>
      <c r="EH55" s="44" t="s">
        <v>867</v>
      </c>
      <c r="EI55" s="45">
        <v>0</v>
      </c>
      <c r="EJ55" s="43">
        <f>CS55</f>
        <v>5000</v>
      </c>
      <c r="EK55" s="64"/>
    </row>
    <row r="56" spans="1:141" x14ac:dyDescent="0.3">
      <c r="A56" s="7" t="str">
        <f t="shared" si="0"/>
        <v>Execução 52</v>
      </c>
      <c r="B56" s="42"/>
      <c r="C56" s="43" t="str">
        <f>IF(IFERROR(INDEX(Consulta!$A:$DF,MATCH('MM01'!$B56,Consulta!$C:$C,0),'MM01'!C$2),"")=0,"",IFERROR(INDEX(Consulta!$A:$DF,MATCH('MM01'!$B56,Consulta!$C:$C,0),'MM01'!C$2),""))</f>
        <v/>
      </c>
      <c r="D56" s="43" t="str">
        <f>IF(IFERROR(INDEX(Consulta!$A:$DF,MATCH('MM01'!$B56,Consulta!$C:$C,0),'MM01'!D$2),"")=0,"",IFERROR(INDEX(Consulta!$A:$DF,MATCH('MM01'!$B56,Consulta!$C:$C,0),'MM01'!D$2),""))</f>
        <v/>
      </c>
      <c r="E56" s="43" t="str">
        <f>IF(IFERROR(INDEX(Consulta!$A:$DF,MATCH('MM01'!$B56,Consulta!$C:$C,0),'MM01'!E$2),"")=0,"",IFERROR(INDEX(Consulta!$A:$DF,MATCH('MM01'!$B56,Consulta!$C:$C,0),'MM01'!E$2),""))</f>
        <v/>
      </c>
      <c r="F56" s="44" t="s">
        <v>100</v>
      </c>
      <c r="G56" s="49" t="str">
        <f>IF(IFERROR(INDEX(Consulta!$A:$DF,MATCH('MM01'!$B56,Consulta!$C:$C,0),'MM01'!G$2),"")=0,"",IFERROR(INDEX(Consulta!$A:$DF,MATCH('MM01'!$B56,Consulta!$C:$C,0),'MM01'!G$2),""))</f>
        <v/>
      </c>
      <c r="H56" s="49" t="str">
        <f>IF(IFERROR(INDEX(Consulta!$A:$DF,MATCH('MM01'!$B56,Consulta!$C:$C,0),'MM01'!H$2),"")=0,"",IFERROR(INDEX(Consulta!$A:$DF,MATCH('MM01'!$B56,Consulta!$C:$C,0),'MM01'!H$2),""))</f>
        <v/>
      </c>
      <c r="I56" s="49" t="str">
        <f t="shared" ref="I56:I104" si="40">G56</f>
        <v/>
      </c>
      <c r="J56" s="49" t="str">
        <f>IF(IFERROR(INDEX(Consulta!$A:$DF,MATCH('MM01'!$B56,Consulta!$C:$C,0),'MM01'!J$2),"")=0,"",IFERROR(INDEX(Consulta!$A:$DF,MATCH('MM01'!$B56,Consulta!$C:$C,0),'MM01'!J$2),""))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IF(IFERROR(INDEX(Consulta!$A:$DF,MATCH('MM01'!$B56,Consulta!$C:$C,0),'MM01'!AP$2),"")=0,"",IFERROR(INDEX(Consulta!$A:$DF,MATCH('MM01'!$B56,Consulta!$C:$C,0),'MM01'!AP$2),""))</f>
        <v/>
      </c>
      <c r="AQ56" s="45"/>
      <c r="AR56" s="43" t="str">
        <f>IF(IFERROR(INDEX(Consulta!$A:$DF,MATCH('MM01'!$B56,Consulta!$C:$C,0),'MM01'!AR$2),"")=0,"",IFERROR(INDEX(Consulta!$A:$DF,MATCH('MM01'!$B56,Consulta!$C:$C,0),'MM01'!AR$2),""))</f>
        <v/>
      </c>
      <c r="AS56" s="43" t="str">
        <f>IF(IFERROR(INDEX(Consulta!$A:$DF,MATCH('MM01'!$B56,Consulta!$C:$C,0),'MM01'!AS$2),"")=0,"",IF(AR56="68",5102,IFERROR(INDEX(Consulta!$A:$DF,MATCH('MM01'!$B56,Consulta!$C:$C,0),'MM01'!AS$2),"")))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IF(IFERROR(INDEX(Consulta!$A:$DF,MATCH('MM01'!$B56,Consulta!$C:$C,0),'MM01'!AW$2),"")=0,"",IFERROR(ROUND(INDEX(Consulta!$A:$DF,MATCH('MM01'!$B56,Consulta!$C:$C,0),'MM01'!AW$2),3),""))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IF(IFERROR(INDEX(Consulta!$A:$DF,MATCH('MM01'!$B56,Consulta!$C:$C,0),'MM01'!BA$2),"")=0,"",IFERROR(INDEX(Consulta!$A:$DF,MATCH('MM01'!$B56,Consulta!$C:$C,0),'MM01'!BA$2),""))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IF(IFERROR(INDEX(Consulta!$A:$DF,MATCH('MM01'!$B56,Consulta!$C:$C,0),'MM01'!BL$2),"")=0,"",IFERROR(INDEX(Consulta!$A:$DF,MATCH('MM01'!$B56,Consulta!$C:$C,0),'MM01'!BL$2),""))</f>
        <v/>
      </c>
      <c r="BM56" s="45"/>
      <c r="BN56" s="46" t="str">
        <f t="shared" ref="BN56:BN104" ca="1" si="52">IF(BM56&lt;&gt;0,TEXT(TODAY(),"DD.MM.AAAA"),"")</f>
        <v/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IF(IFERROR(INDEX(Consulta!$A:$DF,MATCH('MM01'!$B56,Consulta!$C:$C,0),'MM01'!BX$2),"")=0,"",IFERROR(INDEX(Consulta!$A:$DF,MATCH('MM01'!$B56,Consulta!$C:$C,0),'MM01'!BX$2),""))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IF(IFERROR(INDEX(Consulta!$A:$DF,MATCH('MM01'!$B56,Consulta!$C:$C,0),'MM01'!CT$2),"")=0,"",IFERROR(INDEX(Consulta!$A:$DF,MATCH('MM01'!$B56,Consulta!$C:$C,0),'MM01'!CT$2),""))</f>
        <v/>
      </c>
      <c r="CU56" s="43" t="str">
        <f>IF(IFERROR(INDEX(Consulta!$A:$DF,MATCH('MM01'!$B56,Consulta!$C:$C,0),'MM01'!CU$2),"")=0,"",IFERROR(INDEX(Consulta!$A:$DF,MATCH('MM01'!$B56,Consulta!$C:$C,0),'MM01'!CU$2),""))</f>
        <v/>
      </c>
      <c r="CV56" s="43" t="str">
        <f>IF(IFERROR(INDEX(Consulta!$A:$DF,MATCH('MM01'!$B56,Consulta!$C:$C,0),'MM01'!CV$2),"")=0,"",IFERROR(INDEX(Consulta!$A:$DF,MATCH('MM01'!$B56,Consulta!$C:$C,0),'MM01'!CV$2),""))</f>
        <v/>
      </c>
      <c r="CW56" s="43" t="str">
        <f>IF(IFERROR(INDEX(Consulta!$A:$DF,MATCH('MM01'!$B56,Consulta!$C:$C,0),'MM01'!CW$2),"")=0,"",IFERROR(INDEX(Consulta!$A:$DF,MATCH('MM01'!$B56,Consulta!$C:$C,0),'MM01'!CW$2),""))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IF(IFERROR(INDEX(Consulta!$A:$DF,MATCH('MM01'!$B56,Consulta!$C:$C,0),'MM01'!DA$2),"")=0,"",IFERROR(INDEX(Consulta!$A:$DF,MATCH('MM01'!$B56,Consulta!$C:$C,0),'MM01'!DA$2),""))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IF(IFERROR(INDEX(Consulta!$A:$DF,MATCH('MM01'!$B56,Consulta!$C:$C,0),'MM01'!DC$2),"")=0,"",IFERROR(INDEX(Consulta!$A:$DF,MATCH('MM01'!$B56,Consulta!$C:$C,0),'MM01'!DC$2),""))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5" t="s">
        <v>747</v>
      </c>
      <c r="DI56" s="43" t="str">
        <f t="shared" ref="DI56:DI104" ca="1" si="64">IF(DH56&lt;&gt;0,TEXT(TODAY(),"dd.mm.aaaa"),"")</f>
        <v>08.02.2022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5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5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5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IF(IFERROR(INDEX(Consulta!$A:$DF,MATCH('MM01'!$B56,Consulta!$C:$C,0),'MM01'!EB$2),"")=0,"7925",IF(IFERROR(INDEX(Consulta!$A:$DF,MATCH('MM01'!$B56,Consulta!$C:$C,0),'MM01'!EB$2),"")="68","7910","7925"))</f>
        <v>7925</v>
      </c>
      <c r="EC56" s="44">
        <v>100</v>
      </c>
      <c r="ED56" s="60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867</v>
      </c>
      <c r="EI56" s="45">
        <v>0</v>
      </c>
      <c r="EJ56" s="43">
        <f t="shared" ref="EJ56:EJ104" si="78">CS56</f>
        <v>5000</v>
      </c>
      <c r="EK56" s="65"/>
    </row>
    <row r="57" spans="1:141" x14ac:dyDescent="0.3">
      <c r="A57" s="7" t="str">
        <f t="shared" si="0"/>
        <v>Execução 53</v>
      </c>
      <c r="B57" s="42"/>
      <c r="C57" s="43" t="str">
        <f>IF(IFERROR(INDEX(Consulta!$A:$DF,MATCH('MM01'!$B57,Consulta!$C:$C,0),'MM01'!C$2),"")=0,"",IFERROR(INDEX(Consulta!$A:$DF,MATCH('MM01'!$B57,Consulta!$C:$C,0),'MM01'!C$2),""))</f>
        <v/>
      </c>
      <c r="D57" s="43" t="str">
        <f>IF(IFERROR(INDEX(Consulta!$A:$DF,MATCH('MM01'!$B57,Consulta!$C:$C,0),'MM01'!D$2),"")=0,"",IFERROR(INDEX(Consulta!$A:$DF,MATCH('MM01'!$B57,Consulta!$C:$C,0),'MM01'!D$2),""))</f>
        <v/>
      </c>
      <c r="E57" s="43" t="str">
        <f>IF(IFERROR(INDEX(Consulta!$A:$DF,MATCH('MM01'!$B57,Consulta!$C:$C,0),'MM01'!E$2),"")=0,"",IFERROR(INDEX(Consulta!$A:$DF,MATCH('MM01'!$B57,Consulta!$C:$C,0),'MM01'!E$2),""))</f>
        <v/>
      </c>
      <c r="F57" s="44" t="s">
        <v>100</v>
      </c>
      <c r="G57" s="49" t="str">
        <f>IF(IFERROR(INDEX(Consulta!$A:$DF,MATCH('MM01'!$B57,Consulta!$C:$C,0),'MM01'!G$2),"")=0,"",IFERROR(INDEX(Consulta!$A:$DF,MATCH('MM01'!$B57,Consulta!$C:$C,0),'MM01'!G$2),""))</f>
        <v/>
      </c>
      <c r="H57" s="49" t="str">
        <f>IF(IFERROR(INDEX(Consulta!$A:$DF,MATCH('MM01'!$B57,Consulta!$C:$C,0),'MM01'!H$2),"")=0,"",IFERROR(INDEX(Consulta!$A:$DF,MATCH('MM01'!$B57,Consulta!$C:$C,0),'MM01'!H$2),""))</f>
        <v/>
      </c>
      <c r="I57" s="49" t="str">
        <f t="shared" si="40"/>
        <v/>
      </c>
      <c r="J57" s="49" t="str">
        <f>IF(IFERROR(INDEX(Consulta!$A:$DF,MATCH('MM01'!$B57,Consulta!$C:$C,0),'MM01'!J$2),"")=0,"",IFERROR(INDEX(Consulta!$A:$DF,MATCH('MM01'!$B57,Consulta!$C:$C,0),'MM01'!J$2),""))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IF(IFERROR(INDEX(Consulta!$A:$DF,MATCH('MM01'!$B57,Consulta!$C:$C,0),'MM01'!AP$2),"")=0,"",IFERROR(INDEX(Consulta!$A:$DF,MATCH('MM01'!$B57,Consulta!$C:$C,0),'MM01'!AP$2),""))</f>
        <v/>
      </c>
      <c r="AQ57" s="45"/>
      <c r="AR57" s="43" t="str">
        <f>IF(IFERROR(INDEX(Consulta!$A:$DF,MATCH('MM01'!$B57,Consulta!$C:$C,0),'MM01'!AR$2),"")=0,"",IFERROR(INDEX(Consulta!$A:$DF,MATCH('MM01'!$B57,Consulta!$C:$C,0),'MM01'!AR$2),""))</f>
        <v/>
      </c>
      <c r="AS57" s="43" t="str">
        <f>IF(IFERROR(INDEX(Consulta!$A:$DF,MATCH('MM01'!$B57,Consulta!$C:$C,0),'MM01'!AS$2),"")=0,"",IF(AR57="68",5102,IFERROR(INDEX(Consulta!$A:$DF,MATCH('MM01'!$B57,Consulta!$C:$C,0),'MM01'!AS$2),"")))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IF(IFERROR(INDEX(Consulta!$A:$DF,MATCH('MM01'!$B57,Consulta!$C:$C,0),'MM01'!AW$2),"")=0,"",IFERROR(ROUND(INDEX(Consulta!$A:$DF,MATCH('MM01'!$B57,Consulta!$C:$C,0),'MM01'!AW$2),3),""))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IF(IFERROR(INDEX(Consulta!$A:$DF,MATCH('MM01'!$B57,Consulta!$C:$C,0),'MM01'!BA$2),"")=0,"",IFERROR(INDEX(Consulta!$A:$DF,MATCH('MM01'!$B57,Consulta!$C:$C,0),'MM01'!BA$2),""))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IF(IFERROR(INDEX(Consulta!$A:$DF,MATCH('MM01'!$B57,Consulta!$C:$C,0),'MM01'!BL$2),"")=0,"",IFERROR(INDEX(Consulta!$A:$DF,MATCH('MM01'!$B57,Consulta!$C:$C,0),'MM01'!BL$2),""))</f>
        <v/>
      </c>
      <c r="BM57" s="45"/>
      <c r="BN57" s="46" t="str">
        <f t="shared" ca="1" si="52"/>
        <v/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IF(IFERROR(INDEX(Consulta!$A:$DF,MATCH('MM01'!$B57,Consulta!$C:$C,0),'MM01'!BX$2),"")=0,"",IFERROR(INDEX(Consulta!$A:$DF,MATCH('MM01'!$B57,Consulta!$C:$C,0),'MM01'!BX$2),""))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IF(IFERROR(INDEX(Consulta!$A:$DF,MATCH('MM01'!$B57,Consulta!$C:$C,0),'MM01'!CT$2),"")=0,"",IFERROR(INDEX(Consulta!$A:$DF,MATCH('MM01'!$B57,Consulta!$C:$C,0),'MM01'!CT$2),""))</f>
        <v/>
      </c>
      <c r="CU57" s="43" t="str">
        <f>IF(IFERROR(INDEX(Consulta!$A:$DF,MATCH('MM01'!$B57,Consulta!$C:$C,0),'MM01'!CU$2),"")=0,"",IFERROR(INDEX(Consulta!$A:$DF,MATCH('MM01'!$B57,Consulta!$C:$C,0),'MM01'!CU$2),""))</f>
        <v/>
      </c>
      <c r="CV57" s="43" t="str">
        <f>IF(IFERROR(INDEX(Consulta!$A:$DF,MATCH('MM01'!$B57,Consulta!$C:$C,0),'MM01'!CV$2),"")=0,"",IFERROR(INDEX(Consulta!$A:$DF,MATCH('MM01'!$B57,Consulta!$C:$C,0),'MM01'!CV$2),""))</f>
        <v/>
      </c>
      <c r="CW57" s="43" t="str">
        <f>IF(IFERROR(INDEX(Consulta!$A:$DF,MATCH('MM01'!$B57,Consulta!$C:$C,0),'MM01'!CW$2),"")=0,"",IFERROR(INDEX(Consulta!$A:$DF,MATCH('MM01'!$B57,Consulta!$C:$C,0),'MM01'!CW$2),""))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IF(IFERROR(INDEX(Consulta!$A:$DF,MATCH('MM01'!$B57,Consulta!$C:$C,0),'MM01'!DA$2),"")=0,"",IFERROR(INDEX(Consulta!$A:$DF,MATCH('MM01'!$B57,Consulta!$C:$C,0),'MM01'!DA$2),""))</f>
        <v/>
      </c>
      <c r="DB57" s="43" t="str">
        <f t="shared" si="61"/>
        <v/>
      </c>
      <c r="DC57" s="43" t="str">
        <f>IF(IFERROR(INDEX(Consulta!$A:$DF,MATCH('MM01'!$B57,Consulta!$C:$C,0),'MM01'!DC$2),"")=0,"",IFERROR(INDEX(Consulta!$A:$DF,MATCH('MM01'!$B57,Consulta!$C:$C,0),'MM01'!DC$2),""))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5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5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5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5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IF(IFERROR(INDEX(Consulta!$A:$DF,MATCH('MM01'!$B57,Consulta!$C:$C,0),'MM01'!EB$2),"")=0,"7925",IF(IFERROR(INDEX(Consulta!$A:$DF,MATCH('MM01'!$B57,Consulta!$C:$C,0),'MM01'!EB$2),"")="68","7910","7925"))</f>
        <v>7925</v>
      </c>
      <c r="EC57" s="44">
        <v>100</v>
      </c>
      <c r="ED57" s="60">
        <v>1</v>
      </c>
      <c r="EE57" s="43">
        <f t="shared" si="77"/>
        <v>100</v>
      </c>
      <c r="EF57" s="44">
        <v>1</v>
      </c>
      <c r="EG57" s="44">
        <v>0</v>
      </c>
      <c r="EH57" s="44" t="s">
        <v>867</v>
      </c>
      <c r="EI57" s="45">
        <v>0</v>
      </c>
      <c r="EJ57" s="43">
        <f t="shared" si="78"/>
        <v>5000</v>
      </c>
      <c r="EK57" s="65"/>
    </row>
    <row r="58" spans="1:141" x14ac:dyDescent="0.3">
      <c r="A58" s="7" t="str">
        <f t="shared" si="0"/>
        <v>Execução 54</v>
      </c>
      <c r="B58" s="42"/>
      <c r="C58" s="43" t="str">
        <f>IF(IFERROR(INDEX(Consulta!$A:$DF,MATCH('MM01'!$B58,Consulta!$C:$C,0),'MM01'!C$2),"")=0,"",IFERROR(INDEX(Consulta!$A:$DF,MATCH('MM01'!$B58,Consulta!$C:$C,0),'MM01'!C$2),""))</f>
        <v/>
      </c>
      <c r="D58" s="43" t="str">
        <f>IF(IFERROR(INDEX(Consulta!$A:$DF,MATCH('MM01'!$B58,Consulta!$C:$C,0),'MM01'!D$2),"")=0,"",IFERROR(INDEX(Consulta!$A:$DF,MATCH('MM01'!$B58,Consulta!$C:$C,0),'MM01'!D$2),""))</f>
        <v/>
      </c>
      <c r="E58" s="43" t="str">
        <f>IF(IFERROR(INDEX(Consulta!$A:$DF,MATCH('MM01'!$B58,Consulta!$C:$C,0),'MM01'!E$2),"")=0,"",IFERROR(INDEX(Consulta!$A:$DF,MATCH('MM01'!$B58,Consulta!$C:$C,0),'MM01'!E$2),""))</f>
        <v/>
      </c>
      <c r="F58" s="44" t="s">
        <v>100</v>
      </c>
      <c r="G58" s="49" t="str">
        <f>IF(IFERROR(INDEX(Consulta!$A:$DF,MATCH('MM01'!$B58,Consulta!$C:$C,0),'MM01'!G$2),"")=0,"",IFERROR(INDEX(Consulta!$A:$DF,MATCH('MM01'!$B58,Consulta!$C:$C,0),'MM01'!G$2),""))</f>
        <v/>
      </c>
      <c r="H58" s="49" t="str">
        <f>IF(IFERROR(INDEX(Consulta!$A:$DF,MATCH('MM01'!$B58,Consulta!$C:$C,0),'MM01'!H$2),"")=0,"",IFERROR(INDEX(Consulta!$A:$DF,MATCH('MM01'!$B58,Consulta!$C:$C,0),'MM01'!H$2),""))</f>
        <v/>
      </c>
      <c r="I58" s="49" t="str">
        <f t="shared" si="40"/>
        <v/>
      </c>
      <c r="J58" s="49" t="str">
        <f>IF(IFERROR(INDEX(Consulta!$A:$DF,MATCH('MM01'!$B58,Consulta!$C:$C,0),'MM01'!J$2),"")=0,"",IFERROR(INDEX(Consulta!$A:$DF,MATCH('MM01'!$B58,Consulta!$C:$C,0),'MM01'!J$2),""))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IF(IFERROR(INDEX(Consulta!$A:$DF,MATCH('MM01'!$B58,Consulta!$C:$C,0),'MM01'!AP$2),"")=0,"",IFERROR(INDEX(Consulta!$A:$DF,MATCH('MM01'!$B58,Consulta!$C:$C,0),'MM01'!AP$2),""))</f>
        <v/>
      </c>
      <c r="AQ58" s="45"/>
      <c r="AR58" s="43" t="str">
        <f>IF(IFERROR(INDEX(Consulta!$A:$DF,MATCH('MM01'!$B58,Consulta!$C:$C,0),'MM01'!AR$2),"")=0,"",IFERROR(INDEX(Consulta!$A:$DF,MATCH('MM01'!$B58,Consulta!$C:$C,0),'MM01'!AR$2),""))</f>
        <v/>
      </c>
      <c r="AS58" s="43" t="str">
        <f>IF(IFERROR(INDEX(Consulta!$A:$DF,MATCH('MM01'!$B58,Consulta!$C:$C,0),'MM01'!AS$2),"")=0,"",IF(AR58="68",5102,IFERROR(INDEX(Consulta!$A:$DF,MATCH('MM01'!$B58,Consulta!$C:$C,0),'MM01'!AS$2),"")))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IF(IFERROR(INDEX(Consulta!$A:$DF,MATCH('MM01'!$B58,Consulta!$C:$C,0),'MM01'!AW$2),"")=0,"",IFERROR(ROUND(INDEX(Consulta!$A:$DF,MATCH('MM01'!$B58,Consulta!$C:$C,0),'MM01'!AW$2),3),""))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IF(IFERROR(INDEX(Consulta!$A:$DF,MATCH('MM01'!$B58,Consulta!$C:$C,0),'MM01'!BA$2),"")=0,"",IFERROR(INDEX(Consulta!$A:$DF,MATCH('MM01'!$B58,Consulta!$C:$C,0),'MM01'!BA$2),""))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IF(IFERROR(INDEX(Consulta!$A:$DF,MATCH('MM01'!$B58,Consulta!$C:$C,0),'MM01'!BL$2),"")=0,"",IFERROR(INDEX(Consulta!$A:$DF,MATCH('MM01'!$B58,Consulta!$C:$C,0),'MM01'!BL$2),""))</f>
        <v/>
      </c>
      <c r="BM58" s="45"/>
      <c r="BN58" s="46" t="str">
        <f t="shared" ca="1" si="52"/>
        <v/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IF(IFERROR(INDEX(Consulta!$A:$DF,MATCH('MM01'!$B58,Consulta!$C:$C,0),'MM01'!BX$2),"")=0,"",IFERROR(INDEX(Consulta!$A:$DF,MATCH('MM01'!$B58,Consulta!$C:$C,0),'MM01'!BX$2),""))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IF(IFERROR(INDEX(Consulta!$A:$DF,MATCH('MM01'!$B58,Consulta!$C:$C,0),'MM01'!CT$2),"")=0,"",IFERROR(INDEX(Consulta!$A:$DF,MATCH('MM01'!$B58,Consulta!$C:$C,0),'MM01'!CT$2),""))</f>
        <v/>
      </c>
      <c r="CU58" s="43" t="str">
        <f>IF(IFERROR(INDEX(Consulta!$A:$DF,MATCH('MM01'!$B58,Consulta!$C:$C,0),'MM01'!CU$2),"")=0,"",IFERROR(INDEX(Consulta!$A:$DF,MATCH('MM01'!$B58,Consulta!$C:$C,0),'MM01'!CU$2),""))</f>
        <v/>
      </c>
      <c r="CV58" s="43" t="str">
        <f>IF(IFERROR(INDEX(Consulta!$A:$DF,MATCH('MM01'!$B58,Consulta!$C:$C,0),'MM01'!CV$2),"")=0,"",IFERROR(INDEX(Consulta!$A:$DF,MATCH('MM01'!$B58,Consulta!$C:$C,0),'MM01'!CV$2),""))</f>
        <v/>
      </c>
      <c r="CW58" s="43" t="str">
        <f>IF(IFERROR(INDEX(Consulta!$A:$DF,MATCH('MM01'!$B58,Consulta!$C:$C,0),'MM01'!CW$2),"")=0,"",IFERROR(INDEX(Consulta!$A:$DF,MATCH('MM01'!$B58,Consulta!$C:$C,0),'MM01'!CW$2),""))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IF(IFERROR(INDEX(Consulta!$A:$DF,MATCH('MM01'!$B58,Consulta!$C:$C,0),'MM01'!DA$2),"")=0,"",IFERROR(INDEX(Consulta!$A:$DF,MATCH('MM01'!$B58,Consulta!$C:$C,0),'MM01'!DA$2),""))</f>
        <v/>
      </c>
      <c r="DB58" s="43" t="str">
        <f t="shared" si="61"/>
        <v/>
      </c>
      <c r="DC58" s="43" t="str">
        <f>IF(IFERROR(INDEX(Consulta!$A:$DF,MATCH('MM01'!$B58,Consulta!$C:$C,0),'MM01'!DC$2),"")=0,"",IFERROR(INDEX(Consulta!$A:$DF,MATCH('MM01'!$B58,Consulta!$C:$C,0),'MM01'!DC$2),""))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5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5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5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5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IF(IFERROR(INDEX(Consulta!$A:$DF,MATCH('MM01'!$B58,Consulta!$C:$C,0),'MM01'!EB$2),"")=0,"7925",IF(IFERROR(INDEX(Consulta!$A:$DF,MATCH('MM01'!$B58,Consulta!$C:$C,0),'MM01'!EB$2),"")="68","7910","7925"))</f>
        <v>7925</v>
      </c>
      <c r="EC58" s="44">
        <v>100</v>
      </c>
      <c r="ED58" s="60">
        <v>1</v>
      </c>
      <c r="EE58" s="43">
        <f t="shared" si="77"/>
        <v>100</v>
      </c>
      <c r="EF58" s="44">
        <v>1</v>
      </c>
      <c r="EG58" s="44">
        <v>0</v>
      </c>
      <c r="EH58" s="44" t="s">
        <v>867</v>
      </c>
      <c r="EI58" s="45">
        <v>0</v>
      </c>
      <c r="EJ58" s="43">
        <f t="shared" si="78"/>
        <v>5000</v>
      </c>
      <c r="EK58" s="65"/>
    </row>
    <row r="59" spans="1:141" x14ac:dyDescent="0.3">
      <c r="A59" s="7" t="str">
        <f t="shared" si="0"/>
        <v>Execução 55</v>
      </c>
      <c r="B59" s="42"/>
      <c r="C59" s="43" t="str">
        <f>IF(IFERROR(INDEX(Consulta!$A:$DF,MATCH('MM01'!$B59,Consulta!$C:$C,0),'MM01'!C$2),"")=0,"",IFERROR(INDEX(Consulta!$A:$DF,MATCH('MM01'!$B59,Consulta!$C:$C,0),'MM01'!C$2),""))</f>
        <v/>
      </c>
      <c r="D59" s="43" t="str">
        <f>IF(IFERROR(INDEX(Consulta!$A:$DF,MATCH('MM01'!$B59,Consulta!$C:$C,0),'MM01'!D$2),"")=0,"",IFERROR(INDEX(Consulta!$A:$DF,MATCH('MM01'!$B59,Consulta!$C:$C,0),'MM01'!D$2),""))</f>
        <v/>
      </c>
      <c r="E59" s="43" t="str">
        <f>IF(IFERROR(INDEX(Consulta!$A:$DF,MATCH('MM01'!$B59,Consulta!$C:$C,0),'MM01'!E$2),"")=0,"",IFERROR(INDEX(Consulta!$A:$DF,MATCH('MM01'!$B59,Consulta!$C:$C,0),'MM01'!E$2),""))</f>
        <v/>
      </c>
      <c r="F59" s="44" t="s">
        <v>100</v>
      </c>
      <c r="G59" s="49" t="str">
        <f>IF(IFERROR(INDEX(Consulta!$A:$DF,MATCH('MM01'!$B59,Consulta!$C:$C,0),'MM01'!G$2),"")=0,"",IFERROR(INDEX(Consulta!$A:$DF,MATCH('MM01'!$B59,Consulta!$C:$C,0),'MM01'!G$2),""))</f>
        <v/>
      </c>
      <c r="H59" s="49" t="str">
        <f>IF(IFERROR(INDEX(Consulta!$A:$DF,MATCH('MM01'!$B59,Consulta!$C:$C,0),'MM01'!H$2),"")=0,"",IFERROR(INDEX(Consulta!$A:$DF,MATCH('MM01'!$B59,Consulta!$C:$C,0),'MM01'!H$2),""))</f>
        <v/>
      </c>
      <c r="I59" s="49" t="str">
        <f t="shared" si="40"/>
        <v/>
      </c>
      <c r="J59" s="49" t="str">
        <f>IF(IFERROR(INDEX(Consulta!$A:$DF,MATCH('MM01'!$B59,Consulta!$C:$C,0),'MM01'!J$2),"")=0,"",IFERROR(INDEX(Consulta!$A:$DF,MATCH('MM01'!$B59,Consulta!$C:$C,0),'MM01'!J$2),""))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IF(IFERROR(INDEX(Consulta!$A:$DF,MATCH('MM01'!$B59,Consulta!$C:$C,0),'MM01'!AP$2),"")=0,"",IFERROR(INDEX(Consulta!$A:$DF,MATCH('MM01'!$B59,Consulta!$C:$C,0),'MM01'!AP$2),""))</f>
        <v/>
      </c>
      <c r="AQ59" s="45"/>
      <c r="AR59" s="43" t="str">
        <f>IF(IFERROR(INDEX(Consulta!$A:$DF,MATCH('MM01'!$B59,Consulta!$C:$C,0),'MM01'!AR$2),"")=0,"",IFERROR(INDEX(Consulta!$A:$DF,MATCH('MM01'!$B59,Consulta!$C:$C,0),'MM01'!AR$2),""))</f>
        <v/>
      </c>
      <c r="AS59" s="43" t="str">
        <f>IF(IFERROR(INDEX(Consulta!$A:$DF,MATCH('MM01'!$B59,Consulta!$C:$C,0),'MM01'!AS$2),"")=0,"",IF(AR59="68",5102,IFERROR(INDEX(Consulta!$A:$DF,MATCH('MM01'!$B59,Consulta!$C:$C,0),'MM01'!AS$2),"")))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IF(IFERROR(INDEX(Consulta!$A:$DF,MATCH('MM01'!$B59,Consulta!$C:$C,0),'MM01'!AW$2),"")=0,"",IFERROR(ROUND(INDEX(Consulta!$A:$DF,MATCH('MM01'!$B59,Consulta!$C:$C,0),'MM01'!AW$2),3),""))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IF(IFERROR(INDEX(Consulta!$A:$DF,MATCH('MM01'!$B59,Consulta!$C:$C,0),'MM01'!BA$2),"")=0,"",IFERROR(INDEX(Consulta!$A:$DF,MATCH('MM01'!$B59,Consulta!$C:$C,0),'MM01'!BA$2),""))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IF(IFERROR(INDEX(Consulta!$A:$DF,MATCH('MM01'!$B59,Consulta!$C:$C,0),'MM01'!BL$2),"")=0,"",IFERROR(INDEX(Consulta!$A:$DF,MATCH('MM01'!$B59,Consulta!$C:$C,0),'MM01'!BL$2),""))</f>
        <v/>
      </c>
      <c r="BM59" s="45"/>
      <c r="BN59" s="46" t="str">
        <f t="shared" ca="1" si="52"/>
        <v/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IF(IFERROR(INDEX(Consulta!$A:$DF,MATCH('MM01'!$B59,Consulta!$C:$C,0),'MM01'!BX$2),"")=0,"",IFERROR(INDEX(Consulta!$A:$DF,MATCH('MM01'!$B59,Consulta!$C:$C,0),'MM01'!BX$2),""))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IF(IFERROR(INDEX(Consulta!$A:$DF,MATCH('MM01'!$B59,Consulta!$C:$C,0),'MM01'!CT$2),"")=0,"",IFERROR(INDEX(Consulta!$A:$DF,MATCH('MM01'!$B59,Consulta!$C:$C,0),'MM01'!CT$2),""))</f>
        <v/>
      </c>
      <c r="CU59" s="43" t="str">
        <f>IF(IFERROR(INDEX(Consulta!$A:$DF,MATCH('MM01'!$B59,Consulta!$C:$C,0),'MM01'!CU$2),"")=0,"",IFERROR(INDEX(Consulta!$A:$DF,MATCH('MM01'!$B59,Consulta!$C:$C,0),'MM01'!CU$2),""))</f>
        <v/>
      </c>
      <c r="CV59" s="43" t="str">
        <f>IF(IFERROR(INDEX(Consulta!$A:$DF,MATCH('MM01'!$B59,Consulta!$C:$C,0),'MM01'!CV$2),"")=0,"",IFERROR(INDEX(Consulta!$A:$DF,MATCH('MM01'!$B59,Consulta!$C:$C,0),'MM01'!CV$2),""))</f>
        <v/>
      </c>
      <c r="CW59" s="43" t="str">
        <f>IF(IFERROR(INDEX(Consulta!$A:$DF,MATCH('MM01'!$B59,Consulta!$C:$C,0),'MM01'!CW$2),"")=0,"",IFERROR(INDEX(Consulta!$A:$DF,MATCH('MM01'!$B59,Consulta!$C:$C,0),'MM01'!CW$2),""))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IF(IFERROR(INDEX(Consulta!$A:$DF,MATCH('MM01'!$B59,Consulta!$C:$C,0),'MM01'!DA$2),"")=0,"",IFERROR(INDEX(Consulta!$A:$DF,MATCH('MM01'!$B59,Consulta!$C:$C,0),'MM01'!DA$2),""))</f>
        <v/>
      </c>
      <c r="DB59" s="43" t="str">
        <f t="shared" si="61"/>
        <v/>
      </c>
      <c r="DC59" s="43" t="str">
        <f>IF(IFERROR(INDEX(Consulta!$A:$DF,MATCH('MM01'!$B59,Consulta!$C:$C,0),'MM01'!DC$2),"")=0,"",IFERROR(INDEX(Consulta!$A:$DF,MATCH('MM01'!$B59,Consulta!$C:$C,0),'MM01'!DC$2),""))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5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5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5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5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IF(IFERROR(INDEX(Consulta!$A:$DF,MATCH('MM01'!$B59,Consulta!$C:$C,0),'MM01'!EB$2),"")=0,"7925",IF(IFERROR(INDEX(Consulta!$A:$DF,MATCH('MM01'!$B59,Consulta!$C:$C,0),'MM01'!EB$2),"")="68","7910","7925"))</f>
        <v>7925</v>
      </c>
      <c r="EC59" s="44">
        <v>100</v>
      </c>
      <c r="ED59" s="60">
        <v>1</v>
      </c>
      <c r="EE59" s="43">
        <f t="shared" si="77"/>
        <v>100</v>
      </c>
      <c r="EF59" s="44">
        <v>1</v>
      </c>
      <c r="EG59" s="44">
        <v>0</v>
      </c>
      <c r="EH59" s="44" t="s">
        <v>867</v>
      </c>
      <c r="EI59" s="45">
        <v>0</v>
      </c>
      <c r="EJ59" s="43">
        <f t="shared" si="78"/>
        <v>5000</v>
      </c>
      <c r="EK59" s="65"/>
    </row>
    <row r="60" spans="1:141" x14ac:dyDescent="0.3">
      <c r="A60" s="7" t="str">
        <f t="shared" si="0"/>
        <v>Execução 56</v>
      </c>
      <c r="B60" s="42"/>
      <c r="C60" s="43" t="str">
        <f>IF(IFERROR(INDEX(Consulta!$A:$DF,MATCH('MM01'!$B60,Consulta!$C:$C,0),'MM01'!C$2),"")=0,"",IFERROR(INDEX(Consulta!$A:$DF,MATCH('MM01'!$B60,Consulta!$C:$C,0),'MM01'!C$2),""))</f>
        <v/>
      </c>
      <c r="D60" s="43" t="str">
        <f>IF(IFERROR(INDEX(Consulta!$A:$DF,MATCH('MM01'!$B60,Consulta!$C:$C,0),'MM01'!D$2),"")=0,"",IFERROR(INDEX(Consulta!$A:$DF,MATCH('MM01'!$B60,Consulta!$C:$C,0),'MM01'!D$2),""))</f>
        <v/>
      </c>
      <c r="E60" s="43" t="str">
        <f>IF(IFERROR(INDEX(Consulta!$A:$DF,MATCH('MM01'!$B60,Consulta!$C:$C,0),'MM01'!E$2),"")=0,"",IFERROR(INDEX(Consulta!$A:$DF,MATCH('MM01'!$B60,Consulta!$C:$C,0),'MM01'!E$2),""))</f>
        <v/>
      </c>
      <c r="F60" s="44" t="s">
        <v>100</v>
      </c>
      <c r="G60" s="49" t="str">
        <f>IF(IFERROR(INDEX(Consulta!$A:$DF,MATCH('MM01'!$B60,Consulta!$C:$C,0),'MM01'!G$2),"")=0,"",IFERROR(INDEX(Consulta!$A:$DF,MATCH('MM01'!$B60,Consulta!$C:$C,0),'MM01'!G$2),""))</f>
        <v/>
      </c>
      <c r="H60" s="49" t="str">
        <f>IF(IFERROR(INDEX(Consulta!$A:$DF,MATCH('MM01'!$B60,Consulta!$C:$C,0),'MM01'!H$2),"")=0,"",IFERROR(INDEX(Consulta!$A:$DF,MATCH('MM01'!$B60,Consulta!$C:$C,0),'MM01'!H$2),""))</f>
        <v/>
      </c>
      <c r="I60" s="49" t="str">
        <f t="shared" si="40"/>
        <v/>
      </c>
      <c r="J60" s="49" t="str">
        <f>IF(IFERROR(INDEX(Consulta!$A:$DF,MATCH('MM01'!$B60,Consulta!$C:$C,0),'MM01'!J$2),"")=0,"",IFERROR(INDEX(Consulta!$A:$DF,MATCH('MM01'!$B60,Consulta!$C:$C,0),'MM01'!J$2),""))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IF(IFERROR(INDEX(Consulta!$A:$DF,MATCH('MM01'!$B60,Consulta!$C:$C,0),'MM01'!AP$2),"")=0,"",IFERROR(INDEX(Consulta!$A:$DF,MATCH('MM01'!$B60,Consulta!$C:$C,0),'MM01'!AP$2),""))</f>
        <v/>
      </c>
      <c r="AQ60" s="45"/>
      <c r="AR60" s="43" t="str">
        <f>IF(IFERROR(INDEX(Consulta!$A:$DF,MATCH('MM01'!$B60,Consulta!$C:$C,0),'MM01'!AR$2),"")=0,"",IFERROR(INDEX(Consulta!$A:$DF,MATCH('MM01'!$B60,Consulta!$C:$C,0),'MM01'!AR$2),""))</f>
        <v/>
      </c>
      <c r="AS60" s="43" t="str">
        <f>IF(IFERROR(INDEX(Consulta!$A:$DF,MATCH('MM01'!$B60,Consulta!$C:$C,0),'MM01'!AS$2),"")=0,"",IF(AR60="68",5102,IFERROR(INDEX(Consulta!$A:$DF,MATCH('MM01'!$B60,Consulta!$C:$C,0),'MM01'!AS$2),"")))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IF(IFERROR(INDEX(Consulta!$A:$DF,MATCH('MM01'!$B60,Consulta!$C:$C,0),'MM01'!AW$2),"")=0,"",IFERROR(ROUND(INDEX(Consulta!$A:$DF,MATCH('MM01'!$B60,Consulta!$C:$C,0),'MM01'!AW$2),3),""))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IF(IFERROR(INDEX(Consulta!$A:$DF,MATCH('MM01'!$B60,Consulta!$C:$C,0),'MM01'!BA$2),"")=0,"",IFERROR(INDEX(Consulta!$A:$DF,MATCH('MM01'!$B60,Consulta!$C:$C,0),'MM01'!BA$2),""))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IF(IFERROR(INDEX(Consulta!$A:$DF,MATCH('MM01'!$B60,Consulta!$C:$C,0),'MM01'!BL$2),"")=0,"",IFERROR(INDEX(Consulta!$A:$DF,MATCH('MM01'!$B60,Consulta!$C:$C,0),'MM01'!BL$2),""))</f>
        <v/>
      </c>
      <c r="BM60" s="45"/>
      <c r="BN60" s="46" t="str">
        <f t="shared" ca="1" si="52"/>
        <v/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IF(IFERROR(INDEX(Consulta!$A:$DF,MATCH('MM01'!$B60,Consulta!$C:$C,0),'MM01'!BX$2),"")=0,"",IFERROR(INDEX(Consulta!$A:$DF,MATCH('MM01'!$B60,Consulta!$C:$C,0),'MM01'!BX$2),""))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IF(IFERROR(INDEX(Consulta!$A:$DF,MATCH('MM01'!$B60,Consulta!$C:$C,0),'MM01'!CT$2),"")=0,"",IFERROR(INDEX(Consulta!$A:$DF,MATCH('MM01'!$B60,Consulta!$C:$C,0),'MM01'!CT$2),""))</f>
        <v/>
      </c>
      <c r="CU60" s="43" t="str">
        <f>IF(IFERROR(INDEX(Consulta!$A:$DF,MATCH('MM01'!$B60,Consulta!$C:$C,0),'MM01'!CU$2),"")=0,"",IFERROR(INDEX(Consulta!$A:$DF,MATCH('MM01'!$B60,Consulta!$C:$C,0),'MM01'!CU$2),""))</f>
        <v/>
      </c>
      <c r="CV60" s="43" t="str">
        <f>IF(IFERROR(INDEX(Consulta!$A:$DF,MATCH('MM01'!$B60,Consulta!$C:$C,0),'MM01'!CV$2),"")=0,"",IFERROR(INDEX(Consulta!$A:$DF,MATCH('MM01'!$B60,Consulta!$C:$C,0),'MM01'!CV$2),""))</f>
        <v/>
      </c>
      <c r="CW60" s="43" t="str">
        <f>IF(IFERROR(INDEX(Consulta!$A:$DF,MATCH('MM01'!$B60,Consulta!$C:$C,0),'MM01'!CW$2),"")=0,"",IFERROR(INDEX(Consulta!$A:$DF,MATCH('MM01'!$B60,Consulta!$C:$C,0),'MM01'!CW$2),""))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IF(IFERROR(INDEX(Consulta!$A:$DF,MATCH('MM01'!$B60,Consulta!$C:$C,0),'MM01'!DA$2),"")=0,"",IFERROR(INDEX(Consulta!$A:$DF,MATCH('MM01'!$B60,Consulta!$C:$C,0),'MM01'!DA$2),""))</f>
        <v/>
      </c>
      <c r="DB60" s="43" t="str">
        <f t="shared" si="61"/>
        <v/>
      </c>
      <c r="DC60" s="43" t="str">
        <f>IF(IFERROR(INDEX(Consulta!$A:$DF,MATCH('MM01'!$B60,Consulta!$C:$C,0),'MM01'!DC$2),"")=0,"",IFERROR(INDEX(Consulta!$A:$DF,MATCH('MM01'!$B60,Consulta!$C:$C,0),'MM01'!DC$2),""))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5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5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5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5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IF(IFERROR(INDEX(Consulta!$A:$DF,MATCH('MM01'!$B60,Consulta!$C:$C,0),'MM01'!EB$2),"")=0,"7925",IF(IFERROR(INDEX(Consulta!$A:$DF,MATCH('MM01'!$B60,Consulta!$C:$C,0),'MM01'!EB$2),"")="68","7910","7925"))</f>
        <v>7925</v>
      </c>
      <c r="EC60" s="44">
        <v>100</v>
      </c>
      <c r="ED60" s="60">
        <v>1</v>
      </c>
      <c r="EE60" s="43">
        <f t="shared" si="77"/>
        <v>100</v>
      </c>
      <c r="EF60" s="44">
        <v>1</v>
      </c>
      <c r="EG60" s="44">
        <v>0</v>
      </c>
      <c r="EH60" s="44" t="s">
        <v>867</v>
      </c>
      <c r="EI60" s="45">
        <v>0</v>
      </c>
      <c r="EJ60" s="43">
        <f t="shared" si="78"/>
        <v>5000</v>
      </c>
      <c r="EK60" s="65"/>
    </row>
    <row r="61" spans="1:141" x14ac:dyDescent="0.3">
      <c r="A61" s="7" t="str">
        <f t="shared" si="0"/>
        <v>Execução 57</v>
      </c>
      <c r="B61" s="42"/>
      <c r="C61" s="43" t="str">
        <f>IF(IFERROR(INDEX(Consulta!$A:$DF,MATCH('MM01'!$B61,Consulta!$C:$C,0),'MM01'!C$2),"")=0,"",IFERROR(INDEX(Consulta!$A:$DF,MATCH('MM01'!$B61,Consulta!$C:$C,0),'MM01'!C$2),""))</f>
        <v/>
      </c>
      <c r="D61" s="43" t="str">
        <f>IF(IFERROR(INDEX(Consulta!$A:$DF,MATCH('MM01'!$B61,Consulta!$C:$C,0),'MM01'!D$2),"")=0,"",IFERROR(INDEX(Consulta!$A:$DF,MATCH('MM01'!$B61,Consulta!$C:$C,0),'MM01'!D$2),""))</f>
        <v/>
      </c>
      <c r="E61" s="43" t="str">
        <f>IF(IFERROR(INDEX(Consulta!$A:$DF,MATCH('MM01'!$B61,Consulta!$C:$C,0),'MM01'!E$2),"")=0,"",IFERROR(INDEX(Consulta!$A:$DF,MATCH('MM01'!$B61,Consulta!$C:$C,0),'MM01'!E$2),""))</f>
        <v/>
      </c>
      <c r="F61" s="44" t="s">
        <v>100</v>
      </c>
      <c r="G61" s="49" t="str">
        <f>IF(IFERROR(INDEX(Consulta!$A:$DF,MATCH('MM01'!$B61,Consulta!$C:$C,0),'MM01'!G$2),"")=0,"",IFERROR(INDEX(Consulta!$A:$DF,MATCH('MM01'!$B61,Consulta!$C:$C,0),'MM01'!G$2),""))</f>
        <v/>
      </c>
      <c r="H61" s="49" t="str">
        <f>IF(IFERROR(INDEX(Consulta!$A:$DF,MATCH('MM01'!$B61,Consulta!$C:$C,0),'MM01'!H$2),"")=0,"",IFERROR(INDEX(Consulta!$A:$DF,MATCH('MM01'!$B61,Consulta!$C:$C,0),'MM01'!H$2),""))</f>
        <v/>
      </c>
      <c r="I61" s="49" t="str">
        <f t="shared" si="40"/>
        <v/>
      </c>
      <c r="J61" s="49" t="str">
        <f>IF(IFERROR(INDEX(Consulta!$A:$DF,MATCH('MM01'!$B61,Consulta!$C:$C,0),'MM01'!J$2),"")=0,"",IFERROR(INDEX(Consulta!$A:$DF,MATCH('MM01'!$B61,Consulta!$C:$C,0),'MM01'!J$2),""))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IF(IFERROR(INDEX(Consulta!$A:$DF,MATCH('MM01'!$B61,Consulta!$C:$C,0),'MM01'!AP$2),"")=0,"",IFERROR(INDEX(Consulta!$A:$DF,MATCH('MM01'!$B61,Consulta!$C:$C,0),'MM01'!AP$2),""))</f>
        <v/>
      </c>
      <c r="AQ61" s="45"/>
      <c r="AR61" s="43" t="str">
        <f>IF(IFERROR(INDEX(Consulta!$A:$DF,MATCH('MM01'!$B61,Consulta!$C:$C,0),'MM01'!AR$2),"")=0,"",IFERROR(INDEX(Consulta!$A:$DF,MATCH('MM01'!$B61,Consulta!$C:$C,0),'MM01'!AR$2),""))</f>
        <v/>
      </c>
      <c r="AS61" s="43" t="str">
        <f>IF(IFERROR(INDEX(Consulta!$A:$DF,MATCH('MM01'!$B61,Consulta!$C:$C,0),'MM01'!AS$2),"")=0,"",IF(AR61="68",5102,IFERROR(INDEX(Consulta!$A:$DF,MATCH('MM01'!$B61,Consulta!$C:$C,0),'MM01'!AS$2),"")))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IF(IFERROR(INDEX(Consulta!$A:$DF,MATCH('MM01'!$B61,Consulta!$C:$C,0),'MM01'!AW$2),"")=0,"",IFERROR(ROUND(INDEX(Consulta!$A:$DF,MATCH('MM01'!$B61,Consulta!$C:$C,0),'MM01'!AW$2),3),""))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IF(IFERROR(INDEX(Consulta!$A:$DF,MATCH('MM01'!$B61,Consulta!$C:$C,0),'MM01'!BA$2),"")=0,"",IFERROR(INDEX(Consulta!$A:$DF,MATCH('MM01'!$B61,Consulta!$C:$C,0),'MM01'!BA$2),""))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IF(IFERROR(INDEX(Consulta!$A:$DF,MATCH('MM01'!$B61,Consulta!$C:$C,0),'MM01'!BL$2),"")=0,"",IFERROR(INDEX(Consulta!$A:$DF,MATCH('MM01'!$B61,Consulta!$C:$C,0),'MM01'!BL$2),""))</f>
        <v/>
      </c>
      <c r="BM61" s="45"/>
      <c r="BN61" s="46" t="str">
        <f t="shared" ca="1" si="52"/>
        <v/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IF(IFERROR(INDEX(Consulta!$A:$DF,MATCH('MM01'!$B61,Consulta!$C:$C,0),'MM01'!BX$2),"")=0,"",IFERROR(INDEX(Consulta!$A:$DF,MATCH('MM01'!$B61,Consulta!$C:$C,0),'MM01'!BX$2),""))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IF(IFERROR(INDEX(Consulta!$A:$DF,MATCH('MM01'!$B61,Consulta!$C:$C,0),'MM01'!CT$2),"")=0,"",IFERROR(INDEX(Consulta!$A:$DF,MATCH('MM01'!$B61,Consulta!$C:$C,0),'MM01'!CT$2),""))</f>
        <v/>
      </c>
      <c r="CU61" s="43" t="str">
        <f>IF(IFERROR(INDEX(Consulta!$A:$DF,MATCH('MM01'!$B61,Consulta!$C:$C,0),'MM01'!CU$2),"")=0,"",IFERROR(INDEX(Consulta!$A:$DF,MATCH('MM01'!$B61,Consulta!$C:$C,0),'MM01'!CU$2),""))</f>
        <v/>
      </c>
      <c r="CV61" s="43" t="str">
        <f>IF(IFERROR(INDEX(Consulta!$A:$DF,MATCH('MM01'!$B61,Consulta!$C:$C,0),'MM01'!CV$2),"")=0,"",IFERROR(INDEX(Consulta!$A:$DF,MATCH('MM01'!$B61,Consulta!$C:$C,0),'MM01'!CV$2),""))</f>
        <v/>
      </c>
      <c r="CW61" s="43" t="str">
        <f>IF(IFERROR(INDEX(Consulta!$A:$DF,MATCH('MM01'!$B61,Consulta!$C:$C,0),'MM01'!CW$2),"")=0,"",IFERROR(INDEX(Consulta!$A:$DF,MATCH('MM01'!$B61,Consulta!$C:$C,0),'MM01'!CW$2),""))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IF(IFERROR(INDEX(Consulta!$A:$DF,MATCH('MM01'!$B61,Consulta!$C:$C,0),'MM01'!DA$2),"")=0,"",IFERROR(INDEX(Consulta!$A:$DF,MATCH('MM01'!$B61,Consulta!$C:$C,0),'MM01'!DA$2),""))</f>
        <v/>
      </c>
      <c r="DB61" s="43" t="str">
        <f t="shared" si="61"/>
        <v/>
      </c>
      <c r="DC61" s="43" t="str">
        <f>IF(IFERROR(INDEX(Consulta!$A:$DF,MATCH('MM01'!$B61,Consulta!$C:$C,0),'MM01'!DC$2),"")=0,"",IFERROR(INDEX(Consulta!$A:$DF,MATCH('MM01'!$B61,Consulta!$C:$C,0),'MM01'!DC$2),""))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5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5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5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5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IF(IFERROR(INDEX(Consulta!$A:$DF,MATCH('MM01'!$B61,Consulta!$C:$C,0),'MM01'!EB$2),"")=0,"7925",IF(IFERROR(INDEX(Consulta!$A:$DF,MATCH('MM01'!$B61,Consulta!$C:$C,0),'MM01'!EB$2),"")="68","7910","7925"))</f>
        <v>7925</v>
      </c>
      <c r="EC61" s="44">
        <v>100</v>
      </c>
      <c r="ED61" s="60">
        <v>1</v>
      </c>
      <c r="EE61" s="43">
        <f t="shared" si="77"/>
        <v>100</v>
      </c>
      <c r="EF61" s="44">
        <v>1</v>
      </c>
      <c r="EG61" s="44">
        <v>0</v>
      </c>
      <c r="EH61" s="44" t="s">
        <v>867</v>
      </c>
      <c r="EI61" s="45">
        <v>0</v>
      </c>
      <c r="EJ61" s="43">
        <f t="shared" si="78"/>
        <v>5000</v>
      </c>
      <c r="EK61" s="65"/>
    </row>
    <row r="62" spans="1:141" x14ac:dyDescent="0.3">
      <c r="A62" s="7" t="str">
        <f t="shared" si="0"/>
        <v>Execução 58</v>
      </c>
      <c r="B62" s="42"/>
      <c r="C62" s="43" t="str">
        <f>IF(IFERROR(INDEX(Consulta!$A:$DF,MATCH('MM01'!$B62,Consulta!$C:$C,0),'MM01'!C$2),"")=0,"",IFERROR(INDEX(Consulta!$A:$DF,MATCH('MM01'!$B62,Consulta!$C:$C,0),'MM01'!C$2),""))</f>
        <v/>
      </c>
      <c r="D62" s="43" t="str">
        <f>IF(IFERROR(INDEX(Consulta!$A:$DF,MATCH('MM01'!$B62,Consulta!$C:$C,0),'MM01'!D$2),"")=0,"",IFERROR(INDEX(Consulta!$A:$DF,MATCH('MM01'!$B62,Consulta!$C:$C,0),'MM01'!D$2),""))</f>
        <v/>
      </c>
      <c r="E62" s="43" t="str">
        <f>IF(IFERROR(INDEX(Consulta!$A:$DF,MATCH('MM01'!$B62,Consulta!$C:$C,0),'MM01'!E$2),"")=0,"",IFERROR(INDEX(Consulta!$A:$DF,MATCH('MM01'!$B62,Consulta!$C:$C,0),'MM01'!E$2),""))</f>
        <v/>
      </c>
      <c r="F62" s="44" t="s">
        <v>100</v>
      </c>
      <c r="G62" s="49" t="str">
        <f>IF(IFERROR(INDEX(Consulta!$A:$DF,MATCH('MM01'!$B62,Consulta!$C:$C,0),'MM01'!G$2),"")=0,"",IFERROR(INDEX(Consulta!$A:$DF,MATCH('MM01'!$B62,Consulta!$C:$C,0),'MM01'!G$2),""))</f>
        <v/>
      </c>
      <c r="H62" s="49" t="str">
        <f>IF(IFERROR(INDEX(Consulta!$A:$DF,MATCH('MM01'!$B62,Consulta!$C:$C,0),'MM01'!H$2),"")=0,"",IFERROR(INDEX(Consulta!$A:$DF,MATCH('MM01'!$B62,Consulta!$C:$C,0),'MM01'!H$2),""))</f>
        <v/>
      </c>
      <c r="I62" s="49" t="str">
        <f t="shared" si="40"/>
        <v/>
      </c>
      <c r="J62" s="49" t="str">
        <f>IF(IFERROR(INDEX(Consulta!$A:$DF,MATCH('MM01'!$B62,Consulta!$C:$C,0),'MM01'!J$2),"")=0,"",IFERROR(INDEX(Consulta!$A:$DF,MATCH('MM01'!$B62,Consulta!$C:$C,0),'MM01'!J$2),""))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IF(IFERROR(INDEX(Consulta!$A:$DF,MATCH('MM01'!$B62,Consulta!$C:$C,0),'MM01'!AP$2),"")=0,"",IFERROR(INDEX(Consulta!$A:$DF,MATCH('MM01'!$B62,Consulta!$C:$C,0),'MM01'!AP$2),""))</f>
        <v/>
      </c>
      <c r="AQ62" s="45"/>
      <c r="AR62" s="43" t="str">
        <f>IF(IFERROR(INDEX(Consulta!$A:$DF,MATCH('MM01'!$B62,Consulta!$C:$C,0),'MM01'!AR$2),"")=0,"",IFERROR(INDEX(Consulta!$A:$DF,MATCH('MM01'!$B62,Consulta!$C:$C,0),'MM01'!AR$2),""))</f>
        <v/>
      </c>
      <c r="AS62" s="43" t="str">
        <f>IF(IFERROR(INDEX(Consulta!$A:$DF,MATCH('MM01'!$B62,Consulta!$C:$C,0),'MM01'!AS$2),"")=0,"",IF(AR62="68",5102,IFERROR(INDEX(Consulta!$A:$DF,MATCH('MM01'!$B62,Consulta!$C:$C,0),'MM01'!AS$2),"")))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IF(IFERROR(INDEX(Consulta!$A:$DF,MATCH('MM01'!$B62,Consulta!$C:$C,0),'MM01'!AW$2),"")=0,"",IFERROR(ROUND(INDEX(Consulta!$A:$DF,MATCH('MM01'!$B62,Consulta!$C:$C,0),'MM01'!AW$2),3),""))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IF(IFERROR(INDEX(Consulta!$A:$DF,MATCH('MM01'!$B62,Consulta!$C:$C,0),'MM01'!BA$2),"")=0,"",IFERROR(INDEX(Consulta!$A:$DF,MATCH('MM01'!$B62,Consulta!$C:$C,0),'MM01'!BA$2),""))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IF(IFERROR(INDEX(Consulta!$A:$DF,MATCH('MM01'!$B62,Consulta!$C:$C,0),'MM01'!BL$2),"")=0,"",IFERROR(INDEX(Consulta!$A:$DF,MATCH('MM01'!$B62,Consulta!$C:$C,0),'MM01'!BL$2),""))</f>
        <v/>
      </c>
      <c r="BM62" s="45"/>
      <c r="BN62" s="46" t="str">
        <f t="shared" ca="1" si="52"/>
        <v/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IF(IFERROR(INDEX(Consulta!$A:$DF,MATCH('MM01'!$B62,Consulta!$C:$C,0),'MM01'!BX$2),"")=0,"",IFERROR(INDEX(Consulta!$A:$DF,MATCH('MM01'!$B62,Consulta!$C:$C,0),'MM01'!BX$2),""))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IF(IFERROR(INDEX(Consulta!$A:$DF,MATCH('MM01'!$B62,Consulta!$C:$C,0),'MM01'!CT$2),"")=0,"",IFERROR(INDEX(Consulta!$A:$DF,MATCH('MM01'!$B62,Consulta!$C:$C,0),'MM01'!CT$2),""))</f>
        <v/>
      </c>
      <c r="CU62" s="43" t="str">
        <f>IF(IFERROR(INDEX(Consulta!$A:$DF,MATCH('MM01'!$B62,Consulta!$C:$C,0),'MM01'!CU$2),"")=0,"",IFERROR(INDEX(Consulta!$A:$DF,MATCH('MM01'!$B62,Consulta!$C:$C,0),'MM01'!CU$2),""))</f>
        <v/>
      </c>
      <c r="CV62" s="43" t="str">
        <f>IF(IFERROR(INDEX(Consulta!$A:$DF,MATCH('MM01'!$B62,Consulta!$C:$C,0),'MM01'!CV$2),"")=0,"",IFERROR(INDEX(Consulta!$A:$DF,MATCH('MM01'!$B62,Consulta!$C:$C,0),'MM01'!CV$2),""))</f>
        <v/>
      </c>
      <c r="CW62" s="43" t="str">
        <f>IF(IFERROR(INDEX(Consulta!$A:$DF,MATCH('MM01'!$B62,Consulta!$C:$C,0),'MM01'!CW$2),"")=0,"",IFERROR(INDEX(Consulta!$A:$DF,MATCH('MM01'!$B62,Consulta!$C:$C,0),'MM01'!CW$2),""))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IF(IFERROR(INDEX(Consulta!$A:$DF,MATCH('MM01'!$B62,Consulta!$C:$C,0),'MM01'!DA$2),"")=0,"",IFERROR(INDEX(Consulta!$A:$DF,MATCH('MM01'!$B62,Consulta!$C:$C,0),'MM01'!DA$2),""))</f>
        <v/>
      </c>
      <c r="DB62" s="43" t="str">
        <f t="shared" si="61"/>
        <v/>
      </c>
      <c r="DC62" s="43" t="str">
        <f>IF(IFERROR(INDEX(Consulta!$A:$DF,MATCH('MM01'!$B62,Consulta!$C:$C,0),'MM01'!DC$2),"")=0,"",IFERROR(INDEX(Consulta!$A:$DF,MATCH('MM01'!$B62,Consulta!$C:$C,0),'MM01'!DC$2),""))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5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5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5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5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IF(IFERROR(INDEX(Consulta!$A:$DF,MATCH('MM01'!$B62,Consulta!$C:$C,0),'MM01'!EB$2),"")=0,"7925",IF(IFERROR(INDEX(Consulta!$A:$DF,MATCH('MM01'!$B62,Consulta!$C:$C,0),'MM01'!EB$2),"")="68","7910","7925"))</f>
        <v>7925</v>
      </c>
      <c r="EC62" s="44">
        <v>100</v>
      </c>
      <c r="ED62" s="60">
        <v>1</v>
      </c>
      <c r="EE62" s="43">
        <f t="shared" si="77"/>
        <v>100</v>
      </c>
      <c r="EF62" s="44">
        <v>1</v>
      </c>
      <c r="EG62" s="44">
        <v>0</v>
      </c>
      <c r="EH62" s="44" t="s">
        <v>867</v>
      </c>
      <c r="EI62" s="45">
        <v>0</v>
      </c>
      <c r="EJ62" s="43">
        <f t="shared" si="78"/>
        <v>5000</v>
      </c>
      <c r="EK62" s="65"/>
    </row>
    <row r="63" spans="1:141" x14ac:dyDescent="0.3">
      <c r="A63" s="7" t="str">
        <f t="shared" si="0"/>
        <v>Execução 59</v>
      </c>
      <c r="B63" s="42"/>
      <c r="C63" s="43" t="str">
        <f>IF(IFERROR(INDEX(Consulta!$A:$DF,MATCH('MM01'!$B63,Consulta!$C:$C,0),'MM01'!C$2),"")=0,"",IFERROR(INDEX(Consulta!$A:$DF,MATCH('MM01'!$B63,Consulta!$C:$C,0),'MM01'!C$2),""))</f>
        <v/>
      </c>
      <c r="D63" s="43" t="str">
        <f>IF(IFERROR(INDEX(Consulta!$A:$DF,MATCH('MM01'!$B63,Consulta!$C:$C,0),'MM01'!D$2),"")=0,"",IFERROR(INDEX(Consulta!$A:$DF,MATCH('MM01'!$B63,Consulta!$C:$C,0),'MM01'!D$2),""))</f>
        <v/>
      </c>
      <c r="E63" s="43" t="str">
        <f>IF(IFERROR(INDEX(Consulta!$A:$DF,MATCH('MM01'!$B63,Consulta!$C:$C,0),'MM01'!E$2),"")=0,"",IFERROR(INDEX(Consulta!$A:$DF,MATCH('MM01'!$B63,Consulta!$C:$C,0),'MM01'!E$2),""))</f>
        <v/>
      </c>
      <c r="F63" s="44" t="s">
        <v>100</v>
      </c>
      <c r="G63" s="49" t="str">
        <f>IF(IFERROR(INDEX(Consulta!$A:$DF,MATCH('MM01'!$B63,Consulta!$C:$C,0),'MM01'!G$2),"")=0,"",IFERROR(INDEX(Consulta!$A:$DF,MATCH('MM01'!$B63,Consulta!$C:$C,0),'MM01'!G$2),""))</f>
        <v/>
      </c>
      <c r="H63" s="49" t="str">
        <f>IF(IFERROR(INDEX(Consulta!$A:$DF,MATCH('MM01'!$B63,Consulta!$C:$C,0),'MM01'!H$2),"")=0,"",IFERROR(INDEX(Consulta!$A:$DF,MATCH('MM01'!$B63,Consulta!$C:$C,0),'MM01'!H$2),""))</f>
        <v/>
      </c>
      <c r="I63" s="49" t="str">
        <f t="shared" si="40"/>
        <v/>
      </c>
      <c r="J63" s="49" t="str">
        <f>IF(IFERROR(INDEX(Consulta!$A:$DF,MATCH('MM01'!$B63,Consulta!$C:$C,0),'MM01'!J$2),"")=0,"",IFERROR(INDEX(Consulta!$A:$DF,MATCH('MM01'!$B63,Consulta!$C:$C,0),'MM01'!J$2),""))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IF(IFERROR(INDEX(Consulta!$A:$DF,MATCH('MM01'!$B63,Consulta!$C:$C,0),'MM01'!AP$2),"")=0,"",IFERROR(INDEX(Consulta!$A:$DF,MATCH('MM01'!$B63,Consulta!$C:$C,0),'MM01'!AP$2),""))</f>
        <v/>
      </c>
      <c r="AQ63" s="45"/>
      <c r="AR63" s="43" t="str">
        <f>IF(IFERROR(INDEX(Consulta!$A:$DF,MATCH('MM01'!$B63,Consulta!$C:$C,0),'MM01'!AR$2),"")=0,"",IFERROR(INDEX(Consulta!$A:$DF,MATCH('MM01'!$B63,Consulta!$C:$C,0),'MM01'!AR$2),""))</f>
        <v/>
      </c>
      <c r="AS63" s="43" t="str">
        <f>IF(IFERROR(INDEX(Consulta!$A:$DF,MATCH('MM01'!$B63,Consulta!$C:$C,0),'MM01'!AS$2),"")=0,"",IF(AR63="68",5102,IFERROR(INDEX(Consulta!$A:$DF,MATCH('MM01'!$B63,Consulta!$C:$C,0),'MM01'!AS$2),"")))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IF(IFERROR(INDEX(Consulta!$A:$DF,MATCH('MM01'!$B63,Consulta!$C:$C,0),'MM01'!AW$2),"")=0,"",IFERROR(ROUND(INDEX(Consulta!$A:$DF,MATCH('MM01'!$B63,Consulta!$C:$C,0),'MM01'!AW$2),3),""))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IF(IFERROR(INDEX(Consulta!$A:$DF,MATCH('MM01'!$B63,Consulta!$C:$C,0),'MM01'!BA$2),"")=0,"",IFERROR(INDEX(Consulta!$A:$DF,MATCH('MM01'!$B63,Consulta!$C:$C,0),'MM01'!BA$2),""))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IF(IFERROR(INDEX(Consulta!$A:$DF,MATCH('MM01'!$B63,Consulta!$C:$C,0),'MM01'!BL$2),"")=0,"",IFERROR(INDEX(Consulta!$A:$DF,MATCH('MM01'!$B63,Consulta!$C:$C,0),'MM01'!BL$2),""))</f>
        <v/>
      </c>
      <c r="BM63" s="45"/>
      <c r="BN63" s="46" t="str">
        <f t="shared" ca="1" si="52"/>
        <v/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IF(IFERROR(INDEX(Consulta!$A:$DF,MATCH('MM01'!$B63,Consulta!$C:$C,0),'MM01'!BX$2),"")=0,"",IFERROR(INDEX(Consulta!$A:$DF,MATCH('MM01'!$B63,Consulta!$C:$C,0),'MM01'!BX$2),""))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IF(IFERROR(INDEX(Consulta!$A:$DF,MATCH('MM01'!$B63,Consulta!$C:$C,0),'MM01'!CT$2),"")=0,"",IFERROR(INDEX(Consulta!$A:$DF,MATCH('MM01'!$B63,Consulta!$C:$C,0),'MM01'!CT$2),""))</f>
        <v/>
      </c>
      <c r="CU63" s="43" t="str">
        <f>IF(IFERROR(INDEX(Consulta!$A:$DF,MATCH('MM01'!$B63,Consulta!$C:$C,0),'MM01'!CU$2),"")=0,"",IFERROR(INDEX(Consulta!$A:$DF,MATCH('MM01'!$B63,Consulta!$C:$C,0),'MM01'!CU$2),""))</f>
        <v/>
      </c>
      <c r="CV63" s="43" t="str">
        <f>IF(IFERROR(INDEX(Consulta!$A:$DF,MATCH('MM01'!$B63,Consulta!$C:$C,0),'MM01'!CV$2),"")=0,"",IFERROR(INDEX(Consulta!$A:$DF,MATCH('MM01'!$B63,Consulta!$C:$C,0),'MM01'!CV$2),""))</f>
        <v/>
      </c>
      <c r="CW63" s="43" t="str">
        <f>IF(IFERROR(INDEX(Consulta!$A:$DF,MATCH('MM01'!$B63,Consulta!$C:$C,0),'MM01'!CW$2),"")=0,"",IFERROR(INDEX(Consulta!$A:$DF,MATCH('MM01'!$B63,Consulta!$C:$C,0),'MM01'!CW$2),""))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IF(IFERROR(INDEX(Consulta!$A:$DF,MATCH('MM01'!$B63,Consulta!$C:$C,0),'MM01'!DA$2),"")=0,"",IFERROR(INDEX(Consulta!$A:$DF,MATCH('MM01'!$B63,Consulta!$C:$C,0),'MM01'!DA$2),""))</f>
        <v/>
      </c>
      <c r="DB63" s="43" t="str">
        <f t="shared" si="61"/>
        <v/>
      </c>
      <c r="DC63" s="43" t="str">
        <f>IF(IFERROR(INDEX(Consulta!$A:$DF,MATCH('MM01'!$B63,Consulta!$C:$C,0),'MM01'!DC$2),"")=0,"",IFERROR(INDEX(Consulta!$A:$DF,MATCH('MM01'!$B63,Consulta!$C:$C,0),'MM01'!DC$2),""))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5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5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5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5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IF(IFERROR(INDEX(Consulta!$A:$DF,MATCH('MM01'!$B63,Consulta!$C:$C,0),'MM01'!EB$2),"")=0,"7925",IF(IFERROR(INDEX(Consulta!$A:$DF,MATCH('MM01'!$B63,Consulta!$C:$C,0),'MM01'!EB$2),"")="68","7910","7925"))</f>
        <v>7925</v>
      </c>
      <c r="EC63" s="44">
        <v>100</v>
      </c>
      <c r="ED63" s="60">
        <v>1</v>
      </c>
      <c r="EE63" s="43">
        <f t="shared" si="77"/>
        <v>100</v>
      </c>
      <c r="EF63" s="44">
        <v>1</v>
      </c>
      <c r="EG63" s="44">
        <v>0</v>
      </c>
      <c r="EH63" s="44" t="s">
        <v>867</v>
      </c>
      <c r="EI63" s="45">
        <v>0</v>
      </c>
      <c r="EJ63" s="43">
        <f t="shared" si="78"/>
        <v>5000</v>
      </c>
      <c r="EK63" s="65"/>
    </row>
    <row r="64" spans="1:141" x14ac:dyDescent="0.3">
      <c r="A64" s="7" t="str">
        <f t="shared" si="0"/>
        <v>Execução 60</v>
      </c>
      <c r="B64" s="42"/>
      <c r="C64" s="43" t="str">
        <f>IF(IFERROR(INDEX(Consulta!$A:$DF,MATCH('MM01'!$B64,Consulta!$C:$C,0),'MM01'!C$2),"")=0,"",IFERROR(INDEX(Consulta!$A:$DF,MATCH('MM01'!$B64,Consulta!$C:$C,0),'MM01'!C$2),""))</f>
        <v/>
      </c>
      <c r="D64" s="43" t="str">
        <f>IF(IFERROR(INDEX(Consulta!$A:$DF,MATCH('MM01'!$B64,Consulta!$C:$C,0),'MM01'!D$2),"")=0,"",IFERROR(INDEX(Consulta!$A:$DF,MATCH('MM01'!$B64,Consulta!$C:$C,0),'MM01'!D$2),""))</f>
        <v/>
      </c>
      <c r="E64" s="43" t="str">
        <f>IF(IFERROR(INDEX(Consulta!$A:$DF,MATCH('MM01'!$B64,Consulta!$C:$C,0),'MM01'!E$2),"")=0,"",IFERROR(INDEX(Consulta!$A:$DF,MATCH('MM01'!$B64,Consulta!$C:$C,0),'MM01'!E$2),""))</f>
        <v/>
      </c>
      <c r="F64" s="44" t="s">
        <v>100</v>
      </c>
      <c r="G64" s="49" t="str">
        <f>IF(IFERROR(INDEX(Consulta!$A:$DF,MATCH('MM01'!$B64,Consulta!$C:$C,0),'MM01'!G$2),"")=0,"",IFERROR(INDEX(Consulta!$A:$DF,MATCH('MM01'!$B64,Consulta!$C:$C,0),'MM01'!G$2),""))</f>
        <v/>
      </c>
      <c r="H64" s="49" t="str">
        <f>IF(IFERROR(INDEX(Consulta!$A:$DF,MATCH('MM01'!$B64,Consulta!$C:$C,0),'MM01'!H$2),"")=0,"",IFERROR(INDEX(Consulta!$A:$DF,MATCH('MM01'!$B64,Consulta!$C:$C,0),'MM01'!H$2),""))</f>
        <v/>
      </c>
      <c r="I64" s="49" t="str">
        <f t="shared" si="40"/>
        <v/>
      </c>
      <c r="J64" s="49" t="str">
        <f>IF(IFERROR(INDEX(Consulta!$A:$DF,MATCH('MM01'!$B64,Consulta!$C:$C,0),'MM01'!J$2),"")=0,"",IFERROR(INDEX(Consulta!$A:$DF,MATCH('MM01'!$B64,Consulta!$C:$C,0),'MM01'!J$2),""))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IF(IFERROR(INDEX(Consulta!$A:$DF,MATCH('MM01'!$B64,Consulta!$C:$C,0),'MM01'!AP$2),"")=0,"",IFERROR(INDEX(Consulta!$A:$DF,MATCH('MM01'!$B64,Consulta!$C:$C,0),'MM01'!AP$2),""))</f>
        <v/>
      </c>
      <c r="AQ64" s="45"/>
      <c r="AR64" s="43" t="str">
        <f>IF(IFERROR(INDEX(Consulta!$A:$DF,MATCH('MM01'!$B64,Consulta!$C:$C,0),'MM01'!AR$2),"")=0,"",IFERROR(INDEX(Consulta!$A:$DF,MATCH('MM01'!$B64,Consulta!$C:$C,0),'MM01'!AR$2),""))</f>
        <v/>
      </c>
      <c r="AS64" s="43" t="str">
        <f>IF(IFERROR(INDEX(Consulta!$A:$DF,MATCH('MM01'!$B64,Consulta!$C:$C,0),'MM01'!AS$2),"")=0,"",IF(AR64="68",5102,IFERROR(INDEX(Consulta!$A:$DF,MATCH('MM01'!$B64,Consulta!$C:$C,0),'MM01'!AS$2),"")))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IF(IFERROR(INDEX(Consulta!$A:$DF,MATCH('MM01'!$B64,Consulta!$C:$C,0),'MM01'!AW$2),"")=0,"",IFERROR(ROUND(INDEX(Consulta!$A:$DF,MATCH('MM01'!$B64,Consulta!$C:$C,0),'MM01'!AW$2),3),""))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IF(IFERROR(INDEX(Consulta!$A:$DF,MATCH('MM01'!$B64,Consulta!$C:$C,0),'MM01'!BA$2),"")=0,"",IFERROR(INDEX(Consulta!$A:$DF,MATCH('MM01'!$B64,Consulta!$C:$C,0),'MM01'!BA$2),""))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IF(IFERROR(INDEX(Consulta!$A:$DF,MATCH('MM01'!$B64,Consulta!$C:$C,0),'MM01'!BL$2),"")=0,"",IFERROR(INDEX(Consulta!$A:$DF,MATCH('MM01'!$B64,Consulta!$C:$C,0),'MM01'!BL$2),""))</f>
        <v/>
      </c>
      <c r="BM64" s="45"/>
      <c r="BN64" s="46" t="str">
        <f t="shared" ca="1" si="52"/>
        <v/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IF(IFERROR(INDEX(Consulta!$A:$DF,MATCH('MM01'!$B64,Consulta!$C:$C,0),'MM01'!BX$2),"")=0,"",IFERROR(INDEX(Consulta!$A:$DF,MATCH('MM01'!$B64,Consulta!$C:$C,0),'MM01'!BX$2),""))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IF(IFERROR(INDEX(Consulta!$A:$DF,MATCH('MM01'!$B64,Consulta!$C:$C,0),'MM01'!CT$2),"")=0,"",IFERROR(INDEX(Consulta!$A:$DF,MATCH('MM01'!$B64,Consulta!$C:$C,0),'MM01'!CT$2),""))</f>
        <v/>
      </c>
      <c r="CU64" s="43" t="str">
        <f>IF(IFERROR(INDEX(Consulta!$A:$DF,MATCH('MM01'!$B64,Consulta!$C:$C,0),'MM01'!CU$2),"")=0,"",IFERROR(INDEX(Consulta!$A:$DF,MATCH('MM01'!$B64,Consulta!$C:$C,0),'MM01'!CU$2),""))</f>
        <v/>
      </c>
      <c r="CV64" s="43" t="str">
        <f>IF(IFERROR(INDEX(Consulta!$A:$DF,MATCH('MM01'!$B64,Consulta!$C:$C,0),'MM01'!CV$2),"")=0,"",IFERROR(INDEX(Consulta!$A:$DF,MATCH('MM01'!$B64,Consulta!$C:$C,0),'MM01'!CV$2),""))</f>
        <v/>
      </c>
      <c r="CW64" s="43" t="str">
        <f>IF(IFERROR(INDEX(Consulta!$A:$DF,MATCH('MM01'!$B64,Consulta!$C:$C,0),'MM01'!CW$2),"")=0,"",IFERROR(INDEX(Consulta!$A:$DF,MATCH('MM01'!$B64,Consulta!$C:$C,0),'MM01'!CW$2),""))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IF(IFERROR(INDEX(Consulta!$A:$DF,MATCH('MM01'!$B64,Consulta!$C:$C,0),'MM01'!DA$2),"")=0,"",IFERROR(INDEX(Consulta!$A:$DF,MATCH('MM01'!$B64,Consulta!$C:$C,0),'MM01'!DA$2),""))</f>
        <v/>
      </c>
      <c r="DB64" s="43" t="str">
        <f t="shared" si="61"/>
        <v/>
      </c>
      <c r="DC64" s="43" t="str">
        <f>IF(IFERROR(INDEX(Consulta!$A:$DF,MATCH('MM01'!$B64,Consulta!$C:$C,0),'MM01'!DC$2),"")=0,"",IFERROR(INDEX(Consulta!$A:$DF,MATCH('MM01'!$B64,Consulta!$C:$C,0),'MM01'!DC$2),""))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5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5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5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5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IF(IFERROR(INDEX(Consulta!$A:$DF,MATCH('MM01'!$B64,Consulta!$C:$C,0),'MM01'!EB$2),"")=0,"7925",IF(IFERROR(INDEX(Consulta!$A:$DF,MATCH('MM01'!$B64,Consulta!$C:$C,0),'MM01'!EB$2),"")="68","7910","7925"))</f>
        <v>7925</v>
      </c>
      <c r="EC64" s="44">
        <v>100</v>
      </c>
      <c r="ED64" s="60">
        <v>1</v>
      </c>
      <c r="EE64" s="43">
        <f t="shared" si="77"/>
        <v>100</v>
      </c>
      <c r="EF64" s="44">
        <v>1</v>
      </c>
      <c r="EG64" s="44">
        <v>0</v>
      </c>
      <c r="EH64" s="44" t="s">
        <v>867</v>
      </c>
      <c r="EI64" s="45">
        <v>0</v>
      </c>
      <c r="EJ64" s="43">
        <f t="shared" si="78"/>
        <v>5000</v>
      </c>
      <c r="EK64" s="65"/>
    </row>
    <row r="65" spans="1:141" x14ac:dyDescent="0.3">
      <c r="A65" s="7" t="str">
        <f t="shared" si="0"/>
        <v>Execução 61</v>
      </c>
      <c r="B65" s="42"/>
      <c r="C65" s="43" t="str">
        <f>IF(IFERROR(INDEX(Consulta!$A:$DF,MATCH('MM01'!$B65,Consulta!$C:$C,0),'MM01'!C$2),"")=0,"",IFERROR(INDEX(Consulta!$A:$DF,MATCH('MM01'!$B65,Consulta!$C:$C,0),'MM01'!C$2),""))</f>
        <v/>
      </c>
      <c r="D65" s="43" t="str">
        <f>IF(IFERROR(INDEX(Consulta!$A:$DF,MATCH('MM01'!$B65,Consulta!$C:$C,0),'MM01'!D$2),"")=0,"",IFERROR(INDEX(Consulta!$A:$DF,MATCH('MM01'!$B65,Consulta!$C:$C,0),'MM01'!D$2),""))</f>
        <v/>
      </c>
      <c r="E65" s="43" t="str">
        <f>IF(IFERROR(INDEX(Consulta!$A:$DF,MATCH('MM01'!$B65,Consulta!$C:$C,0),'MM01'!E$2),"")=0,"",IFERROR(INDEX(Consulta!$A:$DF,MATCH('MM01'!$B65,Consulta!$C:$C,0),'MM01'!E$2),""))</f>
        <v/>
      </c>
      <c r="F65" s="44" t="s">
        <v>100</v>
      </c>
      <c r="G65" s="49" t="str">
        <f>IF(IFERROR(INDEX(Consulta!$A:$DF,MATCH('MM01'!$B65,Consulta!$C:$C,0),'MM01'!G$2),"")=0,"",IFERROR(INDEX(Consulta!$A:$DF,MATCH('MM01'!$B65,Consulta!$C:$C,0),'MM01'!G$2),""))</f>
        <v/>
      </c>
      <c r="H65" s="49" t="str">
        <f>IF(IFERROR(INDEX(Consulta!$A:$DF,MATCH('MM01'!$B65,Consulta!$C:$C,0),'MM01'!H$2),"")=0,"",IFERROR(INDEX(Consulta!$A:$DF,MATCH('MM01'!$B65,Consulta!$C:$C,0),'MM01'!H$2),""))</f>
        <v/>
      </c>
      <c r="I65" s="49" t="str">
        <f t="shared" si="40"/>
        <v/>
      </c>
      <c r="J65" s="49" t="str">
        <f>IF(IFERROR(INDEX(Consulta!$A:$DF,MATCH('MM01'!$B65,Consulta!$C:$C,0),'MM01'!J$2),"")=0,"",IFERROR(INDEX(Consulta!$A:$DF,MATCH('MM01'!$B65,Consulta!$C:$C,0),'MM01'!J$2),""))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IF(IFERROR(INDEX(Consulta!$A:$DF,MATCH('MM01'!$B65,Consulta!$C:$C,0),'MM01'!AP$2),"")=0,"",IFERROR(INDEX(Consulta!$A:$DF,MATCH('MM01'!$B65,Consulta!$C:$C,0),'MM01'!AP$2),""))</f>
        <v/>
      </c>
      <c r="AQ65" s="45"/>
      <c r="AR65" s="43" t="str">
        <f>IF(IFERROR(INDEX(Consulta!$A:$DF,MATCH('MM01'!$B65,Consulta!$C:$C,0),'MM01'!AR$2),"")=0,"",IFERROR(INDEX(Consulta!$A:$DF,MATCH('MM01'!$B65,Consulta!$C:$C,0),'MM01'!AR$2),""))</f>
        <v/>
      </c>
      <c r="AS65" s="43" t="str">
        <f>IF(IFERROR(INDEX(Consulta!$A:$DF,MATCH('MM01'!$B65,Consulta!$C:$C,0),'MM01'!AS$2),"")=0,"",IF(AR65="68",5102,IFERROR(INDEX(Consulta!$A:$DF,MATCH('MM01'!$B65,Consulta!$C:$C,0),'MM01'!AS$2),"")))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IF(IFERROR(INDEX(Consulta!$A:$DF,MATCH('MM01'!$B65,Consulta!$C:$C,0),'MM01'!AW$2),"")=0,"",IFERROR(ROUND(INDEX(Consulta!$A:$DF,MATCH('MM01'!$B65,Consulta!$C:$C,0),'MM01'!AW$2),3),""))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IF(IFERROR(INDEX(Consulta!$A:$DF,MATCH('MM01'!$B65,Consulta!$C:$C,0),'MM01'!BA$2),"")=0,"",IFERROR(INDEX(Consulta!$A:$DF,MATCH('MM01'!$B65,Consulta!$C:$C,0),'MM01'!BA$2),""))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IF(IFERROR(INDEX(Consulta!$A:$DF,MATCH('MM01'!$B65,Consulta!$C:$C,0),'MM01'!BL$2),"")=0,"",IFERROR(INDEX(Consulta!$A:$DF,MATCH('MM01'!$B65,Consulta!$C:$C,0),'MM01'!BL$2),""))</f>
        <v/>
      </c>
      <c r="BM65" s="45"/>
      <c r="BN65" s="46" t="str">
        <f t="shared" ca="1" si="52"/>
        <v/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IF(IFERROR(INDEX(Consulta!$A:$DF,MATCH('MM01'!$B65,Consulta!$C:$C,0),'MM01'!BX$2),"")=0,"",IFERROR(INDEX(Consulta!$A:$DF,MATCH('MM01'!$B65,Consulta!$C:$C,0),'MM01'!BX$2),""))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IF(IFERROR(INDEX(Consulta!$A:$DF,MATCH('MM01'!$B65,Consulta!$C:$C,0),'MM01'!CT$2),"")=0,"",IFERROR(INDEX(Consulta!$A:$DF,MATCH('MM01'!$B65,Consulta!$C:$C,0),'MM01'!CT$2),""))</f>
        <v/>
      </c>
      <c r="CU65" s="43" t="str">
        <f>IF(IFERROR(INDEX(Consulta!$A:$DF,MATCH('MM01'!$B65,Consulta!$C:$C,0),'MM01'!CU$2),"")=0,"",IFERROR(INDEX(Consulta!$A:$DF,MATCH('MM01'!$B65,Consulta!$C:$C,0),'MM01'!CU$2),""))</f>
        <v/>
      </c>
      <c r="CV65" s="43" t="str">
        <f>IF(IFERROR(INDEX(Consulta!$A:$DF,MATCH('MM01'!$B65,Consulta!$C:$C,0),'MM01'!CV$2),"")=0,"",IFERROR(INDEX(Consulta!$A:$DF,MATCH('MM01'!$B65,Consulta!$C:$C,0),'MM01'!CV$2),""))</f>
        <v/>
      </c>
      <c r="CW65" s="43" t="str">
        <f>IF(IFERROR(INDEX(Consulta!$A:$DF,MATCH('MM01'!$B65,Consulta!$C:$C,0),'MM01'!CW$2),"")=0,"",IFERROR(INDEX(Consulta!$A:$DF,MATCH('MM01'!$B65,Consulta!$C:$C,0),'MM01'!CW$2),""))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IF(IFERROR(INDEX(Consulta!$A:$DF,MATCH('MM01'!$B65,Consulta!$C:$C,0),'MM01'!DA$2),"")=0,"",IFERROR(INDEX(Consulta!$A:$DF,MATCH('MM01'!$B65,Consulta!$C:$C,0),'MM01'!DA$2),""))</f>
        <v/>
      </c>
      <c r="DB65" s="43" t="str">
        <f t="shared" si="61"/>
        <v/>
      </c>
      <c r="DC65" s="43" t="str">
        <f>IF(IFERROR(INDEX(Consulta!$A:$DF,MATCH('MM01'!$B65,Consulta!$C:$C,0),'MM01'!DC$2),"")=0,"",IFERROR(INDEX(Consulta!$A:$DF,MATCH('MM01'!$B65,Consulta!$C:$C,0),'MM01'!DC$2),""))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5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5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5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5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IF(IFERROR(INDEX(Consulta!$A:$DF,MATCH('MM01'!$B65,Consulta!$C:$C,0),'MM01'!EB$2),"")=0,"7925",IF(IFERROR(INDEX(Consulta!$A:$DF,MATCH('MM01'!$B65,Consulta!$C:$C,0),'MM01'!EB$2),"")="68","7910","7925"))</f>
        <v>7925</v>
      </c>
      <c r="EC65" s="44">
        <v>100</v>
      </c>
      <c r="ED65" s="60">
        <v>1</v>
      </c>
      <c r="EE65" s="43">
        <f t="shared" si="77"/>
        <v>100</v>
      </c>
      <c r="EF65" s="44">
        <v>1</v>
      </c>
      <c r="EG65" s="44">
        <v>0</v>
      </c>
      <c r="EH65" s="44" t="s">
        <v>867</v>
      </c>
      <c r="EI65" s="45">
        <v>0</v>
      </c>
      <c r="EJ65" s="43">
        <f t="shared" si="78"/>
        <v>5000</v>
      </c>
      <c r="EK65" s="65"/>
    </row>
    <row r="66" spans="1:141" x14ac:dyDescent="0.3">
      <c r="A66" s="7" t="str">
        <f t="shared" si="0"/>
        <v>Execução 62</v>
      </c>
      <c r="B66" s="42"/>
      <c r="C66" s="43" t="str">
        <f>IF(IFERROR(INDEX(Consulta!$A:$DF,MATCH('MM01'!$B66,Consulta!$C:$C,0),'MM01'!C$2),"")=0,"",IFERROR(INDEX(Consulta!$A:$DF,MATCH('MM01'!$B66,Consulta!$C:$C,0),'MM01'!C$2),""))</f>
        <v/>
      </c>
      <c r="D66" s="43" t="str">
        <f>IF(IFERROR(INDEX(Consulta!$A:$DF,MATCH('MM01'!$B66,Consulta!$C:$C,0),'MM01'!D$2),"")=0,"",IFERROR(INDEX(Consulta!$A:$DF,MATCH('MM01'!$B66,Consulta!$C:$C,0),'MM01'!D$2),""))</f>
        <v/>
      </c>
      <c r="E66" s="43" t="str">
        <f>IF(IFERROR(INDEX(Consulta!$A:$DF,MATCH('MM01'!$B66,Consulta!$C:$C,0),'MM01'!E$2),"")=0,"",IFERROR(INDEX(Consulta!$A:$DF,MATCH('MM01'!$B66,Consulta!$C:$C,0),'MM01'!E$2),""))</f>
        <v/>
      </c>
      <c r="F66" s="44" t="s">
        <v>100</v>
      </c>
      <c r="G66" s="49" t="str">
        <f>IF(IFERROR(INDEX(Consulta!$A:$DF,MATCH('MM01'!$B66,Consulta!$C:$C,0),'MM01'!G$2),"")=0,"",IFERROR(INDEX(Consulta!$A:$DF,MATCH('MM01'!$B66,Consulta!$C:$C,0),'MM01'!G$2),""))</f>
        <v/>
      </c>
      <c r="H66" s="49" t="str">
        <f>IF(IFERROR(INDEX(Consulta!$A:$DF,MATCH('MM01'!$B66,Consulta!$C:$C,0),'MM01'!H$2),"")=0,"",IFERROR(INDEX(Consulta!$A:$DF,MATCH('MM01'!$B66,Consulta!$C:$C,0),'MM01'!H$2),""))</f>
        <v/>
      </c>
      <c r="I66" s="49" t="str">
        <f t="shared" si="40"/>
        <v/>
      </c>
      <c r="J66" s="49" t="str">
        <f>IF(IFERROR(INDEX(Consulta!$A:$DF,MATCH('MM01'!$B66,Consulta!$C:$C,0),'MM01'!J$2),"")=0,"",IFERROR(INDEX(Consulta!$A:$DF,MATCH('MM01'!$B66,Consulta!$C:$C,0),'MM01'!J$2),""))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IF(IFERROR(INDEX(Consulta!$A:$DF,MATCH('MM01'!$B66,Consulta!$C:$C,0),'MM01'!AP$2),"")=0,"",IFERROR(INDEX(Consulta!$A:$DF,MATCH('MM01'!$B66,Consulta!$C:$C,0),'MM01'!AP$2),""))</f>
        <v/>
      </c>
      <c r="AQ66" s="45"/>
      <c r="AR66" s="43" t="str">
        <f>IF(IFERROR(INDEX(Consulta!$A:$DF,MATCH('MM01'!$B66,Consulta!$C:$C,0),'MM01'!AR$2),"")=0,"",IFERROR(INDEX(Consulta!$A:$DF,MATCH('MM01'!$B66,Consulta!$C:$C,0),'MM01'!AR$2),""))</f>
        <v/>
      </c>
      <c r="AS66" s="43" t="str">
        <f>IF(IFERROR(INDEX(Consulta!$A:$DF,MATCH('MM01'!$B66,Consulta!$C:$C,0),'MM01'!AS$2),"")=0,"",IF(AR66="68",5102,IFERROR(INDEX(Consulta!$A:$DF,MATCH('MM01'!$B66,Consulta!$C:$C,0),'MM01'!AS$2),"")))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IF(IFERROR(INDEX(Consulta!$A:$DF,MATCH('MM01'!$B66,Consulta!$C:$C,0),'MM01'!AW$2),"")=0,"",IFERROR(ROUND(INDEX(Consulta!$A:$DF,MATCH('MM01'!$B66,Consulta!$C:$C,0),'MM01'!AW$2),3),""))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IF(IFERROR(INDEX(Consulta!$A:$DF,MATCH('MM01'!$B66,Consulta!$C:$C,0),'MM01'!BA$2),"")=0,"",IFERROR(INDEX(Consulta!$A:$DF,MATCH('MM01'!$B66,Consulta!$C:$C,0),'MM01'!BA$2),""))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IF(IFERROR(INDEX(Consulta!$A:$DF,MATCH('MM01'!$B66,Consulta!$C:$C,0),'MM01'!BL$2),"")=0,"",IFERROR(INDEX(Consulta!$A:$DF,MATCH('MM01'!$B66,Consulta!$C:$C,0),'MM01'!BL$2),""))</f>
        <v/>
      </c>
      <c r="BM66" s="45"/>
      <c r="BN66" s="46" t="str">
        <f t="shared" ca="1" si="52"/>
        <v/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IF(IFERROR(INDEX(Consulta!$A:$DF,MATCH('MM01'!$B66,Consulta!$C:$C,0),'MM01'!BX$2),"")=0,"",IFERROR(INDEX(Consulta!$A:$DF,MATCH('MM01'!$B66,Consulta!$C:$C,0),'MM01'!BX$2),""))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IF(IFERROR(INDEX(Consulta!$A:$DF,MATCH('MM01'!$B66,Consulta!$C:$C,0),'MM01'!CT$2),"")=0,"",IFERROR(INDEX(Consulta!$A:$DF,MATCH('MM01'!$B66,Consulta!$C:$C,0),'MM01'!CT$2),""))</f>
        <v/>
      </c>
      <c r="CU66" s="43" t="str">
        <f>IF(IFERROR(INDEX(Consulta!$A:$DF,MATCH('MM01'!$B66,Consulta!$C:$C,0),'MM01'!CU$2),"")=0,"",IFERROR(INDEX(Consulta!$A:$DF,MATCH('MM01'!$B66,Consulta!$C:$C,0),'MM01'!CU$2),""))</f>
        <v/>
      </c>
      <c r="CV66" s="43" t="str">
        <f>IF(IFERROR(INDEX(Consulta!$A:$DF,MATCH('MM01'!$B66,Consulta!$C:$C,0),'MM01'!CV$2),"")=0,"",IFERROR(INDEX(Consulta!$A:$DF,MATCH('MM01'!$B66,Consulta!$C:$C,0),'MM01'!CV$2),""))</f>
        <v/>
      </c>
      <c r="CW66" s="43" t="str">
        <f>IF(IFERROR(INDEX(Consulta!$A:$DF,MATCH('MM01'!$B66,Consulta!$C:$C,0),'MM01'!CW$2),"")=0,"",IFERROR(INDEX(Consulta!$A:$DF,MATCH('MM01'!$B66,Consulta!$C:$C,0),'MM01'!CW$2),""))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IF(IFERROR(INDEX(Consulta!$A:$DF,MATCH('MM01'!$B66,Consulta!$C:$C,0),'MM01'!DA$2),"")=0,"",IFERROR(INDEX(Consulta!$A:$DF,MATCH('MM01'!$B66,Consulta!$C:$C,0),'MM01'!DA$2),""))</f>
        <v/>
      </c>
      <c r="DB66" s="43" t="str">
        <f t="shared" si="61"/>
        <v/>
      </c>
      <c r="DC66" s="43" t="str">
        <f>IF(IFERROR(INDEX(Consulta!$A:$DF,MATCH('MM01'!$B66,Consulta!$C:$C,0),'MM01'!DC$2),"")=0,"",IFERROR(INDEX(Consulta!$A:$DF,MATCH('MM01'!$B66,Consulta!$C:$C,0),'MM01'!DC$2),""))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5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5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5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5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IF(IFERROR(INDEX(Consulta!$A:$DF,MATCH('MM01'!$B66,Consulta!$C:$C,0),'MM01'!EB$2),"")=0,"7925",IF(IFERROR(INDEX(Consulta!$A:$DF,MATCH('MM01'!$B66,Consulta!$C:$C,0),'MM01'!EB$2),"")="68","7910","7925"))</f>
        <v>7925</v>
      </c>
      <c r="EC66" s="44">
        <v>100</v>
      </c>
      <c r="ED66" s="60">
        <v>1</v>
      </c>
      <c r="EE66" s="43">
        <f t="shared" si="77"/>
        <v>100</v>
      </c>
      <c r="EF66" s="44">
        <v>1</v>
      </c>
      <c r="EG66" s="44">
        <v>0</v>
      </c>
      <c r="EH66" s="44" t="s">
        <v>867</v>
      </c>
      <c r="EI66" s="45">
        <v>0</v>
      </c>
      <c r="EJ66" s="43">
        <f t="shared" si="78"/>
        <v>5000</v>
      </c>
      <c r="EK66" s="65"/>
    </row>
    <row r="67" spans="1:141" x14ac:dyDescent="0.3">
      <c r="A67" s="7" t="str">
        <f t="shared" si="0"/>
        <v>Execução 63</v>
      </c>
      <c r="B67" s="42"/>
      <c r="C67" s="43" t="str">
        <f>IF(IFERROR(INDEX(Consulta!$A:$DF,MATCH('MM01'!$B67,Consulta!$C:$C,0),'MM01'!C$2),"")=0,"",IFERROR(INDEX(Consulta!$A:$DF,MATCH('MM01'!$B67,Consulta!$C:$C,0),'MM01'!C$2),""))</f>
        <v/>
      </c>
      <c r="D67" s="43" t="str">
        <f>IF(IFERROR(INDEX(Consulta!$A:$DF,MATCH('MM01'!$B67,Consulta!$C:$C,0),'MM01'!D$2),"")=0,"",IFERROR(INDEX(Consulta!$A:$DF,MATCH('MM01'!$B67,Consulta!$C:$C,0),'MM01'!D$2),""))</f>
        <v/>
      </c>
      <c r="E67" s="43" t="str">
        <f>IF(IFERROR(INDEX(Consulta!$A:$DF,MATCH('MM01'!$B67,Consulta!$C:$C,0),'MM01'!E$2),"")=0,"",IFERROR(INDEX(Consulta!$A:$DF,MATCH('MM01'!$B67,Consulta!$C:$C,0),'MM01'!E$2),""))</f>
        <v/>
      </c>
      <c r="F67" s="44" t="s">
        <v>100</v>
      </c>
      <c r="G67" s="49" t="str">
        <f>IF(IFERROR(INDEX(Consulta!$A:$DF,MATCH('MM01'!$B67,Consulta!$C:$C,0),'MM01'!G$2),"")=0,"",IFERROR(INDEX(Consulta!$A:$DF,MATCH('MM01'!$B67,Consulta!$C:$C,0),'MM01'!G$2),""))</f>
        <v/>
      </c>
      <c r="H67" s="49" t="str">
        <f>IF(IFERROR(INDEX(Consulta!$A:$DF,MATCH('MM01'!$B67,Consulta!$C:$C,0),'MM01'!H$2),"")=0,"",IFERROR(INDEX(Consulta!$A:$DF,MATCH('MM01'!$B67,Consulta!$C:$C,0),'MM01'!H$2),""))</f>
        <v/>
      </c>
      <c r="I67" s="49" t="str">
        <f t="shared" si="40"/>
        <v/>
      </c>
      <c r="J67" s="49" t="str">
        <f>IF(IFERROR(INDEX(Consulta!$A:$DF,MATCH('MM01'!$B67,Consulta!$C:$C,0),'MM01'!J$2),"")=0,"",IFERROR(INDEX(Consulta!$A:$DF,MATCH('MM01'!$B67,Consulta!$C:$C,0),'MM01'!J$2),""))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IF(IFERROR(INDEX(Consulta!$A:$DF,MATCH('MM01'!$B67,Consulta!$C:$C,0),'MM01'!AP$2),"")=0,"",IFERROR(INDEX(Consulta!$A:$DF,MATCH('MM01'!$B67,Consulta!$C:$C,0),'MM01'!AP$2),""))</f>
        <v/>
      </c>
      <c r="AQ67" s="45"/>
      <c r="AR67" s="43" t="str">
        <f>IF(IFERROR(INDEX(Consulta!$A:$DF,MATCH('MM01'!$B67,Consulta!$C:$C,0),'MM01'!AR$2),"")=0,"",IFERROR(INDEX(Consulta!$A:$DF,MATCH('MM01'!$B67,Consulta!$C:$C,0),'MM01'!AR$2),""))</f>
        <v/>
      </c>
      <c r="AS67" s="43" t="str">
        <f>IF(IFERROR(INDEX(Consulta!$A:$DF,MATCH('MM01'!$B67,Consulta!$C:$C,0),'MM01'!AS$2),"")=0,"",IF(AR67="68",5102,IFERROR(INDEX(Consulta!$A:$DF,MATCH('MM01'!$B67,Consulta!$C:$C,0),'MM01'!AS$2),"")))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IF(IFERROR(INDEX(Consulta!$A:$DF,MATCH('MM01'!$B67,Consulta!$C:$C,0),'MM01'!AW$2),"")=0,"",IFERROR(ROUND(INDEX(Consulta!$A:$DF,MATCH('MM01'!$B67,Consulta!$C:$C,0),'MM01'!AW$2),3),""))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IF(IFERROR(INDEX(Consulta!$A:$DF,MATCH('MM01'!$B67,Consulta!$C:$C,0),'MM01'!BA$2),"")=0,"",IFERROR(INDEX(Consulta!$A:$DF,MATCH('MM01'!$B67,Consulta!$C:$C,0),'MM01'!BA$2),""))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IF(IFERROR(INDEX(Consulta!$A:$DF,MATCH('MM01'!$B67,Consulta!$C:$C,0),'MM01'!BL$2),"")=0,"",IFERROR(INDEX(Consulta!$A:$DF,MATCH('MM01'!$B67,Consulta!$C:$C,0),'MM01'!BL$2),""))</f>
        <v/>
      </c>
      <c r="BM67" s="45"/>
      <c r="BN67" s="46" t="str">
        <f t="shared" ca="1" si="52"/>
        <v/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IF(IFERROR(INDEX(Consulta!$A:$DF,MATCH('MM01'!$B67,Consulta!$C:$C,0),'MM01'!BX$2),"")=0,"",IFERROR(INDEX(Consulta!$A:$DF,MATCH('MM01'!$B67,Consulta!$C:$C,0),'MM01'!BX$2),""))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IF(IFERROR(INDEX(Consulta!$A:$DF,MATCH('MM01'!$B67,Consulta!$C:$C,0),'MM01'!CT$2),"")=0,"",IFERROR(INDEX(Consulta!$A:$DF,MATCH('MM01'!$B67,Consulta!$C:$C,0),'MM01'!CT$2),""))</f>
        <v/>
      </c>
      <c r="CU67" s="43" t="str">
        <f>IF(IFERROR(INDEX(Consulta!$A:$DF,MATCH('MM01'!$B67,Consulta!$C:$C,0),'MM01'!CU$2),"")=0,"",IFERROR(INDEX(Consulta!$A:$DF,MATCH('MM01'!$B67,Consulta!$C:$C,0),'MM01'!CU$2),""))</f>
        <v/>
      </c>
      <c r="CV67" s="43" t="str">
        <f>IF(IFERROR(INDEX(Consulta!$A:$DF,MATCH('MM01'!$B67,Consulta!$C:$C,0),'MM01'!CV$2),"")=0,"",IFERROR(INDEX(Consulta!$A:$DF,MATCH('MM01'!$B67,Consulta!$C:$C,0),'MM01'!CV$2),""))</f>
        <v/>
      </c>
      <c r="CW67" s="43" t="str">
        <f>IF(IFERROR(INDEX(Consulta!$A:$DF,MATCH('MM01'!$B67,Consulta!$C:$C,0),'MM01'!CW$2),"")=0,"",IFERROR(INDEX(Consulta!$A:$DF,MATCH('MM01'!$B67,Consulta!$C:$C,0),'MM01'!CW$2),""))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IF(IFERROR(INDEX(Consulta!$A:$DF,MATCH('MM01'!$B67,Consulta!$C:$C,0),'MM01'!DA$2),"")=0,"",IFERROR(INDEX(Consulta!$A:$DF,MATCH('MM01'!$B67,Consulta!$C:$C,0),'MM01'!DA$2),""))</f>
        <v/>
      </c>
      <c r="DB67" s="43" t="str">
        <f t="shared" si="61"/>
        <v/>
      </c>
      <c r="DC67" s="43" t="str">
        <f>IF(IFERROR(INDEX(Consulta!$A:$DF,MATCH('MM01'!$B67,Consulta!$C:$C,0),'MM01'!DC$2),"")=0,"",IFERROR(INDEX(Consulta!$A:$DF,MATCH('MM01'!$B67,Consulta!$C:$C,0),'MM01'!DC$2),""))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5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5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5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5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IF(IFERROR(INDEX(Consulta!$A:$DF,MATCH('MM01'!$B67,Consulta!$C:$C,0),'MM01'!EB$2),"")=0,"7925",IF(IFERROR(INDEX(Consulta!$A:$DF,MATCH('MM01'!$B67,Consulta!$C:$C,0),'MM01'!EB$2),"")="68","7910","7925"))</f>
        <v>7925</v>
      </c>
      <c r="EC67" s="44">
        <v>100</v>
      </c>
      <c r="ED67" s="60">
        <v>1</v>
      </c>
      <c r="EE67" s="43">
        <f t="shared" si="77"/>
        <v>100</v>
      </c>
      <c r="EF67" s="44">
        <v>1</v>
      </c>
      <c r="EG67" s="44">
        <v>0</v>
      </c>
      <c r="EH67" s="44" t="s">
        <v>867</v>
      </c>
      <c r="EI67" s="45">
        <v>0</v>
      </c>
      <c r="EJ67" s="43">
        <f t="shared" si="78"/>
        <v>5000</v>
      </c>
      <c r="EK67" s="65"/>
    </row>
    <row r="68" spans="1:141" x14ac:dyDescent="0.3">
      <c r="A68" s="7" t="str">
        <f t="shared" si="0"/>
        <v>Execução 64</v>
      </c>
      <c r="B68" s="42"/>
      <c r="C68" s="43" t="str">
        <f>IF(IFERROR(INDEX(Consulta!$A:$DF,MATCH('MM01'!$B68,Consulta!$C:$C,0),'MM01'!C$2),"")=0,"",IFERROR(INDEX(Consulta!$A:$DF,MATCH('MM01'!$B68,Consulta!$C:$C,0),'MM01'!C$2),""))</f>
        <v/>
      </c>
      <c r="D68" s="43" t="str">
        <f>IF(IFERROR(INDEX(Consulta!$A:$DF,MATCH('MM01'!$B68,Consulta!$C:$C,0),'MM01'!D$2),"")=0,"",IFERROR(INDEX(Consulta!$A:$DF,MATCH('MM01'!$B68,Consulta!$C:$C,0),'MM01'!D$2),""))</f>
        <v/>
      </c>
      <c r="E68" s="43" t="str">
        <f>IF(IFERROR(INDEX(Consulta!$A:$DF,MATCH('MM01'!$B68,Consulta!$C:$C,0),'MM01'!E$2),"")=0,"",IFERROR(INDEX(Consulta!$A:$DF,MATCH('MM01'!$B68,Consulta!$C:$C,0),'MM01'!E$2),""))</f>
        <v/>
      </c>
      <c r="F68" s="44" t="s">
        <v>100</v>
      </c>
      <c r="G68" s="49" t="str">
        <f>IF(IFERROR(INDEX(Consulta!$A:$DF,MATCH('MM01'!$B68,Consulta!$C:$C,0),'MM01'!G$2),"")=0,"",IFERROR(INDEX(Consulta!$A:$DF,MATCH('MM01'!$B68,Consulta!$C:$C,0),'MM01'!G$2),""))</f>
        <v/>
      </c>
      <c r="H68" s="49" t="str">
        <f>IF(IFERROR(INDEX(Consulta!$A:$DF,MATCH('MM01'!$B68,Consulta!$C:$C,0),'MM01'!H$2),"")=0,"",IFERROR(INDEX(Consulta!$A:$DF,MATCH('MM01'!$B68,Consulta!$C:$C,0),'MM01'!H$2),""))</f>
        <v/>
      </c>
      <c r="I68" s="49" t="str">
        <f t="shared" si="40"/>
        <v/>
      </c>
      <c r="J68" s="49" t="str">
        <f>IF(IFERROR(INDEX(Consulta!$A:$DF,MATCH('MM01'!$B68,Consulta!$C:$C,0),'MM01'!J$2),"")=0,"",IFERROR(INDEX(Consulta!$A:$DF,MATCH('MM01'!$B68,Consulta!$C:$C,0),'MM01'!J$2),""))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IF(IFERROR(INDEX(Consulta!$A:$DF,MATCH('MM01'!$B68,Consulta!$C:$C,0),'MM01'!AP$2),"")=0,"",IFERROR(INDEX(Consulta!$A:$DF,MATCH('MM01'!$B68,Consulta!$C:$C,0),'MM01'!AP$2),""))</f>
        <v/>
      </c>
      <c r="AQ68" s="45"/>
      <c r="AR68" s="43" t="str">
        <f>IF(IFERROR(INDEX(Consulta!$A:$DF,MATCH('MM01'!$B68,Consulta!$C:$C,0),'MM01'!AR$2),"")=0,"",IFERROR(INDEX(Consulta!$A:$DF,MATCH('MM01'!$B68,Consulta!$C:$C,0),'MM01'!AR$2),""))</f>
        <v/>
      </c>
      <c r="AS68" s="43" t="str">
        <f>IF(IFERROR(INDEX(Consulta!$A:$DF,MATCH('MM01'!$B68,Consulta!$C:$C,0),'MM01'!AS$2),"")=0,"",IF(AR68="68",5102,IFERROR(INDEX(Consulta!$A:$DF,MATCH('MM01'!$B68,Consulta!$C:$C,0),'MM01'!AS$2),"")))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IF(IFERROR(INDEX(Consulta!$A:$DF,MATCH('MM01'!$B68,Consulta!$C:$C,0),'MM01'!AW$2),"")=0,"",IFERROR(ROUND(INDEX(Consulta!$A:$DF,MATCH('MM01'!$B68,Consulta!$C:$C,0),'MM01'!AW$2),3),""))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IF(IFERROR(INDEX(Consulta!$A:$DF,MATCH('MM01'!$B68,Consulta!$C:$C,0),'MM01'!BA$2),"")=0,"",IFERROR(INDEX(Consulta!$A:$DF,MATCH('MM01'!$B68,Consulta!$C:$C,0),'MM01'!BA$2),""))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IF(IFERROR(INDEX(Consulta!$A:$DF,MATCH('MM01'!$B68,Consulta!$C:$C,0),'MM01'!BL$2),"")=0,"",IFERROR(INDEX(Consulta!$A:$DF,MATCH('MM01'!$B68,Consulta!$C:$C,0),'MM01'!BL$2),""))</f>
        <v/>
      </c>
      <c r="BM68" s="45"/>
      <c r="BN68" s="46" t="str">
        <f t="shared" ca="1" si="52"/>
        <v/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IF(IFERROR(INDEX(Consulta!$A:$DF,MATCH('MM01'!$B68,Consulta!$C:$C,0),'MM01'!BX$2),"")=0,"",IFERROR(INDEX(Consulta!$A:$DF,MATCH('MM01'!$B68,Consulta!$C:$C,0),'MM01'!BX$2),""))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IF(IFERROR(INDEX(Consulta!$A:$DF,MATCH('MM01'!$B68,Consulta!$C:$C,0),'MM01'!CT$2),"")=0,"",IFERROR(INDEX(Consulta!$A:$DF,MATCH('MM01'!$B68,Consulta!$C:$C,0),'MM01'!CT$2),""))</f>
        <v/>
      </c>
      <c r="CU68" s="43" t="str">
        <f>IF(IFERROR(INDEX(Consulta!$A:$DF,MATCH('MM01'!$B68,Consulta!$C:$C,0),'MM01'!CU$2),"")=0,"",IFERROR(INDEX(Consulta!$A:$DF,MATCH('MM01'!$B68,Consulta!$C:$C,0),'MM01'!CU$2),""))</f>
        <v/>
      </c>
      <c r="CV68" s="43" t="str">
        <f>IF(IFERROR(INDEX(Consulta!$A:$DF,MATCH('MM01'!$B68,Consulta!$C:$C,0),'MM01'!CV$2),"")=0,"",IFERROR(INDEX(Consulta!$A:$DF,MATCH('MM01'!$B68,Consulta!$C:$C,0),'MM01'!CV$2),""))</f>
        <v/>
      </c>
      <c r="CW68" s="43" t="str">
        <f>IF(IFERROR(INDEX(Consulta!$A:$DF,MATCH('MM01'!$B68,Consulta!$C:$C,0),'MM01'!CW$2),"")=0,"",IFERROR(INDEX(Consulta!$A:$DF,MATCH('MM01'!$B68,Consulta!$C:$C,0),'MM01'!CW$2),""))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IF(IFERROR(INDEX(Consulta!$A:$DF,MATCH('MM01'!$B68,Consulta!$C:$C,0),'MM01'!DA$2),"")=0,"",IFERROR(INDEX(Consulta!$A:$DF,MATCH('MM01'!$B68,Consulta!$C:$C,0),'MM01'!DA$2),""))</f>
        <v/>
      </c>
      <c r="DB68" s="43" t="str">
        <f t="shared" si="61"/>
        <v/>
      </c>
      <c r="DC68" s="43" t="str">
        <f>IF(IFERROR(INDEX(Consulta!$A:$DF,MATCH('MM01'!$B68,Consulta!$C:$C,0),'MM01'!DC$2),"")=0,"",IFERROR(INDEX(Consulta!$A:$DF,MATCH('MM01'!$B68,Consulta!$C:$C,0),'MM01'!DC$2),""))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5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5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5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5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IF(IFERROR(INDEX(Consulta!$A:$DF,MATCH('MM01'!$B68,Consulta!$C:$C,0),'MM01'!EB$2),"")=0,"7925",IF(IFERROR(INDEX(Consulta!$A:$DF,MATCH('MM01'!$B68,Consulta!$C:$C,0),'MM01'!EB$2),"")="68","7910","7925"))</f>
        <v>7925</v>
      </c>
      <c r="EC68" s="44">
        <v>100</v>
      </c>
      <c r="ED68" s="60">
        <v>1</v>
      </c>
      <c r="EE68" s="43">
        <f t="shared" si="77"/>
        <v>100</v>
      </c>
      <c r="EF68" s="44">
        <v>1</v>
      </c>
      <c r="EG68" s="44">
        <v>0</v>
      </c>
      <c r="EH68" s="44" t="s">
        <v>867</v>
      </c>
      <c r="EI68" s="45">
        <v>0</v>
      </c>
      <c r="EJ68" s="43">
        <f t="shared" si="78"/>
        <v>5000</v>
      </c>
      <c r="EK68" s="65"/>
    </row>
    <row r="69" spans="1:141" x14ac:dyDescent="0.3">
      <c r="A69" s="7" t="str">
        <f t="shared" si="0"/>
        <v>Execução 65</v>
      </c>
      <c r="B69" s="42"/>
      <c r="C69" s="43" t="str">
        <f>IF(IFERROR(INDEX(Consulta!$A:$DF,MATCH('MM01'!$B69,Consulta!$C:$C,0),'MM01'!C$2),"")=0,"",IFERROR(INDEX(Consulta!$A:$DF,MATCH('MM01'!$B69,Consulta!$C:$C,0),'MM01'!C$2),""))</f>
        <v/>
      </c>
      <c r="D69" s="43" t="str">
        <f>IF(IFERROR(INDEX(Consulta!$A:$DF,MATCH('MM01'!$B69,Consulta!$C:$C,0),'MM01'!D$2),"")=0,"",IFERROR(INDEX(Consulta!$A:$DF,MATCH('MM01'!$B69,Consulta!$C:$C,0),'MM01'!D$2),""))</f>
        <v/>
      </c>
      <c r="E69" s="43" t="str">
        <f>IF(IFERROR(INDEX(Consulta!$A:$DF,MATCH('MM01'!$B69,Consulta!$C:$C,0),'MM01'!E$2),"")=0,"",IFERROR(INDEX(Consulta!$A:$DF,MATCH('MM01'!$B69,Consulta!$C:$C,0),'MM01'!E$2),""))</f>
        <v/>
      </c>
      <c r="F69" s="44" t="s">
        <v>100</v>
      </c>
      <c r="G69" s="49" t="str">
        <f>IF(IFERROR(INDEX(Consulta!$A:$DF,MATCH('MM01'!$B69,Consulta!$C:$C,0),'MM01'!G$2),"")=0,"",IFERROR(INDEX(Consulta!$A:$DF,MATCH('MM01'!$B69,Consulta!$C:$C,0),'MM01'!G$2),""))</f>
        <v/>
      </c>
      <c r="H69" s="49" t="str">
        <f>IF(IFERROR(INDEX(Consulta!$A:$DF,MATCH('MM01'!$B69,Consulta!$C:$C,0),'MM01'!H$2),"")=0,"",IFERROR(INDEX(Consulta!$A:$DF,MATCH('MM01'!$B69,Consulta!$C:$C,0),'MM01'!H$2),""))</f>
        <v/>
      </c>
      <c r="I69" s="49" t="str">
        <f t="shared" si="40"/>
        <v/>
      </c>
      <c r="J69" s="49" t="str">
        <f>IF(IFERROR(INDEX(Consulta!$A:$DF,MATCH('MM01'!$B69,Consulta!$C:$C,0),'MM01'!J$2),"")=0,"",IFERROR(INDEX(Consulta!$A:$DF,MATCH('MM01'!$B69,Consulta!$C:$C,0),'MM01'!J$2),""))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IF(IFERROR(INDEX(Consulta!$A:$DF,MATCH('MM01'!$B69,Consulta!$C:$C,0),'MM01'!AP$2),"")=0,"",IFERROR(INDEX(Consulta!$A:$DF,MATCH('MM01'!$B69,Consulta!$C:$C,0),'MM01'!AP$2),""))</f>
        <v/>
      </c>
      <c r="AQ69" s="45"/>
      <c r="AR69" s="43" t="str">
        <f>IF(IFERROR(INDEX(Consulta!$A:$DF,MATCH('MM01'!$B69,Consulta!$C:$C,0),'MM01'!AR$2),"")=0,"",IFERROR(INDEX(Consulta!$A:$DF,MATCH('MM01'!$B69,Consulta!$C:$C,0),'MM01'!AR$2),""))</f>
        <v/>
      </c>
      <c r="AS69" s="43" t="str">
        <f>IF(IFERROR(INDEX(Consulta!$A:$DF,MATCH('MM01'!$B69,Consulta!$C:$C,0),'MM01'!AS$2),"")=0,"",IF(AR69="68",5102,IFERROR(INDEX(Consulta!$A:$DF,MATCH('MM01'!$B69,Consulta!$C:$C,0),'MM01'!AS$2),"")))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IF(IFERROR(INDEX(Consulta!$A:$DF,MATCH('MM01'!$B69,Consulta!$C:$C,0),'MM01'!AW$2),"")=0,"",IFERROR(ROUND(INDEX(Consulta!$A:$DF,MATCH('MM01'!$B69,Consulta!$C:$C,0),'MM01'!AW$2),3),""))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IF(IFERROR(INDEX(Consulta!$A:$DF,MATCH('MM01'!$B69,Consulta!$C:$C,0),'MM01'!BA$2),"")=0,"",IFERROR(INDEX(Consulta!$A:$DF,MATCH('MM01'!$B69,Consulta!$C:$C,0),'MM01'!BA$2),""))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IF(IFERROR(INDEX(Consulta!$A:$DF,MATCH('MM01'!$B69,Consulta!$C:$C,0),'MM01'!BL$2),"")=0,"",IFERROR(INDEX(Consulta!$A:$DF,MATCH('MM01'!$B69,Consulta!$C:$C,0),'MM01'!BL$2),""))</f>
        <v/>
      </c>
      <c r="BM69" s="45"/>
      <c r="BN69" s="46" t="str">
        <f t="shared" ca="1" si="52"/>
        <v/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IF(IFERROR(INDEX(Consulta!$A:$DF,MATCH('MM01'!$B69,Consulta!$C:$C,0),'MM01'!BX$2),"")=0,"",IFERROR(INDEX(Consulta!$A:$DF,MATCH('MM01'!$B69,Consulta!$C:$C,0),'MM01'!BX$2),""))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IF(IFERROR(INDEX(Consulta!$A:$DF,MATCH('MM01'!$B69,Consulta!$C:$C,0),'MM01'!CT$2),"")=0,"",IFERROR(INDEX(Consulta!$A:$DF,MATCH('MM01'!$B69,Consulta!$C:$C,0),'MM01'!CT$2),""))</f>
        <v/>
      </c>
      <c r="CU69" s="43" t="str">
        <f>IF(IFERROR(INDEX(Consulta!$A:$DF,MATCH('MM01'!$B69,Consulta!$C:$C,0),'MM01'!CU$2),"")=0,"",IFERROR(INDEX(Consulta!$A:$DF,MATCH('MM01'!$B69,Consulta!$C:$C,0),'MM01'!CU$2),""))</f>
        <v/>
      </c>
      <c r="CV69" s="43" t="str">
        <f>IF(IFERROR(INDEX(Consulta!$A:$DF,MATCH('MM01'!$B69,Consulta!$C:$C,0),'MM01'!CV$2),"")=0,"",IFERROR(INDEX(Consulta!$A:$DF,MATCH('MM01'!$B69,Consulta!$C:$C,0),'MM01'!CV$2),""))</f>
        <v/>
      </c>
      <c r="CW69" s="43" t="str">
        <f>IF(IFERROR(INDEX(Consulta!$A:$DF,MATCH('MM01'!$B69,Consulta!$C:$C,0),'MM01'!CW$2),"")=0,"",IFERROR(INDEX(Consulta!$A:$DF,MATCH('MM01'!$B69,Consulta!$C:$C,0),'MM01'!CW$2),""))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IF(IFERROR(INDEX(Consulta!$A:$DF,MATCH('MM01'!$B69,Consulta!$C:$C,0),'MM01'!DA$2),"")=0,"",IFERROR(INDEX(Consulta!$A:$DF,MATCH('MM01'!$B69,Consulta!$C:$C,0),'MM01'!DA$2),""))</f>
        <v/>
      </c>
      <c r="DB69" s="43" t="str">
        <f t="shared" si="61"/>
        <v/>
      </c>
      <c r="DC69" s="43" t="str">
        <f>IF(IFERROR(INDEX(Consulta!$A:$DF,MATCH('MM01'!$B69,Consulta!$C:$C,0),'MM01'!DC$2),"")=0,"",IFERROR(INDEX(Consulta!$A:$DF,MATCH('MM01'!$B69,Consulta!$C:$C,0),'MM01'!DC$2),""))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5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5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5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5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IF(IFERROR(INDEX(Consulta!$A:$DF,MATCH('MM01'!$B69,Consulta!$C:$C,0),'MM01'!EB$2),"")=0,"7925",IF(IFERROR(INDEX(Consulta!$A:$DF,MATCH('MM01'!$B69,Consulta!$C:$C,0),'MM01'!EB$2),"")="68","7910","7925"))</f>
        <v>7925</v>
      </c>
      <c r="EC69" s="44">
        <v>100</v>
      </c>
      <c r="ED69" s="60">
        <v>1</v>
      </c>
      <c r="EE69" s="43">
        <f t="shared" si="77"/>
        <v>100</v>
      </c>
      <c r="EF69" s="44">
        <v>1</v>
      </c>
      <c r="EG69" s="44">
        <v>0</v>
      </c>
      <c r="EH69" s="44" t="s">
        <v>867</v>
      </c>
      <c r="EI69" s="45">
        <v>0</v>
      </c>
      <c r="EJ69" s="43">
        <f t="shared" si="78"/>
        <v>5000</v>
      </c>
      <c r="EK69" s="65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IF(IFERROR(INDEX(Consulta!$A:$DF,MATCH('MM01'!$B70,Consulta!$C:$C,0),'MM01'!C$2),"")=0,"",IFERROR(INDEX(Consulta!$A:$DF,MATCH('MM01'!$B70,Consulta!$C:$C,0),'MM01'!C$2),""))</f>
        <v/>
      </c>
      <c r="D70" s="43" t="str">
        <f>IF(IFERROR(INDEX(Consulta!$A:$DF,MATCH('MM01'!$B70,Consulta!$C:$C,0),'MM01'!D$2),"")=0,"",IFERROR(INDEX(Consulta!$A:$DF,MATCH('MM01'!$B70,Consulta!$C:$C,0),'MM01'!D$2),""))</f>
        <v/>
      </c>
      <c r="E70" s="43" t="str">
        <f>IF(IFERROR(INDEX(Consulta!$A:$DF,MATCH('MM01'!$B70,Consulta!$C:$C,0),'MM01'!E$2),"")=0,"",IFERROR(INDEX(Consulta!$A:$DF,MATCH('MM01'!$B70,Consulta!$C:$C,0),'MM01'!E$2),""))</f>
        <v/>
      </c>
      <c r="F70" s="44" t="s">
        <v>100</v>
      </c>
      <c r="G70" s="49" t="str">
        <f>IF(IFERROR(INDEX(Consulta!$A:$DF,MATCH('MM01'!$B70,Consulta!$C:$C,0),'MM01'!G$2),"")=0,"",IFERROR(INDEX(Consulta!$A:$DF,MATCH('MM01'!$B70,Consulta!$C:$C,0),'MM01'!G$2),""))</f>
        <v/>
      </c>
      <c r="H70" s="49" t="str">
        <f>IF(IFERROR(INDEX(Consulta!$A:$DF,MATCH('MM01'!$B70,Consulta!$C:$C,0),'MM01'!H$2),"")=0,"",IFERROR(INDEX(Consulta!$A:$DF,MATCH('MM01'!$B70,Consulta!$C:$C,0),'MM01'!H$2),""))</f>
        <v/>
      </c>
      <c r="I70" s="49" t="str">
        <f t="shared" si="40"/>
        <v/>
      </c>
      <c r="J70" s="49" t="str">
        <f>IF(IFERROR(INDEX(Consulta!$A:$DF,MATCH('MM01'!$B70,Consulta!$C:$C,0),'MM01'!J$2),"")=0,"",IFERROR(INDEX(Consulta!$A:$DF,MATCH('MM01'!$B70,Consulta!$C:$C,0),'MM01'!J$2),""))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IF(IFERROR(INDEX(Consulta!$A:$DF,MATCH('MM01'!$B70,Consulta!$C:$C,0),'MM01'!AP$2),"")=0,"",IFERROR(INDEX(Consulta!$A:$DF,MATCH('MM01'!$B70,Consulta!$C:$C,0),'MM01'!AP$2),""))</f>
        <v/>
      </c>
      <c r="AQ70" s="45"/>
      <c r="AR70" s="43" t="str">
        <f>IF(IFERROR(INDEX(Consulta!$A:$DF,MATCH('MM01'!$B70,Consulta!$C:$C,0),'MM01'!AR$2),"")=0,"",IFERROR(INDEX(Consulta!$A:$DF,MATCH('MM01'!$B70,Consulta!$C:$C,0),'MM01'!AR$2),""))</f>
        <v/>
      </c>
      <c r="AS70" s="43" t="str">
        <f>IF(IFERROR(INDEX(Consulta!$A:$DF,MATCH('MM01'!$B70,Consulta!$C:$C,0),'MM01'!AS$2),"")=0,"",IF(AR70="68",5102,IFERROR(INDEX(Consulta!$A:$DF,MATCH('MM01'!$B70,Consulta!$C:$C,0),'MM01'!AS$2),"")))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IF(IFERROR(INDEX(Consulta!$A:$DF,MATCH('MM01'!$B70,Consulta!$C:$C,0),'MM01'!AW$2),"")=0,"",IFERROR(ROUND(INDEX(Consulta!$A:$DF,MATCH('MM01'!$B70,Consulta!$C:$C,0),'MM01'!AW$2),3),""))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IF(IFERROR(INDEX(Consulta!$A:$DF,MATCH('MM01'!$B70,Consulta!$C:$C,0),'MM01'!BA$2),"")=0,"",IFERROR(INDEX(Consulta!$A:$DF,MATCH('MM01'!$B70,Consulta!$C:$C,0),'MM01'!BA$2),""))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IF(IFERROR(INDEX(Consulta!$A:$DF,MATCH('MM01'!$B70,Consulta!$C:$C,0),'MM01'!BL$2),"")=0,"",IFERROR(INDEX(Consulta!$A:$DF,MATCH('MM01'!$B70,Consulta!$C:$C,0),'MM01'!BL$2),""))</f>
        <v/>
      </c>
      <c r="BM70" s="45"/>
      <c r="BN70" s="46" t="str">
        <f t="shared" ca="1" si="52"/>
        <v/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IF(IFERROR(INDEX(Consulta!$A:$DF,MATCH('MM01'!$B70,Consulta!$C:$C,0),'MM01'!BX$2),"")=0,"",IFERROR(INDEX(Consulta!$A:$DF,MATCH('MM01'!$B70,Consulta!$C:$C,0),'MM01'!BX$2),""))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IF(IFERROR(INDEX(Consulta!$A:$DF,MATCH('MM01'!$B70,Consulta!$C:$C,0),'MM01'!CT$2),"")=0,"",IFERROR(INDEX(Consulta!$A:$DF,MATCH('MM01'!$B70,Consulta!$C:$C,0),'MM01'!CT$2),""))</f>
        <v/>
      </c>
      <c r="CU70" s="43" t="str">
        <f>IF(IFERROR(INDEX(Consulta!$A:$DF,MATCH('MM01'!$B70,Consulta!$C:$C,0),'MM01'!CU$2),"")=0,"",IFERROR(INDEX(Consulta!$A:$DF,MATCH('MM01'!$B70,Consulta!$C:$C,0),'MM01'!CU$2),""))</f>
        <v/>
      </c>
      <c r="CV70" s="43" t="str">
        <f>IF(IFERROR(INDEX(Consulta!$A:$DF,MATCH('MM01'!$B70,Consulta!$C:$C,0),'MM01'!CV$2),"")=0,"",IFERROR(INDEX(Consulta!$A:$DF,MATCH('MM01'!$B70,Consulta!$C:$C,0),'MM01'!CV$2),""))</f>
        <v/>
      </c>
      <c r="CW70" s="43" t="str">
        <f>IF(IFERROR(INDEX(Consulta!$A:$DF,MATCH('MM01'!$B70,Consulta!$C:$C,0),'MM01'!CW$2),"")=0,"",IFERROR(INDEX(Consulta!$A:$DF,MATCH('MM01'!$B70,Consulta!$C:$C,0),'MM01'!CW$2),""))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IF(IFERROR(INDEX(Consulta!$A:$DF,MATCH('MM01'!$B70,Consulta!$C:$C,0),'MM01'!DA$2),"")=0,"",IFERROR(INDEX(Consulta!$A:$DF,MATCH('MM01'!$B70,Consulta!$C:$C,0),'MM01'!DA$2),""))</f>
        <v/>
      </c>
      <c r="DB70" s="43" t="str">
        <f t="shared" si="61"/>
        <v/>
      </c>
      <c r="DC70" s="43" t="str">
        <f>IF(IFERROR(INDEX(Consulta!$A:$DF,MATCH('MM01'!$B70,Consulta!$C:$C,0),'MM01'!DC$2),"")=0,"",IFERROR(INDEX(Consulta!$A:$DF,MATCH('MM01'!$B70,Consulta!$C:$C,0),'MM01'!DC$2),""))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5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5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5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5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IF(IFERROR(INDEX(Consulta!$A:$DF,MATCH('MM01'!$B70,Consulta!$C:$C,0),'MM01'!EB$2),"")=0,"7925",IF(IFERROR(INDEX(Consulta!$A:$DF,MATCH('MM01'!$B70,Consulta!$C:$C,0),'MM01'!EB$2),"")="68","7910","7925"))</f>
        <v>7925</v>
      </c>
      <c r="EC70" s="44">
        <v>100</v>
      </c>
      <c r="ED70" s="60">
        <v>1</v>
      </c>
      <c r="EE70" s="43">
        <f t="shared" si="77"/>
        <v>100</v>
      </c>
      <c r="EF70" s="44">
        <v>1</v>
      </c>
      <c r="EG70" s="44">
        <v>0</v>
      </c>
      <c r="EH70" s="44" t="s">
        <v>867</v>
      </c>
      <c r="EI70" s="45">
        <v>0</v>
      </c>
      <c r="EJ70" s="43">
        <f t="shared" si="78"/>
        <v>5000</v>
      </c>
      <c r="EK70" s="65"/>
    </row>
    <row r="71" spans="1:141" x14ac:dyDescent="0.3">
      <c r="A71" s="7" t="str">
        <f t="shared" si="79"/>
        <v>Execução 67</v>
      </c>
      <c r="B71" s="42"/>
      <c r="C71" s="43" t="str">
        <f>IF(IFERROR(INDEX(Consulta!$A:$DF,MATCH('MM01'!$B71,Consulta!$C:$C,0),'MM01'!C$2),"")=0,"",IFERROR(INDEX(Consulta!$A:$DF,MATCH('MM01'!$B71,Consulta!$C:$C,0),'MM01'!C$2),""))</f>
        <v/>
      </c>
      <c r="D71" s="43" t="str">
        <f>IF(IFERROR(INDEX(Consulta!$A:$DF,MATCH('MM01'!$B71,Consulta!$C:$C,0),'MM01'!D$2),"")=0,"",IFERROR(INDEX(Consulta!$A:$DF,MATCH('MM01'!$B71,Consulta!$C:$C,0),'MM01'!D$2),""))</f>
        <v/>
      </c>
      <c r="E71" s="43" t="str">
        <f>IF(IFERROR(INDEX(Consulta!$A:$DF,MATCH('MM01'!$B71,Consulta!$C:$C,0),'MM01'!E$2),"")=0,"",IFERROR(INDEX(Consulta!$A:$DF,MATCH('MM01'!$B71,Consulta!$C:$C,0),'MM01'!E$2),""))</f>
        <v/>
      </c>
      <c r="F71" s="44" t="s">
        <v>100</v>
      </c>
      <c r="G71" s="49" t="str">
        <f>IF(IFERROR(INDEX(Consulta!$A:$DF,MATCH('MM01'!$B71,Consulta!$C:$C,0),'MM01'!G$2),"")=0,"",IFERROR(INDEX(Consulta!$A:$DF,MATCH('MM01'!$B71,Consulta!$C:$C,0),'MM01'!G$2),""))</f>
        <v/>
      </c>
      <c r="H71" s="49" t="str">
        <f>IF(IFERROR(INDEX(Consulta!$A:$DF,MATCH('MM01'!$B71,Consulta!$C:$C,0),'MM01'!H$2),"")=0,"",IFERROR(INDEX(Consulta!$A:$DF,MATCH('MM01'!$B71,Consulta!$C:$C,0),'MM01'!H$2),""))</f>
        <v/>
      </c>
      <c r="I71" s="49" t="str">
        <f t="shared" si="40"/>
        <v/>
      </c>
      <c r="J71" s="49" t="str">
        <f>IF(IFERROR(INDEX(Consulta!$A:$DF,MATCH('MM01'!$B71,Consulta!$C:$C,0),'MM01'!J$2),"")=0,"",IFERROR(INDEX(Consulta!$A:$DF,MATCH('MM01'!$B71,Consulta!$C:$C,0),'MM01'!J$2),""))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IF(IFERROR(INDEX(Consulta!$A:$DF,MATCH('MM01'!$B71,Consulta!$C:$C,0),'MM01'!AP$2),"")=0,"",IFERROR(INDEX(Consulta!$A:$DF,MATCH('MM01'!$B71,Consulta!$C:$C,0),'MM01'!AP$2),""))</f>
        <v/>
      </c>
      <c r="AQ71" s="45"/>
      <c r="AR71" s="43" t="str">
        <f>IF(IFERROR(INDEX(Consulta!$A:$DF,MATCH('MM01'!$B71,Consulta!$C:$C,0),'MM01'!AR$2),"")=0,"",IFERROR(INDEX(Consulta!$A:$DF,MATCH('MM01'!$B71,Consulta!$C:$C,0),'MM01'!AR$2),""))</f>
        <v/>
      </c>
      <c r="AS71" s="43" t="str">
        <f>IF(IFERROR(INDEX(Consulta!$A:$DF,MATCH('MM01'!$B71,Consulta!$C:$C,0),'MM01'!AS$2),"")=0,"",IF(AR71="68",5102,IFERROR(INDEX(Consulta!$A:$DF,MATCH('MM01'!$B71,Consulta!$C:$C,0),'MM01'!AS$2),"")))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IF(IFERROR(INDEX(Consulta!$A:$DF,MATCH('MM01'!$B71,Consulta!$C:$C,0),'MM01'!AW$2),"")=0,"",IFERROR(ROUND(INDEX(Consulta!$A:$DF,MATCH('MM01'!$B71,Consulta!$C:$C,0),'MM01'!AW$2),3),""))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IF(IFERROR(INDEX(Consulta!$A:$DF,MATCH('MM01'!$B71,Consulta!$C:$C,0),'MM01'!BA$2),"")=0,"",IFERROR(INDEX(Consulta!$A:$DF,MATCH('MM01'!$B71,Consulta!$C:$C,0),'MM01'!BA$2),""))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IF(IFERROR(INDEX(Consulta!$A:$DF,MATCH('MM01'!$B71,Consulta!$C:$C,0),'MM01'!BL$2),"")=0,"",IFERROR(INDEX(Consulta!$A:$DF,MATCH('MM01'!$B71,Consulta!$C:$C,0),'MM01'!BL$2),""))</f>
        <v/>
      </c>
      <c r="BM71" s="45"/>
      <c r="BN71" s="46" t="str">
        <f t="shared" ca="1" si="52"/>
        <v/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IF(IFERROR(INDEX(Consulta!$A:$DF,MATCH('MM01'!$B71,Consulta!$C:$C,0),'MM01'!BX$2),"")=0,"",IFERROR(INDEX(Consulta!$A:$DF,MATCH('MM01'!$B71,Consulta!$C:$C,0),'MM01'!BX$2),""))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IF(IFERROR(INDEX(Consulta!$A:$DF,MATCH('MM01'!$B71,Consulta!$C:$C,0),'MM01'!CT$2),"")=0,"",IFERROR(INDEX(Consulta!$A:$DF,MATCH('MM01'!$B71,Consulta!$C:$C,0),'MM01'!CT$2),""))</f>
        <v/>
      </c>
      <c r="CU71" s="43" t="str">
        <f>IF(IFERROR(INDEX(Consulta!$A:$DF,MATCH('MM01'!$B71,Consulta!$C:$C,0),'MM01'!CU$2),"")=0,"",IFERROR(INDEX(Consulta!$A:$DF,MATCH('MM01'!$B71,Consulta!$C:$C,0),'MM01'!CU$2),""))</f>
        <v/>
      </c>
      <c r="CV71" s="43" t="str">
        <f>IF(IFERROR(INDEX(Consulta!$A:$DF,MATCH('MM01'!$B71,Consulta!$C:$C,0),'MM01'!CV$2),"")=0,"",IFERROR(INDEX(Consulta!$A:$DF,MATCH('MM01'!$B71,Consulta!$C:$C,0),'MM01'!CV$2),""))</f>
        <v/>
      </c>
      <c r="CW71" s="43" t="str">
        <f>IF(IFERROR(INDEX(Consulta!$A:$DF,MATCH('MM01'!$B71,Consulta!$C:$C,0),'MM01'!CW$2),"")=0,"",IFERROR(INDEX(Consulta!$A:$DF,MATCH('MM01'!$B71,Consulta!$C:$C,0),'MM01'!CW$2),""))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IF(IFERROR(INDEX(Consulta!$A:$DF,MATCH('MM01'!$B71,Consulta!$C:$C,0),'MM01'!DA$2),"")=0,"",IFERROR(INDEX(Consulta!$A:$DF,MATCH('MM01'!$B71,Consulta!$C:$C,0),'MM01'!DA$2),""))</f>
        <v/>
      </c>
      <c r="DB71" s="43" t="str">
        <f t="shared" si="61"/>
        <v/>
      </c>
      <c r="DC71" s="43" t="str">
        <f>IF(IFERROR(INDEX(Consulta!$A:$DF,MATCH('MM01'!$B71,Consulta!$C:$C,0),'MM01'!DC$2),"")=0,"",IFERROR(INDEX(Consulta!$A:$DF,MATCH('MM01'!$B71,Consulta!$C:$C,0),'MM01'!DC$2),""))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5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5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5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5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IF(IFERROR(INDEX(Consulta!$A:$DF,MATCH('MM01'!$B71,Consulta!$C:$C,0),'MM01'!EB$2),"")=0,"7925",IF(IFERROR(INDEX(Consulta!$A:$DF,MATCH('MM01'!$B71,Consulta!$C:$C,0),'MM01'!EB$2),"")="68","7910","7925"))</f>
        <v>7925</v>
      </c>
      <c r="EC71" s="44">
        <v>100</v>
      </c>
      <c r="ED71" s="60">
        <v>1</v>
      </c>
      <c r="EE71" s="43">
        <f t="shared" si="77"/>
        <v>100</v>
      </c>
      <c r="EF71" s="44">
        <v>1</v>
      </c>
      <c r="EG71" s="44">
        <v>0</v>
      </c>
      <c r="EH71" s="44" t="s">
        <v>867</v>
      </c>
      <c r="EI71" s="45">
        <v>0</v>
      </c>
      <c r="EJ71" s="43">
        <f t="shared" si="78"/>
        <v>5000</v>
      </c>
      <c r="EK71" s="65"/>
    </row>
    <row r="72" spans="1:141" x14ac:dyDescent="0.3">
      <c r="A72" s="7" t="str">
        <f t="shared" si="79"/>
        <v>Execução 68</v>
      </c>
      <c r="B72" s="42"/>
      <c r="C72" s="43" t="str">
        <f>IF(IFERROR(INDEX(Consulta!$A:$DF,MATCH('MM01'!$B72,Consulta!$C:$C,0),'MM01'!C$2),"")=0,"",IFERROR(INDEX(Consulta!$A:$DF,MATCH('MM01'!$B72,Consulta!$C:$C,0),'MM01'!C$2),""))</f>
        <v/>
      </c>
      <c r="D72" s="43" t="str">
        <f>IF(IFERROR(INDEX(Consulta!$A:$DF,MATCH('MM01'!$B72,Consulta!$C:$C,0),'MM01'!D$2),"")=0,"",IFERROR(INDEX(Consulta!$A:$DF,MATCH('MM01'!$B72,Consulta!$C:$C,0),'MM01'!D$2),""))</f>
        <v/>
      </c>
      <c r="E72" s="43" t="str">
        <f>IF(IFERROR(INDEX(Consulta!$A:$DF,MATCH('MM01'!$B72,Consulta!$C:$C,0),'MM01'!E$2),"")=0,"",IFERROR(INDEX(Consulta!$A:$DF,MATCH('MM01'!$B72,Consulta!$C:$C,0),'MM01'!E$2),""))</f>
        <v/>
      </c>
      <c r="F72" s="44" t="s">
        <v>100</v>
      </c>
      <c r="G72" s="49" t="str">
        <f>IF(IFERROR(INDEX(Consulta!$A:$DF,MATCH('MM01'!$B72,Consulta!$C:$C,0),'MM01'!G$2),"")=0,"",IFERROR(INDEX(Consulta!$A:$DF,MATCH('MM01'!$B72,Consulta!$C:$C,0),'MM01'!G$2),""))</f>
        <v/>
      </c>
      <c r="H72" s="49" t="str">
        <f>IF(IFERROR(INDEX(Consulta!$A:$DF,MATCH('MM01'!$B72,Consulta!$C:$C,0),'MM01'!H$2),"")=0,"",IFERROR(INDEX(Consulta!$A:$DF,MATCH('MM01'!$B72,Consulta!$C:$C,0),'MM01'!H$2),""))</f>
        <v/>
      </c>
      <c r="I72" s="49" t="str">
        <f t="shared" si="40"/>
        <v/>
      </c>
      <c r="J72" s="49" t="str">
        <f>IF(IFERROR(INDEX(Consulta!$A:$DF,MATCH('MM01'!$B72,Consulta!$C:$C,0),'MM01'!J$2),"")=0,"",IFERROR(INDEX(Consulta!$A:$DF,MATCH('MM01'!$B72,Consulta!$C:$C,0),'MM01'!J$2),""))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IF(IFERROR(INDEX(Consulta!$A:$DF,MATCH('MM01'!$B72,Consulta!$C:$C,0),'MM01'!AP$2),"")=0,"",IFERROR(INDEX(Consulta!$A:$DF,MATCH('MM01'!$B72,Consulta!$C:$C,0),'MM01'!AP$2),""))</f>
        <v/>
      </c>
      <c r="AQ72" s="45"/>
      <c r="AR72" s="43" t="str">
        <f>IF(IFERROR(INDEX(Consulta!$A:$DF,MATCH('MM01'!$B72,Consulta!$C:$C,0),'MM01'!AR$2),"")=0,"",IFERROR(INDEX(Consulta!$A:$DF,MATCH('MM01'!$B72,Consulta!$C:$C,0),'MM01'!AR$2),""))</f>
        <v/>
      </c>
      <c r="AS72" s="43" t="str">
        <f>IF(IFERROR(INDEX(Consulta!$A:$DF,MATCH('MM01'!$B72,Consulta!$C:$C,0),'MM01'!AS$2),"")=0,"",IF(AR72="68",5102,IFERROR(INDEX(Consulta!$A:$DF,MATCH('MM01'!$B72,Consulta!$C:$C,0),'MM01'!AS$2),"")))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IF(IFERROR(INDEX(Consulta!$A:$DF,MATCH('MM01'!$B72,Consulta!$C:$C,0),'MM01'!AW$2),"")=0,"",IFERROR(ROUND(INDEX(Consulta!$A:$DF,MATCH('MM01'!$B72,Consulta!$C:$C,0),'MM01'!AW$2),3),""))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IF(IFERROR(INDEX(Consulta!$A:$DF,MATCH('MM01'!$B72,Consulta!$C:$C,0),'MM01'!BA$2),"")=0,"",IFERROR(INDEX(Consulta!$A:$DF,MATCH('MM01'!$B72,Consulta!$C:$C,0),'MM01'!BA$2),""))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IF(IFERROR(INDEX(Consulta!$A:$DF,MATCH('MM01'!$B72,Consulta!$C:$C,0),'MM01'!BL$2),"")=0,"",IFERROR(INDEX(Consulta!$A:$DF,MATCH('MM01'!$B72,Consulta!$C:$C,0),'MM01'!BL$2),""))</f>
        <v/>
      </c>
      <c r="BM72" s="45"/>
      <c r="BN72" s="46" t="str">
        <f t="shared" ca="1" si="52"/>
        <v/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IF(IFERROR(INDEX(Consulta!$A:$DF,MATCH('MM01'!$B72,Consulta!$C:$C,0),'MM01'!BX$2),"")=0,"",IFERROR(INDEX(Consulta!$A:$DF,MATCH('MM01'!$B72,Consulta!$C:$C,0),'MM01'!BX$2),""))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IF(IFERROR(INDEX(Consulta!$A:$DF,MATCH('MM01'!$B72,Consulta!$C:$C,0),'MM01'!CT$2),"")=0,"",IFERROR(INDEX(Consulta!$A:$DF,MATCH('MM01'!$B72,Consulta!$C:$C,0),'MM01'!CT$2),""))</f>
        <v/>
      </c>
      <c r="CU72" s="43" t="str">
        <f>IF(IFERROR(INDEX(Consulta!$A:$DF,MATCH('MM01'!$B72,Consulta!$C:$C,0),'MM01'!CU$2),"")=0,"",IFERROR(INDEX(Consulta!$A:$DF,MATCH('MM01'!$B72,Consulta!$C:$C,0),'MM01'!CU$2),""))</f>
        <v/>
      </c>
      <c r="CV72" s="43" t="str">
        <f>IF(IFERROR(INDEX(Consulta!$A:$DF,MATCH('MM01'!$B72,Consulta!$C:$C,0),'MM01'!CV$2),"")=0,"",IFERROR(INDEX(Consulta!$A:$DF,MATCH('MM01'!$B72,Consulta!$C:$C,0),'MM01'!CV$2),""))</f>
        <v/>
      </c>
      <c r="CW72" s="43" t="str">
        <f>IF(IFERROR(INDEX(Consulta!$A:$DF,MATCH('MM01'!$B72,Consulta!$C:$C,0),'MM01'!CW$2),"")=0,"",IFERROR(INDEX(Consulta!$A:$DF,MATCH('MM01'!$B72,Consulta!$C:$C,0),'MM01'!CW$2),""))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IF(IFERROR(INDEX(Consulta!$A:$DF,MATCH('MM01'!$B72,Consulta!$C:$C,0),'MM01'!DA$2),"")=0,"",IFERROR(INDEX(Consulta!$A:$DF,MATCH('MM01'!$B72,Consulta!$C:$C,0),'MM01'!DA$2),""))</f>
        <v/>
      </c>
      <c r="DB72" s="43" t="str">
        <f t="shared" si="61"/>
        <v/>
      </c>
      <c r="DC72" s="43" t="str">
        <f>IF(IFERROR(INDEX(Consulta!$A:$DF,MATCH('MM01'!$B72,Consulta!$C:$C,0),'MM01'!DC$2),"")=0,"",IFERROR(INDEX(Consulta!$A:$DF,MATCH('MM01'!$B72,Consulta!$C:$C,0),'MM01'!DC$2),""))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5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5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5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5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IF(IFERROR(INDEX(Consulta!$A:$DF,MATCH('MM01'!$B72,Consulta!$C:$C,0),'MM01'!EB$2),"")=0,"7925",IF(IFERROR(INDEX(Consulta!$A:$DF,MATCH('MM01'!$B72,Consulta!$C:$C,0),'MM01'!EB$2),"")="68","7910","7925"))</f>
        <v>7925</v>
      </c>
      <c r="EC72" s="44">
        <v>100</v>
      </c>
      <c r="ED72" s="60">
        <v>1</v>
      </c>
      <c r="EE72" s="43">
        <f t="shared" si="77"/>
        <v>100</v>
      </c>
      <c r="EF72" s="44">
        <v>1</v>
      </c>
      <c r="EG72" s="44">
        <v>0</v>
      </c>
      <c r="EH72" s="44" t="s">
        <v>867</v>
      </c>
      <c r="EI72" s="45">
        <v>0</v>
      </c>
      <c r="EJ72" s="43">
        <f t="shared" si="78"/>
        <v>5000</v>
      </c>
      <c r="EK72" s="65"/>
    </row>
    <row r="73" spans="1:141" x14ac:dyDescent="0.3">
      <c r="A73" s="7" t="str">
        <f t="shared" si="79"/>
        <v>Execução 69</v>
      </c>
      <c r="B73" s="42"/>
      <c r="C73" s="43" t="str">
        <f>IF(IFERROR(INDEX(Consulta!$A:$DF,MATCH('MM01'!$B73,Consulta!$C:$C,0),'MM01'!C$2),"")=0,"",IFERROR(INDEX(Consulta!$A:$DF,MATCH('MM01'!$B73,Consulta!$C:$C,0),'MM01'!C$2),""))</f>
        <v/>
      </c>
      <c r="D73" s="43" t="str">
        <f>IF(IFERROR(INDEX(Consulta!$A:$DF,MATCH('MM01'!$B73,Consulta!$C:$C,0),'MM01'!D$2),"")=0,"",IFERROR(INDEX(Consulta!$A:$DF,MATCH('MM01'!$B73,Consulta!$C:$C,0),'MM01'!D$2),""))</f>
        <v/>
      </c>
      <c r="E73" s="43" t="str">
        <f>IF(IFERROR(INDEX(Consulta!$A:$DF,MATCH('MM01'!$B73,Consulta!$C:$C,0),'MM01'!E$2),"")=0,"",IFERROR(INDEX(Consulta!$A:$DF,MATCH('MM01'!$B73,Consulta!$C:$C,0),'MM01'!E$2),""))</f>
        <v/>
      </c>
      <c r="F73" s="44" t="s">
        <v>100</v>
      </c>
      <c r="G73" s="49" t="str">
        <f>IF(IFERROR(INDEX(Consulta!$A:$DF,MATCH('MM01'!$B73,Consulta!$C:$C,0),'MM01'!G$2),"")=0,"",IFERROR(INDEX(Consulta!$A:$DF,MATCH('MM01'!$B73,Consulta!$C:$C,0),'MM01'!G$2),""))</f>
        <v/>
      </c>
      <c r="H73" s="49" t="str">
        <f>IF(IFERROR(INDEX(Consulta!$A:$DF,MATCH('MM01'!$B73,Consulta!$C:$C,0),'MM01'!H$2),"")=0,"",IFERROR(INDEX(Consulta!$A:$DF,MATCH('MM01'!$B73,Consulta!$C:$C,0),'MM01'!H$2),""))</f>
        <v/>
      </c>
      <c r="I73" s="49" t="str">
        <f t="shared" si="40"/>
        <v/>
      </c>
      <c r="J73" s="49" t="str">
        <f>IF(IFERROR(INDEX(Consulta!$A:$DF,MATCH('MM01'!$B73,Consulta!$C:$C,0),'MM01'!J$2),"")=0,"",IFERROR(INDEX(Consulta!$A:$DF,MATCH('MM01'!$B73,Consulta!$C:$C,0),'MM01'!J$2),""))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IF(IFERROR(INDEX(Consulta!$A:$DF,MATCH('MM01'!$B73,Consulta!$C:$C,0),'MM01'!AP$2),"")=0,"",IFERROR(INDEX(Consulta!$A:$DF,MATCH('MM01'!$B73,Consulta!$C:$C,0),'MM01'!AP$2),""))</f>
        <v/>
      </c>
      <c r="AQ73" s="45"/>
      <c r="AR73" s="43" t="str">
        <f>IF(IFERROR(INDEX(Consulta!$A:$DF,MATCH('MM01'!$B73,Consulta!$C:$C,0),'MM01'!AR$2),"")=0,"",IFERROR(INDEX(Consulta!$A:$DF,MATCH('MM01'!$B73,Consulta!$C:$C,0),'MM01'!AR$2),""))</f>
        <v/>
      </c>
      <c r="AS73" s="43" t="str">
        <f>IF(IFERROR(INDEX(Consulta!$A:$DF,MATCH('MM01'!$B73,Consulta!$C:$C,0),'MM01'!AS$2),"")=0,"",IF(AR73="68",5102,IFERROR(INDEX(Consulta!$A:$DF,MATCH('MM01'!$B73,Consulta!$C:$C,0),'MM01'!AS$2),"")))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IF(IFERROR(INDEX(Consulta!$A:$DF,MATCH('MM01'!$B73,Consulta!$C:$C,0),'MM01'!AW$2),"")=0,"",IFERROR(ROUND(INDEX(Consulta!$A:$DF,MATCH('MM01'!$B73,Consulta!$C:$C,0),'MM01'!AW$2),3),""))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IF(IFERROR(INDEX(Consulta!$A:$DF,MATCH('MM01'!$B73,Consulta!$C:$C,0),'MM01'!BA$2),"")=0,"",IFERROR(INDEX(Consulta!$A:$DF,MATCH('MM01'!$B73,Consulta!$C:$C,0),'MM01'!BA$2),""))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IF(IFERROR(INDEX(Consulta!$A:$DF,MATCH('MM01'!$B73,Consulta!$C:$C,0),'MM01'!BL$2),"")=0,"",IFERROR(INDEX(Consulta!$A:$DF,MATCH('MM01'!$B73,Consulta!$C:$C,0),'MM01'!BL$2),""))</f>
        <v/>
      </c>
      <c r="BM73" s="45"/>
      <c r="BN73" s="46" t="str">
        <f t="shared" ca="1" si="52"/>
        <v/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IF(IFERROR(INDEX(Consulta!$A:$DF,MATCH('MM01'!$B73,Consulta!$C:$C,0),'MM01'!BX$2),"")=0,"",IFERROR(INDEX(Consulta!$A:$DF,MATCH('MM01'!$B73,Consulta!$C:$C,0),'MM01'!BX$2),""))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IF(IFERROR(INDEX(Consulta!$A:$DF,MATCH('MM01'!$B73,Consulta!$C:$C,0),'MM01'!CT$2),"")=0,"",IFERROR(INDEX(Consulta!$A:$DF,MATCH('MM01'!$B73,Consulta!$C:$C,0),'MM01'!CT$2),""))</f>
        <v/>
      </c>
      <c r="CU73" s="43" t="str">
        <f>IF(IFERROR(INDEX(Consulta!$A:$DF,MATCH('MM01'!$B73,Consulta!$C:$C,0),'MM01'!CU$2),"")=0,"",IFERROR(INDEX(Consulta!$A:$DF,MATCH('MM01'!$B73,Consulta!$C:$C,0),'MM01'!CU$2),""))</f>
        <v/>
      </c>
      <c r="CV73" s="43" t="str">
        <f>IF(IFERROR(INDEX(Consulta!$A:$DF,MATCH('MM01'!$B73,Consulta!$C:$C,0),'MM01'!CV$2),"")=0,"",IFERROR(INDEX(Consulta!$A:$DF,MATCH('MM01'!$B73,Consulta!$C:$C,0),'MM01'!CV$2),""))</f>
        <v/>
      </c>
      <c r="CW73" s="43" t="str">
        <f>IF(IFERROR(INDEX(Consulta!$A:$DF,MATCH('MM01'!$B73,Consulta!$C:$C,0),'MM01'!CW$2),"")=0,"",IFERROR(INDEX(Consulta!$A:$DF,MATCH('MM01'!$B73,Consulta!$C:$C,0),'MM01'!CW$2),""))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IF(IFERROR(INDEX(Consulta!$A:$DF,MATCH('MM01'!$B73,Consulta!$C:$C,0),'MM01'!DA$2),"")=0,"",IFERROR(INDEX(Consulta!$A:$DF,MATCH('MM01'!$B73,Consulta!$C:$C,0),'MM01'!DA$2),""))</f>
        <v/>
      </c>
      <c r="DB73" s="43" t="str">
        <f t="shared" si="61"/>
        <v/>
      </c>
      <c r="DC73" s="43" t="str">
        <f>IF(IFERROR(INDEX(Consulta!$A:$DF,MATCH('MM01'!$B73,Consulta!$C:$C,0),'MM01'!DC$2),"")=0,"",IFERROR(INDEX(Consulta!$A:$DF,MATCH('MM01'!$B73,Consulta!$C:$C,0),'MM01'!DC$2),""))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5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5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5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5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IF(IFERROR(INDEX(Consulta!$A:$DF,MATCH('MM01'!$B73,Consulta!$C:$C,0),'MM01'!EB$2),"")=0,"7925",IF(IFERROR(INDEX(Consulta!$A:$DF,MATCH('MM01'!$B73,Consulta!$C:$C,0),'MM01'!EB$2),"")="68","7910","7925"))</f>
        <v>7925</v>
      </c>
      <c r="EC73" s="44">
        <v>100</v>
      </c>
      <c r="ED73" s="60">
        <v>1</v>
      </c>
      <c r="EE73" s="43">
        <f t="shared" si="77"/>
        <v>100</v>
      </c>
      <c r="EF73" s="44">
        <v>1</v>
      </c>
      <c r="EG73" s="44">
        <v>0</v>
      </c>
      <c r="EH73" s="44" t="s">
        <v>867</v>
      </c>
      <c r="EI73" s="45">
        <v>0</v>
      </c>
      <c r="EJ73" s="43">
        <f t="shared" si="78"/>
        <v>5000</v>
      </c>
      <c r="EK73" s="65"/>
    </row>
    <row r="74" spans="1:141" x14ac:dyDescent="0.3">
      <c r="A74" s="7" t="str">
        <f t="shared" si="79"/>
        <v>Execução 70</v>
      </c>
      <c r="B74" s="42"/>
      <c r="C74" s="43" t="str">
        <f>IF(IFERROR(INDEX(Consulta!$A:$DF,MATCH('MM01'!$B74,Consulta!$C:$C,0),'MM01'!C$2),"")=0,"",IFERROR(INDEX(Consulta!$A:$DF,MATCH('MM01'!$B74,Consulta!$C:$C,0),'MM01'!C$2),""))</f>
        <v/>
      </c>
      <c r="D74" s="43" t="str">
        <f>IF(IFERROR(INDEX(Consulta!$A:$DF,MATCH('MM01'!$B74,Consulta!$C:$C,0),'MM01'!D$2),"")=0,"",IFERROR(INDEX(Consulta!$A:$DF,MATCH('MM01'!$B74,Consulta!$C:$C,0),'MM01'!D$2),""))</f>
        <v/>
      </c>
      <c r="E74" s="43" t="str">
        <f>IF(IFERROR(INDEX(Consulta!$A:$DF,MATCH('MM01'!$B74,Consulta!$C:$C,0),'MM01'!E$2),"")=0,"",IFERROR(INDEX(Consulta!$A:$DF,MATCH('MM01'!$B74,Consulta!$C:$C,0),'MM01'!E$2),""))</f>
        <v/>
      </c>
      <c r="F74" s="44" t="s">
        <v>100</v>
      </c>
      <c r="G74" s="49" t="str">
        <f>IF(IFERROR(INDEX(Consulta!$A:$DF,MATCH('MM01'!$B74,Consulta!$C:$C,0),'MM01'!G$2),"")=0,"",IFERROR(INDEX(Consulta!$A:$DF,MATCH('MM01'!$B74,Consulta!$C:$C,0),'MM01'!G$2),""))</f>
        <v/>
      </c>
      <c r="H74" s="49" t="str">
        <f>IF(IFERROR(INDEX(Consulta!$A:$DF,MATCH('MM01'!$B74,Consulta!$C:$C,0),'MM01'!H$2),"")=0,"",IFERROR(INDEX(Consulta!$A:$DF,MATCH('MM01'!$B74,Consulta!$C:$C,0),'MM01'!H$2),""))</f>
        <v/>
      </c>
      <c r="I74" s="49" t="str">
        <f t="shared" si="40"/>
        <v/>
      </c>
      <c r="J74" s="49" t="str">
        <f>IF(IFERROR(INDEX(Consulta!$A:$DF,MATCH('MM01'!$B74,Consulta!$C:$C,0),'MM01'!J$2),"")=0,"",IFERROR(INDEX(Consulta!$A:$DF,MATCH('MM01'!$B74,Consulta!$C:$C,0),'MM01'!J$2),""))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IF(IFERROR(INDEX(Consulta!$A:$DF,MATCH('MM01'!$B74,Consulta!$C:$C,0),'MM01'!AP$2),"")=0,"",IFERROR(INDEX(Consulta!$A:$DF,MATCH('MM01'!$B74,Consulta!$C:$C,0),'MM01'!AP$2),""))</f>
        <v/>
      </c>
      <c r="AQ74" s="45"/>
      <c r="AR74" s="43" t="str">
        <f>IF(IFERROR(INDEX(Consulta!$A:$DF,MATCH('MM01'!$B74,Consulta!$C:$C,0),'MM01'!AR$2),"")=0,"",IFERROR(INDEX(Consulta!$A:$DF,MATCH('MM01'!$B74,Consulta!$C:$C,0),'MM01'!AR$2),""))</f>
        <v/>
      </c>
      <c r="AS74" s="43" t="str">
        <f>IF(IFERROR(INDEX(Consulta!$A:$DF,MATCH('MM01'!$B74,Consulta!$C:$C,0),'MM01'!AS$2),"")=0,"",IF(AR74="68",5102,IFERROR(INDEX(Consulta!$A:$DF,MATCH('MM01'!$B74,Consulta!$C:$C,0),'MM01'!AS$2),"")))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IF(IFERROR(INDEX(Consulta!$A:$DF,MATCH('MM01'!$B74,Consulta!$C:$C,0),'MM01'!AW$2),"")=0,"",IFERROR(ROUND(INDEX(Consulta!$A:$DF,MATCH('MM01'!$B74,Consulta!$C:$C,0),'MM01'!AW$2),3),""))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IF(IFERROR(INDEX(Consulta!$A:$DF,MATCH('MM01'!$B74,Consulta!$C:$C,0),'MM01'!BA$2),"")=0,"",IFERROR(INDEX(Consulta!$A:$DF,MATCH('MM01'!$B74,Consulta!$C:$C,0),'MM01'!BA$2),""))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IF(IFERROR(INDEX(Consulta!$A:$DF,MATCH('MM01'!$B74,Consulta!$C:$C,0),'MM01'!BL$2),"")=0,"",IFERROR(INDEX(Consulta!$A:$DF,MATCH('MM01'!$B74,Consulta!$C:$C,0),'MM01'!BL$2),""))</f>
        <v/>
      </c>
      <c r="BM74" s="45"/>
      <c r="BN74" s="46" t="str">
        <f t="shared" ca="1" si="52"/>
        <v/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IF(IFERROR(INDEX(Consulta!$A:$DF,MATCH('MM01'!$B74,Consulta!$C:$C,0),'MM01'!BX$2),"")=0,"",IFERROR(INDEX(Consulta!$A:$DF,MATCH('MM01'!$B74,Consulta!$C:$C,0),'MM01'!BX$2),""))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IF(IFERROR(INDEX(Consulta!$A:$DF,MATCH('MM01'!$B74,Consulta!$C:$C,0),'MM01'!CT$2),"")=0,"",IFERROR(INDEX(Consulta!$A:$DF,MATCH('MM01'!$B74,Consulta!$C:$C,0),'MM01'!CT$2),""))</f>
        <v/>
      </c>
      <c r="CU74" s="43" t="str">
        <f>IF(IFERROR(INDEX(Consulta!$A:$DF,MATCH('MM01'!$B74,Consulta!$C:$C,0),'MM01'!CU$2),"")=0,"",IFERROR(INDEX(Consulta!$A:$DF,MATCH('MM01'!$B74,Consulta!$C:$C,0),'MM01'!CU$2),""))</f>
        <v/>
      </c>
      <c r="CV74" s="43" t="str">
        <f>IF(IFERROR(INDEX(Consulta!$A:$DF,MATCH('MM01'!$B74,Consulta!$C:$C,0),'MM01'!CV$2),"")=0,"",IFERROR(INDEX(Consulta!$A:$DF,MATCH('MM01'!$B74,Consulta!$C:$C,0),'MM01'!CV$2),""))</f>
        <v/>
      </c>
      <c r="CW74" s="43" t="str">
        <f>IF(IFERROR(INDEX(Consulta!$A:$DF,MATCH('MM01'!$B74,Consulta!$C:$C,0),'MM01'!CW$2),"")=0,"",IFERROR(INDEX(Consulta!$A:$DF,MATCH('MM01'!$B74,Consulta!$C:$C,0),'MM01'!CW$2),""))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IF(IFERROR(INDEX(Consulta!$A:$DF,MATCH('MM01'!$B74,Consulta!$C:$C,0),'MM01'!DA$2),"")=0,"",IFERROR(INDEX(Consulta!$A:$DF,MATCH('MM01'!$B74,Consulta!$C:$C,0),'MM01'!DA$2),""))</f>
        <v/>
      </c>
      <c r="DB74" s="43" t="str">
        <f t="shared" si="61"/>
        <v/>
      </c>
      <c r="DC74" s="43" t="str">
        <f>IF(IFERROR(INDEX(Consulta!$A:$DF,MATCH('MM01'!$B74,Consulta!$C:$C,0),'MM01'!DC$2),"")=0,"",IFERROR(INDEX(Consulta!$A:$DF,MATCH('MM01'!$B74,Consulta!$C:$C,0),'MM01'!DC$2),""))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5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5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5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5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IF(IFERROR(INDEX(Consulta!$A:$DF,MATCH('MM01'!$B74,Consulta!$C:$C,0),'MM01'!EB$2),"")=0,"7925",IF(IFERROR(INDEX(Consulta!$A:$DF,MATCH('MM01'!$B74,Consulta!$C:$C,0),'MM01'!EB$2),"")="68","7910","7925"))</f>
        <v>7925</v>
      </c>
      <c r="EC74" s="44">
        <v>100</v>
      </c>
      <c r="ED74" s="60">
        <v>1</v>
      </c>
      <c r="EE74" s="43">
        <f t="shared" si="77"/>
        <v>100</v>
      </c>
      <c r="EF74" s="44">
        <v>1</v>
      </c>
      <c r="EG74" s="44">
        <v>0</v>
      </c>
      <c r="EH74" s="44" t="s">
        <v>867</v>
      </c>
      <c r="EI74" s="45">
        <v>0</v>
      </c>
      <c r="EJ74" s="43">
        <f t="shared" si="78"/>
        <v>5000</v>
      </c>
      <c r="EK74" s="65"/>
    </row>
    <row r="75" spans="1:141" x14ac:dyDescent="0.3">
      <c r="A75" s="7" t="str">
        <f t="shared" si="79"/>
        <v>Execução 71</v>
      </c>
      <c r="B75" s="42"/>
      <c r="C75" s="43" t="str">
        <f>IF(IFERROR(INDEX(Consulta!$A:$DF,MATCH('MM01'!$B75,Consulta!$C:$C,0),'MM01'!C$2),"")=0,"",IFERROR(INDEX(Consulta!$A:$DF,MATCH('MM01'!$B75,Consulta!$C:$C,0),'MM01'!C$2),""))</f>
        <v/>
      </c>
      <c r="D75" s="43" t="str">
        <f>IF(IFERROR(INDEX(Consulta!$A:$DF,MATCH('MM01'!$B75,Consulta!$C:$C,0),'MM01'!D$2),"")=0,"",IFERROR(INDEX(Consulta!$A:$DF,MATCH('MM01'!$B75,Consulta!$C:$C,0),'MM01'!D$2),""))</f>
        <v/>
      </c>
      <c r="E75" s="43" t="str">
        <f>IF(IFERROR(INDEX(Consulta!$A:$DF,MATCH('MM01'!$B75,Consulta!$C:$C,0),'MM01'!E$2),"")=0,"",IFERROR(INDEX(Consulta!$A:$DF,MATCH('MM01'!$B75,Consulta!$C:$C,0),'MM01'!E$2),""))</f>
        <v/>
      </c>
      <c r="F75" s="44" t="s">
        <v>100</v>
      </c>
      <c r="G75" s="49" t="str">
        <f>IF(IFERROR(INDEX(Consulta!$A:$DF,MATCH('MM01'!$B75,Consulta!$C:$C,0),'MM01'!G$2),"")=0,"",IFERROR(INDEX(Consulta!$A:$DF,MATCH('MM01'!$B75,Consulta!$C:$C,0),'MM01'!G$2),""))</f>
        <v/>
      </c>
      <c r="H75" s="49" t="str">
        <f>IF(IFERROR(INDEX(Consulta!$A:$DF,MATCH('MM01'!$B75,Consulta!$C:$C,0),'MM01'!H$2),"")=0,"",IFERROR(INDEX(Consulta!$A:$DF,MATCH('MM01'!$B75,Consulta!$C:$C,0),'MM01'!H$2),""))</f>
        <v/>
      </c>
      <c r="I75" s="49" t="str">
        <f t="shared" si="40"/>
        <v/>
      </c>
      <c r="J75" s="49" t="str">
        <f>IF(IFERROR(INDEX(Consulta!$A:$DF,MATCH('MM01'!$B75,Consulta!$C:$C,0),'MM01'!J$2),"")=0,"",IFERROR(INDEX(Consulta!$A:$DF,MATCH('MM01'!$B75,Consulta!$C:$C,0),'MM01'!J$2),""))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IF(IFERROR(INDEX(Consulta!$A:$DF,MATCH('MM01'!$B75,Consulta!$C:$C,0),'MM01'!AP$2),"")=0,"",IFERROR(INDEX(Consulta!$A:$DF,MATCH('MM01'!$B75,Consulta!$C:$C,0),'MM01'!AP$2),""))</f>
        <v/>
      </c>
      <c r="AQ75" s="45"/>
      <c r="AR75" s="43" t="str">
        <f>IF(IFERROR(INDEX(Consulta!$A:$DF,MATCH('MM01'!$B75,Consulta!$C:$C,0),'MM01'!AR$2),"")=0,"",IFERROR(INDEX(Consulta!$A:$DF,MATCH('MM01'!$B75,Consulta!$C:$C,0),'MM01'!AR$2),""))</f>
        <v/>
      </c>
      <c r="AS75" s="43" t="str">
        <f>IF(IFERROR(INDEX(Consulta!$A:$DF,MATCH('MM01'!$B75,Consulta!$C:$C,0),'MM01'!AS$2),"")=0,"",IF(AR75="68",5102,IFERROR(INDEX(Consulta!$A:$DF,MATCH('MM01'!$B75,Consulta!$C:$C,0),'MM01'!AS$2),"")))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IF(IFERROR(INDEX(Consulta!$A:$DF,MATCH('MM01'!$B75,Consulta!$C:$C,0),'MM01'!AW$2),"")=0,"",IFERROR(ROUND(INDEX(Consulta!$A:$DF,MATCH('MM01'!$B75,Consulta!$C:$C,0),'MM01'!AW$2),3),""))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IF(IFERROR(INDEX(Consulta!$A:$DF,MATCH('MM01'!$B75,Consulta!$C:$C,0),'MM01'!BA$2),"")=0,"",IFERROR(INDEX(Consulta!$A:$DF,MATCH('MM01'!$B75,Consulta!$C:$C,0),'MM01'!BA$2),""))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IF(IFERROR(INDEX(Consulta!$A:$DF,MATCH('MM01'!$B75,Consulta!$C:$C,0),'MM01'!BL$2),"")=0,"",IFERROR(INDEX(Consulta!$A:$DF,MATCH('MM01'!$B75,Consulta!$C:$C,0),'MM01'!BL$2),""))</f>
        <v/>
      </c>
      <c r="BM75" s="45"/>
      <c r="BN75" s="46" t="str">
        <f t="shared" ca="1" si="52"/>
        <v/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IF(IFERROR(INDEX(Consulta!$A:$DF,MATCH('MM01'!$B75,Consulta!$C:$C,0),'MM01'!BX$2),"")=0,"",IFERROR(INDEX(Consulta!$A:$DF,MATCH('MM01'!$B75,Consulta!$C:$C,0),'MM01'!BX$2),""))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IF(IFERROR(INDEX(Consulta!$A:$DF,MATCH('MM01'!$B75,Consulta!$C:$C,0),'MM01'!CT$2),"")=0,"",IFERROR(INDEX(Consulta!$A:$DF,MATCH('MM01'!$B75,Consulta!$C:$C,0),'MM01'!CT$2),""))</f>
        <v/>
      </c>
      <c r="CU75" s="43" t="str">
        <f>IF(IFERROR(INDEX(Consulta!$A:$DF,MATCH('MM01'!$B75,Consulta!$C:$C,0),'MM01'!CU$2),"")=0,"",IFERROR(INDEX(Consulta!$A:$DF,MATCH('MM01'!$B75,Consulta!$C:$C,0),'MM01'!CU$2),""))</f>
        <v/>
      </c>
      <c r="CV75" s="43" t="str">
        <f>IF(IFERROR(INDEX(Consulta!$A:$DF,MATCH('MM01'!$B75,Consulta!$C:$C,0),'MM01'!CV$2),"")=0,"",IFERROR(INDEX(Consulta!$A:$DF,MATCH('MM01'!$B75,Consulta!$C:$C,0),'MM01'!CV$2),""))</f>
        <v/>
      </c>
      <c r="CW75" s="43" t="str">
        <f>IF(IFERROR(INDEX(Consulta!$A:$DF,MATCH('MM01'!$B75,Consulta!$C:$C,0),'MM01'!CW$2),"")=0,"",IFERROR(INDEX(Consulta!$A:$DF,MATCH('MM01'!$B75,Consulta!$C:$C,0),'MM01'!CW$2),""))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IF(IFERROR(INDEX(Consulta!$A:$DF,MATCH('MM01'!$B75,Consulta!$C:$C,0),'MM01'!DA$2),"")=0,"",IFERROR(INDEX(Consulta!$A:$DF,MATCH('MM01'!$B75,Consulta!$C:$C,0),'MM01'!DA$2),""))</f>
        <v/>
      </c>
      <c r="DB75" s="43" t="str">
        <f t="shared" si="61"/>
        <v/>
      </c>
      <c r="DC75" s="43" t="str">
        <f>IF(IFERROR(INDEX(Consulta!$A:$DF,MATCH('MM01'!$B75,Consulta!$C:$C,0),'MM01'!DC$2),"")=0,"",IFERROR(INDEX(Consulta!$A:$DF,MATCH('MM01'!$B75,Consulta!$C:$C,0),'MM01'!DC$2),""))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5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5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5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5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IF(IFERROR(INDEX(Consulta!$A:$DF,MATCH('MM01'!$B75,Consulta!$C:$C,0),'MM01'!EB$2),"")=0,"7925",IF(IFERROR(INDEX(Consulta!$A:$DF,MATCH('MM01'!$B75,Consulta!$C:$C,0),'MM01'!EB$2),"")="68","7910","7925"))</f>
        <v>7925</v>
      </c>
      <c r="EC75" s="44">
        <v>100</v>
      </c>
      <c r="ED75" s="60">
        <v>1</v>
      </c>
      <c r="EE75" s="43">
        <f t="shared" si="77"/>
        <v>100</v>
      </c>
      <c r="EF75" s="44">
        <v>1</v>
      </c>
      <c r="EG75" s="44">
        <v>0</v>
      </c>
      <c r="EH75" s="44" t="s">
        <v>867</v>
      </c>
      <c r="EI75" s="45">
        <v>0</v>
      </c>
      <c r="EJ75" s="43">
        <f t="shared" si="78"/>
        <v>5000</v>
      </c>
      <c r="EK75" s="65"/>
    </row>
    <row r="76" spans="1:141" x14ac:dyDescent="0.3">
      <c r="A76" s="7" t="str">
        <f t="shared" si="79"/>
        <v>Execução 72</v>
      </c>
      <c r="B76" s="42"/>
      <c r="C76" s="43" t="str">
        <f>IF(IFERROR(INDEX(Consulta!$A:$DF,MATCH('MM01'!$B76,Consulta!$C:$C,0),'MM01'!C$2),"")=0,"",IFERROR(INDEX(Consulta!$A:$DF,MATCH('MM01'!$B76,Consulta!$C:$C,0),'MM01'!C$2),""))</f>
        <v/>
      </c>
      <c r="D76" s="43" t="str">
        <f>IF(IFERROR(INDEX(Consulta!$A:$DF,MATCH('MM01'!$B76,Consulta!$C:$C,0),'MM01'!D$2),"")=0,"",IFERROR(INDEX(Consulta!$A:$DF,MATCH('MM01'!$B76,Consulta!$C:$C,0),'MM01'!D$2),""))</f>
        <v/>
      </c>
      <c r="E76" s="43" t="str">
        <f>IF(IFERROR(INDEX(Consulta!$A:$DF,MATCH('MM01'!$B76,Consulta!$C:$C,0),'MM01'!E$2),"")=0,"",IFERROR(INDEX(Consulta!$A:$DF,MATCH('MM01'!$B76,Consulta!$C:$C,0),'MM01'!E$2),""))</f>
        <v/>
      </c>
      <c r="F76" s="44" t="s">
        <v>100</v>
      </c>
      <c r="G76" s="49" t="str">
        <f>IF(IFERROR(INDEX(Consulta!$A:$DF,MATCH('MM01'!$B76,Consulta!$C:$C,0),'MM01'!G$2),"")=0,"",IFERROR(INDEX(Consulta!$A:$DF,MATCH('MM01'!$B76,Consulta!$C:$C,0),'MM01'!G$2),""))</f>
        <v/>
      </c>
      <c r="H76" s="49" t="str">
        <f>IF(IFERROR(INDEX(Consulta!$A:$DF,MATCH('MM01'!$B76,Consulta!$C:$C,0),'MM01'!H$2),"")=0,"",IFERROR(INDEX(Consulta!$A:$DF,MATCH('MM01'!$B76,Consulta!$C:$C,0),'MM01'!H$2),""))</f>
        <v/>
      </c>
      <c r="I76" s="49" t="str">
        <f t="shared" si="40"/>
        <v/>
      </c>
      <c r="J76" s="49" t="str">
        <f>IF(IFERROR(INDEX(Consulta!$A:$DF,MATCH('MM01'!$B76,Consulta!$C:$C,0),'MM01'!J$2),"")=0,"",IFERROR(INDEX(Consulta!$A:$DF,MATCH('MM01'!$B76,Consulta!$C:$C,0),'MM01'!J$2),""))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IF(IFERROR(INDEX(Consulta!$A:$DF,MATCH('MM01'!$B76,Consulta!$C:$C,0),'MM01'!AP$2),"")=0,"",IFERROR(INDEX(Consulta!$A:$DF,MATCH('MM01'!$B76,Consulta!$C:$C,0),'MM01'!AP$2),""))</f>
        <v/>
      </c>
      <c r="AQ76" s="45"/>
      <c r="AR76" s="43" t="str">
        <f>IF(IFERROR(INDEX(Consulta!$A:$DF,MATCH('MM01'!$B76,Consulta!$C:$C,0),'MM01'!AR$2),"")=0,"",IFERROR(INDEX(Consulta!$A:$DF,MATCH('MM01'!$B76,Consulta!$C:$C,0),'MM01'!AR$2),""))</f>
        <v/>
      </c>
      <c r="AS76" s="43" t="str">
        <f>IF(IFERROR(INDEX(Consulta!$A:$DF,MATCH('MM01'!$B76,Consulta!$C:$C,0),'MM01'!AS$2),"")=0,"",IF(AR76="68",5102,IFERROR(INDEX(Consulta!$A:$DF,MATCH('MM01'!$B76,Consulta!$C:$C,0),'MM01'!AS$2),"")))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IF(IFERROR(INDEX(Consulta!$A:$DF,MATCH('MM01'!$B76,Consulta!$C:$C,0),'MM01'!AW$2),"")=0,"",IFERROR(ROUND(INDEX(Consulta!$A:$DF,MATCH('MM01'!$B76,Consulta!$C:$C,0),'MM01'!AW$2),3),""))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IF(IFERROR(INDEX(Consulta!$A:$DF,MATCH('MM01'!$B76,Consulta!$C:$C,0),'MM01'!BA$2),"")=0,"",IFERROR(INDEX(Consulta!$A:$DF,MATCH('MM01'!$B76,Consulta!$C:$C,0),'MM01'!BA$2),""))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IF(IFERROR(INDEX(Consulta!$A:$DF,MATCH('MM01'!$B76,Consulta!$C:$C,0),'MM01'!BL$2),"")=0,"",IFERROR(INDEX(Consulta!$A:$DF,MATCH('MM01'!$B76,Consulta!$C:$C,0),'MM01'!BL$2),""))</f>
        <v/>
      </c>
      <c r="BM76" s="45"/>
      <c r="BN76" s="46" t="str">
        <f t="shared" ca="1" si="52"/>
        <v/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IF(IFERROR(INDEX(Consulta!$A:$DF,MATCH('MM01'!$B76,Consulta!$C:$C,0),'MM01'!BX$2),"")=0,"",IFERROR(INDEX(Consulta!$A:$DF,MATCH('MM01'!$B76,Consulta!$C:$C,0),'MM01'!BX$2),""))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IF(IFERROR(INDEX(Consulta!$A:$DF,MATCH('MM01'!$B76,Consulta!$C:$C,0),'MM01'!CT$2),"")=0,"",IFERROR(INDEX(Consulta!$A:$DF,MATCH('MM01'!$B76,Consulta!$C:$C,0),'MM01'!CT$2),""))</f>
        <v/>
      </c>
      <c r="CU76" s="43" t="str">
        <f>IF(IFERROR(INDEX(Consulta!$A:$DF,MATCH('MM01'!$B76,Consulta!$C:$C,0),'MM01'!CU$2),"")=0,"",IFERROR(INDEX(Consulta!$A:$DF,MATCH('MM01'!$B76,Consulta!$C:$C,0),'MM01'!CU$2),""))</f>
        <v/>
      </c>
      <c r="CV76" s="43" t="str">
        <f>IF(IFERROR(INDEX(Consulta!$A:$DF,MATCH('MM01'!$B76,Consulta!$C:$C,0),'MM01'!CV$2),"")=0,"",IFERROR(INDEX(Consulta!$A:$DF,MATCH('MM01'!$B76,Consulta!$C:$C,0),'MM01'!CV$2),""))</f>
        <v/>
      </c>
      <c r="CW76" s="43" t="str">
        <f>IF(IFERROR(INDEX(Consulta!$A:$DF,MATCH('MM01'!$B76,Consulta!$C:$C,0),'MM01'!CW$2),"")=0,"",IFERROR(INDEX(Consulta!$A:$DF,MATCH('MM01'!$B76,Consulta!$C:$C,0),'MM01'!CW$2),""))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IF(IFERROR(INDEX(Consulta!$A:$DF,MATCH('MM01'!$B76,Consulta!$C:$C,0),'MM01'!DA$2),"")=0,"",IFERROR(INDEX(Consulta!$A:$DF,MATCH('MM01'!$B76,Consulta!$C:$C,0),'MM01'!DA$2),""))</f>
        <v/>
      </c>
      <c r="DB76" s="43" t="str">
        <f t="shared" si="61"/>
        <v/>
      </c>
      <c r="DC76" s="43" t="str">
        <f>IF(IFERROR(INDEX(Consulta!$A:$DF,MATCH('MM01'!$B76,Consulta!$C:$C,0),'MM01'!DC$2),"")=0,"",IFERROR(INDEX(Consulta!$A:$DF,MATCH('MM01'!$B76,Consulta!$C:$C,0),'MM01'!DC$2),""))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5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5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5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5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IF(IFERROR(INDEX(Consulta!$A:$DF,MATCH('MM01'!$B76,Consulta!$C:$C,0),'MM01'!EB$2),"")=0,"7925",IF(IFERROR(INDEX(Consulta!$A:$DF,MATCH('MM01'!$B76,Consulta!$C:$C,0),'MM01'!EB$2),"")="68","7910","7925"))</f>
        <v>7925</v>
      </c>
      <c r="EC76" s="44">
        <v>100</v>
      </c>
      <c r="ED76" s="60">
        <v>1</v>
      </c>
      <c r="EE76" s="43">
        <f t="shared" si="77"/>
        <v>100</v>
      </c>
      <c r="EF76" s="44">
        <v>1</v>
      </c>
      <c r="EG76" s="44">
        <v>0</v>
      </c>
      <c r="EH76" s="44" t="s">
        <v>867</v>
      </c>
      <c r="EI76" s="45">
        <v>0</v>
      </c>
      <c r="EJ76" s="43">
        <f t="shared" si="78"/>
        <v>5000</v>
      </c>
      <c r="EK76" s="65"/>
    </row>
    <row r="77" spans="1:141" x14ac:dyDescent="0.3">
      <c r="A77" s="7" t="str">
        <f t="shared" si="79"/>
        <v>Execução 73</v>
      </c>
      <c r="B77" s="42"/>
      <c r="C77" s="43" t="str">
        <f>IF(IFERROR(INDEX(Consulta!$A:$DF,MATCH('MM01'!$B77,Consulta!$C:$C,0),'MM01'!C$2),"")=0,"",IFERROR(INDEX(Consulta!$A:$DF,MATCH('MM01'!$B77,Consulta!$C:$C,0),'MM01'!C$2),""))</f>
        <v/>
      </c>
      <c r="D77" s="43" t="str">
        <f>IF(IFERROR(INDEX(Consulta!$A:$DF,MATCH('MM01'!$B77,Consulta!$C:$C,0),'MM01'!D$2),"")=0,"",IFERROR(INDEX(Consulta!$A:$DF,MATCH('MM01'!$B77,Consulta!$C:$C,0),'MM01'!D$2),""))</f>
        <v/>
      </c>
      <c r="E77" s="43" t="str">
        <f>IF(IFERROR(INDEX(Consulta!$A:$DF,MATCH('MM01'!$B77,Consulta!$C:$C,0),'MM01'!E$2),"")=0,"",IFERROR(INDEX(Consulta!$A:$DF,MATCH('MM01'!$B77,Consulta!$C:$C,0),'MM01'!E$2),""))</f>
        <v/>
      </c>
      <c r="F77" s="44" t="s">
        <v>100</v>
      </c>
      <c r="G77" s="49" t="str">
        <f>IF(IFERROR(INDEX(Consulta!$A:$DF,MATCH('MM01'!$B77,Consulta!$C:$C,0),'MM01'!G$2),"")=0,"",IFERROR(INDEX(Consulta!$A:$DF,MATCH('MM01'!$B77,Consulta!$C:$C,0),'MM01'!G$2),""))</f>
        <v/>
      </c>
      <c r="H77" s="49" t="str">
        <f>IF(IFERROR(INDEX(Consulta!$A:$DF,MATCH('MM01'!$B77,Consulta!$C:$C,0),'MM01'!H$2),"")=0,"",IFERROR(INDEX(Consulta!$A:$DF,MATCH('MM01'!$B77,Consulta!$C:$C,0),'MM01'!H$2),""))</f>
        <v/>
      </c>
      <c r="I77" s="49" t="str">
        <f t="shared" si="40"/>
        <v/>
      </c>
      <c r="J77" s="49" t="str">
        <f>IF(IFERROR(INDEX(Consulta!$A:$DF,MATCH('MM01'!$B77,Consulta!$C:$C,0),'MM01'!J$2),"")=0,"",IFERROR(INDEX(Consulta!$A:$DF,MATCH('MM01'!$B77,Consulta!$C:$C,0),'MM01'!J$2),""))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IF(IFERROR(INDEX(Consulta!$A:$DF,MATCH('MM01'!$B77,Consulta!$C:$C,0),'MM01'!AP$2),"")=0,"",IFERROR(INDEX(Consulta!$A:$DF,MATCH('MM01'!$B77,Consulta!$C:$C,0),'MM01'!AP$2),""))</f>
        <v/>
      </c>
      <c r="AQ77" s="45"/>
      <c r="AR77" s="43" t="str">
        <f>IF(IFERROR(INDEX(Consulta!$A:$DF,MATCH('MM01'!$B77,Consulta!$C:$C,0),'MM01'!AR$2),"")=0,"",IFERROR(INDEX(Consulta!$A:$DF,MATCH('MM01'!$B77,Consulta!$C:$C,0),'MM01'!AR$2),""))</f>
        <v/>
      </c>
      <c r="AS77" s="43" t="str">
        <f>IF(IFERROR(INDEX(Consulta!$A:$DF,MATCH('MM01'!$B77,Consulta!$C:$C,0),'MM01'!AS$2),"")=0,"",IF(AR77="68",5102,IFERROR(INDEX(Consulta!$A:$DF,MATCH('MM01'!$B77,Consulta!$C:$C,0),'MM01'!AS$2),"")))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IF(IFERROR(INDEX(Consulta!$A:$DF,MATCH('MM01'!$B77,Consulta!$C:$C,0),'MM01'!AW$2),"")=0,"",IFERROR(ROUND(INDEX(Consulta!$A:$DF,MATCH('MM01'!$B77,Consulta!$C:$C,0),'MM01'!AW$2),3),""))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IF(IFERROR(INDEX(Consulta!$A:$DF,MATCH('MM01'!$B77,Consulta!$C:$C,0),'MM01'!BA$2),"")=0,"",IFERROR(INDEX(Consulta!$A:$DF,MATCH('MM01'!$B77,Consulta!$C:$C,0),'MM01'!BA$2),""))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IF(IFERROR(INDEX(Consulta!$A:$DF,MATCH('MM01'!$B77,Consulta!$C:$C,0),'MM01'!BL$2),"")=0,"",IFERROR(INDEX(Consulta!$A:$DF,MATCH('MM01'!$B77,Consulta!$C:$C,0),'MM01'!BL$2),""))</f>
        <v/>
      </c>
      <c r="BM77" s="45"/>
      <c r="BN77" s="46" t="str">
        <f t="shared" ca="1" si="52"/>
        <v/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IF(IFERROR(INDEX(Consulta!$A:$DF,MATCH('MM01'!$B77,Consulta!$C:$C,0),'MM01'!BX$2),"")=0,"",IFERROR(INDEX(Consulta!$A:$DF,MATCH('MM01'!$B77,Consulta!$C:$C,0),'MM01'!BX$2),""))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IF(IFERROR(INDEX(Consulta!$A:$DF,MATCH('MM01'!$B77,Consulta!$C:$C,0),'MM01'!CT$2),"")=0,"",IFERROR(INDEX(Consulta!$A:$DF,MATCH('MM01'!$B77,Consulta!$C:$C,0),'MM01'!CT$2),""))</f>
        <v/>
      </c>
      <c r="CU77" s="43" t="str">
        <f>IF(IFERROR(INDEX(Consulta!$A:$DF,MATCH('MM01'!$B77,Consulta!$C:$C,0),'MM01'!CU$2),"")=0,"",IFERROR(INDEX(Consulta!$A:$DF,MATCH('MM01'!$B77,Consulta!$C:$C,0),'MM01'!CU$2),""))</f>
        <v/>
      </c>
      <c r="CV77" s="43" t="str">
        <f>IF(IFERROR(INDEX(Consulta!$A:$DF,MATCH('MM01'!$B77,Consulta!$C:$C,0),'MM01'!CV$2),"")=0,"",IFERROR(INDEX(Consulta!$A:$DF,MATCH('MM01'!$B77,Consulta!$C:$C,0),'MM01'!CV$2),""))</f>
        <v/>
      </c>
      <c r="CW77" s="43" t="str">
        <f>IF(IFERROR(INDEX(Consulta!$A:$DF,MATCH('MM01'!$B77,Consulta!$C:$C,0),'MM01'!CW$2),"")=0,"",IFERROR(INDEX(Consulta!$A:$DF,MATCH('MM01'!$B77,Consulta!$C:$C,0),'MM01'!CW$2),""))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IF(IFERROR(INDEX(Consulta!$A:$DF,MATCH('MM01'!$B77,Consulta!$C:$C,0),'MM01'!DA$2),"")=0,"",IFERROR(INDEX(Consulta!$A:$DF,MATCH('MM01'!$B77,Consulta!$C:$C,0),'MM01'!DA$2),""))</f>
        <v/>
      </c>
      <c r="DB77" s="43" t="str">
        <f t="shared" si="61"/>
        <v/>
      </c>
      <c r="DC77" s="43" t="str">
        <f>IF(IFERROR(INDEX(Consulta!$A:$DF,MATCH('MM01'!$B77,Consulta!$C:$C,0),'MM01'!DC$2),"")=0,"",IFERROR(INDEX(Consulta!$A:$DF,MATCH('MM01'!$B77,Consulta!$C:$C,0),'MM01'!DC$2),""))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5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5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5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5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IF(IFERROR(INDEX(Consulta!$A:$DF,MATCH('MM01'!$B77,Consulta!$C:$C,0),'MM01'!EB$2),"")=0,"7925",IF(IFERROR(INDEX(Consulta!$A:$DF,MATCH('MM01'!$B77,Consulta!$C:$C,0),'MM01'!EB$2),"")="68","7910","7925"))</f>
        <v>7925</v>
      </c>
      <c r="EC77" s="44">
        <v>100</v>
      </c>
      <c r="ED77" s="60">
        <v>1</v>
      </c>
      <c r="EE77" s="43">
        <f t="shared" si="77"/>
        <v>100</v>
      </c>
      <c r="EF77" s="44">
        <v>1</v>
      </c>
      <c r="EG77" s="44">
        <v>0</v>
      </c>
      <c r="EH77" s="44" t="s">
        <v>867</v>
      </c>
      <c r="EI77" s="45">
        <v>0</v>
      </c>
      <c r="EJ77" s="43">
        <f t="shared" si="78"/>
        <v>5000</v>
      </c>
      <c r="EK77" s="65"/>
    </row>
    <row r="78" spans="1:141" x14ac:dyDescent="0.3">
      <c r="A78" s="7" t="str">
        <f t="shared" si="79"/>
        <v>Execução 74</v>
      </c>
      <c r="B78" s="42"/>
      <c r="C78" s="43" t="str">
        <f>IF(IFERROR(INDEX(Consulta!$A:$DF,MATCH('MM01'!$B78,Consulta!$C:$C,0),'MM01'!C$2),"")=0,"",IFERROR(INDEX(Consulta!$A:$DF,MATCH('MM01'!$B78,Consulta!$C:$C,0),'MM01'!C$2),""))</f>
        <v/>
      </c>
      <c r="D78" s="43" t="str">
        <f>IF(IFERROR(INDEX(Consulta!$A:$DF,MATCH('MM01'!$B78,Consulta!$C:$C,0),'MM01'!D$2),"")=0,"",IFERROR(INDEX(Consulta!$A:$DF,MATCH('MM01'!$B78,Consulta!$C:$C,0),'MM01'!D$2),""))</f>
        <v/>
      </c>
      <c r="E78" s="43" t="str">
        <f>IF(IFERROR(INDEX(Consulta!$A:$DF,MATCH('MM01'!$B78,Consulta!$C:$C,0),'MM01'!E$2),"")=0,"",IFERROR(INDEX(Consulta!$A:$DF,MATCH('MM01'!$B78,Consulta!$C:$C,0),'MM01'!E$2),""))</f>
        <v/>
      </c>
      <c r="F78" s="44" t="s">
        <v>100</v>
      </c>
      <c r="G78" s="49" t="str">
        <f>IF(IFERROR(INDEX(Consulta!$A:$DF,MATCH('MM01'!$B78,Consulta!$C:$C,0),'MM01'!G$2),"")=0,"",IFERROR(INDEX(Consulta!$A:$DF,MATCH('MM01'!$B78,Consulta!$C:$C,0),'MM01'!G$2),""))</f>
        <v/>
      </c>
      <c r="H78" s="49" t="str">
        <f>IF(IFERROR(INDEX(Consulta!$A:$DF,MATCH('MM01'!$B78,Consulta!$C:$C,0),'MM01'!H$2),"")=0,"",IFERROR(INDEX(Consulta!$A:$DF,MATCH('MM01'!$B78,Consulta!$C:$C,0),'MM01'!H$2),""))</f>
        <v/>
      </c>
      <c r="I78" s="49" t="str">
        <f t="shared" si="40"/>
        <v/>
      </c>
      <c r="J78" s="49" t="str">
        <f>IF(IFERROR(INDEX(Consulta!$A:$DF,MATCH('MM01'!$B78,Consulta!$C:$C,0),'MM01'!J$2),"")=0,"",IFERROR(INDEX(Consulta!$A:$DF,MATCH('MM01'!$B78,Consulta!$C:$C,0),'MM01'!J$2),""))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IF(IFERROR(INDEX(Consulta!$A:$DF,MATCH('MM01'!$B78,Consulta!$C:$C,0),'MM01'!AP$2),"")=0,"",IFERROR(INDEX(Consulta!$A:$DF,MATCH('MM01'!$B78,Consulta!$C:$C,0),'MM01'!AP$2),""))</f>
        <v/>
      </c>
      <c r="AQ78" s="45"/>
      <c r="AR78" s="43" t="str">
        <f>IF(IFERROR(INDEX(Consulta!$A:$DF,MATCH('MM01'!$B78,Consulta!$C:$C,0),'MM01'!AR$2),"")=0,"",IFERROR(INDEX(Consulta!$A:$DF,MATCH('MM01'!$B78,Consulta!$C:$C,0),'MM01'!AR$2),""))</f>
        <v/>
      </c>
      <c r="AS78" s="43" t="str">
        <f>IF(IFERROR(INDEX(Consulta!$A:$DF,MATCH('MM01'!$B78,Consulta!$C:$C,0),'MM01'!AS$2),"")=0,"",IF(AR78="68",5102,IFERROR(INDEX(Consulta!$A:$DF,MATCH('MM01'!$B78,Consulta!$C:$C,0),'MM01'!AS$2),"")))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IF(IFERROR(INDEX(Consulta!$A:$DF,MATCH('MM01'!$B78,Consulta!$C:$C,0),'MM01'!AW$2),"")=0,"",IFERROR(ROUND(INDEX(Consulta!$A:$DF,MATCH('MM01'!$B78,Consulta!$C:$C,0),'MM01'!AW$2),3),""))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IF(IFERROR(INDEX(Consulta!$A:$DF,MATCH('MM01'!$B78,Consulta!$C:$C,0),'MM01'!BA$2),"")=0,"",IFERROR(INDEX(Consulta!$A:$DF,MATCH('MM01'!$B78,Consulta!$C:$C,0),'MM01'!BA$2),""))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IF(IFERROR(INDEX(Consulta!$A:$DF,MATCH('MM01'!$B78,Consulta!$C:$C,0),'MM01'!BL$2),"")=0,"",IFERROR(INDEX(Consulta!$A:$DF,MATCH('MM01'!$B78,Consulta!$C:$C,0),'MM01'!BL$2),""))</f>
        <v/>
      </c>
      <c r="BM78" s="45"/>
      <c r="BN78" s="46" t="str">
        <f t="shared" ca="1" si="52"/>
        <v/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IF(IFERROR(INDEX(Consulta!$A:$DF,MATCH('MM01'!$B78,Consulta!$C:$C,0),'MM01'!BX$2),"")=0,"",IFERROR(INDEX(Consulta!$A:$DF,MATCH('MM01'!$B78,Consulta!$C:$C,0),'MM01'!BX$2),""))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IF(IFERROR(INDEX(Consulta!$A:$DF,MATCH('MM01'!$B78,Consulta!$C:$C,0),'MM01'!CT$2),"")=0,"",IFERROR(INDEX(Consulta!$A:$DF,MATCH('MM01'!$B78,Consulta!$C:$C,0),'MM01'!CT$2),""))</f>
        <v/>
      </c>
      <c r="CU78" s="43" t="str">
        <f>IF(IFERROR(INDEX(Consulta!$A:$DF,MATCH('MM01'!$B78,Consulta!$C:$C,0),'MM01'!CU$2),"")=0,"",IFERROR(INDEX(Consulta!$A:$DF,MATCH('MM01'!$B78,Consulta!$C:$C,0),'MM01'!CU$2),""))</f>
        <v/>
      </c>
      <c r="CV78" s="43" t="str">
        <f>IF(IFERROR(INDEX(Consulta!$A:$DF,MATCH('MM01'!$B78,Consulta!$C:$C,0),'MM01'!CV$2),"")=0,"",IFERROR(INDEX(Consulta!$A:$DF,MATCH('MM01'!$B78,Consulta!$C:$C,0),'MM01'!CV$2),""))</f>
        <v/>
      </c>
      <c r="CW78" s="43" t="str">
        <f>IF(IFERROR(INDEX(Consulta!$A:$DF,MATCH('MM01'!$B78,Consulta!$C:$C,0),'MM01'!CW$2),"")=0,"",IFERROR(INDEX(Consulta!$A:$DF,MATCH('MM01'!$B78,Consulta!$C:$C,0),'MM01'!CW$2),""))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IF(IFERROR(INDEX(Consulta!$A:$DF,MATCH('MM01'!$B78,Consulta!$C:$C,0),'MM01'!DA$2),"")=0,"",IFERROR(INDEX(Consulta!$A:$DF,MATCH('MM01'!$B78,Consulta!$C:$C,0),'MM01'!DA$2),""))</f>
        <v/>
      </c>
      <c r="DB78" s="43" t="str">
        <f t="shared" si="61"/>
        <v/>
      </c>
      <c r="DC78" s="43" t="str">
        <f>IF(IFERROR(INDEX(Consulta!$A:$DF,MATCH('MM01'!$B78,Consulta!$C:$C,0),'MM01'!DC$2),"")=0,"",IFERROR(INDEX(Consulta!$A:$DF,MATCH('MM01'!$B78,Consulta!$C:$C,0),'MM01'!DC$2),""))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5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5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5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5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IF(IFERROR(INDEX(Consulta!$A:$DF,MATCH('MM01'!$B78,Consulta!$C:$C,0),'MM01'!EB$2),"")=0,"7925",IF(IFERROR(INDEX(Consulta!$A:$DF,MATCH('MM01'!$B78,Consulta!$C:$C,0),'MM01'!EB$2),"")="68","7910","7925"))</f>
        <v>7925</v>
      </c>
      <c r="EC78" s="44">
        <v>100</v>
      </c>
      <c r="ED78" s="60">
        <v>1</v>
      </c>
      <c r="EE78" s="43">
        <f t="shared" si="77"/>
        <v>100</v>
      </c>
      <c r="EF78" s="44">
        <v>1</v>
      </c>
      <c r="EG78" s="44">
        <v>0</v>
      </c>
      <c r="EH78" s="44" t="s">
        <v>867</v>
      </c>
      <c r="EI78" s="45">
        <v>0</v>
      </c>
      <c r="EJ78" s="43">
        <f t="shared" si="78"/>
        <v>5000</v>
      </c>
      <c r="EK78" s="65"/>
    </row>
    <row r="79" spans="1:141" x14ac:dyDescent="0.3">
      <c r="A79" s="7" t="str">
        <f t="shared" si="79"/>
        <v>Execução 75</v>
      </c>
      <c r="B79" s="42"/>
      <c r="C79" s="43" t="str">
        <f>IF(IFERROR(INDEX(Consulta!$A:$DF,MATCH('MM01'!$B79,Consulta!$C:$C,0),'MM01'!C$2),"")=0,"",IFERROR(INDEX(Consulta!$A:$DF,MATCH('MM01'!$B79,Consulta!$C:$C,0),'MM01'!C$2),""))</f>
        <v/>
      </c>
      <c r="D79" s="43" t="str">
        <f>IF(IFERROR(INDEX(Consulta!$A:$DF,MATCH('MM01'!$B79,Consulta!$C:$C,0),'MM01'!D$2),"")=0,"",IFERROR(INDEX(Consulta!$A:$DF,MATCH('MM01'!$B79,Consulta!$C:$C,0),'MM01'!D$2),""))</f>
        <v/>
      </c>
      <c r="E79" s="43" t="str">
        <f>IF(IFERROR(INDEX(Consulta!$A:$DF,MATCH('MM01'!$B79,Consulta!$C:$C,0),'MM01'!E$2),"")=0,"",IFERROR(INDEX(Consulta!$A:$DF,MATCH('MM01'!$B79,Consulta!$C:$C,0),'MM01'!E$2),""))</f>
        <v/>
      </c>
      <c r="F79" s="44" t="s">
        <v>100</v>
      </c>
      <c r="G79" s="49" t="str">
        <f>IF(IFERROR(INDEX(Consulta!$A:$DF,MATCH('MM01'!$B79,Consulta!$C:$C,0),'MM01'!G$2),"")=0,"",IFERROR(INDEX(Consulta!$A:$DF,MATCH('MM01'!$B79,Consulta!$C:$C,0),'MM01'!G$2),""))</f>
        <v/>
      </c>
      <c r="H79" s="49" t="str">
        <f>IF(IFERROR(INDEX(Consulta!$A:$DF,MATCH('MM01'!$B79,Consulta!$C:$C,0),'MM01'!H$2),"")=0,"",IFERROR(INDEX(Consulta!$A:$DF,MATCH('MM01'!$B79,Consulta!$C:$C,0),'MM01'!H$2),""))</f>
        <v/>
      </c>
      <c r="I79" s="49" t="str">
        <f t="shared" si="40"/>
        <v/>
      </c>
      <c r="J79" s="49" t="str">
        <f>IF(IFERROR(INDEX(Consulta!$A:$DF,MATCH('MM01'!$B79,Consulta!$C:$C,0),'MM01'!J$2),"")=0,"",IFERROR(INDEX(Consulta!$A:$DF,MATCH('MM01'!$B79,Consulta!$C:$C,0),'MM01'!J$2),""))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IF(IFERROR(INDEX(Consulta!$A:$DF,MATCH('MM01'!$B79,Consulta!$C:$C,0),'MM01'!AP$2),"")=0,"",IFERROR(INDEX(Consulta!$A:$DF,MATCH('MM01'!$B79,Consulta!$C:$C,0),'MM01'!AP$2),""))</f>
        <v/>
      </c>
      <c r="AQ79" s="45"/>
      <c r="AR79" s="43" t="str">
        <f>IF(IFERROR(INDEX(Consulta!$A:$DF,MATCH('MM01'!$B79,Consulta!$C:$C,0),'MM01'!AR$2),"")=0,"",IFERROR(INDEX(Consulta!$A:$DF,MATCH('MM01'!$B79,Consulta!$C:$C,0),'MM01'!AR$2),""))</f>
        <v/>
      </c>
      <c r="AS79" s="43" t="str">
        <f>IF(IFERROR(INDEX(Consulta!$A:$DF,MATCH('MM01'!$B79,Consulta!$C:$C,0),'MM01'!AS$2),"")=0,"",IF(AR79="68",5102,IFERROR(INDEX(Consulta!$A:$DF,MATCH('MM01'!$B79,Consulta!$C:$C,0),'MM01'!AS$2),"")))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IF(IFERROR(INDEX(Consulta!$A:$DF,MATCH('MM01'!$B79,Consulta!$C:$C,0),'MM01'!AW$2),"")=0,"",IFERROR(ROUND(INDEX(Consulta!$A:$DF,MATCH('MM01'!$B79,Consulta!$C:$C,0),'MM01'!AW$2),3),""))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IF(IFERROR(INDEX(Consulta!$A:$DF,MATCH('MM01'!$B79,Consulta!$C:$C,0),'MM01'!BA$2),"")=0,"",IFERROR(INDEX(Consulta!$A:$DF,MATCH('MM01'!$B79,Consulta!$C:$C,0),'MM01'!BA$2),""))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IF(IFERROR(INDEX(Consulta!$A:$DF,MATCH('MM01'!$B79,Consulta!$C:$C,0),'MM01'!BL$2),"")=0,"",IFERROR(INDEX(Consulta!$A:$DF,MATCH('MM01'!$B79,Consulta!$C:$C,0),'MM01'!BL$2),""))</f>
        <v/>
      </c>
      <c r="BM79" s="45"/>
      <c r="BN79" s="46" t="str">
        <f t="shared" ca="1" si="52"/>
        <v/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IF(IFERROR(INDEX(Consulta!$A:$DF,MATCH('MM01'!$B79,Consulta!$C:$C,0),'MM01'!BX$2),"")=0,"",IFERROR(INDEX(Consulta!$A:$DF,MATCH('MM01'!$B79,Consulta!$C:$C,0),'MM01'!BX$2),""))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IF(IFERROR(INDEX(Consulta!$A:$DF,MATCH('MM01'!$B79,Consulta!$C:$C,0),'MM01'!CT$2),"")=0,"",IFERROR(INDEX(Consulta!$A:$DF,MATCH('MM01'!$B79,Consulta!$C:$C,0),'MM01'!CT$2),""))</f>
        <v/>
      </c>
      <c r="CU79" s="43" t="str">
        <f>IF(IFERROR(INDEX(Consulta!$A:$DF,MATCH('MM01'!$B79,Consulta!$C:$C,0),'MM01'!CU$2),"")=0,"",IFERROR(INDEX(Consulta!$A:$DF,MATCH('MM01'!$B79,Consulta!$C:$C,0),'MM01'!CU$2),""))</f>
        <v/>
      </c>
      <c r="CV79" s="43" t="str">
        <f>IF(IFERROR(INDEX(Consulta!$A:$DF,MATCH('MM01'!$B79,Consulta!$C:$C,0),'MM01'!CV$2),"")=0,"",IFERROR(INDEX(Consulta!$A:$DF,MATCH('MM01'!$B79,Consulta!$C:$C,0),'MM01'!CV$2),""))</f>
        <v/>
      </c>
      <c r="CW79" s="43" t="str">
        <f>IF(IFERROR(INDEX(Consulta!$A:$DF,MATCH('MM01'!$B79,Consulta!$C:$C,0),'MM01'!CW$2),"")=0,"",IFERROR(INDEX(Consulta!$A:$DF,MATCH('MM01'!$B79,Consulta!$C:$C,0),'MM01'!CW$2),""))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IF(IFERROR(INDEX(Consulta!$A:$DF,MATCH('MM01'!$B79,Consulta!$C:$C,0),'MM01'!DA$2),"")=0,"",IFERROR(INDEX(Consulta!$A:$DF,MATCH('MM01'!$B79,Consulta!$C:$C,0),'MM01'!DA$2),""))</f>
        <v/>
      </c>
      <c r="DB79" s="43" t="str">
        <f t="shared" si="61"/>
        <v/>
      </c>
      <c r="DC79" s="43" t="str">
        <f>IF(IFERROR(INDEX(Consulta!$A:$DF,MATCH('MM01'!$B79,Consulta!$C:$C,0),'MM01'!DC$2),"")=0,"",IFERROR(INDEX(Consulta!$A:$DF,MATCH('MM01'!$B79,Consulta!$C:$C,0),'MM01'!DC$2),""))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5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5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5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5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IF(IFERROR(INDEX(Consulta!$A:$DF,MATCH('MM01'!$B79,Consulta!$C:$C,0),'MM01'!EB$2),"")=0,"7925",IF(IFERROR(INDEX(Consulta!$A:$DF,MATCH('MM01'!$B79,Consulta!$C:$C,0),'MM01'!EB$2),"")="68","7910","7925"))</f>
        <v>7925</v>
      </c>
      <c r="EC79" s="44">
        <v>100</v>
      </c>
      <c r="ED79" s="60">
        <v>1</v>
      </c>
      <c r="EE79" s="43">
        <f t="shared" si="77"/>
        <v>100</v>
      </c>
      <c r="EF79" s="44">
        <v>1</v>
      </c>
      <c r="EG79" s="44">
        <v>0</v>
      </c>
      <c r="EH79" s="44" t="s">
        <v>867</v>
      </c>
      <c r="EI79" s="45">
        <v>0</v>
      </c>
      <c r="EJ79" s="43">
        <f t="shared" si="78"/>
        <v>5000</v>
      </c>
      <c r="EK79" s="65"/>
    </row>
    <row r="80" spans="1:141" x14ac:dyDescent="0.3">
      <c r="A80" s="7" t="str">
        <f t="shared" si="79"/>
        <v>Execução 76</v>
      </c>
      <c r="B80" s="42"/>
      <c r="C80" s="43" t="str">
        <f>IF(IFERROR(INDEX(Consulta!$A:$DF,MATCH('MM01'!$B80,Consulta!$C:$C,0),'MM01'!C$2),"")=0,"",IFERROR(INDEX(Consulta!$A:$DF,MATCH('MM01'!$B80,Consulta!$C:$C,0),'MM01'!C$2),""))</f>
        <v/>
      </c>
      <c r="D80" s="43" t="str">
        <f>IF(IFERROR(INDEX(Consulta!$A:$DF,MATCH('MM01'!$B80,Consulta!$C:$C,0),'MM01'!D$2),"")=0,"",IFERROR(INDEX(Consulta!$A:$DF,MATCH('MM01'!$B80,Consulta!$C:$C,0),'MM01'!D$2),""))</f>
        <v/>
      </c>
      <c r="E80" s="43" t="str">
        <f>IF(IFERROR(INDEX(Consulta!$A:$DF,MATCH('MM01'!$B80,Consulta!$C:$C,0),'MM01'!E$2),"")=0,"",IFERROR(INDEX(Consulta!$A:$DF,MATCH('MM01'!$B80,Consulta!$C:$C,0),'MM01'!E$2),""))</f>
        <v/>
      </c>
      <c r="F80" s="44" t="s">
        <v>100</v>
      </c>
      <c r="G80" s="49" t="str">
        <f>IF(IFERROR(INDEX(Consulta!$A:$DF,MATCH('MM01'!$B80,Consulta!$C:$C,0),'MM01'!G$2),"")=0,"",IFERROR(INDEX(Consulta!$A:$DF,MATCH('MM01'!$B80,Consulta!$C:$C,0),'MM01'!G$2),""))</f>
        <v/>
      </c>
      <c r="H80" s="49" t="str">
        <f>IF(IFERROR(INDEX(Consulta!$A:$DF,MATCH('MM01'!$B80,Consulta!$C:$C,0),'MM01'!H$2),"")=0,"",IFERROR(INDEX(Consulta!$A:$DF,MATCH('MM01'!$B80,Consulta!$C:$C,0),'MM01'!H$2),""))</f>
        <v/>
      </c>
      <c r="I80" s="49" t="str">
        <f t="shared" si="40"/>
        <v/>
      </c>
      <c r="J80" s="49" t="str">
        <f>IF(IFERROR(INDEX(Consulta!$A:$DF,MATCH('MM01'!$B80,Consulta!$C:$C,0),'MM01'!J$2),"")=0,"",IFERROR(INDEX(Consulta!$A:$DF,MATCH('MM01'!$B80,Consulta!$C:$C,0),'MM01'!J$2),""))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IF(IFERROR(INDEX(Consulta!$A:$DF,MATCH('MM01'!$B80,Consulta!$C:$C,0),'MM01'!AP$2),"")=0,"",IFERROR(INDEX(Consulta!$A:$DF,MATCH('MM01'!$B80,Consulta!$C:$C,0),'MM01'!AP$2),""))</f>
        <v/>
      </c>
      <c r="AQ80" s="45"/>
      <c r="AR80" s="43" t="str">
        <f>IF(IFERROR(INDEX(Consulta!$A:$DF,MATCH('MM01'!$B80,Consulta!$C:$C,0),'MM01'!AR$2),"")=0,"",IFERROR(INDEX(Consulta!$A:$DF,MATCH('MM01'!$B80,Consulta!$C:$C,0),'MM01'!AR$2),""))</f>
        <v/>
      </c>
      <c r="AS80" s="43" t="str">
        <f>IF(IFERROR(INDEX(Consulta!$A:$DF,MATCH('MM01'!$B80,Consulta!$C:$C,0),'MM01'!AS$2),"")=0,"",IF(AR80="68",5102,IFERROR(INDEX(Consulta!$A:$DF,MATCH('MM01'!$B80,Consulta!$C:$C,0),'MM01'!AS$2),"")))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IF(IFERROR(INDEX(Consulta!$A:$DF,MATCH('MM01'!$B80,Consulta!$C:$C,0),'MM01'!AW$2),"")=0,"",IFERROR(ROUND(INDEX(Consulta!$A:$DF,MATCH('MM01'!$B80,Consulta!$C:$C,0),'MM01'!AW$2),3),""))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IF(IFERROR(INDEX(Consulta!$A:$DF,MATCH('MM01'!$B80,Consulta!$C:$C,0),'MM01'!BA$2),"")=0,"",IFERROR(INDEX(Consulta!$A:$DF,MATCH('MM01'!$B80,Consulta!$C:$C,0),'MM01'!BA$2),""))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IF(IFERROR(INDEX(Consulta!$A:$DF,MATCH('MM01'!$B80,Consulta!$C:$C,0),'MM01'!BL$2),"")=0,"",IFERROR(INDEX(Consulta!$A:$DF,MATCH('MM01'!$B80,Consulta!$C:$C,0),'MM01'!BL$2),""))</f>
        <v/>
      </c>
      <c r="BM80" s="45"/>
      <c r="BN80" s="46" t="str">
        <f t="shared" ca="1" si="52"/>
        <v/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IF(IFERROR(INDEX(Consulta!$A:$DF,MATCH('MM01'!$B80,Consulta!$C:$C,0),'MM01'!BX$2),"")=0,"",IFERROR(INDEX(Consulta!$A:$DF,MATCH('MM01'!$B80,Consulta!$C:$C,0),'MM01'!BX$2),""))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IF(IFERROR(INDEX(Consulta!$A:$DF,MATCH('MM01'!$B80,Consulta!$C:$C,0),'MM01'!CT$2),"")=0,"",IFERROR(INDEX(Consulta!$A:$DF,MATCH('MM01'!$B80,Consulta!$C:$C,0),'MM01'!CT$2),""))</f>
        <v/>
      </c>
      <c r="CU80" s="43" t="str">
        <f>IF(IFERROR(INDEX(Consulta!$A:$DF,MATCH('MM01'!$B80,Consulta!$C:$C,0),'MM01'!CU$2),"")=0,"",IFERROR(INDEX(Consulta!$A:$DF,MATCH('MM01'!$B80,Consulta!$C:$C,0),'MM01'!CU$2),""))</f>
        <v/>
      </c>
      <c r="CV80" s="43" t="str">
        <f>IF(IFERROR(INDEX(Consulta!$A:$DF,MATCH('MM01'!$B80,Consulta!$C:$C,0),'MM01'!CV$2),"")=0,"",IFERROR(INDEX(Consulta!$A:$DF,MATCH('MM01'!$B80,Consulta!$C:$C,0),'MM01'!CV$2),""))</f>
        <v/>
      </c>
      <c r="CW80" s="43" t="str">
        <f>IF(IFERROR(INDEX(Consulta!$A:$DF,MATCH('MM01'!$B80,Consulta!$C:$C,0),'MM01'!CW$2),"")=0,"",IFERROR(INDEX(Consulta!$A:$DF,MATCH('MM01'!$B80,Consulta!$C:$C,0),'MM01'!CW$2),""))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IF(IFERROR(INDEX(Consulta!$A:$DF,MATCH('MM01'!$B80,Consulta!$C:$C,0),'MM01'!DA$2),"")=0,"",IFERROR(INDEX(Consulta!$A:$DF,MATCH('MM01'!$B80,Consulta!$C:$C,0),'MM01'!DA$2),""))</f>
        <v/>
      </c>
      <c r="DB80" s="43" t="str">
        <f t="shared" si="61"/>
        <v/>
      </c>
      <c r="DC80" s="43" t="str">
        <f>IF(IFERROR(INDEX(Consulta!$A:$DF,MATCH('MM01'!$B80,Consulta!$C:$C,0),'MM01'!DC$2),"")=0,"",IFERROR(INDEX(Consulta!$A:$DF,MATCH('MM01'!$B80,Consulta!$C:$C,0),'MM01'!DC$2),""))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5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5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5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5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IF(IFERROR(INDEX(Consulta!$A:$DF,MATCH('MM01'!$B80,Consulta!$C:$C,0),'MM01'!EB$2),"")=0,"7925",IF(IFERROR(INDEX(Consulta!$A:$DF,MATCH('MM01'!$B80,Consulta!$C:$C,0),'MM01'!EB$2),"")="68","7910","7925"))</f>
        <v>7925</v>
      </c>
      <c r="EC80" s="44">
        <v>100</v>
      </c>
      <c r="ED80" s="60">
        <v>1</v>
      </c>
      <c r="EE80" s="43">
        <f t="shared" si="77"/>
        <v>100</v>
      </c>
      <c r="EF80" s="44">
        <v>1</v>
      </c>
      <c r="EG80" s="44">
        <v>0</v>
      </c>
      <c r="EH80" s="44" t="s">
        <v>867</v>
      </c>
      <c r="EI80" s="45">
        <v>0</v>
      </c>
      <c r="EJ80" s="43">
        <f t="shared" si="78"/>
        <v>5000</v>
      </c>
      <c r="EK80" s="65"/>
    </row>
    <row r="81" spans="1:141" x14ac:dyDescent="0.3">
      <c r="A81" s="7" t="str">
        <f t="shared" si="79"/>
        <v>Execução 77</v>
      </c>
      <c r="B81" s="42"/>
      <c r="C81" s="43" t="str">
        <f>IF(IFERROR(INDEX(Consulta!$A:$DF,MATCH('MM01'!$B81,Consulta!$C:$C,0),'MM01'!C$2),"")=0,"",IFERROR(INDEX(Consulta!$A:$DF,MATCH('MM01'!$B81,Consulta!$C:$C,0),'MM01'!C$2),""))</f>
        <v/>
      </c>
      <c r="D81" s="43" t="str">
        <f>IF(IFERROR(INDEX(Consulta!$A:$DF,MATCH('MM01'!$B81,Consulta!$C:$C,0),'MM01'!D$2),"")=0,"",IFERROR(INDEX(Consulta!$A:$DF,MATCH('MM01'!$B81,Consulta!$C:$C,0),'MM01'!D$2),""))</f>
        <v/>
      </c>
      <c r="E81" s="43" t="str">
        <f>IF(IFERROR(INDEX(Consulta!$A:$DF,MATCH('MM01'!$B81,Consulta!$C:$C,0),'MM01'!E$2),"")=0,"",IFERROR(INDEX(Consulta!$A:$DF,MATCH('MM01'!$B81,Consulta!$C:$C,0),'MM01'!E$2),""))</f>
        <v/>
      </c>
      <c r="F81" s="44" t="s">
        <v>100</v>
      </c>
      <c r="G81" s="49" t="str">
        <f>IF(IFERROR(INDEX(Consulta!$A:$DF,MATCH('MM01'!$B81,Consulta!$C:$C,0),'MM01'!G$2),"")=0,"",IFERROR(INDEX(Consulta!$A:$DF,MATCH('MM01'!$B81,Consulta!$C:$C,0),'MM01'!G$2),""))</f>
        <v/>
      </c>
      <c r="H81" s="49" t="str">
        <f>IF(IFERROR(INDEX(Consulta!$A:$DF,MATCH('MM01'!$B81,Consulta!$C:$C,0),'MM01'!H$2),"")=0,"",IFERROR(INDEX(Consulta!$A:$DF,MATCH('MM01'!$B81,Consulta!$C:$C,0),'MM01'!H$2),""))</f>
        <v/>
      </c>
      <c r="I81" s="49" t="str">
        <f t="shared" si="40"/>
        <v/>
      </c>
      <c r="J81" s="49" t="str">
        <f>IF(IFERROR(INDEX(Consulta!$A:$DF,MATCH('MM01'!$B81,Consulta!$C:$C,0),'MM01'!J$2),"")=0,"",IFERROR(INDEX(Consulta!$A:$DF,MATCH('MM01'!$B81,Consulta!$C:$C,0),'MM01'!J$2),""))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IF(IFERROR(INDEX(Consulta!$A:$DF,MATCH('MM01'!$B81,Consulta!$C:$C,0),'MM01'!AP$2),"")=0,"",IFERROR(INDEX(Consulta!$A:$DF,MATCH('MM01'!$B81,Consulta!$C:$C,0),'MM01'!AP$2),""))</f>
        <v/>
      </c>
      <c r="AQ81" s="45"/>
      <c r="AR81" s="43" t="str">
        <f>IF(IFERROR(INDEX(Consulta!$A:$DF,MATCH('MM01'!$B81,Consulta!$C:$C,0),'MM01'!AR$2),"")=0,"",IFERROR(INDEX(Consulta!$A:$DF,MATCH('MM01'!$B81,Consulta!$C:$C,0),'MM01'!AR$2),""))</f>
        <v/>
      </c>
      <c r="AS81" s="43" t="str">
        <f>IF(IFERROR(INDEX(Consulta!$A:$DF,MATCH('MM01'!$B81,Consulta!$C:$C,0),'MM01'!AS$2),"")=0,"",IF(AR81="68",5102,IFERROR(INDEX(Consulta!$A:$DF,MATCH('MM01'!$B81,Consulta!$C:$C,0),'MM01'!AS$2),"")))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IF(IFERROR(INDEX(Consulta!$A:$DF,MATCH('MM01'!$B81,Consulta!$C:$C,0),'MM01'!AW$2),"")=0,"",IFERROR(ROUND(INDEX(Consulta!$A:$DF,MATCH('MM01'!$B81,Consulta!$C:$C,0),'MM01'!AW$2),3),""))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IF(IFERROR(INDEX(Consulta!$A:$DF,MATCH('MM01'!$B81,Consulta!$C:$C,0),'MM01'!BA$2),"")=0,"",IFERROR(INDEX(Consulta!$A:$DF,MATCH('MM01'!$B81,Consulta!$C:$C,0),'MM01'!BA$2),""))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IF(IFERROR(INDEX(Consulta!$A:$DF,MATCH('MM01'!$B81,Consulta!$C:$C,0),'MM01'!BL$2),"")=0,"",IFERROR(INDEX(Consulta!$A:$DF,MATCH('MM01'!$B81,Consulta!$C:$C,0),'MM01'!BL$2),""))</f>
        <v/>
      </c>
      <c r="BM81" s="45"/>
      <c r="BN81" s="46" t="str">
        <f t="shared" ca="1" si="52"/>
        <v/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IF(IFERROR(INDEX(Consulta!$A:$DF,MATCH('MM01'!$B81,Consulta!$C:$C,0),'MM01'!BX$2),"")=0,"",IFERROR(INDEX(Consulta!$A:$DF,MATCH('MM01'!$B81,Consulta!$C:$C,0),'MM01'!BX$2),""))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IF(IFERROR(INDEX(Consulta!$A:$DF,MATCH('MM01'!$B81,Consulta!$C:$C,0),'MM01'!CT$2),"")=0,"",IFERROR(INDEX(Consulta!$A:$DF,MATCH('MM01'!$B81,Consulta!$C:$C,0),'MM01'!CT$2),""))</f>
        <v/>
      </c>
      <c r="CU81" s="43" t="str">
        <f>IF(IFERROR(INDEX(Consulta!$A:$DF,MATCH('MM01'!$B81,Consulta!$C:$C,0),'MM01'!CU$2),"")=0,"",IFERROR(INDEX(Consulta!$A:$DF,MATCH('MM01'!$B81,Consulta!$C:$C,0),'MM01'!CU$2),""))</f>
        <v/>
      </c>
      <c r="CV81" s="43" t="str">
        <f>IF(IFERROR(INDEX(Consulta!$A:$DF,MATCH('MM01'!$B81,Consulta!$C:$C,0),'MM01'!CV$2),"")=0,"",IFERROR(INDEX(Consulta!$A:$DF,MATCH('MM01'!$B81,Consulta!$C:$C,0),'MM01'!CV$2),""))</f>
        <v/>
      </c>
      <c r="CW81" s="43" t="str">
        <f>IF(IFERROR(INDEX(Consulta!$A:$DF,MATCH('MM01'!$B81,Consulta!$C:$C,0),'MM01'!CW$2),"")=0,"",IFERROR(INDEX(Consulta!$A:$DF,MATCH('MM01'!$B81,Consulta!$C:$C,0),'MM01'!CW$2),""))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IF(IFERROR(INDEX(Consulta!$A:$DF,MATCH('MM01'!$B81,Consulta!$C:$C,0),'MM01'!DA$2),"")=0,"",IFERROR(INDEX(Consulta!$A:$DF,MATCH('MM01'!$B81,Consulta!$C:$C,0),'MM01'!DA$2),""))</f>
        <v/>
      </c>
      <c r="DB81" s="43" t="str">
        <f t="shared" si="61"/>
        <v/>
      </c>
      <c r="DC81" s="43" t="str">
        <f>IF(IFERROR(INDEX(Consulta!$A:$DF,MATCH('MM01'!$B81,Consulta!$C:$C,0),'MM01'!DC$2),"")=0,"",IFERROR(INDEX(Consulta!$A:$DF,MATCH('MM01'!$B81,Consulta!$C:$C,0),'MM01'!DC$2),""))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5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5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5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5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IF(IFERROR(INDEX(Consulta!$A:$DF,MATCH('MM01'!$B81,Consulta!$C:$C,0),'MM01'!EB$2),"")=0,"7925",IF(IFERROR(INDEX(Consulta!$A:$DF,MATCH('MM01'!$B81,Consulta!$C:$C,0),'MM01'!EB$2),"")="68","7910","7925"))</f>
        <v>7925</v>
      </c>
      <c r="EC81" s="44">
        <v>100</v>
      </c>
      <c r="ED81" s="60">
        <v>1</v>
      </c>
      <c r="EE81" s="43">
        <f t="shared" si="77"/>
        <v>100</v>
      </c>
      <c r="EF81" s="44">
        <v>1</v>
      </c>
      <c r="EG81" s="44">
        <v>0</v>
      </c>
      <c r="EH81" s="44" t="s">
        <v>867</v>
      </c>
      <c r="EI81" s="45">
        <v>0</v>
      </c>
      <c r="EJ81" s="43">
        <f t="shared" si="78"/>
        <v>5000</v>
      </c>
      <c r="EK81" s="65"/>
    </row>
    <row r="82" spans="1:141" x14ac:dyDescent="0.3">
      <c r="A82" s="7" t="str">
        <f t="shared" si="79"/>
        <v>Execução 78</v>
      </c>
      <c r="B82" s="42"/>
      <c r="C82" s="43" t="str">
        <f>IF(IFERROR(INDEX(Consulta!$A:$DF,MATCH('MM01'!$B82,Consulta!$C:$C,0),'MM01'!C$2),"")=0,"",IFERROR(INDEX(Consulta!$A:$DF,MATCH('MM01'!$B82,Consulta!$C:$C,0),'MM01'!C$2),""))</f>
        <v/>
      </c>
      <c r="D82" s="43" t="str">
        <f>IF(IFERROR(INDEX(Consulta!$A:$DF,MATCH('MM01'!$B82,Consulta!$C:$C,0),'MM01'!D$2),"")=0,"",IFERROR(INDEX(Consulta!$A:$DF,MATCH('MM01'!$B82,Consulta!$C:$C,0),'MM01'!D$2),""))</f>
        <v/>
      </c>
      <c r="E82" s="43" t="str">
        <f>IF(IFERROR(INDEX(Consulta!$A:$DF,MATCH('MM01'!$B82,Consulta!$C:$C,0),'MM01'!E$2),"")=0,"",IFERROR(INDEX(Consulta!$A:$DF,MATCH('MM01'!$B82,Consulta!$C:$C,0),'MM01'!E$2),""))</f>
        <v/>
      </c>
      <c r="F82" s="44" t="s">
        <v>100</v>
      </c>
      <c r="G82" s="49" t="str">
        <f>IF(IFERROR(INDEX(Consulta!$A:$DF,MATCH('MM01'!$B82,Consulta!$C:$C,0),'MM01'!G$2),"")=0,"",IFERROR(INDEX(Consulta!$A:$DF,MATCH('MM01'!$B82,Consulta!$C:$C,0),'MM01'!G$2),""))</f>
        <v/>
      </c>
      <c r="H82" s="49" t="str">
        <f>IF(IFERROR(INDEX(Consulta!$A:$DF,MATCH('MM01'!$B82,Consulta!$C:$C,0),'MM01'!H$2),"")=0,"",IFERROR(INDEX(Consulta!$A:$DF,MATCH('MM01'!$B82,Consulta!$C:$C,0),'MM01'!H$2),""))</f>
        <v/>
      </c>
      <c r="I82" s="49" t="str">
        <f t="shared" si="40"/>
        <v/>
      </c>
      <c r="J82" s="49" t="str">
        <f>IF(IFERROR(INDEX(Consulta!$A:$DF,MATCH('MM01'!$B82,Consulta!$C:$C,0),'MM01'!J$2),"")=0,"",IFERROR(INDEX(Consulta!$A:$DF,MATCH('MM01'!$B82,Consulta!$C:$C,0),'MM01'!J$2),""))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IF(IFERROR(INDEX(Consulta!$A:$DF,MATCH('MM01'!$B82,Consulta!$C:$C,0),'MM01'!AP$2),"")=0,"",IFERROR(INDEX(Consulta!$A:$DF,MATCH('MM01'!$B82,Consulta!$C:$C,0),'MM01'!AP$2),""))</f>
        <v/>
      </c>
      <c r="AQ82" s="45"/>
      <c r="AR82" s="43" t="str">
        <f>IF(IFERROR(INDEX(Consulta!$A:$DF,MATCH('MM01'!$B82,Consulta!$C:$C,0),'MM01'!AR$2),"")=0,"",IFERROR(INDEX(Consulta!$A:$DF,MATCH('MM01'!$B82,Consulta!$C:$C,0),'MM01'!AR$2),""))</f>
        <v/>
      </c>
      <c r="AS82" s="43" t="str">
        <f>IF(IFERROR(INDEX(Consulta!$A:$DF,MATCH('MM01'!$B82,Consulta!$C:$C,0),'MM01'!AS$2),"")=0,"",IF(AR82="68",5102,IFERROR(INDEX(Consulta!$A:$DF,MATCH('MM01'!$B82,Consulta!$C:$C,0),'MM01'!AS$2),"")))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IF(IFERROR(INDEX(Consulta!$A:$DF,MATCH('MM01'!$B82,Consulta!$C:$C,0),'MM01'!AW$2),"")=0,"",IFERROR(ROUND(INDEX(Consulta!$A:$DF,MATCH('MM01'!$B82,Consulta!$C:$C,0),'MM01'!AW$2),3),""))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IF(IFERROR(INDEX(Consulta!$A:$DF,MATCH('MM01'!$B82,Consulta!$C:$C,0),'MM01'!BA$2),"")=0,"",IFERROR(INDEX(Consulta!$A:$DF,MATCH('MM01'!$B82,Consulta!$C:$C,0),'MM01'!BA$2),""))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IF(IFERROR(INDEX(Consulta!$A:$DF,MATCH('MM01'!$B82,Consulta!$C:$C,0),'MM01'!BL$2),"")=0,"",IFERROR(INDEX(Consulta!$A:$DF,MATCH('MM01'!$B82,Consulta!$C:$C,0),'MM01'!BL$2),""))</f>
        <v/>
      </c>
      <c r="BM82" s="45"/>
      <c r="BN82" s="46" t="str">
        <f t="shared" ca="1" si="52"/>
        <v/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IF(IFERROR(INDEX(Consulta!$A:$DF,MATCH('MM01'!$B82,Consulta!$C:$C,0),'MM01'!BX$2),"")=0,"",IFERROR(INDEX(Consulta!$A:$DF,MATCH('MM01'!$B82,Consulta!$C:$C,0),'MM01'!BX$2),""))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IF(IFERROR(INDEX(Consulta!$A:$DF,MATCH('MM01'!$B82,Consulta!$C:$C,0),'MM01'!CT$2),"")=0,"",IFERROR(INDEX(Consulta!$A:$DF,MATCH('MM01'!$B82,Consulta!$C:$C,0),'MM01'!CT$2),""))</f>
        <v/>
      </c>
      <c r="CU82" s="43" t="str">
        <f>IF(IFERROR(INDEX(Consulta!$A:$DF,MATCH('MM01'!$B82,Consulta!$C:$C,0),'MM01'!CU$2),"")=0,"",IFERROR(INDEX(Consulta!$A:$DF,MATCH('MM01'!$B82,Consulta!$C:$C,0),'MM01'!CU$2),""))</f>
        <v/>
      </c>
      <c r="CV82" s="43" t="str">
        <f>IF(IFERROR(INDEX(Consulta!$A:$DF,MATCH('MM01'!$B82,Consulta!$C:$C,0),'MM01'!CV$2),"")=0,"",IFERROR(INDEX(Consulta!$A:$DF,MATCH('MM01'!$B82,Consulta!$C:$C,0),'MM01'!CV$2),""))</f>
        <v/>
      </c>
      <c r="CW82" s="43" t="str">
        <f>IF(IFERROR(INDEX(Consulta!$A:$DF,MATCH('MM01'!$B82,Consulta!$C:$C,0),'MM01'!CW$2),"")=0,"",IFERROR(INDEX(Consulta!$A:$DF,MATCH('MM01'!$B82,Consulta!$C:$C,0),'MM01'!CW$2),""))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IF(IFERROR(INDEX(Consulta!$A:$DF,MATCH('MM01'!$B82,Consulta!$C:$C,0),'MM01'!DA$2),"")=0,"",IFERROR(INDEX(Consulta!$A:$DF,MATCH('MM01'!$B82,Consulta!$C:$C,0),'MM01'!DA$2),""))</f>
        <v/>
      </c>
      <c r="DB82" s="43" t="str">
        <f t="shared" si="61"/>
        <v/>
      </c>
      <c r="DC82" s="43" t="str">
        <f>IF(IFERROR(INDEX(Consulta!$A:$DF,MATCH('MM01'!$B82,Consulta!$C:$C,0),'MM01'!DC$2),"")=0,"",IFERROR(INDEX(Consulta!$A:$DF,MATCH('MM01'!$B82,Consulta!$C:$C,0),'MM01'!DC$2),""))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5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5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5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5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IF(IFERROR(INDEX(Consulta!$A:$DF,MATCH('MM01'!$B82,Consulta!$C:$C,0),'MM01'!EB$2),"")=0,"7925",IF(IFERROR(INDEX(Consulta!$A:$DF,MATCH('MM01'!$B82,Consulta!$C:$C,0),'MM01'!EB$2),"")="68","7910","7925"))</f>
        <v>7925</v>
      </c>
      <c r="EC82" s="44">
        <v>100</v>
      </c>
      <c r="ED82" s="60">
        <v>1</v>
      </c>
      <c r="EE82" s="43">
        <f t="shared" si="77"/>
        <v>100</v>
      </c>
      <c r="EF82" s="44">
        <v>1</v>
      </c>
      <c r="EG82" s="44">
        <v>0</v>
      </c>
      <c r="EH82" s="44" t="s">
        <v>867</v>
      </c>
      <c r="EI82" s="45">
        <v>0</v>
      </c>
      <c r="EJ82" s="43">
        <f t="shared" si="78"/>
        <v>5000</v>
      </c>
      <c r="EK82" s="65"/>
    </row>
    <row r="83" spans="1:141" x14ac:dyDescent="0.3">
      <c r="A83" s="7" t="str">
        <f t="shared" si="79"/>
        <v>Execução 79</v>
      </c>
      <c r="B83" s="42"/>
      <c r="C83" s="43" t="str">
        <f>IF(IFERROR(INDEX(Consulta!$A:$DF,MATCH('MM01'!$B83,Consulta!$C:$C,0),'MM01'!C$2),"")=0,"",IFERROR(INDEX(Consulta!$A:$DF,MATCH('MM01'!$B83,Consulta!$C:$C,0),'MM01'!C$2),""))</f>
        <v/>
      </c>
      <c r="D83" s="43" t="str">
        <f>IF(IFERROR(INDEX(Consulta!$A:$DF,MATCH('MM01'!$B83,Consulta!$C:$C,0),'MM01'!D$2),"")=0,"",IFERROR(INDEX(Consulta!$A:$DF,MATCH('MM01'!$B83,Consulta!$C:$C,0),'MM01'!D$2),""))</f>
        <v/>
      </c>
      <c r="E83" s="43" t="str">
        <f>IF(IFERROR(INDEX(Consulta!$A:$DF,MATCH('MM01'!$B83,Consulta!$C:$C,0),'MM01'!E$2),"")=0,"",IFERROR(INDEX(Consulta!$A:$DF,MATCH('MM01'!$B83,Consulta!$C:$C,0),'MM01'!E$2),""))</f>
        <v/>
      </c>
      <c r="F83" s="44" t="s">
        <v>100</v>
      </c>
      <c r="G83" s="49" t="str">
        <f>IF(IFERROR(INDEX(Consulta!$A:$DF,MATCH('MM01'!$B83,Consulta!$C:$C,0),'MM01'!G$2),"")=0,"",IFERROR(INDEX(Consulta!$A:$DF,MATCH('MM01'!$B83,Consulta!$C:$C,0),'MM01'!G$2),""))</f>
        <v/>
      </c>
      <c r="H83" s="49" t="str">
        <f>IF(IFERROR(INDEX(Consulta!$A:$DF,MATCH('MM01'!$B83,Consulta!$C:$C,0),'MM01'!H$2),"")=0,"",IFERROR(INDEX(Consulta!$A:$DF,MATCH('MM01'!$B83,Consulta!$C:$C,0),'MM01'!H$2),""))</f>
        <v/>
      </c>
      <c r="I83" s="49" t="str">
        <f t="shared" si="40"/>
        <v/>
      </c>
      <c r="J83" s="49" t="str">
        <f>IF(IFERROR(INDEX(Consulta!$A:$DF,MATCH('MM01'!$B83,Consulta!$C:$C,0),'MM01'!J$2),"")=0,"",IFERROR(INDEX(Consulta!$A:$DF,MATCH('MM01'!$B83,Consulta!$C:$C,0),'MM01'!J$2),""))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IF(IFERROR(INDEX(Consulta!$A:$DF,MATCH('MM01'!$B83,Consulta!$C:$C,0),'MM01'!AP$2),"")=0,"",IFERROR(INDEX(Consulta!$A:$DF,MATCH('MM01'!$B83,Consulta!$C:$C,0),'MM01'!AP$2),""))</f>
        <v/>
      </c>
      <c r="AQ83" s="45"/>
      <c r="AR83" s="43" t="str">
        <f>IF(IFERROR(INDEX(Consulta!$A:$DF,MATCH('MM01'!$B83,Consulta!$C:$C,0),'MM01'!AR$2),"")=0,"",IFERROR(INDEX(Consulta!$A:$DF,MATCH('MM01'!$B83,Consulta!$C:$C,0),'MM01'!AR$2),""))</f>
        <v/>
      </c>
      <c r="AS83" s="43" t="str">
        <f>IF(IFERROR(INDEX(Consulta!$A:$DF,MATCH('MM01'!$B83,Consulta!$C:$C,0),'MM01'!AS$2),"")=0,"",IF(AR83="68",5102,IFERROR(INDEX(Consulta!$A:$DF,MATCH('MM01'!$B83,Consulta!$C:$C,0),'MM01'!AS$2),"")))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IF(IFERROR(INDEX(Consulta!$A:$DF,MATCH('MM01'!$B83,Consulta!$C:$C,0),'MM01'!AW$2),"")=0,"",IFERROR(ROUND(INDEX(Consulta!$A:$DF,MATCH('MM01'!$B83,Consulta!$C:$C,0),'MM01'!AW$2),3),""))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IF(IFERROR(INDEX(Consulta!$A:$DF,MATCH('MM01'!$B83,Consulta!$C:$C,0),'MM01'!BA$2),"")=0,"",IFERROR(INDEX(Consulta!$A:$DF,MATCH('MM01'!$B83,Consulta!$C:$C,0),'MM01'!BA$2),""))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IF(IFERROR(INDEX(Consulta!$A:$DF,MATCH('MM01'!$B83,Consulta!$C:$C,0),'MM01'!BL$2),"")=0,"",IFERROR(INDEX(Consulta!$A:$DF,MATCH('MM01'!$B83,Consulta!$C:$C,0),'MM01'!BL$2),""))</f>
        <v/>
      </c>
      <c r="BM83" s="45"/>
      <c r="BN83" s="46" t="str">
        <f t="shared" ca="1" si="52"/>
        <v/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IF(IFERROR(INDEX(Consulta!$A:$DF,MATCH('MM01'!$B83,Consulta!$C:$C,0),'MM01'!BX$2),"")=0,"",IFERROR(INDEX(Consulta!$A:$DF,MATCH('MM01'!$B83,Consulta!$C:$C,0),'MM01'!BX$2),""))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IF(IFERROR(INDEX(Consulta!$A:$DF,MATCH('MM01'!$B83,Consulta!$C:$C,0),'MM01'!CT$2),"")=0,"",IFERROR(INDEX(Consulta!$A:$DF,MATCH('MM01'!$B83,Consulta!$C:$C,0),'MM01'!CT$2),""))</f>
        <v/>
      </c>
      <c r="CU83" s="43" t="str">
        <f>IF(IFERROR(INDEX(Consulta!$A:$DF,MATCH('MM01'!$B83,Consulta!$C:$C,0),'MM01'!CU$2),"")=0,"",IFERROR(INDEX(Consulta!$A:$DF,MATCH('MM01'!$B83,Consulta!$C:$C,0),'MM01'!CU$2),""))</f>
        <v/>
      </c>
      <c r="CV83" s="43" t="str">
        <f>IF(IFERROR(INDEX(Consulta!$A:$DF,MATCH('MM01'!$B83,Consulta!$C:$C,0),'MM01'!CV$2),"")=0,"",IFERROR(INDEX(Consulta!$A:$DF,MATCH('MM01'!$B83,Consulta!$C:$C,0),'MM01'!CV$2),""))</f>
        <v/>
      </c>
      <c r="CW83" s="43" t="str">
        <f>IF(IFERROR(INDEX(Consulta!$A:$DF,MATCH('MM01'!$B83,Consulta!$C:$C,0),'MM01'!CW$2),"")=0,"",IFERROR(INDEX(Consulta!$A:$DF,MATCH('MM01'!$B83,Consulta!$C:$C,0),'MM01'!CW$2),""))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IF(IFERROR(INDEX(Consulta!$A:$DF,MATCH('MM01'!$B83,Consulta!$C:$C,0),'MM01'!DA$2),"")=0,"",IFERROR(INDEX(Consulta!$A:$DF,MATCH('MM01'!$B83,Consulta!$C:$C,0),'MM01'!DA$2),""))</f>
        <v/>
      </c>
      <c r="DB83" s="43" t="str">
        <f t="shared" si="61"/>
        <v/>
      </c>
      <c r="DC83" s="43" t="str">
        <f>IF(IFERROR(INDEX(Consulta!$A:$DF,MATCH('MM01'!$B83,Consulta!$C:$C,0),'MM01'!DC$2),"")=0,"",IFERROR(INDEX(Consulta!$A:$DF,MATCH('MM01'!$B83,Consulta!$C:$C,0),'MM01'!DC$2),""))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5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5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5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5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IF(IFERROR(INDEX(Consulta!$A:$DF,MATCH('MM01'!$B83,Consulta!$C:$C,0),'MM01'!EB$2),"")=0,"7925",IF(IFERROR(INDEX(Consulta!$A:$DF,MATCH('MM01'!$B83,Consulta!$C:$C,0),'MM01'!EB$2),"")="68","7910","7925"))</f>
        <v>7925</v>
      </c>
      <c r="EC83" s="44">
        <v>100</v>
      </c>
      <c r="ED83" s="60">
        <v>1</v>
      </c>
      <c r="EE83" s="43">
        <f t="shared" si="77"/>
        <v>100</v>
      </c>
      <c r="EF83" s="44">
        <v>1</v>
      </c>
      <c r="EG83" s="44">
        <v>0</v>
      </c>
      <c r="EH83" s="44" t="s">
        <v>867</v>
      </c>
      <c r="EI83" s="45">
        <v>0</v>
      </c>
      <c r="EJ83" s="43">
        <f t="shared" si="78"/>
        <v>5000</v>
      </c>
      <c r="EK83" s="65"/>
    </row>
    <row r="84" spans="1:141" x14ac:dyDescent="0.3">
      <c r="A84" s="7" t="str">
        <f t="shared" si="79"/>
        <v>Execução 80</v>
      </c>
      <c r="B84" s="42"/>
      <c r="C84" s="43" t="str">
        <f>IF(IFERROR(INDEX(Consulta!$A:$DF,MATCH('MM01'!$B84,Consulta!$C:$C,0),'MM01'!C$2),"")=0,"",IFERROR(INDEX(Consulta!$A:$DF,MATCH('MM01'!$B84,Consulta!$C:$C,0),'MM01'!C$2),""))</f>
        <v/>
      </c>
      <c r="D84" s="43" t="str">
        <f>IF(IFERROR(INDEX(Consulta!$A:$DF,MATCH('MM01'!$B84,Consulta!$C:$C,0),'MM01'!D$2),"")=0,"",IFERROR(INDEX(Consulta!$A:$DF,MATCH('MM01'!$B84,Consulta!$C:$C,0),'MM01'!D$2),""))</f>
        <v/>
      </c>
      <c r="E84" s="43" t="str">
        <f>IF(IFERROR(INDEX(Consulta!$A:$DF,MATCH('MM01'!$B84,Consulta!$C:$C,0),'MM01'!E$2),"")=0,"",IFERROR(INDEX(Consulta!$A:$DF,MATCH('MM01'!$B84,Consulta!$C:$C,0),'MM01'!E$2),""))</f>
        <v/>
      </c>
      <c r="F84" s="44" t="s">
        <v>100</v>
      </c>
      <c r="G84" s="49" t="str">
        <f>IF(IFERROR(INDEX(Consulta!$A:$DF,MATCH('MM01'!$B84,Consulta!$C:$C,0),'MM01'!G$2),"")=0,"",IFERROR(INDEX(Consulta!$A:$DF,MATCH('MM01'!$B84,Consulta!$C:$C,0),'MM01'!G$2),""))</f>
        <v/>
      </c>
      <c r="H84" s="49" t="str">
        <f>IF(IFERROR(INDEX(Consulta!$A:$DF,MATCH('MM01'!$B84,Consulta!$C:$C,0),'MM01'!H$2),"")=0,"",IFERROR(INDEX(Consulta!$A:$DF,MATCH('MM01'!$B84,Consulta!$C:$C,0),'MM01'!H$2),""))</f>
        <v/>
      </c>
      <c r="I84" s="49" t="str">
        <f t="shared" si="40"/>
        <v/>
      </c>
      <c r="J84" s="49" t="str">
        <f>IF(IFERROR(INDEX(Consulta!$A:$DF,MATCH('MM01'!$B84,Consulta!$C:$C,0),'MM01'!J$2),"")=0,"",IFERROR(INDEX(Consulta!$A:$DF,MATCH('MM01'!$B84,Consulta!$C:$C,0),'MM01'!J$2),""))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IF(IFERROR(INDEX(Consulta!$A:$DF,MATCH('MM01'!$B84,Consulta!$C:$C,0),'MM01'!AP$2),"")=0,"",IFERROR(INDEX(Consulta!$A:$DF,MATCH('MM01'!$B84,Consulta!$C:$C,0),'MM01'!AP$2),""))</f>
        <v/>
      </c>
      <c r="AQ84" s="45"/>
      <c r="AR84" s="43" t="str">
        <f>IF(IFERROR(INDEX(Consulta!$A:$DF,MATCH('MM01'!$B84,Consulta!$C:$C,0),'MM01'!AR$2),"")=0,"",IFERROR(INDEX(Consulta!$A:$DF,MATCH('MM01'!$B84,Consulta!$C:$C,0),'MM01'!AR$2),""))</f>
        <v/>
      </c>
      <c r="AS84" s="43" t="str">
        <f>IF(IFERROR(INDEX(Consulta!$A:$DF,MATCH('MM01'!$B84,Consulta!$C:$C,0),'MM01'!AS$2),"")=0,"",IF(AR84="68",5102,IFERROR(INDEX(Consulta!$A:$DF,MATCH('MM01'!$B84,Consulta!$C:$C,0),'MM01'!AS$2),"")))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IF(IFERROR(INDEX(Consulta!$A:$DF,MATCH('MM01'!$B84,Consulta!$C:$C,0),'MM01'!AW$2),"")=0,"",IFERROR(ROUND(INDEX(Consulta!$A:$DF,MATCH('MM01'!$B84,Consulta!$C:$C,0),'MM01'!AW$2),3),""))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IF(IFERROR(INDEX(Consulta!$A:$DF,MATCH('MM01'!$B84,Consulta!$C:$C,0),'MM01'!BA$2),"")=0,"",IFERROR(INDEX(Consulta!$A:$DF,MATCH('MM01'!$B84,Consulta!$C:$C,0),'MM01'!BA$2),""))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IF(IFERROR(INDEX(Consulta!$A:$DF,MATCH('MM01'!$B84,Consulta!$C:$C,0),'MM01'!BL$2),"")=0,"",IFERROR(INDEX(Consulta!$A:$DF,MATCH('MM01'!$B84,Consulta!$C:$C,0),'MM01'!BL$2),""))</f>
        <v/>
      </c>
      <c r="BM84" s="45"/>
      <c r="BN84" s="46" t="str">
        <f t="shared" ca="1" si="52"/>
        <v/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IF(IFERROR(INDEX(Consulta!$A:$DF,MATCH('MM01'!$B84,Consulta!$C:$C,0),'MM01'!BX$2),"")=0,"",IFERROR(INDEX(Consulta!$A:$DF,MATCH('MM01'!$B84,Consulta!$C:$C,0),'MM01'!BX$2),""))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IF(IFERROR(INDEX(Consulta!$A:$DF,MATCH('MM01'!$B84,Consulta!$C:$C,0),'MM01'!CT$2),"")=0,"",IFERROR(INDEX(Consulta!$A:$DF,MATCH('MM01'!$B84,Consulta!$C:$C,0),'MM01'!CT$2),""))</f>
        <v/>
      </c>
      <c r="CU84" s="43" t="str">
        <f>IF(IFERROR(INDEX(Consulta!$A:$DF,MATCH('MM01'!$B84,Consulta!$C:$C,0),'MM01'!CU$2),"")=0,"",IFERROR(INDEX(Consulta!$A:$DF,MATCH('MM01'!$B84,Consulta!$C:$C,0),'MM01'!CU$2),""))</f>
        <v/>
      </c>
      <c r="CV84" s="43" t="str">
        <f>IF(IFERROR(INDEX(Consulta!$A:$DF,MATCH('MM01'!$B84,Consulta!$C:$C,0),'MM01'!CV$2),"")=0,"",IFERROR(INDEX(Consulta!$A:$DF,MATCH('MM01'!$B84,Consulta!$C:$C,0),'MM01'!CV$2),""))</f>
        <v/>
      </c>
      <c r="CW84" s="43" t="str">
        <f>IF(IFERROR(INDEX(Consulta!$A:$DF,MATCH('MM01'!$B84,Consulta!$C:$C,0),'MM01'!CW$2),"")=0,"",IFERROR(INDEX(Consulta!$A:$DF,MATCH('MM01'!$B84,Consulta!$C:$C,0),'MM01'!CW$2),""))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IF(IFERROR(INDEX(Consulta!$A:$DF,MATCH('MM01'!$B84,Consulta!$C:$C,0),'MM01'!DA$2),"")=0,"",IFERROR(INDEX(Consulta!$A:$DF,MATCH('MM01'!$B84,Consulta!$C:$C,0),'MM01'!DA$2),""))</f>
        <v/>
      </c>
      <c r="DB84" s="43" t="str">
        <f t="shared" si="61"/>
        <v/>
      </c>
      <c r="DC84" s="43" t="str">
        <f>IF(IFERROR(INDEX(Consulta!$A:$DF,MATCH('MM01'!$B84,Consulta!$C:$C,0),'MM01'!DC$2),"")=0,"",IFERROR(INDEX(Consulta!$A:$DF,MATCH('MM01'!$B84,Consulta!$C:$C,0),'MM01'!DC$2),""))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5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5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5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5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IF(IFERROR(INDEX(Consulta!$A:$DF,MATCH('MM01'!$B84,Consulta!$C:$C,0),'MM01'!EB$2),"")=0,"7925",IF(IFERROR(INDEX(Consulta!$A:$DF,MATCH('MM01'!$B84,Consulta!$C:$C,0),'MM01'!EB$2),"")="68","7910","7925"))</f>
        <v>7925</v>
      </c>
      <c r="EC84" s="44">
        <v>100</v>
      </c>
      <c r="ED84" s="60">
        <v>1</v>
      </c>
      <c r="EE84" s="43">
        <f t="shared" si="77"/>
        <v>100</v>
      </c>
      <c r="EF84" s="44">
        <v>1</v>
      </c>
      <c r="EG84" s="44">
        <v>0</v>
      </c>
      <c r="EH84" s="44" t="s">
        <v>867</v>
      </c>
      <c r="EI84" s="45">
        <v>0</v>
      </c>
      <c r="EJ84" s="43">
        <f t="shared" si="78"/>
        <v>5000</v>
      </c>
      <c r="EK84" s="65"/>
    </row>
    <row r="85" spans="1:141" x14ac:dyDescent="0.3">
      <c r="A85" s="7" t="str">
        <f t="shared" si="79"/>
        <v>Execução 81</v>
      </c>
      <c r="B85" s="42"/>
      <c r="C85" s="43" t="str">
        <f>IF(IFERROR(INDEX(Consulta!$A:$DF,MATCH('MM01'!$B85,Consulta!$C:$C,0),'MM01'!C$2),"")=0,"",IFERROR(INDEX(Consulta!$A:$DF,MATCH('MM01'!$B85,Consulta!$C:$C,0),'MM01'!C$2),""))</f>
        <v/>
      </c>
      <c r="D85" s="43" t="str">
        <f>IF(IFERROR(INDEX(Consulta!$A:$DF,MATCH('MM01'!$B85,Consulta!$C:$C,0),'MM01'!D$2),"")=0,"",IFERROR(INDEX(Consulta!$A:$DF,MATCH('MM01'!$B85,Consulta!$C:$C,0),'MM01'!D$2),""))</f>
        <v/>
      </c>
      <c r="E85" s="43" t="str">
        <f>IF(IFERROR(INDEX(Consulta!$A:$DF,MATCH('MM01'!$B85,Consulta!$C:$C,0),'MM01'!E$2),"")=0,"",IFERROR(INDEX(Consulta!$A:$DF,MATCH('MM01'!$B85,Consulta!$C:$C,0),'MM01'!E$2),""))</f>
        <v/>
      </c>
      <c r="F85" s="44" t="s">
        <v>100</v>
      </c>
      <c r="G85" s="49" t="str">
        <f>IF(IFERROR(INDEX(Consulta!$A:$DF,MATCH('MM01'!$B85,Consulta!$C:$C,0),'MM01'!G$2),"")=0,"",IFERROR(INDEX(Consulta!$A:$DF,MATCH('MM01'!$B85,Consulta!$C:$C,0),'MM01'!G$2),""))</f>
        <v/>
      </c>
      <c r="H85" s="49" t="str">
        <f>IF(IFERROR(INDEX(Consulta!$A:$DF,MATCH('MM01'!$B85,Consulta!$C:$C,0),'MM01'!H$2),"")=0,"",IFERROR(INDEX(Consulta!$A:$DF,MATCH('MM01'!$B85,Consulta!$C:$C,0),'MM01'!H$2),""))</f>
        <v/>
      </c>
      <c r="I85" s="49" t="str">
        <f t="shared" si="40"/>
        <v/>
      </c>
      <c r="J85" s="49" t="str">
        <f>IF(IFERROR(INDEX(Consulta!$A:$DF,MATCH('MM01'!$B85,Consulta!$C:$C,0),'MM01'!J$2),"")=0,"",IFERROR(INDEX(Consulta!$A:$DF,MATCH('MM01'!$B85,Consulta!$C:$C,0),'MM01'!J$2),""))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IF(IFERROR(INDEX(Consulta!$A:$DF,MATCH('MM01'!$B85,Consulta!$C:$C,0),'MM01'!AP$2),"")=0,"",IFERROR(INDEX(Consulta!$A:$DF,MATCH('MM01'!$B85,Consulta!$C:$C,0),'MM01'!AP$2),""))</f>
        <v/>
      </c>
      <c r="AQ85" s="45"/>
      <c r="AR85" s="43" t="str">
        <f>IF(IFERROR(INDEX(Consulta!$A:$DF,MATCH('MM01'!$B85,Consulta!$C:$C,0),'MM01'!AR$2),"")=0,"",IFERROR(INDEX(Consulta!$A:$DF,MATCH('MM01'!$B85,Consulta!$C:$C,0),'MM01'!AR$2),""))</f>
        <v/>
      </c>
      <c r="AS85" s="43" t="str">
        <f>IF(IFERROR(INDEX(Consulta!$A:$DF,MATCH('MM01'!$B85,Consulta!$C:$C,0),'MM01'!AS$2),"")=0,"",IF(AR85="68",5102,IFERROR(INDEX(Consulta!$A:$DF,MATCH('MM01'!$B85,Consulta!$C:$C,0),'MM01'!AS$2),"")))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IF(IFERROR(INDEX(Consulta!$A:$DF,MATCH('MM01'!$B85,Consulta!$C:$C,0),'MM01'!AW$2),"")=0,"",IFERROR(ROUND(INDEX(Consulta!$A:$DF,MATCH('MM01'!$B85,Consulta!$C:$C,0),'MM01'!AW$2),3),""))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IF(IFERROR(INDEX(Consulta!$A:$DF,MATCH('MM01'!$B85,Consulta!$C:$C,0),'MM01'!BA$2),"")=0,"",IFERROR(INDEX(Consulta!$A:$DF,MATCH('MM01'!$B85,Consulta!$C:$C,0),'MM01'!BA$2),""))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IF(IFERROR(INDEX(Consulta!$A:$DF,MATCH('MM01'!$B85,Consulta!$C:$C,0),'MM01'!BL$2),"")=0,"",IFERROR(INDEX(Consulta!$A:$DF,MATCH('MM01'!$B85,Consulta!$C:$C,0),'MM01'!BL$2),""))</f>
        <v/>
      </c>
      <c r="BM85" s="45"/>
      <c r="BN85" s="46" t="str">
        <f t="shared" ca="1" si="52"/>
        <v/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IF(IFERROR(INDEX(Consulta!$A:$DF,MATCH('MM01'!$B85,Consulta!$C:$C,0),'MM01'!BX$2),"")=0,"",IFERROR(INDEX(Consulta!$A:$DF,MATCH('MM01'!$B85,Consulta!$C:$C,0),'MM01'!BX$2),""))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IF(IFERROR(INDEX(Consulta!$A:$DF,MATCH('MM01'!$B85,Consulta!$C:$C,0),'MM01'!CT$2),"")=0,"",IFERROR(INDEX(Consulta!$A:$DF,MATCH('MM01'!$B85,Consulta!$C:$C,0),'MM01'!CT$2),""))</f>
        <v/>
      </c>
      <c r="CU85" s="43" t="str">
        <f>IF(IFERROR(INDEX(Consulta!$A:$DF,MATCH('MM01'!$B85,Consulta!$C:$C,0),'MM01'!CU$2),"")=0,"",IFERROR(INDEX(Consulta!$A:$DF,MATCH('MM01'!$B85,Consulta!$C:$C,0),'MM01'!CU$2),""))</f>
        <v/>
      </c>
      <c r="CV85" s="43" t="str">
        <f>IF(IFERROR(INDEX(Consulta!$A:$DF,MATCH('MM01'!$B85,Consulta!$C:$C,0),'MM01'!CV$2),"")=0,"",IFERROR(INDEX(Consulta!$A:$DF,MATCH('MM01'!$B85,Consulta!$C:$C,0),'MM01'!CV$2),""))</f>
        <v/>
      </c>
      <c r="CW85" s="43" t="str">
        <f>IF(IFERROR(INDEX(Consulta!$A:$DF,MATCH('MM01'!$B85,Consulta!$C:$C,0),'MM01'!CW$2),"")=0,"",IFERROR(INDEX(Consulta!$A:$DF,MATCH('MM01'!$B85,Consulta!$C:$C,0),'MM01'!CW$2),""))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IF(IFERROR(INDEX(Consulta!$A:$DF,MATCH('MM01'!$B85,Consulta!$C:$C,0),'MM01'!DA$2),"")=0,"",IFERROR(INDEX(Consulta!$A:$DF,MATCH('MM01'!$B85,Consulta!$C:$C,0),'MM01'!DA$2),""))</f>
        <v/>
      </c>
      <c r="DB85" s="43" t="str">
        <f t="shared" si="61"/>
        <v/>
      </c>
      <c r="DC85" s="43" t="str">
        <f>IF(IFERROR(INDEX(Consulta!$A:$DF,MATCH('MM01'!$B85,Consulta!$C:$C,0),'MM01'!DC$2),"")=0,"",IFERROR(INDEX(Consulta!$A:$DF,MATCH('MM01'!$B85,Consulta!$C:$C,0),'MM01'!DC$2),""))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5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5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5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5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IF(IFERROR(INDEX(Consulta!$A:$DF,MATCH('MM01'!$B85,Consulta!$C:$C,0),'MM01'!EB$2),"")=0,"7925",IF(IFERROR(INDEX(Consulta!$A:$DF,MATCH('MM01'!$B85,Consulta!$C:$C,0),'MM01'!EB$2),"")="68","7910","7925"))</f>
        <v>7925</v>
      </c>
      <c r="EC85" s="44">
        <v>100</v>
      </c>
      <c r="ED85" s="60">
        <v>1</v>
      </c>
      <c r="EE85" s="43">
        <f t="shared" si="77"/>
        <v>100</v>
      </c>
      <c r="EF85" s="44">
        <v>1</v>
      </c>
      <c r="EG85" s="44">
        <v>0</v>
      </c>
      <c r="EH85" s="44" t="s">
        <v>867</v>
      </c>
      <c r="EI85" s="45">
        <v>0</v>
      </c>
      <c r="EJ85" s="43">
        <f t="shared" si="78"/>
        <v>5000</v>
      </c>
      <c r="EK85" s="65"/>
    </row>
    <row r="86" spans="1:141" x14ac:dyDescent="0.3">
      <c r="A86" s="7" t="str">
        <f t="shared" si="79"/>
        <v>Execução 82</v>
      </c>
      <c r="B86" s="42"/>
      <c r="C86" s="43" t="str">
        <f>IF(IFERROR(INDEX(Consulta!$A:$DF,MATCH('MM01'!$B86,Consulta!$C:$C,0),'MM01'!C$2),"")=0,"",IFERROR(INDEX(Consulta!$A:$DF,MATCH('MM01'!$B86,Consulta!$C:$C,0),'MM01'!C$2),""))</f>
        <v/>
      </c>
      <c r="D86" s="43" t="str">
        <f>IF(IFERROR(INDEX(Consulta!$A:$DF,MATCH('MM01'!$B86,Consulta!$C:$C,0),'MM01'!D$2),"")=0,"",IFERROR(INDEX(Consulta!$A:$DF,MATCH('MM01'!$B86,Consulta!$C:$C,0),'MM01'!D$2),""))</f>
        <v/>
      </c>
      <c r="E86" s="43" t="str">
        <f>IF(IFERROR(INDEX(Consulta!$A:$DF,MATCH('MM01'!$B86,Consulta!$C:$C,0),'MM01'!E$2),"")=0,"",IFERROR(INDEX(Consulta!$A:$DF,MATCH('MM01'!$B86,Consulta!$C:$C,0),'MM01'!E$2),""))</f>
        <v/>
      </c>
      <c r="F86" s="44" t="s">
        <v>100</v>
      </c>
      <c r="G86" s="49" t="str">
        <f>IF(IFERROR(INDEX(Consulta!$A:$DF,MATCH('MM01'!$B86,Consulta!$C:$C,0),'MM01'!G$2),"")=0,"",IFERROR(INDEX(Consulta!$A:$DF,MATCH('MM01'!$B86,Consulta!$C:$C,0),'MM01'!G$2),""))</f>
        <v/>
      </c>
      <c r="H86" s="49" t="str">
        <f>IF(IFERROR(INDEX(Consulta!$A:$DF,MATCH('MM01'!$B86,Consulta!$C:$C,0),'MM01'!H$2),"")=0,"",IFERROR(INDEX(Consulta!$A:$DF,MATCH('MM01'!$B86,Consulta!$C:$C,0),'MM01'!H$2),""))</f>
        <v/>
      </c>
      <c r="I86" s="49" t="str">
        <f t="shared" si="40"/>
        <v/>
      </c>
      <c r="J86" s="49" t="str">
        <f>IF(IFERROR(INDEX(Consulta!$A:$DF,MATCH('MM01'!$B86,Consulta!$C:$C,0),'MM01'!J$2),"")=0,"",IFERROR(INDEX(Consulta!$A:$DF,MATCH('MM01'!$B86,Consulta!$C:$C,0),'MM01'!J$2),""))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IF(IFERROR(INDEX(Consulta!$A:$DF,MATCH('MM01'!$B86,Consulta!$C:$C,0),'MM01'!AP$2),"")=0,"",IFERROR(INDEX(Consulta!$A:$DF,MATCH('MM01'!$B86,Consulta!$C:$C,0),'MM01'!AP$2),""))</f>
        <v/>
      </c>
      <c r="AQ86" s="45"/>
      <c r="AR86" s="43" t="str">
        <f>IF(IFERROR(INDEX(Consulta!$A:$DF,MATCH('MM01'!$B86,Consulta!$C:$C,0),'MM01'!AR$2),"")=0,"",IFERROR(INDEX(Consulta!$A:$DF,MATCH('MM01'!$B86,Consulta!$C:$C,0),'MM01'!AR$2),""))</f>
        <v/>
      </c>
      <c r="AS86" s="43" t="str">
        <f>IF(IFERROR(INDEX(Consulta!$A:$DF,MATCH('MM01'!$B86,Consulta!$C:$C,0),'MM01'!AS$2),"")=0,"",IF(AR86="68",5102,IFERROR(INDEX(Consulta!$A:$DF,MATCH('MM01'!$B86,Consulta!$C:$C,0),'MM01'!AS$2),"")))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IF(IFERROR(INDEX(Consulta!$A:$DF,MATCH('MM01'!$B86,Consulta!$C:$C,0),'MM01'!AW$2),"")=0,"",IFERROR(ROUND(INDEX(Consulta!$A:$DF,MATCH('MM01'!$B86,Consulta!$C:$C,0),'MM01'!AW$2),3),""))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IF(IFERROR(INDEX(Consulta!$A:$DF,MATCH('MM01'!$B86,Consulta!$C:$C,0),'MM01'!BA$2),"")=0,"",IFERROR(INDEX(Consulta!$A:$DF,MATCH('MM01'!$B86,Consulta!$C:$C,0),'MM01'!BA$2),""))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IF(IFERROR(INDEX(Consulta!$A:$DF,MATCH('MM01'!$B86,Consulta!$C:$C,0),'MM01'!BL$2),"")=0,"",IFERROR(INDEX(Consulta!$A:$DF,MATCH('MM01'!$B86,Consulta!$C:$C,0),'MM01'!BL$2),""))</f>
        <v/>
      </c>
      <c r="BM86" s="45"/>
      <c r="BN86" s="46" t="str">
        <f t="shared" ca="1" si="52"/>
        <v/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IF(IFERROR(INDEX(Consulta!$A:$DF,MATCH('MM01'!$B86,Consulta!$C:$C,0),'MM01'!BX$2),"")=0,"",IFERROR(INDEX(Consulta!$A:$DF,MATCH('MM01'!$B86,Consulta!$C:$C,0),'MM01'!BX$2),""))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IF(IFERROR(INDEX(Consulta!$A:$DF,MATCH('MM01'!$B86,Consulta!$C:$C,0),'MM01'!CT$2),"")=0,"",IFERROR(INDEX(Consulta!$A:$DF,MATCH('MM01'!$B86,Consulta!$C:$C,0),'MM01'!CT$2),""))</f>
        <v/>
      </c>
      <c r="CU86" s="43" t="str">
        <f>IF(IFERROR(INDEX(Consulta!$A:$DF,MATCH('MM01'!$B86,Consulta!$C:$C,0),'MM01'!CU$2),"")=0,"",IFERROR(INDEX(Consulta!$A:$DF,MATCH('MM01'!$B86,Consulta!$C:$C,0),'MM01'!CU$2),""))</f>
        <v/>
      </c>
      <c r="CV86" s="43" t="str">
        <f>IF(IFERROR(INDEX(Consulta!$A:$DF,MATCH('MM01'!$B86,Consulta!$C:$C,0),'MM01'!CV$2),"")=0,"",IFERROR(INDEX(Consulta!$A:$DF,MATCH('MM01'!$B86,Consulta!$C:$C,0),'MM01'!CV$2),""))</f>
        <v/>
      </c>
      <c r="CW86" s="43" t="str">
        <f>IF(IFERROR(INDEX(Consulta!$A:$DF,MATCH('MM01'!$B86,Consulta!$C:$C,0),'MM01'!CW$2),"")=0,"",IFERROR(INDEX(Consulta!$A:$DF,MATCH('MM01'!$B86,Consulta!$C:$C,0),'MM01'!CW$2),""))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IF(IFERROR(INDEX(Consulta!$A:$DF,MATCH('MM01'!$B86,Consulta!$C:$C,0),'MM01'!DA$2),"")=0,"",IFERROR(INDEX(Consulta!$A:$DF,MATCH('MM01'!$B86,Consulta!$C:$C,0),'MM01'!DA$2),""))</f>
        <v/>
      </c>
      <c r="DB86" s="43" t="str">
        <f t="shared" si="61"/>
        <v/>
      </c>
      <c r="DC86" s="43" t="str">
        <f>IF(IFERROR(INDEX(Consulta!$A:$DF,MATCH('MM01'!$B86,Consulta!$C:$C,0),'MM01'!DC$2),"")=0,"",IFERROR(INDEX(Consulta!$A:$DF,MATCH('MM01'!$B86,Consulta!$C:$C,0),'MM01'!DC$2),""))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5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5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5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5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IF(IFERROR(INDEX(Consulta!$A:$DF,MATCH('MM01'!$B86,Consulta!$C:$C,0),'MM01'!EB$2),"")=0,"7925",IF(IFERROR(INDEX(Consulta!$A:$DF,MATCH('MM01'!$B86,Consulta!$C:$C,0),'MM01'!EB$2),"")="68","7910","7925"))</f>
        <v>7925</v>
      </c>
      <c r="EC86" s="44">
        <v>100</v>
      </c>
      <c r="ED86" s="60">
        <v>1</v>
      </c>
      <c r="EE86" s="43">
        <f t="shared" si="77"/>
        <v>100</v>
      </c>
      <c r="EF86" s="44">
        <v>1</v>
      </c>
      <c r="EG86" s="44">
        <v>0</v>
      </c>
      <c r="EH86" s="44" t="s">
        <v>867</v>
      </c>
      <c r="EI86" s="45">
        <v>0</v>
      </c>
      <c r="EJ86" s="43">
        <f t="shared" si="78"/>
        <v>5000</v>
      </c>
      <c r="EK86" s="65"/>
    </row>
    <row r="87" spans="1:141" x14ac:dyDescent="0.3">
      <c r="A87" s="7" t="str">
        <f t="shared" si="79"/>
        <v>Execução 83</v>
      </c>
      <c r="B87" s="42"/>
      <c r="C87" s="43" t="str">
        <f>IF(IFERROR(INDEX(Consulta!$A:$DF,MATCH('MM01'!$B87,Consulta!$C:$C,0),'MM01'!C$2),"")=0,"",IFERROR(INDEX(Consulta!$A:$DF,MATCH('MM01'!$B87,Consulta!$C:$C,0),'MM01'!C$2),""))</f>
        <v/>
      </c>
      <c r="D87" s="43" t="str">
        <f>IF(IFERROR(INDEX(Consulta!$A:$DF,MATCH('MM01'!$B87,Consulta!$C:$C,0),'MM01'!D$2),"")=0,"",IFERROR(INDEX(Consulta!$A:$DF,MATCH('MM01'!$B87,Consulta!$C:$C,0),'MM01'!D$2),""))</f>
        <v/>
      </c>
      <c r="E87" s="43" t="str">
        <f>IF(IFERROR(INDEX(Consulta!$A:$DF,MATCH('MM01'!$B87,Consulta!$C:$C,0),'MM01'!E$2),"")=0,"",IFERROR(INDEX(Consulta!$A:$DF,MATCH('MM01'!$B87,Consulta!$C:$C,0),'MM01'!E$2),""))</f>
        <v/>
      </c>
      <c r="F87" s="44" t="s">
        <v>100</v>
      </c>
      <c r="G87" s="49" t="str">
        <f>IF(IFERROR(INDEX(Consulta!$A:$DF,MATCH('MM01'!$B87,Consulta!$C:$C,0),'MM01'!G$2),"")=0,"",IFERROR(INDEX(Consulta!$A:$DF,MATCH('MM01'!$B87,Consulta!$C:$C,0),'MM01'!G$2),""))</f>
        <v/>
      </c>
      <c r="H87" s="49" t="str">
        <f>IF(IFERROR(INDEX(Consulta!$A:$DF,MATCH('MM01'!$B87,Consulta!$C:$C,0),'MM01'!H$2),"")=0,"",IFERROR(INDEX(Consulta!$A:$DF,MATCH('MM01'!$B87,Consulta!$C:$C,0),'MM01'!H$2),""))</f>
        <v/>
      </c>
      <c r="I87" s="49" t="str">
        <f t="shared" si="40"/>
        <v/>
      </c>
      <c r="J87" s="49" t="str">
        <f>IF(IFERROR(INDEX(Consulta!$A:$DF,MATCH('MM01'!$B87,Consulta!$C:$C,0),'MM01'!J$2),"")=0,"",IFERROR(INDEX(Consulta!$A:$DF,MATCH('MM01'!$B87,Consulta!$C:$C,0),'MM01'!J$2),""))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IF(IFERROR(INDEX(Consulta!$A:$DF,MATCH('MM01'!$B87,Consulta!$C:$C,0),'MM01'!AP$2),"")=0,"",IFERROR(INDEX(Consulta!$A:$DF,MATCH('MM01'!$B87,Consulta!$C:$C,0),'MM01'!AP$2),""))</f>
        <v/>
      </c>
      <c r="AQ87" s="45"/>
      <c r="AR87" s="43" t="str">
        <f>IF(IFERROR(INDEX(Consulta!$A:$DF,MATCH('MM01'!$B87,Consulta!$C:$C,0),'MM01'!AR$2),"")=0,"",IFERROR(INDEX(Consulta!$A:$DF,MATCH('MM01'!$B87,Consulta!$C:$C,0),'MM01'!AR$2),""))</f>
        <v/>
      </c>
      <c r="AS87" s="43" t="str">
        <f>IF(IFERROR(INDEX(Consulta!$A:$DF,MATCH('MM01'!$B87,Consulta!$C:$C,0),'MM01'!AS$2),"")=0,"",IF(AR87="68",5102,IFERROR(INDEX(Consulta!$A:$DF,MATCH('MM01'!$B87,Consulta!$C:$C,0),'MM01'!AS$2),"")))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IF(IFERROR(INDEX(Consulta!$A:$DF,MATCH('MM01'!$B87,Consulta!$C:$C,0),'MM01'!AW$2),"")=0,"",IFERROR(ROUND(INDEX(Consulta!$A:$DF,MATCH('MM01'!$B87,Consulta!$C:$C,0),'MM01'!AW$2),3),""))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IF(IFERROR(INDEX(Consulta!$A:$DF,MATCH('MM01'!$B87,Consulta!$C:$C,0),'MM01'!BA$2),"")=0,"",IFERROR(INDEX(Consulta!$A:$DF,MATCH('MM01'!$B87,Consulta!$C:$C,0),'MM01'!BA$2),""))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IF(IFERROR(INDEX(Consulta!$A:$DF,MATCH('MM01'!$B87,Consulta!$C:$C,0),'MM01'!BL$2),"")=0,"",IFERROR(INDEX(Consulta!$A:$DF,MATCH('MM01'!$B87,Consulta!$C:$C,0),'MM01'!BL$2),""))</f>
        <v/>
      </c>
      <c r="BM87" s="45"/>
      <c r="BN87" s="46" t="str">
        <f t="shared" ca="1" si="52"/>
        <v/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IF(IFERROR(INDEX(Consulta!$A:$DF,MATCH('MM01'!$B87,Consulta!$C:$C,0),'MM01'!BX$2),"")=0,"",IFERROR(INDEX(Consulta!$A:$DF,MATCH('MM01'!$B87,Consulta!$C:$C,0),'MM01'!BX$2),""))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IF(IFERROR(INDEX(Consulta!$A:$DF,MATCH('MM01'!$B87,Consulta!$C:$C,0),'MM01'!CT$2),"")=0,"",IFERROR(INDEX(Consulta!$A:$DF,MATCH('MM01'!$B87,Consulta!$C:$C,0),'MM01'!CT$2),""))</f>
        <v/>
      </c>
      <c r="CU87" s="43" t="str">
        <f>IF(IFERROR(INDEX(Consulta!$A:$DF,MATCH('MM01'!$B87,Consulta!$C:$C,0),'MM01'!CU$2),"")=0,"",IFERROR(INDEX(Consulta!$A:$DF,MATCH('MM01'!$B87,Consulta!$C:$C,0),'MM01'!CU$2),""))</f>
        <v/>
      </c>
      <c r="CV87" s="43" t="str">
        <f>IF(IFERROR(INDEX(Consulta!$A:$DF,MATCH('MM01'!$B87,Consulta!$C:$C,0),'MM01'!CV$2),"")=0,"",IFERROR(INDEX(Consulta!$A:$DF,MATCH('MM01'!$B87,Consulta!$C:$C,0),'MM01'!CV$2),""))</f>
        <v/>
      </c>
      <c r="CW87" s="43" t="str">
        <f>IF(IFERROR(INDEX(Consulta!$A:$DF,MATCH('MM01'!$B87,Consulta!$C:$C,0),'MM01'!CW$2),"")=0,"",IFERROR(INDEX(Consulta!$A:$DF,MATCH('MM01'!$B87,Consulta!$C:$C,0),'MM01'!CW$2),""))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IF(IFERROR(INDEX(Consulta!$A:$DF,MATCH('MM01'!$B87,Consulta!$C:$C,0),'MM01'!DA$2),"")=0,"",IFERROR(INDEX(Consulta!$A:$DF,MATCH('MM01'!$B87,Consulta!$C:$C,0),'MM01'!DA$2),""))</f>
        <v/>
      </c>
      <c r="DB87" s="43" t="str">
        <f t="shared" si="61"/>
        <v/>
      </c>
      <c r="DC87" s="43" t="str">
        <f>IF(IFERROR(INDEX(Consulta!$A:$DF,MATCH('MM01'!$B87,Consulta!$C:$C,0),'MM01'!DC$2),"")=0,"",IFERROR(INDEX(Consulta!$A:$DF,MATCH('MM01'!$B87,Consulta!$C:$C,0),'MM01'!DC$2),""))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5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5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5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5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IF(IFERROR(INDEX(Consulta!$A:$DF,MATCH('MM01'!$B87,Consulta!$C:$C,0),'MM01'!EB$2),"")=0,"7925",IF(IFERROR(INDEX(Consulta!$A:$DF,MATCH('MM01'!$B87,Consulta!$C:$C,0),'MM01'!EB$2),"")="68","7910","7925"))</f>
        <v>7925</v>
      </c>
      <c r="EC87" s="44">
        <v>100</v>
      </c>
      <c r="ED87" s="60">
        <v>1</v>
      </c>
      <c r="EE87" s="43">
        <f t="shared" si="77"/>
        <v>100</v>
      </c>
      <c r="EF87" s="44">
        <v>1</v>
      </c>
      <c r="EG87" s="44">
        <v>0</v>
      </c>
      <c r="EH87" s="44" t="s">
        <v>867</v>
      </c>
      <c r="EI87" s="45">
        <v>0</v>
      </c>
      <c r="EJ87" s="43">
        <f t="shared" si="78"/>
        <v>5000</v>
      </c>
      <c r="EK87" s="65"/>
    </row>
    <row r="88" spans="1:141" x14ac:dyDescent="0.3">
      <c r="A88" s="7" t="str">
        <f t="shared" si="79"/>
        <v>Execução 84</v>
      </c>
      <c r="B88" s="42"/>
      <c r="C88" s="43" t="str">
        <f>IF(IFERROR(INDEX(Consulta!$A:$DF,MATCH('MM01'!$B88,Consulta!$C:$C,0),'MM01'!C$2),"")=0,"",IFERROR(INDEX(Consulta!$A:$DF,MATCH('MM01'!$B88,Consulta!$C:$C,0),'MM01'!C$2),""))</f>
        <v/>
      </c>
      <c r="D88" s="43" t="str">
        <f>IF(IFERROR(INDEX(Consulta!$A:$DF,MATCH('MM01'!$B88,Consulta!$C:$C,0),'MM01'!D$2),"")=0,"",IFERROR(INDEX(Consulta!$A:$DF,MATCH('MM01'!$B88,Consulta!$C:$C,0),'MM01'!D$2),""))</f>
        <v/>
      </c>
      <c r="E88" s="43" t="str">
        <f>IF(IFERROR(INDEX(Consulta!$A:$DF,MATCH('MM01'!$B88,Consulta!$C:$C,0),'MM01'!E$2),"")=0,"",IFERROR(INDEX(Consulta!$A:$DF,MATCH('MM01'!$B88,Consulta!$C:$C,0),'MM01'!E$2),""))</f>
        <v/>
      </c>
      <c r="F88" s="44" t="s">
        <v>100</v>
      </c>
      <c r="G88" s="49" t="str">
        <f>IF(IFERROR(INDEX(Consulta!$A:$DF,MATCH('MM01'!$B88,Consulta!$C:$C,0),'MM01'!G$2),"")=0,"",IFERROR(INDEX(Consulta!$A:$DF,MATCH('MM01'!$B88,Consulta!$C:$C,0),'MM01'!G$2),""))</f>
        <v/>
      </c>
      <c r="H88" s="49" t="str">
        <f>IF(IFERROR(INDEX(Consulta!$A:$DF,MATCH('MM01'!$B88,Consulta!$C:$C,0),'MM01'!H$2),"")=0,"",IFERROR(INDEX(Consulta!$A:$DF,MATCH('MM01'!$B88,Consulta!$C:$C,0),'MM01'!H$2),""))</f>
        <v/>
      </c>
      <c r="I88" s="49" t="str">
        <f t="shared" si="40"/>
        <v/>
      </c>
      <c r="J88" s="49" t="str">
        <f>IF(IFERROR(INDEX(Consulta!$A:$DF,MATCH('MM01'!$B88,Consulta!$C:$C,0),'MM01'!J$2),"")=0,"",IFERROR(INDEX(Consulta!$A:$DF,MATCH('MM01'!$B88,Consulta!$C:$C,0),'MM01'!J$2),""))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IF(IFERROR(INDEX(Consulta!$A:$DF,MATCH('MM01'!$B88,Consulta!$C:$C,0),'MM01'!AP$2),"")=0,"",IFERROR(INDEX(Consulta!$A:$DF,MATCH('MM01'!$B88,Consulta!$C:$C,0),'MM01'!AP$2),""))</f>
        <v/>
      </c>
      <c r="AQ88" s="45"/>
      <c r="AR88" s="43" t="str">
        <f>IF(IFERROR(INDEX(Consulta!$A:$DF,MATCH('MM01'!$B88,Consulta!$C:$C,0),'MM01'!AR$2),"")=0,"",IFERROR(INDEX(Consulta!$A:$DF,MATCH('MM01'!$B88,Consulta!$C:$C,0),'MM01'!AR$2),""))</f>
        <v/>
      </c>
      <c r="AS88" s="43" t="str">
        <f>IF(IFERROR(INDEX(Consulta!$A:$DF,MATCH('MM01'!$B88,Consulta!$C:$C,0),'MM01'!AS$2),"")=0,"",IF(AR88="68",5102,IFERROR(INDEX(Consulta!$A:$DF,MATCH('MM01'!$B88,Consulta!$C:$C,0),'MM01'!AS$2),"")))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IF(IFERROR(INDEX(Consulta!$A:$DF,MATCH('MM01'!$B88,Consulta!$C:$C,0),'MM01'!AW$2),"")=0,"",IFERROR(ROUND(INDEX(Consulta!$A:$DF,MATCH('MM01'!$B88,Consulta!$C:$C,0),'MM01'!AW$2),3),""))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IF(IFERROR(INDEX(Consulta!$A:$DF,MATCH('MM01'!$B88,Consulta!$C:$C,0),'MM01'!BA$2),"")=0,"",IFERROR(INDEX(Consulta!$A:$DF,MATCH('MM01'!$B88,Consulta!$C:$C,0),'MM01'!BA$2),""))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IF(IFERROR(INDEX(Consulta!$A:$DF,MATCH('MM01'!$B88,Consulta!$C:$C,0),'MM01'!BL$2),"")=0,"",IFERROR(INDEX(Consulta!$A:$DF,MATCH('MM01'!$B88,Consulta!$C:$C,0),'MM01'!BL$2),""))</f>
        <v/>
      </c>
      <c r="BM88" s="45"/>
      <c r="BN88" s="46" t="str">
        <f t="shared" ca="1" si="52"/>
        <v/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IF(IFERROR(INDEX(Consulta!$A:$DF,MATCH('MM01'!$B88,Consulta!$C:$C,0),'MM01'!BX$2),"")=0,"",IFERROR(INDEX(Consulta!$A:$DF,MATCH('MM01'!$B88,Consulta!$C:$C,0),'MM01'!BX$2),""))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IF(IFERROR(INDEX(Consulta!$A:$DF,MATCH('MM01'!$B88,Consulta!$C:$C,0),'MM01'!CT$2),"")=0,"",IFERROR(INDEX(Consulta!$A:$DF,MATCH('MM01'!$B88,Consulta!$C:$C,0),'MM01'!CT$2),""))</f>
        <v/>
      </c>
      <c r="CU88" s="43" t="str">
        <f>IF(IFERROR(INDEX(Consulta!$A:$DF,MATCH('MM01'!$B88,Consulta!$C:$C,0),'MM01'!CU$2),"")=0,"",IFERROR(INDEX(Consulta!$A:$DF,MATCH('MM01'!$B88,Consulta!$C:$C,0),'MM01'!CU$2),""))</f>
        <v/>
      </c>
      <c r="CV88" s="43" t="str">
        <f>IF(IFERROR(INDEX(Consulta!$A:$DF,MATCH('MM01'!$B88,Consulta!$C:$C,0),'MM01'!CV$2),"")=0,"",IFERROR(INDEX(Consulta!$A:$DF,MATCH('MM01'!$B88,Consulta!$C:$C,0),'MM01'!CV$2),""))</f>
        <v/>
      </c>
      <c r="CW88" s="43" t="str">
        <f>IF(IFERROR(INDEX(Consulta!$A:$DF,MATCH('MM01'!$B88,Consulta!$C:$C,0),'MM01'!CW$2),"")=0,"",IFERROR(INDEX(Consulta!$A:$DF,MATCH('MM01'!$B88,Consulta!$C:$C,0),'MM01'!CW$2),""))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IF(IFERROR(INDEX(Consulta!$A:$DF,MATCH('MM01'!$B88,Consulta!$C:$C,0),'MM01'!DA$2),"")=0,"",IFERROR(INDEX(Consulta!$A:$DF,MATCH('MM01'!$B88,Consulta!$C:$C,0),'MM01'!DA$2),""))</f>
        <v/>
      </c>
      <c r="DB88" s="43" t="str">
        <f t="shared" si="61"/>
        <v/>
      </c>
      <c r="DC88" s="43" t="str">
        <f>IF(IFERROR(INDEX(Consulta!$A:$DF,MATCH('MM01'!$B88,Consulta!$C:$C,0),'MM01'!DC$2),"")=0,"",IFERROR(INDEX(Consulta!$A:$DF,MATCH('MM01'!$B88,Consulta!$C:$C,0),'MM01'!DC$2),""))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5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5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5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5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IF(IFERROR(INDEX(Consulta!$A:$DF,MATCH('MM01'!$B88,Consulta!$C:$C,0),'MM01'!EB$2),"")=0,"7925",IF(IFERROR(INDEX(Consulta!$A:$DF,MATCH('MM01'!$B88,Consulta!$C:$C,0),'MM01'!EB$2),"")="68","7910","7925"))</f>
        <v>7925</v>
      </c>
      <c r="EC88" s="44">
        <v>100</v>
      </c>
      <c r="ED88" s="60">
        <v>1</v>
      </c>
      <c r="EE88" s="43">
        <f t="shared" si="77"/>
        <v>100</v>
      </c>
      <c r="EF88" s="44">
        <v>1</v>
      </c>
      <c r="EG88" s="44">
        <v>0</v>
      </c>
      <c r="EH88" s="44" t="s">
        <v>867</v>
      </c>
      <c r="EI88" s="45">
        <v>0</v>
      </c>
      <c r="EJ88" s="43">
        <f t="shared" si="78"/>
        <v>5000</v>
      </c>
      <c r="EK88" s="65"/>
    </row>
    <row r="89" spans="1:141" x14ac:dyDescent="0.3">
      <c r="A89" s="7" t="str">
        <f t="shared" si="79"/>
        <v>Execução 85</v>
      </c>
      <c r="B89" s="42"/>
      <c r="C89" s="43" t="str">
        <f>IF(IFERROR(INDEX(Consulta!$A:$DF,MATCH('MM01'!$B89,Consulta!$C:$C,0),'MM01'!C$2),"")=0,"",IFERROR(INDEX(Consulta!$A:$DF,MATCH('MM01'!$B89,Consulta!$C:$C,0),'MM01'!C$2),""))</f>
        <v/>
      </c>
      <c r="D89" s="43" t="str">
        <f>IF(IFERROR(INDEX(Consulta!$A:$DF,MATCH('MM01'!$B89,Consulta!$C:$C,0),'MM01'!D$2),"")=0,"",IFERROR(INDEX(Consulta!$A:$DF,MATCH('MM01'!$B89,Consulta!$C:$C,0),'MM01'!D$2),""))</f>
        <v/>
      </c>
      <c r="E89" s="43" t="str">
        <f>IF(IFERROR(INDEX(Consulta!$A:$DF,MATCH('MM01'!$B89,Consulta!$C:$C,0),'MM01'!E$2),"")=0,"",IFERROR(INDEX(Consulta!$A:$DF,MATCH('MM01'!$B89,Consulta!$C:$C,0),'MM01'!E$2),""))</f>
        <v/>
      </c>
      <c r="F89" s="44" t="s">
        <v>100</v>
      </c>
      <c r="G89" s="49" t="str">
        <f>IF(IFERROR(INDEX(Consulta!$A:$DF,MATCH('MM01'!$B89,Consulta!$C:$C,0),'MM01'!G$2),"")=0,"",IFERROR(INDEX(Consulta!$A:$DF,MATCH('MM01'!$B89,Consulta!$C:$C,0),'MM01'!G$2),""))</f>
        <v/>
      </c>
      <c r="H89" s="49" t="str">
        <f>IF(IFERROR(INDEX(Consulta!$A:$DF,MATCH('MM01'!$B89,Consulta!$C:$C,0),'MM01'!H$2),"")=0,"",IFERROR(INDEX(Consulta!$A:$DF,MATCH('MM01'!$B89,Consulta!$C:$C,0),'MM01'!H$2),""))</f>
        <v/>
      </c>
      <c r="I89" s="49" t="str">
        <f t="shared" si="40"/>
        <v/>
      </c>
      <c r="J89" s="49" t="str">
        <f>IF(IFERROR(INDEX(Consulta!$A:$DF,MATCH('MM01'!$B89,Consulta!$C:$C,0),'MM01'!J$2),"")=0,"",IFERROR(INDEX(Consulta!$A:$DF,MATCH('MM01'!$B89,Consulta!$C:$C,0),'MM01'!J$2),""))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IF(IFERROR(INDEX(Consulta!$A:$DF,MATCH('MM01'!$B89,Consulta!$C:$C,0),'MM01'!AP$2),"")=0,"",IFERROR(INDEX(Consulta!$A:$DF,MATCH('MM01'!$B89,Consulta!$C:$C,0),'MM01'!AP$2),""))</f>
        <v/>
      </c>
      <c r="AQ89" s="45"/>
      <c r="AR89" s="43" t="str">
        <f>IF(IFERROR(INDEX(Consulta!$A:$DF,MATCH('MM01'!$B89,Consulta!$C:$C,0),'MM01'!AR$2),"")=0,"",IFERROR(INDEX(Consulta!$A:$DF,MATCH('MM01'!$B89,Consulta!$C:$C,0),'MM01'!AR$2),""))</f>
        <v/>
      </c>
      <c r="AS89" s="43" t="str">
        <f>IF(IFERROR(INDEX(Consulta!$A:$DF,MATCH('MM01'!$B89,Consulta!$C:$C,0),'MM01'!AS$2),"")=0,"",IF(AR89="68",5102,IFERROR(INDEX(Consulta!$A:$DF,MATCH('MM01'!$B89,Consulta!$C:$C,0),'MM01'!AS$2),"")))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IF(IFERROR(INDEX(Consulta!$A:$DF,MATCH('MM01'!$B89,Consulta!$C:$C,0),'MM01'!AW$2),"")=0,"",IFERROR(ROUND(INDEX(Consulta!$A:$DF,MATCH('MM01'!$B89,Consulta!$C:$C,0),'MM01'!AW$2),3),""))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IF(IFERROR(INDEX(Consulta!$A:$DF,MATCH('MM01'!$B89,Consulta!$C:$C,0),'MM01'!BA$2),"")=0,"",IFERROR(INDEX(Consulta!$A:$DF,MATCH('MM01'!$B89,Consulta!$C:$C,0),'MM01'!BA$2),""))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IF(IFERROR(INDEX(Consulta!$A:$DF,MATCH('MM01'!$B89,Consulta!$C:$C,0),'MM01'!BL$2),"")=0,"",IFERROR(INDEX(Consulta!$A:$DF,MATCH('MM01'!$B89,Consulta!$C:$C,0),'MM01'!BL$2),""))</f>
        <v/>
      </c>
      <c r="BM89" s="45"/>
      <c r="BN89" s="46" t="str">
        <f t="shared" ca="1" si="52"/>
        <v/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IF(IFERROR(INDEX(Consulta!$A:$DF,MATCH('MM01'!$B89,Consulta!$C:$C,0),'MM01'!BX$2),"")=0,"",IFERROR(INDEX(Consulta!$A:$DF,MATCH('MM01'!$B89,Consulta!$C:$C,0),'MM01'!BX$2),""))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IF(IFERROR(INDEX(Consulta!$A:$DF,MATCH('MM01'!$B89,Consulta!$C:$C,0),'MM01'!CT$2),"")=0,"",IFERROR(INDEX(Consulta!$A:$DF,MATCH('MM01'!$B89,Consulta!$C:$C,0),'MM01'!CT$2),""))</f>
        <v/>
      </c>
      <c r="CU89" s="43" t="str">
        <f>IF(IFERROR(INDEX(Consulta!$A:$DF,MATCH('MM01'!$B89,Consulta!$C:$C,0),'MM01'!CU$2),"")=0,"",IFERROR(INDEX(Consulta!$A:$DF,MATCH('MM01'!$B89,Consulta!$C:$C,0),'MM01'!CU$2),""))</f>
        <v/>
      </c>
      <c r="CV89" s="43" t="str">
        <f>IF(IFERROR(INDEX(Consulta!$A:$DF,MATCH('MM01'!$B89,Consulta!$C:$C,0),'MM01'!CV$2),"")=0,"",IFERROR(INDEX(Consulta!$A:$DF,MATCH('MM01'!$B89,Consulta!$C:$C,0),'MM01'!CV$2),""))</f>
        <v/>
      </c>
      <c r="CW89" s="43" t="str">
        <f>IF(IFERROR(INDEX(Consulta!$A:$DF,MATCH('MM01'!$B89,Consulta!$C:$C,0),'MM01'!CW$2),"")=0,"",IFERROR(INDEX(Consulta!$A:$DF,MATCH('MM01'!$B89,Consulta!$C:$C,0),'MM01'!CW$2),""))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IF(IFERROR(INDEX(Consulta!$A:$DF,MATCH('MM01'!$B89,Consulta!$C:$C,0),'MM01'!DA$2),"")=0,"",IFERROR(INDEX(Consulta!$A:$DF,MATCH('MM01'!$B89,Consulta!$C:$C,0),'MM01'!DA$2),""))</f>
        <v/>
      </c>
      <c r="DB89" s="43" t="str">
        <f t="shared" si="61"/>
        <v/>
      </c>
      <c r="DC89" s="43" t="str">
        <f>IF(IFERROR(INDEX(Consulta!$A:$DF,MATCH('MM01'!$B89,Consulta!$C:$C,0),'MM01'!DC$2),"")=0,"",IFERROR(INDEX(Consulta!$A:$DF,MATCH('MM01'!$B89,Consulta!$C:$C,0),'MM01'!DC$2),""))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5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5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5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5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IF(IFERROR(INDEX(Consulta!$A:$DF,MATCH('MM01'!$B89,Consulta!$C:$C,0),'MM01'!EB$2),"")=0,"7925",IF(IFERROR(INDEX(Consulta!$A:$DF,MATCH('MM01'!$B89,Consulta!$C:$C,0),'MM01'!EB$2),"")="68","7910","7925"))</f>
        <v>7925</v>
      </c>
      <c r="EC89" s="44">
        <v>100</v>
      </c>
      <c r="ED89" s="60">
        <v>1</v>
      </c>
      <c r="EE89" s="43">
        <f t="shared" si="77"/>
        <v>100</v>
      </c>
      <c r="EF89" s="44">
        <v>1</v>
      </c>
      <c r="EG89" s="44">
        <v>0</v>
      </c>
      <c r="EH89" s="44" t="s">
        <v>867</v>
      </c>
      <c r="EI89" s="45">
        <v>0</v>
      </c>
      <c r="EJ89" s="43">
        <f t="shared" si="78"/>
        <v>5000</v>
      </c>
      <c r="EK89" s="65"/>
    </row>
    <row r="90" spans="1:141" x14ac:dyDescent="0.3">
      <c r="A90" s="7" t="str">
        <f t="shared" si="79"/>
        <v>Execução 86</v>
      </c>
      <c r="B90" s="42"/>
      <c r="C90" s="43" t="str">
        <f>IF(IFERROR(INDEX(Consulta!$A:$DF,MATCH('MM01'!$B90,Consulta!$C:$C,0),'MM01'!C$2),"")=0,"",IFERROR(INDEX(Consulta!$A:$DF,MATCH('MM01'!$B90,Consulta!$C:$C,0),'MM01'!C$2),""))</f>
        <v/>
      </c>
      <c r="D90" s="43" t="str">
        <f>IF(IFERROR(INDEX(Consulta!$A:$DF,MATCH('MM01'!$B90,Consulta!$C:$C,0),'MM01'!D$2),"")=0,"",IFERROR(INDEX(Consulta!$A:$DF,MATCH('MM01'!$B90,Consulta!$C:$C,0),'MM01'!D$2),""))</f>
        <v/>
      </c>
      <c r="E90" s="43" t="str">
        <f>IF(IFERROR(INDEX(Consulta!$A:$DF,MATCH('MM01'!$B90,Consulta!$C:$C,0),'MM01'!E$2),"")=0,"",IFERROR(INDEX(Consulta!$A:$DF,MATCH('MM01'!$B90,Consulta!$C:$C,0),'MM01'!E$2),""))</f>
        <v/>
      </c>
      <c r="F90" s="44" t="s">
        <v>100</v>
      </c>
      <c r="G90" s="49" t="str">
        <f>IF(IFERROR(INDEX(Consulta!$A:$DF,MATCH('MM01'!$B90,Consulta!$C:$C,0),'MM01'!G$2),"")=0,"",IFERROR(INDEX(Consulta!$A:$DF,MATCH('MM01'!$B90,Consulta!$C:$C,0),'MM01'!G$2),""))</f>
        <v/>
      </c>
      <c r="H90" s="49" t="str">
        <f>IF(IFERROR(INDEX(Consulta!$A:$DF,MATCH('MM01'!$B90,Consulta!$C:$C,0),'MM01'!H$2),"")=0,"",IFERROR(INDEX(Consulta!$A:$DF,MATCH('MM01'!$B90,Consulta!$C:$C,0),'MM01'!H$2),""))</f>
        <v/>
      </c>
      <c r="I90" s="49" t="str">
        <f t="shared" si="40"/>
        <v/>
      </c>
      <c r="J90" s="49" t="str">
        <f>IF(IFERROR(INDEX(Consulta!$A:$DF,MATCH('MM01'!$B90,Consulta!$C:$C,0),'MM01'!J$2),"")=0,"",IFERROR(INDEX(Consulta!$A:$DF,MATCH('MM01'!$B90,Consulta!$C:$C,0),'MM01'!J$2),""))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IF(IFERROR(INDEX(Consulta!$A:$DF,MATCH('MM01'!$B90,Consulta!$C:$C,0),'MM01'!AP$2),"")=0,"",IFERROR(INDEX(Consulta!$A:$DF,MATCH('MM01'!$B90,Consulta!$C:$C,0),'MM01'!AP$2),""))</f>
        <v/>
      </c>
      <c r="AQ90" s="45"/>
      <c r="AR90" s="43" t="str">
        <f>IF(IFERROR(INDEX(Consulta!$A:$DF,MATCH('MM01'!$B90,Consulta!$C:$C,0),'MM01'!AR$2),"")=0,"",IFERROR(INDEX(Consulta!$A:$DF,MATCH('MM01'!$B90,Consulta!$C:$C,0),'MM01'!AR$2),""))</f>
        <v/>
      </c>
      <c r="AS90" s="43" t="str">
        <f>IF(IFERROR(INDEX(Consulta!$A:$DF,MATCH('MM01'!$B90,Consulta!$C:$C,0),'MM01'!AS$2),"")=0,"",IF(AR90="68",5102,IFERROR(INDEX(Consulta!$A:$DF,MATCH('MM01'!$B90,Consulta!$C:$C,0),'MM01'!AS$2),"")))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IF(IFERROR(INDEX(Consulta!$A:$DF,MATCH('MM01'!$B90,Consulta!$C:$C,0),'MM01'!AW$2),"")=0,"",IFERROR(ROUND(INDEX(Consulta!$A:$DF,MATCH('MM01'!$B90,Consulta!$C:$C,0),'MM01'!AW$2),3),""))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IF(IFERROR(INDEX(Consulta!$A:$DF,MATCH('MM01'!$B90,Consulta!$C:$C,0),'MM01'!BA$2),"")=0,"",IFERROR(INDEX(Consulta!$A:$DF,MATCH('MM01'!$B90,Consulta!$C:$C,0),'MM01'!BA$2),""))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IF(IFERROR(INDEX(Consulta!$A:$DF,MATCH('MM01'!$B90,Consulta!$C:$C,0),'MM01'!BL$2),"")=0,"",IFERROR(INDEX(Consulta!$A:$DF,MATCH('MM01'!$B90,Consulta!$C:$C,0),'MM01'!BL$2),""))</f>
        <v/>
      </c>
      <c r="BM90" s="45"/>
      <c r="BN90" s="46" t="str">
        <f t="shared" ca="1" si="52"/>
        <v/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IF(IFERROR(INDEX(Consulta!$A:$DF,MATCH('MM01'!$B90,Consulta!$C:$C,0),'MM01'!BX$2),"")=0,"",IFERROR(INDEX(Consulta!$A:$DF,MATCH('MM01'!$B90,Consulta!$C:$C,0),'MM01'!BX$2),""))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IF(IFERROR(INDEX(Consulta!$A:$DF,MATCH('MM01'!$B90,Consulta!$C:$C,0),'MM01'!CT$2),"")=0,"",IFERROR(INDEX(Consulta!$A:$DF,MATCH('MM01'!$B90,Consulta!$C:$C,0),'MM01'!CT$2),""))</f>
        <v/>
      </c>
      <c r="CU90" s="43" t="str">
        <f>IF(IFERROR(INDEX(Consulta!$A:$DF,MATCH('MM01'!$B90,Consulta!$C:$C,0),'MM01'!CU$2),"")=0,"",IFERROR(INDEX(Consulta!$A:$DF,MATCH('MM01'!$B90,Consulta!$C:$C,0),'MM01'!CU$2),""))</f>
        <v/>
      </c>
      <c r="CV90" s="43" t="str">
        <f>IF(IFERROR(INDEX(Consulta!$A:$DF,MATCH('MM01'!$B90,Consulta!$C:$C,0),'MM01'!CV$2),"")=0,"",IFERROR(INDEX(Consulta!$A:$DF,MATCH('MM01'!$B90,Consulta!$C:$C,0),'MM01'!CV$2),""))</f>
        <v/>
      </c>
      <c r="CW90" s="43" t="str">
        <f>IF(IFERROR(INDEX(Consulta!$A:$DF,MATCH('MM01'!$B90,Consulta!$C:$C,0),'MM01'!CW$2),"")=0,"",IFERROR(INDEX(Consulta!$A:$DF,MATCH('MM01'!$B90,Consulta!$C:$C,0),'MM01'!CW$2),""))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IF(IFERROR(INDEX(Consulta!$A:$DF,MATCH('MM01'!$B90,Consulta!$C:$C,0),'MM01'!DA$2),"")=0,"",IFERROR(INDEX(Consulta!$A:$DF,MATCH('MM01'!$B90,Consulta!$C:$C,0),'MM01'!DA$2),""))</f>
        <v/>
      </c>
      <c r="DB90" s="43" t="str">
        <f t="shared" si="61"/>
        <v/>
      </c>
      <c r="DC90" s="43" t="str">
        <f>IF(IFERROR(INDEX(Consulta!$A:$DF,MATCH('MM01'!$B90,Consulta!$C:$C,0),'MM01'!DC$2),"")=0,"",IFERROR(INDEX(Consulta!$A:$DF,MATCH('MM01'!$B90,Consulta!$C:$C,0),'MM01'!DC$2),""))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5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5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5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5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IF(IFERROR(INDEX(Consulta!$A:$DF,MATCH('MM01'!$B90,Consulta!$C:$C,0),'MM01'!EB$2),"")=0,"7925",IF(IFERROR(INDEX(Consulta!$A:$DF,MATCH('MM01'!$B90,Consulta!$C:$C,0),'MM01'!EB$2),"")="68","7910","7925"))</f>
        <v>7925</v>
      </c>
      <c r="EC90" s="44">
        <v>100</v>
      </c>
      <c r="ED90" s="60">
        <v>1</v>
      </c>
      <c r="EE90" s="43">
        <f t="shared" si="77"/>
        <v>100</v>
      </c>
      <c r="EF90" s="44">
        <v>1</v>
      </c>
      <c r="EG90" s="44">
        <v>0</v>
      </c>
      <c r="EH90" s="44" t="s">
        <v>867</v>
      </c>
      <c r="EI90" s="45">
        <v>0</v>
      </c>
      <c r="EJ90" s="43">
        <f t="shared" si="78"/>
        <v>5000</v>
      </c>
      <c r="EK90" s="65"/>
    </row>
    <row r="91" spans="1:141" x14ac:dyDescent="0.3">
      <c r="A91" s="7" t="str">
        <f t="shared" si="79"/>
        <v>Execução 87</v>
      </c>
      <c r="B91" s="42"/>
      <c r="C91" s="43" t="str">
        <f>IF(IFERROR(INDEX(Consulta!$A:$DF,MATCH('MM01'!$B91,Consulta!$C:$C,0),'MM01'!C$2),"")=0,"",IFERROR(INDEX(Consulta!$A:$DF,MATCH('MM01'!$B91,Consulta!$C:$C,0),'MM01'!C$2),""))</f>
        <v/>
      </c>
      <c r="D91" s="43" t="str">
        <f>IF(IFERROR(INDEX(Consulta!$A:$DF,MATCH('MM01'!$B91,Consulta!$C:$C,0),'MM01'!D$2),"")=0,"",IFERROR(INDEX(Consulta!$A:$DF,MATCH('MM01'!$B91,Consulta!$C:$C,0),'MM01'!D$2),""))</f>
        <v/>
      </c>
      <c r="E91" s="43" t="str">
        <f>IF(IFERROR(INDEX(Consulta!$A:$DF,MATCH('MM01'!$B91,Consulta!$C:$C,0),'MM01'!E$2),"")=0,"",IFERROR(INDEX(Consulta!$A:$DF,MATCH('MM01'!$B91,Consulta!$C:$C,0),'MM01'!E$2),""))</f>
        <v/>
      </c>
      <c r="F91" s="44" t="s">
        <v>100</v>
      </c>
      <c r="G91" s="49" t="str">
        <f>IF(IFERROR(INDEX(Consulta!$A:$DF,MATCH('MM01'!$B91,Consulta!$C:$C,0),'MM01'!G$2),"")=0,"",IFERROR(INDEX(Consulta!$A:$DF,MATCH('MM01'!$B91,Consulta!$C:$C,0),'MM01'!G$2),""))</f>
        <v/>
      </c>
      <c r="H91" s="49" t="str">
        <f>IF(IFERROR(INDEX(Consulta!$A:$DF,MATCH('MM01'!$B91,Consulta!$C:$C,0),'MM01'!H$2),"")=0,"",IFERROR(INDEX(Consulta!$A:$DF,MATCH('MM01'!$B91,Consulta!$C:$C,0),'MM01'!H$2),""))</f>
        <v/>
      </c>
      <c r="I91" s="49" t="str">
        <f t="shared" si="40"/>
        <v/>
      </c>
      <c r="J91" s="49" t="str">
        <f>IF(IFERROR(INDEX(Consulta!$A:$DF,MATCH('MM01'!$B91,Consulta!$C:$C,0),'MM01'!J$2),"")=0,"",IFERROR(INDEX(Consulta!$A:$DF,MATCH('MM01'!$B91,Consulta!$C:$C,0),'MM01'!J$2),""))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IF(IFERROR(INDEX(Consulta!$A:$DF,MATCH('MM01'!$B91,Consulta!$C:$C,0),'MM01'!AP$2),"")=0,"",IFERROR(INDEX(Consulta!$A:$DF,MATCH('MM01'!$B91,Consulta!$C:$C,0),'MM01'!AP$2),""))</f>
        <v/>
      </c>
      <c r="AQ91" s="45"/>
      <c r="AR91" s="43" t="str">
        <f>IF(IFERROR(INDEX(Consulta!$A:$DF,MATCH('MM01'!$B91,Consulta!$C:$C,0),'MM01'!AR$2),"")=0,"",IFERROR(INDEX(Consulta!$A:$DF,MATCH('MM01'!$B91,Consulta!$C:$C,0),'MM01'!AR$2),""))</f>
        <v/>
      </c>
      <c r="AS91" s="43" t="str">
        <f>IF(IFERROR(INDEX(Consulta!$A:$DF,MATCH('MM01'!$B91,Consulta!$C:$C,0),'MM01'!AS$2),"")=0,"",IF(AR91="68",5102,IFERROR(INDEX(Consulta!$A:$DF,MATCH('MM01'!$B91,Consulta!$C:$C,0),'MM01'!AS$2),"")))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IF(IFERROR(INDEX(Consulta!$A:$DF,MATCH('MM01'!$B91,Consulta!$C:$C,0),'MM01'!AW$2),"")=0,"",IFERROR(ROUND(INDEX(Consulta!$A:$DF,MATCH('MM01'!$B91,Consulta!$C:$C,0),'MM01'!AW$2),3),""))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IF(IFERROR(INDEX(Consulta!$A:$DF,MATCH('MM01'!$B91,Consulta!$C:$C,0),'MM01'!BA$2),"")=0,"",IFERROR(INDEX(Consulta!$A:$DF,MATCH('MM01'!$B91,Consulta!$C:$C,0),'MM01'!BA$2),""))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IF(IFERROR(INDEX(Consulta!$A:$DF,MATCH('MM01'!$B91,Consulta!$C:$C,0),'MM01'!BL$2),"")=0,"",IFERROR(INDEX(Consulta!$A:$DF,MATCH('MM01'!$B91,Consulta!$C:$C,0),'MM01'!BL$2),""))</f>
        <v/>
      </c>
      <c r="BM91" s="45"/>
      <c r="BN91" s="46" t="str">
        <f t="shared" ca="1" si="52"/>
        <v/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IF(IFERROR(INDEX(Consulta!$A:$DF,MATCH('MM01'!$B91,Consulta!$C:$C,0),'MM01'!BX$2),"")=0,"",IFERROR(INDEX(Consulta!$A:$DF,MATCH('MM01'!$B91,Consulta!$C:$C,0),'MM01'!BX$2),""))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IF(IFERROR(INDEX(Consulta!$A:$DF,MATCH('MM01'!$B91,Consulta!$C:$C,0),'MM01'!CT$2),"")=0,"",IFERROR(INDEX(Consulta!$A:$DF,MATCH('MM01'!$B91,Consulta!$C:$C,0),'MM01'!CT$2),""))</f>
        <v/>
      </c>
      <c r="CU91" s="43" t="str">
        <f>IF(IFERROR(INDEX(Consulta!$A:$DF,MATCH('MM01'!$B91,Consulta!$C:$C,0),'MM01'!CU$2),"")=0,"",IFERROR(INDEX(Consulta!$A:$DF,MATCH('MM01'!$B91,Consulta!$C:$C,0),'MM01'!CU$2),""))</f>
        <v/>
      </c>
      <c r="CV91" s="43" t="str">
        <f>IF(IFERROR(INDEX(Consulta!$A:$DF,MATCH('MM01'!$B91,Consulta!$C:$C,0),'MM01'!CV$2),"")=0,"",IFERROR(INDEX(Consulta!$A:$DF,MATCH('MM01'!$B91,Consulta!$C:$C,0),'MM01'!CV$2),""))</f>
        <v/>
      </c>
      <c r="CW91" s="43" t="str">
        <f>IF(IFERROR(INDEX(Consulta!$A:$DF,MATCH('MM01'!$B91,Consulta!$C:$C,0),'MM01'!CW$2),"")=0,"",IFERROR(INDEX(Consulta!$A:$DF,MATCH('MM01'!$B91,Consulta!$C:$C,0),'MM01'!CW$2),""))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IF(IFERROR(INDEX(Consulta!$A:$DF,MATCH('MM01'!$B91,Consulta!$C:$C,0),'MM01'!DA$2),"")=0,"",IFERROR(INDEX(Consulta!$A:$DF,MATCH('MM01'!$B91,Consulta!$C:$C,0),'MM01'!DA$2),""))</f>
        <v/>
      </c>
      <c r="DB91" s="43" t="str">
        <f t="shared" si="61"/>
        <v/>
      </c>
      <c r="DC91" s="43" t="str">
        <f>IF(IFERROR(INDEX(Consulta!$A:$DF,MATCH('MM01'!$B91,Consulta!$C:$C,0),'MM01'!DC$2),"")=0,"",IFERROR(INDEX(Consulta!$A:$DF,MATCH('MM01'!$B91,Consulta!$C:$C,0),'MM01'!DC$2),""))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5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5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5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5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IF(IFERROR(INDEX(Consulta!$A:$DF,MATCH('MM01'!$B91,Consulta!$C:$C,0),'MM01'!EB$2),"")=0,"7925",IF(IFERROR(INDEX(Consulta!$A:$DF,MATCH('MM01'!$B91,Consulta!$C:$C,0),'MM01'!EB$2),"")="68","7910","7925"))</f>
        <v>7925</v>
      </c>
      <c r="EC91" s="44">
        <v>100</v>
      </c>
      <c r="ED91" s="60">
        <v>1</v>
      </c>
      <c r="EE91" s="43">
        <f t="shared" si="77"/>
        <v>100</v>
      </c>
      <c r="EF91" s="44">
        <v>1</v>
      </c>
      <c r="EG91" s="44">
        <v>0</v>
      </c>
      <c r="EH91" s="44" t="s">
        <v>867</v>
      </c>
      <c r="EI91" s="45">
        <v>0</v>
      </c>
      <c r="EJ91" s="43">
        <f t="shared" si="78"/>
        <v>5000</v>
      </c>
      <c r="EK91" s="65"/>
    </row>
    <row r="92" spans="1:141" x14ac:dyDescent="0.3">
      <c r="A92" s="7" t="str">
        <f t="shared" si="79"/>
        <v>Execução 88</v>
      </c>
      <c r="B92" s="42"/>
      <c r="C92" s="43" t="str">
        <f>IF(IFERROR(INDEX(Consulta!$A:$DF,MATCH('MM01'!$B92,Consulta!$C:$C,0),'MM01'!C$2),"")=0,"",IFERROR(INDEX(Consulta!$A:$DF,MATCH('MM01'!$B92,Consulta!$C:$C,0),'MM01'!C$2),""))</f>
        <v/>
      </c>
      <c r="D92" s="43" t="str">
        <f>IF(IFERROR(INDEX(Consulta!$A:$DF,MATCH('MM01'!$B92,Consulta!$C:$C,0),'MM01'!D$2),"")=0,"",IFERROR(INDEX(Consulta!$A:$DF,MATCH('MM01'!$B92,Consulta!$C:$C,0),'MM01'!D$2),""))</f>
        <v/>
      </c>
      <c r="E92" s="43" t="str">
        <f>IF(IFERROR(INDEX(Consulta!$A:$DF,MATCH('MM01'!$B92,Consulta!$C:$C,0),'MM01'!E$2),"")=0,"",IFERROR(INDEX(Consulta!$A:$DF,MATCH('MM01'!$B92,Consulta!$C:$C,0),'MM01'!E$2),""))</f>
        <v/>
      </c>
      <c r="F92" s="44" t="s">
        <v>100</v>
      </c>
      <c r="G92" s="49" t="str">
        <f>IF(IFERROR(INDEX(Consulta!$A:$DF,MATCH('MM01'!$B92,Consulta!$C:$C,0),'MM01'!G$2),"")=0,"",IFERROR(INDEX(Consulta!$A:$DF,MATCH('MM01'!$B92,Consulta!$C:$C,0),'MM01'!G$2),""))</f>
        <v/>
      </c>
      <c r="H92" s="49" t="str">
        <f>IF(IFERROR(INDEX(Consulta!$A:$DF,MATCH('MM01'!$B92,Consulta!$C:$C,0),'MM01'!H$2),"")=0,"",IFERROR(INDEX(Consulta!$A:$DF,MATCH('MM01'!$B92,Consulta!$C:$C,0),'MM01'!H$2),""))</f>
        <v/>
      </c>
      <c r="I92" s="49" t="str">
        <f t="shared" si="40"/>
        <v/>
      </c>
      <c r="J92" s="49" t="str">
        <f>IF(IFERROR(INDEX(Consulta!$A:$DF,MATCH('MM01'!$B92,Consulta!$C:$C,0),'MM01'!J$2),"")=0,"",IFERROR(INDEX(Consulta!$A:$DF,MATCH('MM01'!$B92,Consulta!$C:$C,0),'MM01'!J$2),""))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IF(IFERROR(INDEX(Consulta!$A:$DF,MATCH('MM01'!$B92,Consulta!$C:$C,0),'MM01'!AP$2),"")=0,"",IFERROR(INDEX(Consulta!$A:$DF,MATCH('MM01'!$B92,Consulta!$C:$C,0),'MM01'!AP$2),""))</f>
        <v/>
      </c>
      <c r="AQ92" s="45"/>
      <c r="AR92" s="43" t="str">
        <f>IF(IFERROR(INDEX(Consulta!$A:$DF,MATCH('MM01'!$B92,Consulta!$C:$C,0),'MM01'!AR$2),"")=0,"",IFERROR(INDEX(Consulta!$A:$DF,MATCH('MM01'!$B92,Consulta!$C:$C,0),'MM01'!AR$2),""))</f>
        <v/>
      </c>
      <c r="AS92" s="43" t="str">
        <f>IF(IFERROR(INDEX(Consulta!$A:$DF,MATCH('MM01'!$B92,Consulta!$C:$C,0),'MM01'!AS$2),"")=0,"",IF(AR92="68",5102,IFERROR(INDEX(Consulta!$A:$DF,MATCH('MM01'!$B92,Consulta!$C:$C,0),'MM01'!AS$2),"")))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IF(IFERROR(INDEX(Consulta!$A:$DF,MATCH('MM01'!$B92,Consulta!$C:$C,0),'MM01'!AW$2),"")=0,"",IFERROR(ROUND(INDEX(Consulta!$A:$DF,MATCH('MM01'!$B92,Consulta!$C:$C,0),'MM01'!AW$2),3),""))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IF(IFERROR(INDEX(Consulta!$A:$DF,MATCH('MM01'!$B92,Consulta!$C:$C,0),'MM01'!BA$2),"")=0,"",IFERROR(INDEX(Consulta!$A:$DF,MATCH('MM01'!$B92,Consulta!$C:$C,0),'MM01'!BA$2),""))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IF(IFERROR(INDEX(Consulta!$A:$DF,MATCH('MM01'!$B92,Consulta!$C:$C,0),'MM01'!BL$2),"")=0,"",IFERROR(INDEX(Consulta!$A:$DF,MATCH('MM01'!$B92,Consulta!$C:$C,0),'MM01'!BL$2),""))</f>
        <v/>
      </c>
      <c r="BM92" s="45"/>
      <c r="BN92" s="46" t="str">
        <f t="shared" ca="1" si="52"/>
        <v/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IF(IFERROR(INDEX(Consulta!$A:$DF,MATCH('MM01'!$B92,Consulta!$C:$C,0),'MM01'!BX$2),"")=0,"",IFERROR(INDEX(Consulta!$A:$DF,MATCH('MM01'!$B92,Consulta!$C:$C,0),'MM01'!BX$2),""))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IF(IFERROR(INDEX(Consulta!$A:$DF,MATCH('MM01'!$B92,Consulta!$C:$C,0),'MM01'!CT$2),"")=0,"",IFERROR(INDEX(Consulta!$A:$DF,MATCH('MM01'!$B92,Consulta!$C:$C,0),'MM01'!CT$2),""))</f>
        <v/>
      </c>
      <c r="CU92" s="43" t="str">
        <f>IF(IFERROR(INDEX(Consulta!$A:$DF,MATCH('MM01'!$B92,Consulta!$C:$C,0),'MM01'!CU$2),"")=0,"",IFERROR(INDEX(Consulta!$A:$DF,MATCH('MM01'!$B92,Consulta!$C:$C,0),'MM01'!CU$2),""))</f>
        <v/>
      </c>
      <c r="CV92" s="43" t="str">
        <f>IF(IFERROR(INDEX(Consulta!$A:$DF,MATCH('MM01'!$B92,Consulta!$C:$C,0),'MM01'!CV$2),"")=0,"",IFERROR(INDEX(Consulta!$A:$DF,MATCH('MM01'!$B92,Consulta!$C:$C,0),'MM01'!CV$2),""))</f>
        <v/>
      </c>
      <c r="CW92" s="43" t="str">
        <f>IF(IFERROR(INDEX(Consulta!$A:$DF,MATCH('MM01'!$B92,Consulta!$C:$C,0),'MM01'!CW$2),"")=0,"",IFERROR(INDEX(Consulta!$A:$DF,MATCH('MM01'!$B92,Consulta!$C:$C,0),'MM01'!CW$2),""))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IF(IFERROR(INDEX(Consulta!$A:$DF,MATCH('MM01'!$B92,Consulta!$C:$C,0),'MM01'!DA$2),"")=0,"",IFERROR(INDEX(Consulta!$A:$DF,MATCH('MM01'!$B92,Consulta!$C:$C,0),'MM01'!DA$2),""))</f>
        <v/>
      </c>
      <c r="DB92" s="43" t="str">
        <f t="shared" si="61"/>
        <v/>
      </c>
      <c r="DC92" s="43" t="str">
        <f>IF(IFERROR(INDEX(Consulta!$A:$DF,MATCH('MM01'!$B92,Consulta!$C:$C,0),'MM01'!DC$2),"")=0,"",IFERROR(INDEX(Consulta!$A:$DF,MATCH('MM01'!$B92,Consulta!$C:$C,0),'MM01'!DC$2),""))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5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5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5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5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IF(IFERROR(INDEX(Consulta!$A:$DF,MATCH('MM01'!$B92,Consulta!$C:$C,0),'MM01'!EB$2),"")=0,"7925",IF(IFERROR(INDEX(Consulta!$A:$DF,MATCH('MM01'!$B92,Consulta!$C:$C,0),'MM01'!EB$2),"")="68","7910","7925"))</f>
        <v>7925</v>
      </c>
      <c r="EC92" s="44">
        <v>100</v>
      </c>
      <c r="ED92" s="60">
        <v>1</v>
      </c>
      <c r="EE92" s="43">
        <f t="shared" si="77"/>
        <v>100</v>
      </c>
      <c r="EF92" s="44">
        <v>1</v>
      </c>
      <c r="EG92" s="44">
        <v>0</v>
      </c>
      <c r="EH92" s="44" t="s">
        <v>867</v>
      </c>
      <c r="EI92" s="45">
        <v>0</v>
      </c>
      <c r="EJ92" s="43">
        <f t="shared" si="78"/>
        <v>5000</v>
      </c>
      <c r="EK92" s="65"/>
    </row>
    <row r="93" spans="1:141" x14ac:dyDescent="0.3">
      <c r="A93" s="7" t="str">
        <f t="shared" si="79"/>
        <v>Execução 89</v>
      </c>
      <c r="B93" s="42"/>
      <c r="C93" s="43" t="str">
        <f>IF(IFERROR(INDEX(Consulta!$A:$DF,MATCH('MM01'!$B93,Consulta!$C:$C,0),'MM01'!C$2),"")=0,"",IFERROR(INDEX(Consulta!$A:$DF,MATCH('MM01'!$B93,Consulta!$C:$C,0),'MM01'!C$2),""))</f>
        <v/>
      </c>
      <c r="D93" s="43" t="str">
        <f>IF(IFERROR(INDEX(Consulta!$A:$DF,MATCH('MM01'!$B93,Consulta!$C:$C,0),'MM01'!D$2),"")=0,"",IFERROR(INDEX(Consulta!$A:$DF,MATCH('MM01'!$B93,Consulta!$C:$C,0),'MM01'!D$2),""))</f>
        <v/>
      </c>
      <c r="E93" s="43" t="str">
        <f>IF(IFERROR(INDEX(Consulta!$A:$DF,MATCH('MM01'!$B93,Consulta!$C:$C,0),'MM01'!E$2),"")=0,"",IFERROR(INDEX(Consulta!$A:$DF,MATCH('MM01'!$B93,Consulta!$C:$C,0),'MM01'!E$2),""))</f>
        <v/>
      </c>
      <c r="F93" s="44" t="s">
        <v>100</v>
      </c>
      <c r="G93" s="49" t="str">
        <f>IF(IFERROR(INDEX(Consulta!$A:$DF,MATCH('MM01'!$B93,Consulta!$C:$C,0),'MM01'!G$2),"")=0,"",IFERROR(INDEX(Consulta!$A:$DF,MATCH('MM01'!$B93,Consulta!$C:$C,0),'MM01'!G$2),""))</f>
        <v/>
      </c>
      <c r="H93" s="49" t="str">
        <f>IF(IFERROR(INDEX(Consulta!$A:$DF,MATCH('MM01'!$B93,Consulta!$C:$C,0),'MM01'!H$2),"")=0,"",IFERROR(INDEX(Consulta!$A:$DF,MATCH('MM01'!$B93,Consulta!$C:$C,0),'MM01'!H$2),""))</f>
        <v/>
      </c>
      <c r="I93" s="49" t="str">
        <f t="shared" si="40"/>
        <v/>
      </c>
      <c r="J93" s="49" t="str">
        <f>IF(IFERROR(INDEX(Consulta!$A:$DF,MATCH('MM01'!$B93,Consulta!$C:$C,0),'MM01'!J$2),"")=0,"",IFERROR(INDEX(Consulta!$A:$DF,MATCH('MM01'!$B93,Consulta!$C:$C,0),'MM01'!J$2),""))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IF(IFERROR(INDEX(Consulta!$A:$DF,MATCH('MM01'!$B93,Consulta!$C:$C,0),'MM01'!AP$2),"")=0,"",IFERROR(INDEX(Consulta!$A:$DF,MATCH('MM01'!$B93,Consulta!$C:$C,0),'MM01'!AP$2),""))</f>
        <v/>
      </c>
      <c r="AQ93" s="45"/>
      <c r="AR93" s="43" t="str">
        <f>IF(IFERROR(INDEX(Consulta!$A:$DF,MATCH('MM01'!$B93,Consulta!$C:$C,0),'MM01'!AR$2),"")=0,"",IFERROR(INDEX(Consulta!$A:$DF,MATCH('MM01'!$B93,Consulta!$C:$C,0),'MM01'!AR$2),""))</f>
        <v/>
      </c>
      <c r="AS93" s="43" t="str">
        <f>IF(IFERROR(INDEX(Consulta!$A:$DF,MATCH('MM01'!$B93,Consulta!$C:$C,0),'MM01'!AS$2),"")=0,"",IF(AR93="68",5102,IFERROR(INDEX(Consulta!$A:$DF,MATCH('MM01'!$B93,Consulta!$C:$C,0),'MM01'!AS$2),"")))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IF(IFERROR(INDEX(Consulta!$A:$DF,MATCH('MM01'!$B93,Consulta!$C:$C,0),'MM01'!AW$2),"")=0,"",IFERROR(ROUND(INDEX(Consulta!$A:$DF,MATCH('MM01'!$B93,Consulta!$C:$C,0),'MM01'!AW$2),3),""))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IF(IFERROR(INDEX(Consulta!$A:$DF,MATCH('MM01'!$B93,Consulta!$C:$C,0),'MM01'!BA$2),"")=0,"",IFERROR(INDEX(Consulta!$A:$DF,MATCH('MM01'!$B93,Consulta!$C:$C,0),'MM01'!BA$2),""))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IF(IFERROR(INDEX(Consulta!$A:$DF,MATCH('MM01'!$B93,Consulta!$C:$C,0),'MM01'!BL$2),"")=0,"",IFERROR(INDEX(Consulta!$A:$DF,MATCH('MM01'!$B93,Consulta!$C:$C,0),'MM01'!BL$2),""))</f>
        <v/>
      </c>
      <c r="BM93" s="45"/>
      <c r="BN93" s="46" t="str">
        <f t="shared" ca="1" si="52"/>
        <v/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IF(IFERROR(INDEX(Consulta!$A:$DF,MATCH('MM01'!$B93,Consulta!$C:$C,0),'MM01'!BX$2),"")=0,"",IFERROR(INDEX(Consulta!$A:$DF,MATCH('MM01'!$B93,Consulta!$C:$C,0),'MM01'!BX$2),""))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IF(IFERROR(INDEX(Consulta!$A:$DF,MATCH('MM01'!$B93,Consulta!$C:$C,0),'MM01'!CT$2),"")=0,"",IFERROR(INDEX(Consulta!$A:$DF,MATCH('MM01'!$B93,Consulta!$C:$C,0),'MM01'!CT$2),""))</f>
        <v/>
      </c>
      <c r="CU93" s="43" t="str">
        <f>IF(IFERROR(INDEX(Consulta!$A:$DF,MATCH('MM01'!$B93,Consulta!$C:$C,0),'MM01'!CU$2),"")=0,"",IFERROR(INDEX(Consulta!$A:$DF,MATCH('MM01'!$B93,Consulta!$C:$C,0),'MM01'!CU$2),""))</f>
        <v/>
      </c>
      <c r="CV93" s="43" t="str">
        <f>IF(IFERROR(INDEX(Consulta!$A:$DF,MATCH('MM01'!$B93,Consulta!$C:$C,0),'MM01'!CV$2),"")=0,"",IFERROR(INDEX(Consulta!$A:$DF,MATCH('MM01'!$B93,Consulta!$C:$C,0),'MM01'!CV$2),""))</f>
        <v/>
      </c>
      <c r="CW93" s="43" t="str">
        <f>IF(IFERROR(INDEX(Consulta!$A:$DF,MATCH('MM01'!$B93,Consulta!$C:$C,0),'MM01'!CW$2),"")=0,"",IFERROR(INDEX(Consulta!$A:$DF,MATCH('MM01'!$B93,Consulta!$C:$C,0),'MM01'!CW$2),""))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IF(IFERROR(INDEX(Consulta!$A:$DF,MATCH('MM01'!$B93,Consulta!$C:$C,0),'MM01'!DA$2),"")=0,"",IFERROR(INDEX(Consulta!$A:$DF,MATCH('MM01'!$B93,Consulta!$C:$C,0),'MM01'!DA$2),""))</f>
        <v/>
      </c>
      <c r="DB93" s="43" t="str">
        <f t="shared" si="61"/>
        <v/>
      </c>
      <c r="DC93" s="43" t="str">
        <f>IF(IFERROR(INDEX(Consulta!$A:$DF,MATCH('MM01'!$B93,Consulta!$C:$C,0),'MM01'!DC$2),"")=0,"",IFERROR(INDEX(Consulta!$A:$DF,MATCH('MM01'!$B93,Consulta!$C:$C,0),'MM01'!DC$2),""))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5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5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5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5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IF(IFERROR(INDEX(Consulta!$A:$DF,MATCH('MM01'!$B93,Consulta!$C:$C,0),'MM01'!EB$2),"")=0,"7925",IF(IFERROR(INDEX(Consulta!$A:$DF,MATCH('MM01'!$B93,Consulta!$C:$C,0),'MM01'!EB$2),"")="68","7910","7925"))</f>
        <v>7925</v>
      </c>
      <c r="EC93" s="44">
        <v>100</v>
      </c>
      <c r="ED93" s="60">
        <v>1</v>
      </c>
      <c r="EE93" s="43">
        <f t="shared" si="77"/>
        <v>100</v>
      </c>
      <c r="EF93" s="44">
        <v>1</v>
      </c>
      <c r="EG93" s="44">
        <v>0</v>
      </c>
      <c r="EH93" s="44" t="s">
        <v>867</v>
      </c>
      <c r="EI93" s="45">
        <v>0</v>
      </c>
      <c r="EJ93" s="43">
        <f t="shared" si="78"/>
        <v>5000</v>
      </c>
      <c r="EK93" s="65"/>
    </row>
    <row r="94" spans="1:141" x14ac:dyDescent="0.3">
      <c r="A94" s="7" t="str">
        <f t="shared" si="79"/>
        <v>Execução 90</v>
      </c>
      <c r="B94" s="42"/>
      <c r="C94" s="43" t="str">
        <f>IF(IFERROR(INDEX(Consulta!$A:$DF,MATCH('MM01'!$B94,Consulta!$C:$C,0),'MM01'!C$2),"")=0,"",IFERROR(INDEX(Consulta!$A:$DF,MATCH('MM01'!$B94,Consulta!$C:$C,0),'MM01'!C$2),""))</f>
        <v/>
      </c>
      <c r="D94" s="43" t="str">
        <f>IF(IFERROR(INDEX(Consulta!$A:$DF,MATCH('MM01'!$B94,Consulta!$C:$C,0),'MM01'!D$2),"")=0,"",IFERROR(INDEX(Consulta!$A:$DF,MATCH('MM01'!$B94,Consulta!$C:$C,0),'MM01'!D$2),""))</f>
        <v/>
      </c>
      <c r="E94" s="43" t="str">
        <f>IF(IFERROR(INDEX(Consulta!$A:$DF,MATCH('MM01'!$B94,Consulta!$C:$C,0),'MM01'!E$2),"")=0,"",IFERROR(INDEX(Consulta!$A:$DF,MATCH('MM01'!$B94,Consulta!$C:$C,0),'MM01'!E$2),""))</f>
        <v/>
      </c>
      <c r="F94" s="44" t="s">
        <v>100</v>
      </c>
      <c r="G94" s="49" t="str">
        <f>IF(IFERROR(INDEX(Consulta!$A:$DF,MATCH('MM01'!$B94,Consulta!$C:$C,0),'MM01'!G$2),"")=0,"",IFERROR(INDEX(Consulta!$A:$DF,MATCH('MM01'!$B94,Consulta!$C:$C,0),'MM01'!G$2),""))</f>
        <v/>
      </c>
      <c r="H94" s="49" t="str">
        <f>IF(IFERROR(INDEX(Consulta!$A:$DF,MATCH('MM01'!$B94,Consulta!$C:$C,0),'MM01'!H$2),"")=0,"",IFERROR(INDEX(Consulta!$A:$DF,MATCH('MM01'!$B94,Consulta!$C:$C,0),'MM01'!H$2),""))</f>
        <v/>
      </c>
      <c r="I94" s="49" t="str">
        <f t="shared" si="40"/>
        <v/>
      </c>
      <c r="J94" s="49" t="str">
        <f>IF(IFERROR(INDEX(Consulta!$A:$DF,MATCH('MM01'!$B94,Consulta!$C:$C,0),'MM01'!J$2),"")=0,"",IFERROR(INDEX(Consulta!$A:$DF,MATCH('MM01'!$B94,Consulta!$C:$C,0),'MM01'!J$2),""))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IF(IFERROR(INDEX(Consulta!$A:$DF,MATCH('MM01'!$B94,Consulta!$C:$C,0),'MM01'!AP$2),"")=0,"",IFERROR(INDEX(Consulta!$A:$DF,MATCH('MM01'!$B94,Consulta!$C:$C,0),'MM01'!AP$2),""))</f>
        <v/>
      </c>
      <c r="AQ94" s="45"/>
      <c r="AR94" s="43" t="str">
        <f>IF(IFERROR(INDEX(Consulta!$A:$DF,MATCH('MM01'!$B94,Consulta!$C:$C,0),'MM01'!AR$2),"")=0,"",IFERROR(INDEX(Consulta!$A:$DF,MATCH('MM01'!$B94,Consulta!$C:$C,0),'MM01'!AR$2),""))</f>
        <v/>
      </c>
      <c r="AS94" s="43" t="str">
        <f>IF(IFERROR(INDEX(Consulta!$A:$DF,MATCH('MM01'!$B94,Consulta!$C:$C,0),'MM01'!AS$2),"")=0,"",IF(AR94="68",5102,IFERROR(INDEX(Consulta!$A:$DF,MATCH('MM01'!$B94,Consulta!$C:$C,0),'MM01'!AS$2),"")))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IF(IFERROR(INDEX(Consulta!$A:$DF,MATCH('MM01'!$B94,Consulta!$C:$C,0),'MM01'!AW$2),"")=0,"",IFERROR(ROUND(INDEX(Consulta!$A:$DF,MATCH('MM01'!$B94,Consulta!$C:$C,0),'MM01'!AW$2),3),""))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IF(IFERROR(INDEX(Consulta!$A:$DF,MATCH('MM01'!$B94,Consulta!$C:$C,0),'MM01'!BA$2),"")=0,"",IFERROR(INDEX(Consulta!$A:$DF,MATCH('MM01'!$B94,Consulta!$C:$C,0),'MM01'!BA$2),""))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IF(IFERROR(INDEX(Consulta!$A:$DF,MATCH('MM01'!$B94,Consulta!$C:$C,0),'MM01'!BL$2),"")=0,"",IFERROR(INDEX(Consulta!$A:$DF,MATCH('MM01'!$B94,Consulta!$C:$C,0),'MM01'!BL$2),""))</f>
        <v/>
      </c>
      <c r="BM94" s="45"/>
      <c r="BN94" s="46" t="str">
        <f t="shared" ca="1" si="52"/>
        <v/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IF(IFERROR(INDEX(Consulta!$A:$DF,MATCH('MM01'!$B94,Consulta!$C:$C,0),'MM01'!BX$2),"")=0,"",IFERROR(INDEX(Consulta!$A:$DF,MATCH('MM01'!$B94,Consulta!$C:$C,0),'MM01'!BX$2),""))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IF(IFERROR(INDEX(Consulta!$A:$DF,MATCH('MM01'!$B94,Consulta!$C:$C,0),'MM01'!CT$2),"")=0,"",IFERROR(INDEX(Consulta!$A:$DF,MATCH('MM01'!$B94,Consulta!$C:$C,0),'MM01'!CT$2),""))</f>
        <v/>
      </c>
      <c r="CU94" s="43" t="str">
        <f>IF(IFERROR(INDEX(Consulta!$A:$DF,MATCH('MM01'!$B94,Consulta!$C:$C,0),'MM01'!CU$2),"")=0,"",IFERROR(INDEX(Consulta!$A:$DF,MATCH('MM01'!$B94,Consulta!$C:$C,0),'MM01'!CU$2),""))</f>
        <v/>
      </c>
      <c r="CV94" s="43" t="str">
        <f>IF(IFERROR(INDEX(Consulta!$A:$DF,MATCH('MM01'!$B94,Consulta!$C:$C,0),'MM01'!CV$2),"")=0,"",IFERROR(INDEX(Consulta!$A:$DF,MATCH('MM01'!$B94,Consulta!$C:$C,0),'MM01'!CV$2),""))</f>
        <v/>
      </c>
      <c r="CW94" s="43" t="str">
        <f>IF(IFERROR(INDEX(Consulta!$A:$DF,MATCH('MM01'!$B94,Consulta!$C:$C,0),'MM01'!CW$2),"")=0,"",IFERROR(INDEX(Consulta!$A:$DF,MATCH('MM01'!$B94,Consulta!$C:$C,0),'MM01'!CW$2),""))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IF(IFERROR(INDEX(Consulta!$A:$DF,MATCH('MM01'!$B94,Consulta!$C:$C,0),'MM01'!DA$2),"")=0,"",IFERROR(INDEX(Consulta!$A:$DF,MATCH('MM01'!$B94,Consulta!$C:$C,0),'MM01'!DA$2),""))</f>
        <v/>
      </c>
      <c r="DB94" s="43" t="str">
        <f t="shared" si="61"/>
        <v/>
      </c>
      <c r="DC94" s="43" t="str">
        <f>IF(IFERROR(INDEX(Consulta!$A:$DF,MATCH('MM01'!$B94,Consulta!$C:$C,0),'MM01'!DC$2),"")=0,"",IFERROR(INDEX(Consulta!$A:$DF,MATCH('MM01'!$B94,Consulta!$C:$C,0),'MM01'!DC$2),""))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5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5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5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5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IF(IFERROR(INDEX(Consulta!$A:$DF,MATCH('MM01'!$B94,Consulta!$C:$C,0),'MM01'!EB$2),"")=0,"7925",IF(IFERROR(INDEX(Consulta!$A:$DF,MATCH('MM01'!$B94,Consulta!$C:$C,0),'MM01'!EB$2),"")="68","7910","7925"))</f>
        <v>7925</v>
      </c>
      <c r="EC94" s="44">
        <v>100</v>
      </c>
      <c r="ED94" s="60">
        <v>1</v>
      </c>
      <c r="EE94" s="43">
        <f t="shared" si="77"/>
        <v>100</v>
      </c>
      <c r="EF94" s="44">
        <v>1</v>
      </c>
      <c r="EG94" s="44">
        <v>0</v>
      </c>
      <c r="EH94" s="44" t="s">
        <v>867</v>
      </c>
      <c r="EI94" s="45">
        <v>0</v>
      </c>
      <c r="EJ94" s="43">
        <f t="shared" si="78"/>
        <v>5000</v>
      </c>
      <c r="EK94" s="65"/>
    </row>
    <row r="95" spans="1:141" x14ac:dyDescent="0.3">
      <c r="A95" s="7" t="str">
        <f t="shared" si="79"/>
        <v>Execução 91</v>
      </c>
      <c r="B95" s="42"/>
      <c r="C95" s="43" t="str">
        <f>IF(IFERROR(INDEX(Consulta!$A:$DF,MATCH('MM01'!$B95,Consulta!$C:$C,0),'MM01'!C$2),"")=0,"",IFERROR(INDEX(Consulta!$A:$DF,MATCH('MM01'!$B95,Consulta!$C:$C,0),'MM01'!C$2),""))</f>
        <v/>
      </c>
      <c r="D95" s="43" t="str">
        <f>IF(IFERROR(INDEX(Consulta!$A:$DF,MATCH('MM01'!$B95,Consulta!$C:$C,0),'MM01'!D$2),"")=0,"",IFERROR(INDEX(Consulta!$A:$DF,MATCH('MM01'!$B95,Consulta!$C:$C,0),'MM01'!D$2),""))</f>
        <v/>
      </c>
      <c r="E95" s="43" t="str">
        <f>IF(IFERROR(INDEX(Consulta!$A:$DF,MATCH('MM01'!$B95,Consulta!$C:$C,0),'MM01'!E$2),"")=0,"",IFERROR(INDEX(Consulta!$A:$DF,MATCH('MM01'!$B95,Consulta!$C:$C,0),'MM01'!E$2),""))</f>
        <v/>
      </c>
      <c r="F95" s="44" t="s">
        <v>100</v>
      </c>
      <c r="G95" s="49" t="str">
        <f>IF(IFERROR(INDEX(Consulta!$A:$DF,MATCH('MM01'!$B95,Consulta!$C:$C,0),'MM01'!G$2),"")=0,"",IFERROR(INDEX(Consulta!$A:$DF,MATCH('MM01'!$B95,Consulta!$C:$C,0),'MM01'!G$2),""))</f>
        <v/>
      </c>
      <c r="H95" s="49" t="str">
        <f>IF(IFERROR(INDEX(Consulta!$A:$DF,MATCH('MM01'!$B95,Consulta!$C:$C,0),'MM01'!H$2),"")=0,"",IFERROR(INDEX(Consulta!$A:$DF,MATCH('MM01'!$B95,Consulta!$C:$C,0),'MM01'!H$2),""))</f>
        <v/>
      </c>
      <c r="I95" s="49" t="str">
        <f t="shared" si="40"/>
        <v/>
      </c>
      <c r="J95" s="49" t="str">
        <f>IF(IFERROR(INDEX(Consulta!$A:$DF,MATCH('MM01'!$B95,Consulta!$C:$C,0),'MM01'!J$2),"")=0,"",IFERROR(INDEX(Consulta!$A:$DF,MATCH('MM01'!$B95,Consulta!$C:$C,0),'MM01'!J$2),""))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IF(IFERROR(INDEX(Consulta!$A:$DF,MATCH('MM01'!$B95,Consulta!$C:$C,0),'MM01'!AP$2),"")=0,"",IFERROR(INDEX(Consulta!$A:$DF,MATCH('MM01'!$B95,Consulta!$C:$C,0),'MM01'!AP$2),""))</f>
        <v/>
      </c>
      <c r="AQ95" s="45"/>
      <c r="AR95" s="43" t="str">
        <f>IF(IFERROR(INDEX(Consulta!$A:$DF,MATCH('MM01'!$B95,Consulta!$C:$C,0),'MM01'!AR$2),"")=0,"",IFERROR(INDEX(Consulta!$A:$DF,MATCH('MM01'!$B95,Consulta!$C:$C,0),'MM01'!AR$2),""))</f>
        <v/>
      </c>
      <c r="AS95" s="43" t="str">
        <f>IF(IFERROR(INDEX(Consulta!$A:$DF,MATCH('MM01'!$B95,Consulta!$C:$C,0),'MM01'!AS$2),"")=0,"",IF(AR95="68",5102,IFERROR(INDEX(Consulta!$A:$DF,MATCH('MM01'!$B95,Consulta!$C:$C,0),'MM01'!AS$2),"")))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IF(IFERROR(INDEX(Consulta!$A:$DF,MATCH('MM01'!$B95,Consulta!$C:$C,0),'MM01'!AW$2),"")=0,"",IFERROR(ROUND(INDEX(Consulta!$A:$DF,MATCH('MM01'!$B95,Consulta!$C:$C,0),'MM01'!AW$2),3),""))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IF(IFERROR(INDEX(Consulta!$A:$DF,MATCH('MM01'!$B95,Consulta!$C:$C,0),'MM01'!BA$2),"")=0,"",IFERROR(INDEX(Consulta!$A:$DF,MATCH('MM01'!$B95,Consulta!$C:$C,0),'MM01'!BA$2),""))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IF(IFERROR(INDEX(Consulta!$A:$DF,MATCH('MM01'!$B95,Consulta!$C:$C,0),'MM01'!BL$2),"")=0,"",IFERROR(INDEX(Consulta!$A:$DF,MATCH('MM01'!$B95,Consulta!$C:$C,0),'MM01'!BL$2),""))</f>
        <v/>
      </c>
      <c r="BM95" s="45"/>
      <c r="BN95" s="46" t="str">
        <f t="shared" ca="1" si="52"/>
        <v/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IF(IFERROR(INDEX(Consulta!$A:$DF,MATCH('MM01'!$B95,Consulta!$C:$C,0),'MM01'!BX$2),"")=0,"",IFERROR(INDEX(Consulta!$A:$DF,MATCH('MM01'!$B95,Consulta!$C:$C,0),'MM01'!BX$2),""))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IF(IFERROR(INDEX(Consulta!$A:$DF,MATCH('MM01'!$B95,Consulta!$C:$C,0),'MM01'!CT$2),"")=0,"",IFERROR(INDEX(Consulta!$A:$DF,MATCH('MM01'!$B95,Consulta!$C:$C,0),'MM01'!CT$2),""))</f>
        <v/>
      </c>
      <c r="CU95" s="43" t="str">
        <f>IF(IFERROR(INDEX(Consulta!$A:$DF,MATCH('MM01'!$B95,Consulta!$C:$C,0),'MM01'!CU$2),"")=0,"",IFERROR(INDEX(Consulta!$A:$DF,MATCH('MM01'!$B95,Consulta!$C:$C,0),'MM01'!CU$2),""))</f>
        <v/>
      </c>
      <c r="CV95" s="43" t="str">
        <f>IF(IFERROR(INDEX(Consulta!$A:$DF,MATCH('MM01'!$B95,Consulta!$C:$C,0),'MM01'!CV$2),"")=0,"",IFERROR(INDEX(Consulta!$A:$DF,MATCH('MM01'!$B95,Consulta!$C:$C,0),'MM01'!CV$2),""))</f>
        <v/>
      </c>
      <c r="CW95" s="43" t="str">
        <f>IF(IFERROR(INDEX(Consulta!$A:$DF,MATCH('MM01'!$B95,Consulta!$C:$C,0),'MM01'!CW$2),"")=0,"",IFERROR(INDEX(Consulta!$A:$DF,MATCH('MM01'!$B95,Consulta!$C:$C,0),'MM01'!CW$2),""))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IF(IFERROR(INDEX(Consulta!$A:$DF,MATCH('MM01'!$B95,Consulta!$C:$C,0),'MM01'!DA$2),"")=0,"",IFERROR(INDEX(Consulta!$A:$DF,MATCH('MM01'!$B95,Consulta!$C:$C,0),'MM01'!DA$2),""))</f>
        <v/>
      </c>
      <c r="DB95" s="43" t="str">
        <f t="shared" si="61"/>
        <v/>
      </c>
      <c r="DC95" s="43" t="str">
        <f>IF(IFERROR(INDEX(Consulta!$A:$DF,MATCH('MM01'!$B95,Consulta!$C:$C,0),'MM01'!DC$2),"")=0,"",IFERROR(INDEX(Consulta!$A:$DF,MATCH('MM01'!$B95,Consulta!$C:$C,0),'MM01'!DC$2),""))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5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5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5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5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IF(IFERROR(INDEX(Consulta!$A:$DF,MATCH('MM01'!$B95,Consulta!$C:$C,0),'MM01'!EB$2),"")=0,"7925",IF(IFERROR(INDEX(Consulta!$A:$DF,MATCH('MM01'!$B95,Consulta!$C:$C,0),'MM01'!EB$2),"")="68","7910","7925"))</f>
        <v>7925</v>
      </c>
      <c r="EC95" s="44">
        <v>100</v>
      </c>
      <c r="ED95" s="60">
        <v>1</v>
      </c>
      <c r="EE95" s="43">
        <f t="shared" si="77"/>
        <v>100</v>
      </c>
      <c r="EF95" s="44">
        <v>1</v>
      </c>
      <c r="EG95" s="44">
        <v>0</v>
      </c>
      <c r="EH95" s="44" t="s">
        <v>867</v>
      </c>
      <c r="EI95" s="45">
        <v>0</v>
      </c>
      <c r="EJ95" s="43">
        <f t="shared" si="78"/>
        <v>5000</v>
      </c>
      <c r="EK95" s="65"/>
    </row>
    <row r="96" spans="1:141" x14ac:dyDescent="0.3">
      <c r="A96" s="7" t="str">
        <f t="shared" si="79"/>
        <v>Execução 92</v>
      </c>
      <c r="B96" s="42"/>
      <c r="C96" s="43" t="str">
        <f>IF(IFERROR(INDEX(Consulta!$A:$DF,MATCH('MM01'!$B96,Consulta!$C:$C,0),'MM01'!C$2),"")=0,"",IFERROR(INDEX(Consulta!$A:$DF,MATCH('MM01'!$B96,Consulta!$C:$C,0),'MM01'!C$2),""))</f>
        <v/>
      </c>
      <c r="D96" s="43" t="str">
        <f>IF(IFERROR(INDEX(Consulta!$A:$DF,MATCH('MM01'!$B96,Consulta!$C:$C,0),'MM01'!D$2),"")=0,"",IFERROR(INDEX(Consulta!$A:$DF,MATCH('MM01'!$B96,Consulta!$C:$C,0),'MM01'!D$2),""))</f>
        <v/>
      </c>
      <c r="E96" s="43" t="str">
        <f>IF(IFERROR(INDEX(Consulta!$A:$DF,MATCH('MM01'!$B96,Consulta!$C:$C,0),'MM01'!E$2),"")=0,"",IFERROR(INDEX(Consulta!$A:$DF,MATCH('MM01'!$B96,Consulta!$C:$C,0),'MM01'!E$2),""))</f>
        <v/>
      </c>
      <c r="F96" s="44" t="s">
        <v>100</v>
      </c>
      <c r="G96" s="49" t="str">
        <f>IF(IFERROR(INDEX(Consulta!$A:$DF,MATCH('MM01'!$B96,Consulta!$C:$C,0),'MM01'!G$2),"")=0,"",IFERROR(INDEX(Consulta!$A:$DF,MATCH('MM01'!$B96,Consulta!$C:$C,0),'MM01'!G$2),""))</f>
        <v/>
      </c>
      <c r="H96" s="49" t="str">
        <f>IF(IFERROR(INDEX(Consulta!$A:$DF,MATCH('MM01'!$B96,Consulta!$C:$C,0),'MM01'!H$2),"")=0,"",IFERROR(INDEX(Consulta!$A:$DF,MATCH('MM01'!$B96,Consulta!$C:$C,0),'MM01'!H$2),""))</f>
        <v/>
      </c>
      <c r="I96" s="49" t="str">
        <f t="shared" si="40"/>
        <v/>
      </c>
      <c r="J96" s="49" t="str">
        <f>IF(IFERROR(INDEX(Consulta!$A:$DF,MATCH('MM01'!$B96,Consulta!$C:$C,0),'MM01'!J$2),"")=0,"",IFERROR(INDEX(Consulta!$A:$DF,MATCH('MM01'!$B96,Consulta!$C:$C,0),'MM01'!J$2),""))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IF(IFERROR(INDEX(Consulta!$A:$DF,MATCH('MM01'!$B96,Consulta!$C:$C,0),'MM01'!AP$2),"")=0,"",IFERROR(INDEX(Consulta!$A:$DF,MATCH('MM01'!$B96,Consulta!$C:$C,0),'MM01'!AP$2),""))</f>
        <v/>
      </c>
      <c r="AQ96" s="45"/>
      <c r="AR96" s="43" t="str">
        <f>IF(IFERROR(INDEX(Consulta!$A:$DF,MATCH('MM01'!$B96,Consulta!$C:$C,0),'MM01'!AR$2),"")=0,"",IFERROR(INDEX(Consulta!$A:$DF,MATCH('MM01'!$B96,Consulta!$C:$C,0),'MM01'!AR$2),""))</f>
        <v/>
      </c>
      <c r="AS96" s="43" t="str">
        <f>IF(IFERROR(INDEX(Consulta!$A:$DF,MATCH('MM01'!$B96,Consulta!$C:$C,0),'MM01'!AS$2),"")=0,"",IF(AR96="68",5102,IFERROR(INDEX(Consulta!$A:$DF,MATCH('MM01'!$B96,Consulta!$C:$C,0),'MM01'!AS$2),"")))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IF(IFERROR(INDEX(Consulta!$A:$DF,MATCH('MM01'!$B96,Consulta!$C:$C,0),'MM01'!AW$2),"")=0,"",IFERROR(ROUND(INDEX(Consulta!$A:$DF,MATCH('MM01'!$B96,Consulta!$C:$C,0),'MM01'!AW$2),3),""))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IF(IFERROR(INDEX(Consulta!$A:$DF,MATCH('MM01'!$B96,Consulta!$C:$C,0),'MM01'!BA$2),"")=0,"",IFERROR(INDEX(Consulta!$A:$DF,MATCH('MM01'!$B96,Consulta!$C:$C,0),'MM01'!BA$2),""))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IF(IFERROR(INDEX(Consulta!$A:$DF,MATCH('MM01'!$B96,Consulta!$C:$C,0),'MM01'!BL$2),"")=0,"",IFERROR(INDEX(Consulta!$A:$DF,MATCH('MM01'!$B96,Consulta!$C:$C,0),'MM01'!BL$2),""))</f>
        <v/>
      </c>
      <c r="BM96" s="45"/>
      <c r="BN96" s="46" t="str">
        <f t="shared" ca="1" si="52"/>
        <v/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IF(IFERROR(INDEX(Consulta!$A:$DF,MATCH('MM01'!$B96,Consulta!$C:$C,0),'MM01'!BX$2),"")=0,"",IFERROR(INDEX(Consulta!$A:$DF,MATCH('MM01'!$B96,Consulta!$C:$C,0),'MM01'!BX$2),""))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IF(IFERROR(INDEX(Consulta!$A:$DF,MATCH('MM01'!$B96,Consulta!$C:$C,0),'MM01'!CT$2),"")=0,"",IFERROR(INDEX(Consulta!$A:$DF,MATCH('MM01'!$B96,Consulta!$C:$C,0),'MM01'!CT$2),""))</f>
        <v/>
      </c>
      <c r="CU96" s="43" t="str">
        <f>IF(IFERROR(INDEX(Consulta!$A:$DF,MATCH('MM01'!$B96,Consulta!$C:$C,0),'MM01'!CU$2),"")=0,"",IFERROR(INDEX(Consulta!$A:$DF,MATCH('MM01'!$B96,Consulta!$C:$C,0),'MM01'!CU$2),""))</f>
        <v/>
      </c>
      <c r="CV96" s="43" t="str">
        <f>IF(IFERROR(INDEX(Consulta!$A:$DF,MATCH('MM01'!$B96,Consulta!$C:$C,0),'MM01'!CV$2),"")=0,"",IFERROR(INDEX(Consulta!$A:$DF,MATCH('MM01'!$B96,Consulta!$C:$C,0),'MM01'!CV$2),""))</f>
        <v/>
      </c>
      <c r="CW96" s="43" t="str">
        <f>IF(IFERROR(INDEX(Consulta!$A:$DF,MATCH('MM01'!$B96,Consulta!$C:$C,0),'MM01'!CW$2),"")=0,"",IFERROR(INDEX(Consulta!$A:$DF,MATCH('MM01'!$B96,Consulta!$C:$C,0),'MM01'!CW$2),""))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IF(IFERROR(INDEX(Consulta!$A:$DF,MATCH('MM01'!$B96,Consulta!$C:$C,0),'MM01'!DA$2),"")=0,"",IFERROR(INDEX(Consulta!$A:$DF,MATCH('MM01'!$B96,Consulta!$C:$C,0),'MM01'!DA$2),""))</f>
        <v/>
      </c>
      <c r="DB96" s="43" t="str">
        <f t="shared" si="61"/>
        <v/>
      </c>
      <c r="DC96" s="43" t="str">
        <f>IF(IFERROR(INDEX(Consulta!$A:$DF,MATCH('MM01'!$B96,Consulta!$C:$C,0),'MM01'!DC$2),"")=0,"",IFERROR(INDEX(Consulta!$A:$DF,MATCH('MM01'!$B96,Consulta!$C:$C,0),'MM01'!DC$2),""))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5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5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5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5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IF(IFERROR(INDEX(Consulta!$A:$DF,MATCH('MM01'!$B96,Consulta!$C:$C,0),'MM01'!EB$2),"")=0,"7925",IF(IFERROR(INDEX(Consulta!$A:$DF,MATCH('MM01'!$B96,Consulta!$C:$C,0),'MM01'!EB$2),"")="68","7910","7925"))</f>
        <v>7925</v>
      </c>
      <c r="EC96" s="44">
        <v>100</v>
      </c>
      <c r="ED96" s="60">
        <v>1</v>
      </c>
      <c r="EE96" s="43">
        <f t="shared" si="77"/>
        <v>100</v>
      </c>
      <c r="EF96" s="44">
        <v>1</v>
      </c>
      <c r="EG96" s="44">
        <v>0</v>
      </c>
      <c r="EH96" s="44" t="s">
        <v>867</v>
      </c>
      <c r="EI96" s="45">
        <v>0</v>
      </c>
      <c r="EJ96" s="43">
        <f t="shared" si="78"/>
        <v>5000</v>
      </c>
      <c r="EK96" s="65"/>
    </row>
    <row r="97" spans="1:141" x14ac:dyDescent="0.3">
      <c r="A97" s="7" t="str">
        <f t="shared" si="79"/>
        <v>Execução 93</v>
      </c>
      <c r="B97" s="42"/>
      <c r="C97" s="43" t="str">
        <f>IF(IFERROR(INDEX(Consulta!$A:$DF,MATCH('MM01'!$B97,Consulta!$C:$C,0),'MM01'!C$2),"")=0,"",IFERROR(INDEX(Consulta!$A:$DF,MATCH('MM01'!$B97,Consulta!$C:$C,0),'MM01'!C$2),""))</f>
        <v/>
      </c>
      <c r="D97" s="43" t="str">
        <f>IF(IFERROR(INDEX(Consulta!$A:$DF,MATCH('MM01'!$B97,Consulta!$C:$C,0),'MM01'!D$2),"")=0,"",IFERROR(INDEX(Consulta!$A:$DF,MATCH('MM01'!$B97,Consulta!$C:$C,0),'MM01'!D$2),""))</f>
        <v/>
      </c>
      <c r="E97" s="43" t="str">
        <f>IF(IFERROR(INDEX(Consulta!$A:$DF,MATCH('MM01'!$B97,Consulta!$C:$C,0),'MM01'!E$2),"")=0,"",IFERROR(INDEX(Consulta!$A:$DF,MATCH('MM01'!$B97,Consulta!$C:$C,0),'MM01'!E$2),""))</f>
        <v/>
      </c>
      <c r="F97" s="44" t="s">
        <v>100</v>
      </c>
      <c r="G97" s="49" t="str">
        <f>IF(IFERROR(INDEX(Consulta!$A:$DF,MATCH('MM01'!$B97,Consulta!$C:$C,0),'MM01'!G$2),"")=0,"",IFERROR(INDEX(Consulta!$A:$DF,MATCH('MM01'!$B97,Consulta!$C:$C,0),'MM01'!G$2),""))</f>
        <v/>
      </c>
      <c r="H97" s="49" t="str">
        <f>IF(IFERROR(INDEX(Consulta!$A:$DF,MATCH('MM01'!$B97,Consulta!$C:$C,0),'MM01'!H$2),"")=0,"",IFERROR(INDEX(Consulta!$A:$DF,MATCH('MM01'!$B97,Consulta!$C:$C,0),'MM01'!H$2),""))</f>
        <v/>
      </c>
      <c r="I97" s="49" t="str">
        <f t="shared" si="40"/>
        <v/>
      </c>
      <c r="J97" s="49" t="str">
        <f>IF(IFERROR(INDEX(Consulta!$A:$DF,MATCH('MM01'!$B97,Consulta!$C:$C,0),'MM01'!J$2),"")=0,"",IFERROR(INDEX(Consulta!$A:$DF,MATCH('MM01'!$B97,Consulta!$C:$C,0),'MM01'!J$2),""))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IF(IFERROR(INDEX(Consulta!$A:$DF,MATCH('MM01'!$B97,Consulta!$C:$C,0),'MM01'!AP$2),"")=0,"",IFERROR(INDEX(Consulta!$A:$DF,MATCH('MM01'!$B97,Consulta!$C:$C,0),'MM01'!AP$2),""))</f>
        <v/>
      </c>
      <c r="AQ97" s="45"/>
      <c r="AR97" s="43" t="str">
        <f>IF(IFERROR(INDEX(Consulta!$A:$DF,MATCH('MM01'!$B97,Consulta!$C:$C,0),'MM01'!AR$2),"")=0,"",IFERROR(INDEX(Consulta!$A:$DF,MATCH('MM01'!$B97,Consulta!$C:$C,0),'MM01'!AR$2),""))</f>
        <v/>
      </c>
      <c r="AS97" s="43" t="str">
        <f>IF(IFERROR(INDEX(Consulta!$A:$DF,MATCH('MM01'!$B97,Consulta!$C:$C,0),'MM01'!AS$2),"")=0,"",IF(AR97="68",5102,IFERROR(INDEX(Consulta!$A:$DF,MATCH('MM01'!$B97,Consulta!$C:$C,0),'MM01'!AS$2),"")))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IF(IFERROR(INDEX(Consulta!$A:$DF,MATCH('MM01'!$B97,Consulta!$C:$C,0),'MM01'!AW$2),"")=0,"",IFERROR(ROUND(INDEX(Consulta!$A:$DF,MATCH('MM01'!$B97,Consulta!$C:$C,0),'MM01'!AW$2),3),""))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IF(IFERROR(INDEX(Consulta!$A:$DF,MATCH('MM01'!$B97,Consulta!$C:$C,0),'MM01'!BA$2),"")=0,"",IFERROR(INDEX(Consulta!$A:$DF,MATCH('MM01'!$B97,Consulta!$C:$C,0),'MM01'!BA$2),""))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IF(IFERROR(INDEX(Consulta!$A:$DF,MATCH('MM01'!$B97,Consulta!$C:$C,0),'MM01'!BL$2),"")=0,"",IFERROR(INDEX(Consulta!$A:$DF,MATCH('MM01'!$B97,Consulta!$C:$C,0),'MM01'!BL$2),""))</f>
        <v/>
      </c>
      <c r="BM97" s="45"/>
      <c r="BN97" s="46" t="str">
        <f t="shared" ca="1" si="52"/>
        <v/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IF(IFERROR(INDEX(Consulta!$A:$DF,MATCH('MM01'!$B97,Consulta!$C:$C,0),'MM01'!BX$2),"")=0,"",IFERROR(INDEX(Consulta!$A:$DF,MATCH('MM01'!$B97,Consulta!$C:$C,0),'MM01'!BX$2),""))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IF(IFERROR(INDEX(Consulta!$A:$DF,MATCH('MM01'!$B97,Consulta!$C:$C,0),'MM01'!CT$2),"")=0,"",IFERROR(INDEX(Consulta!$A:$DF,MATCH('MM01'!$B97,Consulta!$C:$C,0),'MM01'!CT$2),""))</f>
        <v/>
      </c>
      <c r="CU97" s="43" t="str">
        <f>IF(IFERROR(INDEX(Consulta!$A:$DF,MATCH('MM01'!$B97,Consulta!$C:$C,0),'MM01'!CU$2),"")=0,"",IFERROR(INDEX(Consulta!$A:$DF,MATCH('MM01'!$B97,Consulta!$C:$C,0),'MM01'!CU$2),""))</f>
        <v/>
      </c>
      <c r="CV97" s="43" t="str">
        <f>IF(IFERROR(INDEX(Consulta!$A:$DF,MATCH('MM01'!$B97,Consulta!$C:$C,0),'MM01'!CV$2),"")=0,"",IFERROR(INDEX(Consulta!$A:$DF,MATCH('MM01'!$B97,Consulta!$C:$C,0),'MM01'!CV$2),""))</f>
        <v/>
      </c>
      <c r="CW97" s="43" t="str">
        <f>IF(IFERROR(INDEX(Consulta!$A:$DF,MATCH('MM01'!$B97,Consulta!$C:$C,0),'MM01'!CW$2),"")=0,"",IFERROR(INDEX(Consulta!$A:$DF,MATCH('MM01'!$B97,Consulta!$C:$C,0),'MM01'!CW$2),""))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IF(IFERROR(INDEX(Consulta!$A:$DF,MATCH('MM01'!$B97,Consulta!$C:$C,0),'MM01'!DA$2),"")=0,"",IFERROR(INDEX(Consulta!$A:$DF,MATCH('MM01'!$B97,Consulta!$C:$C,0),'MM01'!DA$2),""))</f>
        <v/>
      </c>
      <c r="DB97" s="43" t="str">
        <f t="shared" si="61"/>
        <v/>
      </c>
      <c r="DC97" s="43" t="str">
        <f>IF(IFERROR(INDEX(Consulta!$A:$DF,MATCH('MM01'!$B97,Consulta!$C:$C,0),'MM01'!DC$2),"")=0,"",IFERROR(INDEX(Consulta!$A:$DF,MATCH('MM01'!$B97,Consulta!$C:$C,0),'MM01'!DC$2),""))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5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5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5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5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IF(IFERROR(INDEX(Consulta!$A:$DF,MATCH('MM01'!$B97,Consulta!$C:$C,0),'MM01'!EB$2),"")=0,"7925",IF(IFERROR(INDEX(Consulta!$A:$DF,MATCH('MM01'!$B97,Consulta!$C:$C,0),'MM01'!EB$2),"")="68","7910","7925"))</f>
        <v>7925</v>
      </c>
      <c r="EC97" s="44">
        <v>100</v>
      </c>
      <c r="ED97" s="60">
        <v>1</v>
      </c>
      <c r="EE97" s="43">
        <f t="shared" si="77"/>
        <v>100</v>
      </c>
      <c r="EF97" s="44">
        <v>1</v>
      </c>
      <c r="EG97" s="44">
        <v>0</v>
      </c>
      <c r="EH97" s="44" t="s">
        <v>867</v>
      </c>
      <c r="EI97" s="45">
        <v>0</v>
      </c>
      <c r="EJ97" s="43">
        <f t="shared" si="78"/>
        <v>5000</v>
      </c>
      <c r="EK97" s="65"/>
    </row>
    <row r="98" spans="1:141" x14ac:dyDescent="0.3">
      <c r="A98" s="7" t="str">
        <f t="shared" si="79"/>
        <v>Execução 94</v>
      </c>
      <c r="B98" s="42"/>
      <c r="C98" s="43" t="str">
        <f>IF(IFERROR(INDEX(Consulta!$A:$DF,MATCH('MM01'!$B98,Consulta!$C:$C,0),'MM01'!C$2),"")=0,"",IFERROR(INDEX(Consulta!$A:$DF,MATCH('MM01'!$B98,Consulta!$C:$C,0),'MM01'!C$2),""))</f>
        <v/>
      </c>
      <c r="D98" s="43" t="str">
        <f>IF(IFERROR(INDEX(Consulta!$A:$DF,MATCH('MM01'!$B98,Consulta!$C:$C,0),'MM01'!D$2),"")=0,"",IFERROR(INDEX(Consulta!$A:$DF,MATCH('MM01'!$B98,Consulta!$C:$C,0),'MM01'!D$2),""))</f>
        <v/>
      </c>
      <c r="E98" s="43" t="str">
        <f>IF(IFERROR(INDEX(Consulta!$A:$DF,MATCH('MM01'!$B98,Consulta!$C:$C,0),'MM01'!E$2),"")=0,"",IFERROR(INDEX(Consulta!$A:$DF,MATCH('MM01'!$B98,Consulta!$C:$C,0),'MM01'!E$2),""))</f>
        <v/>
      </c>
      <c r="F98" s="44" t="s">
        <v>100</v>
      </c>
      <c r="G98" s="49" t="str">
        <f>IF(IFERROR(INDEX(Consulta!$A:$DF,MATCH('MM01'!$B98,Consulta!$C:$C,0),'MM01'!G$2),"")=0,"",IFERROR(INDEX(Consulta!$A:$DF,MATCH('MM01'!$B98,Consulta!$C:$C,0),'MM01'!G$2),""))</f>
        <v/>
      </c>
      <c r="H98" s="49" t="str">
        <f>IF(IFERROR(INDEX(Consulta!$A:$DF,MATCH('MM01'!$B98,Consulta!$C:$C,0),'MM01'!H$2),"")=0,"",IFERROR(INDEX(Consulta!$A:$DF,MATCH('MM01'!$B98,Consulta!$C:$C,0),'MM01'!H$2),""))</f>
        <v/>
      </c>
      <c r="I98" s="49" t="str">
        <f t="shared" si="40"/>
        <v/>
      </c>
      <c r="J98" s="49" t="str">
        <f>IF(IFERROR(INDEX(Consulta!$A:$DF,MATCH('MM01'!$B98,Consulta!$C:$C,0),'MM01'!J$2),"")=0,"",IFERROR(INDEX(Consulta!$A:$DF,MATCH('MM01'!$B98,Consulta!$C:$C,0),'MM01'!J$2),""))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IF(IFERROR(INDEX(Consulta!$A:$DF,MATCH('MM01'!$B98,Consulta!$C:$C,0),'MM01'!AP$2),"")=0,"",IFERROR(INDEX(Consulta!$A:$DF,MATCH('MM01'!$B98,Consulta!$C:$C,0),'MM01'!AP$2),""))</f>
        <v/>
      </c>
      <c r="AQ98" s="45"/>
      <c r="AR98" s="43" t="str">
        <f>IF(IFERROR(INDEX(Consulta!$A:$DF,MATCH('MM01'!$B98,Consulta!$C:$C,0),'MM01'!AR$2),"")=0,"",IFERROR(INDEX(Consulta!$A:$DF,MATCH('MM01'!$B98,Consulta!$C:$C,0),'MM01'!AR$2),""))</f>
        <v/>
      </c>
      <c r="AS98" s="43" t="str">
        <f>IF(IFERROR(INDEX(Consulta!$A:$DF,MATCH('MM01'!$B98,Consulta!$C:$C,0),'MM01'!AS$2),"")=0,"",IF(AR98="68",5102,IFERROR(INDEX(Consulta!$A:$DF,MATCH('MM01'!$B98,Consulta!$C:$C,0),'MM01'!AS$2),"")))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IF(IFERROR(INDEX(Consulta!$A:$DF,MATCH('MM01'!$B98,Consulta!$C:$C,0),'MM01'!AW$2),"")=0,"",IFERROR(ROUND(INDEX(Consulta!$A:$DF,MATCH('MM01'!$B98,Consulta!$C:$C,0),'MM01'!AW$2),3),""))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IF(IFERROR(INDEX(Consulta!$A:$DF,MATCH('MM01'!$B98,Consulta!$C:$C,0),'MM01'!BA$2),"")=0,"",IFERROR(INDEX(Consulta!$A:$DF,MATCH('MM01'!$B98,Consulta!$C:$C,0),'MM01'!BA$2),""))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IF(IFERROR(INDEX(Consulta!$A:$DF,MATCH('MM01'!$B98,Consulta!$C:$C,0),'MM01'!BL$2),"")=0,"",IFERROR(INDEX(Consulta!$A:$DF,MATCH('MM01'!$B98,Consulta!$C:$C,0),'MM01'!BL$2),""))</f>
        <v/>
      </c>
      <c r="BM98" s="45"/>
      <c r="BN98" s="46" t="str">
        <f t="shared" ca="1" si="52"/>
        <v/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IF(IFERROR(INDEX(Consulta!$A:$DF,MATCH('MM01'!$B98,Consulta!$C:$C,0),'MM01'!BX$2),"")=0,"",IFERROR(INDEX(Consulta!$A:$DF,MATCH('MM01'!$B98,Consulta!$C:$C,0),'MM01'!BX$2),""))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IF(IFERROR(INDEX(Consulta!$A:$DF,MATCH('MM01'!$B98,Consulta!$C:$C,0),'MM01'!CT$2),"")=0,"",IFERROR(INDEX(Consulta!$A:$DF,MATCH('MM01'!$B98,Consulta!$C:$C,0),'MM01'!CT$2),""))</f>
        <v/>
      </c>
      <c r="CU98" s="43" t="str">
        <f>IF(IFERROR(INDEX(Consulta!$A:$DF,MATCH('MM01'!$B98,Consulta!$C:$C,0),'MM01'!CU$2),"")=0,"",IFERROR(INDEX(Consulta!$A:$DF,MATCH('MM01'!$B98,Consulta!$C:$C,0),'MM01'!CU$2),""))</f>
        <v/>
      </c>
      <c r="CV98" s="43" t="str">
        <f>IF(IFERROR(INDEX(Consulta!$A:$DF,MATCH('MM01'!$B98,Consulta!$C:$C,0),'MM01'!CV$2),"")=0,"",IFERROR(INDEX(Consulta!$A:$DF,MATCH('MM01'!$B98,Consulta!$C:$C,0),'MM01'!CV$2),""))</f>
        <v/>
      </c>
      <c r="CW98" s="43" t="str">
        <f>IF(IFERROR(INDEX(Consulta!$A:$DF,MATCH('MM01'!$B98,Consulta!$C:$C,0),'MM01'!CW$2),"")=0,"",IFERROR(INDEX(Consulta!$A:$DF,MATCH('MM01'!$B98,Consulta!$C:$C,0),'MM01'!CW$2),""))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IF(IFERROR(INDEX(Consulta!$A:$DF,MATCH('MM01'!$B98,Consulta!$C:$C,0),'MM01'!DA$2),"")=0,"",IFERROR(INDEX(Consulta!$A:$DF,MATCH('MM01'!$B98,Consulta!$C:$C,0),'MM01'!DA$2),""))</f>
        <v/>
      </c>
      <c r="DB98" s="43" t="str">
        <f t="shared" si="61"/>
        <v/>
      </c>
      <c r="DC98" s="43" t="str">
        <f>IF(IFERROR(INDEX(Consulta!$A:$DF,MATCH('MM01'!$B98,Consulta!$C:$C,0),'MM01'!DC$2),"")=0,"",IFERROR(INDEX(Consulta!$A:$DF,MATCH('MM01'!$B98,Consulta!$C:$C,0),'MM01'!DC$2),""))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5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5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5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5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IF(IFERROR(INDEX(Consulta!$A:$DF,MATCH('MM01'!$B98,Consulta!$C:$C,0),'MM01'!EB$2),"")=0,"7925",IF(IFERROR(INDEX(Consulta!$A:$DF,MATCH('MM01'!$B98,Consulta!$C:$C,0),'MM01'!EB$2),"")="68","7910","7925"))</f>
        <v>7925</v>
      </c>
      <c r="EC98" s="44">
        <v>100</v>
      </c>
      <c r="ED98" s="60">
        <v>1</v>
      </c>
      <c r="EE98" s="43">
        <f t="shared" si="77"/>
        <v>100</v>
      </c>
      <c r="EF98" s="44">
        <v>1</v>
      </c>
      <c r="EG98" s="44">
        <v>0</v>
      </c>
      <c r="EH98" s="44" t="s">
        <v>867</v>
      </c>
      <c r="EI98" s="45">
        <v>0</v>
      </c>
      <c r="EJ98" s="43">
        <f t="shared" si="78"/>
        <v>5000</v>
      </c>
      <c r="EK98" s="65"/>
    </row>
    <row r="99" spans="1:141" x14ac:dyDescent="0.3">
      <c r="A99" s="7" t="str">
        <f t="shared" si="79"/>
        <v>Execução 95</v>
      </c>
      <c r="B99" s="42"/>
      <c r="C99" s="43" t="str">
        <f>IF(IFERROR(INDEX(Consulta!$A:$DF,MATCH('MM01'!$B99,Consulta!$C:$C,0),'MM01'!C$2),"")=0,"",IFERROR(INDEX(Consulta!$A:$DF,MATCH('MM01'!$B99,Consulta!$C:$C,0),'MM01'!C$2),""))</f>
        <v/>
      </c>
      <c r="D99" s="43" t="str">
        <f>IF(IFERROR(INDEX(Consulta!$A:$DF,MATCH('MM01'!$B99,Consulta!$C:$C,0),'MM01'!D$2),"")=0,"",IFERROR(INDEX(Consulta!$A:$DF,MATCH('MM01'!$B99,Consulta!$C:$C,0),'MM01'!D$2),""))</f>
        <v/>
      </c>
      <c r="E99" s="43" t="str">
        <f>IF(IFERROR(INDEX(Consulta!$A:$DF,MATCH('MM01'!$B99,Consulta!$C:$C,0),'MM01'!E$2),"")=0,"",IFERROR(INDEX(Consulta!$A:$DF,MATCH('MM01'!$B99,Consulta!$C:$C,0),'MM01'!E$2),""))</f>
        <v/>
      </c>
      <c r="F99" s="44" t="s">
        <v>100</v>
      </c>
      <c r="G99" s="49" t="str">
        <f>IF(IFERROR(INDEX(Consulta!$A:$DF,MATCH('MM01'!$B99,Consulta!$C:$C,0),'MM01'!G$2),"")=0,"",IFERROR(INDEX(Consulta!$A:$DF,MATCH('MM01'!$B99,Consulta!$C:$C,0),'MM01'!G$2),""))</f>
        <v/>
      </c>
      <c r="H99" s="49" t="str">
        <f>IF(IFERROR(INDEX(Consulta!$A:$DF,MATCH('MM01'!$B99,Consulta!$C:$C,0),'MM01'!H$2),"")=0,"",IFERROR(INDEX(Consulta!$A:$DF,MATCH('MM01'!$B99,Consulta!$C:$C,0),'MM01'!H$2),""))</f>
        <v/>
      </c>
      <c r="I99" s="49" t="str">
        <f t="shared" si="40"/>
        <v/>
      </c>
      <c r="J99" s="49" t="str">
        <f>IF(IFERROR(INDEX(Consulta!$A:$DF,MATCH('MM01'!$B99,Consulta!$C:$C,0),'MM01'!J$2),"")=0,"",IFERROR(INDEX(Consulta!$A:$DF,MATCH('MM01'!$B99,Consulta!$C:$C,0),'MM01'!J$2),""))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IF(IFERROR(INDEX(Consulta!$A:$DF,MATCH('MM01'!$B99,Consulta!$C:$C,0),'MM01'!AP$2),"")=0,"",IFERROR(INDEX(Consulta!$A:$DF,MATCH('MM01'!$B99,Consulta!$C:$C,0),'MM01'!AP$2),""))</f>
        <v/>
      </c>
      <c r="AQ99" s="45"/>
      <c r="AR99" s="43" t="str">
        <f>IF(IFERROR(INDEX(Consulta!$A:$DF,MATCH('MM01'!$B99,Consulta!$C:$C,0),'MM01'!AR$2),"")=0,"",IFERROR(INDEX(Consulta!$A:$DF,MATCH('MM01'!$B99,Consulta!$C:$C,0),'MM01'!AR$2),""))</f>
        <v/>
      </c>
      <c r="AS99" s="43" t="str">
        <f>IF(IFERROR(INDEX(Consulta!$A:$DF,MATCH('MM01'!$B99,Consulta!$C:$C,0),'MM01'!AS$2),"")=0,"",IF(AR99="68",5102,IFERROR(INDEX(Consulta!$A:$DF,MATCH('MM01'!$B99,Consulta!$C:$C,0),'MM01'!AS$2),"")))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IF(IFERROR(INDEX(Consulta!$A:$DF,MATCH('MM01'!$B99,Consulta!$C:$C,0),'MM01'!AW$2),"")=0,"",IFERROR(ROUND(INDEX(Consulta!$A:$DF,MATCH('MM01'!$B99,Consulta!$C:$C,0),'MM01'!AW$2),3),""))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IF(IFERROR(INDEX(Consulta!$A:$DF,MATCH('MM01'!$B99,Consulta!$C:$C,0),'MM01'!BA$2),"")=0,"",IFERROR(INDEX(Consulta!$A:$DF,MATCH('MM01'!$B99,Consulta!$C:$C,0),'MM01'!BA$2),""))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IF(IFERROR(INDEX(Consulta!$A:$DF,MATCH('MM01'!$B99,Consulta!$C:$C,0),'MM01'!BL$2),"")=0,"",IFERROR(INDEX(Consulta!$A:$DF,MATCH('MM01'!$B99,Consulta!$C:$C,0),'MM01'!BL$2),""))</f>
        <v/>
      </c>
      <c r="BM99" s="45"/>
      <c r="BN99" s="46" t="str">
        <f t="shared" ca="1" si="52"/>
        <v/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IF(IFERROR(INDEX(Consulta!$A:$DF,MATCH('MM01'!$B99,Consulta!$C:$C,0),'MM01'!BX$2),"")=0,"",IFERROR(INDEX(Consulta!$A:$DF,MATCH('MM01'!$B99,Consulta!$C:$C,0),'MM01'!BX$2),""))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IF(IFERROR(INDEX(Consulta!$A:$DF,MATCH('MM01'!$B99,Consulta!$C:$C,0),'MM01'!CT$2),"")=0,"",IFERROR(INDEX(Consulta!$A:$DF,MATCH('MM01'!$B99,Consulta!$C:$C,0),'MM01'!CT$2),""))</f>
        <v/>
      </c>
      <c r="CU99" s="43" t="str">
        <f>IF(IFERROR(INDEX(Consulta!$A:$DF,MATCH('MM01'!$B99,Consulta!$C:$C,0),'MM01'!CU$2),"")=0,"",IFERROR(INDEX(Consulta!$A:$DF,MATCH('MM01'!$B99,Consulta!$C:$C,0),'MM01'!CU$2),""))</f>
        <v/>
      </c>
      <c r="CV99" s="43" t="str">
        <f>IF(IFERROR(INDEX(Consulta!$A:$DF,MATCH('MM01'!$B99,Consulta!$C:$C,0),'MM01'!CV$2),"")=0,"",IFERROR(INDEX(Consulta!$A:$DF,MATCH('MM01'!$B99,Consulta!$C:$C,0),'MM01'!CV$2),""))</f>
        <v/>
      </c>
      <c r="CW99" s="43" t="str">
        <f>IF(IFERROR(INDEX(Consulta!$A:$DF,MATCH('MM01'!$B99,Consulta!$C:$C,0),'MM01'!CW$2),"")=0,"",IFERROR(INDEX(Consulta!$A:$DF,MATCH('MM01'!$B99,Consulta!$C:$C,0),'MM01'!CW$2),""))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IF(IFERROR(INDEX(Consulta!$A:$DF,MATCH('MM01'!$B99,Consulta!$C:$C,0),'MM01'!DA$2),"")=0,"",IFERROR(INDEX(Consulta!$A:$DF,MATCH('MM01'!$B99,Consulta!$C:$C,0),'MM01'!DA$2),""))</f>
        <v/>
      </c>
      <c r="DB99" s="43" t="str">
        <f t="shared" si="61"/>
        <v/>
      </c>
      <c r="DC99" s="43" t="str">
        <f>IF(IFERROR(INDEX(Consulta!$A:$DF,MATCH('MM01'!$B99,Consulta!$C:$C,0),'MM01'!DC$2),"")=0,"",IFERROR(INDEX(Consulta!$A:$DF,MATCH('MM01'!$B99,Consulta!$C:$C,0),'MM01'!DC$2),""))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5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5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5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5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IF(IFERROR(INDEX(Consulta!$A:$DF,MATCH('MM01'!$B99,Consulta!$C:$C,0),'MM01'!EB$2),"")=0,"7925",IF(IFERROR(INDEX(Consulta!$A:$DF,MATCH('MM01'!$B99,Consulta!$C:$C,0),'MM01'!EB$2),"")="68","7910","7925"))</f>
        <v>7925</v>
      </c>
      <c r="EC99" s="44">
        <v>100</v>
      </c>
      <c r="ED99" s="60">
        <v>1</v>
      </c>
      <c r="EE99" s="43">
        <f t="shared" si="77"/>
        <v>100</v>
      </c>
      <c r="EF99" s="44">
        <v>1</v>
      </c>
      <c r="EG99" s="44">
        <v>0</v>
      </c>
      <c r="EH99" s="44" t="s">
        <v>867</v>
      </c>
      <c r="EI99" s="45">
        <v>0</v>
      </c>
      <c r="EJ99" s="43">
        <f t="shared" si="78"/>
        <v>5000</v>
      </c>
      <c r="EK99" s="65"/>
    </row>
    <row r="100" spans="1:141" x14ac:dyDescent="0.3">
      <c r="A100" s="7" t="str">
        <f t="shared" si="79"/>
        <v>Execução 96</v>
      </c>
      <c r="B100" s="42"/>
      <c r="C100" s="43" t="str">
        <f>IF(IFERROR(INDEX(Consulta!$A:$DF,MATCH('MM01'!$B100,Consulta!$C:$C,0),'MM01'!C$2),"")=0,"",IFERROR(INDEX(Consulta!$A:$DF,MATCH('MM01'!$B100,Consulta!$C:$C,0),'MM01'!C$2),""))</f>
        <v/>
      </c>
      <c r="D100" s="43" t="str">
        <f>IF(IFERROR(INDEX(Consulta!$A:$DF,MATCH('MM01'!$B100,Consulta!$C:$C,0),'MM01'!D$2),"")=0,"",IFERROR(INDEX(Consulta!$A:$DF,MATCH('MM01'!$B100,Consulta!$C:$C,0),'MM01'!D$2),""))</f>
        <v/>
      </c>
      <c r="E100" s="43" t="str">
        <f>IF(IFERROR(INDEX(Consulta!$A:$DF,MATCH('MM01'!$B100,Consulta!$C:$C,0),'MM01'!E$2),"")=0,"",IFERROR(INDEX(Consulta!$A:$DF,MATCH('MM01'!$B100,Consulta!$C:$C,0),'MM01'!E$2),""))</f>
        <v/>
      </c>
      <c r="F100" s="44" t="s">
        <v>100</v>
      </c>
      <c r="G100" s="49" t="str">
        <f>IF(IFERROR(INDEX(Consulta!$A:$DF,MATCH('MM01'!$B100,Consulta!$C:$C,0),'MM01'!G$2),"")=0,"",IFERROR(INDEX(Consulta!$A:$DF,MATCH('MM01'!$B100,Consulta!$C:$C,0),'MM01'!G$2),""))</f>
        <v/>
      </c>
      <c r="H100" s="49" t="str">
        <f>IF(IFERROR(INDEX(Consulta!$A:$DF,MATCH('MM01'!$B100,Consulta!$C:$C,0),'MM01'!H$2),"")=0,"",IFERROR(INDEX(Consulta!$A:$DF,MATCH('MM01'!$B100,Consulta!$C:$C,0),'MM01'!H$2),""))</f>
        <v/>
      </c>
      <c r="I100" s="49" t="str">
        <f t="shared" si="40"/>
        <v/>
      </c>
      <c r="J100" s="49" t="str">
        <f>IF(IFERROR(INDEX(Consulta!$A:$DF,MATCH('MM01'!$B100,Consulta!$C:$C,0),'MM01'!J$2),"")=0,"",IFERROR(INDEX(Consulta!$A:$DF,MATCH('MM01'!$B100,Consulta!$C:$C,0),'MM01'!J$2),""))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IF(IFERROR(INDEX(Consulta!$A:$DF,MATCH('MM01'!$B100,Consulta!$C:$C,0),'MM01'!AP$2),"")=0,"",IFERROR(INDEX(Consulta!$A:$DF,MATCH('MM01'!$B100,Consulta!$C:$C,0),'MM01'!AP$2),""))</f>
        <v/>
      </c>
      <c r="AQ100" s="45"/>
      <c r="AR100" s="43" t="str">
        <f>IF(IFERROR(INDEX(Consulta!$A:$DF,MATCH('MM01'!$B100,Consulta!$C:$C,0),'MM01'!AR$2),"")=0,"",IFERROR(INDEX(Consulta!$A:$DF,MATCH('MM01'!$B100,Consulta!$C:$C,0),'MM01'!AR$2),""))</f>
        <v/>
      </c>
      <c r="AS100" s="43" t="str">
        <f>IF(IFERROR(INDEX(Consulta!$A:$DF,MATCH('MM01'!$B100,Consulta!$C:$C,0),'MM01'!AS$2),"")=0,"",IF(AR100="68",5102,IFERROR(INDEX(Consulta!$A:$DF,MATCH('MM01'!$B100,Consulta!$C:$C,0),'MM01'!AS$2),"")))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IF(IFERROR(INDEX(Consulta!$A:$DF,MATCH('MM01'!$B100,Consulta!$C:$C,0),'MM01'!AW$2),"")=0,"",IFERROR(ROUND(INDEX(Consulta!$A:$DF,MATCH('MM01'!$B100,Consulta!$C:$C,0),'MM01'!AW$2),3),""))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IF(IFERROR(INDEX(Consulta!$A:$DF,MATCH('MM01'!$B100,Consulta!$C:$C,0),'MM01'!BA$2),"")=0,"",IFERROR(INDEX(Consulta!$A:$DF,MATCH('MM01'!$B100,Consulta!$C:$C,0),'MM01'!BA$2),""))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IF(IFERROR(INDEX(Consulta!$A:$DF,MATCH('MM01'!$B100,Consulta!$C:$C,0),'MM01'!BL$2),"")=0,"",IFERROR(INDEX(Consulta!$A:$DF,MATCH('MM01'!$B100,Consulta!$C:$C,0),'MM01'!BL$2),""))</f>
        <v/>
      </c>
      <c r="BM100" s="45"/>
      <c r="BN100" s="46" t="str">
        <f t="shared" ca="1" si="52"/>
        <v/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IF(IFERROR(INDEX(Consulta!$A:$DF,MATCH('MM01'!$B100,Consulta!$C:$C,0),'MM01'!BX$2),"")=0,"",IFERROR(INDEX(Consulta!$A:$DF,MATCH('MM01'!$B100,Consulta!$C:$C,0),'MM01'!BX$2),""))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IF(IFERROR(INDEX(Consulta!$A:$DF,MATCH('MM01'!$B100,Consulta!$C:$C,0),'MM01'!CT$2),"")=0,"",IFERROR(INDEX(Consulta!$A:$DF,MATCH('MM01'!$B100,Consulta!$C:$C,0),'MM01'!CT$2),""))</f>
        <v/>
      </c>
      <c r="CU100" s="43" t="str">
        <f>IF(IFERROR(INDEX(Consulta!$A:$DF,MATCH('MM01'!$B100,Consulta!$C:$C,0),'MM01'!CU$2),"")=0,"",IFERROR(INDEX(Consulta!$A:$DF,MATCH('MM01'!$B100,Consulta!$C:$C,0),'MM01'!CU$2),""))</f>
        <v/>
      </c>
      <c r="CV100" s="43" t="str">
        <f>IF(IFERROR(INDEX(Consulta!$A:$DF,MATCH('MM01'!$B100,Consulta!$C:$C,0),'MM01'!CV$2),"")=0,"",IFERROR(INDEX(Consulta!$A:$DF,MATCH('MM01'!$B100,Consulta!$C:$C,0),'MM01'!CV$2),""))</f>
        <v/>
      </c>
      <c r="CW100" s="43" t="str">
        <f>IF(IFERROR(INDEX(Consulta!$A:$DF,MATCH('MM01'!$B100,Consulta!$C:$C,0),'MM01'!CW$2),"")=0,"",IFERROR(INDEX(Consulta!$A:$DF,MATCH('MM01'!$B100,Consulta!$C:$C,0),'MM01'!CW$2),""))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IF(IFERROR(INDEX(Consulta!$A:$DF,MATCH('MM01'!$B100,Consulta!$C:$C,0),'MM01'!DA$2),"")=0,"",IFERROR(INDEX(Consulta!$A:$DF,MATCH('MM01'!$B100,Consulta!$C:$C,0),'MM01'!DA$2),""))</f>
        <v/>
      </c>
      <c r="DB100" s="43" t="str">
        <f t="shared" si="61"/>
        <v/>
      </c>
      <c r="DC100" s="43" t="str">
        <f>IF(IFERROR(INDEX(Consulta!$A:$DF,MATCH('MM01'!$B100,Consulta!$C:$C,0),'MM01'!DC$2),"")=0,"",IFERROR(INDEX(Consulta!$A:$DF,MATCH('MM01'!$B100,Consulta!$C:$C,0),'MM01'!DC$2),""))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5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5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5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5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IF(IFERROR(INDEX(Consulta!$A:$DF,MATCH('MM01'!$B100,Consulta!$C:$C,0),'MM01'!EB$2),"")=0,"7925",IF(IFERROR(INDEX(Consulta!$A:$DF,MATCH('MM01'!$B100,Consulta!$C:$C,0),'MM01'!EB$2),"")="68","7910","7925"))</f>
        <v>7925</v>
      </c>
      <c r="EC100" s="44">
        <v>100</v>
      </c>
      <c r="ED100" s="60">
        <v>1</v>
      </c>
      <c r="EE100" s="43">
        <f t="shared" si="77"/>
        <v>100</v>
      </c>
      <c r="EF100" s="44">
        <v>1</v>
      </c>
      <c r="EG100" s="44">
        <v>0</v>
      </c>
      <c r="EH100" s="44" t="s">
        <v>867</v>
      </c>
      <c r="EI100" s="45">
        <v>0</v>
      </c>
      <c r="EJ100" s="43">
        <f t="shared" si="78"/>
        <v>5000</v>
      </c>
      <c r="EK100" s="65"/>
    </row>
    <row r="101" spans="1:141" x14ac:dyDescent="0.3">
      <c r="A101" s="7" t="str">
        <f t="shared" si="79"/>
        <v>Execução 97</v>
      </c>
      <c r="B101" s="42"/>
      <c r="C101" s="43" t="str">
        <f>IF(IFERROR(INDEX(Consulta!$A:$DF,MATCH('MM01'!$B101,Consulta!$C:$C,0),'MM01'!C$2),"")=0,"",IFERROR(INDEX(Consulta!$A:$DF,MATCH('MM01'!$B101,Consulta!$C:$C,0),'MM01'!C$2),""))</f>
        <v/>
      </c>
      <c r="D101" s="43" t="str">
        <f>IF(IFERROR(INDEX(Consulta!$A:$DF,MATCH('MM01'!$B101,Consulta!$C:$C,0),'MM01'!D$2),"")=0,"",IFERROR(INDEX(Consulta!$A:$DF,MATCH('MM01'!$B101,Consulta!$C:$C,0),'MM01'!D$2),""))</f>
        <v/>
      </c>
      <c r="E101" s="43" t="str">
        <f>IF(IFERROR(INDEX(Consulta!$A:$DF,MATCH('MM01'!$B101,Consulta!$C:$C,0),'MM01'!E$2),"")=0,"",IFERROR(INDEX(Consulta!$A:$DF,MATCH('MM01'!$B101,Consulta!$C:$C,0),'MM01'!E$2),""))</f>
        <v/>
      </c>
      <c r="F101" s="44" t="s">
        <v>100</v>
      </c>
      <c r="G101" s="49" t="str">
        <f>IF(IFERROR(INDEX(Consulta!$A:$DF,MATCH('MM01'!$B101,Consulta!$C:$C,0),'MM01'!G$2),"")=0,"",IFERROR(INDEX(Consulta!$A:$DF,MATCH('MM01'!$B101,Consulta!$C:$C,0),'MM01'!G$2),""))</f>
        <v/>
      </c>
      <c r="H101" s="49" t="str">
        <f>IF(IFERROR(INDEX(Consulta!$A:$DF,MATCH('MM01'!$B101,Consulta!$C:$C,0),'MM01'!H$2),"")=0,"",IFERROR(INDEX(Consulta!$A:$DF,MATCH('MM01'!$B101,Consulta!$C:$C,0),'MM01'!H$2),""))</f>
        <v/>
      </c>
      <c r="I101" s="49" t="str">
        <f t="shared" si="40"/>
        <v/>
      </c>
      <c r="J101" s="49" t="str">
        <f>IF(IFERROR(INDEX(Consulta!$A:$DF,MATCH('MM01'!$B101,Consulta!$C:$C,0),'MM01'!J$2),"")=0,"",IFERROR(INDEX(Consulta!$A:$DF,MATCH('MM01'!$B101,Consulta!$C:$C,0),'MM01'!J$2),""))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IF(IFERROR(INDEX(Consulta!$A:$DF,MATCH('MM01'!$B101,Consulta!$C:$C,0),'MM01'!AP$2),"")=0,"",IFERROR(INDEX(Consulta!$A:$DF,MATCH('MM01'!$B101,Consulta!$C:$C,0),'MM01'!AP$2),""))</f>
        <v/>
      </c>
      <c r="AQ101" s="45"/>
      <c r="AR101" s="43" t="str">
        <f>IF(IFERROR(INDEX(Consulta!$A:$DF,MATCH('MM01'!$B101,Consulta!$C:$C,0),'MM01'!AR$2),"")=0,"",IFERROR(INDEX(Consulta!$A:$DF,MATCH('MM01'!$B101,Consulta!$C:$C,0),'MM01'!AR$2),""))</f>
        <v/>
      </c>
      <c r="AS101" s="43" t="str">
        <f>IF(IFERROR(INDEX(Consulta!$A:$DF,MATCH('MM01'!$B101,Consulta!$C:$C,0),'MM01'!AS$2),"")=0,"",IF(AR101="68",5102,IFERROR(INDEX(Consulta!$A:$DF,MATCH('MM01'!$B101,Consulta!$C:$C,0),'MM01'!AS$2),"")))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IF(IFERROR(INDEX(Consulta!$A:$DF,MATCH('MM01'!$B101,Consulta!$C:$C,0),'MM01'!AW$2),"")=0,"",IFERROR(ROUND(INDEX(Consulta!$A:$DF,MATCH('MM01'!$B101,Consulta!$C:$C,0),'MM01'!AW$2),3),""))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IF(IFERROR(INDEX(Consulta!$A:$DF,MATCH('MM01'!$B101,Consulta!$C:$C,0),'MM01'!BA$2),"")=0,"",IFERROR(INDEX(Consulta!$A:$DF,MATCH('MM01'!$B101,Consulta!$C:$C,0),'MM01'!BA$2),""))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IF(IFERROR(INDEX(Consulta!$A:$DF,MATCH('MM01'!$B101,Consulta!$C:$C,0),'MM01'!BL$2),"")=0,"",IFERROR(INDEX(Consulta!$A:$DF,MATCH('MM01'!$B101,Consulta!$C:$C,0),'MM01'!BL$2),""))</f>
        <v/>
      </c>
      <c r="BM101" s="45"/>
      <c r="BN101" s="46" t="str">
        <f t="shared" ca="1" si="52"/>
        <v/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IF(IFERROR(INDEX(Consulta!$A:$DF,MATCH('MM01'!$B101,Consulta!$C:$C,0),'MM01'!BX$2),"")=0,"",IFERROR(INDEX(Consulta!$A:$DF,MATCH('MM01'!$B101,Consulta!$C:$C,0),'MM01'!BX$2),""))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IF(IFERROR(INDEX(Consulta!$A:$DF,MATCH('MM01'!$B101,Consulta!$C:$C,0),'MM01'!CT$2),"")=0,"",IFERROR(INDEX(Consulta!$A:$DF,MATCH('MM01'!$B101,Consulta!$C:$C,0),'MM01'!CT$2),""))</f>
        <v/>
      </c>
      <c r="CU101" s="43" t="str">
        <f>IF(IFERROR(INDEX(Consulta!$A:$DF,MATCH('MM01'!$B101,Consulta!$C:$C,0),'MM01'!CU$2),"")=0,"",IFERROR(INDEX(Consulta!$A:$DF,MATCH('MM01'!$B101,Consulta!$C:$C,0),'MM01'!CU$2),""))</f>
        <v/>
      </c>
      <c r="CV101" s="43" t="str">
        <f>IF(IFERROR(INDEX(Consulta!$A:$DF,MATCH('MM01'!$B101,Consulta!$C:$C,0),'MM01'!CV$2),"")=0,"",IFERROR(INDEX(Consulta!$A:$DF,MATCH('MM01'!$B101,Consulta!$C:$C,0),'MM01'!CV$2),""))</f>
        <v/>
      </c>
      <c r="CW101" s="43" t="str">
        <f>IF(IFERROR(INDEX(Consulta!$A:$DF,MATCH('MM01'!$B101,Consulta!$C:$C,0),'MM01'!CW$2),"")=0,"",IFERROR(INDEX(Consulta!$A:$DF,MATCH('MM01'!$B101,Consulta!$C:$C,0),'MM01'!CW$2),""))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IF(IFERROR(INDEX(Consulta!$A:$DF,MATCH('MM01'!$B101,Consulta!$C:$C,0),'MM01'!DA$2),"")=0,"",IFERROR(INDEX(Consulta!$A:$DF,MATCH('MM01'!$B101,Consulta!$C:$C,0),'MM01'!DA$2),""))</f>
        <v/>
      </c>
      <c r="DB101" s="43" t="str">
        <f t="shared" si="61"/>
        <v/>
      </c>
      <c r="DC101" s="43" t="str">
        <f>IF(IFERROR(INDEX(Consulta!$A:$DF,MATCH('MM01'!$B101,Consulta!$C:$C,0),'MM01'!DC$2),"")=0,"",IFERROR(INDEX(Consulta!$A:$DF,MATCH('MM01'!$B101,Consulta!$C:$C,0),'MM01'!DC$2),""))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5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5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5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5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IF(IFERROR(INDEX(Consulta!$A:$DF,MATCH('MM01'!$B101,Consulta!$C:$C,0),'MM01'!EB$2),"")=0,"7925",IF(IFERROR(INDEX(Consulta!$A:$DF,MATCH('MM01'!$B101,Consulta!$C:$C,0),'MM01'!EB$2),"")="68","7910","7925"))</f>
        <v>7925</v>
      </c>
      <c r="EC101" s="44">
        <v>100</v>
      </c>
      <c r="ED101" s="60">
        <v>1</v>
      </c>
      <c r="EE101" s="43">
        <f t="shared" si="77"/>
        <v>100</v>
      </c>
      <c r="EF101" s="44">
        <v>1</v>
      </c>
      <c r="EG101" s="44">
        <v>0</v>
      </c>
      <c r="EH101" s="44" t="s">
        <v>867</v>
      </c>
      <c r="EI101" s="45">
        <v>0</v>
      </c>
      <c r="EJ101" s="43">
        <f t="shared" si="78"/>
        <v>5000</v>
      </c>
      <c r="EK101" s="65"/>
    </row>
    <row r="102" spans="1:141" x14ac:dyDescent="0.3">
      <c r="A102" s="7" t="str">
        <f t="shared" si="79"/>
        <v>Execução 98</v>
      </c>
      <c r="B102" s="42"/>
      <c r="C102" s="43" t="str">
        <f>IF(IFERROR(INDEX(Consulta!$A:$DF,MATCH('MM01'!$B102,Consulta!$C:$C,0),'MM01'!C$2),"")=0,"",IFERROR(INDEX(Consulta!$A:$DF,MATCH('MM01'!$B102,Consulta!$C:$C,0),'MM01'!C$2),""))</f>
        <v/>
      </c>
      <c r="D102" s="43" t="str">
        <f>IF(IFERROR(INDEX(Consulta!$A:$DF,MATCH('MM01'!$B102,Consulta!$C:$C,0),'MM01'!D$2),"")=0,"",IFERROR(INDEX(Consulta!$A:$DF,MATCH('MM01'!$B102,Consulta!$C:$C,0),'MM01'!D$2),""))</f>
        <v/>
      </c>
      <c r="E102" s="43" t="str">
        <f>IF(IFERROR(INDEX(Consulta!$A:$DF,MATCH('MM01'!$B102,Consulta!$C:$C,0),'MM01'!E$2),"")=0,"",IFERROR(INDEX(Consulta!$A:$DF,MATCH('MM01'!$B102,Consulta!$C:$C,0),'MM01'!E$2),""))</f>
        <v/>
      </c>
      <c r="F102" s="44" t="s">
        <v>100</v>
      </c>
      <c r="G102" s="49" t="str">
        <f>IF(IFERROR(INDEX(Consulta!$A:$DF,MATCH('MM01'!$B102,Consulta!$C:$C,0),'MM01'!G$2),"")=0,"",IFERROR(INDEX(Consulta!$A:$DF,MATCH('MM01'!$B102,Consulta!$C:$C,0),'MM01'!G$2),""))</f>
        <v/>
      </c>
      <c r="H102" s="49" t="str">
        <f>IF(IFERROR(INDEX(Consulta!$A:$DF,MATCH('MM01'!$B102,Consulta!$C:$C,0),'MM01'!H$2),"")=0,"",IFERROR(INDEX(Consulta!$A:$DF,MATCH('MM01'!$B102,Consulta!$C:$C,0),'MM01'!H$2),""))</f>
        <v/>
      </c>
      <c r="I102" s="49" t="str">
        <f t="shared" si="40"/>
        <v/>
      </c>
      <c r="J102" s="49" t="str">
        <f>IF(IFERROR(INDEX(Consulta!$A:$DF,MATCH('MM01'!$B102,Consulta!$C:$C,0),'MM01'!J$2),"")=0,"",IFERROR(INDEX(Consulta!$A:$DF,MATCH('MM01'!$B102,Consulta!$C:$C,0),'MM01'!J$2),""))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IF(IFERROR(INDEX(Consulta!$A:$DF,MATCH('MM01'!$B102,Consulta!$C:$C,0),'MM01'!AP$2),"")=0,"",IFERROR(INDEX(Consulta!$A:$DF,MATCH('MM01'!$B102,Consulta!$C:$C,0),'MM01'!AP$2),""))</f>
        <v/>
      </c>
      <c r="AQ102" s="45"/>
      <c r="AR102" s="43" t="str">
        <f>IF(IFERROR(INDEX(Consulta!$A:$DF,MATCH('MM01'!$B102,Consulta!$C:$C,0),'MM01'!AR$2),"")=0,"",IFERROR(INDEX(Consulta!$A:$DF,MATCH('MM01'!$B102,Consulta!$C:$C,0),'MM01'!AR$2),""))</f>
        <v/>
      </c>
      <c r="AS102" s="43" t="str">
        <f>IF(IFERROR(INDEX(Consulta!$A:$DF,MATCH('MM01'!$B102,Consulta!$C:$C,0),'MM01'!AS$2),"")=0,"",IF(AR102="68",5102,IFERROR(INDEX(Consulta!$A:$DF,MATCH('MM01'!$B102,Consulta!$C:$C,0),'MM01'!AS$2),"")))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IF(IFERROR(INDEX(Consulta!$A:$DF,MATCH('MM01'!$B102,Consulta!$C:$C,0),'MM01'!AW$2),"")=0,"",IFERROR(ROUND(INDEX(Consulta!$A:$DF,MATCH('MM01'!$B102,Consulta!$C:$C,0),'MM01'!AW$2),3),""))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IF(IFERROR(INDEX(Consulta!$A:$DF,MATCH('MM01'!$B102,Consulta!$C:$C,0),'MM01'!BA$2),"")=0,"",IFERROR(INDEX(Consulta!$A:$DF,MATCH('MM01'!$B102,Consulta!$C:$C,0),'MM01'!BA$2),""))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IF(IFERROR(INDEX(Consulta!$A:$DF,MATCH('MM01'!$B102,Consulta!$C:$C,0),'MM01'!BL$2),"")=0,"",IFERROR(INDEX(Consulta!$A:$DF,MATCH('MM01'!$B102,Consulta!$C:$C,0),'MM01'!BL$2),""))</f>
        <v/>
      </c>
      <c r="BM102" s="45"/>
      <c r="BN102" s="46" t="str">
        <f t="shared" ca="1" si="52"/>
        <v/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IF(IFERROR(INDEX(Consulta!$A:$DF,MATCH('MM01'!$B102,Consulta!$C:$C,0),'MM01'!BX$2),"")=0,"",IFERROR(INDEX(Consulta!$A:$DF,MATCH('MM01'!$B102,Consulta!$C:$C,0),'MM01'!BX$2),""))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IF(IFERROR(INDEX(Consulta!$A:$DF,MATCH('MM01'!$B102,Consulta!$C:$C,0),'MM01'!CT$2),"")=0,"",IFERROR(INDEX(Consulta!$A:$DF,MATCH('MM01'!$B102,Consulta!$C:$C,0),'MM01'!CT$2),""))</f>
        <v/>
      </c>
      <c r="CU102" s="43" t="str">
        <f>IF(IFERROR(INDEX(Consulta!$A:$DF,MATCH('MM01'!$B102,Consulta!$C:$C,0),'MM01'!CU$2),"")=0,"",IFERROR(INDEX(Consulta!$A:$DF,MATCH('MM01'!$B102,Consulta!$C:$C,0),'MM01'!CU$2),""))</f>
        <v/>
      </c>
      <c r="CV102" s="43" t="str">
        <f>IF(IFERROR(INDEX(Consulta!$A:$DF,MATCH('MM01'!$B102,Consulta!$C:$C,0),'MM01'!CV$2),"")=0,"",IFERROR(INDEX(Consulta!$A:$DF,MATCH('MM01'!$B102,Consulta!$C:$C,0),'MM01'!CV$2),""))</f>
        <v/>
      </c>
      <c r="CW102" s="43" t="str">
        <f>IF(IFERROR(INDEX(Consulta!$A:$DF,MATCH('MM01'!$B102,Consulta!$C:$C,0),'MM01'!CW$2),"")=0,"",IFERROR(INDEX(Consulta!$A:$DF,MATCH('MM01'!$B102,Consulta!$C:$C,0),'MM01'!CW$2),""))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IF(IFERROR(INDEX(Consulta!$A:$DF,MATCH('MM01'!$B102,Consulta!$C:$C,0),'MM01'!DA$2),"")=0,"",IFERROR(INDEX(Consulta!$A:$DF,MATCH('MM01'!$B102,Consulta!$C:$C,0),'MM01'!DA$2),""))</f>
        <v/>
      </c>
      <c r="DB102" s="43" t="str">
        <f t="shared" si="61"/>
        <v/>
      </c>
      <c r="DC102" s="43" t="str">
        <f>IF(IFERROR(INDEX(Consulta!$A:$DF,MATCH('MM01'!$B102,Consulta!$C:$C,0),'MM01'!DC$2),"")=0,"",IFERROR(INDEX(Consulta!$A:$DF,MATCH('MM01'!$B102,Consulta!$C:$C,0),'MM01'!DC$2),""))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5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5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5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5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IF(IFERROR(INDEX(Consulta!$A:$DF,MATCH('MM01'!$B102,Consulta!$C:$C,0),'MM01'!EB$2),"")=0,"7925",IF(IFERROR(INDEX(Consulta!$A:$DF,MATCH('MM01'!$B102,Consulta!$C:$C,0),'MM01'!EB$2),"")="68","7910","7925"))</f>
        <v>7925</v>
      </c>
      <c r="EC102" s="44">
        <v>100</v>
      </c>
      <c r="ED102" s="60">
        <v>1</v>
      </c>
      <c r="EE102" s="43">
        <f t="shared" si="77"/>
        <v>100</v>
      </c>
      <c r="EF102" s="44">
        <v>1</v>
      </c>
      <c r="EG102" s="44">
        <v>0</v>
      </c>
      <c r="EH102" s="44" t="s">
        <v>867</v>
      </c>
      <c r="EI102" s="45">
        <v>0</v>
      </c>
      <c r="EJ102" s="43">
        <f t="shared" si="78"/>
        <v>5000</v>
      </c>
      <c r="EK102" s="65"/>
    </row>
    <row r="103" spans="1:141" x14ac:dyDescent="0.3">
      <c r="A103" s="7" t="str">
        <f t="shared" si="79"/>
        <v>Execução 99</v>
      </c>
      <c r="B103" s="42"/>
      <c r="C103" s="43" t="str">
        <f>IF(IFERROR(INDEX(Consulta!$A:$DF,MATCH('MM01'!$B103,Consulta!$C:$C,0),'MM01'!C$2),"")=0,"",IFERROR(INDEX(Consulta!$A:$DF,MATCH('MM01'!$B103,Consulta!$C:$C,0),'MM01'!C$2),""))</f>
        <v/>
      </c>
      <c r="D103" s="43" t="str">
        <f>IF(IFERROR(INDEX(Consulta!$A:$DF,MATCH('MM01'!$B103,Consulta!$C:$C,0),'MM01'!D$2),"")=0,"",IFERROR(INDEX(Consulta!$A:$DF,MATCH('MM01'!$B103,Consulta!$C:$C,0),'MM01'!D$2),""))</f>
        <v/>
      </c>
      <c r="E103" s="43" t="str">
        <f>IF(IFERROR(INDEX(Consulta!$A:$DF,MATCH('MM01'!$B103,Consulta!$C:$C,0),'MM01'!E$2),"")=0,"",IFERROR(INDEX(Consulta!$A:$DF,MATCH('MM01'!$B103,Consulta!$C:$C,0),'MM01'!E$2),""))</f>
        <v/>
      </c>
      <c r="F103" s="44" t="s">
        <v>100</v>
      </c>
      <c r="G103" s="49" t="str">
        <f>IF(IFERROR(INDEX(Consulta!$A:$DF,MATCH('MM01'!$B103,Consulta!$C:$C,0),'MM01'!G$2),"")=0,"",IFERROR(INDEX(Consulta!$A:$DF,MATCH('MM01'!$B103,Consulta!$C:$C,0),'MM01'!G$2),""))</f>
        <v/>
      </c>
      <c r="H103" s="49" t="str">
        <f>IF(IFERROR(INDEX(Consulta!$A:$DF,MATCH('MM01'!$B103,Consulta!$C:$C,0),'MM01'!H$2),"")=0,"",IFERROR(INDEX(Consulta!$A:$DF,MATCH('MM01'!$B103,Consulta!$C:$C,0),'MM01'!H$2),""))</f>
        <v/>
      </c>
      <c r="I103" s="49" t="str">
        <f t="shared" si="40"/>
        <v/>
      </c>
      <c r="J103" s="49" t="str">
        <f>IF(IFERROR(INDEX(Consulta!$A:$DF,MATCH('MM01'!$B103,Consulta!$C:$C,0),'MM01'!J$2),"")=0,"",IFERROR(INDEX(Consulta!$A:$DF,MATCH('MM01'!$B103,Consulta!$C:$C,0),'MM01'!J$2),""))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IF(IFERROR(INDEX(Consulta!$A:$DF,MATCH('MM01'!$B103,Consulta!$C:$C,0),'MM01'!AP$2),"")=0,"",IFERROR(INDEX(Consulta!$A:$DF,MATCH('MM01'!$B103,Consulta!$C:$C,0),'MM01'!AP$2),""))</f>
        <v/>
      </c>
      <c r="AQ103" s="45"/>
      <c r="AR103" s="43" t="str">
        <f>IF(IFERROR(INDEX(Consulta!$A:$DF,MATCH('MM01'!$B103,Consulta!$C:$C,0),'MM01'!AR$2),"")=0,"",IFERROR(INDEX(Consulta!$A:$DF,MATCH('MM01'!$B103,Consulta!$C:$C,0),'MM01'!AR$2),""))</f>
        <v/>
      </c>
      <c r="AS103" s="43" t="str">
        <f>IF(IFERROR(INDEX(Consulta!$A:$DF,MATCH('MM01'!$B103,Consulta!$C:$C,0),'MM01'!AS$2),"")=0,"",IF(AR103="68",5102,IFERROR(INDEX(Consulta!$A:$DF,MATCH('MM01'!$B103,Consulta!$C:$C,0),'MM01'!AS$2),"")))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IF(IFERROR(INDEX(Consulta!$A:$DF,MATCH('MM01'!$B103,Consulta!$C:$C,0),'MM01'!AW$2),"")=0,"",IFERROR(ROUND(INDEX(Consulta!$A:$DF,MATCH('MM01'!$B103,Consulta!$C:$C,0),'MM01'!AW$2),3),""))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IF(IFERROR(INDEX(Consulta!$A:$DF,MATCH('MM01'!$B103,Consulta!$C:$C,0),'MM01'!BA$2),"")=0,"",IFERROR(INDEX(Consulta!$A:$DF,MATCH('MM01'!$B103,Consulta!$C:$C,0),'MM01'!BA$2),""))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IF(IFERROR(INDEX(Consulta!$A:$DF,MATCH('MM01'!$B103,Consulta!$C:$C,0),'MM01'!BL$2),"")=0,"",IFERROR(INDEX(Consulta!$A:$DF,MATCH('MM01'!$B103,Consulta!$C:$C,0),'MM01'!BL$2),""))</f>
        <v/>
      </c>
      <c r="BM103" s="45"/>
      <c r="BN103" s="46" t="str">
        <f t="shared" ca="1" si="52"/>
        <v/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IF(IFERROR(INDEX(Consulta!$A:$DF,MATCH('MM01'!$B103,Consulta!$C:$C,0),'MM01'!BX$2),"")=0,"",IFERROR(INDEX(Consulta!$A:$DF,MATCH('MM01'!$B103,Consulta!$C:$C,0),'MM01'!BX$2),""))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IF(IFERROR(INDEX(Consulta!$A:$DF,MATCH('MM01'!$B103,Consulta!$C:$C,0),'MM01'!CT$2),"")=0,"",IFERROR(INDEX(Consulta!$A:$DF,MATCH('MM01'!$B103,Consulta!$C:$C,0),'MM01'!CT$2),""))</f>
        <v/>
      </c>
      <c r="CU103" s="43" t="str">
        <f>IF(IFERROR(INDEX(Consulta!$A:$DF,MATCH('MM01'!$B103,Consulta!$C:$C,0),'MM01'!CU$2),"")=0,"",IFERROR(INDEX(Consulta!$A:$DF,MATCH('MM01'!$B103,Consulta!$C:$C,0),'MM01'!CU$2),""))</f>
        <v/>
      </c>
      <c r="CV103" s="43" t="str">
        <f>IF(IFERROR(INDEX(Consulta!$A:$DF,MATCH('MM01'!$B103,Consulta!$C:$C,0),'MM01'!CV$2),"")=0,"",IFERROR(INDEX(Consulta!$A:$DF,MATCH('MM01'!$B103,Consulta!$C:$C,0),'MM01'!CV$2),""))</f>
        <v/>
      </c>
      <c r="CW103" s="43" t="str">
        <f>IF(IFERROR(INDEX(Consulta!$A:$DF,MATCH('MM01'!$B103,Consulta!$C:$C,0),'MM01'!CW$2),"")=0,"",IFERROR(INDEX(Consulta!$A:$DF,MATCH('MM01'!$B103,Consulta!$C:$C,0),'MM01'!CW$2),""))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IF(IFERROR(INDEX(Consulta!$A:$DF,MATCH('MM01'!$B103,Consulta!$C:$C,0),'MM01'!DA$2),"")=0,"",IFERROR(INDEX(Consulta!$A:$DF,MATCH('MM01'!$B103,Consulta!$C:$C,0),'MM01'!DA$2),""))</f>
        <v/>
      </c>
      <c r="DB103" s="43" t="str">
        <f t="shared" si="61"/>
        <v/>
      </c>
      <c r="DC103" s="43" t="str">
        <f>IF(IFERROR(INDEX(Consulta!$A:$DF,MATCH('MM01'!$B103,Consulta!$C:$C,0),'MM01'!DC$2),"")=0,"",IFERROR(INDEX(Consulta!$A:$DF,MATCH('MM01'!$B103,Consulta!$C:$C,0),'MM01'!DC$2),""))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5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5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5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5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IF(IFERROR(INDEX(Consulta!$A:$DF,MATCH('MM01'!$B103,Consulta!$C:$C,0),'MM01'!EB$2),"")=0,"7925",IF(IFERROR(INDEX(Consulta!$A:$DF,MATCH('MM01'!$B103,Consulta!$C:$C,0),'MM01'!EB$2),"")="68","7910","7925"))</f>
        <v>7925</v>
      </c>
      <c r="EC103" s="44">
        <v>100</v>
      </c>
      <c r="ED103" s="60">
        <v>1</v>
      </c>
      <c r="EE103" s="43">
        <f t="shared" si="77"/>
        <v>100</v>
      </c>
      <c r="EF103" s="44">
        <v>1</v>
      </c>
      <c r="EG103" s="44">
        <v>0</v>
      </c>
      <c r="EH103" s="44" t="s">
        <v>867</v>
      </c>
      <c r="EI103" s="45">
        <v>0</v>
      </c>
      <c r="EJ103" s="43">
        <f t="shared" si="78"/>
        <v>5000</v>
      </c>
      <c r="EK103" s="65"/>
    </row>
    <row r="104" spans="1:141" x14ac:dyDescent="0.3">
      <c r="A104" s="7" t="str">
        <f t="shared" si="79"/>
        <v>Execução 100</v>
      </c>
      <c r="B104" s="42"/>
      <c r="C104" s="43" t="str">
        <f>IF(IFERROR(INDEX(Consulta!$A:$DF,MATCH('MM01'!$B104,Consulta!$C:$C,0),'MM01'!C$2),"")=0,"",IFERROR(INDEX(Consulta!$A:$DF,MATCH('MM01'!$B104,Consulta!$C:$C,0),'MM01'!C$2),""))</f>
        <v/>
      </c>
      <c r="D104" s="43" t="str">
        <f>IF(IFERROR(INDEX(Consulta!$A:$DF,MATCH('MM01'!$B104,Consulta!$C:$C,0),'MM01'!D$2),"")=0,"",IFERROR(INDEX(Consulta!$A:$DF,MATCH('MM01'!$B104,Consulta!$C:$C,0),'MM01'!D$2),""))</f>
        <v/>
      </c>
      <c r="E104" s="43" t="str">
        <f>IF(IFERROR(INDEX(Consulta!$A:$DF,MATCH('MM01'!$B104,Consulta!$C:$C,0),'MM01'!E$2),"")=0,"",IFERROR(INDEX(Consulta!$A:$DF,MATCH('MM01'!$B104,Consulta!$C:$C,0),'MM01'!E$2),""))</f>
        <v/>
      </c>
      <c r="F104" s="44" t="s">
        <v>100</v>
      </c>
      <c r="G104" s="49" t="str">
        <f>IF(IFERROR(INDEX(Consulta!$A:$DF,MATCH('MM01'!$B104,Consulta!$C:$C,0),'MM01'!G$2),"")=0,"",IFERROR(INDEX(Consulta!$A:$DF,MATCH('MM01'!$B104,Consulta!$C:$C,0),'MM01'!G$2),""))</f>
        <v/>
      </c>
      <c r="H104" s="49" t="str">
        <f>IF(IFERROR(INDEX(Consulta!$A:$DF,MATCH('MM01'!$B104,Consulta!$C:$C,0),'MM01'!H$2),"")=0,"",IFERROR(INDEX(Consulta!$A:$DF,MATCH('MM01'!$B104,Consulta!$C:$C,0),'MM01'!H$2),""))</f>
        <v/>
      </c>
      <c r="I104" s="49" t="str">
        <f t="shared" si="40"/>
        <v/>
      </c>
      <c r="J104" s="49" t="str">
        <f>IF(IFERROR(INDEX(Consulta!$A:$DF,MATCH('MM01'!$B104,Consulta!$C:$C,0),'MM01'!J$2),"")=0,"",IFERROR(INDEX(Consulta!$A:$DF,MATCH('MM01'!$B104,Consulta!$C:$C,0),'MM01'!J$2),""))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IF(IFERROR(INDEX(Consulta!$A:$DF,MATCH('MM01'!$B104,Consulta!$C:$C,0),'MM01'!AP$2),"")=0,"",IFERROR(INDEX(Consulta!$A:$DF,MATCH('MM01'!$B104,Consulta!$C:$C,0),'MM01'!AP$2),""))</f>
        <v/>
      </c>
      <c r="AQ104" s="45"/>
      <c r="AR104" s="43" t="str">
        <f>IF(IFERROR(INDEX(Consulta!$A:$DF,MATCH('MM01'!$B104,Consulta!$C:$C,0),'MM01'!AR$2),"")=0,"",IFERROR(INDEX(Consulta!$A:$DF,MATCH('MM01'!$B104,Consulta!$C:$C,0),'MM01'!AR$2),""))</f>
        <v/>
      </c>
      <c r="AS104" s="43" t="str">
        <f>IF(IFERROR(INDEX(Consulta!$A:$DF,MATCH('MM01'!$B104,Consulta!$C:$C,0),'MM01'!AS$2),"")=0,"",IF(AR104="68",5102,IFERROR(INDEX(Consulta!$A:$DF,MATCH('MM01'!$B104,Consulta!$C:$C,0),'MM01'!AS$2),"")))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IF(IFERROR(INDEX(Consulta!$A:$DF,MATCH('MM01'!$B104,Consulta!$C:$C,0),'MM01'!AW$2),"")=0,"",IFERROR(ROUND(INDEX(Consulta!$A:$DF,MATCH('MM01'!$B104,Consulta!$C:$C,0),'MM01'!AW$2),3),""))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IF(IFERROR(INDEX(Consulta!$A:$DF,MATCH('MM01'!$B104,Consulta!$C:$C,0),'MM01'!BA$2),"")=0,"",IFERROR(INDEX(Consulta!$A:$DF,MATCH('MM01'!$B104,Consulta!$C:$C,0),'MM01'!BA$2),""))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IF(IFERROR(INDEX(Consulta!$A:$DF,MATCH('MM01'!$B104,Consulta!$C:$C,0),'MM01'!BL$2),"")=0,"",IFERROR(INDEX(Consulta!$A:$DF,MATCH('MM01'!$B104,Consulta!$C:$C,0),'MM01'!BL$2),""))</f>
        <v/>
      </c>
      <c r="BM104" s="45"/>
      <c r="BN104" s="46" t="str">
        <f t="shared" ca="1" si="52"/>
        <v/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IF(IFERROR(INDEX(Consulta!$A:$DF,MATCH('MM01'!$B104,Consulta!$C:$C,0),'MM01'!BX$2),"")=0,"",IFERROR(INDEX(Consulta!$A:$DF,MATCH('MM01'!$B104,Consulta!$C:$C,0),'MM01'!BX$2),""))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IF(IFERROR(INDEX(Consulta!$A:$DF,MATCH('MM01'!$B104,Consulta!$C:$C,0),'MM01'!CT$2),"")=0,"",IFERROR(INDEX(Consulta!$A:$DF,MATCH('MM01'!$B104,Consulta!$C:$C,0),'MM01'!CT$2),""))</f>
        <v/>
      </c>
      <c r="CU104" s="43" t="str">
        <f>IF(IFERROR(INDEX(Consulta!$A:$DF,MATCH('MM01'!$B104,Consulta!$C:$C,0),'MM01'!CU$2),"")=0,"",IFERROR(INDEX(Consulta!$A:$DF,MATCH('MM01'!$B104,Consulta!$C:$C,0),'MM01'!CU$2),""))</f>
        <v/>
      </c>
      <c r="CV104" s="43" t="str">
        <f>IF(IFERROR(INDEX(Consulta!$A:$DF,MATCH('MM01'!$B104,Consulta!$C:$C,0),'MM01'!CV$2),"")=0,"",IFERROR(INDEX(Consulta!$A:$DF,MATCH('MM01'!$B104,Consulta!$C:$C,0),'MM01'!CV$2),""))</f>
        <v/>
      </c>
      <c r="CW104" s="43" t="str">
        <f>IF(IFERROR(INDEX(Consulta!$A:$DF,MATCH('MM01'!$B104,Consulta!$C:$C,0),'MM01'!CW$2),"")=0,"",IFERROR(INDEX(Consulta!$A:$DF,MATCH('MM01'!$B104,Consulta!$C:$C,0),'MM01'!CW$2),""))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IF(IFERROR(INDEX(Consulta!$A:$DF,MATCH('MM01'!$B104,Consulta!$C:$C,0),'MM01'!DA$2),"")=0,"",IFERROR(INDEX(Consulta!$A:$DF,MATCH('MM01'!$B104,Consulta!$C:$C,0),'MM01'!DA$2),""))</f>
        <v/>
      </c>
      <c r="DB104" s="43" t="str">
        <f t="shared" si="61"/>
        <v/>
      </c>
      <c r="DC104" s="43" t="str">
        <f>IF(IFERROR(INDEX(Consulta!$A:$DF,MATCH('MM01'!$B104,Consulta!$C:$C,0),'MM01'!DC$2),"")=0,"",IFERROR(INDEX(Consulta!$A:$DF,MATCH('MM01'!$B104,Consulta!$C:$C,0),'MM01'!DC$2),""))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5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5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5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5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IF(IFERROR(INDEX(Consulta!$A:$DF,MATCH('MM01'!$B104,Consulta!$C:$C,0),'MM01'!EB$2),"")=0,"7925",IF(IFERROR(INDEX(Consulta!$A:$DF,MATCH('MM01'!$B104,Consulta!$C:$C,0),'MM01'!EB$2),"")="68","7910","7925"))</f>
        <v>7925</v>
      </c>
      <c r="EC104" s="44">
        <v>100</v>
      </c>
      <c r="ED104" s="60">
        <v>1</v>
      </c>
      <c r="EE104" s="43">
        <f t="shared" si="77"/>
        <v>100</v>
      </c>
      <c r="EF104" s="44">
        <v>1</v>
      </c>
      <c r="EG104" s="44">
        <v>0</v>
      </c>
      <c r="EH104" s="44" t="s">
        <v>867</v>
      </c>
      <c r="EI104" s="45">
        <v>0</v>
      </c>
      <c r="EJ104" s="43">
        <f t="shared" si="78"/>
        <v>5000</v>
      </c>
      <c r="EK104" s="66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IF(IFERROR(INDEX(Consulta!$A:$DF,MATCH('MM01'!$B105,Consulta!$C:$C,0),'MM01'!C$2),"")=0,"",IFERROR(INDEX(Consulta!$A:$DF,MATCH('MM01'!$B105,Consulta!$C:$C,0),'MM01'!C$2),""))</f>
        <v/>
      </c>
      <c r="D105" s="43" t="str">
        <f>IF(IFERROR(INDEX(Consulta!$A:$DF,MATCH('MM01'!$B105,Consulta!$C:$C,0),'MM01'!D$2),"")=0,"",IFERROR(INDEX(Consulta!$A:$DF,MATCH('MM01'!$B105,Consulta!$C:$C,0),'MM01'!D$2),""))</f>
        <v/>
      </c>
      <c r="E105" s="43" t="str">
        <f>IF(IFERROR(INDEX(Consulta!$A:$DF,MATCH('MM01'!$B105,Consulta!$C:$C,0),'MM01'!E$2),"")=0,"",IFERROR(INDEX(Consulta!$A:$DF,MATCH('MM01'!$B105,Consulta!$C:$C,0),'MM01'!E$2),""))</f>
        <v/>
      </c>
      <c r="F105" s="44" t="s">
        <v>100</v>
      </c>
      <c r="G105" s="49" t="str">
        <f>IF(IFERROR(INDEX(Consulta!$A:$DF,MATCH('MM01'!$B105,Consulta!$C:$C,0),'MM01'!G$2),"")=0,"",IFERROR(INDEX(Consulta!$A:$DF,MATCH('MM01'!$B105,Consulta!$C:$C,0),'MM01'!G$2),""))</f>
        <v/>
      </c>
      <c r="H105" s="49" t="str">
        <f>IF(IFERROR(INDEX(Consulta!$A:$DF,MATCH('MM01'!$B105,Consulta!$C:$C,0),'MM01'!H$2),"")=0,"",IFERROR(INDEX(Consulta!$A:$DF,MATCH('MM01'!$B105,Consulta!$C:$C,0),'MM01'!H$2),""))</f>
        <v/>
      </c>
      <c r="I105" s="49" t="str">
        <f>G105</f>
        <v/>
      </c>
      <c r="J105" s="49" t="str">
        <f>IF(IFERROR(INDEX(Consulta!$A:$DF,MATCH('MM01'!$B105,Consulta!$C:$C,0),'MM01'!J$2),"")=0,"",IFERROR(INDEX(Consulta!$A:$DF,MATCH('MM01'!$B105,Consulta!$C:$C,0),'MM01'!J$2),""))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IF(IFERROR(INDEX(Consulta!$A:$DF,MATCH('MM01'!$B105,Consulta!$C:$C,0),'MM01'!AP$2),"")=0,"",IFERROR(INDEX(Consulta!$A:$DF,MATCH('MM01'!$B105,Consulta!$C:$C,0),'MM01'!AP$2),""))</f>
        <v/>
      </c>
      <c r="AQ105" s="45"/>
      <c r="AR105" s="43" t="str">
        <f>IF(IFERROR(INDEX(Consulta!$A:$DF,MATCH('MM01'!$B105,Consulta!$C:$C,0),'MM01'!AR$2),"")=0,"",IFERROR(INDEX(Consulta!$A:$DF,MATCH('MM01'!$B105,Consulta!$C:$C,0),'MM01'!AR$2),""))</f>
        <v/>
      </c>
      <c r="AS105" s="43" t="str">
        <f>IF(IFERROR(INDEX(Consulta!$A:$DF,MATCH('MM01'!$B105,Consulta!$C:$C,0),'MM01'!AS$2),"")=0,"",IF(AR105="68",5102,IFERROR(INDEX(Consulta!$A:$DF,MATCH('MM01'!$B105,Consulta!$C:$C,0),'MM01'!AS$2),"")))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IF(IFERROR(INDEX(Consulta!$A:$DF,MATCH('MM01'!$B105,Consulta!$C:$C,0),'MM01'!AW$2),"")=0,"",IFERROR(ROUND(INDEX(Consulta!$A:$DF,MATCH('MM01'!$B105,Consulta!$C:$C,0),'MM01'!AW$2),3),""))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IF(IFERROR(INDEX(Consulta!$A:$DF,MATCH('MM01'!$B105,Consulta!$C:$C,0),'MM01'!BA$2),"")=0,"",IFERROR(INDEX(Consulta!$A:$DF,MATCH('MM01'!$B105,Consulta!$C:$C,0),'MM01'!BA$2),""))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IF(IFERROR(INDEX(Consulta!$A:$DF,MATCH('MM01'!$B105,Consulta!$C:$C,0),'MM01'!BL$2),"")=0,"",IFERROR(INDEX(Consulta!$A:$DF,MATCH('MM01'!$B105,Consulta!$C:$C,0),'MM01'!BL$2),""))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IF(IFERROR(INDEX(Consulta!$A:$DF,MATCH('MM01'!$B105,Consulta!$C:$C,0),'MM01'!BX$2),"")=0,"",IFERROR(INDEX(Consulta!$A:$DF,MATCH('MM01'!$B105,Consulta!$C:$C,0),'MM01'!BX$2),""))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IF(IFERROR(INDEX(Consulta!$A:$DF,MATCH('MM01'!$B105,Consulta!$C:$C,0),'MM01'!CT$2),"")=0,"",IFERROR(INDEX(Consulta!$A:$DF,MATCH('MM01'!$B105,Consulta!$C:$C,0),'MM01'!CT$2),""))</f>
        <v/>
      </c>
      <c r="CU105" s="43" t="str">
        <f>IF(IFERROR(INDEX(Consulta!$A:$DF,MATCH('MM01'!$B105,Consulta!$C:$C,0),'MM01'!CU$2),"")=0,"",IFERROR(INDEX(Consulta!$A:$DF,MATCH('MM01'!$B105,Consulta!$C:$C,0),'MM01'!CU$2),""))</f>
        <v/>
      </c>
      <c r="CV105" s="43" t="str">
        <f>IF(IFERROR(INDEX(Consulta!$A:$DF,MATCH('MM01'!$B105,Consulta!$C:$C,0),'MM01'!CV$2),"")=0,"",IFERROR(INDEX(Consulta!$A:$DF,MATCH('MM01'!$B105,Consulta!$C:$C,0),'MM01'!CV$2),""))</f>
        <v/>
      </c>
      <c r="CW105" s="43" t="str">
        <f>IF(IFERROR(INDEX(Consulta!$A:$DF,MATCH('MM01'!$B105,Consulta!$C:$C,0),'MM01'!CW$2),"")=0,"",IFERROR(INDEX(Consulta!$A:$DF,MATCH('MM01'!$B105,Consulta!$C:$C,0),'MM01'!CW$2),""))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IF(IFERROR(INDEX(Consulta!$A:$DF,MATCH('MM01'!$B105,Consulta!$C:$C,0),'MM01'!DA$2),"")=0,"",IFERROR(INDEX(Consulta!$A:$DF,MATCH('MM01'!$B105,Consulta!$C:$C,0),'MM01'!DA$2),""))</f>
        <v/>
      </c>
      <c r="DB105" s="43" t="str">
        <f>IF(E105=0,"",E105)</f>
        <v/>
      </c>
      <c r="DC105" s="43" t="str">
        <f>IF(IFERROR(INDEX(Consulta!$A:$DF,MATCH('MM01'!$B105,Consulta!$C:$C,0),'MM01'!DC$2),"")=0,"",IFERROR(INDEX(Consulta!$A:$DF,MATCH('MM01'!$B105,Consulta!$C:$C,0),'MM01'!DC$2),""))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5" t="s">
        <v>747</v>
      </c>
      <c r="DI105" s="43" t="str">
        <f ca="1">IF(DH105&lt;&gt;0,TEXT(TODAY(),"dd.mm.aaaa"),"")</f>
        <v>08.02.2022</v>
      </c>
      <c r="DJ105" s="43" t="str">
        <f>IF(DH105&lt;&gt;0,"31.12.9999","")</f>
        <v>31.12.9999</v>
      </c>
      <c r="DK105" s="43" t="str">
        <f>IF(DL105&lt;&gt;0,2,"")</f>
        <v/>
      </c>
      <c r="DL105" s="55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5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5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IF(IFERROR(INDEX(Consulta!$A:$DF,MATCH('MM01'!$B105,Consulta!$C:$C,0),'MM01'!EB$2),"")=0,"7925",IF(IFERROR(INDEX(Consulta!$A:$DF,MATCH('MM01'!$B105,Consulta!$C:$C,0),'MM01'!EB$2),"")="68","7910","7925"))</f>
        <v>7925</v>
      </c>
      <c r="EC105" s="44">
        <v>100</v>
      </c>
      <c r="ED105" s="60">
        <v>1</v>
      </c>
      <c r="EE105" s="43">
        <f>EC105</f>
        <v>100</v>
      </c>
      <c r="EF105" s="44">
        <v>1</v>
      </c>
      <c r="EG105" s="44">
        <v>0</v>
      </c>
      <c r="EH105" s="44" t="s">
        <v>867</v>
      </c>
      <c r="EI105" s="45">
        <v>0</v>
      </c>
      <c r="EJ105" s="43">
        <f>CS105</f>
        <v>5000</v>
      </c>
      <c r="EK105" s="64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IF(IFERROR(INDEX(Consulta!$A:$DF,MATCH('MM01'!$B106,Consulta!$C:$C,0),'MM01'!C$2),"")=0,"",IFERROR(INDEX(Consulta!$A:$DF,MATCH('MM01'!$B106,Consulta!$C:$C,0),'MM01'!C$2),""))</f>
        <v/>
      </c>
      <c r="D106" s="43" t="str">
        <f>IF(IFERROR(INDEX(Consulta!$A:$DF,MATCH('MM01'!$B106,Consulta!$C:$C,0),'MM01'!D$2),"")=0,"",IFERROR(INDEX(Consulta!$A:$DF,MATCH('MM01'!$B106,Consulta!$C:$C,0),'MM01'!D$2),""))</f>
        <v/>
      </c>
      <c r="E106" s="43" t="str">
        <f>IF(IFERROR(INDEX(Consulta!$A:$DF,MATCH('MM01'!$B106,Consulta!$C:$C,0),'MM01'!E$2),"")=0,"",IFERROR(INDEX(Consulta!$A:$DF,MATCH('MM01'!$B106,Consulta!$C:$C,0),'MM01'!E$2),""))</f>
        <v/>
      </c>
      <c r="F106" s="44" t="s">
        <v>100</v>
      </c>
      <c r="G106" s="49" t="str">
        <f>IF(IFERROR(INDEX(Consulta!$A:$DF,MATCH('MM01'!$B106,Consulta!$C:$C,0),'MM01'!G$2),"")=0,"",IFERROR(INDEX(Consulta!$A:$DF,MATCH('MM01'!$B106,Consulta!$C:$C,0),'MM01'!G$2),""))</f>
        <v/>
      </c>
      <c r="H106" s="49" t="str">
        <f>IF(IFERROR(INDEX(Consulta!$A:$DF,MATCH('MM01'!$B106,Consulta!$C:$C,0),'MM01'!H$2),"")=0,"",IFERROR(INDEX(Consulta!$A:$DF,MATCH('MM01'!$B106,Consulta!$C:$C,0),'MM01'!H$2),""))</f>
        <v/>
      </c>
      <c r="I106" s="49" t="str">
        <f t="shared" ref="I106:I154" si="81">G106</f>
        <v/>
      </c>
      <c r="J106" s="49" t="str">
        <f>IF(IFERROR(INDEX(Consulta!$A:$DF,MATCH('MM01'!$B106,Consulta!$C:$C,0),'MM01'!J$2),"")=0,"",IFERROR(INDEX(Consulta!$A:$DF,MATCH('MM01'!$B106,Consulta!$C:$C,0),'MM01'!J$2),""))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IF(IFERROR(INDEX(Consulta!$A:$DF,MATCH('MM01'!$B106,Consulta!$C:$C,0),'MM01'!AP$2),"")=0,"",IFERROR(INDEX(Consulta!$A:$DF,MATCH('MM01'!$B106,Consulta!$C:$C,0),'MM01'!AP$2),""))</f>
        <v/>
      </c>
      <c r="AQ106" s="45"/>
      <c r="AR106" s="43" t="str">
        <f>IF(IFERROR(INDEX(Consulta!$A:$DF,MATCH('MM01'!$B106,Consulta!$C:$C,0),'MM01'!AR$2),"")=0,"",IFERROR(INDEX(Consulta!$A:$DF,MATCH('MM01'!$B106,Consulta!$C:$C,0),'MM01'!AR$2),""))</f>
        <v/>
      </c>
      <c r="AS106" s="43" t="str">
        <f>IF(IFERROR(INDEX(Consulta!$A:$DF,MATCH('MM01'!$B106,Consulta!$C:$C,0),'MM01'!AS$2),"")=0,"",IF(AR106="68",5102,IFERROR(INDEX(Consulta!$A:$DF,MATCH('MM01'!$B106,Consulta!$C:$C,0),'MM01'!AS$2),"")))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IF(IFERROR(INDEX(Consulta!$A:$DF,MATCH('MM01'!$B106,Consulta!$C:$C,0),'MM01'!AW$2),"")=0,"",IFERROR(ROUND(INDEX(Consulta!$A:$DF,MATCH('MM01'!$B106,Consulta!$C:$C,0),'MM01'!AW$2),3),""))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IF(IFERROR(INDEX(Consulta!$A:$DF,MATCH('MM01'!$B106,Consulta!$C:$C,0),'MM01'!BA$2),"")=0,"",IFERROR(INDEX(Consulta!$A:$DF,MATCH('MM01'!$B106,Consulta!$C:$C,0),'MM01'!BA$2),""))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IF(IFERROR(INDEX(Consulta!$A:$DF,MATCH('MM01'!$B106,Consulta!$C:$C,0),'MM01'!BL$2),"")=0,"",IFERROR(INDEX(Consulta!$A:$DF,MATCH('MM01'!$B106,Consulta!$C:$C,0),'MM01'!BL$2),""))</f>
        <v/>
      </c>
      <c r="BM106" s="45"/>
      <c r="BN106" s="46" t="str">
        <f t="shared" ref="BN106:BN154" ca="1" si="93">IF(BM106&lt;&gt;0,TEXT(TODAY(),"DD.MM.AAAA"),"")</f>
        <v/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IF(IFERROR(INDEX(Consulta!$A:$DF,MATCH('MM01'!$B106,Consulta!$C:$C,0),'MM01'!BX$2),"")=0,"",IFERROR(INDEX(Consulta!$A:$DF,MATCH('MM01'!$B106,Consulta!$C:$C,0),'MM01'!BX$2),""))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IF(IFERROR(INDEX(Consulta!$A:$DF,MATCH('MM01'!$B106,Consulta!$C:$C,0),'MM01'!CT$2),"")=0,"",IFERROR(INDEX(Consulta!$A:$DF,MATCH('MM01'!$B106,Consulta!$C:$C,0),'MM01'!CT$2),""))</f>
        <v/>
      </c>
      <c r="CU106" s="43" t="str">
        <f>IF(IFERROR(INDEX(Consulta!$A:$DF,MATCH('MM01'!$B106,Consulta!$C:$C,0),'MM01'!CU$2),"")=0,"",IFERROR(INDEX(Consulta!$A:$DF,MATCH('MM01'!$B106,Consulta!$C:$C,0),'MM01'!CU$2),""))</f>
        <v/>
      </c>
      <c r="CV106" s="43" t="str">
        <f>IF(IFERROR(INDEX(Consulta!$A:$DF,MATCH('MM01'!$B106,Consulta!$C:$C,0),'MM01'!CV$2),"")=0,"",IFERROR(INDEX(Consulta!$A:$DF,MATCH('MM01'!$B106,Consulta!$C:$C,0),'MM01'!CV$2),""))</f>
        <v/>
      </c>
      <c r="CW106" s="43" t="str">
        <f>IF(IFERROR(INDEX(Consulta!$A:$DF,MATCH('MM01'!$B106,Consulta!$C:$C,0),'MM01'!CW$2),"")=0,"",IFERROR(INDEX(Consulta!$A:$DF,MATCH('MM01'!$B106,Consulta!$C:$C,0),'MM01'!CW$2),""))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IF(IFERROR(INDEX(Consulta!$A:$DF,MATCH('MM01'!$B106,Consulta!$C:$C,0),'MM01'!DA$2),"")=0,"",IFERROR(INDEX(Consulta!$A:$DF,MATCH('MM01'!$B106,Consulta!$C:$C,0),'MM01'!DA$2),""))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IF(IFERROR(INDEX(Consulta!$A:$DF,MATCH('MM01'!$B106,Consulta!$C:$C,0),'MM01'!DC$2),"")=0,"",IFERROR(INDEX(Consulta!$A:$DF,MATCH('MM01'!$B106,Consulta!$C:$C,0),'MM01'!DC$2),""))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5" t="s">
        <v>747</v>
      </c>
      <c r="DI106" s="43" t="str">
        <f t="shared" ref="DI106:DI154" ca="1" si="105">IF(DH106&lt;&gt;0,TEXT(TODAY(),"dd.mm.aaaa"),"")</f>
        <v>08.02.2022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5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5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5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IF(IFERROR(INDEX(Consulta!$A:$DF,MATCH('MM01'!$B106,Consulta!$C:$C,0),'MM01'!EB$2),"")=0,"7925",IF(IFERROR(INDEX(Consulta!$A:$DF,MATCH('MM01'!$B106,Consulta!$C:$C,0),'MM01'!EB$2),"")="68","7910","7925"))</f>
        <v>7925</v>
      </c>
      <c r="EC106" s="44">
        <v>100</v>
      </c>
      <c r="ED106" s="60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867</v>
      </c>
      <c r="EI106" s="45">
        <v>0</v>
      </c>
      <c r="EJ106" s="43">
        <f t="shared" ref="EJ106:EJ154" si="119">CS106</f>
        <v>5000</v>
      </c>
      <c r="EK106" s="65"/>
    </row>
    <row r="107" spans="1:141" x14ac:dyDescent="0.3">
      <c r="A107" s="7" t="str">
        <f t="shared" si="80"/>
        <v>Execução 103</v>
      </c>
      <c r="B107" s="42"/>
      <c r="C107" s="43" t="str">
        <f>IF(IFERROR(INDEX(Consulta!$A:$DF,MATCH('MM01'!$B107,Consulta!$C:$C,0),'MM01'!C$2),"")=0,"",IFERROR(INDEX(Consulta!$A:$DF,MATCH('MM01'!$B107,Consulta!$C:$C,0),'MM01'!C$2),""))</f>
        <v/>
      </c>
      <c r="D107" s="43" t="str">
        <f>IF(IFERROR(INDEX(Consulta!$A:$DF,MATCH('MM01'!$B107,Consulta!$C:$C,0),'MM01'!D$2),"")=0,"",IFERROR(INDEX(Consulta!$A:$DF,MATCH('MM01'!$B107,Consulta!$C:$C,0),'MM01'!D$2),""))</f>
        <v/>
      </c>
      <c r="E107" s="43" t="str">
        <f>IF(IFERROR(INDEX(Consulta!$A:$DF,MATCH('MM01'!$B107,Consulta!$C:$C,0),'MM01'!E$2),"")=0,"",IFERROR(INDEX(Consulta!$A:$DF,MATCH('MM01'!$B107,Consulta!$C:$C,0),'MM01'!E$2),""))</f>
        <v/>
      </c>
      <c r="F107" s="44" t="s">
        <v>100</v>
      </c>
      <c r="G107" s="49" t="str">
        <f>IF(IFERROR(INDEX(Consulta!$A:$DF,MATCH('MM01'!$B107,Consulta!$C:$C,0),'MM01'!G$2),"")=0,"",IFERROR(INDEX(Consulta!$A:$DF,MATCH('MM01'!$B107,Consulta!$C:$C,0),'MM01'!G$2),""))</f>
        <v/>
      </c>
      <c r="H107" s="49" t="str">
        <f>IF(IFERROR(INDEX(Consulta!$A:$DF,MATCH('MM01'!$B107,Consulta!$C:$C,0),'MM01'!H$2),"")=0,"",IFERROR(INDEX(Consulta!$A:$DF,MATCH('MM01'!$B107,Consulta!$C:$C,0),'MM01'!H$2),""))</f>
        <v/>
      </c>
      <c r="I107" s="49" t="str">
        <f t="shared" si="81"/>
        <v/>
      </c>
      <c r="J107" s="49" t="str">
        <f>IF(IFERROR(INDEX(Consulta!$A:$DF,MATCH('MM01'!$B107,Consulta!$C:$C,0),'MM01'!J$2),"")=0,"",IFERROR(INDEX(Consulta!$A:$DF,MATCH('MM01'!$B107,Consulta!$C:$C,0),'MM01'!J$2),""))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IF(IFERROR(INDEX(Consulta!$A:$DF,MATCH('MM01'!$B107,Consulta!$C:$C,0),'MM01'!AP$2),"")=0,"",IFERROR(INDEX(Consulta!$A:$DF,MATCH('MM01'!$B107,Consulta!$C:$C,0),'MM01'!AP$2),""))</f>
        <v/>
      </c>
      <c r="AQ107" s="45"/>
      <c r="AR107" s="43" t="str">
        <f>IF(IFERROR(INDEX(Consulta!$A:$DF,MATCH('MM01'!$B107,Consulta!$C:$C,0),'MM01'!AR$2),"")=0,"",IFERROR(INDEX(Consulta!$A:$DF,MATCH('MM01'!$B107,Consulta!$C:$C,0),'MM01'!AR$2),""))</f>
        <v/>
      </c>
      <c r="AS107" s="43" t="str">
        <f>IF(IFERROR(INDEX(Consulta!$A:$DF,MATCH('MM01'!$B107,Consulta!$C:$C,0),'MM01'!AS$2),"")=0,"",IF(AR107="68",5102,IFERROR(INDEX(Consulta!$A:$DF,MATCH('MM01'!$B107,Consulta!$C:$C,0),'MM01'!AS$2),"")))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IF(IFERROR(INDEX(Consulta!$A:$DF,MATCH('MM01'!$B107,Consulta!$C:$C,0),'MM01'!AW$2),"")=0,"",IFERROR(ROUND(INDEX(Consulta!$A:$DF,MATCH('MM01'!$B107,Consulta!$C:$C,0),'MM01'!AW$2),3),""))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IF(IFERROR(INDEX(Consulta!$A:$DF,MATCH('MM01'!$B107,Consulta!$C:$C,0),'MM01'!BA$2),"")=0,"",IFERROR(INDEX(Consulta!$A:$DF,MATCH('MM01'!$B107,Consulta!$C:$C,0),'MM01'!BA$2),""))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IF(IFERROR(INDEX(Consulta!$A:$DF,MATCH('MM01'!$B107,Consulta!$C:$C,0),'MM01'!BL$2),"")=0,"",IFERROR(INDEX(Consulta!$A:$DF,MATCH('MM01'!$B107,Consulta!$C:$C,0),'MM01'!BL$2),""))</f>
        <v/>
      </c>
      <c r="BM107" s="45"/>
      <c r="BN107" s="46" t="str">
        <f t="shared" ca="1" si="93"/>
        <v/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IF(IFERROR(INDEX(Consulta!$A:$DF,MATCH('MM01'!$B107,Consulta!$C:$C,0),'MM01'!BX$2),"")=0,"",IFERROR(INDEX(Consulta!$A:$DF,MATCH('MM01'!$B107,Consulta!$C:$C,0),'MM01'!BX$2),""))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IF(IFERROR(INDEX(Consulta!$A:$DF,MATCH('MM01'!$B107,Consulta!$C:$C,0),'MM01'!CT$2),"")=0,"",IFERROR(INDEX(Consulta!$A:$DF,MATCH('MM01'!$B107,Consulta!$C:$C,0),'MM01'!CT$2),""))</f>
        <v/>
      </c>
      <c r="CU107" s="43" t="str">
        <f>IF(IFERROR(INDEX(Consulta!$A:$DF,MATCH('MM01'!$B107,Consulta!$C:$C,0),'MM01'!CU$2),"")=0,"",IFERROR(INDEX(Consulta!$A:$DF,MATCH('MM01'!$B107,Consulta!$C:$C,0),'MM01'!CU$2),""))</f>
        <v/>
      </c>
      <c r="CV107" s="43" t="str">
        <f>IF(IFERROR(INDEX(Consulta!$A:$DF,MATCH('MM01'!$B107,Consulta!$C:$C,0),'MM01'!CV$2),"")=0,"",IFERROR(INDEX(Consulta!$A:$DF,MATCH('MM01'!$B107,Consulta!$C:$C,0),'MM01'!CV$2),""))</f>
        <v/>
      </c>
      <c r="CW107" s="43" t="str">
        <f>IF(IFERROR(INDEX(Consulta!$A:$DF,MATCH('MM01'!$B107,Consulta!$C:$C,0),'MM01'!CW$2),"")=0,"",IFERROR(INDEX(Consulta!$A:$DF,MATCH('MM01'!$B107,Consulta!$C:$C,0),'MM01'!CW$2),""))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IF(IFERROR(INDEX(Consulta!$A:$DF,MATCH('MM01'!$B107,Consulta!$C:$C,0),'MM01'!DA$2),"")=0,"",IFERROR(INDEX(Consulta!$A:$DF,MATCH('MM01'!$B107,Consulta!$C:$C,0),'MM01'!DA$2),""))</f>
        <v/>
      </c>
      <c r="DB107" s="43" t="str">
        <f t="shared" si="102"/>
        <v/>
      </c>
      <c r="DC107" s="43" t="str">
        <f>IF(IFERROR(INDEX(Consulta!$A:$DF,MATCH('MM01'!$B107,Consulta!$C:$C,0),'MM01'!DC$2),"")=0,"",IFERROR(INDEX(Consulta!$A:$DF,MATCH('MM01'!$B107,Consulta!$C:$C,0),'MM01'!DC$2),""))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5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5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5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5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IF(IFERROR(INDEX(Consulta!$A:$DF,MATCH('MM01'!$B107,Consulta!$C:$C,0),'MM01'!EB$2),"")=0,"7925",IF(IFERROR(INDEX(Consulta!$A:$DF,MATCH('MM01'!$B107,Consulta!$C:$C,0),'MM01'!EB$2),"")="68","7910","7925"))</f>
        <v>7925</v>
      </c>
      <c r="EC107" s="44">
        <v>100</v>
      </c>
      <c r="ED107" s="60">
        <v>1</v>
      </c>
      <c r="EE107" s="43">
        <f t="shared" si="118"/>
        <v>100</v>
      </c>
      <c r="EF107" s="44">
        <v>1</v>
      </c>
      <c r="EG107" s="44">
        <v>0</v>
      </c>
      <c r="EH107" s="44" t="s">
        <v>867</v>
      </c>
      <c r="EI107" s="45">
        <v>0</v>
      </c>
      <c r="EJ107" s="43">
        <f t="shared" si="119"/>
        <v>5000</v>
      </c>
      <c r="EK107" s="65"/>
    </row>
    <row r="108" spans="1:141" x14ac:dyDescent="0.3">
      <c r="A108" s="7" t="str">
        <f t="shared" si="80"/>
        <v>Execução 104</v>
      </c>
      <c r="B108" s="42"/>
      <c r="C108" s="43" t="str">
        <f>IF(IFERROR(INDEX(Consulta!$A:$DF,MATCH('MM01'!$B108,Consulta!$C:$C,0),'MM01'!C$2),"")=0,"",IFERROR(INDEX(Consulta!$A:$DF,MATCH('MM01'!$B108,Consulta!$C:$C,0),'MM01'!C$2),""))</f>
        <v/>
      </c>
      <c r="D108" s="43" t="str">
        <f>IF(IFERROR(INDEX(Consulta!$A:$DF,MATCH('MM01'!$B108,Consulta!$C:$C,0),'MM01'!D$2),"")=0,"",IFERROR(INDEX(Consulta!$A:$DF,MATCH('MM01'!$B108,Consulta!$C:$C,0),'MM01'!D$2),""))</f>
        <v/>
      </c>
      <c r="E108" s="43" t="str">
        <f>IF(IFERROR(INDEX(Consulta!$A:$DF,MATCH('MM01'!$B108,Consulta!$C:$C,0),'MM01'!E$2),"")=0,"",IFERROR(INDEX(Consulta!$A:$DF,MATCH('MM01'!$B108,Consulta!$C:$C,0),'MM01'!E$2),""))</f>
        <v/>
      </c>
      <c r="F108" s="44" t="s">
        <v>100</v>
      </c>
      <c r="G108" s="49" t="str">
        <f>IF(IFERROR(INDEX(Consulta!$A:$DF,MATCH('MM01'!$B108,Consulta!$C:$C,0),'MM01'!G$2),"")=0,"",IFERROR(INDEX(Consulta!$A:$DF,MATCH('MM01'!$B108,Consulta!$C:$C,0),'MM01'!G$2),""))</f>
        <v/>
      </c>
      <c r="H108" s="49" t="str">
        <f>IF(IFERROR(INDEX(Consulta!$A:$DF,MATCH('MM01'!$B108,Consulta!$C:$C,0),'MM01'!H$2),"")=0,"",IFERROR(INDEX(Consulta!$A:$DF,MATCH('MM01'!$B108,Consulta!$C:$C,0),'MM01'!H$2),""))</f>
        <v/>
      </c>
      <c r="I108" s="49" t="str">
        <f t="shared" si="81"/>
        <v/>
      </c>
      <c r="J108" s="49" t="str">
        <f>IF(IFERROR(INDEX(Consulta!$A:$DF,MATCH('MM01'!$B108,Consulta!$C:$C,0),'MM01'!J$2),"")=0,"",IFERROR(INDEX(Consulta!$A:$DF,MATCH('MM01'!$B108,Consulta!$C:$C,0),'MM01'!J$2),""))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IF(IFERROR(INDEX(Consulta!$A:$DF,MATCH('MM01'!$B108,Consulta!$C:$C,0),'MM01'!AP$2),"")=0,"",IFERROR(INDEX(Consulta!$A:$DF,MATCH('MM01'!$B108,Consulta!$C:$C,0),'MM01'!AP$2),""))</f>
        <v/>
      </c>
      <c r="AQ108" s="45"/>
      <c r="AR108" s="43" t="str">
        <f>IF(IFERROR(INDEX(Consulta!$A:$DF,MATCH('MM01'!$B108,Consulta!$C:$C,0),'MM01'!AR$2),"")=0,"",IFERROR(INDEX(Consulta!$A:$DF,MATCH('MM01'!$B108,Consulta!$C:$C,0),'MM01'!AR$2),""))</f>
        <v/>
      </c>
      <c r="AS108" s="43" t="str">
        <f>IF(IFERROR(INDEX(Consulta!$A:$DF,MATCH('MM01'!$B108,Consulta!$C:$C,0),'MM01'!AS$2),"")=0,"",IF(AR108="68",5102,IFERROR(INDEX(Consulta!$A:$DF,MATCH('MM01'!$B108,Consulta!$C:$C,0),'MM01'!AS$2),"")))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IF(IFERROR(INDEX(Consulta!$A:$DF,MATCH('MM01'!$B108,Consulta!$C:$C,0),'MM01'!AW$2),"")=0,"",IFERROR(ROUND(INDEX(Consulta!$A:$DF,MATCH('MM01'!$B108,Consulta!$C:$C,0),'MM01'!AW$2),3),""))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IF(IFERROR(INDEX(Consulta!$A:$DF,MATCH('MM01'!$B108,Consulta!$C:$C,0),'MM01'!BA$2),"")=0,"",IFERROR(INDEX(Consulta!$A:$DF,MATCH('MM01'!$B108,Consulta!$C:$C,0),'MM01'!BA$2),""))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IF(IFERROR(INDEX(Consulta!$A:$DF,MATCH('MM01'!$B108,Consulta!$C:$C,0),'MM01'!BL$2),"")=0,"",IFERROR(INDEX(Consulta!$A:$DF,MATCH('MM01'!$B108,Consulta!$C:$C,0),'MM01'!BL$2),""))</f>
        <v/>
      </c>
      <c r="BM108" s="45"/>
      <c r="BN108" s="46" t="str">
        <f t="shared" ca="1" si="93"/>
        <v/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IF(IFERROR(INDEX(Consulta!$A:$DF,MATCH('MM01'!$B108,Consulta!$C:$C,0),'MM01'!BX$2),"")=0,"",IFERROR(INDEX(Consulta!$A:$DF,MATCH('MM01'!$B108,Consulta!$C:$C,0),'MM01'!BX$2),""))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IF(IFERROR(INDEX(Consulta!$A:$DF,MATCH('MM01'!$B108,Consulta!$C:$C,0),'MM01'!CT$2),"")=0,"",IFERROR(INDEX(Consulta!$A:$DF,MATCH('MM01'!$B108,Consulta!$C:$C,0),'MM01'!CT$2),""))</f>
        <v/>
      </c>
      <c r="CU108" s="43" t="str">
        <f>IF(IFERROR(INDEX(Consulta!$A:$DF,MATCH('MM01'!$B108,Consulta!$C:$C,0),'MM01'!CU$2),"")=0,"",IFERROR(INDEX(Consulta!$A:$DF,MATCH('MM01'!$B108,Consulta!$C:$C,0),'MM01'!CU$2),""))</f>
        <v/>
      </c>
      <c r="CV108" s="43" t="str">
        <f>IF(IFERROR(INDEX(Consulta!$A:$DF,MATCH('MM01'!$B108,Consulta!$C:$C,0),'MM01'!CV$2),"")=0,"",IFERROR(INDEX(Consulta!$A:$DF,MATCH('MM01'!$B108,Consulta!$C:$C,0),'MM01'!CV$2),""))</f>
        <v/>
      </c>
      <c r="CW108" s="43" t="str">
        <f>IF(IFERROR(INDEX(Consulta!$A:$DF,MATCH('MM01'!$B108,Consulta!$C:$C,0),'MM01'!CW$2),"")=0,"",IFERROR(INDEX(Consulta!$A:$DF,MATCH('MM01'!$B108,Consulta!$C:$C,0),'MM01'!CW$2),""))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IF(IFERROR(INDEX(Consulta!$A:$DF,MATCH('MM01'!$B108,Consulta!$C:$C,0),'MM01'!DA$2),"")=0,"",IFERROR(INDEX(Consulta!$A:$DF,MATCH('MM01'!$B108,Consulta!$C:$C,0),'MM01'!DA$2),""))</f>
        <v/>
      </c>
      <c r="DB108" s="43" t="str">
        <f t="shared" si="102"/>
        <v/>
      </c>
      <c r="DC108" s="43" t="str">
        <f>IF(IFERROR(INDEX(Consulta!$A:$DF,MATCH('MM01'!$B108,Consulta!$C:$C,0),'MM01'!DC$2),"")=0,"",IFERROR(INDEX(Consulta!$A:$DF,MATCH('MM01'!$B108,Consulta!$C:$C,0),'MM01'!DC$2),""))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5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5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5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5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IF(IFERROR(INDEX(Consulta!$A:$DF,MATCH('MM01'!$B108,Consulta!$C:$C,0),'MM01'!EB$2),"")=0,"7925",IF(IFERROR(INDEX(Consulta!$A:$DF,MATCH('MM01'!$B108,Consulta!$C:$C,0),'MM01'!EB$2),"")="68","7910","7925"))</f>
        <v>7925</v>
      </c>
      <c r="EC108" s="44">
        <v>100</v>
      </c>
      <c r="ED108" s="60">
        <v>1</v>
      </c>
      <c r="EE108" s="43">
        <f t="shared" si="118"/>
        <v>100</v>
      </c>
      <c r="EF108" s="44">
        <v>1</v>
      </c>
      <c r="EG108" s="44">
        <v>0</v>
      </c>
      <c r="EH108" s="44" t="s">
        <v>867</v>
      </c>
      <c r="EI108" s="45">
        <v>0</v>
      </c>
      <c r="EJ108" s="43">
        <f t="shared" si="119"/>
        <v>5000</v>
      </c>
      <c r="EK108" s="65"/>
    </row>
    <row r="109" spans="1:141" x14ac:dyDescent="0.3">
      <c r="A109" s="7" t="str">
        <f t="shared" si="80"/>
        <v>Execução 105</v>
      </c>
      <c r="B109" s="42"/>
      <c r="C109" s="43" t="str">
        <f>IF(IFERROR(INDEX(Consulta!$A:$DF,MATCH('MM01'!$B109,Consulta!$C:$C,0),'MM01'!C$2),"")=0,"",IFERROR(INDEX(Consulta!$A:$DF,MATCH('MM01'!$B109,Consulta!$C:$C,0),'MM01'!C$2),""))</f>
        <v/>
      </c>
      <c r="D109" s="43" t="str">
        <f>IF(IFERROR(INDEX(Consulta!$A:$DF,MATCH('MM01'!$B109,Consulta!$C:$C,0),'MM01'!D$2),"")=0,"",IFERROR(INDEX(Consulta!$A:$DF,MATCH('MM01'!$B109,Consulta!$C:$C,0),'MM01'!D$2),""))</f>
        <v/>
      </c>
      <c r="E109" s="43" t="str">
        <f>IF(IFERROR(INDEX(Consulta!$A:$DF,MATCH('MM01'!$B109,Consulta!$C:$C,0),'MM01'!E$2),"")=0,"",IFERROR(INDEX(Consulta!$A:$DF,MATCH('MM01'!$B109,Consulta!$C:$C,0),'MM01'!E$2),""))</f>
        <v/>
      </c>
      <c r="F109" s="44" t="s">
        <v>100</v>
      </c>
      <c r="G109" s="49" t="str">
        <f>IF(IFERROR(INDEX(Consulta!$A:$DF,MATCH('MM01'!$B109,Consulta!$C:$C,0),'MM01'!G$2),"")=0,"",IFERROR(INDEX(Consulta!$A:$DF,MATCH('MM01'!$B109,Consulta!$C:$C,0),'MM01'!G$2),""))</f>
        <v/>
      </c>
      <c r="H109" s="49" t="str">
        <f>IF(IFERROR(INDEX(Consulta!$A:$DF,MATCH('MM01'!$B109,Consulta!$C:$C,0),'MM01'!H$2),"")=0,"",IFERROR(INDEX(Consulta!$A:$DF,MATCH('MM01'!$B109,Consulta!$C:$C,0),'MM01'!H$2),""))</f>
        <v/>
      </c>
      <c r="I109" s="49" t="str">
        <f t="shared" si="81"/>
        <v/>
      </c>
      <c r="J109" s="49" t="str">
        <f>IF(IFERROR(INDEX(Consulta!$A:$DF,MATCH('MM01'!$B109,Consulta!$C:$C,0),'MM01'!J$2),"")=0,"",IFERROR(INDEX(Consulta!$A:$DF,MATCH('MM01'!$B109,Consulta!$C:$C,0),'MM01'!J$2),""))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IF(IFERROR(INDEX(Consulta!$A:$DF,MATCH('MM01'!$B109,Consulta!$C:$C,0),'MM01'!AP$2),"")=0,"",IFERROR(INDEX(Consulta!$A:$DF,MATCH('MM01'!$B109,Consulta!$C:$C,0),'MM01'!AP$2),""))</f>
        <v/>
      </c>
      <c r="AQ109" s="45"/>
      <c r="AR109" s="43" t="str">
        <f>IF(IFERROR(INDEX(Consulta!$A:$DF,MATCH('MM01'!$B109,Consulta!$C:$C,0),'MM01'!AR$2),"")=0,"",IFERROR(INDEX(Consulta!$A:$DF,MATCH('MM01'!$B109,Consulta!$C:$C,0),'MM01'!AR$2),""))</f>
        <v/>
      </c>
      <c r="AS109" s="43" t="str">
        <f>IF(IFERROR(INDEX(Consulta!$A:$DF,MATCH('MM01'!$B109,Consulta!$C:$C,0),'MM01'!AS$2),"")=0,"",IF(AR109="68",5102,IFERROR(INDEX(Consulta!$A:$DF,MATCH('MM01'!$B109,Consulta!$C:$C,0),'MM01'!AS$2),"")))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IF(IFERROR(INDEX(Consulta!$A:$DF,MATCH('MM01'!$B109,Consulta!$C:$C,0),'MM01'!AW$2),"")=0,"",IFERROR(ROUND(INDEX(Consulta!$A:$DF,MATCH('MM01'!$B109,Consulta!$C:$C,0),'MM01'!AW$2),3),""))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IF(IFERROR(INDEX(Consulta!$A:$DF,MATCH('MM01'!$B109,Consulta!$C:$C,0),'MM01'!BA$2),"")=0,"",IFERROR(INDEX(Consulta!$A:$DF,MATCH('MM01'!$B109,Consulta!$C:$C,0),'MM01'!BA$2),""))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IF(IFERROR(INDEX(Consulta!$A:$DF,MATCH('MM01'!$B109,Consulta!$C:$C,0),'MM01'!BL$2),"")=0,"",IFERROR(INDEX(Consulta!$A:$DF,MATCH('MM01'!$B109,Consulta!$C:$C,0),'MM01'!BL$2),""))</f>
        <v/>
      </c>
      <c r="BM109" s="45"/>
      <c r="BN109" s="46" t="str">
        <f t="shared" ca="1" si="93"/>
        <v/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IF(IFERROR(INDEX(Consulta!$A:$DF,MATCH('MM01'!$B109,Consulta!$C:$C,0),'MM01'!BX$2),"")=0,"",IFERROR(INDEX(Consulta!$A:$DF,MATCH('MM01'!$B109,Consulta!$C:$C,0),'MM01'!BX$2),""))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IF(IFERROR(INDEX(Consulta!$A:$DF,MATCH('MM01'!$B109,Consulta!$C:$C,0),'MM01'!CT$2),"")=0,"",IFERROR(INDEX(Consulta!$A:$DF,MATCH('MM01'!$B109,Consulta!$C:$C,0),'MM01'!CT$2),""))</f>
        <v/>
      </c>
      <c r="CU109" s="43" t="str">
        <f>IF(IFERROR(INDEX(Consulta!$A:$DF,MATCH('MM01'!$B109,Consulta!$C:$C,0),'MM01'!CU$2),"")=0,"",IFERROR(INDEX(Consulta!$A:$DF,MATCH('MM01'!$B109,Consulta!$C:$C,0),'MM01'!CU$2),""))</f>
        <v/>
      </c>
      <c r="CV109" s="43" t="str">
        <f>IF(IFERROR(INDEX(Consulta!$A:$DF,MATCH('MM01'!$B109,Consulta!$C:$C,0),'MM01'!CV$2),"")=0,"",IFERROR(INDEX(Consulta!$A:$DF,MATCH('MM01'!$B109,Consulta!$C:$C,0),'MM01'!CV$2),""))</f>
        <v/>
      </c>
      <c r="CW109" s="43" t="str">
        <f>IF(IFERROR(INDEX(Consulta!$A:$DF,MATCH('MM01'!$B109,Consulta!$C:$C,0),'MM01'!CW$2),"")=0,"",IFERROR(INDEX(Consulta!$A:$DF,MATCH('MM01'!$B109,Consulta!$C:$C,0),'MM01'!CW$2),""))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IF(IFERROR(INDEX(Consulta!$A:$DF,MATCH('MM01'!$B109,Consulta!$C:$C,0),'MM01'!DA$2),"")=0,"",IFERROR(INDEX(Consulta!$A:$DF,MATCH('MM01'!$B109,Consulta!$C:$C,0),'MM01'!DA$2),""))</f>
        <v/>
      </c>
      <c r="DB109" s="43" t="str">
        <f t="shared" si="102"/>
        <v/>
      </c>
      <c r="DC109" s="43" t="str">
        <f>IF(IFERROR(INDEX(Consulta!$A:$DF,MATCH('MM01'!$B109,Consulta!$C:$C,0),'MM01'!DC$2),"")=0,"",IFERROR(INDEX(Consulta!$A:$DF,MATCH('MM01'!$B109,Consulta!$C:$C,0),'MM01'!DC$2),""))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5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5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5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5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IF(IFERROR(INDEX(Consulta!$A:$DF,MATCH('MM01'!$B109,Consulta!$C:$C,0),'MM01'!EB$2),"")=0,"7925",IF(IFERROR(INDEX(Consulta!$A:$DF,MATCH('MM01'!$B109,Consulta!$C:$C,0),'MM01'!EB$2),"")="68","7910","7925"))</f>
        <v>7925</v>
      </c>
      <c r="EC109" s="44">
        <v>100</v>
      </c>
      <c r="ED109" s="60">
        <v>1</v>
      </c>
      <c r="EE109" s="43">
        <f t="shared" si="118"/>
        <v>100</v>
      </c>
      <c r="EF109" s="44">
        <v>1</v>
      </c>
      <c r="EG109" s="44">
        <v>0</v>
      </c>
      <c r="EH109" s="44" t="s">
        <v>867</v>
      </c>
      <c r="EI109" s="45">
        <v>0</v>
      </c>
      <c r="EJ109" s="43">
        <f t="shared" si="119"/>
        <v>5000</v>
      </c>
      <c r="EK109" s="65"/>
    </row>
    <row r="110" spans="1:141" x14ac:dyDescent="0.3">
      <c r="A110" s="7" t="str">
        <f t="shared" si="80"/>
        <v>Execução 106</v>
      </c>
      <c r="B110" s="42"/>
      <c r="C110" s="43" t="str">
        <f>IF(IFERROR(INDEX(Consulta!$A:$DF,MATCH('MM01'!$B110,Consulta!$C:$C,0),'MM01'!C$2),"")=0,"",IFERROR(INDEX(Consulta!$A:$DF,MATCH('MM01'!$B110,Consulta!$C:$C,0),'MM01'!C$2),""))</f>
        <v/>
      </c>
      <c r="D110" s="43" t="str">
        <f>IF(IFERROR(INDEX(Consulta!$A:$DF,MATCH('MM01'!$B110,Consulta!$C:$C,0),'MM01'!D$2),"")=0,"",IFERROR(INDEX(Consulta!$A:$DF,MATCH('MM01'!$B110,Consulta!$C:$C,0),'MM01'!D$2),""))</f>
        <v/>
      </c>
      <c r="E110" s="43" t="str">
        <f>IF(IFERROR(INDEX(Consulta!$A:$DF,MATCH('MM01'!$B110,Consulta!$C:$C,0),'MM01'!E$2),"")=0,"",IFERROR(INDEX(Consulta!$A:$DF,MATCH('MM01'!$B110,Consulta!$C:$C,0),'MM01'!E$2),""))</f>
        <v/>
      </c>
      <c r="F110" s="44" t="s">
        <v>100</v>
      </c>
      <c r="G110" s="49" t="str">
        <f>IF(IFERROR(INDEX(Consulta!$A:$DF,MATCH('MM01'!$B110,Consulta!$C:$C,0),'MM01'!G$2),"")=0,"",IFERROR(INDEX(Consulta!$A:$DF,MATCH('MM01'!$B110,Consulta!$C:$C,0),'MM01'!G$2),""))</f>
        <v/>
      </c>
      <c r="H110" s="49" t="str">
        <f>IF(IFERROR(INDEX(Consulta!$A:$DF,MATCH('MM01'!$B110,Consulta!$C:$C,0),'MM01'!H$2),"")=0,"",IFERROR(INDEX(Consulta!$A:$DF,MATCH('MM01'!$B110,Consulta!$C:$C,0),'MM01'!H$2),""))</f>
        <v/>
      </c>
      <c r="I110" s="49" t="str">
        <f t="shared" si="81"/>
        <v/>
      </c>
      <c r="J110" s="49" t="str">
        <f>IF(IFERROR(INDEX(Consulta!$A:$DF,MATCH('MM01'!$B110,Consulta!$C:$C,0),'MM01'!J$2),"")=0,"",IFERROR(INDEX(Consulta!$A:$DF,MATCH('MM01'!$B110,Consulta!$C:$C,0),'MM01'!J$2),""))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IF(IFERROR(INDEX(Consulta!$A:$DF,MATCH('MM01'!$B110,Consulta!$C:$C,0),'MM01'!AP$2),"")=0,"",IFERROR(INDEX(Consulta!$A:$DF,MATCH('MM01'!$B110,Consulta!$C:$C,0),'MM01'!AP$2),""))</f>
        <v/>
      </c>
      <c r="AQ110" s="45"/>
      <c r="AR110" s="43" t="str">
        <f>IF(IFERROR(INDEX(Consulta!$A:$DF,MATCH('MM01'!$B110,Consulta!$C:$C,0),'MM01'!AR$2),"")=0,"",IFERROR(INDEX(Consulta!$A:$DF,MATCH('MM01'!$B110,Consulta!$C:$C,0),'MM01'!AR$2),""))</f>
        <v/>
      </c>
      <c r="AS110" s="43" t="str">
        <f>IF(IFERROR(INDEX(Consulta!$A:$DF,MATCH('MM01'!$B110,Consulta!$C:$C,0),'MM01'!AS$2),"")=0,"",IF(AR110="68",5102,IFERROR(INDEX(Consulta!$A:$DF,MATCH('MM01'!$B110,Consulta!$C:$C,0),'MM01'!AS$2),"")))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IF(IFERROR(INDEX(Consulta!$A:$DF,MATCH('MM01'!$B110,Consulta!$C:$C,0),'MM01'!AW$2),"")=0,"",IFERROR(ROUND(INDEX(Consulta!$A:$DF,MATCH('MM01'!$B110,Consulta!$C:$C,0),'MM01'!AW$2),3),""))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IF(IFERROR(INDEX(Consulta!$A:$DF,MATCH('MM01'!$B110,Consulta!$C:$C,0),'MM01'!BA$2),"")=0,"",IFERROR(INDEX(Consulta!$A:$DF,MATCH('MM01'!$B110,Consulta!$C:$C,0),'MM01'!BA$2),""))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IF(IFERROR(INDEX(Consulta!$A:$DF,MATCH('MM01'!$B110,Consulta!$C:$C,0),'MM01'!BL$2),"")=0,"",IFERROR(INDEX(Consulta!$A:$DF,MATCH('MM01'!$B110,Consulta!$C:$C,0),'MM01'!BL$2),""))</f>
        <v/>
      </c>
      <c r="BM110" s="45"/>
      <c r="BN110" s="46" t="str">
        <f t="shared" ca="1" si="93"/>
        <v/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IF(IFERROR(INDEX(Consulta!$A:$DF,MATCH('MM01'!$B110,Consulta!$C:$C,0),'MM01'!BX$2),"")=0,"",IFERROR(INDEX(Consulta!$A:$DF,MATCH('MM01'!$B110,Consulta!$C:$C,0),'MM01'!BX$2),""))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IF(IFERROR(INDEX(Consulta!$A:$DF,MATCH('MM01'!$B110,Consulta!$C:$C,0),'MM01'!CT$2),"")=0,"",IFERROR(INDEX(Consulta!$A:$DF,MATCH('MM01'!$B110,Consulta!$C:$C,0),'MM01'!CT$2),""))</f>
        <v/>
      </c>
      <c r="CU110" s="43" t="str">
        <f>IF(IFERROR(INDEX(Consulta!$A:$DF,MATCH('MM01'!$B110,Consulta!$C:$C,0),'MM01'!CU$2),"")=0,"",IFERROR(INDEX(Consulta!$A:$DF,MATCH('MM01'!$B110,Consulta!$C:$C,0),'MM01'!CU$2),""))</f>
        <v/>
      </c>
      <c r="CV110" s="43" t="str">
        <f>IF(IFERROR(INDEX(Consulta!$A:$DF,MATCH('MM01'!$B110,Consulta!$C:$C,0),'MM01'!CV$2),"")=0,"",IFERROR(INDEX(Consulta!$A:$DF,MATCH('MM01'!$B110,Consulta!$C:$C,0),'MM01'!CV$2),""))</f>
        <v/>
      </c>
      <c r="CW110" s="43" t="str">
        <f>IF(IFERROR(INDEX(Consulta!$A:$DF,MATCH('MM01'!$B110,Consulta!$C:$C,0),'MM01'!CW$2),"")=0,"",IFERROR(INDEX(Consulta!$A:$DF,MATCH('MM01'!$B110,Consulta!$C:$C,0),'MM01'!CW$2),""))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IF(IFERROR(INDEX(Consulta!$A:$DF,MATCH('MM01'!$B110,Consulta!$C:$C,0),'MM01'!DA$2),"")=0,"",IFERROR(INDEX(Consulta!$A:$DF,MATCH('MM01'!$B110,Consulta!$C:$C,0),'MM01'!DA$2),""))</f>
        <v/>
      </c>
      <c r="DB110" s="43" t="str">
        <f t="shared" si="102"/>
        <v/>
      </c>
      <c r="DC110" s="43" t="str">
        <f>IF(IFERROR(INDEX(Consulta!$A:$DF,MATCH('MM01'!$B110,Consulta!$C:$C,0),'MM01'!DC$2),"")=0,"",IFERROR(INDEX(Consulta!$A:$DF,MATCH('MM01'!$B110,Consulta!$C:$C,0),'MM01'!DC$2),""))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5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5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5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5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IF(IFERROR(INDEX(Consulta!$A:$DF,MATCH('MM01'!$B110,Consulta!$C:$C,0),'MM01'!EB$2),"")=0,"7925",IF(IFERROR(INDEX(Consulta!$A:$DF,MATCH('MM01'!$B110,Consulta!$C:$C,0),'MM01'!EB$2),"")="68","7910","7925"))</f>
        <v>7925</v>
      </c>
      <c r="EC110" s="44">
        <v>100</v>
      </c>
      <c r="ED110" s="60">
        <v>1</v>
      </c>
      <c r="EE110" s="43">
        <f t="shared" si="118"/>
        <v>100</v>
      </c>
      <c r="EF110" s="44">
        <v>1</v>
      </c>
      <c r="EG110" s="44">
        <v>0</v>
      </c>
      <c r="EH110" s="44" t="s">
        <v>867</v>
      </c>
      <c r="EI110" s="45">
        <v>0</v>
      </c>
      <c r="EJ110" s="43">
        <f t="shared" si="119"/>
        <v>5000</v>
      </c>
      <c r="EK110" s="65"/>
    </row>
    <row r="111" spans="1:141" x14ac:dyDescent="0.3">
      <c r="A111" s="7" t="str">
        <f t="shared" si="80"/>
        <v>Execução 107</v>
      </c>
      <c r="B111" s="42"/>
      <c r="C111" s="43" t="str">
        <f>IF(IFERROR(INDEX(Consulta!$A:$DF,MATCH('MM01'!$B111,Consulta!$C:$C,0),'MM01'!C$2),"")=0,"",IFERROR(INDEX(Consulta!$A:$DF,MATCH('MM01'!$B111,Consulta!$C:$C,0),'MM01'!C$2),""))</f>
        <v/>
      </c>
      <c r="D111" s="43" t="str">
        <f>IF(IFERROR(INDEX(Consulta!$A:$DF,MATCH('MM01'!$B111,Consulta!$C:$C,0),'MM01'!D$2),"")=0,"",IFERROR(INDEX(Consulta!$A:$DF,MATCH('MM01'!$B111,Consulta!$C:$C,0),'MM01'!D$2),""))</f>
        <v/>
      </c>
      <c r="E111" s="43" t="str">
        <f>IF(IFERROR(INDEX(Consulta!$A:$DF,MATCH('MM01'!$B111,Consulta!$C:$C,0),'MM01'!E$2),"")=0,"",IFERROR(INDEX(Consulta!$A:$DF,MATCH('MM01'!$B111,Consulta!$C:$C,0),'MM01'!E$2),""))</f>
        <v/>
      </c>
      <c r="F111" s="44" t="s">
        <v>100</v>
      </c>
      <c r="G111" s="49" t="str">
        <f>IF(IFERROR(INDEX(Consulta!$A:$DF,MATCH('MM01'!$B111,Consulta!$C:$C,0),'MM01'!G$2),"")=0,"",IFERROR(INDEX(Consulta!$A:$DF,MATCH('MM01'!$B111,Consulta!$C:$C,0),'MM01'!G$2),""))</f>
        <v/>
      </c>
      <c r="H111" s="49" t="str">
        <f>IF(IFERROR(INDEX(Consulta!$A:$DF,MATCH('MM01'!$B111,Consulta!$C:$C,0),'MM01'!H$2),"")=0,"",IFERROR(INDEX(Consulta!$A:$DF,MATCH('MM01'!$B111,Consulta!$C:$C,0),'MM01'!H$2),""))</f>
        <v/>
      </c>
      <c r="I111" s="49" t="str">
        <f t="shared" si="81"/>
        <v/>
      </c>
      <c r="J111" s="49" t="str">
        <f>IF(IFERROR(INDEX(Consulta!$A:$DF,MATCH('MM01'!$B111,Consulta!$C:$C,0),'MM01'!J$2),"")=0,"",IFERROR(INDEX(Consulta!$A:$DF,MATCH('MM01'!$B111,Consulta!$C:$C,0),'MM01'!J$2),""))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IF(IFERROR(INDEX(Consulta!$A:$DF,MATCH('MM01'!$B111,Consulta!$C:$C,0),'MM01'!AP$2),"")=0,"",IFERROR(INDEX(Consulta!$A:$DF,MATCH('MM01'!$B111,Consulta!$C:$C,0),'MM01'!AP$2),""))</f>
        <v/>
      </c>
      <c r="AQ111" s="45"/>
      <c r="AR111" s="43" t="str">
        <f>IF(IFERROR(INDEX(Consulta!$A:$DF,MATCH('MM01'!$B111,Consulta!$C:$C,0),'MM01'!AR$2),"")=0,"",IFERROR(INDEX(Consulta!$A:$DF,MATCH('MM01'!$B111,Consulta!$C:$C,0),'MM01'!AR$2),""))</f>
        <v/>
      </c>
      <c r="AS111" s="43" t="str">
        <f>IF(IFERROR(INDEX(Consulta!$A:$DF,MATCH('MM01'!$B111,Consulta!$C:$C,0),'MM01'!AS$2),"")=0,"",IF(AR111="68",5102,IFERROR(INDEX(Consulta!$A:$DF,MATCH('MM01'!$B111,Consulta!$C:$C,0),'MM01'!AS$2),"")))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IF(IFERROR(INDEX(Consulta!$A:$DF,MATCH('MM01'!$B111,Consulta!$C:$C,0),'MM01'!AW$2),"")=0,"",IFERROR(ROUND(INDEX(Consulta!$A:$DF,MATCH('MM01'!$B111,Consulta!$C:$C,0),'MM01'!AW$2),3),""))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IF(IFERROR(INDEX(Consulta!$A:$DF,MATCH('MM01'!$B111,Consulta!$C:$C,0),'MM01'!BA$2),"")=0,"",IFERROR(INDEX(Consulta!$A:$DF,MATCH('MM01'!$B111,Consulta!$C:$C,0),'MM01'!BA$2),""))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IF(IFERROR(INDEX(Consulta!$A:$DF,MATCH('MM01'!$B111,Consulta!$C:$C,0),'MM01'!BL$2),"")=0,"",IFERROR(INDEX(Consulta!$A:$DF,MATCH('MM01'!$B111,Consulta!$C:$C,0),'MM01'!BL$2),""))</f>
        <v/>
      </c>
      <c r="BM111" s="45"/>
      <c r="BN111" s="46" t="str">
        <f t="shared" ca="1" si="93"/>
        <v/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IF(IFERROR(INDEX(Consulta!$A:$DF,MATCH('MM01'!$B111,Consulta!$C:$C,0),'MM01'!BX$2),"")=0,"",IFERROR(INDEX(Consulta!$A:$DF,MATCH('MM01'!$B111,Consulta!$C:$C,0),'MM01'!BX$2),""))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IF(IFERROR(INDEX(Consulta!$A:$DF,MATCH('MM01'!$B111,Consulta!$C:$C,0),'MM01'!CT$2),"")=0,"",IFERROR(INDEX(Consulta!$A:$DF,MATCH('MM01'!$B111,Consulta!$C:$C,0),'MM01'!CT$2),""))</f>
        <v/>
      </c>
      <c r="CU111" s="43" t="str">
        <f>IF(IFERROR(INDEX(Consulta!$A:$DF,MATCH('MM01'!$B111,Consulta!$C:$C,0),'MM01'!CU$2),"")=0,"",IFERROR(INDEX(Consulta!$A:$DF,MATCH('MM01'!$B111,Consulta!$C:$C,0),'MM01'!CU$2),""))</f>
        <v/>
      </c>
      <c r="CV111" s="43" t="str">
        <f>IF(IFERROR(INDEX(Consulta!$A:$DF,MATCH('MM01'!$B111,Consulta!$C:$C,0),'MM01'!CV$2),"")=0,"",IFERROR(INDEX(Consulta!$A:$DF,MATCH('MM01'!$B111,Consulta!$C:$C,0),'MM01'!CV$2),""))</f>
        <v/>
      </c>
      <c r="CW111" s="43" t="str">
        <f>IF(IFERROR(INDEX(Consulta!$A:$DF,MATCH('MM01'!$B111,Consulta!$C:$C,0),'MM01'!CW$2),"")=0,"",IFERROR(INDEX(Consulta!$A:$DF,MATCH('MM01'!$B111,Consulta!$C:$C,0),'MM01'!CW$2),""))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IF(IFERROR(INDEX(Consulta!$A:$DF,MATCH('MM01'!$B111,Consulta!$C:$C,0),'MM01'!DA$2),"")=0,"",IFERROR(INDEX(Consulta!$A:$DF,MATCH('MM01'!$B111,Consulta!$C:$C,0),'MM01'!DA$2),""))</f>
        <v/>
      </c>
      <c r="DB111" s="43" t="str">
        <f t="shared" si="102"/>
        <v/>
      </c>
      <c r="DC111" s="43" t="str">
        <f>IF(IFERROR(INDEX(Consulta!$A:$DF,MATCH('MM01'!$B111,Consulta!$C:$C,0),'MM01'!DC$2),"")=0,"",IFERROR(INDEX(Consulta!$A:$DF,MATCH('MM01'!$B111,Consulta!$C:$C,0),'MM01'!DC$2),""))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5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5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5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5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IF(IFERROR(INDEX(Consulta!$A:$DF,MATCH('MM01'!$B111,Consulta!$C:$C,0),'MM01'!EB$2),"")=0,"7925",IF(IFERROR(INDEX(Consulta!$A:$DF,MATCH('MM01'!$B111,Consulta!$C:$C,0),'MM01'!EB$2),"")="68","7910","7925"))</f>
        <v>7925</v>
      </c>
      <c r="EC111" s="44">
        <v>100</v>
      </c>
      <c r="ED111" s="60">
        <v>1</v>
      </c>
      <c r="EE111" s="43">
        <f t="shared" si="118"/>
        <v>100</v>
      </c>
      <c r="EF111" s="44">
        <v>1</v>
      </c>
      <c r="EG111" s="44">
        <v>0</v>
      </c>
      <c r="EH111" s="44" t="s">
        <v>867</v>
      </c>
      <c r="EI111" s="45">
        <v>0</v>
      </c>
      <c r="EJ111" s="43">
        <f t="shared" si="119"/>
        <v>5000</v>
      </c>
      <c r="EK111" s="65"/>
    </row>
    <row r="112" spans="1:141" x14ac:dyDescent="0.3">
      <c r="A112" s="7" t="str">
        <f t="shared" si="80"/>
        <v>Execução 108</v>
      </c>
      <c r="B112" s="42"/>
      <c r="C112" s="43" t="str">
        <f>IF(IFERROR(INDEX(Consulta!$A:$DF,MATCH('MM01'!$B112,Consulta!$C:$C,0),'MM01'!C$2),"")=0,"",IFERROR(INDEX(Consulta!$A:$DF,MATCH('MM01'!$B112,Consulta!$C:$C,0),'MM01'!C$2),""))</f>
        <v/>
      </c>
      <c r="D112" s="43" t="str">
        <f>IF(IFERROR(INDEX(Consulta!$A:$DF,MATCH('MM01'!$B112,Consulta!$C:$C,0),'MM01'!D$2),"")=0,"",IFERROR(INDEX(Consulta!$A:$DF,MATCH('MM01'!$B112,Consulta!$C:$C,0),'MM01'!D$2),""))</f>
        <v/>
      </c>
      <c r="E112" s="43" t="str">
        <f>IF(IFERROR(INDEX(Consulta!$A:$DF,MATCH('MM01'!$B112,Consulta!$C:$C,0),'MM01'!E$2),"")=0,"",IFERROR(INDEX(Consulta!$A:$DF,MATCH('MM01'!$B112,Consulta!$C:$C,0),'MM01'!E$2),""))</f>
        <v/>
      </c>
      <c r="F112" s="44" t="s">
        <v>100</v>
      </c>
      <c r="G112" s="49" t="str">
        <f>IF(IFERROR(INDEX(Consulta!$A:$DF,MATCH('MM01'!$B112,Consulta!$C:$C,0),'MM01'!G$2),"")=0,"",IFERROR(INDEX(Consulta!$A:$DF,MATCH('MM01'!$B112,Consulta!$C:$C,0),'MM01'!G$2),""))</f>
        <v/>
      </c>
      <c r="H112" s="49" t="str">
        <f>IF(IFERROR(INDEX(Consulta!$A:$DF,MATCH('MM01'!$B112,Consulta!$C:$C,0),'MM01'!H$2),"")=0,"",IFERROR(INDEX(Consulta!$A:$DF,MATCH('MM01'!$B112,Consulta!$C:$C,0),'MM01'!H$2),""))</f>
        <v/>
      </c>
      <c r="I112" s="49" t="str">
        <f t="shared" si="81"/>
        <v/>
      </c>
      <c r="J112" s="49" t="str">
        <f>IF(IFERROR(INDEX(Consulta!$A:$DF,MATCH('MM01'!$B112,Consulta!$C:$C,0),'MM01'!J$2),"")=0,"",IFERROR(INDEX(Consulta!$A:$DF,MATCH('MM01'!$B112,Consulta!$C:$C,0),'MM01'!J$2),""))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IF(IFERROR(INDEX(Consulta!$A:$DF,MATCH('MM01'!$B112,Consulta!$C:$C,0),'MM01'!AP$2),"")=0,"",IFERROR(INDEX(Consulta!$A:$DF,MATCH('MM01'!$B112,Consulta!$C:$C,0),'MM01'!AP$2),""))</f>
        <v/>
      </c>
      <c r="AQ112" s="45"/>
      <c r="AR112" s="43" t="str">
        <f>IF(IFERROR(INDEX(Consulta!$A:$DF,MATCH('MM01'!$B112,Consulta!$C:$C,0),'MM01'!AR$2),"")=0,"",IFERROR(INDEX(Consulta!$A:$DF,MATCH('MM01'!$B112,Consulta!$C:$C,0),'MM01'!AR$2),""))</f>
        <v/>
      </c>
      <c r="AS112" s="43" t="str">
        <f>IF(IFERROR(INDEX(Consulta!$A:$DF,MATCH('MM01'!$B112,Consulta!$C:$C,0),'MM01'!AS$2),"")=0,"",IF(AR112="68",5102,IFERROR(INDEX(Consulta!$A:$DF,MATCH('MM01'!$B112,Consulta!$C:$C,0),'MM01'!AS$2),"")))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IF(IFERROR(INDEX(Consulta!$A:$DF,MATCH('MM01'!$B112,Consulta!$C:$C,0),'MM01'!AW$2),"")=0,"",IFERROR(ROUND(INDEX(Consulta!$A:$DF,MATCH('MM01'!$B112,Consulta!$C:$C,0),'MM01'!AW$2),3),""))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IF(IFERROR(INDEX(Consulta!$A:$DF,MATCH('MM01'!$B112,Consulta!$C:$C,0),'MM01'!BA$2),"")=0,"",IFERROR(INDEX(Consulta!$A:$DF,MATCH('MM01'!$B112,Consulta!$C:$C,0),'MM01'!BA$2),""))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IF(IFERROR(INDEX(Consulta!$A:$DF,MATCH('MM01'!$B112,Consulta!$C:$C,0),'MM01'!BL$2),"")=0,"",IFERROR(INDEX(Consulta!$A:$DF,MATCH('MM01'!$B112,Consulta!$C:$C,0),'MM01'!BL$2),""))</f>
        <v/>
      </c>
      <c r="BM112" s="45"/>
      <c r="BN112" s="46" t="str">
        <f t="shared" ca="1" si="93"/>
        <v/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IF(IFERROR(INDEX(Consulta!$A:$DF,MATCH('MM01'!$B112,Consulta!$C:$C,0),'MM01'!BX$2),"")=0,"",IFERROR(INDEX(Consulta!$A:$DF,MATCH('MM01'!$B112,Consulta!$C:$C,0),'MM01'!BX$2),""))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IF(IFERROR(INDEX(Consulta!$A:$DF,MATCH('MM01'!$B112,Consulta!$C:$C,0),'MM01'!CT$2),"")=0,"",IFERROR(INDEX(Consulta!$A:$DF,MATCH('MM01'!$B112,Consulta!$C:$C,0),'MM01'!CT$2),""))</f>
        <v/>
      </c>
      <c r="CU112" s="43" t="str">
        <f>IF(IFERROR(INDEX(Consulta!$A:$DF,MATCH('MM01'!$B112,Consulta!$C:$C,0),'MM01'!CU$2),"")=0,"",IFERROR(INDEX(Consulta!$A:$DF,MATCH('MM01'!$B112,Consulta!$C:$C,0),'MM01'!CU$2),""))</f>
        <v/>
      </c>
      <c r="CV112" s="43" t="str">
        <f>IF(IFERROR(INDEX(Consulta!$A:$DF,MATCH('MM01'!$B112,Consulta!$C:$C,0),'MM01'!CV$2),"")=0,"",IFERROR(INDEX(Consulta!$A:$DF,MATCH('MM01'!$B112,Consulta!$C:$C,0),'MM01'!CV$2),""))</f>
        <v/>
      </c>
      <c r="CW112" s="43" t="str">
        <f>IF(IFERROR(INDEX(Consulta!$A:$DF,MATCH('MM01'!$B112,Consulta!$C:$C,0),'MM01'!CW$2),"")=0,"",IFERROR(INDEX(Consulta!$A:$DF,MATCH('MM01'!$B112,Consulta!$C:$C,0),'MM01'!CW$2),""))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IF(IFERROR(INDEX(Consulta!$A:$DF,MATCH('MM01'!$B112,Consulta!$C:$C,0),'MM01'!DA$2),"")=0,"",IFERROR(INDEX(Consulta!$A:$DF,MATCH('MM01'!$B112,Consulta!$C:$C,0),'MM01'!DA$2),""))</f>
        <v/>
      </c>
      <c r="DB112" s="43" t="str">
        <f t="shared" si="102"/>
        <v/>
      </c>
      <c r="DC112" s="43" t="str">
        <f>IF(IFERROR(INDEX(Consulta!$A:$DF,MATCH('MM01'!$B112,Consulta!$C:$C,0),'MM01'!DC$2),"")=0,"",IFERROR(INDEX(Consulta!$A:$DF,MATCH('MM01'!$B112,Consulta!$C:$C,0),'MM01'!DC$2),""))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5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5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5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5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IF(IFERROR(INDEX(Consulta!$A:$DF,MATCH('MM01'!$B112,Consulta!$C:$C,0),'MM01'!EB$2),"")=0,"7925",IF(IFERROR(INDEX(Consulta!$A:$DF,MATCH('MM01'!$B112,Consulta!$C:$C,0),'MM01'!EB$2),"")="68","7910","7925"))</f>
        <v>7925</v>
      </c>
      <c r="EC112" s="44">
        <v>100</v>
      </c>
      <c r="ED112" s="60">
        <v>1</v>
      </c>
      <c r="EE112" s="43">
        <f t="shared" si="118"/>
        <v>100</v>
      </c>
      <c r="EF112" s="44">
        <v>1</v>
      </c>
      <c r="EG112" s="44">
        <v>0</v>
      </c>
      <c r="EH112" s="44" t="s">
        <v>867</v>
      </c>
      <c r="EI112" s="45">
        <v>0</v>
      </c>
      <c r="EJ112" s="43">
        <f t="shared" si="119"/>
        <v>5000</v>
      </c>
      <c r="EK112" s="65"/>
    </row>
    <row r="113" spans="1:141" x14ac:dyDescent="0.3">
      <c r="A113" s="7" t="str">
        <f t="shared" si="80"/>
        <v>Execução 109</v>
      </c>
      <c r="B113" s="42"/>
      <c r="C113" s="43" t="str">
        <f>IF(IFERROR(INDEX(Consulta!$A:$DF,MATCH('MM01'!$B113,Consulta!$C:$C,0),'MM01'!C$2),"")=0,"",IFERROR(INDEX(Consulta!$A:$DF,MATCH('MM01'!$B113,Consulta!$C:$C,0),'MM01'!C$2),""))</f>
        <v/>
      </c>
      <c r="D113" s="43" t="str">
        <f>IF(IFERROR(INDEX(Consulta!$A:$DF,MATCH('MM01'!$B113,Consulta!$C:$C,0),'MM01'!D$2),"")=0,"",IFERROR(INDEX(Consulta!$A:$DF,MATCH('MM01'!$B113,Consulta!$C:$C,0),'MM01'!D$2),""))</f>
        <v/>
      </c>
      <c r="E113" s="43" t="str">
        <f>IF(IFERROR(INDEX(Consulta!$A:$DF,MATCH('MM01'!$B113,Consulta!$C:$C,0),'MM01'!E$2),"")=0,"",IFERROR(INDEX(Consulta!$A:$DF,MATCH('MM01'!$B113,Consulta!$C:$C,0),'MM01'!E$2),""))</f>
        <v/>
      </c>
      <c r="F113" s="44" t="s">
        <v>100</v>
      </c>
      <c r="G113" s="49" t="str">
        <f>IF(IFERROR(INDEX(Consulta!$A:$DF,MATCH('MM01'!$B113,Consulta!$C:$C,0),'MM01'!G$2),"")=0,"",IFERROR(INDEX(Consulta!$A:$DF,MATCH('MM01'!$B113,Consulta!$C:$C,0),'MM01'!G$2),""))</f>
        <v/>
      </c>
      <c r="H113" s="49" t="str">
        <f>IF(IFERROR(INDEX(Consulta!$A:$DF,MATCH('MM01'!$B113,Consulta!$C:$C,0),'MM01'!H$2),"")=0,"",IFERROR(INDEX(Consulta!$A:$DF,MATCH('MM01'!$B113,Consulta!$C:$C,0),'MM01'!H$2),""))</f>
        <v/>
      </c>
      <c r="I113" s="49" t="str">
        <f t="shared" si="81"/>
        <v/>
      </c>
      <c r="J113" s="49" t="str">
        <f>IF(IFERROR(INDEX(Consulta!$A:$DF,MATCH('MM01'!$B113,Consulta!$C:$C,0),'MM01'!J$2),"")=0,"",IFERROR(INDEX(Consulta!$A:$DF,MATCH('MM01'!$B113,Consulta!$C:$C,0),'MM01'!J$2),""))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IF(IFERROR(INDEX(Consulta!$A:$DF,MATCH('MM01'!$B113,Consulta!$C:$C,0),'MM01'!AP$2),"")=0,"",IFERROR(INDEX(Consulta!$A:$DF,MATCH('MM01'!$B113,Consulta!$C:$C,0),'MM01'!AP$2),""))</f>
        <v/>
      </c>
      <c r="AQ113" s="45"/>
      <c r="AR113" s="43" t="str">
        <f>IF(IFERROR(INDEX(Consulta!$A:$DF,MATCH('MM01'!$B113,Consulta!$C:$C,0),'MM01'!AR$2),"")=0,"",IFERROR(INDEX(Consulta!$A:$DF,MATCH('MM01'!$B113,Consulta!$C:$C,0),'MM01'!AR$2),""))</f>
        <v/>
      </c>
      <c r="AS113" s="43" t="str">
        <f>IF(IFERROR(INDEX(Consulta!$A:$DF,MATCH('MM01'!$B113,Consulta!$C:$C,0),'MM01'!AS$2),"")=0,"",IF(AR113="68",5102,IFERROR(INDEX(Consulta!$A:$DF,MATCH('MM01'!$B113,Consulta!$C:$C,0),'MM01'!AS$2),"")))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IF(IFERROR(INDEX(Consulta!$A:$DF,MATCH('MM01'!$B113,Consulta!$C:$C,0),'MM01'!AW$2),"")=0,"",IFERROR(ROUND(INDEX(Consulta!$A:$DF,MATCH('MM01'!$B113,Consulta!$C:$C,0),'MM01'!AW$2),3),""))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IF(IFERROR(INDEX(Consulta!$A:$DF,MATCH('MM01'!$B113,Consulta!$C:$C,0),'MM01'!BA$2),"")=0,"",IFERROR(INDEX(Consulta!$A:$DF,MATCH('MM01'!$B113,Consulta!$C:$C,0),'MM01'!BA$2),""))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IF(IFERROR(INDEX(Consulta!$A:$DF,MATCH('MM01'!$B113,Consulta!$C:$C,0),'MM01'!BL$2),"")=0,"",IFERROR(INDEX(Consulta!$A:$DF,MATCH('MM01'!$B113,Consulta!$C:$C,0),'MM01'!BL$2),""))</f>
        <v/>
      </c>
      <c r="BM113" s="45"/>
      <c r="BN113" s="46" t="str">
        <f t="shared" ca="1" si="93"/>
        <v/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IF(IFERROR(INDEX(Consulta!$A:$DF,MATCH('MM01'!$B113,Consulta!$C:$C,0),'MM01'!BX$2),"")=0,"",IFERROR(INDEX(Consulta!$A:$DF,MATCH('MM01'!$B113,Consulta!$C:$C,0),'MM01'!BX$2),""))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IF(IFERROR(INDEX(Consulta!$A:$DF,MATCH('MM01'!$B113,Consulta!$C:$C,0),'MM01'!CT$2),"")=0,"",IFERROR(INDEX(Consulta!$A:$DF,MATCH('MM01'!$B113,Consulta!$C:$C,0),'MM01'!CT$2),""))</f>
        <v/>
      </c>
      <c r="CU113" s="43" t="str">
        <f>IF(IFERROR(INDEX(Consulta!$A:$DF,MATCH('MM01'!$B113,Consulta!$C:$C,0),'MM01'!CU$2),"")=0,"",IFERROR(INDEX(Consulta!$A:$DF,MATCH('MM01'!$B113,Consulta!$C:$C,0),'MM01'!CU$2),""))</f>
        <v/>
      </c>
      <c r="CV113" s="43" t="str">
        <f>IF(IFERROR(INDEX(Consulta!$A:$DF,MATCH('MM01'!$B113,Consulta!$C:$C,0),'MM01'!CV$2),"")=0,"",IFERROR(INDEX(Consulta!$A:$DF,MATCH('MM01'!$B113,Consulta!$C:$C,0),'MM01'!CV$2),""))</f>
        <v/>
      </c>
      <c r="CW113" s="43" t="str">
        <f>IF(IFERROR(INDEX(Consulta!$A:$DF,MATCH('MM01'!$B113,Consulta!$C:$C,0),'MM01'!CW$2),"")=0,"",IFERROR(INDEX(Consulta!$A:$DF,MATCH('MM01'!$B113,Consulta!$C:$C,0),'MM01'!CW$2),""))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IF(IFERROR(INDEX(Consulta!$A:$DF,MATCH('MM01'!$B113,Consulta!$C:$C,0),'MM01'!DA$2),"")=0,"",IFERROR(INDEX(Consulta!$A:$DF,MATCH('MM01'!$B113,Consulta!$C:$C,0),'MM01'!DA$2),""))</f>
        <v/>
      </c>
      <c r="DB113" s="43" t="str">
        <f t="shared" si="102"/>
        <v/>
      </c>
      <c r="DC113" s="43" t="str">
        <f>IF(IFERROR(INDEX(Consulta!$A:$DF,MATCH('MM01'!$B113,Consulta!$C:$C,0),'MM01'!DC$2),"")=0,"",IFERROR(INDEX(Consulta!$A:$DF,MATCH('MM01'!$B113,Consulta!$C:$C,0),'MM01'!DC$2),""))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5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5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5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5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IF(IFERROR(INDEX(Consulta!$A:$DF,MATCH('MM01'!$B113,Consulta!$C:$C,0),'MM01'!EB$2),"")=0,"7925",IF(IFERROR(INDEX(Consulta!$A:$DF,MATCH('MM01'!$B113,Consulta!$C:$C,0),'MM01'!EB$2),"")="68","7910","7925"))</f>
        <v>7925</v>
      </c>
      <c r="EC113" s="44">
        <v>100</v>
      </c>
      <c r="ED113" s="60">
        <v>1</v>
      </c>
      <c r="EE113" s="43">
        <f t="shared" si="118"/>
        <v>100</v>
      </c>
      <c r="EF113" s="44">
        <v>1</v>
      </c>
      <c r="EG113" s="44">
        <v>0</v>
      </c>
      <c r="EH113" s="44" t="s">
        <v>867</v>
      </c>
      <c r="EI113" s="45">
        <v>0</v>
      </c>
      <c r="EJ113" s="43">
        <f t="shared" si="119"/>
        <v>5000</v>
      </c>
      <c r="EK113" s="65"/>
    </row>
    <row r="114" spans="1:141" x14ac:dyDescent="0.3">
      <c r="A114" s="7" t="str">
        <f t="shared" si="80"/>
        <v>Execução 110</v>
      </c>
      <c r="B114" s="42"/>
      <c r="C114" s="43" t="str">
        <f>IF(IFERROR(INDEX(Consulta!$A:$DF,MATCH('MM01'!$B114,Consulta!$C:$C,0),'MM01'!C$2),"")=0,"",IFERROR(INDEX(Consulta!$A:$DF,MATCH('MM01'!$B114,Consulta!$C:$C,0),'MM01'!C$2),""))</f>
        <v/>
      </c>
      <c r="D114" s="43" t="str">
        <f>IF(IFERROR(INDEX(Consulta!$A:$DF,MATCH('MM01'!$B114,Consulta!$C:$C,0),'MM01'!D$2),"")=0,"",IFERROR(INDEX(Consulta!$A:$DF,MATCH('MM01'!$B114,Consulta!$C:$C,0),'MM01'!D$2),""))</f>
        <v/>
      </c>
      <c r="E114" s="43" t="str">
        <f>IF(IFERROR(INDEX(Consulta!$A:$DF,MATCH('MM01'!$B114,Consulta!$C:$C,0),'MM01'!E$2),"")=0,"",IFERROR(INDEX(Consulta!$A:$DF,MATCH('MM01'!$B114,Consulta!$C:$C,0),'MM01'!E$2),""))</f>
        <v/>
      </c>
      <c r="F114" s="44" t="s">
        <v>100</v>
      </c>
      <c r="G114" s="49" t="str">
        <f>IF(IFERROR(INDEX(Consulta!$A:$DF,MATCH('MM01'!$B114,Consulta!$C:$C,0),'MM01'!G$2),"")=0,"",IFERROR(INDEX(Consulta!$A:$DF,MATCH('MM01'!$B114,Consulta!$C:$C,0),'MM01'!G$2),""))</f>
        <v/>
      </c>
      <c r="H114" s="49" t="str">
        <f>IF(IFERROR(INDEX(Consulta!$A:$DF,MATCH('MM01'!$B114,Consulta!$C:$C,0),'MM01'!H$2),"")=0,"",IFERROR(INDEX(Consulta!$A:$DF,MATCH('MM01'!$B114,Consulta!$C:$C,0),'MM01'!H$2),""))</f>
        <v/>
      </c>
      <c r="I114" s="49" t="str">
        <f t="shared" si="81"/>
        <v/>
      </c>
      <c r="J114" s="49" t="str">
        <f>IF(IFERROR(INDEX(Consulta!$A:$DF,MATCH('MM01'!$B114,Consulta!$C:$C,0),'MM01'!J$2),"")=0,"",IFERROR(INDEX(Consulta!$A:$DF,MATCH('MM01'!$B114,Consulta!$C:$C,0),'MM01'!J$2),""))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IF(IFERROR(INDEX(Consulta!$A:$DF,MATCH('MM01'!$B114,Consulta!$C:$C,0),'MM01'!AP$2),"")=0,"",IFERROR(INDEX(Consulta!$A:$DF,MATCH('MM01'!$B114,Consulta!$C:$C,0),'MM01'!AP$2),""))</f>
        <v/>
      </c>
      <c r="AQ114" s="45"/>
      <c r="AR114" s="43" t="str">
        <f>IF(IFERROR(INDEX(Consulta!$A:$DF,MATCH('MM01'!$B114,Consulta!$C:$C,0),'MM01'!AR$2),"")=0,"",IFERROR(INDEX(Consulta!$A:$DF,MATCH('MM01'!$B114,Consulta!$C:$C,0),'MM01'!AR$2),""))</f>
        <v/>
      </c>
      <c r="AS114" s="43" t="str">
        <f>IF(IFERROR(INDEX(Consulta!$A:$DF,MATCH('MM01'!$B114,Consulta!$C:$C,0),'MM01'!AS$2),"")=0,"",IF(AR114="68",5102,IFERROR(INDEX(Consulta!$A:$DF,MATCH('MM01'!$B114,Consulta!$C:$C,0),'MM01'!AS$2),"")))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IF(IFERROR(INDEX(Consulta!$A:$DF,MATCH('MM01'!$B114,Consulta!$C:$C,0),'MM01'!AW$2),"")=0,"",IFERROR(ROUND(INDEX(Consulta!$A:$DF,MATCH('MM01'!$B114,Consulta!$C:$C,0),'MM01'!AW$2),3),""))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IF(IFERROR(INDEX(Consulta!$A:$DF,MATCH('MM01'!$B114,Consulta!$C:$C,0),'MM01'!BA$2),"")=0,"",IFERROR(INDEX(Consulta!$A:$DF,MATCH('MM01'!$B114,Consulta!$C:$C,0),'MM01'!BA$2),""))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IF(IFERROR(INDEX(Consulta!$A:$DF,MATCH('MM01'!$B114,Consulta!$C:$C,0),'MM01'!BL$2),"")=0,"",IFERROR(INDEX(Consulta!$A:$DF,MATCH('MM01'!$B114,Consulta!$C:$C,0),'MM01'!BL$2),""))</f>
        <v/>
      </c>
      <c r="BM114" s="45"/>
      <c r="BN114" s="46" t="str">
        <f t="shared" ca="1" si="93"/>
        <v/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IF(IFERROR(INDEX(Consulta!$A:$DF,MATCH('MM01'!$B114,Consulta!$C:$C,0),'MM01'!BX$2),"")=0,"",IFERROR(INDEX(Consulta!$A:$DF,MATCH('MM01'!$B114,Consulta!$C:$C,0),'MM01'!BX$2),""))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IF(IFERROR(INDEX(Consulta!$A:$DF,MATCH('MM01'!$B114,Consulta!$C:$C,0),'MM01'!CT$2),"")=0,"",IFERROR(INDEX(Consulta!$A:$DF,MATCH('MM01'!$B114,Consulta!$C:$C,0),'MM01'!CT$2),""))</f>
        <v/>
      </c>
      <c r="CU114" s="43" t="str">
        <f>IF(IFERROR(INDEX(Consulta!$A:$DF,MATCH('MM01'!$B114,Consulta!$C:$C,0),'MM01'!CU$2),"")=0,"",IFERROR(INDEX(Consulta!$A:$DF,MATCH('MM01'!$B114,Consulta!$C:$C,0),'MM01'!CU$2),""))</f>
        <v/>
      </c>
      <c r="CV114" s="43" t="str">
        <f>IF(IFERROR(INDEX(Consulta!$A:$DF,MATCH('MM01'!$B114,Consulta!$C:$C,0),'MM01'!CV$2),"")=0,"",IFERROR(INDEX(Consulta!$A:$DF,MATCH('MM01'!$B114,Consulta!$C:$C,0),'MM01'!CV$2),""))</f>
        <v/>
      </c>
      <c r="CW114" s="43" t="str">
        <f>IF(IFERROR(INDEX(Consulta!$A:$DF,MATCH('MM01'!$B114,Consulta!$C:$C,0),'MM01'!CW$2),"")=0,"",IFERROR(INDEX(Consulta!$A:$DF,MATCH('MM01'!$B114,Consulta!$C:$C,0),'MM01'!CW$2),""))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IF(IFERROR(INDEX(Consulta!$A:$DF,MATCH('MM01'!$B114,Consulta!$C:$C,0),'MM01'!DA$2),"")=0,"",IFERROR(INDEX(Consulta!$A:$DF,MATCH('MM01'!$B114,Consulta!$C:$C,0),'MM01'!DA$2),""))</f>
        <v/>
      </c>
      <c r="DB114" s="43" t="str">
        <f t="shared" si="102"/>
        <v/>
      </c>
      <c r="DC114" s="43" t="str">
        <f>IF(IFERROR(INDEX(Consulta!$A:$DF,MATCH('MM01'!$B114,Consulta!$C:$C,0),'MM01'!DC$2),"")=0,"",IFERROR(INDEX(Consulta!$A:$DF,MATCH('MM01'!$B114,Consulta!$C:$C,0),'MM01'!DC$2),""))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5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5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5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5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IF(IFERROR(INDEX(Consulta!$A:$DF,MATCH('MM01'!$B114,Consulta!$C:$C,0),'MM01'!EB$2),"")=0,"7925",IF(IFERROR(INDEX(Consulta!$A:$DF,MATCH('MM01'!$B114,Consulta!$C:$C,0),'MM01'!EB$2),"")="68","7910","7925"))</f>
        <v>7925</v>
      </c>
      <c r="EC114" s="44">
        <v>100</v>
      </c>
      <c r="ED114" s="60">
        <v>1</v>
      </c>
      <c r="EE114" s="43">
        <f t="shared" si="118"/>
        <v>100</v>
      </c>
      <c r="EF114" s="44">
        <v>1</v>
      </c>
      <c r="EG114" s="44">
        <v>0</v>
      </c>
      <c r="EH114" s="44" t="s">
        <v>867</v>
      </c>
      <c r="EI114" s="45">
        <v>0</v>
      </c>
      <c r="EJ114" s="43">
        <f t="shared" si="119"/>
        <v>5000</v>
      </c>
      <c r="EK114" s="65"/>
    </row>
    <row r="115" spans="1:141" x14ac:dyDescent="0.3">
      <c r="A115" s="7" t="str">
        <f t="shared" si="80"/>
        <v>Execução 111</v>
      </c>
      <c r="B115" s="42"/>
      <c r="C115" s="43" t="str">
        <f>IF(IFERROR(INDEX(Consulta!$A:$DF,MATCH('MM01'!$B115,Consulta!$C:$C,0),'MM01'!C$2),"")=0,"",IFERROR(INDEX(Consulta!$A:$DF,MATCH('MM01'!$B115,Consulta!$C:$C,0),'MM01'!C$2),""))</f>
        <v/>
      </c>
      <c r="D115" s="43" t="str">
        <f>IF(IFERROR(INDEX(Consulta!$A:$DF,MATCH('MM01'!$B115,Consulta!$C:$C,0),'MM01'!D$2),"")=0,"",IFERROR(INDEX(Consulta!$A:$DF,MATCH('MM01'!$B115,Consulta!$C:$C,0),'MM01'!D$2),""))</f>
        <v/>
      </c>
      <c r="E115" s="43" t="str">
        <f>IF(IFERROR(INDEX(Consulta!$A:$DF,MATCH('MM01'!$B115,Consulta!$C:$C,0),'MM01'!E$2),"")=0,"",IFERROR(INDEX(Consulta!$A:$DF,MATCH('MM01'!$B115,Consulta!$C:$C,0),'MM01'!E$2),""))</f>
        <v/>
      </c>
      <c r="F115" s="44" t="s">
        <v>100</v>
      </c>
      <c r="G115" s="49" t="str">
        <f>IF(IFERROR(INDEX(Consulta!$A:$DF,MATCH('MM01'!$B115,Consulta!$C:$C,0),'MM01'!G$2),"")=0,"",IFERROR(INDEX(Consulta!$A:$DF,MATCH('MM01'!$B115,Consulta!$C:$C,0),'MM01'!G$2),""))</f>
        <v/>
      </c>
      <c r="H115" s="49" t="str">
        <f>IF(IFERROR(INDEX(Consulta!$A:$DF,MATCH('MM01'!$B115,Consulta!$C:$C,0),'MM01'!H$2),"")=0,"",IFERROR(INDEX(Consulta!$A:$DF,MATCH('MM01'!$B115,Consulta!$C:$C,0),'MM01'!H$2),""))</f>
        <v/>
      </c>
      <c r="I115" s="49" t="str">
        <f t="shared" si="81"/>
        <v/>
      </c>
      <c r="J115" s="49" t="str">
        <f>IF(IFERROR(INDEX(Consulta!$A:$DF,MATCH('MM01'!$B115,Consulta!$C:$C,0),'MM01'!J$2),"")=0,"",IFERROR(INDEX(Consulta!$A:$DF,MATCH('MM01'!$B115,Consulta!$C:$C,0),'MM01'!J$2),""))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IF(IFERROR(INDEX(Consulta!$A:$DF,MATCH('MM01'!$B115,Consulta!$C:$C,0),'MM01'!AP$2),"")=0,"",IFERROR(INDEX(Consulta!$A:$DF,MATCH('MM01'!$B115,Consulta!$C:$C,0),'MM01'!AP$2),""))</f>
        <v/>
      </c>
      <c r="AQ115" s="45"/>
      <c r="AR115" s="43" t="str">
        <f>IF(IFERROR(INDEX(Consulta!$A:$DF,MATCH('MM01'!$B115,Consulta!$C:$C,0),'MM01'!AR$2),"")=0,"",IFERROR(INDEX(Consulta!$A:$DF,MATCH('MM01'!$B115,Consulta!$C:$C,0),'MM01'!AR$2),""))</f>
        <v/>
      </c>
      <c r="AS115" s="43" t="str">
        <f>IF(IFERROR(INDEX(Consulta!$A:$DF,MATCH('MM01'!$B115,Consulta!$C:$C,0),'MM01'!AS$2),"")=0,"",IF(AR115="68",5102,IFERROR(INDEX(Consulta!$A:$DF,MATCH('MM01'!$B115,Consulta!$C:$C,0),'MM01'!AS$2),"")))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IF(IFERROR(INDEX(Consulta!$A:$DF,MATCH('MM01'!$B115,Consulta!$C:$C,0),'MM01'!AW$2),"")=0,"",IFERROR(ROUND(INDEX(Consulta!$A:$DF,MATCH('MM01'!$B115,Consulta!$C:$C,0),'MM01'!AW$2),3),""))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IF(IFERROR(INDEX(Consulta!$A:$DF,MATCH('MM01'!$B115,Consulta!$C:$C,0),'MM01'!BA$2),"")=0,"",IFERROR(INDEX(Consulta!$A:$DF,MATCH('MM01'!$B115,Consulta!$C:$C,0),'MM01'!BA$2),""))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IF(IFERROR(INDEX(Consulta!$A:$DF,MATCH('MM01'!$B115,Consulta!$C:$C,0),'MM01'!BL$2),"")=0,"",IFERROR(INDEX(Consulta!$A:$DF,MATCH('MM01'!$B115,Consulta!$C:$C,0),'MM01'!BL$2),""))</f>
        <v/>
      </c>
      <c r="BM115" s="45"/>
      <c r="BN115" s="46" t="str">
        <f t="shared" ca="1" si="93"/>
        <v/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IF(IFERROR(INDEX(Consulta!$A:$DF,MATCH('MM01'!$B115,Consulta!$C:$C,0),'MM01'!BX$2),"")=0,"",IFERROR(INDEX(Consulta!$A:$DF,MATCH('MM01'!$B115,Consulta!$C:$C,0),'MM01'!BX$2),""))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IF(IFERROR(INDEX(Consulta!$A:$DF,MATCH('MM01'!$B115,Consulta!$C:$C,0),'MM01'!CT$2),"")=0,"",IFERROR(INDEX(Consulta!$A:$DF,MATCH('MM01'!$B115,Consulta!$C:$C,0),'MM01'!CT$2),""))</f>
        <v/>
      </c>
      <c r="CU115" s="43" t="str">
        <f>IF(IFERROR(INDEX(Consulta!$A:$DF,MATCH('MM01'!$B115,Consulta!$C:$C,0),'MM01'!CU$2),"")=0,"",IFERROR(INDEX(Consulta!$A:$DF,MATCH('MM01'!$B115,Consulta!$C:$C,0),'MM01'!CU$2),""))</f>
        <v/>
      </c>
      <c r="CV115" s="43" t="str">
        <f>IF(IFERROR(INDEX(Consulta!$A:$DF,MATCH('MM01'!$B115,Consulta!$C:$C,0),'MM01'!CV$2),"")=0,"",IFERROR(INDEX(Consulta!$A:$DF,MATCH('MM01'!$B115,Consulta!$C:$C,0),'MM01'!CV$2),""))</f>
        <v/>
      </c>
      <c r="CW115" s="43" t="str">
        <f>IF(IFERROR(INDEX(Consulta!$A:$DF,MATCH('MM01'!$B115,Consulta!$C:$C,0),'MM01'!CW$2),"")=0,"",IFERROR(INDEX(Consulta!$A:$DF,MATCH('MM01'!$B115,Consulta!$C:$C,0),'MM01'!CW$2),""))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IF(IFERROR(INDEX(Consulta!$A:$DF,MATCH('MM01'!$B115,Consulta!$C:$C,0),'MM01'!DA$2),"")=0,"",IFERROR(INDEX(Consulta!$A:$DF,MATCH('MM01'!$B115,Consulta!$C:$C,0),'MM01'!DA$2),""))</f>
        <v/>
      </c>
      <c r="DB115" s="43" t="str">
        <f t="shared" si="102"/>
        <v/>
      </c>
      <c r="DC115" s="43" t="str">
        <f>IF(IFERROR(INDEX(Consulta!$A:$DF,MATCH('MM01'!$B115,Consulta!$C:$C,0),'MM01'!DC$2),"")=0,"",IFERROR(INDEX(Consulta!$A:$DF,MATCH('MM01'!$B115,Consulta!$C:$C,0),'MM01'!DC$2),""))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5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5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5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5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IF(IFERROR(INDEX(Consulta!$A:$DF,MATCH('MM01'!$B115,Consulta!$C:$C,0),'MM01'!EB$2),"")=0,"7925",IF(IFERROR(INDEX(Consulta!$A:$DF,MATCH('MM01'!$B115,Consulta!$C:$C,0),'MM01'!EB$2),"")="68","7910","7925"))</f>
        <v>7925</v>
      </c>
      <c r="EC115" s="44">
        <v>100</v>
      </c>
      <c r="ED115" s="60">
        <v>1</v>
      </c>
      <c r="EE115" s="43">
        <f t="shared" si="118"/>
        <v>100</v>
      </c>
      <c r="EF115" s="44">
        <v>1</v>
      </c>
      <c r="EG115" s="44">
        <v>0</v>
      </c>
      <c r="EH115" s="44" t="s">
        <v>867</v>
      </c>
      <c r="EI115" s="45">
        <v>0</v>
      </c>
      <c r="EJ115" s="43">
        <f t="shared" si="119"/>
        <v>5000</v>
      </c>
      <c r="EK115" s="65"/>
    </row>
    <row r="116" spans="1:141" x14ac:dyDescent="0.3">
      <c r="A116" s="7" t="str">
        <f t="shared" si="80"/>
        <v>Execução 112</v>
      </c>
      <c r="B116" s="42"/>
      <c r="C116" s="43" t="str">
        <f>IF(IFERROR(INDEX(Consulta!$A:$DF,MATCH('MM01'!$B116,Consulta!$C:$C,0),'MM01'!C$2),"")=0,"",IFERROR(INDEX(Consulta!$A:$DF,MATCH('MM01'!$B116,Consulta!$C:$C,0),'MM01'!C$2),""))</f>
        <v/>
      </c>
      <c r="D116" s="43" t="str">
        <f>IF(IFERROR(INDEX(Consulta!$A:$DF,MATCH('MM01'!$B116,Consulta!$C:$C,0),'MM01'!D$2),"")=0,"",IFERROR(INDEX(Consulta!$A:$DF,MATCH('MM01'!$B116,Consulta!$C:$C,0),'MM01'!D$2),""))</f>
        <v/>
      </c>
      <c r="E116" s="43" t="str">
        <f>IF(IFERROR(INDEX(Consulta!$A:$DF,MATCH('MM01'!$B116,Consulta!$C:$C,0),'MM01'!E$2),"")=0,"",IFERROR(INDEX(Consulta!$A:$DF,MATCH('MM01'!$B116,Consulta!$C:$C,0),'MM01'!E$2),""))</f>
        <v/>
      </c>
      <c r="F116" s="44" t="s">
        <v>100</v>
      </c>
      <c r="G116" s="49" t="str">
        <f>IF(IFERROR(INDEX(Consulta!$A:$DF,MATCH('MM01'!$B116,Consulta!$C:$C,0),'MM01'!G$2),"")=0,"",IFERROR(INDEX(Consulta!$A:$DF,MATCH('MM01'!$B116,Consulta!$C:$C,0),'MM01'!G$2),""))</f>
        <v/>
      </c>
      <c r="H116" s="49" t="str">
        <f>IF(IFERROR(INDEX(Consulta!$A:$DF,MATCH('MM01'!$B116,Consulta!$C:$C,0),'MM01'!H$2),"")=0,"",IFERROR(INDEX(Consulta!$A:$DF,MATCH('MM01'!$B116,Consulta!$C:$C,0),'MM01'!H$2),""))</f>
        <v/>
      </c>
      <c r="I116" s="49" t="str">
        <f t="shared" si="81"/>
        <v/>
      </c>
      <c r="J116" s="49" t="str">
        <f>IF(IFERROR(INDEX(Consulta!$A:$DF,MATCH('MM01'!$B116,Consulta!$C:$C,0),'MM01'!J$2),"")=0,"",IFERROR(INDEX(Consulta!$A:$DF,MATCH('MM01'!$B116,Consulta!$C:$C,0),'MM01'!J$2),""))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IF(IFERROR(INDEX(Consulta!$A:$DF,MATCH('MM01'!$B116,Consulta!$C:$C,0),'MM01'!AP$2),"")=0,"",IFERROR(INDEX(Consulta!$A:$DF,MATCH('MM01'!$B116,Consulta!$C:$C,0),'MM01'!AP$2),""))</f>
        <v/>
      </c>
      <c r="AQ116" s="45"/>
      <c r="AR116" s="43" t="str">
        <f>IF(IFERROR(INDEX(Consulta!$A:$DF,MATCH('MM01'!$B116,Consulta!$C:$C,0),'MM01'!AR$2),"")=0,"",IFERROR(INDEX(Consulta!$A:$DF,MATCH('MM01'!$B116,Consulta!$C:$C,0),'MM01'!AR$2),""))</f>
        <v/>
      </c>
      <c r="AS116" s="43" t="str">
        <f>IF(IFERROR(INDEX(Consulta!$A:$DF,MATCH('MM01'!$B116,Consulta!$C:$C,0),'MM01'!AS$2),"")=0,"",IF(AR116="68",5102,IFERROR(INDEX(Consulta!$A:$DF,MATCH('MM01'!$B116,Consulta!$C:$C,0),'MM01'!AS$2),"")))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IF(IFERROR(INDEX(Consulta!$A:$DF,MATCH('MM01'!$B116,Consulta!$C:$C,0),'MM01'!AW$2),"")=0,"",IFERROR(ROUND(INDEX(Consulta!$A:$DF,MATCH('MM01'!$B116,Consulta!$C:$C,0),'MM01'!AW$2),3),""))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IF(IFERROR(INDEX(Consulta!$A:$DF,MATCH('MM01'!$B116,Consulta!$C:$C,0),'MM01'!BA$2),"")=0,"",IFERROR(INDEX(Consulta!$A:$DF,MATCH('MM01'!$B116,Consulta!$C:$C,0),'MM01'!BA$2),""))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IF(IFERROR(INDEX(Consulta!$A:$DF,MATCH('MM01'!$B116,Consulta!$C:$C,0),'MM01'!BL$2),"")=0,"",IFERROR(INDEX(Consulta!$A:$DF,MATCH('MM01'!$B116,Consulta!$C:$C,0),'MM01'!BL$2),""))</f>
        <v/>
      </c>
      <c r="BM116" s="45"/>
      <c r="BN116" s="46" t="str">
        <f t="shared" ca="1" si="93"/>
        <v/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IF(IFERROR(INDEX(Consulta!$A:$DF,MATCH('MM01'!$B116,Consulta!$C:$C,0),'MM01'!BX$2),"")=0,"",IFERROR(INDEX(Consulta!$A:$DF,MATCH('MM01'!$B116,Consulta!$C:$C,0),'MM01'!BX$2),""))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IF(IFERROR(INDEX(Consulta!$A:$DF,MATCH('MM01'!$B116,Consulta!$C:$C,0),'MM01'!CT$2),"")=0,"",IFERROR(INDEX(Consulta!$A:$DF,MATCH('MM01'!$B116,Consulta!$C:$C,0),'MM01'!CT$2),""))</f>
        <v/>
      </c>
      <c r="CU116" s="43" t="str">
        <f>IF(IFERROR(INDEX(Consulta!$A:$DF,MATCH('MM01'!$B116,Consulta!$C:$C,0),'MM01'!CU$2),"")=0,"",IFERROR(INDEX(Consulta!$A:$DF,MATCH('MM01'!$B116,Consulta!$C:$C,0),'MM01'!CU$2),""))</f>
        <v/>
      </c>
      <c r="CV116" s="43" t="str">
        <f>IF(IFERROR(INDEX(Consulta!$A:$DF,MATCH('MM01'!$B116,Consulta!$C:$C,0),'MM01'!CV$2),"")=0,"",IFERROR(INDEX(Consulta!$A:$DF,MATCH('MM01'!$B116,Consulta!$C:$C,0),'MM01'!CV$2),""))</f>
        <v/>
      </c>
      <c r="CW116" s="43" t="str">
        <f>IF(IFERROR(INDEX(Consulta!$A:$DF,MATCH('MM01'!$B116,Consulta!$C:$C,0),'MM01'!CW$2),"")=0,"",IFERROR(INDEX(Consulta!$A:$DF,MATCH('MM01'!$B116,Consulta!$C:$C,0),'MM01'!CW$2),""))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IF(IFERROR(INDEX(Consulta!$A:$DF,MATCH('MM01'!$B116,Consulta!$C:$C,0),'MM01'!DA$2),"")=0,"",IFERROR(INDEX(Consulta!$A:$DF,MATCH('MM01'!$B116,Consulta!$C:$C,0),'MM01'!DA$2),""))</f>
        <v/>
      </c>
      <c r="DB116" s="43" t="str">
        <f t="shared" si="102"/>
        <v/>
      </c>
      <c r="DC116" s="43" t="str">
        <f>IF(IFERROR(INDEX(Consulta!$A:$DF,MATCH('MM01'!$B116,Consulta!$C:$C,0),'MM01'!DC$2),"")=0,"",IFERROR(INDEX(Consulta!$A:$DF,MATCH('MM01'!$B116,Consulta!$C:$C,0),'MM01'!DC$2),""))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5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5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5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5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IF(IFERROR(INDEX(Consulta!$A:$DF,MATCH('MM01'!$B116,Consulta!$C:$C,0),'MM01'!EB$2),"")=0,"7925",IF(IFERROR(INDEX(Consulta!$A:$DF,MATCH('MM01'!$B116,Consulta!$C:$C,0),'MM01'!EB$2),"")="68","7910","7925"))</f>
        <v>7925</v>
      </c>
      <c r="EC116" s="44">
        <v>100</v>
      </c>
      <c r="ED116" s="60">
        <v>1</v>
      </c>
      <c r="EE116" s="43">
        <f t="shared" si="118"/>
        <v>100</v>
      </c>
      <c r="EF116" s="44">
        <v>1</v>
      </c>
      <c r="EG116" s="44">
        <v>0</v>
      </c>
      <c r="EH116" s="44" t="s">
        <v>867</v>
      </c>
      <c r="EI116" s="45">
        <v>0</v>
      </c>
      <c r="EJ116" s="43">
        <f t="shared" si="119"/>
        <v>5000</v>
      </c>
      <c r="EK116" s="65"/>
    </row>
    <row r="117" spans="1:141" x14ac:dyDescent="0.3">
      <c r="A117" s="7" t="str">
        <f t="shared" si="80"/>
        <v>Execução 113</v>
      </c>
      <c r="B117" s="42"/>
      <c r="C117" s="43" t="str">
        <f>IF(IFERROR(INDEX(Consulta!$A:$DF,MATCH('MM01'!$B117,Consulta!$C:$C,0),'MM01'!C$2),"")=0,"",IFERROR(INDEX(Consulta!$A:$DF,MATCH('MM01'!$B117,Consulta!$C:$C,0),'MM01'!C$2),""))</f>
        <v/>
      </c>
      <c r="D117" s="43" t="str">
        <f>IF(IFERROR(INDEX(Consulta!$A:$DF,MATCH('MM01'!$B117,Consulta!$C:$C,0),'MM01'!D$2),"")=0,"",IFERROR(INDEX(Consulta!$A:$DF,MATCH('MM01'!$B117,Consulta!$C:$C,0),'MM01'!D$2),""))</f>
        <v/>
      </c>
      <c r="E117" s="43" t="str">
        <f>IF(IFERROR(INDEX(Consulta!$A:$DF,MATCH('MM01'!$B117,Consulta!$C:$C,0),'MM01'!E$2),"")=0,"",IFERROR(INDEX(Consulta!$A:$DF,MATCH('MM01'!$B117,Consulta!$C:$C,0),'MM01'!E$2),""))</f>
        <v/>
      </c>
      <c r="F117" s="44" t="s">
        <v>100</v>
      </c>
      <c r="G117" s="49" t="str">
        <f>IF(IFERROR(INDEX(Consulta!$A:$DF,MATCH('MM01'!$B117,Consulta!$C:$C,0),'MM01'!G$2),"")=0,"",IFERROR(INDEX(Consulta!$A:$DF,MATCH('MM01'!$B117,Consulta!$C:$C,0),'MM01'!G$2),""))</f>
        <v/>
      </c>
      <c r="H117" s="49" t="str">
        <f>IF(IFERROR(INDEX(Consulta!$A:$DF,MATCH('MM01'!$B117,Consulta!$C:$C,0),'MM01'!H$2),"")=0,"",IFERROR(INDEX(Consulta!$A:$DF,MATCH('MM01'!$B117,Consulta!$C:$C,0),'MM01'!H$2),""))</f>
        <v/>
      </c>
      <c r="I117" s="49" t="str">
        <f t="shared" si="81"/>
        <v/>
      </c>
      <c r="J117" s="49" t="str">
        <f>IF(IFERROR(INDEX(Consulta!$A:$DF,MATCH('MM01'!$B117,Consulta!$C:$C,0),'MM01'!J$2),"")=0,"",IFERROR(INDEX(Consulta!$A:$DF,MATCH('MM01'!$B117,Consulta!$C:$C,0),'MM01'!J$2),""))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IF(IFERROR(INDEX(Consulta!$A:$DF,MATCH('MM01'!$B117,Consulta!$C:$C,0),'MM01'!AP$2),"")=0,"",IFERROR(INDEX(Consulta!$A:$DF,MATCH('MM01'!$B117,Consulta!$C:$C,0),'MM01'!AP$2),""))</f>
        <v/>
      </c>
      <c r="AQ117" s="45"/>
      <c r="AR117" s="43" t="str">
        <f>IF(IFERROR(INDEX(Consulta!$A:$DF,MATCH('MM01'!$B117,Consulta!$C:$C,0),'MM01'!AR$2),"")=0,"",IFERROR(INDEX(Consulta!$A:$DF,MATCH('MM01'!$B117,Consulta!$C:$C,0),'MM01'!AR$2),""))</f>
        <v/>
      </c>
      <c r="AS117" s="43" t="str">
        <f>IF(IFERROR(INDEX(Consulta!$A:$DF,MATCH('MM01'!$B117,Consulta!$C:$C,0),'MM01'!AS$2),"")=0,"",IF(AR117="68",5102,IFERROR(INDEX(Consulta!$A:$DF,MATCH('MM01'!$B117,Consulta!$C:$C,0),'MM01'!AS$2),"")))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IF(IFERROR(INDEX(Consulta!$A:$DF,MATCH('MM01'!$B117,Consulta!$C:$C,0),'MM01'!AW$2),"")=0,"",IFERROR(ROUND(INDEX(Consulta!$A:$DF,MATCH('MM01'!$B117,Consulta!$C:$C,0),'MM01'!AW$2),3),""))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IF(IFERROR(INDEX(Consulta!$A:$DF,MATCH('MM01'!$B117,Consulta!$C:$C,0),'MM01'!BA$2),"")=0,"",IFERROR(INDEX(Consulta!$A:$DF,MATCH('MM01'!$B117,Consulta!$C:$C,0),'MM01'!BA$2),""))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IF(IFERROR(INDEX(Consulta!$A:$DF,MATCH('MM01'!$B117,Consulta!$C:$C,0),'MM01'!BL$2),"")=0,"",IFERROR(INDEX(Consulta!$A:$DF,MATCH('MM01'!$B117,Consulta!$C:$C,0),'MM01'!BL$2),""))</f>
        <v/>
      </c>
      <c r="BM117" s="45"/>
      <c r="BN117" s="46" t="str">
        <f t="shared" ca="1" si="93"/>
        <v/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IF(IFERROR(INDEX(Consulta!$A:$DF,MATCH('MM01'!$B117,Consulta!$C:$C,0),'MM01'!BX$2),"")=0,"",IFERROR(INDEX(Consulta!$A:$DF,MATCH('MM01'!$B117,Consulta!$C:$C,0),'MM01'!BX$2),""))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IF(IFERROR(INDEX(Consulta!$A:$DF,MATCH('MM01'!$B117,Consulta!$C:$C,0),'MM01'!CT$2),"")=0,"",IFERROR(INDEX(Consulta!$A:$DF,MATCH('MM01'!$B117,Consulta!$C:$C,0),'MM01'!CT$2),""))</f>
        <v/>
      </c>
      <c r="CU117" s="43" t="str">
        <f>IF(IFERROR(INDEX(Consulta!$A:$DF,MATCH('MM01'!$B117,Consulta!$C:$C,0),'MM01'!CU$2),"")=0,"",IFERROR(INDEX(Consulta!$A:$DF,MATCH('MM01'!$B117,Consulta!$C:$C,0),'MM01'!CU$2),""))</f>
        <v/>
      </c>
      <c r="CV117" s="43" t="str">
        <f>IF(IFERROR(INDEX(Consulta!$A:$DF,MATCH('MM01'!$B117,Consulta!$C:$C,0),'MM01'!CV$2),"")=0,"",IFERROR(INDEX(Consulta!$A:$DF,MATCH('MM01'!$B117,Consulta!$C:$C,0),'MM01'!CV$2),""))</f>
        <v/>
      </c>
      <c r="CW117" s="43" t="str">
        <f>IF(IFERROR(INDEX(Consulta!$A:$DF,MATCH('MM01'!$B117,Consulta!$C:$C,0),'MM01'!CW$2),"")=0,"",IFERROR(INDEX(Consulta!$A:$DF,MATCH('MM01'!$B117,Consulta!$C:$C,0),'MM01'!CW$2),""))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IF(IFERROR(INDEX(Consulta!$A:$DF,MATCH('MM01'!$B117,Consulta!$C:$C,0),'MM01'!DA$2),"")=0,"",IFERROR(INDEX(Consulta!$A:$DF,MATCH('MM01'!$B117,Consulta!$C:$C,0),'MM01'!DA$2),""))</f>
        <v/>
      </c>
      <c r="DB117" s="43" t="str">
        <f t="shared" si="102"/>
        <v/>
      </c>
      <c r="DC117" s="43" t="str">
        <f>IF(IFERROR(INDEX(Consulta!$A:$DF,MATCH('MM01'!$B117,Consulta!$C:$C,0),'MM01'!DC$2),"")=0,"",IFERROR(INDEX(Consulta!$A:$DF,MATCH('MM01'!$B117,Consulta!$C:$C,0),'MM01'!DC$2),""))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5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5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5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5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IF(IFERROR(INDEX(Consulta!$A:$DF,MATCH('MM01'!$B117,Consulta!$C:$C,0),'MM01'!EB$2),"")=0,"7925",IF(IFERROR(INDEX(Consulta!$A:$DF,MATCH('MM01'!$B117,Consulta!$C:$C,0),'MM01'!EB$2),"")="68","7910","7925"))</f>
        <v>7925</v>
      </c>
      <c r="EC117" s="44">
        <v>100</v>
      </c>
      <c r="ED117" s="60">
        <v>1</v>
      </c>
      <c r="EE117" s="43">
        <f t="shared" si="118"/>
        <v>100</v>
      </c>
      <c r="EF117" s="44">
        <v>1</v>
      </c>
      <c r="EG117" s="44">
        <v>0</v>
      </c>
      <c r="EH117" s="44" t="s">
        <v>867</v>
      </c>
      <c r="EI117" s="45">
        <v>0</v>
      </c>
      <c r="EJ117" s="43">
        <f t="shared" si="119"/>
        <v>5000</v>
      </c>
      <c r="EK117" s="65"/>
    </row>
    <row r="118" spans="1:141" x14ac:dyDescent="0.3">
      <c r="A118" s="7" t="str">
        <f t="shared" si="80"/>
        <v>Execução 114</v>
      </c>
      <c r="B118" s="42"/>
      <c r="C118" s="43" t="str">
        <f>IF(IFERROR(INDEX(Consulta!$A:$DF,MATCH('MM01'!$B118,Consulta!$C:$C,0),'MM01'!C$2),"")=0,"",IFERROR(INDEX(Consulta!$A:$DF,MATCH('MM01'!$B118,Consulta!$C:$C,0),'MM01'!C$2),""))</f>
        <v/>
      </c>
      <c r="D118" s="43" t="str">
        <f>IF(IFERROR(INDEX(Consulta!$A:$DF,MATCH('MM01'!$B118,Consulta!$C:$C,0),'MM01'!D$2),"")=0,"",IFERROR(INDEX(Consulta!$A:$DF,MATCH('MM01'!$B118,Consulta!$C:$C,0),'MM01'!D$2),""))</f>
        <v/>
      </c>
      <c r="E118" s="43" t="str">
        <f>IF(IFERROR(INDEX(Consulta!$A:$DF,MATCH('MM01'!$B118,Consulta!$C:$C,0),'MM01'!E$2),"")=0,"",IFERROR(INDEX(Consulta!$A:$DF,MATCH('MM01'!$B118,Consulta!$C:$C,0),'MM01'!E$2),""))</f>
        <v/>
      </c>
      <c r="F118" s="44" t="s">
        <v>100</v>
      </c>
      <c r="G118" s="49" t="str">
        <f>IF(IFERROR(INDEX(Consulta!$A:$DF,MATCH('MM01'!$B118,Consulta!$C:$C,0),'MM01'!G$2),"")=0,"",IFERROR(INDEX(Consulta!$A:$DF,MATCH('MM01'!$B118,Consulta!$C:$C,0),'MM01'!G$2),""))</f>
        <v/>
      </c>
      <c r="H118" s="49" t="str">
        <f>IF(IFERROR(INDEX(Consulta!$A:$DF,MATCH('MM01'!$B118,Consulta!$C:$C,0),'MM01'!H$2),"")=0,"",IFERROR(INDEX(Consulta!$A:$DF,MATCH('MM01'!$B118,Consulta!$C:$C,0),'MM01'!H$2),""))</f>
        <v/>
      </c>
      <c r="I118" s="49" t="str">
        <f t="shared" si="81"/>
        <v/>
      </c>
      <c r="J118" s="49" t="str">
        <f>IF(IFERROR(INDEX(Consulta!$A:$DF,MATCH('MM01'!$B118,Consulta!$C:$C,0),'MM01'!J$2),"")=0,"",IFERROR(INDEX(Consulta!$A:$DF,MATCH('MM01'!$B118,Consulta!$C:$C,0),'MM01'!J$2),""))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IF(IFERROR(INDEX(Consulta!$A:$DF,MATCH('MM01'!$B118,Consulta!$C:$C,0),'MM01'!AP$2),"")=0,"",IFERROR(INDEX(Consulta!$A:$DF,MATCH('MM01'!$B118,Consulta!$C:$C,0),'MM01'!AP$2),""))</f>
        <v/>
      </c>
      <c r="AQ118" s="45"/>
      <c r="AR118" s="43" t="str">
        <f>IF(IFERROR(INDEX(Consulta!$A:$DF,MATCH('MM01'!$B118,Consulta!$C:$C,0),'MM01'!AR$2),"")=0,"",IFERROR(INDEX(Consulta!$A:$DF,MATCH('MM01'!$B118,Consulta!$C:$C,0),'MM01'!AR$2),""))</f>
        <v/>
      </c>
      <c r="AS118" s="43" t="str">
        <f>IF(IFERROR(INDEX(Consulta!$A:$DF,MATCH('MM01'!$B118,Consulta!$C:$C,0),'MM01'!AS$2),"")=0,"",IF(AR118="68",5102,IFERROR(INDEX(Consulta!$A:$DF,MATCH('MM01'!$B118,Consulta!$C:$C,0),'MM01'!AS$2),"")))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IF(IFERROR(INDEX(Consulta!$A:$DF,MATCH('MM01'!$B118,Consulta!$C:$C,0),'MM01'!AW$2),"")=0,"",IFERROR(ROUND(INDEX(Consulta!$A:$DF,MATCH('MM01'!$B118,Consulta!$C:$C,0),'MM01'!AW$2),3),""))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IF(IFERROR(INDEX(Consulta!$A:$DF,MATCH('MM01'!$B118,Consulta!$C:$C,0),'MM01'!BA$2),"")=0,"",IFERROR(INDEX(Consulta!$A:$DF,MATCH('MM01'!$B118,Consulta!$C:$C,0),'MM01'!BA$2),""))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IF(IFERROR(INDEX(Consulta!$A:$DF,MATCH('MM01'!$B118,Consulta!$C:$C,0),'MM01'!BL$2),"")=0,"",IFERROR(INDEX(Consulta!$A:$DF,MATCH('MM01'!$B118,Consulta!$C:$C,0),'MM01'!BL$2),""))</f>
        <v/>
      </c>
      <c r="BM118" s="45"/>
      <c r="BN118" s="46" t="str">
        <f t="shared" ca="1" si="93"/>
        <v/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IF(IFERROR(INDEX(Consulta!$A:$DF,MATCH('MM01'!$B118,Consulta!$C:$C,0),'MM01'!BX$2),"")=0,"",IFERROR(INDEX(Consulta!$A:$DF,MATCH('MM01'!$B118,Consulta!$C:$C,0),'MM01'!BX$2),""))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IF(IFERROR(INDEX(Consulta!$A:$DF,MATCH('MM01'!$B118,Consulta!$C:$C,0),'MM01'!CT$2),"")=0,"",IFERROR(INDEX(Consulta!$A:$DF,MATCH('MM01'!$B118,Consulta!$C:$C,0),'MM01'!CT$2),""))</f>
        <v/>
      </c>
      <c r="CU118" s="43" t="str">
        <f>IF(IFERROR(INDEX(Consulta!$A:$DF,MATCH('MM01'!$B118,Consulta!$C:$C,0),'MM01'!CU$2),"")=0,"",IFERROR(INDEX(Consulta!$A:$DF,MATCH('MM01'!$B118,Consulta!$C:$C,0),'MM01'!CU$2),""))</f>
        <v/>
      </c>
      <c r="CV118" s="43" t="str">
        <f>IF(IFERROR(INDEX(Consulta!$A:$DF,MATCH('MM01'!$B118,Consulta!$C:$C,0),'MM01'!CV$2),"")=0,"",IFERROR(INDEX(Consulta!$A:$DF,MATCH('MM01'!$B118,Consulta!$C:$C,0),'MM01'!CV$2),""))</f>
        <v/>
      </c>
      <c r="CW118" s="43" t="str">
        <f>IF(IFERROR(INDEX(Consulta!$A:$DF,MATCH('MM01'!$B118,Consulta!$C:$C,0),'MM01'!CW$2),"")=0,"",IFERROR(INDEX(Consulta!$A:$DF,MATCH('MM01'!$B118,Consulta!$C:$C,0),'MM01'!CW$2),""))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IF(IFERROR(INDEX(Consulta!$A:$DF,MATCH('MM01'!$B118,Consulta!$C:$C,0),'MM01'!DA$2),"")=0,"",IFERROR(INDEX(Consulta!$A:$DF,MATCH('MM01'!$B118,Consulta!$C:$C,0),'MM01'!DA$2),""))</f>
        <v/>
      </c>
      <c r="DB118" s="43" t="str">
        <f t="shared" si="102"/>
        <v/>
      </c>
      <c r="DC118" s="43" t="str">
        <f>IF(IFERROR(INDEX(Consulta!$A:$DF,MATCH('MM01'!$B118,Consulta!$C:$C,0),'MM01'!DC$2),"")=0,"",IFERROR(INDEX(Consulta!$A:$DF,MATCH('MM01'!$B118,Consulta!$C:$C,0),'MM01'!DC$2),""))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5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5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5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5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IF(IFERROR(INDEX(Consulta!$A:$DF,MATCH('MM01'!$B118,Consulta!$C:$C,0),'MM01'!EB$2),"")=0,"7925",IF(IFERROR(INDEX(Consulta!$A:$DF,MATCH('MM01'!$B118,Consulta!$C:$C,0),'MM01'!EB$2),"")="68","7910","7925"))</f>
        <v>7925</v>
      </c>
      <c r="EC118" s="44">
        <v>100</v>
      </c>
      <c r="ED118" s="60">
        <v>1</v>
      </c>
      <c r="EE118" s="43">
        <f t="shared" si="118"/>
        <v>100</v>
      </c>
      <c r="EF118" s="44">
        <v>1</v>
      </c>
      <c r="EG118" s="44">
        <v>0</v>
      </c>
      <c r="EH118" s="44" t="s">
        <v>867</v>
      </c>
      <c r="EI118" s="45">
        <v>0</v>
      </c>
      <c r="EJ118" s="43">
        <f t="shared" si="119"/>
        <v>5000</v>
      </c>
      <c r="EK118" s="65"/>
    </row>
    <row r="119" spans="1:141" x14ac:dyDescent="0.3">
      <c r="A119" s="7" t="str">
        <f t="shared" si="80"/>
        <v>Execução 115</v>
      </c>
      <c r="B119" s="42"/>
      <c r="C119" s="43" t="str">
        <f>IF(IFERROR(INDEX(Consulta!$A:$DF,MATCH('MM01'!$B119,Consulta!$C:$C,0),'MM01'!C$2),"")=0,"",IFERROR(INDEX(Consulta!$A:$DF,MATCH('MM01'!$B119,Consulta!$C:$C,0),'MM01'!C$2),""))</f>
        <v/>
      </c>
      <c r="D119" s="43" t="str">
        <f>IF(IFERROR(INDEX(Consulta!$A:$DF,MATCH('MM01'!$B119,Consulta!$C:$C,0),'MM01'!D$2),"")=0,"",IFERROR(INDEX(Consulta!$A:$DF,MATCH('MM01'!$B119,Consulta!$C:$C,0),'MM01'!D$2),""))</f>
        <v/>
      </c>
      <c r="E119" s="43" t="str">
        <f>IF(IFERROR(INDEX(Consulta!$A:$DF,MATCH('MM01'!$B119,Consulta!$C:$C,0),'MM01'!E$2),"")=0,"",IFERROR(INDEX(Consulta!$A:$DF,MATCH('MM01'!$B119,Consulta!$C:$C,0),'MM01'!E$2),""))</f>
        <v/>
      </c>
      <c r="F119" s="44" t="s">
        <v>100</v>
      </c>
      <c r="G119" s="49" t="str">
        <f>IF(IFERROR(INDEX(Consulta!$A:$DF,MATCH('MM01'!$B119,Consulta!$C:$C,0),'MM01'!G$2),"")=0,"",IFERROR(INDEX(Consulta!$A:$DF,MATCH('MM01'!$B119,Consulta!$C:$C,0),'MM01'!G$2),""))</f>
        <v/>
      </c>
      <c r="H119" s="49" t="str">
        <f>IF(IFERROR(INDEX(Consulta!$A:$DF,MATCH('MM01'!$B119,Consulta!$C:$C,0),'MM01'!H$2),"")=0,"",IFERROR(INDEX(Consulta!$A:$DF,MATCH('MM01'!$B119,Consulta!$C:$C,0),'MM01'!H$2),""))</f>
        <v/>
      </c>
      <c r="I119" s="49" t="str">
        <f t="shared" si="81"/>
        <v/>
      </c>
      <c r="J119" s="49" t="str">
        <f>IF(IFERROR(INDEX(Consulta!$A:$DF,MATCH('MM01'!$B119,Consulta!$C:$C,0),'MM01'!J$2),"")=0,"",IFERROR(INDEX(Consulta!$A:$DF,MATCH('MM01'!$B119,Consulta!$C:$C,0),'MM01'!J$2),""))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IF(IFERROR(INDEX(Consulta!$A:$DF,MATCH('MM01'!$B119,Consulta!$C:$C,0),'MM01'!AP$2),"")=0,"",IFERROR(INDEX(Consulta!$A:$DF,MATCH('MM01'!$B119,Consulta!$C:$C,0),'MM01'!AP$2),""))</f>
        <v/>
      </c>
      <c r="AQ119" s="45"/>
      <c r="AR119" s="43" t="str">
        <f>IF(IFERROR(INDEX(Consulta!$A:$DF,MATCH('MM01'!$B119,Consulta!$C:$C,0),'MM01'!AR$2),"")=0,"",IFERROR(INDEX(Consulta!$A:$DF,MATCH('MM01'!$B119,Consulta!$C:$C,0),'MM01'!AR$2),""))</f>
        <v/>
      </c>
      <c r="AS119" s="43" t="str">
        <f>IF(IFERROR(INDEX(Consulta!$A:$DF,MATCH('MM01'!$B119,Consulta!$C:$C,0),'MM01'!AS$2),"")=0,"",IF(AR119="68",5102,IFERROR(INDEX(Consulta!$A:$DF,MATCH('MM01'!$B119,Consulta!$C:$C,0),'MM01'!AS$2),"")))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IF(IFERROR(INDEX(Consulta!$A:$DF,MATCH('MM01'!$B119,Consulta!$C:$C,0),'MM01'!AW$2),"")=0,"",IFERROR(ROUND(INDEX(Consulta!$A:$DF,MATCH('MM01'!$B119,Consulta!$C:$C,0),'MM01'!AW$2),3),""))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IF(IFERROR(INDEX(Consulta!$A:$DF,MATCH('MM01'!$B119,Consulta!$C:$C,0),'MM01'!BA$2),"")=0,"",IFERROR(INDEX(Consulta!$A:$DF,MATCH('MM01'!$B119,Consulta!$C:$C,0),'MM01'!BA$2),""))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IF(IFERROR(INDEX(Consulta!$A:$DF,MATCH('MM01'!$B119,Consulta!$C:$C,0),'MM01'!BL$2),"")=0,"",IFERROR(INDEX(Consulta!$A:$DF,MATCH('MM01'!$B119,Consulta!$C:$C,0),'MM01'!BL$2),""))</f>
        <v/>
      </c>
      <c r="BM119" s="45"/>
      <c r="BN119" s="46" t="str">
        <f t="shared" ca="1" si="93"/>
        <v/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IF(IFERROR(INDEX(Consulta!$A:$DF,MATCH('MM01'!$B119,Consulta!$C:$C,0),'MM01'!BX$2),"")=0,"",IFERROR(INDEX(Consulta!$A:$DF,MATCH('MM01'!$B119,Consulta!$C:$C,0),'MM01'!BX$2),""))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IF(IFERROR(INDEX(Consulta!$A:$DF,MATCH('MM01'!$B119,Consulta!$C:$C,0),'MM01'!CT$2),"")=0,"",IFERROR(INDEX(Consulta!$A:$DF,MATCH('MM01'!$B119,Consulta!$C:$C,0),'MM01'!CT$2),""))</f>
        <v/>
      </c>
      <c r="CU119" s="43" t="str">
        <f>IF(IFERROR(INDEX(Consulta!$A:$DF,MATCH('MM01'!$B119,Consulta!$C:$C,0),'MM01'!CU$2),"")=0,"",IFERROR(INDEX(Consulta!$A:$DF,MATCH('MM01'!$B119,Consulta!$C:$C,0),'MM01'!CU$2),""))</f>
        <v/>
      </c>
      <c r="CV119" s="43" t="str">
        <f>IF(IFERROR(INDEX(Consulta!$A:$DF,MATCH('MM01'!$B119,Consulta!$C:$C,0),'MM01'!CV$2),"")=0,"",IFERROR(INDEX(Consulta!$A:$DF,MATCH('MM01'!$B119,Consulta!$C:$C,0),'MM01'!CV$2),""))</f>
        <v/>
      </c>
      <c r="CW119" s="43" t="str">
        <f>IF(IFERROR(INDEX(Consulta!$A:$DF,MATCH('MM01'!$B119,Consulta!$C:$C,0),'MM01'!CW$2),"")=0,"",IFERROR(INDEX(Consulta!$A:$DF,MATCH('MM01'!$B119,Consulta!$C:$C,0),'MM01'!CW$2),""))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IF(IFERROR(INDEX(Consulta!$A:$DF,MATCH('MM01'!$B119,Consulta!$C:$C,0),'MM01'!DA$2),"")=0,"",IFERROR(INDEX(Consulta!$A:$DF,MATCH('MM01'!$B119,Consulta!$C:$C,0),'MM01'!DA$2),""))</f>
        <v/>
      </c>
      <c r="DB119" s="43" t="str">
        <f t="shared" si="102"/>
        <v/>
      </c>
      <c r="DC119" s="43" t="str">
        <f>IF(IFERROR(INDEX(Consulta!$A:$DF,MATCH('MM01'!$B119,Consulta!$C:$C,0),'MM01'!DC$2),"")=0,"",IFERROR(INDEX(Consulta!$A:$DF,MATCH('MM01'!$B119,Consulta!$C:$C,0),'MM01'!DC$2),""))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5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5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5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5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IF(IFERROR(INDEX(Consulta!$A:$DF,MATCH('MM01'!$B119,Consulta!$C:$C,0),'MM01'!EB$2),"")=0,"7925",IF(IFERROR(INDEX(Consulta!$A:$DF,MATCH('MM01'!$B119,Consulta!$C:$C,0),'MM01'!EB$2),"")="68","7910","7925"))</f>
        <v>7925</v>
      </c>
      <c r="EC119" s="44">
        <v>100</v>
      </c>
      <c r="ED119" s="60">
        <v>1</v>
      </c>
      <c r="EE119" s="43">
        <f t="shared" si="118"/>
        <v>100</v>
      </c>
      <c r="EF119" s="44">
        <v>1</v>
      </c>
      <c r="EG119" s="44">
        <v>0</v>
      </c>
      <c r="EH119" s="44" t="s">
        <v>867</v>
      </c>
      <c r="EI119" s="45">
        <v>0</v>
      </c>
      <c r="EJ119" s="43">
        <f t="shared" si="119"/>
        <v>5000</v>
      </c>
      <c r="EK119" s="65"/>
    </row>
    <row r="120" spans="1:141" x14ac:dyDescent="0.3">
      <c r="A120" s="7" t="str">
        <f t="shared" si="80"/>
        <v>Execução 116</v>
      </c>
      <c r="B120" s="42"/>
      <c r="C120" s="43" t="str">
        <f>IF(IFERROR(INDEX(Consulta!$A:$DF,MATCH('MM01'!$B120,Consulta!$C:$C,0),'MM01'!C$2),"")=0,"",IFERROR(INDEX(Consulta!$A:$DF,MATCH('MM01'!$B120,Consulta!$C:$C,0),'MM01'!C$2),""))</f>
        <v/>
      </c>
      <c r="D120" s="43" t="str">
        <f>IF(IFERROR(INDEX(Consulta!$A:$DF,MATCH('MM01'!$B120,Consulta!$C:$C,0),'MM01'!D$2),"")=0,"",IFERROR(INDEX(Consulta!$A:$DF,MATCH('MM01'!$B120,Consulta!$C:$C,0),'MM01'!D$2),""))</f>
        <v/>
      </c>
      <c r="E120" s="43" t="str">
        <f>IF(IFERROR(INDEX(Consulta!$A:$DF,MATCH('MM01'!$B120,Consulta!$C:$C,0),'MM01'!E$2),"")=0,"",IFERROR(INDEX(Consulta!$A:$DF,MATCH('MM01'!$B120,Consulta!$C:$C,0),'MM01'!E$2),""))</f>
        <v/>
      </c>
      <c r="F120" s="44" t="s">
        <v>100</v>
      </c>
      <c r="G120" s="49" t="str">
        <f>IF(IFERROR(INDEX(Consulta!$A:$DF,MATCH('MM01'!$B120,Consulta!$C:$C,0),'MM01'!G$2),"")=0,"",IFERROR(INDEX(Consulta!$A:$DF,MATCH('MM01'!$B120,Consulta!$C:$C,0),'MM01'!G$2),""))</f>
        <v/>
      </c>
      <c r="H120" s="49" t="str">
        <f>IF(IFERROR(INDEX(Consulta!$A:$DF,MATCH('MM01'!$B120,Consulta!$C:$C,0),'MM01'!H$2),"")=0,"",IFERROR(INDEX(Consulta!$A:$DF,MATCH('MM01'!$B120,Consulta!$C:$C,0),'MM01'!H$2),""))</f>
        <v/>
      </c>
      <c r="I120" s="49" t="str">
        <f t="shared" si="81"/>
        <v/>
      </c>
      <c r="J120" s="49" t="str">
        <f>IF(IFERROR(INDEX(Consulta!$A:$DF,MATCH('MM01'!$B120,Consulta!$C:$C,0),'MM01'!J$2),"")=0,"",IFERROR(INDEX(Consulta!$A:$DF,MATCH('MM01'!$B120,Consulta!$C:$C,0),'MM01'!J$2),""))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IF(IFERROR(INDEX(Consulta!$A:$DF,MATCH('MM01'!$B120,Consulta!$C:$C,0),'MM01'!AP$2),"")=0,"",IFERROR(INDEX(Consulta!$A:$DF,MATCH('MM01'!$B120,Consulta!$C:$C,0),'MM01'!AP$2),""))</f>
        <v/>
      </c>
      <c r="AQ120" s="45"/>
      <c r="AR120" s="43" t="str">
        <f>IF(IFERROR(INDEX(Consulta!$A:$DF,MATCH('MM01'!$B120,Consulta!$C:$C,0),'MM01'!AR$2),"")=0,"",IFERROR(INDEX(Consulta!$A:$DF,MATCH('MM01'!$B120,Consulta!$C:$C,0),'MM01'!AR$2),""))</f>
        <v/>
      </c>
      <c r="AS120" s="43" t="str">
        <f>IF(IFERROR(INDEX(Consulta!$A:$DF,MATCH('MM01'!$B120,Consulta!$C:$C,0),'MM01'!AS$2),"")=0,"",IF(AR120="68",5102,IFERROR(INDEX(Consulta!$A:$DF,MATCH('MM01'!$B120,Consulta!$C:$C,0),'MM01'!AS$2),"")))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IF(IFERROR(INDEX(Consulta!$A:$DF,MATCH('MM01'!$B120,Consulta!$C:$C,0),'MM01'!AW$2),"")=0,"",IFERROR(ROUND(INDEX(Consulta!$A:$DF,MATCH('MM01'!$B120,Consulta!$C:$C,0),'MM01'!AW$2),3),""))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IF(IFERROR(INDEX(Consulta!$A:$DF,MATCH('MM01'!$B120,Consulta!$C:$C,0),'MM01'!BA$2),"")=0,"",IFERROR(INDEX(Consulta!$A:$DF,MATCH('MM01'!$B120,Consulta!$C:$C,0),'MM01'!BA$2),""))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IF(IFERROR(INDEX(Consulta!$A:$DF,MATCH('MM01'!$B120,Consulta!$C:$C,0),'MM01'!BL$2),"")=0,"",IFERROR(INDEX(Consulta!$A:$DF,MATCH('MM01'!$B120,Consulta!$C:$C,0),'MM01'!BL$2),""))</f>
        <v/>
      </c>
      <c r="BM120" s="45"/>
      <c r="BN120" s="46" t="str">
        <f t="shared" ca="1" si="93"/>
        <v/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IF(IFERROR(INDEX(Consulta!$A:$DF,MATCH('MM01'!$B120,Consulta!$C:$C,0),'MM01'!BX$2),"")=0,"",IFERROR(INDEX(Consulta!$A:$DF,MATCH('MM01'!$B120,Consulta!$C:$C,0),'MM01'!BX$2),""))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IF(IFERROR(INDEX(Consulta!$A:$DF,MATCH('MM01'!$B120,Consulta!$C:$C,0),'MM01'!CT$2),"")=0,"",IFERROR(INDEX(Consulta!$A:$DF,MATCH('MM01'!$B120,Consulta!$C:$C,0),'MM01'!CT$2),""))</f>
        <v/>
      </c>
      <c r="CU120" s="43" t="str">
        <f>IF(IFERROR(INDEX(Consulta!$A:$DF,MATCH('MM01'!$B120,Consulta!$C:$C,0),'MM01'!CU$2),"")=0,"",IFERROR(INDEX(Consulta!$A:$DF,MATCH('MM01'!$B120,Consulta!$C:$C,0),'MM01'!CU$2),""))</f>
        <v/>
      </c>
      <c r="CV120" s="43" t="str">
        <f>IF(IFERROR(INDEX(Consulta!$A:$DF,MATCH('MM01'!$B120,Consulta!$C:$C,0),'MM01'!CV$2),"")=0,"",IFERROR(INDEX(Consulta!$A:$DF,MATCH('MM01'!$B120,Consulta!$C:$C,0),'MM01'!CV$2),""))</f>
        <v/>
      </c>
      <c r="CW120" s="43" t="str">
        <f>IF(IFERROR(INDEX(Consulta!$A:$DF,MATCH('MM01'!$B120,Consulta!$C:$C,0),'MM01'!CW$2),"")=0,"",IFERROR(INDEX(Consulta!$A:$DF,MATCH('MM01'!$B120,Consulta!$C:$C,0),'MM01'!CW$2),""))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IF(IFERROR(INDEX(Consulta!$A:$DF,MATCH('MM01'!$B120,Consulta!$C:$C,0),'MM01'!DA$2),"")=0,"",IFERROR(INDEX(Consulta!$A:$DF,MATCH('MM01'!$B120,Consulta!$C:$C,0),'MM01'!DA$2),""))</f>
        <v/>
      </c>
      <c r="DB120" s="43" t="str">
        <f t="shared" si="102"/>
        <v/>
      </c>
      <c r="DC120" s="43" t="str">
        <f>IF(IFERROR(INDEX(Consulta!$A:$DF,MATCH('MM01'!$B120,Consulta!$C:$C,0),'MM01'!DC$2),"")=0,"",IFERROR(INDEX(Consulta!$A:$DF,MATCH('MM01'!$B120,Consulta!$C:$C,0),'MM01'!DC$2),""))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5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5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5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5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IF(IFERROR(INDEX(Consulta!$A:$DF,MATCH('MM01'!$B120,Consulta!$C:$C,0),'MM01'!EB$2),"")=0,"7925",IF(IFERROR(INDEX(Consulta!$A:$DF,MATCH('MM01'!$B120,Consulta!$C:$C,0),'MM01'!EB$2),"")="68","7910","7925"))</f>
        <v>7925</v>
      </c>
      <c r="EC120" s="44">
        <v>100</v>
      </c>
      <c r="ED120" s="60">
        <v>1</v>
      </c>
      <c r="EE120" s="43">
        <f t="shared" si="118"/>
        <v>100</v>
      </c>
      <c r="EF120" s="44">
        <v>1</v>
      </c>
      <c r="EG120" s="44">
        <v>0</v>
      </c>
      <c r="EH120" s="44" t="s">
        <v>867</v>
      </c>
      <c r="EI120" s="45">
        <v>0</v>
      </c>
      <c r="EJ120" s="43">
        <f t="shared" si="119"/>
        <v>5000</v>
      </c>
      <c r="EK120" s="65"/>
    </row>
    <row r="121" spans="1:141" x14ac:dyDescent="0.3">
      <c r="A121" s="7" t="str">
        <f t="shared" si="80"/>
        <v>Execução 117</v>
      </c>
      <c r="B121" s="42"/>
      <c r="C121" s="43" t="str">
        <f>IF(IFERROR(INDEX(Consulta!$A:$DF,MATCH('MM01'!$B121,Consulta!$C:$C,0),'MM01'!C$2),"")=0,"",IFERROR(INDEX(Consulta!$A:$DF,MATCH('MM01'!$B121,Consulta!$C:$C,0),'MM01'!C$2),""))</f>
        <v/>
      </c>
      <c r="D121" s="43" t="str">
        <f>IF(IFERROR(INDEX(Consulta!$A:$DF,MATCH('MM01'!$B121,Consulta!$C:$C,0),'MM01'!D$2),"")=0,"",IFERROR(INDEX(Consulta!$A:$DF,MATCH('MM01'!$B121,Consulta!$C:$C,0),'MM01'!D$2),""))</f>
        <v/>
      </c>
      <c r="E121" s="43" t="str">
        <f>IF(IFERROR(INDEX(Consulta!$A:$DF,MATCH('MM01'!$B121,Consulta!$C:$C,0),'MM01'!E$2),"")=0,"",IFERROR(INDEX(Consulta!$A:$DF,MATCH('MM01'!$B121,Consulta!$C:$C,0),'MM01'!E$2),""))</f>
        <v/>
      </c>
      <c r="F121" s="44" t="s">
        <v>100</v>
      </c>
      <c r="G121" s="49" t="str">
        <f>IF(IFERROR(INDEX(Consulta!$A:$DF,MATCH('MM01'!$B121,Consulta!$C:$C,0),'MM01'!G$2),"")=0,"",IFERROR(INDEX(Consulta!$A:$DF,MATCH('MM01'!$B121,Consulta!$C:$C,0),'MM01'!G$2),""))</f>
        <v/>
      </c>
      <c r="H121" s="49" t="str">
        <f>IF(IFERROR(INDEX(Consulta!$A:$DF,MATCH('MM01'!$B121,Consulta!$C:$C,0),'MM01'!H$2),"")=0,"",IFERROR(INDEX(Consulta!$A:$DF,MATCH('MM01'!$B121,Consulta!$C:$C,0),'MM01'!H$2),""))</f>
        <v/>
      </c>
      <c r="I121" s="49" t="str">
        <f t="shared" si="81"/>
        <v/>
      </c>
      <c r="J121" s="49" t="str">
        <f>IF(IFERROR(INDEX(Consulta!$A:$DF,MATCH('MM01'!$B121,Consulta!$C:$C,0),'MM01'!J$2),"")=0,"",IFERROR(INDEX(Consulta!$A:$DF,MATCH('MM01'!$B121,Consulta!$C:$C,0),'MM01'!J$2),""))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IF(IFERROR(INDEX(Consulta!$A:$DF,MATCH('MM01'!$B121,Consulta!$C:$C,0),'MM01'!AP$2),"")=0,"",IFERROR(INDEX(Consulta!$A:$DF,MATCH('MM01'!$B121,Consulta!$C:$C,0),'MM01'!AP$2),""))</f>
        <v/>
      </c>
      <c r="AQ121" s="45"/>
      <c r="AR121" s="43" t="str">
        <f>IF(IFERROR(INDEX(Consulta!$A:$DF,MATCH('MM01'!$B121,Consulta!$C:$C,0),'MM01'!AR$2),"")=0,"",IFERROR(INDEX(Consulta!$A:$DF,MATCH('MM01'!$B121,Consulta!$C:$C,0),'MM01'!AR$2),""))</f>
        <v/>
      </c>
      <c r="AS121" s="43" t="str">
        <f>IF(IFERROR(INDEX(Consulta!$A:$DF,MATCH('MM01'!$B121,Consulta!$C:$C,0),'MM01'!AS$2),"")=0,"",IF(AR121="68",5102,IFERROR(INDEX(Consulta!$A:$DF,MATCH('MM01'!$B121,Consulta!$C:$C,0),'MM01'!AS$2),"")))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IF(IFERROR(INDEX(Consulta!$A:$DF,MATCH('MM01'!$B121,Consulta!$C:$C,0),'MM01'!AW$2),"")=0,"",IFERROR(ROUND(INDEX(Consulta!$A:$DF,MATCH('MM01'!$B121,Consulta!$C:$C,0),'MM01'!AW$2),3),""))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IF(IFERROR(INDEX(Consulta!$A:$DF,MATCH('MM01'!$B121,Consulta!$C:$C,0),'MM01'!BA$2),"")=0,"",IFERROR(INDEX(Consulta!$A:$DF,MATCH('MM01'!$B121,Consulta!$C:$C,0),'MM01'!BA$2),""))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IF(IFERROR(INDEX(Consulta!$A:$DF,MATCH('MM01'!$B121,Consulta!$C:$C,0),'MM01'!BL$2),"")=0,"",IFERROR(INDEX(Consulta!$A:$DF,MATCH('MM01'!$B121,Consulta!$C:$C,0),'MM01'!BL$2),""))</f>
        <v/>
      </c>
      <c r="BM121" s="45"/>
      <c r="BN121" s="46" t="str">
        <f t="shared" ca="1" si="93"/>
        <v/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IF(IFERROR(INDEX(Consulta!$A:$DF,MATCH('MM01'!$B121,Consulta!$C:$C,0),'MM01'!BX$2),"")=0,"",IFERROR(INDEX(Consulta!$A:$DF,MATCH('MM01'!$B121,Consulta!$C:$C,0),'MM01'!BX$2),""))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IF(IFERROR(INDEX(Consulta!$A:$DF,MATCH('MM01'!$B121,Consulta!$C:$C,0),'MM01'!CT$2),"")=0,"",IFERROR(INDEX(Consulta!$A:$DF,MATCH('MM01'!$B121,Consulta!$C:$C,0),'MM01'!CT$2),""))</f>
        <v/>
      </c>
      <c r="CU121" s="43" t="str">
        <f>IF(IFERROR(INDEX(Consulta!$A:$DF,MATCH('MM01'!$B121,Consulta!$C:$C,0),'MM01'!CU$2),"")=0,"",IFERROR(INDEX(Consulta!$A:$DF,MATCH('MM01'!$B121,Consulta!$C:$C,0),'MM01'!CU$2),""))</f>
        <v/>
      </c>
      <c r="CV121" s="43" t="str">
        <f>IF(IFERROR(INDEX(Consulta!$A:$DF,MATCH('MM01'!$B121,Consulta!$C:$C,0),'MM01'!CV$2),"")=0,"",IFERROR(INDEX(Consulta!$A:$DF,MATCH('MM01'!$B121,Consulta!$C:$C,0),'MM01'!CV$2),""))</f>
        <v/>
      </c>
      <c r="CW121" s="43" t="str">
        <f>IF(IFERROR(INDEX(Consulta!$A:$DF,MATCH('MM01'!$B121,Consulta!$C:$C,0),'MM01'!CW$2),"")=0,"",IFERROR(INDEX(Consulta!$A:$DF,MATCH('MM01'!$B121,Consulta!$C:$C,0),'MM01'!CW$2),""))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IF(IFERROR(INDEX(Consulta!$A:$DF,MATCH('MM01'!$B121,Consulta!$C:$C,0),'MM01'!DA$2),"")=0,"",IFERROR(INDEX(Consulta!$A:$DF,MATCH('MM01'!$B121,Consulta!$C:$C,0),'MM01'!DA$2),""))</f>
        <v/>
      </c>
      <c r="DB121" s="43" t="str">
        <f t="shared" si="102"/>
        <v/>
      </c>
      <c r="DC121" s="43" t="str">
        <f>IF(IFERROR(INDEX(Consulta!$A:$DF,MATCH('MM01'!$B121,Consulta!$C:$C,0),'MM01'!DC$2),"")=0,"",IFERROR(INDEX(Consulta!$A:$DF,MATCH('MM01'!$B121,Consulta!$C:$C,0),'MM01'!DC$2),""))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5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5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5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5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IF(IFERROR(INDEX(Consulta!$A:$DF,MATCH('MM01'!$B121,Consulta!$C:$C,0),'MM01'!EB$2),"")=0,"7925",IF(IFERROR(INDEX(Consulta!$A:$DF,MATCH('MM01'!$B121,Consulta!$C:$C,0),'MM01'!EB$2),"")="68","7910","7925"))</f>
        <v>7925</v>
      </c>
      <c r="EC121" s="44">
        <v>100</v>
      </c>
      <c r="ED121" s="60">
        <v>1</v>
      </c>
      <c r="EE121" s="43">
        <f t="shared" si="118"/>
        <v>100</v>
      </c>
      <c r="EF121" s="44">
        <v>1</v>
      </c>
      <c r="EG121" s="44">
        <v>0</v>
      </c>
      <c r="EH121" s="44" t="s">
        <v>867</v>
      </c>
      <c r="EI121" s="45">
        <v>0</v>
      </c>
      <c r="EJ121" s="43">
        <f t="shared" si="119"/>
        <v>5000</v>
      </c>
      <c r="EK121" s="65"/>
    </row>
    <row r="122" spans="1:141" x14ac:dyDescent="0.3">
      <c r="A122" s="7" t="str">
        <f t="shared" si="80"/>
        <v>Execução 118</v>
      </c>
      <c r="B122" s="42"/>
      <c r="C122" s="43" t="str">
        <f>IF(IFERROR(INDEX(Consulta!$A:$DF,MATCH('MM01'!$B122,Consulta!$C:$C,0),'MM01'!C$2),"")=0,"",IFERROR(INDEX(Consulta!$A:$DF,MATCH('MM01'!$B122,Consulta!$C:$C,0),'MM01'!C$2),""))</f>
        <v/>
      </c>
      <c r="D122" s="43" t="str">
        <f>IF(IFERROR(INDEX(Consulta!$A:$DF,MATCH('MM01'!$B122,Consulta!$C:$C,0),'MM01'!D$2),"")=0,"",IFERROR(INDEX(Consulta!$A:$DF,MATCH('MM01'!$B122,Consulta!$C:$C,0),'MM01'!D$2),""))</f>
        <v/>
      </c>
      <c r="E122" s="43" t="str">
        <f>IF(IFERROR(INDEX(Consulta!$A:$DF,MATCH('MM01'!$B122,Consulta!$C:$C,0),'MM01'!E$2),"")=0,"",IFERROR(INDEX(Consulta!$A:$DF,MATCH('MM01'!$B122,Consulta!$C:$C,0),'MM01'!E$2),""))</f>
        <v/>
      </c>
      <c r="F122" s="44" t="s">
        <v>100</v>
      </c>
      <c r="G122" s="49" t="str">
        <f>IF(IFERROR(INDEX(Consulta!$A:$DF,MATCH('MM01'!$B122,Consulta!$C:$C,0),'MM01'!G$2),"")=0,"",IFERROR(INDEX(Consulta!$A:$DF,MATCH('MM01'!$B122,Consulta!$C:$C,0),'MM01'!G$2),""))</f>
        <v/>
      </c>
      <c r="H122" s="49" t="str">
        <f>IF(IFERROR(INDEX(Consulta!$A:$DF,MATCH('MM01'!$B122,Consulta!$C:$C,0),'MM01'!H$2),"")=0,"",IFERROR(INDEX(Consulta!$A:$DF,MATCH('MM01'!$B122,Consulta!$C:$C,0),'MM01'!H$2),""))</f>
        <v/>
      </c>
      <c r="I122" s="49" t="str">
        <f t="shared" si="81"/>
        <v/>
      </c>
      <c r="J122" s="49" t="str">
        <f>IF(IFERROR(INDEX(Consulta!$A:$DF,MATCH('MM01'!$B122,Consulta!$C:$C,0),'MM01'!J$2),"")=0,"",IFERROR(INDEX(Consulta!$A:$DF,MATCH('MM01'!$B122,Consulta!$C:$C,0),'MM01'!J$2),""))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IF(IFERROR(INDEX(Consulta!$A:$DF,MATCH('MM01'!$B122,Consulta!$C:$C,0),'MM01'!AP$2),"")=0,"",IFERROR(INDEX(Consulta!$A:$DF,MATCH('MM01'!$B122,Consulta!$C:$C,0),'MM01'!AP$2),""))</f>
        <v/>
      </c>
      <c r="AQ122" s="45"/>
      <c r="AR122" s="43" t="str">
        <f>IF(IFERROR(INDEX(Consulta!$A:$DF,MATCH('MM01'!$B122,Consulta!$C:$C,0),'MM01'!AR$2),"")=0,"",IFERROR(INDEX(Consulta!$A:$DF,MATCH('MM01'!$B122,Consulta!$C:$C,0),'MM01'!AR$2),""))</f>
        <v/>
      </c>
      <c r="AS122" s="43" t="str">
        <f>IF(IFERROR(INDEX(Consulta!$A:$DF,MATCH('MM01'!$B122,Consulta!$C:$C,0),'MM01'!AS$2),"")=0,"",IF(AR122="68",5102,IFERROR(INDEX(Consulta!$A:$DF,MATCH('MM01'!$B122,Consulta!$C:$C,0),'MM01'!AS$2),"")))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IF(IFERROR(INDEX(Consulta!$A:$DF,MATCH('MM01'!$B122,Consulta!$C:$C,0),'MM01'!AW$2),"")=0,"",IFERROR(ROUND(INDEX(Consulta!$A:$DF,MATCH('MM01'!$B122,Consulta!$C:$C,0),'MM01'!AW$2),3),""))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IF(IFERROR(INDEX(Consulta!$A:$DF,MATCH('MM01'!$B122,Consulta!$C:$C,0),'MM01'!BA$2),"")=0,"",IFERROR(INDEX(Consulta!$A:$DF,MATCH('MM01'!$B122,Consulta!$C:$C,0),'MM01'!BA$2),""))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IF(IFERROR(INDEX(Consulta!$A:$DF,MATCH('MM01'!$B122,Consulta!$C:$C,0),'MM01'!BL$2),"")=0,"",IFERROR(INDEX(Consulta!$A:$DF,MATCH('MM01'!$B122,Consulta!$C:$C,0),'MM01'!BL$2),""))</f>
        <v/>
      </c>
      <c r="BM122" s="45"/>
      <c r="BN122" s="46" t="str">
        <f t="shared" ca="1" si="93"/>
        <v/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IF(IFERROR(INDEX(Consulta!$A:$DF,MATCH('MM01'!$B122,Consulta!$C:$C,0),'MM01'!BX$2),"")=0,"",IFERROR(INDEX(Consulta!$A:$DF,MATCH('MM01'!$B122,Consulta!$C:$C,0),'MM01'!BX$2),""))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IF(IFERROR(INDEX(Consulta!$A:$DF,MATCH('MM01'!$B122,Consulta!$C:$C,0),'MM01'!CT$2),"")=0,"",IFERROR(INDEX(Consulta!$A:$DF,MATCH('MM01'!$B122,Consulta!$C:$C,0),'MM01'!CT$2),""))</f>
        <v/>
      </c>
      <c r="CU122" s="43" t="str">
        <f>IF(IFERROR(INDEX(Consulta!$A:$DF,MATCH('MM01'!$B122,Consulta!$C:$C,0),'MM01'!CU$2),"")=0,"",IFERROR(INDEX(Consulta!$A:$DF,MATCH('MM01'!$B122,Consulta!$C:$C,0),'MM01'!CU$2),""))</f>
        <v/>
      </c>
      <c r="CV122" s="43" t="str">
        <f>IF(IFERROR(INDEX(Consulta!$A:$DF,MATCH('MM01'!$B122,Consulta!$C:$C,0),'MM01'!CV$2),"")=0,"",IFERROR(INDEX(Consulta!$A:$DF,MATCH('MM01'!$B122,Consulta!$C:$C,0),'MM01'!CV$2),""))</f>
        <v/>
      </c>
      <c r="CW122" s="43" t="str">
        <f>IF(IFERROR(INDEX(Consulta!$A:$DF,MATCH('MM01'!$B122,Consulta!$C:$C,0),'MM01'!CW$2),"")=0,"",IFERROR(INDEX(Consulta!$A:$DF,MATCH('MM01'!$B122,Consulta!$C:$C,0),'MM01'!CW$2),""))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IF(IFERROR(INDEX(Consulta!$A:$DF,MATCH('MM01'!$B122,Consulta!$C:$C,0),'MM01'!DA$2),"")=0,"",IFERROR(INDEX(Consulta!$A:$DF,MATCH('MM01'!$B122,Consulta!$C:$C,0),'MM01'!DA$2),""))</f>
        <v/>
      </c>
      <c r="DB122" s="43" t="str">
        <f t="shared" si="102"/>
        <v/>
      </c>
      <c r="DC122" s="43" t="str">
        <f>IF(IFERROR(INDEX(Consulta!$A:$DF,MATCH('MM01'!$B122,Consulta!$C:$C,0),'MM01'!DC$2),"")=0,"",IFERROR(INDEX(Consulta!$A:$DF,MATCH('MM01'!$B122,Consulta!$C:$C,0),'MM01'!DC$2),""))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5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5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5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5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IF(IFERROR(INDEX(Consulta!$A:$DF,MATCH('MM01'!$B122,Consulta!$C:$C,0),'MM01'!EB$2),"")=0,"7925",IF(IFERROR(INDEX(Consulta!$A:$DF,MATCH('MM01'!$B122,Consulta!$C:$C,0),'MM01'!EB$2),"")="68","7910","7925"))</f>
        <v>7925</v>
      </c>
      <c r="EC122" s="44">
        <v>100</v>
      </c>
      <c r="ED122" s="60">
        <v>1</v>
      </c>
      <c r="EE122" s="43">
        <f t="shared" si="118"/>
        <v>100</v>
      </c>
      <c r="EF122" s="44">
        <v>1</v>
      </c>
      <c r="EG122" s="44">
        <v>0</v>
      </c>
      <c r="EH122" s="44" t="s">
        <v>867</v>
      </c>
      <c r="EI122" s="45">
        <v>0</v>
      </c>
      <c r="EJ122" s="43">
        <f t="shared" si="119"/>
        <v>5000</v>
      </c>
      <c r="EK122" s="65"/>
    </row>
    <row r="123" spans="1:141" x14ac:dyDescent="0.3">
      <c r="A123" s="7" t="str">
        <f t="shared" si="80"/>
        <v>Execução 119</v>
      </c>
      <c r="B123" s="42"/>
      <c r="C123" s="43" t="str">
        <f>IF(IFERROR(INDEX(Consulta!$A:$DF,MATCH('MM01'!$B123,Consulta!$C:$C,0),'MM01'!C$2),"")=0,"",IFERROR(INDEX(Consulta!$A:$DF,MATCH('MM01'!$B123,Consulta!$C:$C,0),'MM01'!C$2),""))</f>
        <v/>
      </c>
      <c r="D123" s="43" t="str">
        <f>IF(IFERROR(INDEX(Consulta!$A:$DF,MATCH('MM01'!$B123,Consulta!$C:$C,0),'MM01'!D$2),"")=0,"",IFERROR(INDEX(Consulta!$A:$DF,MATCH('MM01'!$B123,Consulta!$C:$C,0),'MM01'!D$2),""))</f>
        <v/>
      </c>
      <c r="E123" s="43" t="str">
        <f>IF(IFERROR(INDEX(Consulta!$A:$DF,MATCH('MM01'!$B123,Consulta!$C:$C,0),'MM01'!E$2),"")=0,"",IFERROR(INDEX(Consulta!$A:$DF,MATCH('MM01'!$B123,Consulta!$C:$C,0),'MM01'!E$2),""))</f>
        <v/>
      </c>
      <c r="F123" s="44" t="s">
        <v>100</v>
      </c>
      <c r="G123" s="49" t="str">
        <f>IF(IFERROR(INDEX(Consulta!$A:$DF,MATCH('MM01'!$B123,Consulta!$C:$C,0),'MM01'!G$2),"")=0,"",IFERROR(INDEX(Consulta!$A:$DF,MATCH('MM01'!$B123,Consulta!$C:$C,0),'MM01'!G$2),""))</f>
        <v/>
      </c>
      <c r="H123" s="49" t="str">
        <f>IF(IFERROR(INDEX(Consulta!$A:$DF,MATCH('MM01'!$B123,Consulta!$C:$C,0),'MM01'!H$2),"")=0,"",IFERROR(INDEX(Consulta!$A:$DF,MATCH('MM01'!$B123,Consulta!$C:$C,0),'MM01'!H$2),""))</f>
        <v/>
      </c>
      <c r="I123" s="49" t="str">
        <f t="shared" si="81"/>
        <v/>
      </c>
      <c r="J123" s="49" t="str">
        <f>IF(IFERROR(INDEX(Consulta!$A:$DF,MATCH('MM01'!$B123,Consulta!$C:$C,0),'MM01'!J$2),"")=0,"",IFERROR(INDEX(Consulta!$A:$DF,MATCH('MM01'!$B123,Consulta!$C:$C,0),'MM01'!J$2),""))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IF(IFERROR(INDEX(Consulta!$A:$DF,MATCH('MM01'!$B123,Consulta!$C:$C,0),'MM01'!AP$2),"")=0,"",IFERROR(INDEX(Consulta!$A:$DF,MATCH('MM01'!$B123,Consulta!$C:$C,0),'MM01'!AP$2),""))</f>
        <v/>
      </c>
      <c r="AQ123" s="45"/>
      <c r="AR123" s="43" t="str">
        <f>IF(IFERROR(INDEX(Consulta!$A:$DF,MATCH('MM01'!$B123,Consulta!$C:$C,0),'MM01'!AR$2),"")=0,"",IFERROR(INDEX(Consulta!$A:$DF,MATCH('MM01'!$B123,Consulta!$C:$C,0),'MM01'!AR$2),""))</f>
        <v/>
      </c>
      <c r="AS123" s="43" t="str">
        <f>IF(IFERROR(INDEX(Consulta!$A:$DF,MATCH('MM01'!$B123,Consulta!$C:$C,0),'MM01'!AS$2),"")=0,"",IF(AR123="68",5102,IFERROR(INDEX(Consulta!$A:$DF,MATCH('MM01'!$B123,Consulta!$C:$C,0),'MM01'!AS$2),"")))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IF(IFERROR(INDEX(Consulta!$A:$DF,MATCH('MM01'!$B123,Consulta!$C:$C,0),'MM01'!AW$2),"")=0,"",IFERROR(ROUND(INDEX(Consulta!$A:$DF,MATCH('MM01'!$B123,Consulta!$C:$C,0),'MM01'!AW$2),3),""))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IF(IFERROR(INDEX(Consulta!$A:$DF,MATCH('MM01'!$B123,Consulta!$C:$C,0),'MM01'!BA$2),"")=0,"",IFERROR(INDEX(Consulta!$A:$DF,MATCH('MM01'!$B123,Consulta!$C:$C,0),'MM01'!BA$2),""))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IF(IFERROR(INDEX(Consulta!$A:$DF,MATCH('MM01'!$B123,Consulta!$C:$C,0),'MM01'!BL$2),"")=0,"",IFERROR(INDEX(Consulta!$A:$DF,MATCH('MM01'!$B123,Consulta!$C:$C,0),'MM01'!BL$2),""))</f>
        <v/>
      </c>
      <c r="BM123" s="45"/>
      <c r="BN123" s="46" t="str">
        <f t="shared" ca="1" si="93"/>
        <v/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IF(IFERROR(INDEX(Consulta!$A:$DF,MATCH('MM01'!$B123,Consulta!$C:$C,0),'MM01'!BX$2),"")=0,"",IFERROR(INDEX(Consulta!$A:$DF,MATCH('MM01'!$B123,Consulta!$C:$C,0),'MM01'!BX$2),""))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IF(IFERROR(INDEX(Consulta!$A:$DF,MATCH('MM01'!$B123,Consulta!$C:$C,0),'MM01'!CT$2),"")=0,"",IFERROR(INDEX(Consulta!$A:$DF,MATCH('MM01'!$B123,Consulta!$C:$C,0),'MM01'!CT$2),""))</f>
        <v/>
      </c>
      <c r="CU123" s="43" t="str">
        <f>IF(IFERROR(INDEX(Consulta!$A:$DF,MATCH('MM01'!$B123,Consulta!$C:$C,0),'MM01'!CU$2),"")=0,"",IFERROR(INDEX(Consulta!$A:$DF,MATCH('MM01'!$B123,Consulta!$C:$C,0),'MM01'!CU$2),""))</f>
        <v/>
      </c>
      <c r="CV123" s="43" t="str">
        <f>IF(IFERROR(INDEX(Consulta!$A:$DF,MATCH('MM01'!$B123,Consulta!$C:$C,0),'MM01'!CV$2),"")=0,"",IFERROR(INDEX(Consulta!$A:$DF,MATCH('MM01'!$B123,Consulta!$C:$C,0),'MM01'!CV$2),""))</f>
        <v/>
      </c>
      <c r="CW123" s="43" t="str">
        <f>IF(IFERROR(INDEX(Consulta!$A:$DF,MATCH('MM01'!$B123,Consulta!$C:$C,0),'MM01'!CW$2),"")=0,"",IFERROR(INDEX(Consulta!$A:$DF,MATCH('MM01'!$B123,Consulta!$C:$C,0),'MM01'!CW$2),""))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IF(IFERROR(INDEX(Consulta!$A:$DF,MATCH('MM01'!$B123,Consulta!$C:$C,0),'MM01'!DA$2),"")=0,"",IFERROR(INDEX(Consulta!$A:$DF,MATCH('MM01'!$B123,Consulta!$C:$C,0),'MM01'!DA$2),""))</f>
        <v/>
      </c>
      <c r="DB123" s="43" t="str">
        <f t="shared" si="102"/>
        <v/>
      </c>
      <c r="DC123" s="43" t="str">
        <f>IF(IFERROR(INDEX(Consulta!$A:$DF,MATCH('MM01'!$B123,Consulta!$C:$C,0),'MM01'!DC$2),"")=0,"",IFERROR(INDEX(Consulta!$A:$DF,MATCH('MM01'!$B123,Consulta!$C:$C,0),'MM01'!DC$2),""))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5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5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5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5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IF(IFERROR(INDEX(Consulta!$A:$DF,MATCH('MM01'!$B123,Consulta!$C:$C,0),'MM01'!EB$2),"")=0,"7925",IF(IFERROR(INDEX(Consulta!$A:$DF,MATCH('MM01'!$B123,Consulta!$C:$C,0),'MM01'!EB$2),"")="68","7910","7925"))</f>
        <v>7925</v>
      </c>
      <c r="EC123" s="44">
        <v>100</v>
      </c>
      <c r="ED123" s="60">
        <v>1</v>
      </c>
      <c r="EE123" s="43">
        <f t="shared" si="118"/>
        <v>100</v>
      </c>
      <c r="EF123" s="44">
        <v>1</v>
      </c>
      <c r="EG123" s="44">
        <v>0</v>
      </c>
      <c r="EH123" s="44" t="s">
        <v>867</v>
      </c>
      <c r="EI123" s="45">
        <v>0</v>
      </c>
      <c r="EJ123" s="43">
        <f t="shared" si="119"/>
        <v>5000</v>
      </c>
      <c r="EK123" s="65"/>
    </row>
    <row r="124" spans="1:141" x14ac:dyDescent="0.3">
      <c r="A124" s="7" t="str">
        <f t="shared" si="80"/>
        <v>Execução 120</v>
      </c>
      <c r="B124" s="42"/>
      <c r="C124" s="43" t="str">
        <f>IF(IFERROR(INDEX(Consulta!$A:$DF,MATCH('MM01'!$B124,Consulta!$C:$C,0),'MM01'!C$2),"")=0,"",IFERROR(INDEX(Consulta!$A:$DF,MATCH('MM01'!$B124,Consulta!$C:$C,0),'MM01'!C$2),""))</f>
        <v/>
      </c>
      <c r="D124" s="43" t="str">
        <f>IF(IFERROR(INDEX(Consulta!$A:$DF,MATCH('MM01'!$B124,Consulta!$C:$C,0),'MM01'!D$2),"")=0,"",IFERROR(INDEX(Consulta!$A:$DF,MATCH('MM01'!$B124,Consulta!$C:$C,0),'MM01'!D$2),""))</f>
        <v/>
      </c>
      <c r="E124" s="43" t="str">
        <f>IF(IFERROR(INDEX(Consulta!$A:$DF,MATCH('MM01'!$B124,Consulta!$C:$C,0),'MM01'!E$2),"")=0,"",IFERROR(INDEX(Consulta!$A:$DF,MATCH('MM01'!$B124,Consulta!$C:$C,0),'MM01'!E$2),""))</f>
        <v/>
      </c>
      <c r="F124" s="44" t="s">
        <v>100</v>
      </c>
      <c r="G124" s="49" t="str">
        <f>IF(IFERROR(INDEX(Consulta!$A:$DF,MATCH('MM01'!$B124,Consulta!$C:$C,0),'MM01'!G$2),"")=0,"",IFERROR(INDEX(Consulta!$A:$DF,MATCH('MM01'!$B124,Consulta!$C:$C,0),'MM01'!G$2),""))</f>
        <v/>
      </c>
      <c r="H124" s="49" t="str">
        <f>IF(IFERROR(INDEX(Consulta!$A:$DF,MATCH('MM01'!$B124,Consulta!$C:$C,0),'MM01'!H$2),"")=0,"",IFERROR(INDEX(Consulta!$A:$DF,MATCH('MM01'!$B124,Consulta!$C:$C,0),'MM01'!H$2),""))</f>
        <v/>
      </c>
      <c r="I124" s="49" t="str">
        <f t="shared" si="81"/>
        <v/>
      </c>
      <c r="J124" s="49" t="str">
        <f>IF(IFERROR(INDEX(Consulta!$A:$DF,MATCH('MM01'!$B124,Consulta!$C:$C,0),'MM01'!J$2),"")=0,"",IFERROR(INDEX(Consulta!$A:$DF,MATCH('MM01'!$B124,Consulta!$C:$C,0),'MM01'!J$2),""))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IF(IFERROR(INDEX(Consulta!$A:$DF,MATCH('MM01'!$B124,Consulta!$C:$C,0),'MM01'!AP$2),"")=0,"",IFERROR(INDEX(Consulta!$A:$DF,MATCH('MM01'!$B124,Consulta!$C:$C,0),'MM01'!AP$2),""))</f>
        <v/>
      </c>
      <c r="AQ124" s="45"/>
      <c r="AR124" s="43" t="str">
        <f>IF(IFERROR(INDEX(Consulta!$A:$DF,MATCH('MM01'!$B124,Consulta!$C:$C,0),'MM01'!AR$2),"")=0,"",IFERROR(INDEX(Consulta!$A:$DF,MATCH('MM01'!$B124,Consulta!$C:$C,0),'MM01'!AR$2),""))</f>
        <v/>
      </c>
      <c r="AS124" s="43" t="str">
        <f>IF(IFERROR(INDEX(Consulta!$A:$DF,MATCH('MM01'!$B124,Consulta!$C:$C,0),'MM01'!AS$2),"")=0,"",IF(AR124="68",5102,IFERROR(INDEX(Consulta!$A:$DF,MATCH('MM01'!$B124,Consulta!$C:$C,0),'MM01'!AS$2),"")))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IF(IFERROR(INDEX(Consulta!$A:$DF,MATCH('MM01'!$B124,Consulta!$C:$C,0),'MM01'!AW$2),"")=0,"",IFERROR(ROUND(INDEX(Consulta!$A:$DF,MATCH('MM01'!$B124,Consulta!$C:$C,0),'MM01'!AW$2),3),""))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IF(IFERROR(INDEX(Consulta!$A:$DF,MATCH('MM01'!$B124,Consulta!$C:$C,0),'MM01'!BA$2),"")=0,"",IFERROR(INDEX(Consulta!$A:$DF,MATCH('MM01'!$B124,Consulta!$C:$C,0),'MM01'!BA$2),""))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IF(IFERROR(INDEX(Consulta!$A:$DF,MATCH('MM01'!$B124,Consulta!$C:$C,0),'MM01'!BL$2),"")=0,"",IFERROR(INDEX(Consulta!$A:$DF,MATCH('MM01'!$B124,Consulta!$C:$C,0),'MM01'!BL$2),""))</f>
        <v/>
      </c>
      <c r="BM124" s="45"/>
      <c r="BN124" s="46" t="str">
        <f t="shared" ca="1" si="93"/>
        <v/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IF(IFERROR(INDEX(Consulta!$A:$DF,MATCH('MM01'!$B124,Consulta!$C:$C,0),'MM01'!BX$2),"")=0,"",IFERROR(INDEX(Consulta!$A:$DF,MATCH('MM01'!$B124,Consulta!$C:$C,0),'MM01'!BX$2),""))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IF(IFERROR(INDEX(Consulta!$A:$DF,MATCH('MM01'!$B124,Consulta!$C:$C,0),'MM01'!CT$2),"")=0,"",IFERROR(INDEX(Consulta!$A:$DF,MATCH('MM01'!$B124,Consulta!$C:$C,0),'MM01'!CT$2),""))</f>
        <v/>
      </c>
      <c r="CU124" s="43" t="str">
        <f>IF(IFERROR(INDEX(Consulta!$A:$DF,MATCH('MM01'!$B124,Consulta!$C:$C,0),'MM01'!CU$2),"")=0,"",IFERROR(INDEX(Consulta!$A:$DF,MATCH('MM01'!$B124,Consulta!$C:$C,0),'MM01'!CU$2),""))</f>
        <v/>
      </c>
      <c r="CV124" s="43" t="str">
        <f>IF(IFERROR(INDEX(Consulta!$A:$DF,MATCH('MM01'!$B124,Consulta!$C:$C,0),'MM01'!CV$2),"")=0,"",IFERROR(INDEX(Consulta!$A:$DF,MATCH('MM01'!$B124,Consulta!$C:$C,0),'MM01'!CV$2),""))</f>
        <v/>
      </c>
      <c r="CW124" s="43" t="str">
        <f>IF(IFERROR(INDEX(Consulta!$A:$DF,MATCH('MM01'!$B124,Consulta!$C:$C,0),'MM01'!CW$2),"")=0,"",IFERROR(INDEX(Consulta!$A:$DF,MATCH('MM01'!$B124,Consulta!$C:$C,0),'MM01'!CW$2),""))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IF(IFERROR(INDEX(Consulta!$A:$DF,MATCH('MM01'!$B124,Consulta!$C:$C,0),'MM01'!DA$2),"")=0,"",IFERROR(INDEX(Consulta!$A:$DF,MATCH('MM01'!$B124,Consulta!$C:$C,0),'MM01'!DA$2),""))</f>
        <v/>
      </c>
      <c r="DB124" s="43" t="str">
        <f t="shared" si="102"/>
        <v/>
      </c>
      <c r="DC124" s="43" t="str">
        <f>IF(IFERROR(INDEX(Consulta!$A:$DF,MATCH('MM01'!$B124,Consulta!$C:$C,0),'MM01'!DC$2),"")=0,"",IFERROR(INDEX(Consulta!$A:$DF,MATCH('MM01'!$B124,Consulta!$C:$C,0),'MM01'!DC$2),""))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5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5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5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5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IF(IFERROR(INDEX(Consulta!$A:$DF,MATCH('MM01'!$B124,Consulta!$C:$C,0),'MM01'!EB$2),"")=0,"7925",IF(IFERROR(INDEX(Consulta!$A:$DF,MATCH('MM01'!$B124,Consulta!$C:$C,0),'MM01'!EB$2),"")="68","7910","7925"))</f>
        <v>7925</v>
      </c>
      <c r="EC124" s="44">
        <v>100</v>
      </c>
      <c r="ED124" s="60">
        <v>1</v>
      </c>
      <c r="EE124" s="43">
        <f t="shared" si="118"/>
        <v>100</v>
      </c>
      <c r="EF124" s="44">
        <v>1</v>
      </c>
      <c r="EG124" s="44">
        <v>0</v>
      </c>
      <c r="EH124" s="44" t="s">
        <v>867</v>
      </c>
      <c r="EI124" s="45">
        <v>0</v>
      </c>
      <c r="EJ124" s="43">
        <f t="shared" si="119"/>
        <v>5000</v>
      </c>
      <c r="EK124" s="65"/>
    </row>
    <row r="125" spans="1:141" x14ac:dyDescent="0.3">
      <c r="A125" s="7" t="str">
        <f t="shared" si="80"/>
        <v>Execução 121</v>
      </c>
      <c r="B125" s="42"/>
      <c r="C125" s="43" t="str">
        <f>IF(IFERROR(INDEX(Consulta!$A:$DF,MATCH('MM01'!$B125,Consulta!$C:$C,0),'MM01'!C$2),"")=0,"",IFERROR(INDEX(Consulta!$A:$DF,MATCH('MM01'!$B125,Consulta!$C:$C,0),'MM01'!C$2),""))</f>
        <v/>
      </c>
      <c r="D125" s="43" t="str">
        <f>IF(IFERROR(INDEX(Consulta!$A:$DF,MATCH('MM01'!$B125,Consulta!$C:$C,0),'MM01'!D$2),"")=0,"",IFERROR(INDEX(Consulta!$A:$DF,MATCH('MM01'!$B125,Consulta!$C:$C,0),'MM01'!D$2),""))</f>
        <v/>
      </c>
      <c r="E125" s="43" t="str">
        <f>IF(IFERROR(INDEX(Consulta!$A:$DF,MATCH('MM01'!$B125,Consulta!$C:$C,0),'MM01'!E$2),"")=0,"",IFERROR(INDEX(Consulta!$A:$DF,MATCH('MM01'!$B125,Consulta!$C:$C,0),'MM01'!E$2),""))</f>
        <v/>
      </c>
      <c r="F125" s="44" t="s">
        <v>100</v>
      </c>
      <c r="G125" s="49" t="str">
        <f>IF(IFERROR(INDEX(Consulta!$A:$DF,MATCH('MM01'!$B125,Consulta!$C:$C,0),'MM01'!G$2),"")=0,"",IFERROR(INDEX(Consulta!$A:$DF,MATCH('MM01'!$B125,Consulta!$C:$C,0),'MM01'!G$2),""))</f>
        <v/>
      </c>
      <c r="H125" s="49" t="str">
        <f>IF(IFERROR(INDEX(Consulta!$A:$DF,MATCH('MM01'!$B125,Consulta!$C:$C,0),'MM01'!H$2),"")=0,"",IFERROR(INDEX(Consulta!$A:$DF,MATCH('MM01'!$B125,Consulta!$C:$C,0),'MM01'!H$2),""))</f>
        <v/>
      </c>
      <c r="I125" s="49" t="str">
        <f t="shared" si="81"/>
        <v/>
      </c>
      <c r="J125" s="49" t="str">
        <f>IF(IFERROR(INDEX(Consulta!$A:$DF,MATCH('MM01'!$B125,Consulta!$C:$C,0),'MM01'!J$2),"")=0,"",IFERROR(INDEX(Consulta!$A:$DF,MATCH('MM01'!$B125,Consulta!$C:$C,0),'MM01'!J$2),""))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IF(IFERROR(INDEX(Consulta!$A:$DF,MATCH('MM01'!$B125,Consulta!$C:$C,0),'MM01'!AP$2),"")=0,"",IFERROR(INDEX(Consulta!$A:$DF,MATCH('MM01'!$B125,Consulta!$C:$C,0),'MM01'!AP$2),""))</f>
        <v/>
      </c>
      <c r="AQ125" s="45"/>
      <c r="AR125" s="43" t="str">
        <f>IF(IFERROR(INDEX(Consulta!$A:$DF,MATCH('MM01'!$B125,Consulta!$C:$C,0),'MM01'!AR$2),"")=0,"",IFERROR(INDEX(Consulta!$A:$DF,MATCH('MM01'!$B125,Consulta!$C:$C,0),'MM01'!AR$2),""))</f>
        <v/>
      </c>
      <c r="AS125" s="43" t="str">
        <f>IF(IFERROR(INDEX(Consulta!$A:$DF,MATCH('MM01'!$B125,Consulta!$C:$C,0),'MM01'!AS$2),"")=0,"",IF(AR125="68",5102,IFERROR(INDEX(Consulta!$A:$DF,MATCH('MM01'!$B125,Consulta!$C:$C,0),'MM01'!AS$2),"")))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IF(IFERROR(INDEX(Consulta!$A:$DF,MATCH('MM01'!$B125,Consulta!$C:$C,0),'MM01'!AW$2),"")=0,"",IFERROR(ROUND(INDEX(Consulta!$A:$DF,MATCH('MM01'!$B125,Consulta!$C:$C,0),'MM01'!AW$2),3),""))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IF(IFERROR(INDEX(Consulta!$A:$DF,MATCH('MM01'!$B125,Consulta!$C:$C,0),'MM01'!BA$2),"")=0,"",IFERROR(INDEX(Consulta!$A:$DF,MATCH('MM01'!$B125,Consulta!$C:$C,0),'MM01'!BA$2),""))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IF(IFERROR(INDEX(Consulta!$A:$DF,MATCH('MM01'!$B125,Consulta!$C:$C,0),'MM01'!BL$2),"")=0,"",IFERROR(INDEX(Consulta!$A:$DF,MATCH('MM01'!$B125,Consulta!$C:$C,0),'MM01'!BL$2),""))</f>
        <v/>
      </c>
      <c r="BM125" s="45"/>
      <c r="BN125" s="46" t="str">
        <f t="shared" ca="1" si="93"/>
        <v/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IF(IFERROR(INDEX(Consulta!$A:$DF,MATCH('MM01'!$B125,Consulta!$C:$C,0),'MM01'!BX$2),"")=0,"",IFERROR(INDEX(Consulta!$A:$DF,MATCH('MM01'!$B125,Consulta!$C:$C,0),'MM01'!BX$2),""))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IF(IFERROR(INDEX(Consulta!$A:$DF,MATCH('MM01'!$B125,Consulta!$C:$C,0),'MM01'!CT$2),"")=0,"",IFERROR(INDEX(Consulta!$A:$DF,MATCH('MM01'!$B125,Consulta!$C:$C,0),'MM01'!CT$2),""))</f>
        <v/>
      </c>
      <c r="CU125" s="43" t="str">
        <f>IF(IFERROR(INDEX(Consulta!$A:$DF,MATCH('MM01'!$B125,Consulta!$C:$C,0),'MM01'!CU$2),"")=0,"",IFERROR(INDEX(Consulta!$A:$DF,MATCH('MM01'!$B125,Consulta!$C:$C,0),'MM01'!CU$2),""))</f>
        <v/>
      </c>
      <c r="CV125" s="43" t="str">
        <f>IF(IFERROR(INDEX(Consulta!$A:$DF,MATCH('MM01'!$B125,Consulta!$C:$C,0),'MM01'!CV$2),"")=0,"",IFERROR(INDEX(Consulta!$A:$DF,MATCH('MM01'!$B125,Consulta!$C:$C,0),'MM01'!CV$2),""))</f>
        <v/>
      </c>
      <c r="CW125" s="43" t="str">
        <f>IF(IFERROR(INDEX(Consulta!$A:$DF,MATCH('MM01'!$B125,Consulta!$C:$C,0),'MM01'!CW$2),"")=0,"",IFERROR(INDEX(Consulta!$A:$DF,MATCH('MM01'!$B125,Consulta!$C:$C,0),'MM01'!CW$2),""))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IF(IFERROR(INDEX(Consulta!$A:$DF,MATCH('MM01'!$B125,Consulta!$C:$C,0),'MM01'!DA$2),"")=0,"",IFERROR(INDEX(Consulta!$A:$DF,MATCH('MM01'!$B125,Consulta!$C:$C,0),'MM01'!DA$2),""))</f>
        <v/>
      </c>
      <c r="DB125" s="43" t="str">
        <f t="shared" si="102"/>
        <v/>
      </c>
      <c r="DC125" s="43" t="str">
        <f>IF(IFERROR(INDEX(Consulta!$A:$DF,MATCH('MM01'!$B125,Consulta!$C:$C,0),'MM01'!DC$2),"")=0,"",IFERROR(INDEX(Consulta!$A:$DF,MATCH('MM01'!$B125,Consulta!$C:$C,0),'MM01'!DC$2),""))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5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5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5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5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IF(IFERROR(INDEX(Consulta!$A:$DF,MATCH('MM01'!$B125,Consulta!$C:$C,0),'MM01'!EB$2),"")=0,"7925",IF(IFERROR(INDEX(Consulta!$A:$DF,MATCH('MM01'!$B125,Consulta!$C:$C,0),'MM01'!EB$2),"")="68","7910","7925"))</f>
        <v>7925</v>
      </c>
      <c r="EC125" s="44">
        <v>100</v>
      </c>
      <c r="ED125" s="60">
        <v>1</v>
      </c>
      <c r="EE125" s="43">
        <f t="shared" si="118"/>
        <v>100</v>
      </c>
      <c r="EF125" s="44">
        <v>1</v>
      </c>
      <c r="EG125" s="44">
        <v>0</v>
      </c>
      <c r="EH125" s="44" t="s">
        <v>867</v>
      </c>
      <c r="EI125" s="45">
        <v>0</v>
      </c>
      <c r="EJ125" s="43">
        <f t="shared" si="119"/>
        <v>5000</v>
      </c>
      <c r="EK125" s="65"/>
    </row>
    <row r="126" spans="1:141" x14ac:dyDescent="0.3">
      <c r="A126" s="7" t="str">
        <f t="shared" si="80"/>
        <v>Execução 122</v>
      </c>
      <c r="B126" s="42"/>
      <c r="C126" s="43" t="str">
        <f>IF(IFERROR(INDEX(Consulta!$A:$DF,MATCH('MM01'!$B126,Consulta!$C:$C,0),'MM01'!C$2),"")=0,"",IFERROR(INDEX(Consulta!$A:$DF,MATCH('MM01'!$B126,Consulta!$C:$C,0),'MM01'!C$2),""))</f>
        <v/>
      </c>
      <c r="D126" s="43" t="str">
        <f>IF(IFERROR(INDEX(Consulta!$A:$DF,MATCH('MM01'!$B126,Consulta!$C:$C,0),'MM01'!D$2),"")=0,"",IFERROR(INDEX(Consulta!$A:$DF,MATCH('MM01'!$B126,Consulta!$C:$C,0),'MM01'!D$2),""))</f>
        <v/>
      </c>
      <c r="E126" s="43" t="str">
        <f>IF(IFERROR(INDEX(Consulta!$A:$DF,MATCH('MM01'!$B126,Consulta!$C:$C,0),'MM01'!E$2),"")=0,"",IFERROR(INDEX(Consulta!$A:$DF,MATCH('MM01'!$B126,Consulta!$C:$C,0),'MM01'!E$2),""))</f>
        <v/>
      </c>
      <c r="F126" s="44" t="s">
        <v>100</v>
      </c>
      <c r="G126" s="49" t="str">
        <f>IF(IFERROR(INDEX(Consulta!$A:$DF,MATCH('MM01'!$B126,Consulta!$C:$C,0),'MM01'!G$2),"")=0,"",IFERROR(INDEX(Consulta!$A:$DF,MATCH('MM01'!$B126,Consulta!$C:$C,0),'MM01'!G$2),""))</f>
        <v/>
      </c>
      <c r="H126" s="49" t="str">
        <f>IF(IFERROR(INDEX(Consulta!$A:$DF,MATCH('MM01'!$B126,Consulta!$C:$C,0),'MM01'!H$2),"")=0,"",IFERROR(INDEX(Consulta!$A:$DF,MATCH('MM01'!$B126,Consulta!$C:$C,0),'MM01'!H$2),""))</f>
        <v/>
      </c>
      <c r="I126" s="49" t="str">
        <f t="shared" si="81"/>
        <v/>
      </c>
      <c r="J126" s="49" t="str">
        <f>IF(IFERROR(INDEX(Consulta!$A:$DF,MATCH('MM01'!$B126,Consulta!$C:$C,0),'MM01'!J$2),"")=0,"",IFERROR(INDEX(Consulta!$A:$DF,MATCH('MM01'!$B126,Consulta!$C:$C,0),'MM01'!J$2),""))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IF(IFERROR(INDEX(Consulta!$A:$DF,MATCH('MM01'!$B126,Consulta!$C:$C,0),'MM01'!AP$2),"")=0,"",IFERROR(INDEX(Consulta!$A:$DF,MATCH('MM01'!$B126,Consulta!$C:$C,0),'MM01'!AP$2),""))</f>
        <v/>
      </c>
      <c r="AQ126" s="45"/>
      <c r="AR126" s="43" t="str">
        <f>IF(IFERROR(INDEX(Consulta!$A:$DF,MATCH('MM01'!$B126,Consulta!$C:$C,0),'MM01'!AR$2),"")=0,"",IFERROR(INDEX(Consulta!$A:$DF,MATCH('MM01'!$B126,Consulta!$C:$C,0),'MM01'!AR$2),""))</f>
        <v/>
      </c>
      <c r="AS126" s="43" t="str">
        <f>IF(IFERROR(INDEX(Consulta!$A:$DF,MATCH('MM01'!$B126,Consulta!$C:$C,0),'MM01'!AS$2),"")=0,"",IF(AR126="68",5102,IFERROR(INDEX(Consulta!$A:$DF,MATCH('MM01'!$B126,Consulta!$C:$C,0),'MM01'!AS$2),"")))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IF(IFERROR(INDEX(Consulta!$A:$DF,MATCH('MM01'!$B126,Consulta!$C:$C,0),'MM01'!AW$2),"")=0,"",IFERROR(ROUND(INDEX(Consulta!$A:$DF,MATCH('MM01'!$B126,Consulta!$C:$C,0),'MM01'!AW$2),3),""))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IF(IFERROR(INDEX(Consulta!$A:$DF,MATCH('MM01'!$B126,Consulta!$C:$C,0),'MM01'!BA$2),"")=0,"",IFERROR(INDEX(Consulta!$A:$DF,MATCH('MM01'!$B126,Consulta!$C:$C,0),'MM01'!BA$2),""))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IF(IFERROR(INDEX(Consulta!$A:$DF,MATCH('MM01'!$B126,Consulta!$C:$C,0),'MM01'!BL$2),"")=0,"",IFERROR(INDEX(Consulta!$A:$DF,MATCH('MM01'!$B126,Consulta!$C:$C,0),'MM01'!BL$2),""))</f>
        <v/>
      </c>
      <c r="BM126" s="45"/>
      <c r="BN126" s="46" t="str">
        <f t="shared" ca="1" si="93"/>
        <v/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IF(IFERROR(INDEX(Consulta!$A:$DF,MATCH('MM01'!$B126,Consulta!$C:$C,0),'MM01'!BX$2),"")=0,"",IFERROR(INDEX(Consulta!$A:$DF,MATCH('MM01'!$B126,Consulta!$C:$C,0),'MM01'!BX$2),""))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IF(IFERROR(INDEX(Consulta!$A:$DF,MATCH('MM01'!$B126,Consulta!$C:$C,0),'MM01'!CT$2),"")=0,"",IFERROR(INDEX(Consulta!$A:$DF,MATCH('MM01'!$B126,Consulta!$C:$C,0),'MM01'!CT$2),""))</f>
        <v/>
      </c>
      <c r="CU126" s="43" t="str">
        <f>IF(IFERROR(INDEX(Consulta!$A:$DF,MATCH('MM01'!$B126,Consulta!$C:$C,0),'MM01'!CU$2),"")=0,"",IFERROR(INDEX(Consulta!$A:$DF,MATCH('MM01'!$B126,Consulta!$C:$C,0),'MM01'!CU$2),""))</f>
        <v/>
      </c>
      <c r="CV126" s="43" t="str">
        <f>IF(IFERROR(INDEX(Consulta!$A:$DF,MATCH('MM01'!$B126,Consulta!$C:$C,0),'MM01'!CV$2),"")=0,"",IFERROR(INDEX(Consulta!$A:$DF,MATCH('MM01'!$B126,Consulta!$C:$C,0),'MM01'!CV$2),""))</f>
        <v/>
      </c>
      <c r="CW126" s="43" t="str">
        <f>IF(IFERROR(INDEX(Consulta!$A:$DF,MATCH('MM01'!$B126,Consulta!$C:$C,0),'MM01'!CW$2),"")=0,"",IFERROR(INDEX(Consulta!$A:$DF,MATCH('MM01'!$B126,Consulta!$C:$C,0),'MM01'!CW$2),""))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IF(IFERROR(INDEX(Consulta!$A:$DF,MATCH('MM01'!$B126,Consulta!$C:$C,0),'MM01'!DA$2),"")=0,"",IFERROR(INDEX(Consulta!$A:$DF,MATCH('MM01'!$B126,Consulta!$C:$C,0),'MM01'!DA$2),""))</f>
        <v/>
      </c>
      <c r="DB126" s="43" t="str">
        <f t="shared" si="102"/>
        <v/>
      </c>
      <c r="DC126" s="43" t="str">
        <f>IF(IFERROR(INDEX(Consulta!$A:$DF,MATCH('MM01'!$B126,Consulta!$C:$C,0),'MM01'!DC$2),"")=0,"",IFERROR(INDEX(Consulta!$A:$DF,MATCH('MM01'!$B126,Consulta!$C:$C,0),'MM01'!DC$2),""))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5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5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5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5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IF(IFERROR(INDEX(Consulta!$A:$DF,MATCH('MM01'!$B126,Consulta!$C:$C,0),'MM01'!EB$2),"")=0,"7925",IF(IFERROR(INDEX(Consulta!$A:$DF,MATCH('MM01'!$B126,Consulta!$C:$C,0),'MM01'!EB$2),"")="68","7910","7925"))</f>
        <v>7925</v>
      </c>
      <c r="EC126" s="44">
        <v>100</v>
      </c>
      <c r="ED126" s="60">
        <v>1</v>
      </c>
      <c r="EE126" s="43">
        <f t="shared" si="118"/>
        <v>100</v>
      </c>
      <c r="EF126" s="44">
        <v>1</v>
      </c>
      <c r="EG126" s="44">
        <v>0</v>
      </c>
      <c r="EH126" s="44" t="s">
        <v>867</v>
      </c>
      <c r="EI126" s="45">
        <v>0</v>
      </c>
      <c r="EJ126" s="43">
        <f t="shared" si="119"/>
        <v>5000</v>
      </c>
      <c r="EK126" s="65"/>
    </row>
    <row r="127" spans="1:141" x14ac:dyDescent="0.3">
      <c r="A127" s="7" t="str">
        <f t="shared" si="80"/>
        <v>Execução 123</v>
      </c>
      <c r="B127" s="42"/>
      <c r="C127" s="43" t="str">
        <f>IF(IFERROR(INDEX(Consulta!$A:$DF,MATCH('MM01'!$B127,Consulta!$C:$C,0),'MM01'!C$2),"")=0,"",IFERROR(INDEX(Consulta!$A:$DF,MATCH('MM01'!$B127,Consulta!$C:$C,0),'MM01'!C$2),""))</f>
        <v/>
      </c>
      <c r="D127" s="43" t="str">
        <f>IF(IFERROR(INDEX(Consulta!$A:$DF,MATCH('MM01'!$B127,Consulta!$C:$C,0),'MM01'!D$2),"")=0,"",IFERROR(INDEX(Consulta!$A:$DF,MATCH('MM01'!$B127,Consulta!$C:$C,0),'MM01'!D$2),""))</f>
        <v/>
      </c>
      <c r="E127" s="43" t="str">
        <f>IF(IFERROR(INDEX(Consulta!$A:$DF,MATCH('MM01'!$B127,Consulta!$C:$C,0),'MM01'!E$2),"")=0,"",IFERROR(INDEX(Consulta!$A:$DF,MATCH('MM01'!$B127,Consulta!$C:$C,0),'MM01'!E$2),""))</f>
        <v/>
      </c>
      <c r="F127" s="44" t="s">
        <v>100</v>
      </c>
      <c r="G127" s="49" t="str">
        <f>IF(IFERROR(INDEX(Consulta!$A:$DF,MATCH('MM01'!$B127,Consulta!$C:$C,0),'MM01'!G$2),"")=0,"",IFERROR(INDEX(Consulta!$A:$DF,MATCH('MM01'!$B127,Consulta!$C:$C,0),'MM01'!G$2),""))</f>
        <v/>
      </c>
      <c r="H127" s="49" t="str">
        <f>IF(IFERROR(INDEX(Consulta!$A:$DF,MATCH('MM01'!$B127,Consulta!$C:$C,0),'MM01'!H$2),"")=0,"",IFERROR(INDEX(Consulta!$A:$DF,MATCH('MM01'!$B127,Consulta!$C:$C,0),'MM01'!H$2),""))</f>
        <v/>
      </c>
      <c r="I127" s="49" t="str">
        <f t="shared" si="81"/>
        <v/>
      </c>
      <c r="J127" s="49" t="str">
        <f>IF(IFERROR(INDEX(Consulta!$A:$DF,MATCH('MM01'!$B127,Consulta!$C:$C,0),'MM01'!J$2),"")=0,"",IFERROR(INDEX(Consulta!$A:$DF,MATCH('MM01'!$B127,Consulta!$C:$C,0),'MM01'!J$2),""))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IF(IFERROR(INDEX(Consulta!$A:$DF,MATCH('MM01'!$B127,Consulta!$C:$C,0),'MM01'!AP$2),"")=0,"",IFERROR(INDEX(Consulta!$A:$DF,MATCH('MM01'!$B127,Consulta!$C:$C,0),'MM01'!AP$2),""))</f>
        <v/>
      </c>
      <c r="AQ127" s="45"/>
      <c r="AR127" s="43" t="str">
        <f>IF(IFERROR(INDEX(Consulta!$A:$DF,MATCH('MM01'!$B127,Consulta!$C:$C,0),'MM01'!AR$2),"")=0,"",IFERROR(INDEX(Consulta!$A:$DF,MATCH('MM01'!$B127,Consulta!$C:$C,0),'MM01'!AR$2),""))</f>
        <v/>
      </c>
      <c r="AS127" s="43" t="str">
        <f>IF(IFERROR(INDEX(Consulta!$A:$DF,MATCH('MM01'!$B127,Consulta!$C:$C,0),'MM01'!AS$2),"")=0,"",IF(AR127="68",5102,IFERROR(INDEX(Consulta!$A:$DF,MATCH('MM01'!$B127,Consulta!$C:$C,0),'MM01'!AS$2),"")))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IF(IFERROR(INDEX(Consulta!$A:$DF,MATCH('MM01'!$B127,Consulta!$C:$C,0),'MM01'!AW$2),"")=0,"",IFERROR(ROUND(INDEX(Consulta!$A:$DF,MATCH('MM01'!$B127,Consulta!$C:$C,0),'MM01'!AW$2),3),""))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IF(IFERROR(INDEX(Consulta!$A:$DF,MATCH('MM01'!$B127,Consulta!$C:$C,0),'MM01'!BA$2),"")=0,"",IFERROR(INDEX(Consulta!$A:$DF,MATCH('MM01'!$B127,Consulta!$C:$C,0),'MM01'!BA$2),""))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IF(IFERROR(INDEX(Consulta!$A:$DF,MATCH('MM01'!$B127,Consulta!$C:$C,0),'MM01'!BL$2),"")=0,"",IFERROR(INDEX(Consulta!$A:$DF,MATCH('MM01'!$B127,Consulta!$C:$C,0),'MM01'!BL$2),""))</f>
        <v/>
      </c>
      <c r="BM127" s="45"/>
      <c r="BN127" s="46" t="str">
        <f t="shared" ca="1" si="93"/>
        <v/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IF(IFERROR(INDEX(Consulta!$A:$DF,MATCH('MM01'!$B127,Consulta!$C:$C,0),'MM01'!BX$2),"")=0,"",IFERROR(INDEX(Consulta!$A:$DF,MATCH('MM01'!$B127,Consulta!$C:$C,0),'MM01'!BX$2),""))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IF(IFERROR(INDEX(Consulta!$A:$DF,MATCH('MM01'!$B127,Consulta!$C:$C,0),'MM01'!CT$2),"")=0,"",IFERROR(INDEX(Consulta!$A:$DF,MATCH('MM01'!$B127,Consulta!$C:$C,0),'MM01'!CT$2),""))</f>
        <v/>
      </c>
      <c r="CU127" s="43" t="str">
        <f>IF(IFERROR(INDEX(Consulta!$A:$DF,MATCH('MM01'!$B127,Consulta!$C:$C,0),'MM01'!CU$2),"")=0,"",IFERROR(INDEX(Consulta!$A:$DF,MATCH('MM01'!$B127,Consulta!$C:$C,0),'MM01'!CU$2),""))</f>
        <v/>
      </c>
      <c r="CV127" s="43" t="str">
        <f>IF(IFERROR(INDEX(Consulta!$A:$DF,MATCH('MM01'!$B127,Consulta!$C:$C,0),'MM01'!CV$2),"")=0,"",IFERROR(INDEX(Consulta!$A:$DF,MATCH('MM01'!$B127,Consulta!$C:$C,0),'MM01'!CV$2),""))</f>
        <v/>
      </c>
      <c r="CW127" s="43" t="str">
        <f>IF(IFERROR(INDEX(Consulta!$A:$DF,MATCH('MM01'!$B127,Consulta!$C:$C,0),'MM01'!CW$2),"")=0,"",IFERROR(INDEX(Consulta!$A:$DF,MATCH('MM01'!$B127,Consulta!$C:$C,0),'MM01'!CW$2),""))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IF(IFERROR(INDEX(Consulta!$A:$DF,MATCH('MM01'!$B127,Consulta!$C:$C,0),'MM01'!DA$2),"")=0,"",IFERROR(INDEX(Consulta!$A:$DF,MATCH('MM01'!$B127,Consulta!$C:$C,0),'MM01'!DA$2),""))</f>
        <v/>
      </c>
      <c r="DB127" s="43" t="str">
        <f t="shared" si="102"/>
        <v/>
      </c>
      <c r="DC127" s="43" t="str">
        <f>IF(IFERROR(INDEX(Consulta!$A:$DF,MATCH('MM01'!$B127,Consulta!$C:$C,0),'MM01'!DC$2),"")=0,"",IFERROR(INDEX(Consulta!$A:$DF,MATCH('MM01'!$B127,Consulta!$C:$C,0),'MM01'!DC$2),""))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5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5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5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5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IF(IFERROR(INDEX(Consulta!$A:$DF,MATCH('MM01'!$B127,Consulta!$C:$C,0),'MM01'!EB$2),"")=0,"7925",IF(IFERROR(INDEX(Consulta!$A:$DF,MATCH('MM01'!$B127,Consulta!$C:$C,0),'MM01'!EB$2),"")="68","7910","7925"))</f>
        <v>7925</v>
      </c>
      <c r="EC127" s="44">
        <v>100</v>
      </c>
      <c r="ED127" s="60">
        <v>1</v>
      </c>
      <c r="EE127" s="43">
        <f t="shared" si="118"/>
        <v>100</v>
      </c>
      <c r="EF127" s="44">
        <v>1</v>
      </c>
      <c r="EG127" s="44">
        <v>0</v>
      </c>
      <c r="EH127" s="44" t="s">
        <v>867</v>
      </c>
      <c r="EI127" s="45">
        <v>0</v>
      </c>
      <c r="EJ127" s="43">
        <f t="shared" si="119"/>
        <v>5000</v>
      </c>
      <c r="EK127" s="65"/>
    </row>
    <row r="128" spans="1:141" x14ac:dyDescent="0.3">
      <c r="A128" s="7" t="str">
        <f t="shared" si="80"/>
        <v>Execução 124</v>
      </c>
      <c r="B128" s="42"/>
      <c r="C128" s="43" t="str">
        <f>IF(IFERROR(INDEX(Consulta!$A:$DF,MATCH('MM01'!$B128,Consulta!$C:$C,0),'MM01'!C$2),"")=0,"",IFERROR(INDEX(Consulta!$A:$DF,MATCH('MM01'!$B128,Consulta!$C:$C,0),'MM01'!C$2),""))</f>
        <v/>
      </c>
      <c r="D128" s="43" t="str">
        <f>IF(IFERROR(INDEX(Consulta!$A:$DF,MATCH('MM01'!$B128,Consulta!$C:$C,0),'MM01'!D$2),"")=0,"",IFERROR(INDEX(Consulta!$A:$DF,MATCH('MM01'!$B128,Consulta!$C:$C,0),'MM01'!D$2),""))</f>
        <v/>
      </c>
      <c r="E128" s="43" t="str">
        <f>IF(IFERROR(INDEX(Consulta!$A:$DF,MATCH('MM01'!$B128,Consulta!$C:$C,0),'MM01'!E$2),"")=0,"",IFERROR(INDEX(Consulta!$A:$DF,MATCH('MM01'!$B128,Consulta!$C:$C,0),'MM01'!E$2),""))</f>
        <v/>
      </c>
      <c r="F128" s="44" t="s">
        <v>100</v>
      </c>
      <c r="G128" s="49" t="str">
        <f>IF(IFERROR(INDEX(Consulta!$A:$DF,MATCH('MM01'!$B128,Consulta!$C:$C,0),'MM01'!G$2),"")=0,"",IFERROR(INDEX(Consulta!$A:$DF,MATCH('MM01'!$B128,Consulta!$C:$C,0),'MM01'!G$2),""))</f>
        <v/>
      </c>
      <c r="H128" s="49" t="str">
        <f>IF(IFERROR(INDEX(Consulta!$A:$DF,MATCH('MM01'!$B128,Consulta!$C:$C,0),'MM01'!H$2),"")=0,"",IFERROR(INDEX(Consulta!$A:$DF,MATCH('MM01'!$B128,Consulta!$C:$C,0),'MM01'!H$2),""))</f>
        <v/>
      </c>
      <c r="I128" s="49" t="str">
        <f t="shared" si="81"/>
        <v/>
      </c>
      <c r="J128" s="49" t="str">
        <f>IF(IFERROR(INDEX(Consulta!$A:$DF,MATCH('MM01'!$B128,Consulta!$C:$C,0),'MM01'!J$2),"")=0,"",IFERROR(INDEX(Consulta!$A:$DF,MATCH('MM01'!$B128,Consulta!$C:$C,0),'MM01'!J$2),""))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IF(IFERROR(INDEX(Consulta!$A:$DF,MATCH('MM01'!$B128,Consulta!$C:$C,0),'MM01'!AP$2),"")=0,"",IFERROR(INDEX(Consulta!$A:$DF,MATCH('MM01'!$B128,Consulta!$C:$C,0),'MM01'!AP$2),""))</f>
        <v/>
      </c>
      <c r="AQ128" s="45"/>
      <c r="AR128" s="43" t="str">
        <f>IF(IFERROR(INDEX(Consulta!$A:$DF,MATCH('MM01'!$B128,Consulta!$C:$C,0),'MM01'!AR$2),"")=0,"",IFERROR(INDEX(Consulta!$A:$DF,MATCH('MM01'!$B128,Consulta!$C:$C,0),'MM01'!AR$2),""))</f>
        <v/>
      </c>
      <c r="AS128" s="43" t="str">
        <f>IF(IFERROR(INDEX(Consulta!$A:$DF,MATCH('MM01'!$B128,Consulta!$C:$C,0),'MM01'!AS$2),"")=0,"",IF(AR128="68",5102,IFERROR(INDEX(Consulta!$A:$DF,MATCH('MM01'!$B128,Consulta!$C:$C,0),'MM01'!AS$2),"")))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IF(IFERROR(INDEX(Consulta!$A:$DF,MATCH('MM01'!$B128,Consulta!$C:$C,0),'MM01'!AW$2),"")=0,"",IFERROR(ROUND(INDEX(Consulta!$A:$DF,MATCH('MM01'!$B128,Consulta!$C:$C,0),'MM01'!AW$2),3),""))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IF(IFERROR(INDEX(Consulta!$A:$DF,MATCH('MM01'!$B128,Consulta!$C:$C,0),'MM01'!BA$2),"")=0,"",IFERROR(INDEX(Consulta!$A:$DF,MATCH('MM01'!$B128,Consulta!$C:$C,0),'MM01'!BA$2),""))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IF(IFERROR(INDEX(Consulta!$A:$DF,MATCH('MM01'!$B128,Consulta!$C:$C,0),'MM01'!BL$2),"")=0,"",IFERROR(INDEX(Consulta!$A:$DF,MATCH('MM01'!$B128,Consulta!$C:$C,0),'MM01'!BL$2),""))</f>
        <v/>
      </c>
      <c r="BM128" s="45"/>
      <c r="BN128" s="46" t="str">
        <f t="shared" ca="1" si="93"/>
        <v/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IF(IFERROR(INDEX(Consulta!$A:$DF,MATCH('MM01'!$B128,Consulta!$C:$C,0),'MM01'!BX$2),"")=0,"",IFERROR(INDEX(Consulta!$A:$DF,MATCH('MM01'!$B128,Consulta!$C:$C,0),'MM01'!BX$2),""))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IF(IFERROR(INDEX(Consulta!$A:$DF,MATCH('MM01'!$B128,Consulta!$C:$C,0),'MM01'!CT$2),"")=0,"",IFERROR(INDEX(Consulta!$A:$DF,MATCH('MM01'!$B128,Consulta!$C:$C,0),'MM01'!CT$2),""))</f>
        <v/>
      </c>
      <c r="CU128" s="43" t="str">
        <f>IF(IFERROR(INDEX(Consulta!$A:$DF,MATCH('MM01'!$B128,Consulta!$C:$C,0),'MM01'!CU$2),"")=0,"",IFERROR(INDEX(Consulta!$A:$DF,MATCH('MM01'!$B128,Consulta!$C:$C,0),'MM01'!CU$2),""))</f>
        <v/>
      </c>
      <c r="CV128" s="43" t="str">
        <f>IF(IFERROR(INDEX(Consulta!$A:$DF,MATCH('MM01'!$B128,Consulta!$C:$C,0),'MM01'!CV$2),"")=0,"",IFERROR(INDEX(Consulta!$A:$DF,MATCH('MM01'!$B128,Consulta!$C:$C,0),'MM01'!CV$2),""))</f>
        <v/>
      </c>
      <c r="CW128" s="43" t="str">
        <f>IF(IFERROR(INDEX(Consulta!$A:$DF,MATCH('MM01'!$B128,Consulta!$C:$C,0),'MM01'!CW$2),"")=0,"",IFERROR(INDEX(Consulta!$A:$DF,MATCH('MM01'!$B128,Consulta!$C:$C,0),'MM01'!CW$2),""))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IF(IFERROR(INDEX(Consulta!$A:$DF,MATCH('MM01'!$B128,Consulta!$C:$C,0),'MM01'!DA$2),"")=0,"",IFERROR(INDEX(Consulta!$A:$DF,MATCH('MM01'!$B128,Consulta!$C:$C,0),'MM01'!DA$2),""))</f>
        <v/>
      </c>
      <c r="DB128" s="43" t="str">
        <f t="shared" si="102"/>
        <v/>
      </c>
      <c r="DC128" s="43" t="str">
        <f>IF(IFERROR(INDEX(Consulta!$A:$DF,MATCH('MM01'!$B128,Consulta!$C:$C,0),'MM01'!DC$2),"")=0,"",IFERROR(INDEX(Consulta!$A:$DF,MATCH('MM01'!$B128,Consulta!$C:$C,0),'MM01'!DC$2),""))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5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5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5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5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IF(IFERROR(INDEX(Consulta!$A:$DF,MATCH('MM01'!$B128,Consulta!$C:$C,0),'MM01'!EB$2),"")=0,"7925",IF(IFERROR(INDEX(Consulta!$A:$DF,MATCH('MM01'!$B128,Consulta!$C:$C,0),'MM01'!EB$2),"")="68","7910","7925"))</f>
        <v>7925</v>
      </c>
      <c r="EC128" s="44">
        <v>100</v>
      </c>
      <c r="ED128" s="60">
        <v>1</v>
      </c>
      <c r="EE128" s="43">
        <f t="shared" si="118"/>
        <v>100</v>
      </c>
      <c r="EF128" s="44">
        <v>1</v>
      </c>
      <c r="EG128" s="44">
        <v>0</v>
      </c>
      <c r="EH128" s="44" t="s">
        <v>867</v>
      </c>
      <c r="EI128" s="45">
        <v>0</v>
      </c>
      <c r="EJ128" s="43">
        <f t="shared" si="119"/>
        <v>5000</v>
      </c>
      <c r="EK128" s="65"/>
    </row>
    <row r="129" spans="1:141" x14ac:dyDescent="0.3">
      <c r="A129" s="7" t="str">
        <f t="shared" si="80"/>
        <v>Execução 125</v>
      </c>
      <c r="B129" s="42"/>
      <c r="C129" s="43" t="str">
        <f>IF(IFERROR(INDEX(Consulta!$A:$DF,MATCH('MM01'!$B129,Consulta!$C:$C,0),'MM01'!C$2),"")=0,"",IFERROR(INDEX(Consulta!$A:$DF,MATCH('MM01'!$B129,Consulta!$C:$C,0),'MM01'!C$2),""))</f>
        <v/>
      </c>
      <c r="D129" s="43" t="str">
        <f>IF(IFERROR(INDEX(Consulta!$A:$DF,MATCH('MM01'!$B129,Consulta!$C:$C,0),'MM01'!D$2),"")=0,"",IFERROR(INDEX(Consulta!$A:$DF,MATCH('MM01'!$B129,Consulta!$C:$C,0),'MM01'!D$2),""))</f>
        <v/>
      </c>
      <c r="E129" s="43" t="str">
        <f>IF(IFERROR(INDEX(Consulta!$A:$DF,MATCH('MM01'!$B129,Consulta!$C:$C,0),'MM01'!E$2),"")=0,"",IFERROR(INDEX(Consulta!$A:$DF,MATCH('MM01'!$B129,Consulta!$C:$C,0),'MM01'!E$2),""))</f>
        <v/>
      </c>
      <c r="F129" s="44" t="s">
        <v>100</v>
      </c>
      <c r="G129" s="49" t="str">
        <f>IF(IFERROR(INDEX(Consulta!$A:$DF,MATCH('MM01'!$B129,Consulta!$C:$C,0),'MM01'!G$2),"")=0,"",IFERROR(INDEX(Consulta!$A:$DF,MATCH('MM01'!$B129,Consulta!$C:$C,0),'MM01'!G$2),""))</f>
        <v/>
      </c>
      <c r="H129" s="49" t="str">
        <f>IF(IFERROR(INDEX(Consulta!$A:$DF,MATCH('MM01'!$B129,Consulta!$C:$C,0),'MM01'!H$2),"")=0,"",IFERROR(INDEX(Consulta!$A:$DF,MATCH('MM01'!$B129,Consulta!$C:$C,0),'MM01'!H$2),""))</f>
        <v/>
      </c>
      <c r="I129" s="49" t="str">
        <f t="shared" si="81"/>
        <v/>
      </c>
      <c r="J129" s="49" t="str">
        <f>IF(IFERROR(INDEX(Consulta!$A:$DF,MATCH('MM01'!$B129,Consulta!$C:$C,0),'MM01'!J$2),"")=0,"",IFERROR(INDEX(Consulta!$A:$DF,MATCH('MM01'!$B129,Consulta!$C:$C,0),'MM01'!J$2),""))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IF(IFERROR(INDEX(Consulta!$A:$DF,MATCH('MM01'!$B129,Consulta!$C:$C,0),'MM01'!AP$2),"")=0,"",IFERROR(INDEX(Consulta!$A:$DF,MATCH('MM01'!$B129,Consulta!$C:$C,0),'MM01'!AP$2),""))</f>
        <v/>
      </c>
      <c r="AQ129" s="45"/>
      <c r="AR129" s="43" t="str">
        <f>IF(IFERROR(INDEX(Consulta!$A:$DF,MATCH('MM01'!$B129,Consulta!$C:$C,0),'MM01'!AR$2),"")=0,"",IFERROR(INDEX(Consulta!$A:$DF,MATCH('MM01'!$B129,Consulta!$C:$C,0),'MM01'!AR$2),""))</f>
        <v/>
      </c>
      <c r="AS129" s="43" t="str">
        <f>IF(IFERROR(INDEX(Consulta!$A:$DF,MATCH('MM01'!$B129,Consulta!$C:$C,0),'MM01'!AS$2),"")=0,"",IF(AR129="68",5102,IFERROR(INDEX(Consulta!$A:$DF,MATCH('MM01'!$B129,Consulta!$C:$C,0),'MM01'!AS$2),"")))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IF(IFERROR(INDEX(Consulta!$A:$DF,MATCH('MM01'!$B129,Consulta!$C:$C,0),'MM01'!AW$2),"")=0,"",IFERROR(ROUND(INDEX(Consulta!$A:$DF,MATCH('MM01'!$B129,Consulta!$C:$C,0),'MM01'!AW$2),3),""))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IF(IFERROR(INDEX(Consulta!$A:$DF,MATCH('MM01'!$B129,Consulta!$C:$C,0),'MM01'!BA$2),"")=0,"",IFERROR(INDEX(Consulta!$A:$DF,MATCH('MM01'!$B129,Consulta!$C:$C,0),'MM01'!BA$2),""))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IF(IFERROR(INDEX(Consulta!$A:$DF,MATCH('MM01'!$B129,Consulta!$C:$C,0),'MM01'!BL$2),"")=0,"",IFERROR(INDEX(Consulta!$A:$DF,MATCH('MM01'!$B129,Consulta!$C:$C,0),'MM01'!BL$2),""))</f>
        <v/>
      </c>
      <c r="BM129" s="45"/>
      <c r="BN129" s="46" t="str">
        <f t="shared" ca="1" si="93"/>
        <v/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IF(IFERROR(INDEX(Consulta!$A:$DF,MATCH('MM01'!$B129,Consulta!$C:$C,0),'MM01'!BX$2),"")=0,"",IFERROR(INDEX(Consulta!$A:$DF,MATCH('MM01'!$B129,Consulta!$C:$C,0),'MM01'!BX$2),""))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IF(IFERROR(INDEX(Consulta!$A:$DF,MATCH('MM01'!$B129,Consulta!$C:$C,0),'MM01'!CT$2),"")=0,"",IFERROR(INDEX(Consulta!$A:$DF,MATCH('MM01'!$B129,Consulta!$C:$C,0),'MM01'!CT$2),""))</f>
        <v/>
      </c>
      <c r="CU129" s="43" t="str">
        <f>IF(IFERROR(INDEX(Consulta!$A:$DF,MATCH('MM01'!$B129,Consulta!$C:$C,0),'MM01'!CU$2),"")=0,"",IFERROR(INDEX(Consulta!$A:$DF,MATCH('MM01'!$B129,Consulta!$C:$C,0),'MM01'!CU$2),""))</f>
        <v/>
      </c>
      <c r="CV129" s="43" t="str">
        <f>IF(IFERROR(INDEX(Consulta!$A:$DF,MATCH('MM01'!$B129,Consulta!$C:$C,0),'MM01'!CV$2),"")=0,"",IFERROR(INDEX(Consulta!$A:$DF,MATCH('MM01'!$B129,Consulta!$C:$C,0),'MM01'!CV$2),""))</f>
        <v/>
      </c>
      <c r="CW129" s="43" t="str">
        <f>IF(IFERROR(INDEX(Consulta!$A:$DF,MATCH('MM01'!$B129,Consulta!$C:$C,0),'MM01'!CW$2),"")=0,"",IFERROR(INDEX(Consulta!$A:$DF,MATCH('MM01'!$B129,Consulta!$C:$C,0),'MM01'!CW$2),""))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IF(IFERROR(INDEX(Consulta!$A:$DF,MATCH('MM01'!$B129,Consulta!$C:$C,0),'MM01'!DA$2),"")=0,"",IFERROR(INDEX(Consulta!$A:$DF,MATCH('MM01'!$B129,Consulta!$C:$C,0),'MM01'!DA$2),""))</f>
        <v/>
      </c>
      <c r="DB129" s="43" t="str">
        <f t="shared" si="102"/>
        <v/>
      </c>
      <c r="DC129" s="43" t="str">
        <f>IF(IFERROR(INDEX(Consulta!$A:$DF,MATCH('MM01'!$B129,Consulta!$C:$C,0),'MM01'!DC$2),"")=0,"",IFERROR(INDEX(Consulta!$A:$DF,MATCH('MM01'!$B129,Consulta!$C:$C,0),'MM01'!DC$2),""))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5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5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5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5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IF(IFERROR(INDEX(Consulta!$A:$DF,MATCH('MM01'!$B129,Consulta!$C:$C,0),'MM01'!EB$2),"")=0,"7925",IF(IFERROR(INDEX(Consulta!$A:$DF,MATCH('MM01'!$B129,Consulta!$C:$C,0),'MM01'!EB$2),"")="68","7910","7925"))</f>
        <v>7925</v>
      </c>
      <c r="EC129" s="44">
        <v>100</v>
      </c>
      <c r="ED129" s="60">
        <v>1</v>
      </c>
      <c r="EE129" s="43">
        <f t="shared" si="118"/>
        <v>100</v>
      </c>
      <c r="EF129" s="44">
        <v>1</v>
      </c>
      <c r="EG129" s="44">
        <v>0</v>
      </c>
      <c r="EH129" s="44" t="s">
        <v>867</v>
      </c>
      <c r="EI129" s="45">
        <v>0</v>
      </c>
      <c r="EJ129" s="43">
        <f t="shared" si="119"/>
        <v>5000</v>
      </c>
      <c r="EK129" s="65"/>
    </row>
    <row r="130" spans="1:141" x14ac:dyDescent="0.3">
      <c r="A130" s="7" t="str">
        <f t="shared" si="80"/>
        <v>Execução 126</v>
      </c>
      <c r="B130" s="42"/>
      <c r="C130" s="43" t="str">
        <f>IF(IFERROR(INDEX(Consulta!$A:$DF,MATCH('MM01'!$B130,Consulta!$C:$C,0),'MM01'!C$2),"")=0,"",IFERROR(INDEX(Consulta!$A:$DF,MATCH('MM01'!$B130,Consulta!$C:$C,0),'MM01'!C$2),""))</f>
        <v/>
      </c>
      <c r="D130" s="43" t="str">
        <f>IF(IFERROR(INDEX(Consulta!$A:$DF,MATCH('MM01'!$B130,Consulta!$C:$C,0),'MM01'!D$2),"")=0,"",IFERROR(INDEX(Consulta!$A:$DF,MATCH('MM01'!$B130,Consulta!$C:$C,0),'MM01'!D$2),""))</f>
        <v/>
      </c>
      <c r="E130" s="43" t="str">
        <f>IF(IFERROR(INDEX(Consulta!$A:$DF,MATCH('MM01'!$B130,Consulta!$C:$C,0),'MM01'!E$2),"")=0,"",IFERROR(INDEX(Consulta!$A:$DF,MATCH('MM01'!$B130,Consulta!$C:$C,0),'MM01'!E$2),""))</f>
        <v/>
      </c>
      <c r="F130" s="44" t="s">
        <v>100</v>
      </c>
      <c r="G130" s="49" t="str">
        <f>IF(IFERROR(INDEX(Consulta!$A:$DF,MATCH('MM01'!$B130,Consulta!$C:$C,0),'MM01'!G$2),"")=0,"",IFERROR(INDEX(Consulta!$A:$DF,MATCH('MM01'!$B130,Consulta!$C:$C,0),'MM01'!G$2),""))</f>
        <v/>
      </c>
      <c r="H130" s="49" t="str">
        <f>IF(IFERROR(INDEX(Consulta!$A:$DF,MATCH('MM01'!$B130,Consulta!$C:$C,0),'MM01'!H$2),"")=0,"",IFERROR(INDEX(Consulta!$A:$DF,MATCH('MM01'!$B130,Consulta!$C:$C,0),'MM01'!H$2),""))</f>
        <v/>
      </c>
      <c r="I130" s="49" t="str">
        <f t="shared" si="81"/>
        <v/>
      </c>
      <c r="J130" s="49" t="str">
        <f>IF(IFERROR(INDEX(Consulta!$A:$DF,MATCH('MM01'!$B130,Consulta!$C:$C,0),'MM01'!J$2),"")=0,"",IFERROR(INDEX(Consulta!$A:$DF,MATCH('MM01'!$B130,Consulta!$C:$C,0),'MM01'!J$2),""))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IF(IFERROR(INDEX(Consulta!$A:$DF,MATCH('MM01'!$B130,Consulta!$C:$C,0),'MM01'!AP$2),"")=0,"",IFERROR(INDEX(Consulta!$A:$DF,MATCH('MM01'!$B130,Consulta!$C:$C,0),'MM01'!AP$2),""))</f>
        <v/>
      </c>
      <c r="AQ130" s="45"/>
      <c r="AR130" s="43" t="str">
        <f>IF(IFERROR(INDEX(Consulta!$A:$DF,MATCH('MM01'!$B130,Consulta!$C:$C,0),'MM01'!AR$2),"")=0,"",IFERROR(INDEX(Consulta!$A:$DF,MATCH('MM01'!$B130,Consulta!$C:$C,0),'MM01'!AR$2),""))</f>
        <v/>
      </c>
      <c r="AS130" s="43" t="str">
        <f>IF(IFERROR(INDEX(Consulta!$A:$DF,MATCH('MM01'!$B130,Consulta!$C:$C,0),'MM01'!AS$2),"")=0,"",IF(AR130="68",5102,IFERROR(INDEX(Consulta!$A:$DF,MATCH('MM01'!$B130,Consulta!$C:$C,0),'MM01'!AS$2),"")))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IF(IFERROR(INDEX(Consulta!$A:$DF,MATCH('MM01'!$B130,Consulta!$C:$C,0),'MM01'!AW$2),"")=0,"",IFERROR(ROUND(INDEX(Consulta!$A:$DF,MATCH('MM01'!$B130,Consulta!$C:$C,0),'MM01'!AW$2),3),""))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IF(IFERROR(INDEX(Consulta!$A:$DF,MATCH('MM01'!$B130,Consulta!$C:$C,0),'MM01'!BA$2),"")=0,"",IFERROR(INDEX(Consulta!$A:$DF,MATCH('MM01'!$B130,Consulta!$C:$C,0),'MM01'!BA$2),""))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IF(IFERROR(INDEX(Consulta!$A:$DF,MATCH('MM01'!$B130,Consulta!$C:$C,0),'MM01'!BL$2),"")=0,"",IFERROR(INDEX(Consulta!$A:$DF,MATCH('MM01'!$B130,Consulta!$C:$C,0),'MM01'!BL$2),""))</f>
        <v/>
      </c>
      <c r="BM130" s="45"/>
      <c r="BN130" s="46" t="str">
        <f t="shared" ca="1" si="93"/>
        <v/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IF(IFERROR(INDEX(Consulta!$A:$DF,MATCH('MM01'!$B130,Consulta!$C:$C,0),'MM01'!BX$2),"")=0,"",IFERROR(INDEX(Consulta!$A:$DF,MATCH('MM01'!$B130,Consulta!$C:$C,0),'MM01'!BX$2),""))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IF(IFERROR(INDEX(Consulta!$A:$DF,MATCH('MM01'!$B130,Consulta!$C:$C,0),'MM01'!CT$2),"")=0,"",IFERROR(INDEX(Consulta!$A:$DF,MATCH('MM01'!$B130,Consulta!$C:$C,0),'MM01'!CT$2),""))</f>
        <v/>
      </c>
      <c r="CU130" s="43" t="str">
        <f>IF(IFERROR(INDEX(Consulta!$A:$DF,MATCH('MM01'!$B130,Consulta!$C:$C,0),'MM01'!CU$2),"")=0,"",IFERROR(INDEX(Consulta!$A:$DF,MATCH('MM01'!$B130,Consulta!$C:$C,0),'MM01'!CU$2),""))</f>
        <v/>
      </c>
      <c r="CV130" s="43" t="str">
        <f>IF(IFERROR(INDEX(Consulta!$A:$DF,MATCH('MM01'!$B130,Consulta!$C:$C,0),'MM01'!CV$2),"")=0,"",IFERROR(INDEX(Consulta!$A:$DF,MATCH('MM01'!$B130,Consulta!$C:$C,0),'MM01'!CV$2),""))</f>
        <v/>
      </c>
      <c r="CW130" s="43" t="str">
        <f>IF(IFERROR(INDEX(Consulta!$A:$DF,MATCH('MM01'!$B130,Consulta!$C:$C,0),'MM01'!CW$2),"")=0,"",IFERROR(INDEX(Consulta!$A:$DF,MATCH('MM01'!$B130,Consulta!$C:$C,0),'MM01'!CW$2),""))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IF(IFERROR(INDEX(Consulta!$A:$DF,MATCH('MM01'!$B130,Consulta!$C:$C,0),'MM01'!DA$2),"")=0,"",IFERROR(INDEX(Consulta!$A:$DF,MATCH('MM01'!$B130,Consulta!$C:$C,0),'MM01'!DA$2),""))</f>
        <v/>
      </c>
      <c r="DB130" s="43" t="str">
        <f t="shared" si="102"/>
        <v/>
      </c>
      <c r="DC130" s="43" t="str">
        <f>IF(IFERROR(INDEX(Consulta!$A:$DF,MATCH('MM01'!$B130,Consulta!$C:$C,0),'MM01'!DC$2),"")=0,"",IFERROR(INDEX(Consulta!$A:$DF,MATCH('MM01'!$B130,Consulta!$C:$C,0),'MM01'!DC$2),""))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5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5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5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5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IF(IFERROR(INDEX(Consulta!$A:$DF,MATCH('MM01'!$B130,Consulta!$C:$C,0),'MM01'!EB$2),"")=0,"7925",IF(IFERROR(INDEX(Consulta!$A:$DF,MATCH('MM01'!$B130,Consulta!$C:$C,0),'MM01'!EB$2),"")="68","7910","7925"))</f>
        <v>7925</v>
      </c>
      <c r="EC130" s="44">
        <v>100</v>
      </c>
      <c r="ED130" s="60">
        <v>1</v>
      </c>
      <c r="EE130" s="43">
        <f t="shared" si="118"/>
        <v>100</v>
      </c>
      <c r="EF130" s="44">
        <v>1</v>
      </c>
      <c r="EG130" s="44">
        <v>0</v>
      </c>
      <c r="EH130" s="44" t="s">
        <v>867</v>
      </c>
      <c r="EI130" s="45">
        <v>0</v>
      </c>
      <c r="EJ130" s="43">
        <f t="shared" si="119"/>
        <v>5000</v>
      </c>
      <c r="EK130" s="65"/>
    </row>
    <row r="131" spans="1:141" x14ac:dyDescent="0.3">
      <c r="A131" s="7" t="str">
        <f t="shared" si="80"/>
        <v>Execução 127</v>
      </c>
      <c r="B131" s="42"/>
      <c r="C131" s="43" t="str">
        <f>IF(IFERROR(INDEX(Consulta!$A:$DF,MATCH('MM01'!$B131,Consulta!$C:$C,0),'MM01'!C$2),"")=0,"",IFERROR(INDEX(Consulta!$A:$DF,MATCH('MM01'!$B131,Consulta!$C:$C,0),'MM01'!C$2),""))</f>
        <v/>
      </c>
      <c r="D131" s="43" t="str">
        <f>IF(IFERROR(INDEX(Consulta!$A:$DF,MATCH('MM01'!$B131,Consulta!$C:$C,0),'MM01'!D$2),"")=0,"",IFERROR(INDEX(Consulta!$A:$DF,MATCH('MM01'!$B131,Consulta!$C:$C,0),'MM01'!D$2),""))</f>
        <v/>
      </c>
      <c r="E131" s="43" t="str">
        <f>IF(IFERROR(INDEX(Consulta!$A:$DF,MATCH('MM01'!$B131,Consulta!$C:$C,0),'MM01'!E$2),"")=0,"",IFERROR(INDEX(Consulta!$A:$DF,MATCH('MM01'!$B131,Consulta!$C:$C,0),'MM01'!E$2),""))</f>
        <v/>
      </c>
      <c r="F131" s="44" t="s">
        <v>100</v>
      </c>
      <c r="G131" s="49" t="str">
        <f>IF(IFERROR(INDEX(Consulta!$A:$DF,MATCH('MM01'!$B131,Consulta!$C:$C,0),'MM01'!G$2),"")=0,"",IFERROR(INDEX(Consulta!$A:$DF,MATCH('MM01'!$B131,Consulta!$C:$C,0),'MM01'!G$2),""))</f>
        <v/>
      </c>
      <c r="H131" s="49" t="str">
        <f>IF(IFERROR(INDEX(Consulta!$A:$DF,MATCH('MM01'!$B131,Consulta!$C:$C,0),'MM01'!H$2),"")=0,"",IFERROR(INDEX(Consulta!$A:$DF,MATCH('MM01'!$B131,Consulta!$C:$C,0),'MM01'!H$2),""))</f>
        <v/>
      </c>
      <c r="I131" s="49" t="str">
        <f t="shared" si="81"/>
        <v/>
      </c>
      <c r="J131" s="49" t="str">
        <f>IF(IFERROR(INDEX(Consulta!$A:$DF,MATCH('MM01'!$B131,Consulta!$C:$C,0),'MM01'!J$2),"")=0,"",IFERROR(INDEX(Consulta!$A:$DF,MATCH('MM01'!$B131,Consulta!$C:$C,0),'MM01'!J$2),""))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IF(IFERROR(INDEX(Consulta!$A:$DF,MATCH('MM01'!$B131,Consulta!$C:$C,0),'MM01'!AP$2),"")=0,"",IFERROR(INDEX(Consulta!$A:$DF,MATCH('MM01'!$B131,Consulta!$C:$C,0),'MM01'!AP$2),""))</f>
        <v/>
      </c>
      <c r="AQ131" s="45"/>
      <c r="AR131" s="43" t="str">
        <f>IF(IFERROR(INDEX(Consulta!$A:$DF,MATCH('MM01'!$B131,Consulta!$C:$C,0),'MM01'!AR$2),"")=0,"",IFERROR(INDEX(Consulta!$A:$DF,MATCH('MM01'!$B131,Consulta!$C:$C,0),'MM01'!AR$2),""))</f>
        <v/>
      </c>
      <c r="AS131" s="43" t="str">
        <f>IF(IFERROR(INDEX(Consulta!$A:$DF,MATCH('MM01'!$B131,Consulta!$C:$C,0),'MM01'!AS$2),"")=0,"",IF(AR131="68",5102,IFERROR(INDEX(Consulta!$A:$DF,MATCH('MM01'!$B131,Consulta!$C:$C,0),'MM01'!AS$2),"")))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IF(IFERROR(INDEX(Consulta!$A:$DF,MATCH('MM01'!$B131,Consulta!$C:$C,0),'MM01'!AW$2),"")=0,"",IFERROR(ROUND(INDEX(Consulta!$A:$DF,MATCH('MM01'!$B131,Consulta!$C:$C,0),'MM01'!AW$2),3),""))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IF(IFERROR(INDEX(Consulta!$A:$DF,MATCH('MM01'!$B131,Consulta!$C:$C,0),'MM01'!BA$2),"")=0,"",IFERROR(INDEX(Consulta!$A:$DF,MATCH('MM01'!$B131,Consulta!$C:$C,0),'MM01'!BA$2),""))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IF(IFERROR(INDEX(Consulta!$A:$DF,MATCH('MM01'!$B131,Consulta!$C:$C,0),'MM01'!BL$2),"")=0,"",IFERROR(INDEX(Consulta!$A:$DF,MATCH('MM01'!$B131,Consulta!$C:$C,0),'MM01'!BL$2),""))</f>
        <v/>
      </c>
      <c r="BM131" s="45"/>
      <c r="BN131" s="46" t="str">
        <f t="shared" ca="1" si="93"/>
        <v/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IF(IFERROR(INDEX(Consulta!$A:$DF,MATCH('MM01'!$B131,Consulta!$C:$C,0),'MM01'!BX$2),"")=0,"",IFERROR(INDEX(Consulta!$A:$DF,MATCH('MM01'!$B131,Consulta!$C:$C,0),'MM01'!BX$2),""))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IF(IFERROR(INDEX(Consulta!$A:$DF,MATCH('MM01'!$B131,Consulta!$C:$C,0),'MM01'!CT$2),"")=0,"",IFERROR(INDEX(Consulta!$A:$DF,MATCH('MM01'!$B131,Consulta!$C:$C,0),'MM01'!CT$2),""))</f>
        <v/>
      </c>
      <c r="CU131" s="43" t="str">
        <f>IF(IFERROR(INDEX(Consulta!$A:$DF,MATCH('MM01'!$B131,Consulta!$C:$C,0),'MM01'!CU$2),"")=0,"",IFERROR(INDEX(Consulta!$A:$DF,MATCH('MM01'!$B131,Consulta!$C:$C,0),'MM01'!CU$2),""))</f>
        <v/>
      </c>
      <c r="CV131" s="43" t="str">
        <f>IF(IFERROR(INDEX(Consulta!$A:$DF,MATCH('MM01'!$B131,Consulta!$C:$C,0),'MM01'!CV$2),"")=0,"",IFERROR(INDEX(Consulta!$A:$DF,MATCH('MM01'!$B131,Consulta!$C:$C,0),'MM01'!CV$2),""))</f>
        <v/>
      </c>
      <c r="CW131" s="43" t="str">
        <f>IF(IFERROR(INDEX(Consulta!$A:$DF,MATCH('MM01'!$B131,Consulta!$C:$C,0),'MM01'!CW$2),"")=0,"",IFERROR(INDEX(Consulta!$A:$DF,MATCH('MM01'!$B131,Consulta!$C:$C,0),'MM01'!CW$2),""))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IF(IFERROR(INDEX(Consulta!$A:$DF,MATCH('MM01'!$B131,Consulta!$C:$C,0),'MM01'!DA$2),"")=0,"",IFERROR(INDEX(Consulta!$A:$DF,MATCH('MM01'!$B131,Consulta!$C:$C,0),'MM01'!DA$2),""))</f>
        <v/>
      </c>
      <c r="DB131" s="43" t="str">
        <f t="shared" si="102"/>
        <v/>
      </c>
      <c r="DC131" s="43" t="str">
        <f>IF(IFERROR(INDEX(Consulta!$A:$DF,MATCH('MM01'!$B131,Consulta!$C:$C,0),'MM01'!DC$2),"")=0,"",IFERROR(INDEX(Consulta!$A:$DF,MATCH('MM01'!$B131,Consulta!$C:$C,0),'MM01'!DC$2),""))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5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5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5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5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IF(IFERROR(INDEX(Consulta!$A:$DF,MATCH('MM01'!$B131,Consulta!$C:$C,0),'MM01'!EB$2),"")=0,"7925",IF(IFERROR(INDEX(Consulta!$A:$DF,MATCH('MM01'!$B131,Consulta!$C:$C,0),'MM01'!EB$2),"")="68","7910","7925"))</f>
        <v>7925</v>
      </c>
      <c r="EC131" s="44">
        <v>100</v>
      </c>
      <c r="ED131" s="60">
        <v>1</v>
      </c>
      <c r="EE131" s="43">
        <f t="shared" si="118"/>
        <v>100</v>
      </c>
      <c r="EF131" s="44">
        <v>1</v>
      </c>
      <c r="EG131" s="44">
        <v>0</v>
      </c>
      <c r="EH131" s="44" t="s">
        <v>867</v>
      </c>
      <c r="EI131" s="45">
        <v>0</v>
      </c>
      <c r="EJ131" s="43">
        <f t="shared" si="119"/>
        <v>5000</v>
      </c>
      <c r="EK131" s="65"/>
    </row>
    <row r="132" spans="1:141" x14ac:dyDescent="0.3">
      <c r="A132" s="7" t="str">
        <f t="shared" si="80"/>
        <v>Execução 128</v>
      </c>
      <c r="B132" s="42"/>
      <c r="C132" s="43" t="str">
        <f>IF(IFERROR(INDEX(Consulta!$A:$DF,MATCH('MM01'!$B132,Consulta!$C:$C,0),'MM01'!C$2),"")=0,"",IFERROR(INDEX(Consulta!$A:$DF,MATCH('MM01'!$B132,Consulta!$C:$C,0),'MM01'!C$2),""))</f>
        <v/>
      </c>
      <c r="D132" s="43" t="str">
        <f>IF(IFERROR(INDEX(Consulta!$A:$DF,MATCH('MM01'!$B132,Consulta!$C:$C,0),'MM01'!D$2),"")=0,"",IFERROR(INDEX(Consulta!$A:$DF,MATCH('MM01'!$B132,Consulta!$C:$C,0),'MM01'!D$2),""))</f>
        <v/>
      </c>
      <c r="E132" s="43" t="str">
        <f>IF(IFERROR(INDEX(Consulta!$A:$DF,MATCH('MM01'!$B132,Consulta!$C:$C,0),'MM01'!E$2),"")=0,"",IFERROR(INDEX(Consulta!$A:$DF,MATCH('MM01'!$B132,Consulta!$C:$C,0),'MM01'!E$2),""))</f>
        <v/>
      </c>
      <c r="F132" s="44" t="s">
        <v>100</v>
      </c>
      <c r="G132" s="49" t="str">
        <f>IF(IFERROR(INDEX(Consulta!$A:$DF,MATCH('MM01'!$B132,Consulta!$C:$C,0),'MM01'!G$2),"")=0,"",IFERROR(INDEX(Consulta!$A:$DF,MATCH('MM01'!$B132,Consulta!$C:$C,0),'MM01'!G$2),""))</f>
        <v/>
      </c>
      <c r="H132" s="49" t="str">
        <f>IF(IFERROR(INDEX(Consulta!$A:$DF,MATCH('MM01'!$B132,Consulta!$C:$C,0),'MM01'!H$2),"")=0,"",IFERROR(INDEX(Consulta!$A:$DF,MATCH('MM01'!$B132,Consulta!$C:$C,0),'MM01'!H$2),""))</f>
        <v/>
      </c>
      <c r="I132" s="49" t="str">
        <f t="shared" si="81"/>
        <v/>
      </c>
      <c r="J132" s="49" t="str">
        <f>IF(IFERROR(INDEX(Consulta!$A:$DF,MATCH('MM01'!$B132,Consulta!$C:$C,0),'MM01'!J$2),"")=0,"",IFERROR(INDEX(Consulta!$A:$DF,MATCH('MM01'!$B132,Consulta!$C:$C,0),'MM01'!J$2),""))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IF(IFERROR(INDEX(Consulta!$A:$DF,MATCH('MM01'!$B132,Consulta!$C:$C,0),'MM01'!AP$2),"")=0,"",IFERROR(INDEX(Consulta!$A:$DF,MATCH('MM01'!$B132,Consulta!$C:$C,0),'MM01'!AP$2),""))</f>
        <v/>
      </c>
      <c r="AQ132" s="45"/>
      <c r="AR132" s="43" t="str">
        <f>IF(IFERROR(INDEX(Consulta!$A:$DF,MATCH('MM01'!$B132,Consulta!$C:$C,0),'MM01'!AR$2),"")=0,"",IFERROR(INDEX(Consulta!$A:$DF,MATCH('MM01'!$B132,Consulta!$C:$C,0),'MM01'!AR$2),""))</f>
        <v/>
      </c>
      <c r="AS132" s="43" t="str">
        <f>IF(IFERROR(INDEX(Consulta!$A:$DF,MATCH('MM01'!$B132,Consulta!$C:$C,0),'MM01'!AS$2),"")=0,"",IF(AR132="68",5102,IFERROR(INDEX(Consulta!$A:$DF,MATCH('MM01'!$B132,Consulta!$C:$C,0),'MM01'!AS$2),"")))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IF(IFERROR(INDEX(Consulta!$A:$DF,MATCH('MM01'!$B132,Consulta!$C:$C,0),'MM01'!AW$2),"")=0,"",IFERROR(ROUND(INDEX(Consulta!$A:$DF,MATCH('MM01'!$B132,Consulta!$C:$C,0),'MM01'!AW$2),3),""))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IF(IFERROR(INDEX(Consulta!$A:$DF,MATCH('MM01'!$B132,Consulta!$C:$C,0),'MM01'!BA$2),"")=0,"",IFERROR(INDEX(Consulta!$A:$DF,MATCH('MM01'!$B132,Consulta!$C:$C,0),'MM01'!BA$2),""))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IF(IFERROR(INDEX(Consulta!$A:$DF,MATCH('MM01'!$B132,Consulta!$C:$C,0),'MM01'!BL$2),"")=0,"",IFERROR(INDEX(Consulta!$A:$DF,MATCH('MM01'!$B132,Consulta!$C:$C,0),'MM01'!BL$2),""))</f>
        <v/>
      </c>
      <c r="BM132" s="45"/>
      <c r="BN132" s="46" t="str">
        <f t="shared" ca="1" si="93"/>
        <v/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IF(IFERROR(INDEX(Consulta!$A:$DF,MATCH('MM01'!$B132,Consulta!$C:$C,0),'MM01'!BX$2),"")=0,"",IFERROR(INDEX(Consulta!$A:$DF,MATCH('MM01'!$B132,Consulta!$C:$C,0),'MM01'!BX$2),""))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IF(IFERROR(INDEX(Consulta!$A:$DF,MATCH('MM01'!$B132,Consulta!$C:$C,0),'MM01'!CT$2),"")=0,"",IFERROR(INDEX(Consulta!$A:$DF,MATCH('MM01'!$B132,Consulta!$C:$C,0),'MM01'!CT$2),""))</f>
        <v/>
      </c>
      <c r="CU132" s="43" t="str">
        <f>IF(IFERROR(INDEX(Consulta!$A:$DF,MATCH('MM01'!$B132,Consulta!$C:$C,0),'MM01'!CU$2),"")=0,"",IFERROR(INDEX(Consulta!$A:$DF,MATCH('MM01'!$B132,Consulta!$C:$C,0),'MM01'!CU$2),""))</f>
        <v/>
      </c>
      <c r="CV132" s="43" t="str">
        <f>IF(IFERROR(INDEX(Consulta!$A:$DF,MATCH('MM01'!$B132,Consulta!$C:$C,0),'MM01'!CV$2),"")=0,"",IFERROR(INDEX(Consulta!$A:$DF,MATCH('MM01'!$B132,Consulta!$C:$C,0),'MM01'!CV$2),""))</f>
        <v/>
      </c>
      <c r="CW132" s="43" t="str">
        <f>IF(IFERROR(INDEX(Consulta!$A:$DF,MATCH('MM01'!$B132,Consulta!$C:$C,0),'MM01'!CW$2),"")=0,"",IFERROR(INDEX(Consulta!$A:$DF,MATCH('MM01'!$B132,Consulta!$C:$C,0),'MM01'!CW$2),""))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IF(IFERROR(INDEX(Consulta!$A:$DF,MATCH('MM01'!$B132,Consulta!$C:$C,0),'MM01'!DA$2),"")=0,"",IFERROR(INDEX(Consulta!$A:$DF,MATCH('MM01'!$B132,Consulta!$C:$C,0),'MM01'!DA$2),""))</f>
        <v/>
      </c>
      <c r="DB132" s="43" t="str">
        <f t="shared" si="102"/>
        <v/>
      </c>
      <c r="DC132" s="43" t="str">
        <f>IF(IFERROR(INDEX(Consulta!$A:$DF,MATCH('MM01'!$B132,Consulta!$C:$C,0),'MM01'!DC$2),"")=0,"",IFERROR(INDEX(Consulta!$A:$DF,MATCH('MM01'!$B132,Consulta!$C:$C,0),'MM01'!DC$2),""))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5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5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5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5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IF(IFERROR(INDEX(Consulta!$A:$DF,MATCH('MM01'!$B132,Consulta!$C:$C,0),'MM01'!EB$2),"")=0,"7925",IF(IFERROR(INDEX(Consulta!$A:$DF,MATCH('MM01'!$B132,Consulta!$C:$C,0),'MM01'!EB$2),"")="68","7910","7925"))</f>
        <v>7925</v>
      </c>
      <c r="EC132" s="44">
        <v>100</v>
      </c>
      <c r="ED132" s="60">
        <v>1</v>
      </c>
      <c r="EE132" s="43">
        <f t="shared" si="118"/>
        <v>100</v>
      </c>
      <c r="EF132" s="44">
        <v>1</v>
      </c>
      <c r="EG132" s="44">
        <v>0</v>
      </c>
      <c r="EH132" s="44" t="s">
        <v>867</v>
      </c>
      <c r="EI132" s="45">
        <v>0</v>
      </c>
      <c r="EJ132" s="43">
        <f t="shared" si="119"/>
        <v>5000</v>
      </c>
      <c r="EK132" s="65"/>
    </row>
    <row r="133" spans="1:141" x14ac:dyDescent="0.3">
      <c r="A133" s="7" t="str">
        <f t="shared" si="80"/>
        <v>Execução 129</v>
      </c>
      <c r="B133" s="42"/>
      <c r="C133" s="43" t="str">
        <f>IF(IFERROR(INDEX(Consulta!$A:$DF,MATCH('MM01'!$B133,Consulta!$C:$C,0),'MM01'!C$2),"")=0,"",IFERROR(INDEX(Consulta!$A:$DF,MATCH('MM01'!$B133,Consulta!$C:$C,0),'MM01'!C$2),""))</f>
        <v/>
      </c>
      <c r="D133" s="43" t="str">
        <f>IF(IFERROR(INDEX(Consulta!$A:$DF,MATCH('MM01'!$B133,Consulta!$C:$C,0),'MM01'!D$2),"")=0,"",IFERROR(INDEX(Consulta!$A:$DF,MATCH('MM01'!$B133,Consulta!$C:$C,0),'MM01'!D$2),""))</f>
        <v/>
      </c>
      <c r="E133" s="43" t="str">
        <f>IF(IFERROR(INDEX(Consulta!$A:$DF,MATCH('MM01'!$B133,Consulta!$C:$C,0),'MM01'!E$2),"")=0,"",IFERROR(INDEX(Consulta!$A:$DF,MATCH('MM01'!$B133,Consulta!$C:$C,0),'MM01'!E$2),""))</f>
        <v/>
      </c>
      <c r="F133" s="44" t="s">
        <v>100</v>
      </c>
      <c r="G133" s="49" t="str">
        <f>IF(IFERROR(INDEX(Consulta!$A:$DF,MATCH('MM01'!$B133,Consulta!$C:$C,0),'MM01'!G$2),"")=0,"",IFERROR(INDEX(Consulta!$A:$DF,MATCH('MM01'!$B133,Consulta!$C:$C,0),'MM01'!G$2),""))</f>
        <v/>
      </c>
      <c r="H133" s="49" t="str">
        <f>IF(IFERROR(INDEX(Consulta!$A:$DF,MATCH('MM01'!$B133,Consulta!$C:$C,0),'MM01'!H$2),"")=0,"",IFERROR(INDEX(Consulta!$A:$DF,MATCH('MM01'!$B133,Consulta!$C:$C,0),'MM01'!H$2),""))</f>
        <v/>
      </c>
      <c r="I133" s="49" t="str">
        <f t="shared" si="81"/>
        <v/>
      </c>
      <c r="J133" s="49" t="str">
        <f>IF(IFERROR(INDEX(Consulta!$A:$DF,MATCH('MM01'!$B133,Consulta!$C:$C,0),'MM01'!J$2),"")=0,"",IFERROR(INDEX(Consulta!$A:$DF,MATCH('MM01'!$B133,Consulta!$C:$C,0),'MM01'!J$2),""))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IF(IFERROR(INDEX(Consulta!$A:$DF,MATCH('MM01'!$B133,Consulta!$C:$C,0),'MM01'!AP$2),"")=0,"",IFERROR(INDEX(Consulta!$A:$DF,MATCH('MM01'!$B133,Consulta!$C:$C,0),'MM01'!AP$2),""))</f>
        <v/>
      </c>
      <c r="AQ133" s="45"/>
      <c r="AR133" s="43" t="str">
        <f>IF(IFERROR(INDEX(Consulta!$A:$DF,MATCH('MM01'!$B133,Consulta!$C:$C,0),'MM01'!AR$2),"")=0,"",IFERROR(INDEX(Consulta!$A:$DF,MATCH('MM01'!$B133,Consulta!$C:$C,0),'MM01'!AR$2),""))</f>
        <v/>
      </c>
      <c r="AS133" s="43" t="str">
        <f>IF(IFERROR(INDEX(Consulta!$A:$DF,MATCH('MM01'!$B133,Consulta!$C:$C,0),'MM01'!AS$2),"")=0,"",IF(AR133="68",5102,IFERROR(INDEX(Consulta!$A:$DF,MATCH('MM01'!$B133,Consulta!$C:$C,0),'MM01'!AS$2),"")))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IF(IFERROR(INDEX(Consulta!$A:$DF,MATCH('MM01'!$B133,Consulta!$C:$C,0),'MM01'!AW$2),"")=0,"",IFERROR(ROUND(INDEX(Consulta!$A:$DF,MATCH('MM01'!$B133,Consulta!$C:$C,0),'MM01'!AW$2),3),""))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IF(IFERROR(INDEX(Consulta!$A:$DF,MATCH('MM01'!$B133,Consulta!$C:$C,0),'MM01'!BA$2),"")=0,"",IFERROR(INDEX(Consulta!$A:$DF,MATCH('MM01'!$B133,Consulta!$C:$C,0),'MM01'!BA$2),""))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IF(IFERROR(INDEX(Consulta!$A:$DF,MATCH('MM01'!$B133,Consulta!$C:$C,0),'MM01'!BL$2),"")=0,"",IFERROR(INDEX(Consulta!$A:$DF,MATCH('MM01'!$B133,Consulta!$C:$C,0),'MM01'!BL$2),""))</f>
        <v/>
      </c>
      <c r="BM133" s="45"/>
      <c r="BN133" s="46" t="str">
        <f t="shared" ca="1" si="93"/>
        <v/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IF(IFERROR(INDEX(Consulta!$A:$DF,MATCH('MM01'!$B133,Consulta!$C:$C,0),'MM01'!BX$2),"")=0,"",IFERROR(INDEX(Consulta!$A:$DF,MATCH('MM01'!$B133,Consulta!$C:$C,0),'MM01'!BX$2),""))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IF(IFERROR(INDEX(Consulta!$A:$DF,MATCH('MM01'!$B133,Consulta!$C:$C,0),'MM01'!CT$2),"")=0,"",IFERROR(INDEX(Consulta!$A:$DF,MATCH('MM01'!$B133,Consulta!$C:$C,0),'MM01'!CT$2),""))</f>
        <v/>
      </c>
      <c r="CU133" s="43" t="str">
        <f>IF(IFERROR(INDEX(Consulta!$A:$DF,MATCH('MM01'!$B133,Consulta!$C:$C,0),'MM01'!CU$2),"")=0,"",IFERROR(INDEX(Consulta!$A:$DF,MATCH('MM01'!$B133,Consulta!$C:$C,0),'MM01'!CU$2),""))</f>
        <v/>
      </c>
      <c r="CV133" s="43" t="str">
        <f>IF(IFERROR(INDEX(Consulta!$A:$DF,MATCH('MM01'!$B133,Consulta!$C:$C,0),'MM01'!CV$2),"")=0,"",IFERROR(INDEX(Consulta!$A:$DF,MATCH('MM01'!$B133,Consulta!$C:$C,0),'MM01'!CV$2),""))</f>
        <v/>
      </c>
      <c r="CW133" s="43" t="str">
        <f>IF(IFERROR(INDEX(Consulta!$A:$DF,MATCH('MM01'!$B133,Consulta!$C:$C,0),'MM01'!CW$2),"")=0,"",IFERROR(INDEX(Consulta!$A:$DF,MATCH('MM01'!$B133,Consulta!$C:$C,0),'MM01'!CW$2),""))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IF(IFERROR(INDEX(Consulta!$A:$DF,MATCH('MM01'!$B133,Consulta!$C:$C,0),'MM01'!DA$2),"")=0,"",IFERROR(INDEX(Consulta!$A:$DF,MATCH('MM01'!$B133,Consulta!$C:$C,0),'MM01'!DA$2),""))</f>
        <v/>
      </c>
      <c r="DB133" s="43" t="str">
        <f t="shared" si="102"/>
        <v/>
      </c>
      <c r="DC133" s="43" t="str">
        <f>IF(IFERROR(INDEX(Consulta!$A:$DF,MATCH('MM01'!$B133,Consulta!$C:$C,0),'MM01'!DC$2),"")=0,"",IFERROR(INDEX(Consulta!$A:$DF,MATCH('MM01'!$B133,Consulta!$C:$C,0),'MM01'!DC$2),""))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5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5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5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5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IF(IFERROR(INDEX(Consulta!$A:$DF,MATCH('MM01'!$B133,Consulta!$C:$C,0),'MM01'!EB$2),"")=0,"7925",IF(IFERROR(INDEX(Consulta!$A:$DF,MATCH('MM01'!$B133,Consulta!$C:$C,0),'MM01'!EB$2),"")="68","7910","7925"))</f>
        <v>7925</v>
      </c>
      <c r="EC133" s="44">
        <v>100</v>
      </c>
      <c r="ED133" s="60">
        <v>1</v>
      </c>
      <c r="EE133" s="43">
        <f t="shared" si="118"/>
        <v>100</v>
      </c>
      <c r="EF133" s="44">
        <v>1</v>
      </c>
      <c r="EG133" s="44">
        <v>0</v>
      </c>
      <c r="EH133" s="44" t="s">
        <v>867</v>
      </c>
      <c r="EI133" s="45">
        <v>0</v>
      </c>
      <c r="EJ133" s="43">
        <f t="shared" si="119"/>
        <v>5000</v>
      </c>
      <c r="EK133" s="65"/>
    </row>
    <row r="134" spans="1:141" x14ac:dyDescent="0.3">
      <c r="A134" s="7" t="str">
        <f t="shared" si="80"/>
        <v>Execução 130</v>
      </c>
      <c r="B134" s="42"/>
      <c r="C134" s="43" t="str">
        <f>IF(IFERROR(INDEX(Consulta!$A:$DF,MATCH('MM01'!$B134,Consulta!$C:$C,0),'MM01'!C$2),"")=0,"",IFERROR(INDEX(Consulta!$A:$DF,MATCH('MM01'!$B134,Consulta!$C:$C,0),'MM01'!C$2),""))</f>
        <v/>
      </c>
      <c r="D134" s="43" t="str">
        <f>IF(IFERROR(INDEX(Consulta!$A:$DF,MATCH('MM01'!$B134,Consulta!$C:$C,0),'MM01'!D$2),"")=0,"",IFERROR(INDEX(Consulta!$A:$DF,MATCH('MM01'!$B134,Consulta!$C:$C,0),'MM01'!D$2),""))</f>
        <v/>
      </c>
      <c r="E134" s="43" t="str">
        <f>IF(IFERROR(INDEX(Consulta!$A:$DF,MATCH('MM01'!$B134,Consulta!$C:$C,0),'MM01'!E$2),"")=0,"",IFERROR(INDEX(Consulta!$A:$DF,MATCH('MM01'!$B134,Consulta!$C:$C,0),'MM01'!E$2),""))</f>
        <v/>
      </c>
      <c r="F134" s="44" t="s">
        <v>100</v>
      </c>
      <c r="G134" s="49" t="str">
        <f>IF(IFERROR(INDEX(Consulta!$A:$DF,MATCH('MM01'!$B134,Consulta!$C:$C,0),'MM01'!G$2),"")=0,"",IFERROR(INDEX(Consulta!$A:$DF,MATCH('MM01'!$B134,Consulta!$C:$C,0),'MM01'!G$2),""))</f>
        <v/>
      </c>
      <c r="H134" s="49" t="str">
        <f>IF(IFERROR(INDEX(Consulta!$A:$DF,MATCH('MM01'!$B134,Consulta!$C:$C,0),'MM01'!H$2),"")=0,"",IFERROR(INDEX(Consulta!$A:$DF,MATCH('MM01'!$B134,Consulta!$C:$C,0),'MM01'!H$2),""))</f>
        <v/>
      </c>
      <c r="I134" s="49" t="str">
        <f t="shared" si="81"/>
        <v/>
      </c>
      <c r="J134" s="49" t="str">
        <f>IF(IFERROR(INDEX(Consulta!$A:$DF,MATCH('MM01'!$B134,Consulta!$C:$C,0),'MM01'!J$2),"")=0,"",IFERROR(INDEX(Consulta!$A:$DF,MATCH('MM01'!$B134,Consulta!$C:$C,0),'MM01'!J$2),""))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IF(IFERROR(INDEX(Consulta!$A:$DF,MATCH('MM01'!$B134,Consulta!$C:$C,0),'MM01'!AP$2),"")=0,"",IFERROR(INDEX(Consulta!$A:$DF,MATCH('MM01'!$B134,Consulta!$C:$C,0),'MM01'!AP$2),""))</f>
        <v/>
      </c>
      <c r="AQ134" s="45"/>
      <c r="AR134" s="43" t="str">
        <f>IF(IFERROR(INDEX(Consulta!$A:$DF,MATCH('MM01'!$B134,Consulta!$C:$C,0),'MM01'!AR$2),"")=0,"",IFERROR(INDEX(Consulta!$A:$DF,MATCH('MM01'!$B134,Consulta!$C:$C,0),'MM01'!AR$2),""))</f>
        <v/>
      </c>
      <c r="AS134" s="43" t="str">
        <f>IF(IFERROR(INDEX(Consulta!$A:$DF,MATCH('MM01'!$B134,Consulta!$C:$C,0),'MM01'!AS$2),"")=0,"",IF(AR134="68",5102,IFERROR(INDEX(Consulta!$A:$DF,MATCH('MM01'!$B134,Consulta!$C:$C,0),'MM01'!AS$2),"")))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IF(IFERROR(INDEX(Consulta!$A:$DF,MATCH('MM01'!$B134,Consulta!$C:$C,0),'MM01'!AW$2),"")=0,"",IFERROR(ROUND(INDEX(Consulta!$A:$DF,MATCH('MM01'!$B134,Consulta!$C:$C,0),'MM01'!AW$2),3),""))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IF(IFERROR(INDEX(Consulta!$A:$DF,MATCH('MM01'!$B134,Consulta!$C:$C,0),'MM01'!BA$2),"")=0,"",IFERROR(INDEX(Consulta!$A:$DF,MATCH('MM01'!$B134,Consulta!$C:$C,0),'MM01'!BA$2),""))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IF(IFERROR(INDEX(Consulta!$A:$DF,MATCH('MM01'!$B134,Consulta!$C:$C,0),'MM01'!BL$2),"")=0,"",IFERROR(INDEX(Consulta!$A:$DF,MATCH('MM01'!$B134,Consulta!$C:$C,0),'MM01'!BL$2),""))</f>
        <v/>
      </c>
      <c r="BM134" s="45"/>
      <c r="BN134" s="46" t="str">
        <f t="shared" ca="1" si="93"/>
        <v/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IF(IFERROR(INDEX(Consulta!$A:$DF,MATCH('MM01'!$B134,Consulta!$C:$C,0),'MM01'!BX$2),"")=0,"",IFERROR(INDEX(Consulta!$A:$DF,MATCH('MM01'!$B134,Consulta!$C:$C,0),'MM01'!BX$2),""))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IF(IFERROR(INDEX(Consulta!$A:$DF,MATCH('MM01'!$B134,Consulta!$C:$C,0),'MM01'!CT$2),"")=0,"",IFERROR(INDEX(Consulta!$A:$DF,MATCH('MM01'!$B134,Consulta!$C:$C,0),'MM01'!CT$2),""))</f>
        <v/>
      </c>
      <c r="CU134" s="43" t="str">
        <f>IF(IFERROR(INDEX(Consulta!$A:$DF,MATCH('MM01'!$B134,Consulta!$C:$C,0),'MM01'!CU$2),"")=0,"",IFERROR(INDEX(Consulta!$A:$DF,MATCH('MM01'!$B134,Consulta!$C:$C,0),'MM01'!CU$2),""))</f>
        <v/>
      </c>
      <c r="CV134" s="43" t="str">
        <f>IF(IFERROR(INDEX(Consulta!$A:$DF,MATCH('MM01'!$B134,Consulta!$C:$C,0),'MM01'!CV$2),"")=0,"",IFERROR(INDEX(Consulta!$A:$DF,MATCH('MM01'!$B134,Consulta!$C:$C,0),'MM01'!CV$2),""))</f>
        <v/>
      </c>
      <c r="CW134" s="43" t="str">
        <f>IF(IFERROR(INDEX(Consulta!$A:$DF,MATCH('MM01'!$B134,Consulta!$C:$C,0),'MM01'!CW$2),"")=0,"",IFERROR(INDEX(Consulta!$A:$DF,MATCH('MM01'!$B134,Consulta!$C:$C,0),'MM01'!CW$2),""))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IF(IFERROR(INDEX(Consulta!$A:$DF,MATCH('MM01'!$B134,Consulta!$C:$C,0),'MM01'!DA$2),"")=0,"",IFERROR(INDEX(Consulta!$A:$DF,MATCH('MM01'!$B134,Consulta!$C:$C,0),'MM01'!DA$2),""))</f>
        <v/>
      </c>
      <c r="DB134" s="43" t="str">
        <f t="shared" si="102"/>
        <v/>
      </c>
      <c r="DC134" s="43" t="str">
        <f>IF(IFERROR(INDEX(Consulta!$A:$DF,MATCH('MM01'!$B134,Consulta!$C:$C,0),'MM01'!DC$2),"")=0,"",IFERROR(INDEX(Consulta!$A:$DF,MATCH('MM01'!$B134,Consulta!$C:$C,0),'MM01'!DC$2),""))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5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5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5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5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IF(IFERROR(INDEX(Consulta!$A:$DF,MATCH('MM01'!$B134,Consulta!$C:$C,0),'MM01'!EB$2),"")=0,"7925",IF(IFERROR(INDEX(Consulta!$A:$DF,MATCH('MM01'!$B134,Consulta!$C:$C,0),'MM01'!EB$2),"")="68","7910","7925"))</f>
        <v>7925</v>
      </c>
      <c r="EC134" s="44">
        <v>100</v>
      </c>
      <c r="ED134" s="60">
        <v>1</v>
      </c>
      <c r="EE134" s="43">
        <f t="shared" si="118"/>
        <v>100</v>
      </c>
      <c r="EF134" s="44">
        <v>1</v>
      </c>
      <c r="EG134" s="44">
        <v>0</v>
      </c>
      <c r="EH134" s="44" t="s">
        <v>867</v>
      </c>
      <c r="EI134" s="45">
        <v>0</v>
      </c>
      <c r="EJ134" s="43">
        <f t="shared" si="119"/>
        <v>5000</v>
      </c>
      <c r="EK134" s="65"/>
    </row>
    <row r="135" spans="1:141" x14ac:dyDescent="0.3">
      <c r="A135" s="7" t="str">
        <f t="shared" si="80"/>
        <v>Execução 131</v>
      </c>
      <c r="B135" s="42"/>
      <c r="C135" s="43" t="str">
        <f>IF(IFERROR(INDEX(Consulta!$A:$DF,MATCH('MM01'!$B135,Consulta!$C:$C,0),'MM01'!C$2),"")=0,"",IFERROR(INDEX(Consulta!$A:$DF,MATCH('MM01'!$B135,Consulta!$C:$C,0),'MM01'!C$2),""))</f>
        <v/>
      </c>
      <c r="D135" s="43" t="str">
        <f>IF(IFERROR(INDEX(Consulta!$A:$DF,MATCH('MM01'!$B135,Consulta!$C:$C,0),'MM01'!D$2),"")=0,"",IFERROR(INDEX(Consulta!$A:$DF,MATCH('MM01'!$B135,Consulta!$C:$C,0),'MM01'!D$2),""))</f>
        <v/>
      </c>
      <c r="E135" s="43" t="str">
        <f>IF(IFERROR(INDEX(Consulta!$A:$DF,MATCH('MM01'!$B135,Consulta!$C:$C,0),'MM01'!E$2),"")=0,"",IFERROR(INDEX(Consulta!$A:$DF,MATCH('MM01'!$B135,Consulta!$C:$C,0),'MM01'!E$2),""))</f>
        <v/>
      </c>
      <c r="F135" s="44" t="s">
        <v>100</v>
      </c>
      <c r="G135" s="49" t="str">
        <f>IF(IFERROR(INDEX(Consulta!$A:$DF,MATCH('MM01'!$B135,Consulta!$C:$C,0),'MM01'!G$2),"")=0,"",IFERROR(INDEX(Consulta!$A:$DF,MATCH('MM01'!$B135,Consulta!$C:$C,0),'MM01'!G$2),""))</f>
        <v/>
      </c>
      <c r="H135" s="49" t="str">
        <f>IF(IFERROR(INDEX(Consulta!$A:$DF,MATCH('MM01'!$B135,Consulta!$C:$C,0),'MM01'!H$2),"")=0,"",IFERROR(INDEX(Consulta!$A:$DF,MATCH('MM01'!$B135,Consulta!$C:$C,0),'MM01'!H$2),""))</f>
        <v/>
      </c>
      <c r="I135" s="49" t="str">
        <f t="shared" si="81"/>
        <v/>
      </c>
      <c r="J135" s="49" t="str">
        <f>IF(IFERROR(INDEX(Consulta!$A:$DF,MATCH('MM01'!$B135,Consulta!$C:$C,0),'MM01'!J$2),"")=0,"",IFERROR(INDEX(Consulta!$A:$DF,MATCH('MM01'!$B135,Consulta!$C:$C,0),'MM01'!J$2),""))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IF(IFERROR(INDEX(Consulta!$A:$DF,MATCH('MM01'!$B135,Consulta!$C:$C,0),'MM01'!AP$2),"")=0,"",IFERROR(INDEX(Consulta!$A:$DF,MATCH('MM01'!$B135,Consulta!$C:$C,0),'MM01'!AP$2),""))</f>
        <v/>
      </c>
      <c r="AQ135" s="45"/>
      <c r="AR135" s="43" t="str">
        <f>IF(IFERROR(INDEX(Consulta!$A:$DF,MATCH('MM01'!$B135,Consulta!$C:$C,0),'MM01'!AR$2),"")=0,"",IFERROR(INDEX(Consulta!$A:$DF,MATCH('MM01'!$B135,Consulta!$C:$C,0),'MM01'!AR$2),""))</f>
        <v/>
      </c>
      <c r="AS135" s="43" t="str">
        <f>IF(IFERROR(INDEX(Consulta!$A:$DF,MATCH('MM01'!$B135,Consulta!$C:$C,0),'MM01'!AS$2),"")=0,"",IF(AR135="68",5102,IFERROR(INDEX(Consulta!$A:$DF,MATCH('MM01'!$B135,Consulta!$C:$C,0),'MM01'!AS$2),"")))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IF(IFERROR(INDEX(Consulta!$A:$DF,MATCH('MM01'!$B135,Consulta!$C:$C,0),'MM01'!AW$2),"")=0,"",IFERROR(ROUND(INDEX(Consulta!$A:$DF,MATCH('MM01'!$B135,Consulta!$C:$C,0),'MM01'!AW$2),3),""))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IF(IFERROR(INDEX(Consulta!$A:$DF,MATCH('MM01'!$B135,Consulta!$C:$C,0),'MM01'!BA$2),"")=0,"",IFERROR(INDEX(Consulta!$A:$DF,MATCH('MM01'!$B135,Consulta!$C:$C,0),'MM01'!BA$2),""))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IF(IFERROR(INDEX(Consulta!$A:$DF,MATCH('MM01'!$B135,Consulta!$C:$C,0),'MM01'!BL$2),"")=0,"",IFERROR(INDEX(Consulta!$A:$DF,MATCH('MM01'!$B135,Consulta!$C:$C,0),'MM01'!BL$2),""))</f>
        <v/>
      </c>
      <c r="BM135" s="45"/>
      <c r="BN135" s="46" t="str">
        <f t="shared" ca="1" si="93"/>
        <v/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IF(IFERROR(INDEX(Consulta!$A:$DF,MATCH('MM01'!$B135,Consulta!$C:$C,0),'MM01'!BX$2),"")=0,"",IFERROR(INDEX(Consulta!$A:$DF,MATCH('MM01'!$B135,Consulta!$C:$C,0),'MM01'!BX$2),""))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IF(IFERROR(INDEX(Consulta!$A:$DF,MATCH('MM01'!$B135,Consulta!$C:$C,0),'MM01'!CT$2),"")=0,"",IFERROR(INDEX(Consulta!$A:$DF,MATCH('MM01'!$B135,Consulta!$C:$C,0),'MM01'!CT$2),""))</f>
        <v/>
      </c>
      <c r="CU135" s="43" t="str">
        <f>IF(IFERROR(INDEX(Consulta!$A:$DF,MATCH('MM01'!$B135,Consulta!$C:$C,0),'MM01'!CU$2),"")=0,"",IFERROR(INDEX(Consulta!$A:$DF,MATCH('MM01'!$B135,Consulta!$C:$C,0),'MM01'!CU$2),""))</f>
        <v/>
      </c>
      <c r="CV135" s="43" t="str">
        <f>IF(IFERROR(INDEX(Consulta!$A:$DF,MATCH('MM01'!$B135,Consulta!$C:$C,0),'MM01'!CV$2),"")=0,"",IFERROR(INDEX(Consulta!$A:$DF,MATCH('MM01'!$B135,Consulta!$C:$C,0),'MM01'!CV$2),""))</f>
        <v/>
      </c>
      <c r="CW135" s="43" t="str">
        <f>IF(IFERROR(INDEX(Consulta!$A:$DF,MATCH('MM01'!$B135,Consulta!$C:$C,0),'MM01'!CW$2),"")=0,"",IFERROR(INDEX(Consulta!$A:$DF,MATCH('MM01'!$B135,Consulta!$C:$C,0),'MM01'!CW$2),""))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IF(IFERROR(INDEX(Consulta!$A:$DF,MATCH('MM01'!$B135,Consulta!$C:$C,0),'MM01'!DA$2),"")=0,"",IFERROR(INDEX(Consulta!$A:$DF,MATCH('MM01'!$B135,Consulta!$C:$C,0),'MM01'!DA$2),""))</f>
        <v/>
      </c>
      <c r="DB135" s="43" t="str">
        <f t="shared" si="102"/>
        <v/>
      </c>
      <c r="DC135" s="43" t="str">
        <f>IF(IFERROR(INDEX(Consulta!$A:$DF,MATCH('MM01'!$B135,Consulta!$C:$C,0),'MM01'!DC$2),"")=0,"",IFERROR(INDEX(Consulta!$A:$DF,MATCH('MM01'!$B135,Consulta!$C:$C,0),'MM01'!DC$2),""))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5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5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5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5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IF(IFERROR(INDEX(Consulta!$A:$DF,MATCH('MM01'!$B135,Consulta!$C:$C,0),'MM01'!EB$2),"")=0,"7925",IF(IFERROR(INDEX(Consulta!$A:$DF,MATCH('MM01'!$B135,Consulta!$C:$C,0),'MM01'!EB$2),"")="68","7910","7925"))</f>
        <v>7925</v>
      </c>
      <c r="EC135" s="44">
        <v>100</v>
      </c>
      <c r="ED135" s="60">
        <v>1</v>
      </c>
      <c r="EE135" s="43">
        <f t="shared" si="118"/>
        <v>100</v>
      </c>
      <c r="EF135" s="44">
        <v>1</v>
      </c>
      <c r="EG135" s="44">
        <v>0</v>
      </c>
      <c r="EH135" s="44" t="s">
        <v>867</v>
      </c>
      <c r="EI135" s="45">
        <v>0</v>
      </c>
      <c r="EJ135" s="43">
        <f t="shared" si="119"/>
        <v>5000</v>
      </c>
      <c r="EK135" s="65"/>
    </row>
    <row r="136" spans="1:141" x14ac:dyDescent="0.3">
      <c r="A136" s="7" t="str">
        <f t="shared" si="80"/>
        <v>Execução 132</v>
      </c>
      <c r="B136" s="42"/>
      <c r="C136" s="43" t="str">
        <f>IF(IFERROR(INDEX(Consulta!$A:$DF,MATCH('MM01'!$B136,Consulta!$C:$C,0),'MM01'!C$2),"")=0,"",IFERROR(INDEX(Consulta!$A:$DF,MATCH('MM01'!$B136,Consulta!$C:$C,0),'MM01'!C$2),""))</f>
        <v/>
      </c>
      <c r="D136" s="43" t="str">
        <f>IF(IFERROR(INDEX(Consulta!$A:$DF,MATCH('MM01'!$B136,Consulta!$C:$C,0),'MM01'!D$2),"")=0,"",IFERROR(INDEX(Consulta!$A:$DF,MATCH('MM01'!$B136,Consulta!$C:$C,0),'MM01'!D$2),""))</f>
        <v/>
      </c>
      <c r="E136" s="43" t="str">
        <f>IF(IFERROR(INDEX(Consulta!$A:$DF,MATCH('MM01'!$B136,Consulta!$C:$C,0),'MM01'!E$2),"")=0,"",IFERROR(INDEX(Consulta!$A:$DF,MATCH('MM01'!$B136,Consulta!$C:$C,0),'MM01'!E$2),""))</f>
        <v/>
      </c>
      <c r="F136" s="44" t="s">
        <v>100</v>
      </c>
      <c r="G136" s="49" t="str">
        <f>IF(IFERROR(INDEX(Consulta!$A:$DF,MATCH('MM01'!$B136,Consulta!$C:$C,0),'MM01'!G$2),"")=0,"",IFERROR(INDEX(Consulta!$A:$DF,MATCH('MM01'!$B136,Consulta!$C:$C,0),'MM01'!G$2),""))</f>
        <v/>
      </c>
      <c r="H136" s="49" t="str">
        <f>IF(IFERROR(INDEX(Consulta!$A:$DF,MATCH('MM01'!$B136,Consulta!$C:$C,0),'MM01'!H$2),"")=0,"",IFERROR(INDEX(Consulta!$A:$DF,MATCH('MM01'!$B136,Consulta!$C:$C,0),'MM01'!H$2),""))</f>
        <v/>
      </c>
      <c r="I136" s="49" t="str">
        <f t="shared" si="81"/>
        <v/>
      </c>
      <c r="J136" s="49" t="str">
        <f>IF(IFERROR(INDEX(Consulta!$A:$DF,MATCH('MM01'!$B136,Consulta!$C:$C,0),'MM01'!J$2),"")=0,"",IFERROR(INDEX(Consulta!$A:$DF,MATCH('MM01'!$B136,Consulta!$C:$C,0),'MM01'!J$2),""))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IF(IFERROR(INDEX(Consulta!$A:$DF,MATCH('MM01'!$B136,Consulta!$C:$C,0),'MM01'!AP$2),"")=0,"",IFERROR(INDEX(Consulta!$A:$DF,MATCH('MM01'!$B136,Consulta!$C:$C,0),'MM01'!AP$2),""))</f>
        <v/>
      </c>
      <c r="AQ136" s="45"/>
      <c r="AR136" s="43" t="str">
        <f>IF(IFERROR(INDEX(Consulta!$A:$DF,MATCH('MM01'!$B136,Consulta!$C:$C,0),'MM01'!AR$2),"")=0,"",IFERROR(INDEX(Consulta!$A:$DF,MATCH('MM01'!$B136,Consulta!$C:$C,0),'MM01'!AR$2),""))</f>
        <v/>
      </c>
      <c r="AS136" s="43" t="str">
        <f>IF(IFERROR(INDEX(Consulta!$A:$DF,MATCH('MM01'!$B136,Consulta!$C:$C,0),'MM01'!AS$2),"")=0,"",IF(AR136="68",5102,IFERROR(INDEX(Consulta!$A:$DF,MATCH('MM01'!$B136,Consulta!$C:$C,0),'MM01'!AS$2),"")))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IF(IFERROR(INDEX(Consulta!$A:$DF,MATCH('MM01'!$B136,Consulta!$C:$C,0),'MM01'!AW$2),"")=0,"",IFERROR(ROUND(INDEX(Consulta!$A:$DF,MATCH('MM01'!$B136,Consulta!$C:$C,0),'MM01'!AW$2),3),""))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IF(IFERROR(INDEX(Consulta!$A:$DF,MATCH('MM01'!$B136,Consulta!$C:$C,0),'MM01'!BA$2),"")=0,"",IFERROR(INDEX(Consulta!$A:$DF,MATCH('MM01'!$B136,Consulta!$C:$C,0),'MM01'!BA$2),""))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IF(IFERROR(INDEX(Consulta!$A:$DF,MATCH('MM01'!$B136,Consulta!$C:$C,0),'MM01'!BL$2),"")=0,"",IFERROR(INDEX(Consulta!$A:$DF,MATCH('MM01'!$B136,Consulta!$C:$C,0),'MM01'!BL$2),""))</f>
        <v/>
      </c>
      <c r="BM136" s="45"/>
      <c r="BN136" s="46" t="str">
        <f t="shared" ca="1" si="93"/>
        <v/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IF(IFERROR(INDEX(Consulta!$A:$DF,MATCH('MM01'!$B136,Consulta!$C:$C,0),'MM01'!BX$2),"")=0,"",IFERROR(INDEX(Consulta!$A:$DF,MATCH('MM01'!$B136,Consulta!$C:$C,0),'MM01'!BX$2),""))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IF(IFERROR(INDEX(Consulta!$A:$DF,MATCH('MM01'!$B136,Consulta!$C:$C,0),'MM01'!CT$2),"")=0,"",IFERROR(INDEX(Consulta!$A:$DF,MATCH('MM01'!$B136,Consulta!$C:$C,0),'MM01'!CT$2),""))</f>
        <v/>
      </c>
      <c r="CU136" s="43" t="str">
        <f>IF(IFERROR(INDEX(Consulta!$A:$DF,MATCH('MM01'!$B136,Consulta!$C:$C,0),'MM01'!CU$2),"")=0,"",IFERROR(INDEX(Consulta!$A:$DF,MATCH('MM01'!$B136,Consulta!$C:$C,0),'MM01'!CU$2),""))</f>
        <v/>
      </c>
      <c r="CV136" s="43" t="str">
        <f>IF(IFERROR(INDEX(Consulta!$A:$DF,MATCH('MM01'!$B136,Consulta!$C:$C,0),'MM01'!CV$2),"")=0,"",IFERROR(INDEX(Consulta!$A:$DF,MATCH('MM01'!$B136,Consulta!$C:$C,0),'MM01'!CV$2),""))</f>
        <v/>
      </c>
      <c r="CW136" s="43" t="str">
        <f>IF(IFERROR(INDEX(Consulta!$A:$DF,MATCH('MM01'!$B136,Consulta!$C:$C,0),'MM01'!CW$2),"")=0,"",IFERROR(INDEX(Consulta!$A:$DF,MATCH('MM01'!$B136,Consulta!$C:$C,0),'MM01'!CW$2),""))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IF(IFERROR(INDEX(Consulta!$A:$DF,MATCH('MM01'!$B136,Consulta!$C:$C,0),'MM01'!DA$2),"")=0,"",IFERROR(INDEX(Consulta!$A:$DF,MATCH('MM01'!$B136,Consulta!$C:$C,0),'MM01'!DA$2),""))</f>
        <v/>
      </c>
      <c r="DB136" s="43" t="str">
        <f t="shared" si="102"/>
        <v/>
      </c>
      <c r="DC136" s="43" t="str">
        <f>IF(IFERROR(INDEX(Consulta!$A:$DF,MATCH('MM01'!$B136,Consulta!$C:$C,0),'MM01'!DC$2),"")=0,"",IFERROR(INDEX(Consulta!$A:$DF,MATCH('MM01'!$B136,Consulta!$C:$C,0),'MM01'!DC$2),""))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5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5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5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5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IF(IFERROR(INDEX(Consulta!$A:$DF,MATCH('MM01'!$B136,Consulta!$C:$C,0),'MM01'!EB$2),"")=0,"7925",IF(IFERROR(INDEX(Consulta!$A:$DF,MATCH('MM01'!$B136,Consulta!$C:$C,0),'MM01'!EB$2),"")="68","7910","7925"))</f>
        <v>7925</v>
      </c>
      <c r="EC136" s="44">
        <v>100</v>
      </c>
      <c r="ED136" s="60">
        <v>1</v>
      </c>
      <c r="EE136" s="43">
        <f t="shared" si="118"/>
        <v>100</v>
      </c>
      <c r="EF136" s="44">
        <v>1</v>
      </c>
      <c r="EG136" s="44">
        <v>0</v>
      </c>
      <c r="EH136" s="44" t="s">
        <v>867</v>
      </c>
      <c r="EI136" s="45">
        <v>0</v>
      </c>
      <c r="EJ136" s="43">
        <f t="shared" si="119"/>
        <v>5000</v>
      </c>
      <c r="EK136" s="65"/>
    </row>
    <row r="137" spans="1:141" x14ac:dyDescent="0.3">
      <c r="A137" s="7" t="str">
        <f t="shared" si="80"/>
        <v>Execução 133</v>
      </c>
      <c r="B137" s="42"/>
      <c r="C137" s="43" t="str">
        <f>IF(IFERROR(INDEX(Consulta!$A:$DF,MATCH('MM01'!$B137,Consulta!$C:$C,0),'MM01'!C$2),"")=0,"",IFERROR(INDEX(Consulta!$A:$DF,MATCH('MM01'!$B137,Consulta!$C:$C,0),'MM01'!C$2),""))</f>
        <v/>
      </c>
      <c r="D137" s="43" t="str">
        <f>IF(IFERROR(INDEX(Consulta!$A:$DF,MATCH('MM01'!$B137,Consulta!$C:$C,0),'MM01'!D$2),"")=0,"",IFERROR(INDEX(Consulta!$A:$DF,MATCH('MM01'!$B137,Consulta!$C:$C,0),'MM01'!D$2),""))</f>
        <v/>
      </c>
      <c r="E137" s="43" t="str">
        <f>IF(IFERROR(INDEX(Consulta!$A:$DF,MATCH('MM01'!$B137,Consulta!$C:$C,0),'MM01'!E$2),"")=0,"",IFERROR(INDEX(Consulta!$A:$DF,MATCH('MM01'!$B137,Consulta!$C:$C,0),'MM01'!E$2),""))</f>
        <v/>
      </c>
      <c r="F137" s="44" t="s">
        <v>100</v>
      </c>
      <c r="G137" s="49" t="str">
        <f>IF(IFERROR(INDEX(Consulta!$A:$DF,MATCH('MM01'!$B137,Consulta!$C:$C,0),'MM01'!G$2),"")=0,"",IFERROR(INDEX(Consulta!$A:$DF,MATCH('MM01'!$B137,Consulta!$C:$C,0),'MM01'!G$2),""))</f>
        <v/>
      </c>
      <c r="H137" s="49" t="str">
        <f>IF(IFERROR(INDEX(Consulta!$A:$DF,MATCH('MM01'!$B137,Consulta!$C:$C,0),'MM01'!H$2),"")=0,"",IFERROR(INDEX(Consulta!$A:$DF,MATCH('MM01'!$B137,Consulta!$C:$C,0),'MM01'!H$2),""))</f>
        <v/>
      </c>
      <c r="I137" s="49" t="str">
        <f t="shared" si="81"/>
        <v/>
      </c>
      <c r="J137" s="49" t="str">
        <f>IF(IFERROR(INDEX(Consulta!$A:$DF,MATCH('MM01'!$B137,Consulta!$C:$C,0),'MM01'!J$2),"")=0,"",IFERROR(INDEX(Consulta!$A:$DF,MATCH('MM01'!$B137,Consulta!$C:$C,0),'MM01'!J$2),""))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IF(IFERROR(INDEX(Consulta!$A:$DF,MATCH('MM01'!$B137,Consulta!$C:$C,0),'MM01'!AP$2),"")=0,"",IFERROR(INDEX(Consulta!$A:$DF,MATCH('MM01'!$B137,Consulta!$C:$C,0),'MM01'!AP$2),""))</f>
        <v/>
      </c>
      <c r="AQ137" s="45"/>
      <c r="AR137" s="43" t="str">
        <f>IF(IFERROR(INDEX(Consulta!$A:$DF,MATCH('MM01'!$B137,Consulta!$C:$C,0),'MM01'!AR$2),"")=0,"",IFERROR(INDEX(Consulta!$A:$DF,MATCH('MM01'!$B137,Consulta!$C:$C,0),'MM01'!AR$2),""))</f>
        <v/>
      </c>
      <c r="AS137" s="43" t="str">
        <f>IF(IFERROR(INDEX(Consulta!$A:$DF,MATCH('MM01'!$B137,Consulta!$C:$C,0),'MM01'!AS$2),"")=0,"",IF(AR137="68",5102,IFERROR(INDEX(Consulta!$A:$DF,MATCH('MM01'!$B137,Consulta!$C:$C,0),'MM01'!AS$2),"")))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IF(IFERROR(INDEX(Consulta!$A:$DF,MATCH('MM01'!$B137,Consulta!$C:$C,0),'MM01'!AW$2),"")=0,"",IFERROR(ROUND(INDEX(Consulta!$A:$DF,MATCH('MM01'!$B137,Consulta!$C:$C,0),'MM01'!AW$2),3),""))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IF(IFERROR(INDEX(Consulta!$A:$DF,MATCH('MM01'!$B137,Consulta!$C:$C,0),'MM01'!BA$2),"")=0,"",IFERROR(INDEX(Consulta!$A:$DF,MATCH('MM01'!$B137,Consulta!$C:$C,0),'MM01'!BA$2),""))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IF(IFERROR(INDEX(Consulta!$A:$DF,MATCH('MM01'!$B137,Consulta!$C:$C,0),'MM01'!BL$2),"")=0,"",IFERROR(INDEX(Consulta!$A:$DF,MATCH('MM01'!$B137,Consulta!$C:$C,0),'MM01'!BL$2),""))</f>
        <v/>
      </c>
      <c r="BM137" s="45"/>
      <c r="BN137" s="46" t="str">
        <f t="shared" ca="1" si="93"/>
        <v/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IF(IFERROR(INDEX(Consulta!$A:$DF,MATCH('MM01'!$B137,Consulta!$C:$C,0),'MM01'!BX$2),"")=0,"",IFERROR(INDEX(Consulta!$A:$DF,MATCH('MM01'!$B137,Consulta!$C:$C,0),'MM01'!BX$2),""))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IF(IFERROR(INDEX(Consulta!$A:$DF,MATCH('MM01'!$B137,Consulta!$C:$C,0),'MM01'!CT$2),"")=0,"",IFERROR(INDEX(Consulta!$A:$DF,MATCH('MM01'!$B137,Consulta!$C:$C,0),'MM01'!CT$2),""))</f>
        <v/>
      </c>
      <c r="CU137" s="43" t="str">
        <f>IF(IFERROR(INDEX(Consulta!$A:$DF,MATCH('MM01'!$B137,Consulta!$C:$C,0),'MM01'!CU$2),"")=0,"",IFERROR(INDEX(Consulta!$A:$DF,MATCH('MM01'!$B137,Consulta!$C:$C,0),'MM01'!CU$2),""))</f>
        <v/>
      </c>
      <c r="CV137" s="43" t="str">
        <f>IF(IFERROR(INDEX(Consulta!$A:$DF,MATCH('MM01'!$B137,Consulta!$C:$C,0),'MM01'!CV$2),"")=0,"",IFERROR(INDEX(Consulta!$A:$DF,MATCH('MM01'!$B137,Consulta!$C:$C,0),'MM01'!CV$2),""))</f>
        <v/>
      </c>
      <c r="CW137" s="43" t="str">
        <f>IF(IFERROR(INDEX(Consulta!$A:$DF,MATCH('MM01'!$B137,Consulta!$C:$C,0),'MM01'!CW$2),"")=0,"",IFERROR(INDEX(Consulta!$A:$DF,MATCH('MM01'!$B137,Consulta!$C:$C,0),'MM01'!CW$2),""))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IF(IFERROR(INDEX(Consulta!$A:$DF,MATCH('MM01'!$B137,Consulta!$C:$C,0),'MM01'!DA$2),"")=0,"",IFERROR(INDEX(Consulta!$A:$DF,MATCH('MM01'!$B137,Consulta!$C:$C,0),'MM01'!DA$2),""))</f>
        <v/>
      </c>
      <c r="DB137" s="43" t="str">
        <f t="shared" si="102"/>
        <v/>
      </c>
      <c r="DC137" s="43" t="str">
        <f>IF(IFERROR(INDEX(Consulta!$A:$DF,MATCH('MM01'!$B137,Consulta!$C:$C,0),'MM01'!DC$2),"")=0,"",IFERROR(INDEX(Consulta!$A:$DF,MATCH('MM01'!$B137,Consulta!$C:$C,0),'MM01'!DC$2),""))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5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5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5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5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IF(IFERROR(INDEX(Consulta!$A:$DF,MATCH('MM01'!$B137,Consulta!$C:$C,0),'MM01'!EB$2),"")=0,"7925",IF(IFERROR(INDEX(Consulta!$A:$DF,MATCH('MM01'!$B137,Consulta!$C:$C,0),'MM01'!EB$2),"")="68","7910","7925"))</f>
        <v>7925</v>
      </c>
      <c r="EC137" s="44">
        <v>100</v>
      </c>
      <c r="ED137" s="60">
        <v>1</v>
      </c>
      <c r="EE137" s="43">
        <f t="shared" si="118"/>
        <v>100</v>
      </c>
      <c r="EF137" s="44">
        <v>1</v>
      </c>
      <c r="EG137" s="44">
        <v>0</v>
      </c>
      <c r="EH137" s="44" t="s">
        <v>867</v>
      </c>
      <c r="EI137" s="45">
        <v>0</v>
      </c>
      <c r="EJ137" s="43">
        <f t="shared" si="119"/>
        <v>5000</v>
      </c>
      <c r="EK137" s="65"/>
    </row>
    <row r="138" spans="1:141" x14ac:dyDescent="0.3">
      <c r="A138" s="7" t="str">
        <f t="shared" si="80"/>
        <v>Execução 134</v>
      </c>
      <c r="B138" s="42"/>
      <c r="C138" s="43" t="str">
        <f>IF(IFERROR(INDEX(Consulta!$A:$DF,MATCH('MM01'!$B138,Consulta!$C:$C,0),'MM01'!C$2),"")=0,"",IFERROR(INDEX(Consulta!$A:$DF,MATCH('MM01'!$B138,Consulta!$C:$C,0),'MM01'!C$2),""))</f>
        <v/>
      </c>
      <c r="D138" s="43" t="str">
        <f>IF(IFERROR(INDEX(Consulta!$A:$DF,MATCH('MM01'!$B138,Consulta!$C:$C,0),'MM01'!D$2),"")=0,"",IFERROR(INDEX(Consulta!$A:$DF,MATCH('MM01'!$B138,Consulta!$C:$C,0),'MM01'!D$2),""))</f>
        <v/>
      </c>
      <c r="E138" s="43" t="str">
        <f>IF(IFERROR(INDEX(Consulta!$A:$DF,MATCH('MM01'!$B138,Consulta!$C:$C,0),'MM01'!E$2),"")=0,"",IFERROR(INDEX(Consulta!$A:$DF,MATCH('MM01'!$B138,Consulta!$C:$C,0),'MM01'!E$2),""))</f>
        <v/>
      </c>
      <c r="F138" s="44" t="s">
        <v>100</v>
      </c>
      <c r="G138" s="49" t="str">
        <f>IF(IFERROR(INDEX(Consulta!$A:$DF,MATCH('MM01'!$B138,Consulta!$C:$C,0),'MM01'!G$2),"")=0,"",IFERROR(INDEX(Consulta!$A:$DF,MATCH('MM01'!$B138,Consulta!$C:$C,0),'MM01'!G$2),""))</f>
        <v/>
      </c>
      <c r="H138" s="49" t="str">
        <f>IF(IFERROR(INDEX(Consulta!$A:$DF,MATCH('MM01'!$B138,Consulta!$C:$C,0),'MM01'!H$2),"")=0,"",IFERROR(INDEX(Consulta!$A:$DF,MATCH('MM01'!$B138,Consulta!$C:$C,0),'MM01'!H$2),""))</f>
        <v/>
      </c>
      <c r="I138" s="49" t="str">
        <f t="shared" si="81"/>
        <v/>
      </c>
      <c r="J138" s="49" t="str">
        <f>IF(IFERROR(INDEX(Consulta!$A:$DF,MATCH('MM01'!$B138,Consulta!$C:$C,0),'MM01'!J$2),"")=0,"",IFERROR(INDEX(Consulta!$A:$DF,MATCH('MM01'!$B138,Consulta!$C:$C,0),'MM01'!J$2),""))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IF(IFERROR(INDEX(Consulta!$A:$DF,MATCH('MM01'!$B138,Consulta!$C:$C,0),'MM01'!AP$2),"")=0,"",IFERROR(INDEX(Consulta!$A:$DF,MATCH('MM01'!$B138,Consulta!$C:$C,0),'MM01'!AP$2),""))</f>
        <v/>
      </c>
      <c r="AQ138" s="45"/>
      <c r="AR138" s="43" t="str">
        <f>IF(IFERROR(INDEX(Consulta!$A:$DF,MATCH('MM01'!$B138,Consulta!$C:$C,0),'MM01'!AR$2),"")=0,"",IFERROR(INDEX(Consulta!$A:$DF,MATCH('MM01'!$B138,Consulta!$C:$C,0),'MM01'!AR$2),""))</f>
        <v/>
      </c>
      <c r="AS138" s="43" t="str">
        <f>IF(IFERROR(INDEX(Consulta!$A:$DF,MATCH('MM01'!$B138,Consulta!$C:$C,0),'MM01'!AS$2),"")=0,"",IF(AR138="68",5102,IFERROR(INDEX(Consulta!$A:$DF,MATCH('MM01'!$B138,Consulta!$C:$C,0),'MM01'!AS$2),"")))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IF(IFERROR(INDEX(Consulta!$A:$DF,MATCH('MM01'!$B138,Consulta!$C:$C,0),'MM01'!AW$2),"")=0,"",IFERROR(ROUND(INDEX(Consulta!$A:$DF,MATCH('MM01'!$B138,Consulta!$C:$C,0),'MM01'!AW$2),3),""))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IF(IFERROR(INDEX(Consulta!$A:$DF,MATCH('MM01'!$B138,Consulta!$C:$C,0),'MM01'!BA$2),"")=0,"",IFERROR(INDEX(Consulta!$A:$DF,MATCH('MM01'!$B138,Consulta!$C:$C,0),'MM01'!BA$2),""))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IF(IFERROR(INDEX(Consulta!$A:$DF,MATCH('MM01'!$B138,Consulta!$C:$C,0),'MM01'!BL$2),"")=0,"",IFERROR(INDEX(Consulta!$A:$DF,MATCH('MM01'!$B138,Consulta!$C:$C,0),'MM01'!BL$2),""))</f>
        <v/>
      </c>
      <c r="BM138" s="45"/>
      <c r="BN138" s="46" t="str">
        <f t="shared" ca="1" si="93"/>
        <v/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IF(IFERROR(INDEX(Consulta!$A:$DF,MATCH('MM01'!$B138,Consulta!$C:$C,0),'MM01'!BX$2),"")=0,"",IFERROR(INDEX(Consulta!$A:$DF,MATCH('MM01'!$B138,Consulta!$C:$C,0),'MM01'!BX$2),""))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IF(IFERROR(INDEX(Consulta!$A:$DF,MATCH('MM01'!$B138,Consulta!$C:$C,0),'MM01'!CT$2),"")=0,"",IFERROR(INDEX(Consulta!$A:$DF,MATCH('MM01'!$B138,Consulta!$C:$C,0),'MM01'!CT$2),""))</f>
        <v/>
      </c>
      <c r="CU138" s="43" t="str">
        <f>IF(IFERROR(INDEX(Consulta!$A:$DF,MATCH('MM01'!$B138,Consulta!$C:$C,0),'MM01'!CU$2),"")=0,"",IFERROR(INDEX(Consulta!$A:$DF,MATCH('MM01'!$B138,Consulta!$C:$C,0),'MM01'!CU$2),""))</f>
        <v/>
      </c>
      <c r="CV138" s="43" t="str">
        <f>IF(IFERROR(INDEX(Consulta!$A:$DF,MATCH('MM01'!$B138,Consulta!$C:$C,0),'MM01'!CV$2),"")=0,"",IFERROR(INDEX(Consulta!$A:$DF,MATCH('MM01'!$B138,Consulta!$C:$C,0),'MM01'!CV$2),""))</f>
        <v/>
      </c>
      <c r="CW138" s="43" t="str">
        <f>IF(IFERROR(INDEX(Consulta!$A:$DF,MATCH('MM01'!$B138,Consulta!$C:$C,0),'MM01'!CW$2),"")=0,"",IFERROR(INDEX(Consulta!$A:$DF,MATCH('MM01'!$B138,Consulta!$C:$C,0),'MM01'!CW$2),""))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IF(IFERROR(INDEX(Consulta!$A:$DF,MATCH('MM01'!$B138,Consulta!$C:$C,0),'MM01'!DA$2),"")=0,"",IFERROR(INDEX(Consulta!$A:$DF,MATCH('MM01'!$B138,Consulta!$C:$C,0),'MM01'!DA$2),""))</f>
        <v/>
      </c>
      <c r="DB138" s="43" t="str">
        <f t="shared" si="102"/>
        <v/>
      </c>
      <c r="DC138" s="43" t="str">
        <f>IF(IFERROR(INDEX(Consulta!$A:$DF,MATCH('MM01'!$B138,Consulta!$C:$C,0),'MM01'!DC$2),"")=0,"",IFERROR(INDEX(Consulta!$A:$DF,MATCH('MM01'!$B138,Consulta!$C:$C,0),'MM01'!DC$2),""))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5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5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5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5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IF(IFERROR(INDEX(Consulta!$A:$DF,MATCH('MM01'!$B138,Consulta!$C:$C,0),'MM01'!EB$2),"")=0,"7925",IF(IFERROR(INDEX(Consulta!$A:$DF,MATCH('MM01'!$B138,Consulta!$C:$C,0),'MM01'!EB$2),"")="68","7910","7925"))</f>
        <v>7925</v>
      </c>
      <c r="EC138" s="44">
        <v>100</v>
      </c>
      <c r="ED138" s="60">
        <v>1</v>
      </c>
      <c r="EE138" s="43">
        <f t="shared" si="118"/>
        <v>100</v>
      </c>
      <c r="EF138" s="44">
        <v>1</v>
      </c>
      <c r="EG138" s="44">
        <v>0</v>
      </c>
      <c r="EH138" s="44" t="s">
        <v>867</v>
      </c>
      <c r="EI138" s="45">
        <v>0</v>
      </c>
      <c r="EJ138" s="43">
        <f t="shared" si="119"/>
        <v>5000</v>
      </c>
      <c r="EK138" s="65"/>
    </row>
    <row r="139" spans="1:141" x14ac:dyDescent="0.3">
      <c r="A139" s="7" t="str">
        <f t="shared" si="80"/>
        <v>Execução 135</v>
      </c>
      <c r="B139" s="42"/>
      <c r="C139" s="43" t="str">
        <f>IF(IFERROR(INDEX(Consulta!$A:$DF,MATCH('MM01'!$B139,Consulta!$C:$C,0),'MM01'!C$2),"")=0,"",IFERROR(INDEX(Consulta!$A:$DF,MATCH('MM01'!$B139,Consulta!$C:$C,0),'MM01'!C$2),""))</f>
        <v/>
      </c>
      <c r="D139" s="43" t="str">
        <f>IF(IFERROR(INDEX(Consulta!$A:$DF,MATCH('MM01'!$B139,Consulta!$C:$C,0),'MM01'!D$2),"")=0,"",IFERROR(INDEX(Consulta!$A:$DF,MATCH('MM01'!$B139,Consulta!$C:$C,0),'MM01'!D$2),""))</f>
        <v/>
      </c>
      <c r="E139" s="43" t="str">
        <f>IF(IFERROR(INDEX(Consulta!$A:$DF,MATCH('MM01'!$B139,Consulta!$C:$C,0),'MM01'!E$2),"")=0,"",IFERROR(INDEX(Consulta!$A:$DF,MATCH('MM01'!$B139,Consulta!$C:$C,0),'MM01'!E$2),""))</f>
        <v/>
      </c>
      <c r="F139" s="44" t="s">
        <v>100</v>
      </c>
      <c r="G139" s="49" t="str">
        <f>IF(IFERROR(INDEX(Consulta!$A:$DF,MATCH('MM01'!$B139,Consulta!$C:$C,0),'MM01'!G$2),"")=0,"",IFERROR(INDEX(Consulta!$A:$DF,MATCH('MM01'!$B139,Consulta!$C:$C,0),'MM01'!G$2),""))</f>
        <v/>
      </c>
      <c r="H139" s="49" t="str">
        <f>IF(IFERROR(INDEX(Consulta!$A:$DF,MATCH('MM01'!$B139,Consulta!$C:$C,0),'MM01'!H$2),"")=0,"",IFERROR(INDEX(Consulta!$A:$DF,MATCH('MM01'!$B139,Consulta!$C:$C,0),'MM01'!H$2),""))</f>
        <v/>
      </c>
      <c r="I139" s="49" t="str">
        <f t="shared" si="81"/>
        <v/>
      </c>
      <c r="J139" s="49" t="str">
        <f>IF(IFERROR(INDEX(Consulta!$A:$DF,MATCH('MM01'!$B139,Consulta!$C:$C,0),'MM01'!J$2),"")=0,"",IFERROR(INDEX(Consulta!$A:$DF,MATCH('MM01'!$B139,Consulta!$C:$C,0),'MM01'!J$2),""))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IF(IFERROR(INDEX(Consulta!$A:$DF,MATCH('MM01'!$B139,Consulta!$C:$C,0),'MM01'!AP$2),"")=0,"",IFERROR(INDEX(Consulta!$A:$DF,MATCH('MM01'!$B139,Consulta!$C:$C,0),'MM01'!AP$2),""))</f>
        <v/>
      </c>
      <c r="AQ139" s="45"/>
      <c r="AR139" s="43" t="str">
        <f>IF(IFERROR(INDEX(Consulta!$A:$DF,MATCH('MM01'!$B139,Consulta!$C:$C,0),'MM01'!AR$2),"")=0,"",IFERROR(INDEX(Consulta!$A:$DF,MATCH('MM01'!$B139,Consulta!$C:$C,0),'MM01'!AR$2),""))</f>
        <v/>
      </c>
      <c r="AS139" s="43" t="str">
        <f>IF(IFERROR(INDEX(Consulta!$A:$DF,MATCH('MM01'!$B139,Consulta!$C:$C,0),'MM01'!AS$2),"")=0,"",IF(AR139="68",5102,IFERROR(INDEX(Consulta!$A:$DF,MATCH('MM01'!$B139,Consulta!$C:$C,0),'MM01'!AS$2),"")))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IF(IFERROR(INDEX(Consulta!$A:$DF,MATCH('MM01'!$B139,Consulta!$C:$C,0),'MM01'!AW$2),"")=0,"",IFERROR(ROUND(INDEX(Consulta!$A:$DF,MATCH('MM01'!$B139,Consulta!$C:$C,0),'MM01'!AW$2),3),""))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IF(IFERROR(INDEX(Consulta!$A:$DF,MATCH('MM01'!$B139,Consulta!$C:$C,0),'MM01'!BA$2),"")=0,"",IFERROR(INDEX(Consulta!$A:$DF,MATCH('MM01'!$B139,Consulta!$C:$C,0),'MM01'!BA$2),""))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IF(IFERROR(INDEX(Consulta!$A:$DF,MATCH('MM01'!$B139,Consulta!$C:$C,0),'MM01'!BL$2),"")=0,"",IFERROR(INDEX(Consulta!$A:$DF,MATCH('MM01'!$B139,Consulta!$C:$C,0),'MM01'!BL$2),""))</f>
        <v/>
      </c>
      <c r="BM139" s="45"/>
      <c r="BN139" s="46" t="str">
        <f t="shared" ca="1" si="93"/>
        <v/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IF(IFERROR(INDEX(Consulta!$A:$DF,MATCH('MM01'!$B139,Consulta!$C:$C,0),'MM01'!BX$2),"")=0,"",IFERROR(INDEX(Consulta!$A:$DF,MATCH('MM01'!$B139,Consulta!$C:$C,0),'MM01'!BX$2),""))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IF(IFERROR(INDEX(Consulta!$A:$DF,MATCH('MM01'!$B139,Consulta!$C:$C,0),'MM01'!CT$2),"")=0,"",IFERROR(INDEX(Consulta!$A:$DF,MATCH('MM01'!$B139,Consulta!$C:$C,0),'MM01'!CT$2),""))</f>
        <v/>
      </c>
      <c r="CU139" s="43" t="str">
        <f>IF(IFERROR(INDEX(Consulta!$A:$DF,MATCH('MM01'!$B139,Consulta!$C:$C,0),'MM01'!CU$2),"")=0,"",IFERROR(INDEX(Consulta!$A:$DF,MATCH('MM01'!$B139,Consulta!$C:$C,0),'MM01'!CU$2),""))</f>
        <v/>
      </c>
      <c r="CV139" s="43" t="str">
        <f>IF(IFERROR(INDEX(Consulta!$A:$DF,MATCH('MM01'!$B139,Consulta!$C:$C,0),'MM01'!CV$2),"")=0,"",IFERROR(INDEX(Consulta!$A:$DF,MATCH('MM01'!$B139,Consulta!$C:$C,0),'MM01'!CV$2),""))</f>
        <v/>
      </c>
      <c r="CW139" s="43" t="str">
        <f>IF(IFERROR(INDEX(Consulta!$A:$DF,MATCH('MM01'!$B139,Consulta!$C:$C,0),'MM01'!CW$2),"")=0,"",IFERROR(INDEX(Consulta!$A:$DF,MATCH('MM01'!$B139,Consulta!$C:$C,0),'MM01'!CW$2),""))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IF(IFERROR(INDEX(Consulta!$A:$DF,MATCH('MM01'!$B139,Consulta!$C:$C,0),'MM01'!DA$2),"")=0,"",IFERROR(INDEX(Consulta!$A:$DF,MATCH('MM01'!$B139,Consulta!$C:$C,0),'MM01'!DA$2),""))</f>
        <v/>
      </c>
      <c r="DB139" s="43" t="str">
        <f t="shared" si="102"/>
        <v/>
      </c>
      <c r="DC139" s="43" t="str">
        <f>IF(IFERROR(INDEX(Consulta!$A:$DF,MATCH('MM01'!$B139,Consulta!$C:$C,0),'MM01'!DC$2),"")=0,"",IFERROR(INDEX(Consulta!$A:$DF,MATCH('MM01'!$B139,Consulta!$C:$C,0),'MM01'!DC$2),""))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5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5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5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5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IF(IFERROR(INDEX(Consulta!$A:$DF,MATCH('MM01'!$B139,Consulta!$C:$C,0),'MM01'!EB$2),"")=0,"7925",IF(IFERROR(INDEX(Consulta!$A:$DF,MATCH('MM01'!$B139,Consulta!$C:$C,0),'MM01'!EB$2),"")="68","7910","7925"))</f>
        <v>7925</v>
      </c>
      <c r="EC139" s="44">
        <v>100</v>
      </c>
      <c r="ED139" s="60">
        <v>1</v>
      </c>
      <c r="EE139" s="43">
        <f t="shared" si="118"/>
        <v>100</v>
      </c>
      <c r="EF139" s="44">
        <v>1</v>
      </c>
      <c r="EG139" s="44">
        <v>0</v>
      </c>
      <c r="EH139" s="44" t="s">
        <v>867</v>
      </c>
      <c r="EI139" s="45">
        <v>0</v>
      </c>
      <c r="EJ139" s="43">
        <f t="shared" si="119"/>
        <v>5000</v>
      </c>
      <c r="EK139" s="65"/>
    </row>
    <row r="140" spans="1:141" x14ac:dyDescent="0.3">
      <c r="A140" s="7" t="str">
        <f t="shared" si="80"/>
        <v>Execução 136</v>
      </c>
      <c r="B140" s="42"/>
      <c r="C140" s="43" t="str">
        <f>IF(IFERROR(INDEX(Consulta!$A:$DF,MATCH('MM01'!$B140,Consulta!$C:$C,0),'MM01'!C$2),"")=0,"",IFERROR(INDEX(Consulta!$A:$DF,MATCH('MM01'!$B140,Consulta!$C:$C,0),'MM01'!C$2),""))</f>
        <v/>
      </c>
      <c r="D140" s="43" t="str">
        <f>IF(IFERROR(INDEX(Consulta!$A:$DF,MATCH('MM01'!$B140,Consulta!$C:$C,0),'MM01'!D$2),"")=0,"",IFERROR(INDEX(Consulta!$A:$DF,MATCH('MM01'!$B140,Consulta!$C:$C,0),'MM01'!D$2),""))</f>
        <v/>
      </c>
      <c r="E140" s="43" t="str">
        <f>IF(IFERROR(INDEX(Consulta!$A:$DF,MATCH('MM01'!$B140,Consulta!$C:$C,0),'MM01'!E$2),"")=0,"",IFERROR(INDEX(Consulta!$A:$DF,MATCH('MM01'!$B140,Consulta!$C:$C,0),'MM01'!E$2),""))</f>
        <v/>
      </c>
      <c r="F140" s="44" t="s">
        <v>100</v>
      </c>
      <c r="G140" s="49" t="str">
        <f>IF(IFERROR(INDEX(Consulta!$A:$DF,MATCH('MM01'!$B140,Consulta!$C:$C,0),'MM01'!G$2),"")=0,"",IFERROR(INDEX(Consulta!$A:$DF,MATCH('MM01'!$B140,Consulta!$C:$C,0),'MM01'!G$2),""))</f>
        <v/>
      </c>
      <c r="H140" s="49" t="str">
        <f>IF(IFERROR(INDEX(Consulta!$A:$DF,MATCH('MM01'!$B140,Consulta!$C:$C,0),'MM01'!H$2),"")=0,"",IFERROR(INDEX(Consulta!$A:$DF,MATCH('MM01'!$B140,Consulta!$C:$C,0),'MM01'!H$2),""))</f>
        <v/>
      </c>
      <c r="I140" s="49" t="str">
        <f t="shared" si="81"/>
        <v/>
      </c>
      <c r="J140" s="49" t="str">
        <f>IF(IFERROR(INDEX(Consulta!$A:$DF,MATCH('MM01'!$B140,Consulta!$C:$C,0),'MM01'!J$2),"")=0,"",IFERROR(INDEX(Consulta!$A:$DF,MATCH('MM01'!$B140,Consulta!$C:$C,0),'MM01'!J$2),""))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IF(IFERROR(INDEX(Consulta!$A:$DF,MATCH('MM01'!$B140,Consulta!$C:$C,0),'MM01'!AP$2),"")=0,"",IFERROR(INDEX(Consulta!$A:$DF,MATCH('MM01'!$B140,Consulta!$C:$C,0),'MM01'!AP$2),""))</f>
        <v/>
      </c>
      <c r="AQ140" s="45"/>
      <c r="AR140" s="43" t="str">
        <f>IF(IFERROR(INDEX(Consulta!$A:$DF,MATCH('MM01'!$B140,Consulta!$C:$C,0),'MM01'!AR$2),"")=0,"",IFERROR(INDEX(Consulta!$A:$DF,MATCH('MM01'!$B140,Consulta!$C:$C,0),'MM01'!AR$2),""))</f>
        <v/>
      </c>
      <c r="AS140" s="43" t="str">
        <f>IF(IFERROR(INDEX(Consulta!$A:$DF,MATCH('MM01'!$B140,Consulta!$C:$C,0),'MM01'!AS$2),"")=0,"",IF(AR140="68",5102,IFERROR(INDEX(Consulta!$A:$DF,MATCH('MM01'!$B140,Consulta!$C:$C,0),'MM01'!AS$2),"")))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IF(IFERROR(INDEX(Consulta!$A:$DF,MATCH('MM01'!$B140,Consulta!$C:$C,0),'MM01'!AW$2),"")=0,"",IFERROR(ROUND(INDEX(Consulta!$A:$DF,MATCH('MM01'!$B140,Consulta!$C:$C,0),'MM01'!AW$2),3),""))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IF(IFERROR(INDEX(Consulta!$A:$DF,MATCH('MM01'!$B140,Consulta!$C:$C,0),'MM01'!BA$2),"")=0,"",IFERROR(INDEX(Consulta!$A:$DF,MATCH('MM01'!$B140,Consulta!$C:$C,0),'MM01'!BA$2),""))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IF(IFERROR(INDEX(Consulta!$A:$DF,MATCH('MM01'!$B140,Consulta!$C:$C,0),'MM01'!BL$2),"")=0,"",IFERROR(INDEX(Consulta!$A:$DF,MATCH('MM01'!$B140,Consulta!$C:$C,0),'MM01'!BL$2),""))</f>
        <v/>
      </c>
      <c r="BM140" s="45"/>
      <c r="BN140" s="46" t="str">
        <f t="shared" ca="1" si="93"/>
        <v/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IF(IFERROR(INDEX(Consulta!$A:$DF,MATCH('MM01'!$B140,Consulta!$C:$C,0),'MM01'!BX$2),"")=0,"",IFERROR(INDEX(Consulta!$A:$DF,MATCH('MM01'!$B140,Consulta!$C:$C,0),'MM01'!BX$2),""))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IF(IFERROR(INDEX(Consulta!$A:$DF,MATCH('MM01'!$B140,Consulta!$C:$C,0),'MM01'!CT$2),"")=0,"",IFERROR(INDEX(Consulta!$A:$DF,MATCH('MM01'!$B140,Consulta!$C:$C,0),'MM01'!CT$2),""))</f>
        <v/>
      </c>
      <c r="CU140" s="43" t="str">
        <f>IF(IFERROR(INDEX(Consulta!$A:$DF,MATCH('MM01'!$B140,Consulta!$C:$C,0),'MM01'!CU$2),"")=0,"",IFERROR(INDEX(Consulta!$A:$DF,MATCH('MM01'!$B140,Consulta!$C:$C,0),'MM01'!CU$2),""))</f>
        <v/>
      </c>
      <c r="CV140" s="43" t="str">
        <f>IF(IFERROR(INDEX(Consulta!$A:$DF,MATCH('MM01'!$B140,Consulta!$C:$C,0),'MM01'!CV$2),"")=0,"",IFERROR(INDEX(Consulta!$A:$DF,MATCH('MM01'!$B140,Consulta!$C:$C,0),'MM01'!CV$2),""))</f>
        <v/>
      </c>
      <c r="CW140" s="43" t="str">
        <f>IF(IFERROR(INDEX(Consulta!$A:$DF,MATCH('MM01'!$B140,Consulta!$C:$C,0),'MM01'!CW$2),"")=0,"",IFERROR(INDEX(Consulta!$A:$DF,MATCH('MM01'!$B140,Consulta!$C:$C,0),'MM01'!CW$2),""))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IF(IFERROR(INDEX(Consulta!$A:$DF,MATCH('MM01'!$B140,Consulta!$C:$C,0),'MM01'!DA$2),"")=0,"",IFERROR(INDEX(Consulta!$A:$DF,MATCH('MM01'!$B140,Consulta!$C:$C,0),'MM01'!DA$2),""))</f>
        <v/>
      </c>
      <c r="DB140" s="43" t="str">
        <f t="shared" si="102"/>
        <v/>
      </c>
      <c r="DC140" s="43" t="str">
        <f>IF(IFERROR(INDEX(Consulta!$A:$DF,MATCH('MM01'!$B140,Consulta!$C:$C,0),'MM01'!DC$2),"")=0,"",IFERROR(INDEX(Consulta!$A:$DF,MATCH('MM01'!$B140,Consulta!$C:$C,0),'MM01'!DC$2),""))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5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5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5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5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IF(IFERROR(INDEX(Consulta!$A:$DF,MATCH('MM01'!$B140,Consulta!$C:$C,0),'MM01'!EB$2),"")=0,"7925",IF(IFERROR(INDEX(Consulta!$A:$DF,MATCH('MM01'!$B140,Consulta!$C:$C,0),'MM01'!EB$2),"")="68","7910","7925"))</f>
        <v>7925</v>
      </c>
      <c r="EC140" s="44">
        <v>100</v>
      </c>
      <c r="ED140" s="60">
        <v>1</v>
      </c>
      <c r="EE140" s="43">
        <f t="shared" si="118"/>
        <v>100</v>
      </c>
      <c r="EF140" s="44">
        <v>1</v>
      </c>
      <c r="EG140" s="44">
        <v>0</v>
      </c>
      <c r="EH140" s="44" t="s">
        <v>867</v>
      </c>
      <c r="EI140" s="45">
        <v>0</v>
      </c>
      <c r="EJ140" s="43">
        <f t="shared" si="119"/>
        <v>5000</v>
      </c>
      <c r="EK140" s="65"/>
    </row>
    <row r="141" spans="1:141" x14ac:dyDescent="0.3">
      <c r="A141" s="7" t="str">
        <f t="shared" si="80"/>
        <v>Execução 137</v>
      </c>
      <c r="B141" s="42"/>
      <c r="C141" s="43" t="str">
        <f>IF(IFERROR(INDEX(Consulta!$A:$DF,MATCH('MM01'!$B141,Consulta!$C:$C,0),'MM01'!C$2),"")=0,"",IFERROR(INDEX(Consulta!$A:$DF,MATCH('MM01'!$B141,Consulta!$C:$C,0),'MM01'!C$2),""))</f>
        <v/>
      </c>
      <c r="D141" s="43" t="str">
        <f>IF(IFERROR(INDEX(Consulta!$A:$DF,MATCH('MM01'!$B141,Consulta!$C:$C,0),'MM01'!D$2),"")=0,"",IFERROR(INDEX(Consulta!$A:$DF,MATCH('MM01'!$B141,Consulta!$C:$C,0),'MM01'!D$2),""))</f>
        <v/>
      </c>
      <c r="E141" s="43" t="str">
        <f>IF(IFERROR(INDEX(Consulta!$A:$DF,MATCH('MM01'!$B141,Consulta!$C:$C,0),'MM01'!E$2),"")=0,"",IFERROR(INDEX(Consulta!$A:$DF,MATCH('MM01'!$B141,Consulta!$C:$C,0),'MM01'!E$2),""))</f>
        <v/>
      </c>
      <c r="F141" s="44" t="s">
        <v>100</v>
      </c>
      <c r="G141" s="49" t="str">
        <f>IF(IFERROR(INDEX(Consulta!$A:$DF,MATCH('MM01'!$B141,Consulta!$C:$C,0),'MM01'!G$2),"")=0,"",IFERROR(INDEX(Consulta!$A:$DF,MATCH('MM01'!$B141,Consulta!$C:$C,0),'MM01'!G$2),""))</f>
        <v/>
      </c>
      <c r="H141" s="49" t="str">
        <f>IF(IFERROR(INDEX(Consulta!$A:$DF,MATCH('MM01'!$B141,Consulta!$C:$C,0),'MM01'!H$2),"")=0,"",IFERROR(INDEX(Consulta!$A:$DF,MATCH('MM01'!$B141,Consulta!$C:$C,0),'MM01'!H$2),""))</f>
        <v/>
      </c>
      <c r="I141" s="49" t="str">
        <f t="shared" si="81"/>
        <v/>
      </c>
      <c r="J141" s="49" t="str">
        <f>IF(IFERROR(INDEX(Consulta!$A:$DF,MATCH('MM01'!$B141,Consulta!$C:$C,0),'MM01'!J$2),"")=0,"",IFERROR(INDEX(Consulta!$A:$DF,MATCH('MM01'!$B141,Consulta!$C:$C,0),'MM01'!J$2),""))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IF(IFERROR(INDEX(Consulta!$A:$DF,MATCH('MM01'!$B141,Consulta!$C:$C,0),'MM01'!AP$2),"")=0,"",IFERROR(INDEX(Consulta!$A:$DF,MATCH('MM01'!$B141,Consulta!$C:$C,0),'MM01'!AP$2),""))</f>
        <v/>
      </c>
      <c r="AQ141" s="45"/>
      <c r="AR141" s="43" t="str">
        <f>IF(IFERROR(INDEX(Consulta!$A:$DF,MATCH('MM01'!$B141,Consulta!$C:$C,0),'MM01'!AR$2),"")=0,"",IFERROR(INDEX(Consulta!$A:$DF,MATCH('MM01'!$B141,Consulta!$C:$C,0),'MM01'!AR$2),""))</f>
        <v/>
      </c>
      <c r="AS141" s="43" t="str">
        <f>IF(IFERROR(INDEX(Consulta!$A:$DF,MATCH('MM01'!$B141,Consulta!$C:$C,0),'MM01'!AS$2),"")=0,"",IF(AR141="68",5102,IFERROR(INDEX(Consulta!$A:$DF,MATCH('MM01'!$B141,Consulta!$C:$C,0),'MM01'!AS$2),"")))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IF(IFERROR(INDEX(Consulta!$A:$DF,MATCH('MM01'!$B141,Consulta!$C:$C,0),'MM01'!AW$2),"")=0,"",IFERROR(ROUND(INDEX(Consulta!$A:$DF,MATCH('MM01'!$B141,Consulta!$C:$C,0),'MM01'!AW$2),3),""))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IF(IFERROR(INDEX(Consulta!$A:$DF,MATCH('MM01'!$B141,Consulta!$C:$C,0),'MM01'!BA$2),"")=0,"",IFERROR(INDEX(Consulta!$A:$DF,MATCH('MM01'!$B141,Consulta!$C:$C,0),'MM01'!BA$2),""))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IF(IFERROR(INDEX(Consulta!$A:$DF,MATCH('MM01'!$B141,Consulta!$C:$C,0),'MM01'!BL$2),"")=0,"",IFERROR(INDEX(Consulta!$A:$DF,MATCH('MM01'!$B141,Consulta!$C:$C,0),'MM01'!BL$2),""))</f>
        <v/>
      </c>
      <c r="BM141" s="45"/>
      <c r="BN141" s="46" t="str">
        <f t="shared" ca="1" si="93"/>
        <v/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IF(IFERROR(INDEX(Consulta!$A:$DF,MATCH('MM01'!$B141,Consulta!$C:$C,0),'MM01'!BX$2),"")=0,"",IFERROR(INDEX(Consulta!$A:$DF,MATCH('MM01'!$B141,Consulta!$C:$C,0),'MM01'!BX$2),""))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IF(IFERROR(INDEX(Consulta!$A:$DF,MATCH('MM01'!$B141,Consulta!$C:$C,0),'MM01'!CT$2),"")=0,"",IFERROR(INDEX(Consulta!$A:$DF,MATCH('MM01'!$B141,Consulta!$C:$C,0),'MM01'!CT$2),""))</f>
        <v/>
      </c>
      <c r="CU141" s="43" t="str">
        <f>IF(IFERROR(INDEX(Consulta!$A:$DF,MATCH('MM01'!$B141,Consulta!$C:$C,0),'MM01'!CU$2),"")=0,"",IFERROR(INDEX(Consulta!$A:$DF,MATCH('MM01'!$B141,Consulta!$C:$C,0),'MM01'!CU$2),""))</f>
        <v/>
      </c>
      <c r="CV141" s="43" t="str">
        <f>IF(IFERROR(INDEX(Consulta!$A:$DF,MATCH('MM01'!$B141,Consulta!$C:$C,0),'MM01'!CV$2),"")=0,"",IFERROR(INDEX(Consulta!$A:$DF,MATCH('MM01'!$B141,Consulta!$C:$C,0),'MM01'!CV$2),""))</f>
        <v/>
      </c>
      <c r="CW141" s="43" t="str">
        <f>IF(IFERROR(INDEX(Consulta!$A:$DF,MATCH('MM01'!$B141,Consulta!$C:$C,0),'MM01'!CW$2),"")=0,"",IFERROR(INDEX(Consulta!$A:$DF,MATCH('MM01'!$B141,Consulta!$C:$C,0),'MM01'!CW$2),""))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IF(IFERROR(INDEX(Consulta!$A:$DF,MATCH('MM01'!$B141,Consulta!$C:$C,0),'MM01'!DA$2),"")=0,"",IFERROR(INDEX(Consulta!$A:$DF,MATCH('MM01'!$B141,Consulta!$C:$C,0),'MM01'!DA$2),""))</f>
        <v/>
      </c>
      <c r="DB141" s="43" t="str">
        <f t="shared" si="102"/>
        <v/>
      </c>
      <c r="DC141" s="43" t="str">
        <f>IF(IFERROR(INDEX(Consulta!$A:$DF,MATCH('MM01'!$B141,Consulta!$C:$C,0),'MM01'!DC$2),"")=0,"",IFERROR(INDEX(Consulta!$A:$DF,MATCH('MM01'!$B141,Consulta!$C:$C,0),'MM01'!DC$2),""))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5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5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5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5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IF(IFERROR(INDEX(Consulta!$A:$DF,MATCH('MM01'!$B141,Consulta!$C:$C,0),'MM01'!EB$2),"")=0,"7925",IF(IFERROR(INDEX(Consulta!$A:$DF,MATCH('MM01'!$B141,Consulta!$C:$C,0),'MM01'!EB$2),"")="68","7910","7925"))</f>
        <v>7925</v>
      </c>
      <c r="EC141" s="44">
        <v>100</v>
      </c>
      <c r="ED141" s="60">
        <v>1</v>
      </c>
      <c r="EE141" s="43">
        <f t="shared" si="118"/>
        <v>100</v>
      </c>
      <c r="EF141" s="44">
        <v>1</v>
      </c>
      <c r="EG141" s="44">
        <v>0</v>
      </c>
      <c r="EH141" s="44" t="s">
        <v>867</v>
      </c>
      <c r="EI141" s="45">
        <v>0</v>
      </c>
      <c r="EJ141" s="43">
        <f t="shared" si="119"/>
        <v>5000</v>
      </c>
      <c r="EK141" s="65"/>
    </row>
    <row r="142" spans="1:141" x14ac:dyDescent="0.3">
      <c r="A142" s="7" t="str">
        <f t="shared" si="80"/>
        <v>Execução 138</v>
      </c>
      <c r="B142" s="42"/>
      <c r="C142" s="43" t="str">
        <f>IF(IFERROR(INDEX(Consulta!$A:$DF,MATCH('MM01'!$B142,Consulta!$C:$C,0),'MM01'!C$2),"")=0,"",IFERROR(INDEX(Consulta!$A:$DF,MATCH('MM01'!$B142,Consulta!$C:$C,0),'MM01'!C$2),""))</f>
        <v/>
      </c>
      <c r="D142" s="43" t="str">
        <f>IF(IFERROR(INDEX(Consulta!$A:$DF,MATCH('MM01'!$B142,Consulta!$C:$C,0),'MM01'!D$2),"")=0,"",IFERROR(INDEX(Consulta!$A:$DF,MATCH('MM01'!$B142,Consulta!$C:$C,0),'MM01'!D$2),""))</f>
        <v/>
      </c>
      <c r="E142" s="43" t="str">
        <f>IF(IFERROR(INDEX(Consulta!$A:$DF,MATCH('MM01'!$B142,Consulta!$C:$C,0),'MM01'!E$2),"")=0,"",IFERROR(INDEX(Consulta!$A:$DF,MATCH('MM01'!$B142,Consulta!$C:$C,0),'MM01'!E$2),""))</f>
        <v/>
      </c>
      <c r="F142" s="44" t="s">
        <v>100</v>
      </c>
      <c r="G142" s="49" t="str">
        <f>IF(IFERROR(INDEX(Consulta!$A:$DF,MATCH('MM01'!$B142,Consulta!$C:$C,0),'MM01'!G$2),"")=0,"",IFERROR(INDEX(Consulta!$A:$DF,MATCH('MM01'!$B142,Consulta!$C:$C,0),'MM01'!G$2),""))</f>
        <v/>
      </c>
      <c r="H142" s="49" t="str">
        <f>IF(IFERROR(INDEX(Consulta!$A:$DF,MATCH('MM01'!$B142,Consulta!$C:$C,0),'MM01'!H$2),"")=0,"",IFERROR(INDEX(Consulta!$A:$DF,MATCH('MM01'!$B142,Consulta!$C:$C,0),'MM01'!H$2),""))</f>
        <v/>
      </c>
      <c r="I142" s="49" t="str">
        <f t="shared" si="81"/>
        <v/>
      </c>
      <c r="J142" s="49" t="str">
        <f>IF(IFERROR(INDEX(Consulta!$A:$DF,MATCH('MM01'!$B142,Consulta!$C:$C,0),'MM01'!J$2),"")=0,"",IFERROR(INDEX(Consulta!$A:$DF,MATCH('MM01'!$B142,Consulta!$C:$C,0),'MM01'!J$2),""))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IF(IFERROR(INDEX(Consulta!$A:$DF,MATCH('MM01'!$B142,Consulta!$C:$C,0),'MM01'!AP$2),"")=0,"",IFERROR(INDEX(Consulta!$A:$DF,MATCH('MM01'!$B142,Consulta!$C:$C,0),'MM01'!AP$2),""))</f>
        <v/>
      </c>
      <c r="AQ142" s="45"/>
      <c r="AR142" s="43" t="str">
        <f>IF(IFERROR(INDEX(Consulta!$A:$DF,MATCH('MM01'!$B142,Consulta!$C:$C,0),'MM01'!AR$2),"")=0,"",IFERROR(INDEX(Consulta!$A:$DF,MATCH('MM01'!$B142,Consulta!$C:$C,0),'MM01'!AR$2),""))</f>
        <v/>
      </c>
      <c r="AS142" s="43" t="str">
        <f>IF(IFERROR(INDEX(Consulta!$A:$DF,MATCH('MM01'!$B142,Consulta!$C:$C,0),'MM01'!AS$2),"")=0,"",IF(AR142="68",5102,IFERROR(INDEX(Consulta!$A:$DF,MATCH('MM01'!$B142,Consulta!$C:$C,0),'MM01'!AS$2),"")))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IF(IFERROR(INDEX(Consulta!$A:$DF,MATCH('MM01'!$B142,Consulta!$C:$C,0),'MM01'!AW$2),"")=0,"",IFERROR(ROUND(INDEX(Consulta!$A:$DF,MATCH('MM01'!$B142,Consulta!$C:$C,0),'MM01'!AW$2),3),""))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IF(IFERROR(INDEX(Consulta!$A:$DF,MATCH('MM01'!$B142,Consulta!$C:$C,0),'MM01'!BA$2),"")=0,"",IFERROR(INDEX(Consulta!$A:$DF,MATCH('MM01'!$B142,Consulta!$C:$C,0),'MM01'!BA$2),""))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IF(IFERROR(INDEX(Consulta!$A:$DF,MATCH('MM01'!$B142,Consulta!$C:$C,0),'MM01'!BL$2),"")=0,"",IFERROR(INDEX(Consulta!$A:$DF,MATCH('MM01'!$B142,Consulta!$C:$C,0),'MM01'!BL$2),""))</f>
        <v/>
      </c>
      <c r="BM142" s="45"/>
      <c r="BN142" s="46" t="str">
        <f t="shared" ca="1" si="93"/>
        <v/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IF(IFERROR(INDEX(Consulta!$A:$DF,MATCH('MM01'!$B142,Consulta!$C:$C,0),'MM01'!BX$2),"")=0,"",IFERROR(INDEX(Consulta!$A:$DF,MATCH('MM01'!$B142,Consulta!$C:$C,0),'MM01'!BX$2),""))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IF(IFERROR(INDEX(Consulta!$A:$DF,MATCH('MM01'!$B142,Consulta!$C:$C,0),'MM01'!CT$2),"")=0,"",IFERROR(INDEX(Consulta!$A:$DF,MATCH('MM01'!$B142,Consulta!$C:$C,0),'MM01'!CT$2),""))</f>
        <v/>
      </c>
      <c r="CU142" s="43" t="str">
        <f>IF(IFERROR(INDEX(Consulta!$A:$DF,MATCH('MM01'!$B142,Consulta!$C:$C,0),'MM01'!CU$2),"")=0,"",IFERROR(INDEX(Consulta!$A:$DF,MATCH('MM01'!$B142,Consulta!$C:$C,0),'MM01'!CU$2),""))</f>
        <v/>
      </c>
      <c r="CV142" s="43" t="str">
        <f>IF(IFERROR(INDEX(Consulta!$A:$DF,MATCH('MM01'!$B142,Consulta!$C:$C,0),'MM01'!CV$2),"")=0,"",IFERROR(INDEX(Consulta!$A:$DF,MATCH('MM01'!$B142,Consulta!$C:$C,0),'MM01'!CV$2),""))</f>
        <v/>
      </c>
      <c r="CW142" s="43" t="str">
        <f>IF(IFERROR(INDEX(Consulta!$A:$DF,MATCH('MM01'!$B142,Consulta!$C:$C,0),'MM01'!CW$2),"")=0,"",IFERROR(INDEX(Consulta!$A:$DF,MATCH('MM01'!$B142,Consulta!$C:$C,0),'MM01'!CW$2),""))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IF(IFERROR(INDEX(Consulta!$A:$DF,MATCH('MM01'!$B142,Consulta!$C:$C,0),'MM01'!DA$2),"")=0,"",IFERROR(INDEX(Consulta!$A:$DF,MATCH('MM01'!$B142,Consulta!$C:$C,0),'MM01'!DA$2),""))</f>
        <v/>
      </c>
      <c r="DB142" s="43" t="str">
        <f t="shared" si="102"/>
        <v/>
      </c>
      <c r="DC142" s="43" t="str">
        <f>IF(IFERROR(INDEX(Consulta!$A:$DF,MATCH('MM01'!$B142,Consulta!$C:$C,0),'MM01'!DC$2),"")=0,"",IFERROR(INDEX(Consulta!$A:$DF,MATCH('MM01'!$B142,Consulta!$C:$C,0),'MM01'!DC$2),""))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5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5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5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5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IF(IFERROR(INDEX(Consulta!$A:$DF,MATCH('MM01'!$B142,Consulta!$C:$C,0),'MM01'!EB$2),"")=0,"7925",IF(IFERROR(INDEX(Consulta!$A:$DF,MATCH('MM01'!$B142,Consulta!$C:$C,0),'MM01'!EB$2),"")="68","7910","7925"))</f>
        <v>7925</v>
      </c>
      <c r="EC142" s="44">
        <v>100</v>
      </c>
      <c r="ED142" s="60">
        <v>1</v>
      </c>
      <c r="EE142" s="43">
        <f t="shared" si="118"/>
        <v>100</v>
      </c>
      <c r="EF142" s="44">
        <v>1</v>
      </c>
      <c r="EG142" s="44">
        <v>0</v>
      </c>
      <c r="EH142" s="44" t="s">
        <v>867</v>
      </c>
      <c r="EI142" s="45">
        <v>0</v>
      </c>
      <c r="EJ142" s="43">
        <f t="shared" si="119"/>
        <v>5000</v>
      </c>
      <c r="EK142" s="65"/>
    </row>
    <row r="143" spans="1:141" x14ac:dyDescent="0.3">
      <c r="A143" s="7" t="str">
        <f t="shared" si="80"/>
        <v>Execução 139</v>
      </c>
      <c r="B143" s="42"/>
      <c r="C143" s="43" t="str">
        <f>IF(IFERROR(INDEX(Consulta!$A:$DF,MATCH('MM01'!$B143,Consulta!$C:$C,0),'MM01'!C$2),"")=0,"",IFERROR(INDEX(Consulta!$A:$DF,MATCH('MM01'!$B143,Consulta!$C:$C,0),'MM01'!C$2),""))</f>
        <v/>
      </c>
      <c r="D143" s="43" t="str">
        <f>IF(IFERROR(INDEX(Consulta!$A:$DF,MATCH('MM01'!$B143,Consulta!$C:$C,0),'MM01'!D$2),"")=0,"",IFERROR(INDEX(Consulta!$A:$DF,MATCH('MM01'!$B143,Consulta!$C:$C,0),'MM01'!D$2),""))</f>
        <v/>
      </c>
      <c r="E143" s="43" t="str">
        <f>IF(IFERROR(INDEX(Consulta!$A:$DF,MATCH('MM01'!$B143,Consulta!$C:$C,0),'MM01'!E$2),"")=0,"",IFERROR(INDEX(Consulta!$A:$DF,MATCH('MM01'!$B143,Consulta!$C:$C,0),'MM01'!E$2),""))</f>
        <v/>
      </c>
      <c r="F143" s="44" t="s">
        <v>100</v>
      </c>
      <c r="G143" s="49" t="str">
        <f>IF(IFERROR(INDEX(Consulta!$A:$DF,MATCH('MM01'!$B143,Consulta!$C:$C,0),'MM01'!G$2),"")=0,"",IFERROR(INDEX(Consulta!$A:$DF,MATCH('MM01'!$B143,Consulta!$C:$C,0),'MM01'!G$2),""))</f>
        <v/>
      </c>
      <c r="H143" s="49" t="str">
        <f>IF(IFERROR(INDEX(Consulta!$A:$DF,MATCH('MM01'!$B143,Consulta!$C:$C,0),'MM01'!H$2),"")=0,"",IFERROR(INDEX(Consulta!$A:$DF,MATCH('MM01'!$B143,Consulta!$C:$C,0),'MM01'!H$2),""))</f>
        <v/>
      </c>
      <c r="I143" s="49" t="str">
        <f t="shared" si="81"/>
        <v/>
      </c>
      <c r="J143" s="49" t="str">
        <f>IF(IFERROR(INDEX(Consulta!$A:$DF,MATCH('MM01'!$B143,Consulta!$C:$C,0),'MM01'!J$2),"")=0,"",IFERROR(INDEX(Consulta!$A:$DF,MATCH('MM01'!$B143,Consulta!$C:$C,0),'MM01'!J$2),""))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IF(IFERROR(INDEX(Consulta!$A:$DF,MATCH('MM01'!$B143,Consulta!$C:$C,0),'MM01'!AP$2),"")=0,"",IFERROR(INDEX(Consulta!$A:$DF,MATCH('MM01'!$B143,Consulta!$C:$C,0),'MM01'!AP$2),""))</f>
        <v/>
      </c>
      <c r="AQ143" s="45"/>
      <c r="AR143" s="43" t="str">
        <f>IF(IFERROR(INDEX(Consulta!$A:$DF,MATCH('MM01'!$B143,Consulta!$C:$C,0),'MM01'!AR$2),"")=0,"",IFERROR(INDEX(Consulta!$A:$DF,MATCH('MM01'!$B143,Consulta!$C:$C,0),'MM01'!AR$2),""))</f>
        <v/>
      </c>
      <c r="AS143" s="43" t="str">
        <f>IF(IFERROR(INDEX(Consulta!$A:$DF,MATCH('MM01'!$B143,Consulta!$C:$C,0),'MM01'!AS$2),"")=0,"",IF(AR143="68",5102,IFERROR(INDEX(Consulta!$A:$DF,MATCH('MM01'!$B143,Consulta!$C:$C,0),'MM01'!AS$2),"")))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IF(IFERROR(INDEX(Consulta!$A:$DF,MATCH('MM01'!$B143,Consulta!$C:$C,0),'MM01'!AW$2),"")=0,"",IFERROR(ROUND(INDEX(Consulta!$A:$DF,MATCH('MM01'!$B143,Consulta!$C:$C,0),'MM01'!AW$2),3),""))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IF(IFERROR(INDEX(Consulta!$A:$DF,MATCH('MM01'!$B143,Consulta!$C:$C,0),'MM01'!BA$2),"")=0,"",IFERROR(INDEX(Consulta!$A:$DF,MATCH('MM01'!$B143,Consulta!$C:$C,0),'MM01'!BA$2),""))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IF(IFERROR(INDEX(Consulta!$A:$DF,MATCH('MM01'!$B143,Consulta!$C:$C,0),'MM01'!BL$2),"")=0,"",IFERROR(INDEX(Consulta!$A:$DF,MATCH('MM01'!$B143,Consulta!$C:$C,0),'MM01'!BL$2),""))</f>
        <v/>
      </c>
      <c r="BM143" s="45"/>
      <c r="BN143" s="46" t="str">
        <f t="shared" ca="1" si="93"/>
        <v/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IF(IFERROR(INDEX(Consulta!$A:$DF,MATCH('MM01'!$B143,Consulta!$C:$C,0),'MM01'!BX$2),"")=0,"",IFERROR(INDEX(Consulta!$A:$DF,MATCH('MM01'!$B143,Consulta!$C:$C,0),'MM01'!BX$2),""))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IF(IFERROR(INDEX(Consulta!$A:$DF,MATCH('MM01'!$B143,Consulta!$C:$C,0),'MM01'!CT$2),"")=0,"",IFERROR(INDEX(Consulta!$A:$DF,MATCH('MM01'!$B143,Consulta!$C:$C,0),'MM01'!CT$2),""))</f>
        <v/>
      </c>
      <c r="CU143" s="43" t="str">
        <f>IF(IFERROR(INDEX(Consulta!$A:$DF,MATCH('MM01'!$B143,Consulta!$C:$C,0),'MM01'!CU$2),"")=0,"",IFERROR(INDEX(Consulta!$A:$DF,MATCH('MM01'!$B143,Consulta!$C:$C,0),'MM01'!CU$2),""))</f>
        <v/>
      </c>
      <c r="CV143" s="43" t="str">
        <f>IF(IFERROR(INDEX(Consulta!$A:$DF,MATCH('MM01'!$B143,Consulta!$C:$C,0),'MM01'!CV$2),"")=0,"",IFERROR(INDEX(Consulta!$A:$DF,MATCH('MM01'!$B143,Consulta!$C:$C,0),'MM01'!CV$2),""))</f>
        <v/>
      </c>
      <c r="CW143" s="43" t="str">
        <f>IF(IFERROR(INDEX(Consulta!$A:$DF,MATCH('MM01'!$B143,Consulta!$C:$C,0),'MM01'!CW$2),"")=0,"",IFERROR(INDEX(Consulta!$A:$DF,MATCH('MM01'!$B143,Consulta!$C:$C,0),'MM01'!CW$2),""))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IF(IFERROR(INDEX(Consulta!$A:$DF,MATCH('MM01'!$B143,Consulta!$C:$C,0),'MM01'!DA$2),"")=0,"",IFERROR(INDEX(Consulta!$A:$DF,MATCH('MM01'!$B143,Consulta!$C:$C,0),'MM01'!DA$2),""))</f>
        <v/>
      </c>
      <c r="DB143" s="43" t="str">
        <f t="shared" si="102"/>
        <v/>
      </c>
      <c r="DC143" s="43" t="str">
        <f>IF(IFERROR(INDEX(Consulta!$A:$DF,MATCH('MM01'!$B143,Consulta!$C:$C,0),'MM01'!DC$2),"")=0,"",IFERROR(INDEX(Consulta!$A:$DF,MATCH('MM01'!$B143,Consulta!$C:$C,0),'MM01'!DC$2),""))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5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5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5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5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IF(IFERROR(INDEX(Consulta!$A:$DF,MATCH('MM01'!$B143,Consulta!$C:$C,0),'MM01'!EB$2),"")=0,"7925",IF(IFERROR(INDEX(Consulta!$A:$DF,MATCH('MM01'!$B143,Consulta!$C:$C,0),'MM01'!EB$2),"")="68","7910","7925"))</f>
        <v>7925</v>
      </c>
      <c r="EC143" s="44">
        <v>100</v>
      </c>
      <c r="ED143" s="60">
        <v>1</v>
      </c>
      <c r="EE143" s="43">
        <f t="shared" si="118"/>
        <v>100</v>
      </c>
      <c r="EF143" s="44">
        <v>1</v>
      </c>
      <c r="EG143" s="44">
        <v>0</v>
      </c>
      <c r="EH143" s="44" t="s">
        <v>867</v>
      </c>
      <c r="EI143" s="45">
        <v>0</v>
      </c>
      <c r="EJ143" s="43">
        <f t="shared" si="119"/>
        <v>5000</v>
      </c>
      <c r="EK143" s="65"/>
    </row>
    <row r="144" spans="1:141" x14ac:dyDescent="0.3">
      <c r="A144" s="7" t="str">
        <f t="shared" si="80"/>
        <v>Execução 140</v>
      </c>
      <c r="B144" s="42"/>
      <c r="C144" s="43" t="str">
        <f>IF(IFERROR(INDEX(Consulta!$A:$DF,MATCH('MM01'!$B144,Consulta!$C:$C,0),'MM01'!C$2),"")=0,"",IFERROR(INDEX(Consulta!$A:$DF,MATCH('MM01'!$B144,Consulta!$C:$C,0),'MM01'!C$2),""))</f>
        <v/>
      </c>
      <c r="D144" s="43" t="str">
        <f>IF(IFERROR(INDEX(Consulta!$A:$DF,MATCH('MM01'!$B144,Consulta!$C:$C,0),'MM01'!D$2),"")=0,"",IFERROR(INDEX(Consulta!$A:$DF,MATCH('MM01'!$B144,Consulta!$C:$C,0),'MM01'!D$2),""))</f>
        <v/>
      </c>
      <c r="E144" s="43" t="str">
        <f>IF(IFERROR(INDEX(Consulta!$A:$DF,MATCH('MM01'!$B144,Consulta!$C:$C,0),'MM01'!E$2),"")=0,"",IFERROR(INDEX(Consulta!$A:$DF,MATCH('MM01'!$B144,Consulta!$C:$C,0),'MM01'!E$2),""))</f>
        <v/>
      </c>
      <c r="F144" s="44" t="s">
        <v>100</v>
      </c>
      <c r="G144" s="49" t="str">
        <f>IF(IFERROR(INDEX(Consulta!$A:$DF,MATCH('MM01'!$B144,Consulta!$C:$C,0),'MM01'!G$2),"")=0,"",IFERROR(INDEX(Consulta!$A:$DF,MATCH('MM01'!$B144,Consulta!$C:$C,0),'MM01'!G$2),""))</f>
        <v/>
      </c>
      <c r="H144" s="49" t="str">
        <f>IF(IFERROR(INDEX(Consulta!$A:$DF,MATCH('MM01'!$B144,Consulta!$C:$C,0),'MM01'!H$2),"")=0,"",IFERROR(INDEX(Consulta!$A:$DF,MATCH('MM01'!$B144,Consulta!$C:$C,0),'MM01'!H$2),""))</f>
        <v/>
      </c>
      <c r="I144" s="49" t="str">
        <f t="shared" si="81"/>
        <v/>
      </c>
      <c r="J144" s="49" t="str">
        <f>IF(IFERROR(INDEX(Consulta!$A:$DF,MATCH('MM01'!$B144,Consulta!$C:$C,0),'MM01'!J$2),"")=0,"",IFERROR(INDEX(Consulta!$A:$DF,MATCH('MM01'!$B144,Consulta!$C:$C,0),'MM01'!J$2),""))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IF(IFERROR(INDEX(Consulta!$A:$DF,MATCH('MM01'!$B144,Consulta!$C:$C,0),'MM01'!AP$2),"")=0,"",IFERROR(INDEX(Consulta!$A:$DF,MATCH('MM01'!$B144,Consulta!$C:$C,0),'MM01'!AP$2),""))</f>
        <v/>
      </c>
      <c r="AQ144" s="45"/>
      <c r="AR144" s="43" t="str">
        <f>IF(IFERROR(INDEX(Consulta!$A:$DF,MATCH('MM01'!$B144,Consulta!$C:$C,0),'MM01'!AR$2),"")=0,"",IFERROR(INDEX(Consulta!$A:$DF,MATCH('MM01'!$B144,Consulta!$C:$C,0),'MM01'!AR$2),""))</f>
        <v/>
      </c>
      <c r="AS144" s="43" t="str">
        <f>IF(IFERROR(INDEX(Consulta!$A:$DF,MATCH('MM01'!$B144,Consulta!$C:$C,0),'MM01'!AS$2),"")=0,"",IF(AR144="68",5102,IFERROR(INDEX(Consulta!$A:$DF,MATCH('MM01'!$B144,Consulta!$C:$C,0),'MM01'!AS$2),"")))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IF(IFERROR(INDEX(Consulta!$A:$DF,MATCH('MM01'!$B144,Consulta!$C:$C,0),'MM01'!AW$2),"")=0,"",IFERROR(ROUND(INDEX(Consulta!$A:$DF,MATCH('MM01'!$B144,Consulta!$C:$C,0),'MM01'!AW$2),3),""))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IF(IFERROR(INDEX(Consulta!$A:$DF,MATCH('MM01'!$B144,Consulta!$C:$C,0),'MM01'!BA$2),"")=0,"",IFERROR(INDEX(Consulta!$A:$DF,MATCH('MM01'!$B144,Consulta!$C:$C,0),'MM01'!BA$2),""))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IF(IFERROR(INDEX(Consulta!$A:$DF,MATCH('MM01'!$B144,Consulta!$C:$C,0),'MM01'!BL$2),"")=0,"",IFERROR(INDEX(Consulta!$A:$DF,MATCH('MM01'!$B144,Consulta!$C:$C,0),'MM01'!BL$2),""))</f>
        <v/>
      </c>
      <c r="BM144" s="45"/>
      <c r="BN144" s="46" t="str">
        <f t="shared" ca="1" si="93"/>
        <v/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IF(IFERROR(INDEX(Consulta!$A:$DF,MATCH('MM01'!$B144,Consulta!$C:$C,0),'MM01'!BX$2),"")=0,"",IFERROR(INDEX(Consulta!$A:$DF,MATCH('MM01'!$B144,Consulta!$C:$C,0),'MM01'!BX$2),""))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IF(IFERROR(INDEX(Consulta!$A:$DF,MATCH('MM01'!$B144,Consulta!$C:$C,0),'MM01'!CT$2),"")=0,"",IFERROR(INDEX(Consulta!$A:$DF,MATCH('MM01'!$B144,Consulta!$C:$C,0),'MM01'!CT$2),""))</f>
        <v/>
      </c>
      <c r="CU144" s="43" t="str">
        <f>IF(IFERROR(INDEX(Consulta!$A:$DF,MATCH('MM01'!$B144,Consulta!$C:$C,0),'MM01'!CU$2),"")=0,"",IFERROR(INDEX(Consulta!$A:$DF,MATCH('MM01'!$B144,Consulta!$C:$C,0),'MM01'!CU$2),""))</f>
        <v/>
      </c>
      <c r="CV144" s="43" t="str">
        <f>IF(IFERROR(INDEX(Consulta!$A:$DF,MATCH('MM01'!$B144,Consulta!$C:$C,0),'MM01'!CV$2),"")=0,"",IFERROR(INDEX(Consulta!$A:$DF,MATCH('MM01'!$B144,Consulta!$C:$C,0),'MM01'!CV$2),""))</f>
        <v/>
      </c>
      <c r="CW144" s="43" t="str">
        <f>IF(IFERROR(INDEX(Consulta!$A:$DF,MATCH('MM01'!$B144,Consulta!$C:$C,0),'MM01'!CW$2),"")=0,"",IFERROR(INDEX(Consulta!$A:$DF,MATCH('MM01'!$B144,Consulta!$C:$C,0),'MM01'!CW$2),""))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IF(IFERROR(INDEX(Consulta!$A:$DF,MATCH('MM01'!$B144,Consulta!$C:$C,0),'MM01'!DA$2),"")=0,"",IFERROR(INDEX(Consulta!$A:$DF,MATCH('MM01'!$B144,Consulta!$C:$C,0),'MM01'!DA$2),""))</f>
        <v/>
      </c>
      <c r="DB144" s="43" t="str">
        <f t="shared" si="102"/>
        <v/>
      </c>
      <c r="DC144" s="43" t="str">
        <f>IF(IFERROR(INDEX(Consulta!$A:$DF,MATCH('MM01'!$B144,Consulta!$C:$C,0),'MM01'!DC$2),"")=0,"",IFERROR(INDEX(Consulta!$A:$DF,MATCH('MM01'!$B144,Consulta!$C:$C,0),'MM01'!DC$2),""))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5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5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5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5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IF(IFERROR(INDEX(Consulta!$A:$DF,MATCH('MM01'!$B144,Consulta!$C:$C,0),'MM01'!EB$2),"")=0,"7925",IF(IFERROR(INDEX(Consulta!$A:$DF,MATCH('MM01'!$B144,Consulta!$C:$C,0),'MM01'!EB$2),"")="68","7910","7925"))</f>
        <v>7925</v>
      </c>
      <c r="EC144" s="44">
        <v>100</v>
      </c>
      <c r="ED144" s="60">
        <v>1</v>
      </c>
      <c r="EE144" s="43">
        <f t="shared" si="118"/>
        <v>100</v>
      </c>
      <c r="EF144" s="44">
        <v>1</v>
      </c>
      <c r="EG144" s="44">
        <v>0</v>
      </c>
      <c r="EH144" s="44" t="s">
        <v>867</v>
      </c>
      <c r="EI144" s="45">
        <v>0</v>
      </c>
      <c r="EJ144" s="43">
        <f t="shared" si="119"/>
        <v>5000</v>
      </c>
      <c r="EK144" s="65"/>
    </row>
    <row r="145" spans="1:141" x14ac:dyDescent="0.3">
      <c r="A145" s="7" t="str">
        <f t="shared" si="80"/>
        <v>Execução 141</v>
      </c>
      <c r="B145" s="42"/>
      <c r="C145" s="43" t="str">
        <f>IF(IFERROR(INDEX(Consulta!$A:$DF,MATCH('MM01'!$B145,Consulta!$C:$C,0),'MM01'!C$2),"")=0,"",IFERROR(INDEX(Consulta!$A:$DF,MATCH('MM01'!$B145,Consulta!$C:$C,0),'MM01'!C$2),""))</f>
        <v/>
      </c>
      <c r="D145" s="43" t="str">
        <f>IF(IFERROR(INDEX(Consulta!$A:$DF,MATCH('MM01'!$B145,Consulta!$C:$C,0),'MM01'!D$2),"")=0,"",IFERROR(INDEX(Consulta!$A:$DF,MATCH('MM01'!$B145,Consulta!$C:$C,0),'MM01'!D$2),""))</f>
        <v/>
      </c>
      <c r="E145" s="43" t="str">
        <f>IF(IFERROR(INDEX(Consulta!$A:$DF,MATCH('MM01'!$B145,Consulta!$C:$C,0),'MM01'!E$2),"")=0,"",IFERROR(INDEX(Consulta!$A:$DF,MATCH('MM01'!$B145,Consulta!$C:$C,0),'MM01'!E$2),""))</f>
        <v/>
      </c>
      <c r="F145" s="44" t="s">
        <v>100</v>
      </c>
      <c r="G145" s="49" t="str">
        <f>IF(IFERROR(INDEX(Consulta!$A:$DF,MATCH('MM01'!$B145,Consulta!$C:$C,0),'MM01'!G$2),"")=0,"",IFERROR(INDEX(Consulta!$A:$DF,MATCH('MM01'!$B145,Consulta!$C:$C,0),'MM01'!G$2),""))</f>
        <v/>
      </c>
      <c r="H145" s="49" t="str">
        <f>IF(IFERROR(INDEX(Consulta!$A:$DF,MATCH('MM01'!$B145,Consulta!$C:$C,0),'MM01'!H$2),"")=0,"",IFERROR(INDEX(Consulta!$A:$DF,MATCH('MM01'!$B145,Consulta!$C:$C,0),'MM01'!H$2),""))</f>
        <v/>
      </c>
      <c r="I145" s="49" t="str">
        <f t="shared" si="81"/>
        <v/>
      </c>
      <c r="J145" s="49" t="str">
        <f>IF(IFERROR(INDEX(Consulta!$A:$DF,MATCH('MM01'!$B145,Consulta!$C:$C,0),'MM01'!J$2),"")=0,"",IFERROR(INDEX(Consulta!$A:$DF,MATCH('MM01'!$B145,Consulta!$C:$C,0),'MM01'!J$2),""))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IF(IFERROR(INDEX(Consulta!$A:$DF,MATCH('MM01'!$B145,Consulta!$C:$C,0),'MM01'!AP$2),"")=0,"",IFERROR(INDEX(Consulta!$A:$DF,MATCH('MM01'!$B145,Consulta!$C:$C,0),'MM01'!AP$2),""))</f>
        <v/>
      </c>
      <c r="AQ145" s="45"/>
      <c r="AR145" s="43" t="str">
        <f>IF(IFERROR(INDEX(Consulta!$A:$DF,MATCH('MM01'!$B145,Consulta!$C:$C,0),'MM01'!AR$2),"")=0,"",IFERROR(INDEX(Consulta!$A:$DF,MATCH('MM01'!$B145,Consulta!$C:$C,0),'MM01'!AR$2),""))</f>
        <v/>
      </c>
      <c r="AS145" s="43" t="str">
        <f>IF(IFERROR(INDEX(Consulta!$A:$DF,MATCH('MM01'!$B145,Consulta!$C:$C,0),'MM01'!AS$2),"")=0,"",IF(AR145="68",5102,IFERROR(INDEX(Consulta!$A:$DF,MATCH('MM01'!$B145,Consulta!$C:$C,0),'MM01'!AS$2),"")))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IF(IFERROR(INDEX(Consulta!$A:$DF,MATCH('MM01'!$B145,Consulta!$C:$C,0),'MM01'!AW$2),"")=0,"",IFERROR(ROUND(INDEX(Consulta!$A:$DF,MATCH('MM01'!$B145,Consulta!$C:$C,0),'MM01'!AW$2),3),""))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IF(IFERROR(INDEX(Consulta!$A:$DF,MATCH('MM01'!$B145,Consulta!$C:$C,0),'MM01'!BA$2),"")=0,"",IFERROR(INDEX(Consulta!$A:$DF,MATCH('MM01'!$B145,Consulta!$C:$C,0),'MM01'!BA$2),""))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IF(IFERROR(INDEX(Consulta!$A:$DF,MATCH('MM01'!$B145,Consulta!$C:$C,0),'MM01'!BL$2),"")=0,"",IFERROR(INDEX(Consulta!$A:$DF,MATCH('MM01'!$B145,Consulta!$C:$C,0),'MM01'!BL$2),""))</f>
        <v/>
      </c>
      <c r="BM145" s="45"/>
      <c r="BN145" s="46" t="str">
        <f t="shared" ca="1" si="93"/>
        <v/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IF(IFERROR(INDEX(Consulta!$A:$DF,MATCH('MM01'!$B145,Consulta!$C:$C,0),'MM01'!BX$2),"")=0,"",IFERROR(INDEX(Consulta!$A:$DF,MATCH('MM01'!$B145,Consulta!$C:$C,0),'MM01'!BX$2),""))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IF(IFERROR(INDEX(Consulta!$A:$DF,MATCH('MM01'!$B145,Consulta!$C:$C,0),'MM01'!CT$2),"")=0,"",IFERROR(INDEX(Consulta!$A:$DF,MATCH('MM01'!$B145,Consulta!$C:$C,0),'MM01'!CT$2),""))</f>
        <v/>
      </c>
      <c r="CU145" s="43" t="str">
        <f>IF(IFERROR(INDEX(Consulta!$A:$DF,MATCH('MM01'!$B145,Consulta!$C:$C,0),'MM01'!CU$2),"")=0,"",IFERROR(INDEX(Consulta!$A:$DF,MATCH('MM01'!$B145,Consulta!$C:$C,0),'MM01'!CU$2),""))</f>
        <v/>
      </c>
      <c r="CV145" s="43" t="str">
        <f>IF(IFERROR(INDEX(Consulta!$A:$DF,MATCH('MM01'!$B145,Consulta!$C:$C,0),'MM01'!CV$2),"")=0,"",IFERROR(INDEX(Consulta!$A:$DF,MATCH('MM01'!$B145,Consulta!$C:$C,0),'MM01'!CV$2),""))</f>
        <v/>
      </c>
      <c r="CW145" s="43" t="str">
        <f>IF(IFERROR(INDEX(Consulta!$A:$DF,MATCH('MM01'!$B145,Consulta!$C:$C,0),'MM01'!CW$2),"")=0,"",IFERROR(INDEX(Consulta!$A:$DF,MATCH('MM01'!$B145,Consulta!$C:$C,0),'MM01'!CW$2),""))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IF(IFERROR(INDEX(Consulta!$A:$DF,MATCH('MM01'!$B145,Consulta!$C:$C,0),'MM01'!DA$2),"")=0,"",IFERROR(INDEX(Consulta!$A:$DF,MATCH('MM01'!$B145,Consulta!$C:$C,0),'MM01'!DA$2),""))</f>
        <v/>
      </c>
      <c r="DB145" s="43" t="str">
        <f t="shared" si="102"/>
        <v/>
      </c>
      <c r="DC145" s="43" t="str">
        <f>IF(IFERROR(INDEX(Consulta!$A:$DF,MATCH('MM01'!$B145,Consulta!$C:$C,0),'MM01'!DC$2),"")=0,"",IFERROR(INDEX(Consulta!$A:$DF,MATCH('MM01'!$B145,Consulta!$C:$C,0),'MM01'!DC$2),""))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5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5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5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5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IF(IFERROR(INDEX(Consulta!$A:$DF,MATCH('MM01'!$B145,Consulta!$C:$C,0),'MM01'!EB$2),"")=0,"7925",IF(IFERROR(INDEX(Consulta!$A:$DF,MATCH('MM01'!$B145,Consulta!$C:$C,0),'MM01'!EB$2),"")="68","7910","7925"))</f>
        <v>7925</v>
      </c>
      <c r="EC145" s="44">
        <v>100</v>
      </c>
      <c r="ED145" s="60">
        <v>1</v>
      </c>
      <c r="EE145" s="43">
        <f t="shared" si="118"/>
        <v>100</v>
      </c>
      <c r="EF145" s="44">
        <v>1</v>
      </c>
      <c r="EG145" s="44">
        <v>0</v>
      </c>
      <c r="EH145" s="44" t="s">
        <v>867</v>
      </c>
      <c r="EI145" s="45">
        <v>0</v>
      </c>
      <c r="EJ145" s="43">
        <f t="shared" si="119"/>
        <v>5000</v>
      </c>
      <c r="EK145" s="65"/>
    </row>
    <row r="146" spans="1:141" x14ac:dyDescent="0.3">
      <c r="A146" s="7" t="str">
        <f t="shared" si="80"/>
        <v>Execução 142</v>
      </c>
      <c r="B146" s="42"/>
      <c r="C146" s="43" t="str">
        <f>IF(IFERROR(INDEX(Consulta!$A:$DF,MATCH('MM01'!$B146,Consulta!$C:$C,0),'MM01'!C$2),"")=0,"",IFERROR(INDEX(Consulta!$A:$DF,MATCH('MM01'!$B146,Consulta!$C:$C,0),'MM01'!C$2),""))</f>
        <v/>
      </c>
      <c r="D146" s="43" t="str">
        <f>IF(IFERROR(INDEX(Consulta!$A:$DF,MATCH('MM01'!$B146,Consulta!$C:$C,0),'MM01'!D$2),"")=0,"",IFERROR(INDEX(Consulta!$A:$DF,MATCH('MM01'!$B146,Consulta!$C:$C,0),'MM01'!D$2),""))</f>
        <v/>
      </c>
      <c r="E146" s="43" t="str">
        <f>IF(IFERROR(INDEX(Consulta!$A:$DF,MATCH('MM01'!$B146,Consulta!$C:$C,0),'MM01'!E$2),"")=0,"",IFERROR(INDEX(Consulta!$A:$DF,MATCH('MM01'!$B146,Consulta!$C:$C,0),'MM01'!E$2),""))</f>
        <v/>
      </c>
      <c r="F146" s="44" t="s">
        <v>100</v>
      </c>
      <c r="G146" s="49" t="str">
        <f>IF(IFERROR(INDEX(Consulta!$A:$DF,MATCH('MM01'!$B146,Consulta!$C:$C,0),'MM01'!G$2),"")=0,"",IFERROR(INDEX(Consulta!$A:$DF,MATCH('MM01'!$B146,Consulta!$C:$C,0),'MM01'!G$2),""))</f>
        <v/>
      </c>
      <c r="H146" s="49" t="str">
        <f>IF(IFERROR(INDEX(Consulta!$A:$DF,MATCH('MM01'!$B146,Consulta!$C:$C,0),'MM01'!H$2),"")=0,"",IFERROR(INDEX(Consulta!$A:$DF,MATCH('MM01'!$B146,Consulta!$C:$C,0),'MM01'!H$2),""))</f>
        <v/>
      </c>
      <c r="I146" s="49" t="str">
        <f t="shared" si="81"/>
        <v/>
      </c>
      <c r="J146" s="49" t="str">
        <f>IF(IFERROR(INDEX(Consulta!$A:$DF,MATCH('MM01'!$B146,Consulta!$C:$C,0),'MM01'!J$2),"")=0,"",IFERROR(INDEX(Consulta!$A:$DF,MATCH('MM01'!$B146,Consulta!$C:$C,0),'MM01'!J$2),""))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IF(IFERROR(INDEX(Consulta!$A:$DF,MATCH('MM01'!$B146,Consulta!$C:$C,0),'MM01'!AP$2),"")=0,"",IFERROR(INDEX(Consulta!$A:$DF,MATCH('MM01'!$B146,Consulta!$C:$C,0),'MM01'!AP$2),""))</f>
        <v/>
      </c>
      <c r="AQ146" s="45"/>
      <c r="AR146" s="43" t="str">
        <f>IF(IFERROR(INDEX(Consulta!$A:$DF,MATCH('MM01'!$B146,Consulta!$C:$C,0),'MM01'!AR$2),"")=0,"",IFERROR(INDEX(Consulta!$A:$DF,MATCH('MM01'!$B146,Consulta!$C:$C,0),'MM01'!AR$2),""))</f>
        <v/>
      </c>
      <c r="AS146" s="43" t="str">
        <f>IF(IFERROR(INDEX(Consulta!$A:$DF,MATCH('MM01'!$B146,Consulta!$C:$C,0),'MM01'!AS$2),"")=0,"",IF(AR146="68",5102,IFERROR(INDEX(Consulta!$A:$DF,MATCH('MM01'!$B146,Consulta!$C:$C,0),'MM01'!AS$2),"")))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IF(IFERROR(INDEX(Consulta!$A:$DF,MATCH('MM01'!$B146,Consulta!$C:$C,0),'MM01'!AW$2),"")=0,"",IFERROR(ROUND(INDEX(Consulta!$A:$DF,MATCH('MM01'!$B146,Consulta!$C:$C,0),'MM01'!AW$2),3),""))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IF(IFERROR(INDEX(Consulta!$A:$DF,MATCH('MM01'!$B146,Consulta!$C:$C,0),'MM01'!BA$2),"")=0,"",IFERROR(INDEX(Consulta!$A:$DF,MATCH('MM01'!$B146,Consulta!$C:$C,0),'MM01'!BA$2),""))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IF(IFERROR(INDEX(Consulta!$A:$DF,MATCH('MM01'!$B146,Consulta!$C:$C,0),'MM01'!BL$2),"")=0,"",IFERROR(INDEX(Consulta!$A:$DF,MATCH('MM01'!$B146,Consulta!$C:$C,0),'MM01'!BL$2),""))</f>
        <v/>
      </c>
      <c r="BM146" s="45"/>
      <c r="BN146" s="46" t="str">
        <f t="shared" ca="1" si="93"/>
        <v/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IF(IFERROR(INDEX(Consulta!$A:$DF,MATCH('MM01'!$B146,Consulta!$C:$C,0),'MM01'!BX$2),"")=0,"",IFERROR(INDEX(Consulta!$A:$DF,MATCH('MM01'!$B146,Consulta!$C:$C,0),'MM01'!BX$2),""))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IF(IFERROR(INDEX(Consulta!$A:$DF,MATCH('MM01'!$B146,Consulta!$C:$C,0),'MM01'!CT$2),"")=0,"",IFERROR(INDEX(Consulta!$A:$DF,MATCH('MM01'!$B146,Consulta!$C:$C,0),'MM01'!CT$2),""))</f>
        <v/>
      </c>
      <c r="CU146" s="43" t="str">
        <f>IF(IFERROR(INDEX(Consulta!$A:$DF,MATCH('MM01'!$B146,Consulta!$C:$C,0),'MM01'!CU$2),"")=0,"",IFERROR(INDEX(Consulta!$A:$DF,MATCH('MM01'!$B146,Consulta!$C:$C,0),'MM01'!CU$2),""))</f>
        <v/>
      </c>
      <c r="CV146" s="43" t="str">
        <f>IF(IFERROR(INDEX(Consulta!$A:$DF,MATCH('MM01'!$B146,Consulta!$C:$C,0),'MM01'!CV$2),"")=0,"",IFERROR(INDEX(Consulta!$A:$DF,MATCH('MM01'!$B146,Consulta!$C:$C,0),'MM01'!CV$2),""))</f>
        <v/>
      </c>
      <c r="CW146" s="43" t="str">
        <f>IF(IFERROR(INDEX(Consulta!$A:$DF,MATCH('MM01'!$B146,Consulta!$C:$C,0),'MM01'!CW$2),"")=0,"",IFERROR(INDEX(Consulta!$A:$DF,MATCH('MM01'!$B146,Consulta!$C:$C,0),'MM01'!CW$2),""))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IF(IFERROR(INDEX(Consulta!$A:$DF,MATCH('MM01'!$B146,Consulta!$C:$C,0),'MM01'!DA$2),"")=0,"",IFERROR(INDEX(Consulta!$A:$DF,MATCH('MM01'!$B146,Consulta!$C:$C,0),'MM01'!DA$2),""))</f>
        <v/>
      </c>
      <c r="DB146" s="43" t="str">
        <f t="shared" si="102"/>
        <v/>
      </c>
      <c r="DC146" s="43" t="str">
        <f>IF(IFERROR(INDEX(Consulta!$A:$DF,MATCH('MM01'!$B146,Consulta!$C:$C,0),'MM01'!DC$2),"")=0,"",IFERROR(INDEX(Consulta!$A:$DF,MATCH('MM01'!$B146,Consulta!$C:$C,0),'MM01'!DC$2),""))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5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5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5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5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IF(IFERROR(INDEX(Consulta!$A:$DF,MATCH('MM01'!$B146,Consulta!$C:$C,0),'MM01'!EB$2),"")=0,"7925",IF(IFERROR(INDEX(Consulta!$A:$DF,MATCH('MM01'!$B146,Consulta!$C:$C,0),'MM01'!EB$2),"")="68","7910","7925"))</f>
        <v>7925</v>
      </c>
      <c r="EC146" s="44">
        <v>100</v>
      </c>
      <c r="ED146" s="60">
        <v>1</v>
      </c>
      <c r="EE146" s="43">
        <f t="shared" si="118"/>
        <v>100</v>
      </c>
      <c r="EF146" s="44">
        <v>1</v>
      </c>
      <c r="EG146" s="44">
        <v>0</v>
      </c>
      <c r="EH146" s="44" t="s">
        <v>867</v>
      </c>
      <c r="EI146" s="45">
        <v>0</v>
      </c>
      <c r="EJ146" s="43">
        <f t="shared" si="119"/>
        <v>5000</v>
      </c>
      <c r="EK146" s="65"/>
    </row>
    <row r="147" spans="1:141" x14ac:dyDescent="0.3">
      <c r="A147" s="7" t="str">
        <f t="shared" si="80"/>
        <v>Execução 143</v>
      </c>
      <c r="B147" s="42"/>
      <c r="C147" s="43" t="str">
        <f>IF(IFERROR(INDEX(Consulta!$A:$DF,MATCH('MM01'!$B147,Consulta!$C:$C,0),'MM01'!C$2),"")=0,"",IFERROR(INDEX(Consulta!$A:$DF,MATCH('MM01'!$B147,Consulta!$C:$C,0),'MM01'!C$2),""))</f>
        <v/>
      </c>
      <c r="D147" s="43" t="str">
        <f>IF(IFERROR(INDEX(Consulta!$A:$DF,MATCH('MM01'!$B147,Consulta!$C:$C,0),'MM01'!D$2),"")=0,"",IFERROR(INDEX(Consulta!$A:$DF,MATCH('MM01'!$B147,Consulta!$C:$C,0),'MM01'!D$2),""))</f>
        <v/>
      </c>
      <c r="E147" s="43" t="str">
        <f>IF(IFERROR(INDEX(Consulta!$A:$DF,MATCH('MM01'!$B147,Consulta!$C:$C,0),'MM01'!E$2),"")=0,"",IFERROR(INDEX(Consulta!$A:$DF,MATCH('MM01'!$B147,Consulta!$C:$C,0),'MM01'!E$2),""))</f>
        <v/>
      </c>
      <c r="F147" s="44" t="s">
        <v>100</v>
      </c>
      <c r="G147" s="49" t="str">
        <f>IF(IFERROR(INDEX(Consulta!$A:$DF,MATCH('MM01'!$B147,Consulta!$C:$C,0),'MM01'!G$2),"")=0,"",IFERROR(INDEX(Consulta!$A:$DF,MATCH('MM01'!$B147,Consulta!$C:$C,0),'MM01'!G$2),""))</f>
        <v/>
      </c>
      <c r="H147" s="49" t="str">
        <f>IF(IFERROR(INDEX(Consulta!$A:$DF,MATCH('MM01'!$B147,Consulta!$C:$C,0),'MM01'!H$2),"")=0,"",IFERROR(INDEX(Consulta!$A:$DF,MATCH('MM01'!$B147,Consulta!$C:$C,0),'MM01'!H$2),""))</f>
        <v/>
      </c>
      <c r="I147" s="49" t="str">
        <f t="shared" si="81"/>
        <v/>
      </c>
      <c r="J147" s="49" t="str">
        <f>IF(IFERROR(INDEX(Consulta!$A:$DF,MATCH('MM01'!$B147,Consulta!$C:$C,0),'MM01'!J$2),"")=0,"",IFERROR(INDEX(Consulta!$A:$DF,MATCH('MM01'!$B147,Consulta!$C:$C,0),'MM01'!J$2),""))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IF(IFERROR(INDEX(Consulta!$A:$DF,MATCH('MM01'!$B147,Consulta!$C:$C,0),'MM01'!AP$2),"")=0,"",IFERROR(INDEX(Consulta!$A:$DF,MATCH('MM01'!$B147,Consulta!$C:$C,0),'MM01'!AP$2),""))</f>
        <v/>
      </c>
      <c r="AQ147" s="45"/>
      <c r="AR147" s="43" t="str">
        <f>IF(IFERROR(INDEX(Consulta!$A:$DF,MATCH('MM01'!$B147,Consulta!$C:$C,0),'MM01'!AR$2),"")=0,"",IFERROR(INDEX(Consulta!$A:$DF,MATCH('MM01'!$B147,Consulta!$C:$C,0),'MM01'!AR$2),""))</f>
        <v/>
      </c>
      <c r="AS147" s="43" t="str">
        <f>IF(IFERROR(INDEX(Consulta!$A:$DF,MATCH('MM01'!$B147,Consulta!$C:$C,0),'MM01'!AS$2),"")=0,"",IF(AR147="68",5102,IFERROR(INDEX(Consulta!$A:$DF,MATCH('MM01'!$B147,Consulta!$C:$C,0),'MM01'!AS$2),"")))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IF(IFERROR(INDEX(Consulta!$A:$DF,MATCH('MM01'!$B147,Consulta!$C:$C,0),'MM01'!AW$2),"")=0,"",IFERROR(ROUND(INDEX(Consulta!$A:$DF,MATCH('MM01'!$B147,Consulta!$C:$C,0),'MM01'!AW$2),3),""))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IF(IFERROR(INDEX(Consulta!$A:$DF,MATCH('MM01'!$B147,Consulta!$C:$C,0),'MM01'!BA$2),"")=0,"",IFERROR(INDEX(Consulta!$A:$DF,MATCH('MM01'!$B147,Consulta!$C:$C,0),'MM01'!BA$2),""))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IF(IFERROR(INDEX(Consulta!$A:$DF,MATCH('MM01'!$B147,Consulta!$C:$C,0),'MM01'!BL$2),"")=0,"",IFERROR(INDEX(Consulta!$A:$DF,MATCH('MM01'!$B147,Consulta!$C:$C,0),'MM01'!BL$2),""))</f>
        <v/>
      </c>
      <c r="BM147" s="45"/>
      <c r="BN147" s="46" t="str">
        <f t="shared" ca="1" si="93"/>
        <v/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IF(IFERROR(INDEX(Consulta!$A:$DF,MATCH('MM01'!$B147,Consulta!$C:$C,0),'MM01'!BX$2),"")=0,"",IFERROR(INDEX(Consulta!$A:$DF,MATCH('MM01'!$B147,Consulta!$C:$C,0),'MM01'!BX$2),""))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IF(IFERROR(INDEX(Consulta!$A:$DF,MATCH('MM01'!$B147,Consulta!$C:$C,0),'MM01'!CT$2),"")=0,"",IFERROR(INDEX(Consulta!$A:$DF,MATCH('MM01'!$B147,Consulta!$C:$C,0),'MM01'!CT$2),""))</f>
        <v/>
      </c>
      <c r="CU147" s="43" t="str">
        <f>IF(IFERROR(INDEX(Consulta!$A:$DF,MATCH('MM01'!$B147,Consulta!$C:$C,0),'MM01'!CU$2),"")=0,"",IFERROR(INDEX(Consulta!$A:$DF,MATCH('MM01'!$B147,Consulta!$C:$C,0),'MM01'!CU$2),""))</f>
        <v/>
      </c>
      <c r="CV147" s="43" t="str">
        <f>IF(IFERROR(INDEX(Consulta!$A:$DF,MATCH('MM01'!$B147,Consulta!$C:$C,0),'MM01'!CV$2),"")=0,"",IFERROR(INDEX(Consulta!$A:$DF,MATCH('MM01'!$B147,Consulta!$C:$C,0),'MM01'!CV$2),""))</f>
        <v/>
      </c>
      <c r="CW147" s="43" t="str">
        <f>IF(IFERROR(INDEX(Consulta!$A:$DF,MATCH('MM01'!$B147,Consulta!$C:$C,0),'MM01'!CW$2),"")=0,"",IFERROR(INDEX(Consulta!$A:$DF,MATCH('MM01'!$B147,Consulta!$C:$C,0),'MM01'!CW$2),""))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IF(IFERROR(INDEX(Consulta!$A:$DF,MATCH('MM01'!$B147,Consulta!$C:$C,0),'MM01'!DA$2),"")=0,"",IFERROR(INDEX(Consulta!$A:$DF,MATCH('MM01'!$B147,Consulta!$C:$C,0),'MM01'!DA$2),""))</f>
        <v/>
      </c>
      <c r="DB147" s="43" t="str">
        <f t="shared" si="102"/>
        <v/>
      </c>
      <c r="DC147" s="43" t="str">
        <f>IF(IFERROR(INDEX(Consulta!$A:$DF,MATCH('MM01'!$B147,Consulta!$C:$C,0),'MM01'!DC$2),"")=0,"",IFERROR(INDEX(Consulta!$A:$DF,MATCH('MM01'!$B147,Consulta!$C:$C,0),'MM01'!DC$2),""))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5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5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5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5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IF(IFERROR(INDEX(Consulta!$A:$DF,MATCH('MM01'!$B147,Consulta!$C:$C,0),'MM01'!EB$2),"")=0,"7925",IF(IFERROR(INDEX(Consulta!$A:$DF,MATCH('MM01'!$B147,Consulta!$C:$C,0),'MM01'!EB$2),"")="68","7910","7925"))</f>
        <v>7925</v>
      </c>
      <c r="EC147" s="44">
        <v>100</v>
      </c>
      <c r="ED147" s="60">
        <v>1</v>
      </c>
      <c r="EE147" s="43">
        <f t="shared" si="118"/>
        <v>100</v>
      </c>
      <c r="EF147" s="44">
        <v>1</v>
      </c>
      <c r="EG147" s="44">
        <v>0</v>
      </c>
      <c r="EH147" s="44" t="s">
        <v>867</v>
      </c>
      <c r="EI147" s="45">
        <v>0</v>
      </c>
      <c r="EJ147" s="43">
        <f t="shared" si="119"/>
        <v>5000</v>
      </c>
      <c r="EK147" s="65"/>
    </row>
    <row r="148" spans="1:141" x14ac:dyDescent="0.3">
      <c r="A148" s="7" t="str">
        <f t="shared" si="80"/>
        <v>Execução 144</v>
      </c>
      <c r="B148" s="42"/>
      <c r="C148" s="43" t="str">
        <f>IF(IFERROR(INDEX(Consulta!$A:$DF,MATCH('MM01'!$B148,Consulta!$C:$C,0),'MM01'!C$2),"")=0,"",IFERROR(INDEX(Consulta!$A:$DF,MATCH('MM01'!$B148,Consulta!$C:$C,0),'MM01'!C$2),""))</f>
        <v/>
      </c>
      <c r="D148" s="43" t="str">
        <f>IF(IFERROR(INDEX(Consulta!$A:$DF,MATCH('MM01'!$B148,Consulta!$C:$C,0),'MM01'!D$2),"")=0,"",IFERROR(INDEX(Consulta!$A:$DF,MATCH('MM01'!$B148,Consulta!$C:$C,0),'MM01'!D$2),""))</f>
        <v/>
      </c>
      <c r="E148" s="43" t="str">
        <f>IF(IFERROR(INDEX(Consulta!$A:$DF,MATCH('MM01'!$B148,Consulta!$C:$C,0),'MM01'!E$2),"")=0,"",IFERROR(INDEX(Consulta!$A:$DF,MATCH('MM01'!$B148,Consulta!$C:$C,0),'MM01'!E$2),""))</f>
        <v/>
      </c>
      <c r="F148" s="44" t="s">
        <v>100</v>
      </c>
      <c r="G148" s="49" t="str">
        <f>IF(IFERROR(INDEX(Consulta!$A:$DF,MATCH('MM01'!$B148,Consulta!$C:$C,0),'MM01'!G$2),"")=0,"",IFERROR(INDEX(Consulta!$A:$DF,MATCH('MM01'!$B148,Consulta!$C:$C,0),'MM01'!G$2),""))</f>
        <v/>
      </c>
      <c r="H148" s="49" t="str">
        <f>IF(IFERROR(INDEX(Consulta!$A:$DF,MATCH('MM01'!$B148,Consulta!$C:$C,0),'MM01'!H$2),"")=0,"",IFERROR(INDEX(Consulta!$A:$DF,MATCH('MM01'!$B148,Consulta!$C:$C,0),'MM01'!H$2),""))</f>
        <v/>
      </c>
      <c r="I148" s="49" t="str">
        <f t="shared" si="81"/>
        <v/>
      </c>
      <c r="J148" s="49" t="str">
        <f>IF(IFERROR(INDEX(Consulta!$A:$DF,MATCH('MM01'!$B148,Consulta!$C:$C,0),'MM01'!J$2),"")=0,"",IFERROR(INDEX(Consulta!$A:$DF,MATCH('MM01'!$B148,Consulta!$C:$C,0),'MM01'!J$2),""))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IF(IFERROR(INDEX(Consulta!$A:$DF,MATCH('MM01'!$B148,Consulta!$C:$C,0),'MM01'!AP$2),"")=0,"",IFERROR(INDEX(Consulta!$A:$DF,MATCH('MM01'!$B148,Consulta!$C:$C,0),'MM01'!AP$2),""))</f>
        <v/>
      </c>
      <c r="AQ148" s="45"/>
      <c r="AR148" s="43" t="str">
        <f>IF(IFERROR(INDEX(Consulta!$A:$DF,MATCH('MM01'!$B148,Consulta!$C:$C,0),'MM01'!AR$2),"")=0,"",IFERROR(INDEX(Consulta!$A:$DF,MATCH('MM01'!$B148,Consulta!$C:$C,0),'MM01'!AR$2),""))</f>
        <v/>
      </c>
      <c r="AS148" s="43" t="str">
        <f>IF(IFERROR(INDEX(Consulta!$A:$DF,MATCH('MM01'!$B148,Consulta!$C:$C,0),'MM01'!AS$2),"")=0,"",IF(AR148="68",5102,IFERROR(INDEX(Consulta!$A:$DF,MATCH('MM01'!$B148,Consulta!$C:$C,0),'MM01'!AS$2),"")))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IF(IFERROR(INDEX(Consulta!$A:$DF,MATCH('MM01'!$B148,Consulta!$C:$C,0),'MM01'!AW$2),"")=0,"",IFERROR(ROUND(INDEX(Consulta!$A:$DF,MATCH('MM01'!$B148,Consulta!$C:$C,0),'MM01'!AW$2),3),""))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IF(IFERROR(INDEX(Consulta!$A:$DF,MATCH('MM01'!$B148,Consulta!$C:$C,0),'MM01'!BA$2),"")=0,"",IFERROR(INDEX(Consulta!$A:$DF,MATCH('MM01'!$B148,Consulta!$C:$C,0),'MM01'!BA$2),""))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IF(IFERROR(INDEX(Consulta!$A:$DF,MATCH('MM01'!$B148,Consulta!$C:$C,0),'MM01'!BL$2),"")=0,"",IFERROR(INDEX(Consulta!$A:$DF,MATCH('MM01'!$B148,Consulta!$C:$C,0),'MM01'!BL$2),""))</f>
        <v/>
      </c>
      <c r="BM148" s="45"/>
      <c r="BN148" s="46" t="str">
        <f t="shared" ca="1" si="93"/>
        <v/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IF(IFERROR(INDEX(Consulta!$A:$DF,MATCH('MM01'!$B148,Consulta!$C:$C,0),'MM01'!BX$2),"")=0,"",IFERROR(INDEX(Consulta!$A:$DF,MATCH('MM01'!$B148,Consulta!$C:$C,0),'MM01'!BX$2),""))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IF(IFERROR(INDEX(Consulta!$A:$DF,MATCH('MM01'!$B148,Consulta!$C:$C,0),'MM01'!CT$2),"")=0,"",IFERROR(INDEX(Consulta!$A:$DF,MATCH('MM01'!$B148,Consulta!$C:$C,0),'MM01'!CT$2),""))</f>
        <v/>
      </c>
      <c r="CU148" s="43" t="str">
        <f>IF(IFERROR(INDEX(Consulta!$A:$DF,MATCH('MM01'!$B148,Consulta!$C:$C,0),'MM01'!CU$2),"")=0,"",IFERROR(INDEX(Consulta!$A:$DF,MATCH('MM01'!$B148,Consulta!$C:$C,0),'MM01'!CU$2),""))</f>
        <v/>
      </c>
      <c r="CV148" s="43" t="str">
        <f>IF(IFERROR(INDEX(Consulta!$A:$DF,MATCH('MM01'!$B148,Consulta!$C:$C,0),'MM01'!CV$2),"")=0,"",IFERROR(INDEX(Consulta!$A:$DF,MATCH('MM01'!$B148,Consulta!$C:$C,0),'MM01'!CV$2),""))</f>
        <v/>
      </c>
      <c r="CW148" s="43" t="str">
        <f>IF(IFERROR(INDEX(Consulta!$A:$DF,MATCH('MM01'!$B148,Consulta!$C:$C,0),'MM01'!CW$2),"")=0,"",IFERROR(INDEX(Consulta!$A:$DF,MATCH('MM01'!$B148,Consulta!$C:$C,0),'MM01'!CW$2),""))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IF(IFERROR(INDEX(Consulta!$A:$DF,MATCH('MM01'!$B148,Consulta!$C:$C,0),'MM01'!DA$2),"")=0,"",IFERROR(INDEX(Consulta!$A:$DF,MATCH('MM01'!$B148,Consulta!$C:$C,0),'MM01'!DA$2),""))</f>
        <v/>
      </c>
      <c r="DB148" s="43" t="str">
        <f t="shared" si="102"/>
        <v/>
      </c>
      <c r="DC148" s="43" t="str">
        <f>IF(IFERROR(INDEX(Consulta!$A:$DF,MATCH('MM01'!$B148,Consulta!$C:$C,0),'MM01'!DC$2),"")=0,"",IFERROR(INDEX(Consulta!$A:$DF,MATCH('MM01'!$B148,Consulta!$C:$C,0),'MM01'!DC$2),""))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5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5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5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5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IF(IFERROR(INDEX(Consulta!$A:$DF,MATCH('MM01'!$B148,Consulta!$C:$C,0),'MM01'!EB$2),"")=0,"7925",IF(IFERROR(INDEX(Consulta!$A:$DF,MATCH('MM01'!$B148,Consulta!$C:$C,0),'MM01'!EB$2),"")="68","7910","7925"))</f>
        <v>7925</v>
      </c>
      <c r="EC148" s="44">
        <v>100</v>
      </c>
      <c r="ED148" s="60">
        <v>1</v>
      </c>
      <c r="EE148" s="43">
        <f t="shared" si="118"/>
        <v>100</v>
      </c>
      <c r="EF148" s="44">
        <v>1</v>
      </c>
      <c r="EG148" s="44">
        <v>0</v>
      </c>
      <c r="EH148" s="44" t="s">
        <v>867</v>
      </c>
      <c r="EI148" s="45">
        <v>0</v>
      </c>
      <c r="EJ148" s="43">
        <f t="shared" si="119"/>
        <v>5000</v>
      </c>
      <c r="EK148" s="65"/>
    </row>
    <row r="149" spans="1:141" x14ac:dyDescent="0.3">
      <c r="A149" s="7" t="str">
        <f t="shared" si="80"/>
        <v>Execução 145</v>
      </c>
      <c r="B149" s="42"/>
      <c r="C149" s="43" t="str">
        <f>IF(IFERROR(INDEX(Consulta!$A:$DF,MATCH('MM01'!$B149,Consulta!$C:$C,0),'MM01'!C$2),"")=0,"",IFERROR(INDEX(Consulta!$A:$DF,MATCH('MM01'!$B149,Consulta!$C:$C,0),'MM01'!C$2),""))</f>
        <v/>
      </c>
      <c r="D149" s="43" t="str">
        <f>IF(IFERROR(INDEX(Consulta!$A:$DF,MATCH('MM01'!$B149,Consulta!$C:$C,0),'MM01'!D$2),"")=0,"",IFERROR(INDEX(Consulta!$A:$DF,MATCH('MM01'!$B149,Consulta!$C:$C,0),'MM01'!D$2),""))</f>
        <v/>
      </c>
      <c r="E149" s="43" t="str">
        <f>IF(IFERROR(INDEX(Consulta!$A:$DF,MATCH('MM01'!$B149,Consulta!$C:$C,0),'MM01'!E$2),"")=0,"",IFERROR(INDEX(Consulta!$A:$DF,MATCH('MM01'!$B149,Consulta!$C:$C,0),'MM01'!E$2),""))</f>
        <v/>
      </c>
      <c r="F149" s="44" t="s">
        <v>100</v>
      </c>
      <c r="G149" s="49" t="str">
        <f>IF(IFERROR(INDEX(Consulta!$A:$DF,MATCH('MM01'!$B149,Consulta!$C:$C,0),'MM01'!G$2),"")=0,"",IFERROR(INDEX(Consulta!$A:$DF,MATCH('MM01'!$B149,Consulta!$C:$C,0),'MM01'!G$2),""))</f>
        <v/>
      </c>
      <c r="H149" s="49" t="str">
        <f>IF(IFERROR(INDEX(Consulta!$A:$DF,MATCH('MM01'!$B149,Consulta!$C:$C,0),'MM01'!H$2),"")=0,"",IFERROR(INDEX(Consulta!$A:$DF,MATCH('MM01'!$B149,Consulta!$C:$C,0),'MM01'!H$2),""))</f>
        <v/>
      </c>
      <c r="I149" s="49" t="str">
        <f t="shared" si="81"/>
        <v/>
      </c>
      <c r="J149" s="49" t="str">
        <f>IF(IFERROR(INDEX(Consulta!$A:$DF,MATCH('MM01'!$B149,Consulta!$C:$C,0),'MM01'!J$2),"")=0,"",IFERROR(INDEX(Consulta!$A:$DF,MATCH('MM01'!$B149,Consulta!$C:$C,0),'MM01'!J$2),""))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IF(IFERROR(INDEX(Consulta!$A:$DF,MATCH('MM01'!$B149,Consulta!$C:$C,0),'MM01'!AP$2),"")=0,"",IFERROR(INDEX(Consulta!$A:$DF,MATCH('MM01'!$B149,Consulta!$C:$C,0),'MM01'!AP$2),""))</f>
        <v/>
      </c>
      <c r="AQ149" s="45"/>
      <c r="AR149" s="43" t="str">
        <f>IF(IFERROR(INDEX(Consulta!$A:$DF,MATCH('MM01'!$B149,Consulta!$C:$C,0),'MM01'!AR$2),"")=0,"",IFERROR(INDEX(Consulta!$A:$DF,MATCH('MM01'!$B149,Consulta!$C:$C,0),'MM01'!AR$2),""))</f>
        <v/>
      </c>
      <c r="AS149" s="43" t="str">
        <f>IF(IFERROR(INDEX(Consulta!$A:$DF,MATCH('MM01'!$B149,Consulta!$C:$C,0),'MM01'!AS$2),"")=0,"",IF(AR149="68",5102,IFERROR(INDEX(Consulta!$A:$DF,MATCH('MM01'!$B149,Consulta!$C:$C,0),'MM01'!AS$2),"")))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IF(IFERROR(INDEX(Consulta!$A:$DF,MATCH('MM01'!$B149,Consulta!$C:$C,0),'MM01'!AW$2),"")=0,"",IFERROR(ROUND(INDEX(Consulta!$A:$DF,MATCH('MM01'!$B149,Consulta!$C:$C,0),'MM01'!AW$2),3),""))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IF(IFERROR(INDEX(Consulta!$A:$DF,MATCH('MM01'!$B149,Consulta!$C:$C,0),'MM01'!BA$2),"")=0,"",IFERROR(INDEX(Consulta!$A:$DF,MATCH('MM01'!$B149,Consulta!$C:$C,0),'MM01'!BA$2),""))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IF(IFERROR(INDEX(Consulta!$A:$DF,MATCH('MM01'!$B149,Consulta!$C:$C,0),'MM01'!BL$2),"")=0,"",IFERROR(INDEX(Consulta!$A:$DF,MATCH('MM01'!$B149,Consulta!$C:$C,0),'MM01'!BL$2),""))</f>
        <v/>
      </c>
      <c r="BM149" s="45"/>
      <c r="BN149" s="46" t="str">
        <f t="shared" ca="1" si="93"/>
        <v/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IF(IFERROR(INDEX(Consulta!$A:$DF,MATCH('MM01'!$B149,Consulta!$C:$C,0),'MM01'!BX$2),"")=0,"",IFERROR(INDEX(Consulta!$A:$DF,MATCH('MM01'!$B149,Consulta!$C:$C,0),'MM01'!BX$2),""))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IF(IFERROR(INDEX(Consulta!$A:$DF,MATCH('MM01'!$B149,Consulta!$C:$C,0),'MM01'!CT$2),"")=0,"",IFERROR(INDEX(Consulta!$A:$DF,MATCH('MM01'!$B149,Consulta!$C:$C,0),'MM01'!CT$2),""))</f>
        <v/>
      </c>
      <c r="CU149" s="43" t="str">
        <f>IF(IFERROR(INDEX(Consulta!$A:$DF,MATCH('MM01'!$B149,Consulta!$C:$C,0),'MM01'!CU$2),"")=0,"",IFERROR(INDEX(Consulta!$A:$DF,MATCH('MM01'!$B149,Consulta!$C:$C,0),'MM01'!CU$2),""))</f>
        <v/>
      </c>
      <c r="CV149" s="43" t="str">
        <f>IF(IFERROR(INDEX(Consulta!$A:$DF,MATCH('MM01'!$B149,Consulta!$C:$C,0),'MM01'!CV$2),"")=0,"",IFERROR(INDEX(Consulta!$A:$DF,MATCH('MM01'!$B149,Consulta!$C:$C,0),'MM01'!CV$2),""))</f>
        <v/>
      </c>
      <c r="CW149" s="43" t="str">
        <f>IF(IFERROR(INDEX(Consulta!$A:$DF,MATCH('MM01'!$B149,Consulta!$C:$C,0),'MM01'!CW$2),"")=0,"",IFERROR(INDEX(Consulta!$A:$DF,MATCH('MM01'!$B149,Consulta!$C:$C,0),'MM01'!CW$2),""))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IF(IFERROR(INDEX(Consulta!$A:$DF,MATCH('MM01'!$B149,Consulta!$C:$C,0),'MM01'!DA$2),"")=0,"",IFERROR(INDEX(Consulta!$A:$DF,MATCH('MM01'!$B149,Consulta!$C:$C,0),'MM01'!DA$2),""))</f>
        <v/>
      </c>
      <c r="DB149" s="43" t="str">
        <f t="shared" si="102"/>
        <v/>
      </c>
      <c r="DC149" s="43" t="str">
        <f>IF(IFERROR(INDEX(Consulta!$A:$DF,MATCH('MM01'!$B149,Consulta!$C:$C,0),'MM01'!DC$2),"")=0,"",IFERROR(INDEX(Consulta!$A:$DF,MATCH('MM01'!$B149,Consulta!$C:$C,0),'MM01'!DC$2),""))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5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5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5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5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IF(IFERROR(INDEX(Consulta!$A:$DF,MATCH('MM01'!$B149,Consulta!$C:$C,0),'MM01'!EB$2),"")=0,"7925",IF(IFERROR(INDEX(Consulta!$A:$DF,MATCH('MM01'!$B149,Consulta!$C:$C,0),'MM01'!EB$2),"")="68","7910","7925"))</f>
        <v>7925</v>
      </c>
      <c r="EC149" s="44">
        <v>100</v>
      </c>
      <c r="ED149" s="60">
        <v>1</v>
      </c>
      <c r="EE149" s="43">
        <f t="shared" si="118"/>
        <v>100</v>
      </c>
      <c r="EF149" s="44">
        <v>1</v>
      </c>
      <c r="EG149" s="44">
        <v>0</v>
      </c>
      <c r="EH149" s="44" t="s">
        <v>867</v>
      </c>
      <c r="EI149" s="45">
        <v>0</v>
      </c>
      <c r="EJ149" s="43">
        <f t="shared" si="119"/>
        <v>5000</v>
      </c>
      <c r="EK149" s="65"/>
    </row>
    <row r="150" spans="1:141" x14ac:dyDescent="0.3">
      <c r="A150" s="7" t="str">
        <f t="shared" si="80"/>
        <v>Execução 146</v>
      </c>
      <c r="B150" s="42"/>
      <c r="C150" s="43" t="str">
        <f>IF(IFERROR(INDEX(Consulta!$A:$DF,MATCH('MM01'!$B150,Consulta!$C:$C,0),'MM01'!C$2),"")=0,"",IFERROR(INDEX(Consulta!$A:$DF,MATCH('MM01'!$B150,Consulta!$C:$C,0),'MM01'!C$2),""))</f>
        <v/>
      </c>
      <c r="D150" s="43" t="str">
        <f>IF(IFERROR(INDEX(Consulta!$A:$DF,MATCH('MM01'!$B150,Consulta!$C:$C,0),'MM01'!D$2),"")=0,"",IFERROR(INDEX(Consulta!$A:$DF,MATCH('MM01'!$B150,Consulta!$C:$C,0),'MM01'!D$2),""))</f>
        <v/>
      </c>
      <c r="E150" s="43" t="str">
        <f>IF(IFERROR(INDEX(Consulta!$A:$DF,MATCH('MM01'!$B150,Consulta!$C:$C,0),'MM01'!E$2),"")=0,"",IFERROR(INDEX(Consulta!$A:$DF,MATCH('MM01'!$B150,Consulta!$C:$C,0),'MM01'!E$2),""))</f>
        <v/>
      </c>
      <c r="F150" s="44" t="s">
        <v>100</v>
      </c>
      <c r="G150" s="49" t="str">
        <f>IF(IFERROR(INDEX(Consulta!$A:$DF,MATCH('MM01'!$B150,Consulta!$C:$C,0),'MM01'!G$2),"")=0,"",IFERROR(INDEX(Consulta!$A:$DF,MATCH('MM01'!$B150,Consulta!$C:$C,0),'MM01'!G$2),""))</f>
        <v/>
      </c>
      <c r="H150" s="49" t="str">
        <f>IF(IFERROR(INDEX(Consulta!$A:$DF,MATCH('MM01'!$B150,Consulta!$C:$C,0),'MM01'!H$2),"")=0,"",IFERROR(INDEX(Consulta!$A:$DF,MATCH('MM01'!$B150,Consulta!$C:$C,0),'MM01'!H$2),""))</f>
        <v/>
      </c>
      <c r="I150" s="49" t="str">
        <f t="shared" si="81"/>
        <v/>
      </c>
      <c r="J150" s="49" t="str">
        <f>IF(IFERROR(INDEX(Consulta!$A:$DF,MATCH('MM01'!$B150,Consulta!$C:$C,0),'MM01'!J$2),"")=0,"",IFERROR(INDEX(Consulta!$A:$DF,MATCH('MM01'!$B150,Consulta!$C:$C,0),'MM01'!J$2),""))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IF(IFERROR(INDEX(Consulta!$A:$DF,MATCH('MM01'!$B150,Consulta!$C:$C,0),'MM01'!AP$2),"")=0,"",IFERROR(INDEX(Consulta!$A:$DF,MATCH('MM01'!$B150,Consulta!$C:$C,0),'MM01'!AP$2),""))</f>
        <v/>
      </c>
      <c r="AQ150" s="45"/>
      <c r="AR150" s="43" t="str">
        <f>IF(IFERROR(INDEX(Consulta!$A:$DF,MATCH('MM01'!$B150,Consulta!$C:$C,0),'MM01'!AR$2),"")=0,"",IFERROR(INDEX(Consulta!$A:$DF,MATCH('MM01'!$B150,Consulta!$C:$C,0),'MM01'!AR$2),""))</f>
        <v/>
      </c>
      <c r="AS150" s="43" t="str">
        <f>IF(IFERROR(INDEX(Consulta!$A:$DF,MATCH('MM01'!$B150,Consulta!$C:$C,0),'MM01'!AS$2),"")=0,"",IF(AR150="68",5102,IFERROR(INDEX(Consulta!$A:$DF,MATCH('MM01'!$B150,Consulta!$C:$C,0),'MM01'!AS$2),"")))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IF(IFERROR(INDEX(Consulta!$A:$DF,MATCH('MM01'!$B150,Consulta!$C:$C,0),'MM01'!AW$2),"")=0,"",IFERROR(ROUND(INDEX(Consulta!$A:$DF,MATCH('MM01'!$B150,Consulta!$C:$C,0),'MM01'!AW$2),3),""))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IF(IFERROR(INDEX(Consulta!$A:$DF,MATCH('MM01'!$B150,Consulta!$C:$C,0),'MM01'!BA$2),"")=0,"",IFERROR(INDEX(Consulta!$A:$DF,MATCH('MM01'!$B150,Consulta!$C:$C,0),'MM01'!BA$2),""))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IF(IFERROR(INDEX(Consulta!$A:$DF,MATCH('MM01'!$B150,Consulta!$C:$C,0),'MM01'!BL$2),"")=0,"",IFERROR(INDEX(Consulta!$A:$DF,MATCH('MM01'!$B150,Consulta!$C:$C,0),'MM01'!BL$2),""))</f>
        <v/>
      </c>
      <c r="BM150" s="45"/>
      <c r="BN150" s="46" t="str">
        <f t="shared" ca="1" si="93"/>
        <v/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IF(IFERROR(INDEX(Consulta!$A:$DF,MATCH('MM01'!$B150,Consulta!$C:$C,0),'MM01'!BX$2),"")=0,"",IFERROR(INDEX(Consulta!$A:$DF,MATCH('MM01'!$B150,Consulta!$C:$C,0),'MM01'!BX$2),""))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IF(IFERROR(INDEX(Consulta!$A:$DF,MATCH('MM01'!$B150,Consulta!$C:$C,0),'MM01'!CT$2),"")=0,"",IFERROR(INDEX(Consulta!$A:$DF,MATCH('MM01'!$B150,Consulta!$C:$C,0),'MM01'!CT$2),""))</f>
        <v/>
      </c>
      <c r="CU150" s="43" t="str">
        <f>IF(IFERROR(INDEX(Consulta!$A:$DF,MATCH('MM01'!$B150,Consulta!$C:$C,0),'MM01'!CU$2),"")=0,"",IFERROR(INDEX(Consulta!$A:$DF,MATCH('MM01'!$B150,Consulta!$C:$C,0),'MM01'!CU$2),""))</f>
        <v/>
      </c>
      <c r="CV150" s="43" t="str">
        <f>IF(IFERROR(INDEX(Consulta!$A:$DF,MATCH('MM01'!$B150,Consulta!$C:$C,0),'MM01'!CV$2),"")=0,"",IFERROR(INDEX(Consulta!$A:$DF,MATCH('MM01'!$B150,Consulta!$C:$C,0),'MM01'!CV$2),""))</f>
        <v/>
      </c>
      <c r="CW150" s="43" t="str">
        <f>IF(IFERROR(INDEX(Consulta!$A:$DF,MATCH('MM01'!$B150,Consulta!$C:$C,0),'MM01'!CW$2),"")=0,"",IFERROR(INDEX(Consulta!$A:$DF,MATCH('MM01'!$B150,Consulta!$C:$C,0),'MM01'!CW$2),""))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IF(IFERROR(INDEX(Consulta!$A:$DF,MATCH('MM01'!$B150,Consulta!$C:$C,0),'MM01'!DA$2),"")=0,"",IFERROR(INDEX(Consulta!$A:$DF,MATCH('MM01'!$B150,Consulta!$C:$C,0),'MM01'!DA$2),""))</f>
        <v/>
      </c>
      <c r="DB150" s="43" t="str">
        <f t="shared" si="102"/>
        <v/>
      </c>
      <c r="DC150" s="43" t="str">
        <f>IF(IFERROR(INDEX(Consulta!$A:$DF,MATCH('MM01'!$B150,Consulta!$C:$C,0),'MM01'!DC$2),"")=0,"",IFERROR(INDEX(Consulta!$A:$DF,MATCH('MM01'!$B150,Consulta!$C:$C,0),'MM01'!DC$2),""))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5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5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5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5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IF(IFERROR(INDEX(Consulta!$A:$DF,MATCH('MM01'!$B150,Consulta!$C:$C,0),'MM01'!EB$2),"")=0,"7925",IF(IFERROR(INDEX(Consulta!$A:$DF,MATCH('MM01'!$B150,Consulta!$C:$C,0),'MM01'!EB$2),"")="68","7910","7925"))</f>
        <v>7925</v>
      </c>
      <c r="EC150" s="44">
        <v>100</v>
      </c>
      <c r="ED150" s="60">
        <v>1</v>
      </c>
      <c r="EE150" s="43">
        <f t="shared" si="118"/>
        <v>100</v>
      </c>
      <c r="EF150" s="44">
        <v>1</v>
      </c>
      <c r="EG150" s="44">
        <v>0</v>
      </c>
      <c r="EH150" s="44" t="s">
        <v>867</v>
      </c>
      <c r="EI150" s="45">
        <v>0</v>
      </c>
      <c r="EJ150" s="43">
        <f t="shared" si="119"/>
        <v>5000</v>
      </c>
      <c r="EK150" s="65"/>
    </row>
    <row r="151" spans="1:141" x14ac:dyDescent="0.3">
      <c r="A151" s="7" t="str">
        <f t="shared" si="80"/>
        <v>Execução 147</v>
      </c>
      <c r="B151" s="42"/>
      <c r="C151" s="43" t="str">
        <f>IF(IFERROR(INDEX(Consulta!$A:$DF,MATCH('MM01'!$B151,Consulta!$C:$C,0),'MM01'!C$2),"")=0,"",IFERROR(INDEX(Consulta!$A:$DF,MATCH('MM01'!$B151,Consulta!$C:$C,0),'MM01'!C$2),""))</f>
        <v/>
      </c>
      <c r="D151" s="43" t="str">
        <f>IF(IFERROR(INDEX(Consulta!$A:$DF,MATCH('MM01'!$B151,Consulta!$C:$C,0),'MM01'!D$2),"")=0,"",IFERROR(INDEX(Consulta!$A:$DF,MATCH('MM01'!$B151,Consulta!$C:$C,0),'MM01'!D$2),""))</f>
        <v/>
      </c>
      <c r="E151" s="43" t="str">
        <f>IF(IFERROR(INDEX(Consulta!$A:$DF,MATCH('MM01'!$B151,Consulta!$C:$C,0),'MM01'!E$2),"")=0,"",IFERROR(INDEX(Consulta!$A:$DF,MATCH('MM01'!$B151,Consulta!$C:$C,0),'MM01'!E$2),""))</f>
        <v/>
      </c>
      <c r="F151" s="44" t="s">
        <v>100</v>
      </c>
      <c r="G151" s="49" t="str">
        <f>IF(IFERROR(INDEX(Consulta!$A:$DF,MATCH('MM01'!$B151,Consulta!$C:$C,0),'MM01'!G$2),"")=0,"",IFERROR(INDEX(Consulta!$A:$DF,MATCH('MM01'!$B151,Consulta!$C:$C,0),'MM01'!G$2),""))</f>
        <v/>
      </c>
      <c r="H151" s="49" t="str">
        <f>IF(IFERROR(INDEX(Consulta!$A:$DF,MATCH('MM01'!$B151,Consulta!$C:$C,0),'MM01'!H$2),"")=0,"",IFERROR(INDEX(Consulta!$A:$DF,MATCH('MM01'!$B151,Consulta!$C:$C,0),'MM01'!H$2),""))</f>
        <v/>
      </c>
      <c r="I151" s="49" t="str">
        <f t="shared" si="81"/>
        <v/>
      </c>
      <c r="J151" s="49" t="str">
        <f>IF(IFERROR(INDEX(Consulta!$A:$DF,MATCH('MM01'!$B151,Consulta!$C:$C,0),'MM01'!J$2),"")=0,"",IFERROR(INDEX(Consulta!$A:$DF,MATCH('MM01'!$B151,Consulta!$C:$C,0),'MM01'!J$2),""))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IF(IFERROR(INDEX(Consulta!$A:$DF,MATCH('MM01'!$B151,Consulta!$C:$C,0),'MM01'!AP$2),"")=0,"",IFERROR(INDEX(Consulta!$A:$DF,MATCH('MM01'!$B151,Consulta!$C:$C,0),'MM01'!AP$2),""))</f>
        <v/>
      </c>
      <c r="AQ151" s="45"/>
      <c r="AR151" s="43" t="str">
        <f>IF(IFERROR(INDEX(Consulta!$A:$DF,MATCH('MM01'!$B151,Consulta!$C:$C,0),'MM01'!AR$2),"")=0,"",IFERROR(INDEX(Consulta!$A:$DF,MATCH('MM01'!$B151,Consulta!$C:$C,0),'MM01'!AR$2),""))</f>
        <v/>
      </c>
      <c r="AS151" s="43" t="str">
        <f>IF(IFERROR(INDEX(Consulta!$A:$DF,MATCH('MM01'!$B151,Consulta!$C:$C,0),'MM01'!AS$2),"")=0,"",IF(AR151="68",5102,IFERROR(INDEX(Consulta!$A:$DF,MATCH('MM01'!$B151,Consulta!$C:$C,0),'MM01'!AS$2),"")))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IF(IFERROR(INDEX(Consulta!$A:$DF,MATCH('MM01'!$B151,Consulta!$C:$C,0),'MM01'!AW$2),"")=0,"",IFERROR(ROUND(INDEX(Consulta!$A:$DF,MATCH('MM01'!$B151,Consulta!$C:$C,0),'MM01'!AW$2),3),""))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IF(IFERROR(INDEX(Consulta!$A:$DF,MATCH('MM01'!$B151,Consulta!$C:$C,0),'MM01'!BA$2),"")=0,"",IFERROR(INDEX(Consulta!$A:$DF,MATCH('MM01'!$B151,Consulta!$C:$C,0),'MM01'!BA$2),""))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IF(IFERROR(INDEX(Consulta!$A:$DF,MATCH('MM01'!$B151,Consulta!$C:$C,0),'MM01'!BL$2),"")=0,"",IFERROR(INDEX(Consulta!$A:$DF,MATCH('MM01'!$B151,Consulta!$C:$C,0),'MM01'!BL$2),""))</f>
        <v/>
      </c>
      <c r="BM151" s="45"/>
      <c r="BN151" s="46" t="str">
        <f t="shared" ca="1" si="93"/>
        <v/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IF(IFERROR(INDEX(Consulta!$A:$DF,MATCH('MM01'!$B151,Consulta!$C:$C,0),'MM01'!BX$2),"")=0,"",IFERROR(INDEX(Consulta!$A:$DF,MATCH('MM01'!$B151,Consulta!$C:$C,0),'MM01'!BX$2),""))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IF(IFERROR(INDEX(Consulta!$A:$DF,MATCH('MM01'!$B151,Consulta!$C:$C,0),'MM01'!CT$2),"")=0,"",IFERROR(INDEX(Consulta!$A:$DF,MATCH('MM01'!$B151,Consulta!$C:$C,0),'MM01'!CT$2),""))</f>
        <v/>
      </c>
      <c r="CU151" s="43" t="str">
        <f>IF(IFERROR(INDEX(Consulta!$A:$DF,MATCH('MM01'!$B151,Consulta!$C:$C,0),'MM01'!CU$2),"")=0,"",IFERROR(INDEX(Consulta!$A:$DF,MATCH('MM01'!$B151,Consulta!$C:$C,0),'MM01'!CU$2),""))</f>
        <v/>
      </c>
      <c r="CV151" s="43" t="str">
        <f>IF(IFERROR(INDEX(Consulta!$A:$DF,MATCH('MM01'!$B151,Consulta!$C:$C,0),'MM01'!CV$2),"")=0,"",IFERROR(INDEX(Consulta!$A:$DF,MATCH('MM01'!$B151,Consulta!$C:$C,0),'MM01'!CV$2),""))</f>
        <v/>
      </c>
      <c r="CW151" s="43" t="str">
        <f>IF(IFERROR(INDEX(Consulta!$A:$DF,MATCH('MM01'!$B151,Consulta!$C:$C,0),'MM01'!CW$2),"")=0,"",IFERROR(INDEX(Consulta!$A:$DF,MATCH('MM01'!$B151,Consulta!$C:$C,0),'MM01'!CW$2),""))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IF(IFERROR(INDEX(Consulta!$A:$DF,MATCH('MM01'!$B151,Consulta!$C:$C,0),'MM01'!DA$2),"")=0,"",IFERROR(INDEX(Consulta!$A:$DF,MATCH('MM01'!$B151,Consulta!$C:$C,0),'MM01'!DA$2),""))</f>
        <v/>
      </c>
      <c r="DB151" s="43" t="str">
        <f t="shared" si="102"/>
        <v/>
      </c>
      <c r="DC151" s="43" t="str">
        <f>IF(IFERROR(INDEX(Consulta!$A:$DF,MATCH('MM01'!$B151,Consulta!$C:$C,0),'MM01'!DC$2),"")=0,"",IFERROR(INDEX(Consulta!$A:$DF,MATCH('MM01'!$B151,Consulta!$C:$C,0),'MM01'!DC$2),""))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5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5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5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5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IF(IFERROR(INDEX(Consulta!$A:$DF,MATCH('MM01'!$B151,Consulta!$C:$C,0),'MM01'!EB$2),"")=0,"7925",IF(IFERROR(INDEX(Consulta!$A:$DF,MATCH('MM01'!$B151,Consulta!$C:$C,0),'MM01'!EB$2),"")="68","7910","7925"))</f>
        <v>7925</v>
      </c>
      <c r="EC151" s="44">
        <v>100</v>
      </c>
      <c r="ED151" s="60">
        <v>1</v>
      </c>
      <c r="EE151" s="43">
        <f t="shared" si="118"/>
        <v>100</v>
      </c>
      <c r="EF151" s="44">
        <v>1</v>
      </c>
      <c r="EG151" s="44">
        <v>0</v>
      </c>
      <c r="EH151" s="44" t="s">
        <v>867</v>
      </c>
      <c r="EI151" s="45">
        <v>0</v>
      </c>
      <c r="EJ151" s="43">
        <f t="shared" si="119"/>
        <v>5000</v>
      </c>
      <c r="EK151" s="65"/>
    </row>
    <row r="152" spans="1:141" x14ac:dyDescent="0.3">
      <c r="A152" s="7" t="str">
        <f t="shared" si="80"/>
        <v>Execução 148</v>
      </c>
      <c r="B152" s="42"/>
      <c r="C152" s="43" t="str">
        <f>IF(IFERROR(INDEX(Consulta!$A:$DF,MATCH('MM01'!$B152,Consulta!$C:$C,0),'MM01'!C$2),"")=0,"",IFERROR(INDEX(Consulta!$A:$DF,MATCH('MM01'!$B152,Consulta!$C:$C,0),'MM01'!C$2),""))</f>
        <v/>
      </c>
      <c r="D152" s="43" t="str">
        <f>IF(IFERROR(INDEX(Consulta!$A:$DF,MATCH('MM01'!$B152,Consulta!$C:$C,0),'MM01'!D$2),"")=0,"",IFERROR(INDEX(Consulta!$A:$DF,MATCH('MM01'!$B152,Consulta!$C:$C,0),'MM01'!D$2),""))</f>
        <v/>
      </c>
      <c r="E152" s="43" t="str">
        <f>IF(IFERROR(INDEX(Consulta!$A:$DF,MATCH('MM01'!$B152,Consulta!$C:$C,0),'MM01'!E$2),"")=0,"",IFERROR(INDEX(Consulta!$A:$DF,MATCH('MM01'!$B152,Consulta!$C:$C,0),'MM01'!E$2),""))</f>
        <v/>
      </c>
      <c r="F152" s="44" t="s">
        <v>100</v>
      </c>
      <c r="G152" s="49" t="str">
        <f>IF(IFERROR(INDEX(Consulta!$A:$DF,MATCH('MM01'!$B152,Consulta!$C:$C,0),'MM01'!G$2),"")=0,"",IFERROR(INDEX(Consulta!$A:$DF,MATCH('MM01'!$B152,Consulta!$C:$C,0),'MM01'!G$2),""))</f>
        <v/>
      </c>
      <c r="H152" s="49" t="str">
        <f>IF(IFERROR(INDEX(Consulta!$A:$DF,MATCH('MM01'!$B152,Consulta!$C:$C,0),'MM01'!H$2),"")=0,"",IFERROR(INDEX(Consulta!$A:$DF,MATCH('MM01'!$B152,Consulta!$C:$C,0),'MM01'!H$2),""))</f>
        <v/>
      </c>
      <c r="I152" s="49" t="str">
        <f t="shared" si="81"/>
        <v/>
      </c>
      <c r="J152" s="49" t="str">
        <f>IF(IFERROR(INDEX(Consulta!$A:$DF,MATCH('MM01'!$B152,Consulta!$C:$C,0),'MM01'!J$2),"")=0,"",IFERROR(INDEX(Consulta!$A:$DF,MATCH('MM01'!$B152,Consulta!$C:$C,0),'MM01'!J$2),""))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IF(IFERROR(INDEX(Consulta!$A:$DF,MATCH('MM01'!$B152,Consulta!$C:$C,0),'MM01'!AP$2),"")=0,"",IFERROR(INDEX(Consulta!$A:$DF,MATCH('MM01'!$B152,Consulta!$C:$C,0),'MM01'!AP$2),""))</f>
        <v/>
      </c>
      <c r="AQ152" s="45"/>
      <c r="AR152" s="43" t="str">
        <f>IF(IFERROR(INDEX(Consulta!$A:$DF,MATCH('MM01'!$B152,Consulta!$C:$C,0),'MM01'!AR$2),"")=0,"",IFERROR(INDEX(Consulta!$A:$DF,MATCH('MM01'!$B152,Consulta!$C:$C,0),'MM01'!AR$2),""))</f>
        <v/>
      </c>
      <c r="AS152" s="43" t="str">
        <f>IF(IFERROR(INDEX(Consulta!$A:$DF,MATCH('MM01'!$B152,Consulta!$C:$C,0),'MM01'!AS$2),"")=0,"",IF(AR152="68",5102,IFERROR(INDEX(Consulta!$A:$DF,MATCH('MM01'!$B152,Consulta!$C:$C,0),'MM01'!AS$2),"")))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IF(IFERROR(INDEX(Consulta!$A:$DF,MATCH('MM01'!$B152,Consulta!$C:$C,0),'MM01'!AW$2),"")=0,"",IFERROR(ROUND(INDEX(Consulta!$A:$DF,MATCH('MM01'!$B152,Consulta!$C:$C,0),'MM01'!AW$2),3),""))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IF(IFERROR(INDEX(Consulta!$A:$DF,MATCH('MM01'!$B152,Consulta!$C:$C,0),'MM01'!BA$2),"")=0,"",IFERROR(INDEX(Consulta!$A:$DF,MATCH('MM01'!$B152,Consulta!$C:$C,0),'MM01'!BA$2),""))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IF(IFERROR(INDEX(Consulta!$A:$DF,MATCH('MM01'!$B152,Consulta!$C:$C,0),'MM01'!BL$2),"")=0,"",IFERROR(INDEX(Consulta!$A:$DF,MATCH('MM01'!$B152,Consulta!$C:$C,0),'MM01'!BL$2),""))</f>
        <v/>
      </c>
      <c r="BM152" s="45"/>
      <c r="BN152" s="46" t="str">
        <f t="shared" ca="1" si="93"/>
        <v/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IF(IFERROR(INDEX(Consulta!$A:$DF,MATCH('MM01'!$B152,Consulta!$C:$C,0),'MM01'!BX$2),"")=0,"",IFERROR(INDEX(Consulta!$A:$DF,MATCH('MM01'!$B152,Consulta!$C:$C,0),'MM01'!BX$2),""))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IF(IFERROR(INDEX(Consulta!$A:$DF,MATCH('MM01'!$B152,Consulta!$C:$C,0),'MM01'!CT$2),"")=0,"",IFERROR(INDEX(Consulta!$A:$DF,MATCH('MM01'!$B152,Consulta!$C:$C,0),'MM01'!CT$2),""))</f>
        <v/>
      </c>
      <c r="CU152" s="43" t="str">
        <f>IF(IFERROR(INDEX(Consulta!$A:$DF,MATCH('MM01'!$B152,Consulta!$C:$C,0),'MM01'!CU$2),"")=0,"",IFERROR(INDEX(Consulta!$A:$DF,MATCH('MM01'!$B152,Consulta!$C:$C,0),'MM01'!CU$2),""))</f>
        <v/>
      </c>
      <c r="CV152" s="43" t="str">
        <f>IF(IFERROR(INDEX(Consulta!$A:$DF,MATCH('MM01'!$B152,Consulta!$C:$C,0),'MM01'!CV$2),"")=0,"",IFERROR(INDEX(Consulta!$A:$DF,MATCH('MM01'!$B152,Consulta!$C:$C,0),'MM01'!CV$2),""))</f>
        <v/>
      </c>
      <c r="CW152" s="43" t="str">
        <f>IF(IFERROR(INDEX(Consulta!$A:$DF,MATCH('MM01'!$B152,Consulta!$C:$C,0),'MM01'!CW$2),"")=0,"",IFERROR(INDEX(Consulta!$A:$DF,MATCH('MM01'!$B152,Consulta!$C:$C,0),'MM01'!CW$2),""))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IF(IFERROR(INDEX(Consulta!$A:$DF,MATCH('MM01'!$B152,Consulta!$C:$C,0),'MM01'!DA$2),"")=0,"",IFERROR(INDEX(Consulta!$A:$DF,MATCH('MM01'!$B152,Consulta!$C:$C,0),'MM01'!DA$2),""))</f>
        <v/>
      </c>
      <c r="DB152" s="43" t="str">
        <f t="shared" si="102"/>
        <v/>
      </c>
      <c r="DC152" s="43" t="str">
        <f>IF(IFERROR(INDEX(Consulta!$A:$DF,MATCH('MM01'!$B152,Consulta!$C:$C,0),'MM01'!DC$2),"")=0,"",IFERROR(INDEX(Consulta!$A:$DF,MATCH('MM01'!$B152,Consulta!$C:$C,0),'MM01'!DC$2),""))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5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5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5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5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IF(IFERROR(INDEX(Consulta!$A:$DF,MATCH('MM01'!$B152,Consulta!$C:$C,0),'MM01'!EB$2),"")=0,"7925",IF(IFERROR(INDEX(Consulta!$A:$DF,MATCH('MM01'!$B152,Consulta!$C:$C,0),'MM01'!EB$2),"")="68","7910","7925"))</f>
        <v>7925</v>
      </c>
      <c r="EC152" s="44">
        <v>100</v>
      </c>
      <c r="ED152" s="60">
        <v>1</v>
      </c>
      <c r="EE152" s="43">
        <f t="shared" si="118"/>
        <v>100</v>
      </c>
      <c r="EF152" s="44">
        <v>1</v>
      </c>
      <c r="EG152" s="44">
        <v>0</v>
      </c>
      <c r="EH152" s="44" t="s">
        <v>867</v>
      </c>
      <c r="EI152" s="45">
        <v>0</v>
      </c>
      <c r="EJ152" s="43">
        <f t="shared" si="119"/>
        <v>5000</v>
      </c>
      <c r="EK152" s="65"/>
    </row>
    <row r="153" spans="1:141" x14ac:dyDescent="0.3">
      <c r="A153" s="7" t="str">
        <f t="shared" si="80"/>
        <v>Execução 149</v>
      </c>
      <c r="B153" s="42"/>
      <c r="C153" s="43" t="str">
        <f>IF(IFERROR(INDEX(Consulta!$A:$DF,MATCH('MM01'!$B153,Consulta!$C:$C,0),'MM01'!C$2),"")=0,"",IFERROR(INDEX(Consulta!$A:$DF,MATCH('MM01'!$B153,Consulta!$C:$C,0),'MM01'!C$2),""))</f>
        <v/>
      </c>
      <c r="D153" s="43" t="str">
        <f>IF(IFERROR(INDEX(Consulta!$A:$DF,MATCH('MM01'!$B153,Consulta!$C:$C,0),'MM01'!D$2),"")=0,"",IFERROR(INDEX(Consulta!$A:$DF,MATCH('MM01'!$B153,Consulta!$C:$C,0),'MM01'!D$2),""))</f>
        <v/>
      </c>
      <c r="E153" s="43" t="str">
        <f>IF(IFERROR(INDEX(Consulta!$A:$DF,MATCH('MM01'!$B153,Consulta!$C:$C,0),'MM01'!E$2),"")=0,"",IFERROR(INDEX(Consulta!$A:$DF,MATCH('MM01'!$B153,Consulta!$C:$C,0),'MM01'!E$2),""))</f>
        <v/>
      </c>
      <c r="F153" s="44" t="s">
        <v>100</v>
      </c>
      <c r="G153" s="49" t="str">
        <f>IF(IFERROR(INDEX(Consulta!$A:$DF,MATCH('MM01'!$B153,Consulta!$C:$C,0),'MM01'!G$2),"")=0,"",IFERROR(INDEX(Consulta!$A:$DF,MATCH('MM01'!$B153,Consulta!$C:$C,0),'MM01'!G$2),""))</f>
        <v/>
      </c>
      <c r="H153" s="49" t="str">
        <f>IF(IFERROR(INDEX(Consulta!$A:$DF,MATCH('MM01'!$B153,Consulta!$C:$C,0),'MM01'!H$2),"")=0,"",IFERROR(INDEX(Consulta!$A:$DF,MATCH('MM01'!$B153,Consulta!$C:$C,0),'MM01'!H$2),""))</f>
        <v/>
      </c>
      <c r="I153" s="49" t="str">
        <f t="shared" si="81"/>
        <v/>
      </c>
      <c r="J153" s="49" t="str">
        <f>IF(IFERROR(INDEX(Consulta!$A:$DF,MATCH('MM01'!$B153,Consulta!$C:$C,0),'MM01'!J$2),"")=0,"",IFERROR(INDEX(Consulta!$A:$DF,MATCH('MM01'!$B153,Consulta!$C:$C,0),'MM01'!J$2),""))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IF(IFERROR(INDEX(Consulta!$A:$DF,MATCH('MM01'!$B153,Consulta!$C:$C,0),'MM01'!AP$2),"")=0,"",IFERROR(INDEX(Consulta!$A:$DF,MATCH('MM01'!$B153,Consulta!$C:$C,0),'MM01'!AP$2),""))</f>
        <v/>
      </c>
      <c r="AQ153" s="45"/>
      <c r="AR153" s="43" t="str">
        <f>IF(IFERROR(INDEX(Consulta!$A:$DF,MATCH('MM01'!$B153,Consulta!$C:$C,0),'MM01'!AR$2),"")=0,"",IFERROR(INDEX(Consulta!$A:$DF,MATCH('MM01'!$B153,Consulta!$C:$C,0),'MM01'!AR$2),""))</f>
        <v/>
      </c>
      <c r="AS153" s="43" t="str">
        <f>IF(IFERROR(INDEX(Consulta!$A:$DF,MATCH('MM01'!$B153,Consulta!$C:$C,0),'MM01'!AS$2),"")=0,"",IF(AR153="68",5102,IFERROR(INDEX(Consulta!$A:$DF,MATCH('MM01'!$B153,Consulta!$C:$C,0),'MM01'!AS$2),"")))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IF(IFERROR(INDEX(Consulta!$A:$DF,MATCH('MM01'!$B153,Consulta!$C:$C,0),'MM01'!AW$2),"")=0,"",IFERROR(ROUND(INDEX(Consulta!$A:$DF,MATCH('MM01'!$B153,Consulta!$C:$C,0),'MM01'!AW$2),3),""))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IF(IFERROR(INDEX(Consulta!$A:$DF,MATCH('MM01'!$B153,Consulta!$C:$C,0),'MM01'!BA$2),"")=0,"",IFERROR(INDEX(Consulta!$A:$DF,MATCH('MM01'!$B153,Consulta!$C:$C,0),'MM01'!BA$2),""))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IF(IFERROR(INDEX(Consulta!$A:$DF,MATCH('MM01'!$B153,Consulta!$C:$C,0),'MM01'!BL$2),"")=0,"",IFERROR(INDEX(Consulta!$A:$DF,MATCH('MM01'!$B153,Consulta!$C:$C,0),'MM01'!BL$2),""))</f>
        <v/>
      </c>
      <c r="BM153" s="45"/>
      <c r="BN153" s="46" t="str">
        <f t="shared" ca="1" si="93"/>
        <v/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IF(IFERROR(INDEX(Consulta!$A:$DF,MATCH('MM01'!$B153,Consulta!$C:$C,0),'MM01'!BX$2),"")=0,"",IFERROR(INDEX(Consulta!$A:$DF,MATCH('MM01'!$B153,Consulta!$C:$C,0),'MM01'!BX$2),""))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IF(IFERROR(INDEX(Consulta!$A:$DF,MATCH('MM01'!$B153,Consulta!$C:$C,0),'MM01'!CT$2),"")=0,"",IFERROR(INDEX(Consulta!$A:$DF,MATCH('MM01'!$B153,Consulta!$C:$C,0),'MM01'!CT$2),""))</f>
        <v/>
      </c>
      <c r="CU153" s="43" t="str">
        <f>IF(IFERROR(INDEX(Consulta!$A:$DF,MATCH('MM01'!$B153,Consulta!$C:$C,0),'MM01'!CU$2),"")=0,"",IFERROR(INDEX(Consulta!$A:$DF,MATCH('MM01'!$B153,Consulta!$C:$C,0),'MM01'!CU$2),""))</f>
        <v/>
      </c>
      <c r="CV153" s="43" t="str">
        <f>IF(IFERROR(INDEX(Consulta!$A:$DF,MATCH('MM01'!$B153,Consulta!$C:$C,0),'MM01'!CV$2),"")=0,"",IFERROR(INDEX(Consulta!$A:$DF,MATCH('MM01'!$B153,Consulta!$C:$C,0),'MM01'!CV$2),""))</f>
        <v/>
      </c>
      <c r="CW153" s="43" t="str">
        <f>IF(IFERROR(INDEX(Consulta!$A:$DF,MATCH('MM01'!$B153,Consulta!$C:$C,0),'MM01'!CW$2),"")=0,"",IFERROR(INDEX(Consulta!$A:$DF,MATCH('MM01'!$B153,Consulta!$C:$C,0),'MM01'!CW$2),""))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IF(IFERROR(INDEX(Consulta!$A:$DF,MATCH('MM01'!$B153,Consulta!$C:$C,0),'MM01'!DA$2),"")=0,"",IFERROR(INDEX(Consulta!$A:$DF,MATCH('MM01'!$B153,Consulta!$C:$C,0),'MM01'!DA$2),""))</f>
        <v/>
      </c>
      <c r="DB153" s="43" t="str">
        <f t="shared" si="102"/>
        <v/>
      </c>
      <c r="DC153" s="43" t="str">
        <f>IF(IFERROR(INDEX(Consulta!$A:$DF,MATCH('MM01'!$B153,Consulta!$C:$C,0),'MM01'!DC$2),"")=0,"",IFERROR(INDEX(Consulta!$A:$DF,MATCH('MM01'!$B153,Consulta!$C:$C,0),'MM01'!DC$2),""))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5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5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5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5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IF(IFERROR(INDEX(Consulta!$A:$DF,MATCH('MM01'!$B153,Consulta!$C:$C,0),'MM01'!EB$2),"")=0,"7925",IF(IFERROR(INDEX(Consulta!$A:$DF,MATCH('MM01'!$B153,Consulta!$C:$C,0),'MM01'!EB$2),"")="68","7910","7925"))</f>
        <v>7925</v>
      </c>
      <c r="EC153" s="44">
        <v>100</v>
      </c>
      <c r="ED153" s="60">
        <v>1</v>
      </c>
      <c r="EE153" s="43">
        <f t="shared" si="118"/>
        <v>100</v>
      </c>
      <c r="EF153" s="44">
        <v>1</v>
      </c>
      <c r="EG153" s="44">
        <v>0</v>
      </c>
      <c r="EH153" s="44" t="s">
        <v>867</v>
      </c>
      <c r="EI153" s="45">
        <v>0</v>
      </c>
      <c r="EJ153" s="43">
        <f t="shared" si="119"/>
        <v>5000</v>
      </c>
      <c r="EK153" s="65"/>
    </row>
    <row r="154" spans="1:141" x14ac:dyDescent="0.3">
      <c r="A154" s="7" t="str">
        <f t="shared" si="80"/>
        <v>Execução 150</v>
      </c>
      <c r="B154" s="42"/>
      <c r="C154" s="43" t="str">
        <f>IF(IFERROR(INDEX(Consulta!$A:$DF,MATCH('MM01'!$B154,Consulta!$C:$C,0),'MM01'!C$2),"")=0,"",IFERROR(INDEX(Consulta!$A:$DF,MATCH('MM01'!$B154,Consulta!$C:$C,0),'MM01'!C$2),""))</f>
        <v/>
      </c>
      <c r="D154" s="43" t="str">
        <f>IF(IFERROR(INDEX(Consulta!$A:$DF,MATCH('MM01'!$B154,Consulta!$C:$C,0),'MM01'!D$2),"")=0,"",IFERROR(INDEX(Consulta!$A:$DF,MATCH('MM01'!$B154,Consulta!$C:$C,0),'MM01'!D$2),""))</f>
        <v/>
      </c>
      <c r="E154" s="43" t="str">
        <f>IF(IFERROR(INDEX(Consulta!$A:$DF,MATCH('MM01'!$B154,Consulta!$C:$C,0),'MM01'!E$2),"")=0,"",IFERROR(INDEX(Consulta!$A:$DF,MATCH('MM01'!$B154,Consulta!$C:$C,0),'MM01'!E$2),""))</f>
        <v/>
      </c>
      <c r="F154" s="44" t="s">
        <v>100</v>
      </c>
      <c r="G154" s="49" t="str">
        <f>IF(IFERROR(INDEX(Consulta!$A:$DF,MATCH('MM01'!$B154,Consulta!$C:$C,0),'MM01'!G$2),"")=0,"",IFERROR(INDEX(Consulta!$A:$DF,MATCH('MM01'!$B154,Consulta!$C:$C,0),'MM01'!G$2),""))</f>
        <v/>
      </c>
      <c r="H154" s="49" t="str">
        <f>IF(IFERROR(INDEX(Consulta!$A:$DF,MATCH('MM01'!$B154,Consulta!$C:$C,0),'MM01'!H$2),"")=0,"",IFERROR(INDEX(Consulta!$A:$DF,MATCH('MM01'!$B154,Consulta!$C:$C,0),'MM01'!H$2),""))</f>
        <v/>
      </c>
      <c r="I154" s="49" t="str">
        <f t="shared" si="81"/>
        <v/>
      </c>
      <c r="J154" s="49" t="str">
        <f>IF(IFERROR(INDEX(Consulta!$A:$DF,MATCH('MM01'!$B154,Consulta!$C:$C,0),'MM01'!J$2),"")=0,"",IFERROR(INDEX(Consulta!$A:$DF,MATCH('MM01'!$B154,Consulta!$C:$C,0),'MM01'!J$2),""))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IF(IFERROR(INDEX(Consulta!$A:$DF,MATCH('MM01'!$B154,Consulta!$C:$C,0),'MM01'!AP$2),"")=0,"",IFERROR(INDEX(Consulta!$A:$DF,MATCH('MM01'!$B154,Consulta!$C:$C,0),'MM01'!AP$2),""))</f>
        <v/>
      </c>
      <c r="AQ154" s="45"/>
      <c r="AR154" s="43" t="str">
        <f>IF(IFERROR(INDEX(Consulta!$A:$DF,MATCH('MM01'!$B154,Consulta!$C:$C,0),'MM01'!AR$2),"")=0,"",IFERROR(INDEX(Consulta!$A:$DF,MATCH('MM01'!$B154,Consulta!$C:$C,0),'MM01'!AR$2),""))</f>
        <v/>
      </c>
      <c r="AS154" s="43" t="str">
        <f>IF(IFERROR(INDEX(Consulta!$A:$DF,MATCH('MM01'!$B154,Consulta!$C:$C,0),'MM01'!AS$2),"")=0,"",IF(AR154="68",5102,IFERROR(INDEX(Consulta!$A:$DF,MATCH('MM01'!$B154,Consulta!$C:$C,0),'MM01'!AS$2),"")))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IF(IFERROR(INDEX(Consulta!$A:$DF,MATCH('MM01'!$B154,Consulta!$C:$C,0),'MM01'!AW$2),"")=0,"",IFERROR(ROUND(INDEX(Consulta!$A:$DF,MATCH('MM01'!$B154,Consulta!$C:$C,0),'MM01'!AW$2),3),""))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IF(IFERROR(INDEX(Consulta!$A:$DF,MATCH('MM01'!$B154,Consulta!$C:$C,0),'MM01'!BA$2),"")=0,"",IFERROR(INDEX(Consulta!$A:$DF,MATCH('MM01'!$B154,Consulta!$C:$C,0),'MM01'!BA$2),""))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IF(IFERROR(INDEX(Consulta!$A:$DF,MATCH('MM01'!$B154,Consulta!$C:$C,0),'MM01'!BL$2),"")=0,"",IFERROR(INDEX(Consulta!$A:$DF,MATCH('MM01'!$B154,Consulta!$C:$C,0),'MM01'!BL$2),""))</f>
        <v/>
      </c>
      <c r="BM154" s="45"/>
      <c r="BN154" s="46" t="str">
        <f t="shared" ca="1" si="93"/>
        <v/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IF(IFERROR(INDEX(Consulta!$A:$DF,MATCH('MM01'!$B154,Consulta!$C:$C,0),'MM01'!BX$2),"")=0,"",IFERROR(INDEX(Consulta!$A:$DF,MATCH('MM01'!$B154,Consulta!$C:$C,0),'MM01'!BX$2),""))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IF(IFERROR(INDEX(Consulta!$A:$DF,MATCH('MM01'!$B154,Consulta!$C:$C,0),'MM01'!CT$2),"")=0,"",IFERROR(INDEX(Consulta!$A:$DF,MATCH('MM01'!$B154,Consulta!$C:$C,0),'MM01'!CT$2),""))</f>
        <v/>
      </c>
      <c r="CU154" s="43" t="str">
        <f>IF(IFERROR(INDEX(Consulta!$A:$DF,MATCH('MM01'!$B154,Consulta!$C:$C,0),'MM01'!CU$2),"")=0,"",IFERROR(INDEX(Consulta!$A:$DF,MATCH('MM01'!$B154,Consulta!$C:$C,0),'MM01'!CU$2),""))</f>
        <v/>
      </c>
      <c r="CV154" s="43" t="str">
        <f>IF(IFERROR(INDEX(Consulta!$A:$DF,MATCH('MM01'!$B154,Consulta!$C:$C,0),'MM01'!CV$2),"")=0,"",IFERROR(INDEX(Consulta!$A:$DF,MATCH('MM01'!$B154,Consulta!$C:$C,0),'MM01'!CV$2),""))</f>
        <v/>
      </c>
      <c r="CW154" s="43" t="str">
        <f>IF(IFERROR(INDEX(Consulta!$A:$DF,MATCH('MM01'!$B154,Consulta!$C:$C,0),'MM01'!CW$2),"")=0,"",IFERROR(INDEX(Consulta!$A:$DF,MATCH('MM01'!$B154,Consulta!$C:$C,0),'MM01'!CW$2),""))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IF(IFERROR(INDEX(Consulta!$A:$DF,MATCH('MM01'!$B154,Consulta!$C:$C,0),'MM01'!DA$2),"")=0,"",IFERROR(INDEX(Consulta!$A:$DF,MATCH('MM01'!$B154,Consulta!$C:$C,0),'MM01'!DA$2),""))</f>
        <v/>
      </c>
      <c r="DB154" s="43" t="str">
        <f t="shared" si="102"/>
        <v/>
      </c>
      <c r="DC154" s="43" t="str">
        <f>IF(IFERROR(INDEX(Consulta!$A:$DF,MATCH('MM01'!$B154,Consulta!$C:$C,0),'MM01'!DC$2),"")=0,"",IFERROR(INDEX(Consulta!$A:$DF,MATCH('MM01'!$B154,Consulta!$C:$C,0),'MM01'!DC$2),""))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5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5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5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5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IF(IFERROR(INDEX(Consulta!$A:$DF,MATCH('MM01'!$B154,Consulta!$C:$C,0),'MM01'!EB$2),"")=0,"7925",IF(IFERROR(INDEX(Consulta!$A:$DF,MATCH('MM01'!$B154,Consulta!$C:$C,0),'MM01'!EB$2),"")="68","7910","7925"))</f>
        <v>7925</v>
      </c>
      <c r="EC154" s="44">
        <v>100</v>
      </c>
      <c r="ED154" s="60">
        <v>1</v>
      </c>
      <c r="EE154" s="43">
        <f t="shared" si="118"/>
        <v>100</v>
      </c>
      <c r="EF154" s="44">
        <v>1</v>
      </c>
      <c r="EG154" s="44">
        <v>0</v>
      </c>
      <c r="EH154" s="44" t="s">
        <v>867</v>
      </c>
      <c r="EI154" s="45">
        <v>0</v>
      </c>
      <c r="EJ154" s="43">
        <f t="shared" si="119"/>
        <v>5000</v>
      </c>
      <c r="EK154" s="66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84" priority="164" operator="beginsWith" text="L">
      <formula>LEFT(B5,LEN("L"))="L"</formula>
    </cfRule>
  </conditionalFormatting>
  <conditionalFormatting sqref="D5">
    <cfRule type="beginsWith" dxfId="183" priority="133" operator="beginsWith" text="L">
      <formula>LEFT(D5,LEN("L"))="L"</formula>
    </cfRule>
  </conditionalFormatting>
  <conditionalFormatting sqref="E5:E54">
    <cfRule type="beginsWith" dxfId="182" priority="132" operator="beginsWith" text="L">
      <formula>LEFT(E5,LEN("L"))="L"</formula>
    </cfRule>
  </conditionalFormatting>
  <conditionalFormatting sqref="AP5">
    <cfRule type="beginsWith" dxfId="181" priority="131" operator="beginsWith" text="L">
      <formula>LEFT(AP5,LEN("L"))="L"</formula>
    </cfRule>
  </conditionalFormatting>
  <conditionalFormatting sqref="AS5:AS54">
    <cfRule type="beginsWith" dxfId="180" priority="130" operator="beginsWith" text="L">
      <formula>LEFT(AS5,LEN("L"))="L"</formula>
    </cfRule>
  </conditionalFormatting>
  <conditionalFormatting sqref="AW5">
    <cfRule type="beginsWith" dxfId="179" priority="129" operator="beginsWith" text="L">
      <formula>LEFT(AW5,LEN("L"))="L"</formula>
    </cfRule>
  </conditionalFormatting>
  <conditionalFormatting sqref="BA5">
    <cfRule type="beginsWith" dxfId="178" priority="128" operator="beginsWith" text="L">
      <formula>LEFT(BA5,LEN("L"))="L"</formula>
    </cfRule>
  </conditionalFormatting>
  <conditionalFormatting sqref="BL5">
    <cfRule type="beginsWith" dxfId="177" priority="127" operator="beginsWith" text="L">
      <formula>LEFT(BL5,LEN("L"))="L"</formula>
    </cfRule>
  </conditionalFormatting>
  <conditionalFormatting sqref="BX5">
    <cfRule type="beginsWith" dxfId="176" priority="126" operator="beginsWith" text="L">
      <formula>LEFT(BX5,LEN("L"))="L"</formula>
    </cfRule>
  </conditionalFormatting>
  <conditionalFormatting sqref="CT5">
    <cfRule type="beginsWith" dxfId="175" priority="125" operator="beginsWith" text="L">
      <formula>LEFT(CT5,LEN("L"))="L"</formula>
    </cfRule>
  </conditionalFormatting>
  <conditionalFormatting sqref="CU5">
    <cfRule type="beginsWith" dxfId="174" priority="124" operator="beginsWith" text="L">
      <formula>LEFT(CU5,LEN("L"))="L"</formula>
    </cfRule>
  </conditionalFormatting>
  <conditionalFormatting sqref="CV5">
    <cfRule type="beginsWith" dxfId="173" priority="123" operator="beginsWith" text="L">
      <formula>LEFT(CV5,LEN("L"))="L"</formula>
    </cfRule>
  </conditionalFormatting>
  <conditionalFormatting sqref="CW5">
    <cfRule type="beginsWith" dxfId="172" priority="122" operator="beginsWith" text="L">
      <formula>LEFT(CW5,LEN("L"))="L"</formula>
    </cfRule>
  </conditionalFormatting>
  <conditionalFormatting sqref="DC5">
    <cfRule type="beginsWith" dxfId="171" priority="121" operator="beginsWith" text="L">
      <formula>LEFT(DC5,LEN("L"))="L"</formula>
    </cfRule>
  </conditionalFormatting>
  <conditionalFormatting sqref="B6:C54">
    <cfRule type="beginsWith" dxfId="170" priority="102" operator="beginsWith" text="L">
      <formula>LEFT(B6,LEN("L"))="L"</formula>
    </cfRule>
  </conditionalFormatting>
  <conditionalFormatting sqref="D6:D54">
    <cfRule type="beginsWith" dxfId="169" priority="101" operator="beginsWith" text="L">
      <formula>LEFT(D6,LEN("L"))="L"</formula>
    </cfRule>
  </conditionalFormatting>
  <conditionalFormatting sqref="AP6:AP54">
    <cfRule type="beginsWith" dxfId="168" priority="99" operator="beginsWith" text="L">
      <formula>LEFT(AP6,LEN("L"))="L"</formula>
    </cfRule>
  </conditionalFormatting>
  <conditionalFormatting sqref="BA6:BA54">
    <cfRule type="beginsWith" dxfId="167" priority="96" operator="beginsWith" text="L">
      <formula>LEFT(BA6,LEN("L"))="L"</formula>
    </cfRule>
  </conditionalFormatting>
  <conditionalFormatting sqref="BL6:BL54">
    <cfRule type="beginsWith" dxfId="166" priority="95" operator="beginsWith" text="L">
      <formula>LEFT(BL6,LEN("L"))="L"</formula>
    </cfRule>
  </conditionalFormatting>
  <conditionalFormatting sqref="BX6:BX54">
    <cfRule type="beginsWith" dxfId="165" priority="94" operator="beginsWith" text="L">
      <formula>LEFT(BX6,LEN("L"))="L"</formula>
    </cfRule>
  </conditionalFormatting>
  <conditionalFormatting sqref="CT6:CT54">
    <cfRule type="beginsWith" dxfId="164" priority="93" operator="beginsWith" text="L">
      <formula>LEFT(CT6,LEN("L"))="L"</formula>
    </cfRule>
  </conditionalFormatting>
  <conditionalFormatting sqref="CU6:CU54">
    <cfRule type="beginsWith" dxfId="163" priority="92" operator="beginsWith" text="L">
      <formula>LEFT(CU6,LEN("L"))="L"</formula>
    </cfRule>
  </conditionalFormatting>
  <conditionalFormatting sqref="CV6:CV54">
    <cfRule type="beginsWith" dxfId="162" priority="91" operator="beginsWith" text="L">
      <formula>LEFT(CV6,LEN("L"))="L"</formula>
    </cfRule>
  </conditionalFormatting>
  <conditionalFormatting sqref="CW6:CW54">
    <cfRule type="beginsWith" dxfId="161" priority="90" operator="beginsWith" text="L">
      <formula>LEFT(CW6,LEN("L"))="L"</formula>
    </cfRule>
  </conditionalFormatting>
  <conditionalFormatting sqref="DC6:DC54">
    <cfRule type="beginsWith" dxfId="160" priority="89" operator="beginsWith" text="L">
      <formula>LEFT(DC6,LEN("L"))="L"</formula>
    </cfRule>
  </conditionalFormatting>
  <conditionalFormatting sqref="AW6:AW54">
    <cfRule type="beginsWith" dxfId="159" priority="88" operator="beginsWith" text="L">
      <formula>LEFT(AW6,LEN("L"))="L"</formula>
    </cfRule>
  </conditionalFormatting>
  <conditionalFormatting sqref="EK1:EK54 EK155:EK1048576">
    <cfRule type="containsText" dxfId="158" priority="81" operator="containsText" text="criadas">
      <formula>NOT(ISERROR(SEARCH("criadas",EK1)))</formula>
    </cfRule>
    <cfRule type="containsText" dxfId="157" priority="83" operator="containsText" text="é gravado">
      <formula>NOT(ISERROR(SEARCH("é gravado",EK1)))</formula>
    </cfRule>
    <cfRule type="containsText" dxfId="156" priority="84" operator="containsText" text="é modificado">
      <formula>NOT(ISERROR(SEARCH("é modificado",EK1)))</formula>
    </cfRule>
    <cfRule type="containsText" dxfId="155" priority="85" operator="containsText" text="Error">
      <formula>NOT(ISERROR(SEARCH("Error",EK1)))</formula>
    </cfRule>
    <cfRule type="containsText" dxfId="154" priority="86" operator="containsText" text="é criado">
      <formula>NOT(ISERROR(SEARCH("é criado",EK1)))</formula>
    </cfRule>
  </conditionalFormatting>
  <conditionalFormatting sqref="DA5:DA54">
    <cfRule type="beginsWith" dxfId="153" priority="80" operator="beginsWith" text="L">
      <formula>LEFT(DA5,LEN("L"))="L"</formula>
    </cfRule>
  </conditionalFormatting>
  <conditionalFormatting sqref="EB5:EB54">
    <cfRule type="beginsWith" dxfId="152" priority="79" operator="beginsWith" text="L">
      <formula>LEFT(EB5,LEN("L"))="L"</formula>
    </cfRule>
  </conditionalFormatting>
  <conditionalFormatting sqref="G5:G54">
    <cfRule type="beginsWith" dxfId="151" priority="78" operator="beginsWith" text="L">
      <formula>LEFT(G5,LEN("L"))="L"</formula>
    </cfRule>
  </conditionalFormatting>
  <conditionalFormatting sqref="H5:H54">
    <cfRule type="beginsWith" dxfId="150" priority="77" operator="beginsWith" text="L">
      <formula>LEFT(H5,LEN("L"))="L"</formula>
    </cfRule>
  </conditionalFormatting>
  <conditionalFormatting sqref="J5:J54">
    <cfRule type="beginsWith" dxfId="149" priority="76" operator="beginsWith" text="L">
      <formula>LEFT(J5,LEN("L"))="L"</formula>
    </cfRule>
  </conditionalFormatting>
  <conditionalFormatting sqref="AR5:AR54">
    <cfRule type="beginsWith" dxfId="148" priority="75" operator="beginsWith" text="L">
      <formula>LEFT(AR5,LEN("L"))="L"</formula>
    </cfRule>
  </conditionalFormatting>
  <conditionalFormatting sqref="B55:C55">
    <cfRule type="beginsWith" dxfId="147" priority="74" operator="beginsWith" text="L">
      <formula>LEFT(B55,LEN("L"))="L"</formula>
    </cfRule>
  </conditionalFormatting>
  <conditionalFormatting sqref="D55">
    <cfRule type="beginsWith" dxfId="146" priority="73" operator="beginsWith" text="L">
      <formula>LEFT(D55,LEN("L"))="L"</formula>
    </cfRule>
  </conditionalFormatting>
  <conditionalFormatting sqref="E55:E104">
    <cfRule type="beginsWith" dxfId="145" priority="72" operator="beginsWith" text="L">
      <formula>LEFT(E55,LEN("L"))="L"</formula>
    </cfRule>
  </conditionalFormatting>
  <conditionalFormatting sqref="AP55">
    <cfRule type="beginsWith" dxfId="144" priority="71" operator="beginsWith" text="L">
      <formula>LEFT(AP55,LEN("L"))="L"</formula>
    </cfRule>
  </conditionalFormatting>
  <conditionalFormatting sqref="AS55:AS104">
    <cfRule type="beginsWith" dxfId="143" priority="70" operator="beginsWith" text="L">
      <formula>LEFT(AS55,LEN("L"))="L"</formula>
    </cfRule>
  </conditionalFormatting>
  <conditionalFormatting sqref="AW55">
    <cfRule type="beginsWith" dxfId="142" priority="69" operator="beginsWith" text="L">
      <formula>LEFT(AW55,LEN("L"))="L"</formula>
    </cfRule>
  </conditionalFormatting>
  <conditionalFormatting sqref="BA55">
    <cfRule type="beginsWith" dxfId="141" priority="68" operator="beginsWith" text="L">
      <formula>LEFT(BA55,LEN("L"))="L"</formula>
    </cfRule>
  </conditionalFormatting>
  <conditionalFormatting sqref="BL55">
    <cfRule type="beginsWith" dxfId="140" priority="67" operator="beginsWith" text="L">
      <formula>LEFT(BL55,LEN("L"))="L"</formula>
    </cfRule>
  </conditionalFormatting>
  <conditionalFormatting sqref="BX55">
    <cfRule type="beginsWith" dxfId="139" priority="66" operator="beginsWith" text="L">
      <formula>LEFT(BX55,LEN("L"))="L"</formula>
    </cfRule>
  </conditionalFormatting>
  <conditionalFormatting sqref="CT55">
    <cfRule type="beginsWith" dxfId="138" priority="65" operator="beginsWith" text="L">
      <formula>LEFT(CT55,LEN("L"))="L"</formula>
    </cfRule>
  </conditionalFormatting>
  <conditionalFormatting sqref="CU55">
    <cfRule type="beginsWith" dxfId="137" priority="64" operator="beginsWith" text="L">
      <formula>LEFT(CU55,LEN("L"))="L"</formula>
    </cfRule>
  </conditionalFormatting>
  <conditionalFormatting sqref="CV55">
    <cfRule type="beginsWith" dxfId="136" priority="63" operator="beginsWith" text="L">
      <formula>LEFT(CV55,LEN("L"))="L"</formula>
    </cfRule>
  </conditionalFormatting>
  <conditionalFormatting sqref="CW55">
    <cfRule type="beginsWith" dxfId="135" priority="62" operator="beginsWith" text="L">
      <formula>LEFT(CW55,LEN("L"))="L"</formula>
    </cfRule>
  </conditionalFormatting>
  <conditionalFormatting sqref="DC55">
    <cfRule type="beginsWith" dxfId="134" priority="61" operator="beginsWith" text="L">
      <formula>LEFT(DC55,LEN("L"))="L"</formula>
    </cfRule>
  </conditionalFormatting>
  <conditionalFormatting sqref="B56:C104">
    <cfRule type="beginsWith" dxfId="133" priority="60" operator="beginsWith" text="L">
      <formula>LEFT(B56,LEN("L"))="L"</formula>
    </cfRule>
  </conditionalFormatting>
  <conditionalFormatting sqref="D56:D104">
    <cfRule type="beginsWith" dxfId="132" priority="59" operator="beginsWith" text="L">
      <formula>LEFT(D56,LEN("L"))="L"</formula>
    </cfRule>
  </conditionalFormatting>
  <conditionalFormatting sqref="AP56:AP104">
    <cfRule type="beginsWith" dxfId="131" priority="58" operator="beginsWith" text="L">
      <formula>LEFT(AP56,LEN("L"))="L"</formula>
    </cfRule>
  </conditionalFormatting>
  <conditionalFormatting sqref="BA56:BA104">
    <cfRule type="beginsWith" dxfId="130" priority="57" operator="beginsWith" text="L">
      <formula>LEFT(BA56,LEN("L"))="L"</formula>
    </cfRule>
  </conditionalFormatting>
  <conditionalFormatting sqref="BL56:BL104">
    <cfRule type="beginsWith" dxfId="129" priority="56" operator="beginsWith" text="L">
      <formula>LEFT(BL56,LEN("L"))="L"</formula>
    </cfRule>
  </conditionalFormatting>
  <conditionalFormatting sqref="BX56:BX104">
    <cfRule type="beginsWith" dxfId="128" priority="55" operator="beginsWith" text="L">
      <formula>LEFT(BX56,LEN("L"))="L"</formula>
    </cfRule>
  </conditionalFormatting>
  <conditionalFormatting sqref="CT56:CT104">
    <cfRule type="beginsWith" dxfId="127" priority="54" operator="beginsWith" text="L">
      <formula>LEFT(CT56,LEN("L"))="L"</formula>
    </cfRule>
  </conditionalFormatting>
  <conditionalFormatting sqref="CU56:CU104">
    <cfRule type="beginsWith" dxfId="126" priority="53" operator="beginsWith" text="L">
      <formula>LEFT(CU56,LEN("L"))="L"</formula>
    </cfRule>
  </conditionalFormatting>
  <conditionalFormatting sqref="CV56:CV104">
    <cfRule type="beginsWith" dxfId="125" priority="52" operator="beginsWith" text="L">
      <formula>LEFT(CV56,LEN("L"))="L"</formula>
    </cfRule>
  </conditionalFormatting>
  <conditionalFormatting sqref="CW56:CW104">
    <cfRule type="beginsWith" dxfId="124" priority="51" operator="beginsWith" text="L">
      <formula>LEFT(CW56,LEN("L"))="L"</formula>
    </cfRule>
  </conditionalFormatting>
  <conditionalFormatting sqref="DC56:DC104">
    <cfRule type="beginsWith" dxfId="123" priority="50" operator="beginsWith" text="L">
      <formula>LEFT(DC56,LEN("L"))="L"</formula>
    </cfRule>
  </conditionalFormatting>
  <conditionalFormatting sqref="AW56:AW104">
    <cfRule type="beginsWith" dxfId="122" priority="49" operator="beginsWith" text="L">
      <formula>LEFT(AW56,LEN("L"))="L"</formula>
    </cfRule>
  </conditionalFormatting>
  <conditionalFormatting sqref="EK55:EK104">
    <cfRule type="containsText" dxfId="121" priority="44" operator="containsText" text="criadas">
      <formula>NOT(ISERROR(SEARCH("criadas",EK55)))</formula>
    </cfRule>
    <cfRule type="containsText" dxfId="120" priority="45" operator="containsText" text="é gravado">
      <formula>NOT(ISERROR(SEARCH("é gravado",EK55)))</formula>
    </cfRule>
    <cfRule type="containsText" dxfId="119" priority="46" operator="containsText" text="é modificado">
      <formula>NOT(ISERROR(SEARCH("é modificado",EK55)))</formula>
    </cfRule>
    <cfRule type="containsText" dxfId="118" priority="47" operator="containsText" text="Error">
      <formula>NOT(ISERROR(SEARCH("Error",EK55)))</formula>
    </cfRule>
    <cfRule type="containsText" dxfId="117" priority="48" operator="containsText" text="é criado">
      <formula>NOT(ISERROR(SEARCH("é criado",EK55)))</formula>
    </cfRule>
  </conditionalFormatting>
  <conditionalFormatting sqref="DA55:DA104">
    <cfRule type="beginsWith" dxfId="116" priority="43" operator="beginsWith" text="L">
      <formula>LEFT(DA55,LEN("L"))="L"</formula>
    </cfRule>
  </conditionalFormatting>
  <conditionalFormatting sqref="EB55:EB104">
    <cfRule type="beginsWith" dxfId="115" priority="42" operator="beginsWith" text="L">
      <formula>LEFT(EB55,LEN("L"))="L"</formula>
    </cfRule>
  </conditionalFormatting>
  <conditionalFormatting sqref="G55:G104">
    <cfRule type="beginsWith" dxfId="114" priority="41" operator="beginsWith" text="L">
      <formula>LEFT(G55,LEN("L"))="L"</formula>
    </cfRule>
  </conditionalFormatting>
  <conditionalFormatting sqref="H55:H104">
    <cfRule type="beginsWith" dxfId="113" priority="40" operator="beginsWith" text="L">
      <formula>LEFT(H55,LEN("L"))="L"</formula>
    </cfRule>
  </conditionalFormatting>
  <conditionalFormatting sqref="J55:J104">
    <cfRule type="beginsWith" dxfId="112" priority="39" operator="beginsWith" text="L">
      <formula>LEFT(J55,LEN("L"))="L"</formula>
    </cfRule>
  </conditionalFormatting>
  <conditionalFormatting sqref="AR55:AR104">
    <cfRule type="beginsWith" dxfId="111" priority="38" operator="beginsWith" text="L">
      <formula>LEFT(AR55,LEN("L"))="L"</formula>
    </cfRule>
  </conditionalFormatting>
  <conditionalFormatting sqref="B105:C105">
    <cfRule type="beginsWith" dxfId="110" priority="37" operator="beginsWith" text="L">
      <formula>LEFT(B105,LEN("L"))="L"</formula>
    </cfRule>
  </conditionalFormatting>
  <conditionalFormatting sqref="D105">
    <cfRule type="beginsWith" dxfId="109" priority="36" operator="beginsWith" text="L">
      <formula>LEFT(D105,LEN("L"))="L"</formula>
    </cfRule>
  </conditionalFormatting>
  <conditionalFormatting sqref="E105:E154">
    <cfRule type="beginsWith" dxfId="108" priority="35" operator="beginsWith" text="L">
      <formula>LEFT(E105,LEN("L"))="L"</formula>
    </cfRule>
  </conditionalFormatting>
  <conditionalFormatting sqref="AP105">
    <cfRule type="beginsWith" dxfId="107" priority="34" operator="beginsWith" text="L">
      <formula>LEFT(AP105,LEN("L"))="L"</formula>
    </cfRule>
  </conditionalFormatting>
  <conditionalFormatting sqref="AS105:AS154">
    <cfRule type="beginsWith" dxfId="106" priority="33" operator="beginsWith" text="L">
      <formula>LEFT(AS105,LEN("L"))="L"</formula>
    </cfRule>
  </conditionalFormatting>
  <conditionalFormatting sqref="AW105">
    <cfRule type="beginsWith" dxfId="105" priority="32" operator="beginsWith" text="L">
      <formula>LEFT(AW105,LEN("L"))="L"</formula>
    </cfRule>
  </conditionalFormatting>
  <conditionalFormatting sqref="BA105">
    <cfRule type="beginsWith" dxfId="104" priority="31" operator="beginsWith" text="L">
      <formula>LEFT(BA105,LEN("L"))="L"</formula>
    </cfRule>
  </conditionalFormatting>
  <conditionalFormatting sqref="BL105">
    <cfRule type="beginsWith" dxfId="103" priority="30" operator="beginsWith" text="L">
      <formula>LEFT(BL105,LEN("L"))="L"</formula>
    </cfRule>
  </conditionalFormatting>
  <conditionalFormatting sqref="BX105">
    <cfRule type="beginsWith" dxfId="102" priority="29" operator="beginsWith" text="L">
      <formula>LEFT(BX105,LEN("L"))="L"</formula>
    </cfRule>
  </conditionalFormatting>
  <conditionalFormatting sqref="CT105">
    <cfRule type="beginsWith" dxfId="101" priority="28" operator="beginsWith" text="L">
      <formula>LEFT(CT105,LEN("L"))="L"</formula>
    </cfRule>
  </conditionalFormatting>
  <conditionalFormatting sqref="CU105">
    <cfRule type="beginsWith" dxfId="100" priority="27" operator="beginsWith" text="L">
      <formula>LEFT(CU105,LEN("L"))="L"</formula>
    </cfRule>
  </conditionalFormatting>
  <conditionalFormatting sqref="CV105">
    <cfRule type="beginsWith" dxfId="99" priority="26" operator="beginsWith" text="L">
      <formula>LEFT(CV105,LEN("L"))="L"</formula>
    </cfRule>
  </conditionalFormatting>
  <conditionalFormatting sqref="CW105">
    <cfRule type="beginsWith" dxfId="98" priority="25" operator="beginsWith" text="L">
      <formula>LEFT(CW105,LEN("L"))="L"</formula>
    </cfRule>
  </conditionalFormatting>
  <conditionalFormatting sqref="DC105">
    <cfRule type="beginsWith" dxfId="97" priority="24" operator="beginsWith" text="L">
      <formula>LEFT(DC105,LEN("L"))="L"</formula>
    </cfRule>
  </conditionalFormatting>
  <conditionalFormatting sqref="B106:C154">
    <cfRule type="beginsWith" dxfId="96" priority="23" operator="beginsWith" text="L">
      <formula>LEFT(B106,LEN("L"))="L"</formula>
    </cfRule>
  </conditionalFormatting>
  <conditionalFormatting sqref="D106:D154">
    <cfRule type="beginsWith" dxfId="95" priority="22" operator="beginsWith" text="L">
      <formula>LEFT(D106,LEN("L"))="L"</formula>
    </cfRule>
  </conditionalFormatting>
  <conditionalFormatting sqref="AP106:AP154">
    <cfRule type="beginsWith" dxfId="94" priority="21" operator="beginsWith" text="L">
      <formula>LEFT(AP106,LEN("L"))="L"</formula>
    </cfRule>
  </conditionalFormatting>
  <conditionalFormatting sqref="BA106:BA154">
    <cfRule type="beginsWith" dxfId="93" priority="20" operator="beginsWith" text="L">
      <formula>LEFT(BA106,LEN("L"))="L"</formula>
    </cfRule>
  </conditionalFormatting>
  <conditionalFormatting sqref="BL106:BL154">
    <cfRule type="beginsWith" dxfId="92" priority="19" operator="beginsWith" text="L">
      <formula>LEFT(BL106,LEN("L"))="L"</formula>
    </cfRule>
  </conditionalFormatting>
  <conditionalFormatting sqref="BX106:BX154">
    <cfRule type="beginsWith" dxfId="91" priority="18" operator="beginsWith" text="L">
      <formula>LEFT(BX106,LEN("L"))="L"</formula>
    </cfRule>
  </conditionalFormatting>
  <conditionalFormatting sqref="CT106:CT154">
    <cfRule type="beginsWith" dxfId="90" priority="17" operator="beginsWith" text="L">
      <formula>LEFT(CT106,LEN("L"))="L"</formula>
    </cfRule>
  </conditionalFormatting>
  <conditionalFormatting sqref="CU106:CU154">
    <cfRule type="beginsWith" dxfId="89" priority="16" operator="beginsWith" text="L">
      <formula>LEFT(CU106,LEN("L"))="L"</formula>
    </cfRule>
  </conditionalFormatting>
  <conditionalFormatting sqref="CV106:CV154">
    <cfRule type="beginsWith" dxfId="88" priority="15" operator="beginsWith" text="L">
      <formula>LEFT(CV106,LEN("L"))="L"</formula>
    </cfRule>
  </conditionalFormatting>
  <conditionalFormatting sqref="CW106:CW154">
    <cfRule type="beginsWith" dxfId="87" priority="14" operator="beginsWith" text="L">
      <formula>LEFT(CW106,LEN("L"))="L"</formula>
    </cfRule>
  </conditionalFormatting>
  <conditionalFormatting sqref="DC106:DC154">
    <cfRule type="beginsWith" dxfId="86" priority="13" operator="beginsWith" text="L">
      <formula>LEFT(DC106,LEN("L"))="L"</formula>
    </cfRule>
  </conditionalFormatting>
  <conditionalFormatting sqref="AW106:AW154">
    <cfRule type="beginsWith" dxfId="85" priority="12" operator="beginsWith" text="L">
      <formula>LEFT(AW106,LEN("L"))="L"</formula>
    </cfRule>
  </conditionalFormatting>
  <conditionalFormatting sqref="EK105:EK154">
    <cfRule type="containsText" dxfId="84" priority="7" operator="containsText" text="criadas">
      <formula>NOT(ISERROR(SEARCH("criadas",EK105)))</formula>
    </cfRule>
    <cfRule type="containsText" dxfId="83" priority="8" operator="containsText" text="é gravado">
      <formula>NOT(ISERROR(SEARCH("é gravado",EK105)))</formula>
    </cfRule>
    <cfRule type="containsText" dxfId="82" priority="9" operator="containsText" text="é modificado">
      <formula>NOT(ISERROR(SEARCH("é modificado",EK105)))</formula>
    </cfRule>
    <cfRule type="containsText" dxfId="81" priority="10" operator="containsText" text="Error">
      <formula>NOT(ISERROR(SEARCH("Error",EK105)))</formula>
    </cfRule>
    <cfRule type="containsText" dxfId="80" priority="11" operator="containsText" text="é criado">
      <formula>NOT(ISERROR(SEARCH("é criado",EK105)))</formula>
    </cfRule>
  </conditionalFormatting>
  <conditionalFormatting sqref="DA105:DA154">
    <cfRule type="beginsWith" dxfId="79" priority="6" operator="beginsWith" text="L">
      <formula>LEFT(DA105,LEN("L"))="L"</formula>
    </cfRule>
  </conditionalFormatting>
  <conditionalFormatting sqref="EB105:EB154">
    <cfRule type="beginsWith" dxfId="78" priority="5" operator="beginsWith" text="L">
      <formula>LEFT(EB105,LEN("L"))="L"</formula>
    </cfRule>
  </conditionalFormatting>
  <conditionalFormatting sqref="G105:G154">
    <cfRule type="beginsWith" dxfId="77" priority="4" operator="beginsWith" text="L">
      <formula>LEFT(G105,LEN("L"))="L"</formula>
    </cfRule>
  </conditionalFormatting>
  <conditionalFormatting sqref="H105:H154">
    <cfRule type="beginsWith" dxfId="76" priority="3" operator="beginsWith" text="L">
      <formula>LEFT(H105,LEN("L"))="L"</formula>
    </cfRule>
  </conditionalFormatting>
  <conditionalFormatting sqref="J105:J154">
    <cfRule type="beginsWith" dxfId="75" priority="2" operator="beginsWith" text="L">
      <formula>LEFT(J105,LEN("L"))="L"</formula>
    </cfRule>
  </conditionalFormatting>
  <conditionalFormatting sqref="AR105:AR154">
    <cfRule type="beginsWith" dxfId="74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N443"/>
  <sheetViews>
    <sheetView showGridLines="0" showRowColHeaders="0" workbookViewId="0">
      <selection activeCell="C3" sqref="C3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14.85546875" customWidth="1"/>
    <col min="5" max="5" width="9.14062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7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1.425781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1" width="11.42578125" customWidth="1"/>
    <col min="72" max="72" width="9.85546875" customWidth="1"/>
    <col min="73" max="73" width="11.42578125" customWidth="1"/>
    <col min="74" max="75" width="9.85546875" customWidth="1"/>
    <col min="76" max="91" width="9.85546875" hidden="1" customWidth="1"/>
    <col min="92" max="92" width="0" hidden="1" customWidth="1"/>
    <col min="93" max="16384" width="9.140625" hidden="1"/>
  </cols>
  <sheetData>
    <row r="1" spans="1:9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937</v>
      </c>
      <c r="L1" s="38" t="s">
        <v>938</v>
      </c>
      <c r="M1" s="38" t="s">
        <v>939</v>
      </c>
      <c r="N1" s="38" t="s">
        <v>940</v>
      </c>
      <c r="O1" s="38" t="s">
        <v>941</v>
      </c>
      <c r="P1" s="39" t="s">
        <v>942</v>
      </c>
      <c r="Q1" s="38" t="s">
        <v>817</v>
      </c>
      <c r="R1" s="39" t="s">
        <v>944</v>
      </c>
      <c r="S1" s="38" t="s">
        <v>943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959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952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953</v>
      </c>
      <c r="BD1" s="38" t="s">
        <v>960</v>
      </c>
      <c r="BE1" s="38" t="s">
        <v>954</v>
      </c>
      <c r="BF1" s="38" t="s">
        <v>961</v>
      </c>
      <c r="BG1" s="38" t="s">
        <v>955</v>
      </c>
      <c r="BH1" s="38" t="s">
        <v>962</v>
      </c>
      <c r="BI1" s="38" t="s">
        <v>956</v>
      </c>
      <c r="BJ1" s="38" t="s">
        <v>963</v>
      </c>
      <c r="BK1" s="38" t="s">
        <v>957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945</v>
      </c>
      <c r="BR1" s="38" t="s">
        <v>972</v>
      </c>
      <c r="BS1" s="38" t="s">
        <v>973</v>
      </c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2" hidden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3"/>
      <c r="BC2" s="38"/>
      <c r="BD2" s="63"/>
      <c r="BE2" s="38"/>
      <c r="BF2" s="63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</row>
    <row r="3" spans="1:92" x14ac:dyDescent="0.3">
      <c r="A3" s="38" t="s">
        <v>862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3"/>
      <c r="BC3" s="38"/>
      <c r="BD3" s="63"/>
      <c r="BE3" s="38"/>
      <c r="BF3" s="63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>
        <f>SUBTOTAL(103,Estrutura_P01[Column71])</f>
        <v>0</v>
      </c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</row>
    <row r="4" spans="1:92" hidden="1" x14ac:dyDescent="0.3">
      <c r="A4" t="s">
        <v>534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</row>
    <row r="5" spans="1:92" hidden="1" x14ac:dyDescent="0.3"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</row>
    <row r="6" spans="1:92" hidden="1" x14ac:dyDescent="0.3"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</row>
    <row r="7" spans="1:92" hidden="1" x14ac:dyDescent="0.3"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</row>
    <row r="8" spans="1:92" hidden="1" x14ac:dyDescent="0.3"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</row>
    <row r="9" spans="1:92" hidden="1" x14ac:dyDescent="0.3"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</row>
    <row r="10" spans="1:92" hidden="1" x14ac:dyDescent="0.3"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</row>
    <row r="11" spans="1:92" hidden="1" x14ac:dyDescent="0.3"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</row>
    <row r="12" spans="1:92" hidden="1" x14ac:dyDescent="0.3"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</row>
    <row r="13" spans="1:92" hidden="1" x14ac:dyDescent="0.3"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</row>
    <row r="14" spans="1:92" hidden="1" x14ac:dyDescent="0.3"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</row>
    <row r="15" spans="1:92" hidden="1" x14ac:dyDescent="0.3"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</row>
    <row r="16" spans="1:92" hidden="1" x14ac:dyDescent="0.3"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</row>
    <row r="17" spans="82:92" hidden="1" x14ac:dyDescent="0.3"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</row>
    <row r="18" spans="82:92" hidden="1" x14ac:dyDescent="0.3"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</row>
    <row r="19" spans="82:92" hidden="1" x14ac:dyDescent="0.3"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</row>
    <row r="20" spans="82:92" hidden="1" x14ac:dyDescent="0.3"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</row>
    <row r="21" spans="82:92" hidden="1" x14ac:dyDescent="0.3"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</row>
    <row r="22" spans="82:92" hidden="1" x14ac:dyDescent="0.3"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</row>
    <row r="23" spans="82:92" hidden="1" x14ac:dyDescent="0.3"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</row>
    <row r="24" spans="82:92" hidden="1" x14ac:dyDescent="0.3"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</row>
    <row r="25" spans="82:92" hidden="1" x14ac:dyDescent="0.3"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</row>
    <row r="26" spans="82:92" hidden="1" x14ac:dyDescent="0.3"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</row>
    <row r="27" spans="82:92" hidden="1" x14ac:dyDescent="0.3"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</row>
    <row r="28" spans="82:92" hidden="1" x14ac:dyDescent="0.3"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</row>
    <row r="29" spans="82:92" hidden="1" x14ac:dyDescent="0.3"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</row>
    <row r="30" spans="82:92" hidden="1" x14ac:dyDescent="0.3"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</row>
    <row r="31" spans="82:92" hidden="1" x14ac:dyDescent="0.3"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</row>
    <row r="32" spans="82:92" hidden="1" x14ac:dyDescent="0.3">
      <c r="CJ32" s="38"/>
      <c r="CK32" s="38"/>
      <c r="CL32" s="38"/>
      <c r="CM32" s="38"/>
      <c r="CN32" s="38"/>
    </row>
    <row r="33" spans="88:92" hidden="1" x14ac:dyDescent="0.3">
      <c r="CJ33" s="38"/>
      <c r="CK33" s="38"/>
      <c r="CL33" s="38"/>
      <c r="CM33" s="38"/>
      <c r="CN33" s="38"/>
    </row>
    <row r="34" spans="88:92" hidden="1" x14ac:dyDescent="0.3">
      <c r="CJ34" s="38"/>
      <c r="CK34" s="38"/>
      <c r="CL34" s="38"/>
      <c r="CM34" s="38"/>
      <c r="CN34" s="38"/>
    </row>
    <row r="35" spans="88:92" hidden="1" x14ac:dyDescent="0.3">
      <c r="CJ35" s="38"/>
      <c r="CK35" s="38"/>
      <c r="CL35" s="38"/>
      <c r="CM35" s="38"/>
      <c r="CN35" s="38"/>
    </row>
    <row r="36" spans="88:92" hidden="1" x14ac:dyDescent="0.3">
      <c r="CJ36" s="38"/>
      <c r="CK36" s="38"/>
      <c r="CL36" s="38"/>
      <c r="CM36" s="38"/>
      <c r="CN36" s="38"/>
    </row>
    <row r="37" spans="88:92" hidden="1" x14ac:dyDescent="0.3">
      <c r="CJ37" s="38"/>
      <c r="CK37" s="38"/>
      <c r="CL37" s="38"/>
      <c r="CM37" s="38"/>
      <c r="CN37" s="38"/>
    </row>
    <row r="38" spans="88:92" hidden="1" x14ac:dyDescent="0.3"/>
    <row r="39" spans="88:92" hidden="1" x14ac:dyDescent="0.3"/>
    <row r="40" spans="88:92" hidden="1" x14ac:dyDescent="0.3"/>
    <row r="41" spans="88:92" hidden="1" x14ac:dyDescent="0.3"/>
    <row r="42" spans="88:92" hidden="1" x14ac:dyDescent="0.3"/>
    <row r="43" spans="88:92" hidden="1" x14ac:dyDescent="0.3"/>
    <row r="44" spans="88:92" hidden="1" x14ac:dyDescent="0.3"/>
    <row r="45" spans="88:92" hidden="1" x14ac:dyDescent="0.3"/>
    <row r="46" spans="88:92" hidden="1" x14ac:dyDescent="0.3"/>
    <row r="47" spans="88:92" hidden="1" x14ac:dyDescent="0.3"/>
    <row r="48" spans="88:92" hidden="1" x14ac:dyDescent="0.3"/>
    <row r="49" spans="91:91" hidden="1" x14ac:dyDescent="0.3"/>
    <row r="50" spans="91:91" hidden="1" x14ac:dyDescent="0.3"/>
    <row r="51" spans="91:91" hidden="1" x14ac:dyDescent="0.3"/>
    <row r="52" spans="91:91" hidden="1" x14ac:dyDescent="0.3"/>
    <row r="53" spans="91:91" hidden="1" x14ac:dyDescent="0.3">
      <c r="CM53" t="e">
        <f>SUBTOTAL(103,#REF!)</f>
        <v>#REF!</v>
      </c>
    </row>
    <row r="54" spans="91:91" hidden="1" x14ac:dyDescent="0.3"/>
    <row r="55" spans="91:91" hidden="1" x14ac:dyDescent="0.3"/>
    <row r="56" spans="91:91" hidden="1" x14ac:dyDescent="0.3"/>
    <row r="57" spans="91:91" hidden="1" x14ac:dyDescent="0.3"/>
    <row r="58" spans="91:91" hidden="1" x14ac:dyDescent="0.3"/>
    <row r="59" spans="91:91" hidden="1" x14ac:dyDescent="0.3"/>
    <row r="60" spans="91:91" hidden="1" x14ac:dyDescent="0.3"/>
    <row r="61" spans="91:91" hidden="1" x14ac:dyDescent="0.3"/>
    <row r="62" spans="91:91" hidden="1" x14ac:dyDescent="0.3"/>
    <row r="63" spans="91:91" hidden="1" x14ac:dyDescent="0.3"/>
    <row r="64" spans="91:9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7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69"/>
      <c r="BT1" s="69"/>
      <c r="BU1" s="69"/>
    </row>
    <row r="2" spans="1:75" s="2" customFormat="1" ht="17.100000000000001" customHeight="1" x14ac:dyDescent="0.3">
      <c r="A2" s="71"/>
      <c r="B2" s="71" t="s">
        <v>10</v>
      </c>
      <c r="C2" s="71"/>
      <c r="D2" s="71"/>
      <c r="E2" s="71"/>
      <c r="F2" s="15"/>
      <c r="G2" s="71" t="s">
        <v>33</v>
      </c>
      <c r="H2" s="71"/>
      <c r="I2" s="15"/>
      <c r="J2" s="71" t="s">
        <v>127</v>
      </c>
      <c r="K2" s="71"/>
      <c r="L2" s="15"/>
      <c r="M2" s="71" t="s">
        <v>172</v>
      </c>
      <c r="N2" s="71"/>
      <c r="O2" s="15"/>
      <c r="P2" s="71" t="s">
        <v>186</v>
      </c>
      <c r="Q2" s="71"/>
      <c r="R2" s="71"/>
      <c r="S2" s="71"/>
      <c r="T2" s="71"/>
      <c r="U2" s="71"/>
      <c r="V2" s="71"/>
      <c r="W2" s="71"/>
      <c r="X2" s="71"/>
      <c r="Y2" s="71"/>
      <c r="Z2" s="34"/>
      <c r="AA2" s="71" t="s">
        <v>292</v>
      </c>
      <c r="AB2" s="71"/>
      <c r="AC2" s="15"/>
      <c r="AD2" s="71" t="s">
        <v>323</v>
      </c>
      <c r="AE2" s="71"/>
      <c r="AF2" s="19"/>
      <c r="AG2" s="19" t="s">
        <v>323</v>
      </c>
      <c r="AH2" s="22"/>
      <c r="AI2" s="71" t="s">
        <v>373</v>
      </c>
      <c r="AJ2" s="71"/>
      <c r="AK2" s="22"/>
      <c r="AL2" s="71" t="s">
        <v>410</v>
      </c>
      <c r="AM2" s="71"/>
      <c r="AN2" s="22"/>
      <c r="AO2" s="71" t="s">
        <v>33</v>
      </c>
      <c r="AP2" s="71"/>
      <c r="AQ2" s="22"/>
      <c r="AR2" s="71" t="s">
        <v>413</v>
      </c>
      <c r="AS2" s="71"/>
      <c r="AT2" s="22"/>
      <c r="AU2" s="71" t="s">
        <v>428</v>
      </c>
      <c r="AV2" s="71"/>
      <c r="AW2" s="22"/>
      <c r="AX2" s="71" t="s">
        <v>493</v>
      </c>
      <c r="AY2" s="71"/>
      <c r="AZ2" s="25"/>
      <c r="BA2" s="71" t="s">
        <v>532</v>
      </c>
      <c r="BB2" s="71"/>
      <c r="BC2" s="71"/>
      <c r="BD2" s="71"/>
      <c r="BE2" s="28"/>
      <c r="BF2" s="71" t="s">
        <v>720</v>
      </c>
      <c r="BG2" s="71"/>
      <c r="BH2" s="71"/>
      <c r="BI2" s="37"/>
      <c r="BJ2" s="71" t="s">
        <v>859</v>
      </c>
      <c r="BK2" s="71"/>
      <c r="BL2" s="51"/>
      <c r="BM2" s="51" t="s">
        <v>99</v>
      </c>
      <c r="BN2" s="51"/>
      <c r="BO2" s="71" t="s">
        <v>931</v>
      </c>
      <c r="BP2" s="71"/>
      <c r="BQ2" s="51"/>
      <c r="BR2" s="51" t="s">
        <v>932</v>
      </c>
      <c r="BS2" s="69"/>
      <c r="BT2" s="71" t="s">
        <v>966</v>
      </c>
      <c r="BU2" s="71"/>
      <c r="BV2" s="71"/>
    </row>
    <row r="3" spans="1:75" s="2" customFormat="1" ht="17.100000000000001" customHeight="1" x14ac:dyDescent="0.3">
      <c r="A3" s="7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1"/>
      <c r="BM3" s="51" t="s">
        <v>857</v>
      </c>
      <c r="BN3" s="51"/>
      <c r="BO3" s="51" t="s">
        <v>857</v>
      </c>
      <c r="BP3" s="51" t="s">
        <v>93</v>
      </c>
      <c r="BQ3" s="51"/>
      <c r="BR3" s="51" t="s">
        <v>933</v>
      </c>
      <c r="BS3" s="69"/>
      <c r="BT3" s="69" t="s">
        <v>0</v>
      </c>
      <c r="BU3" s="69" t="s">
        <v>857</v>
      </c>
      <c r="BV3" s="2" t="s">
        <v>93</v>
      </c>
      <c r="BW3" s="69"/>
    </row>
    <row r="4" spans="1:75" x14ac:dyDescent="0.3">
      <c r="A4" s="53" t="s">
        <v>936</v>
      </c>
      <c r="B4" s="10" t="s">
        <v>4</v>
      </c>
      <c r="C4" s="17" t="s">
        <v>958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866</v>
      </c>
      <c r="BO4" s="17" t="s">
        <v>871</v>
      </c>
      <c r="BP4" s="17" t="s">
        <v>872</v>
      </c>
      <c r="BR4" s="17" t="s">
        <v>299</v>
      </c>
      <c r="BT4" s="17" t="s">
        <v>4</v>
      </c>
      <c r="BU4" s="17" t="s">
        <v>967</v>
      </c>
      <c r="BV4" s="17" t="s">
        <v>969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946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873</v>
      </c>
      <c r="BP5" s="17" t="s">
        <v>874</v>
      </c>
      <c r="BR5" s="17" t="s">
        <v>864</v>
      </c>
      <c r="BT5" s="17" t="s">
        <v>9</v>
      </c>
      <c r="BU5" s="17" t="s">
        <v>968</v>
      </c>
      <c r="BV5" s="17" t="s">
        <v>970</v>
      </c>
    </row>
    <row r="6" spans="1:75" x14ac:dyDescent="0.3">
      <c r="A6" s="51" t="s">
        <v>934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867</v>
      </c>
      <c r="BO6" s="17" t="s">
        <v>875</v>
      </c>
      <c r="BP6" s="17" t="s">
        <v>876</v>
      </c>
      <c r="BR6" s="17" t="s">
        <v>100</v>
      </c>
      <c r="BT6" s="17"/>
      <c r="BU6" s="17"/>
      <c r="BV6" s="17"/>
    </row>
    <row r="7" spans="1:75" ht="15" x14ac:dyDescent="0.3">
      <c r="A7" s="52" t="s">
        <v>971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868</v>
      </c>
      <c r="BO7" s="17" t="s">
        <v>877</v>
      </c>
      <c r="BP7" s="17" t="s">
        <v>878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964</v>
      </c>
      <c r="BM8" s="17" t="s">
        <v>869</v>
      </c>
      <c r="BO8" s="17" t="s">
        <v>879</v>
      </c>
      <c r="BP8" s="17" t="s">
        <v>880</v>
      </c>
      <c r="BR8" s="17"/>
      <c r="BT8"/>
      <c r="BU8"/>
      <c r="BV8"/>
    </row>
    <row r="9" spans="1:75" ht="15" x14ac:dyDescent="0.3">
      <c r="A9" s="57" t="s">
        <v>947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965</v>
      </c>
      <c r="BM9" s="17" t="s">
        <v>870</v>
      </c>
      <c r="BO9" s="17" t="s">
        <v>881</v>
      </c>
      <c r="BP9" s="17" t="s">
        <v>882</v>
      </c>
      <c r="BR9" s="17"/>
      <c r="BT9"/>
      <c r="BU9"/>
      <c r="BV9"/>
    </row>
    <row r="10" spans="1:75" ht="15" x14ac:dyDescent="0.3">
      <c r="A10" s="53" t="s">
        <v>951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883</v>
      </c>
      <c r="BP10" s="17" t="s">
        <v>884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885</v>
      </c>
      <c r="BP11" s="17" t="s">
        <v>886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887</v>
      </c>
      <c r="BP12" s="17" t="s">
        <v>888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889</v>
      </c>
      <c r="BP13" s="17" t="s">
        <v>890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891</v>
      </c>
      <c r="BP14" s="17" t="s">
        <v>892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893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894</v>
      </c>
      <c r="BP16" s="17" t="s">
        <v>895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896</v>
      </c>
      <c r="BP17" s="17" t="s">
        <v>897</v>
      </c>
      <c r="BR17"/>
      <c r="BT17"/>
      <c r="BU17"/>
      <c r="BV17"/>
    </row>
    <row r="18" spans="1:74" ht="15" x14ac:dyDescent="0.3">
      <c r="A18" s="54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898</v>
      </c>
      <c r="BP18" s="17" t="s">
        <v>899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900</v>
      </c>
      <c r="BP19" s="17" t="s">
        <v>901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902</v>
      </c>
      <c r="BP20" s="17" t="s">
        <v>903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904</v>
      </c>
      <c r="BP21" s="17" t="s">
        <v>905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906</v>
      </c>
      <c r="BP22" s="17" t="s">
        <v>907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908</v>
      </c>
      <c r="BP23" s="17" t="s">
        <v>909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910</v>
      </c>
      <c r="BP24" s="17" t="s">
        <v>911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912</v>
      </c>
      <c r="BP25" s="17" t="s">
        <v>913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914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915</v>
      </c>
      <c r="BP27" s="17" t="s">
        <v>916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917</v>
      </c>
      <c r="BP28" s="17" t="s">
        <v>918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919</v>
      </c>
      <c r="BP29" s="17" t="s">
        <v>920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921</v>
      </c>
      <c r="BP30" s="17" t="s">
        <v>922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923</v>
      </c>
      <c r="BP31" s="17" t="s">
        <v>924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925</v>
      </c>
      <c r="BP32" s="17" t="s">
        <v>926</v>
      </c>
      <c r="BR32"/>
      <c r="BT32"/>
      <c r="BU32"/>
      <c r="BV32"/>
    </row>
    <row r="33" spans="1:74" ht="15" x14ac:dyDescent="0.3">
      <c r="A33" s="67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927</v>
      </c>
      <c r="BP33" s="17" t="s">
        <v>928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929</v>
      </c>
      <c r="BP34" s="17" t="s">
        <v>930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67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58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67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68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76CA1C-508C-4A6B-A975-1EEA20BF42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2022-02-08T16:02:13Z</dcterms:modified>
</cp:coreProperties>
</file>