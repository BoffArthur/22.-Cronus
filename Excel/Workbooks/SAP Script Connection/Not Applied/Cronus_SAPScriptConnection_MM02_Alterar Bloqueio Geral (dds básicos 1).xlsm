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2790" yWindow="57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M64" i="6" l="1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0" i="6"/>
  <c r="M28" i="6"/>
  <c r="M16" i="6"/>
  <c r="M39" i="6"/>
  <c r="M27" i="6"/>
  <c r="M15" i="6"/>
  <c r="M38" i="6"/>
  <c r="M26" i="6"/>
  <c r="M14" i="6"/>
  <c r="M10" i="6"/>
  <c r="M9" i="6"/>
  <c r="M7" i="6"/>
  <c r="M18" i="6"/>
  <c r="M17" i="6"/>
  <c r="M37" i="6"/>
  <c r="M25" i="6"/>
  <c r="M13" i="6"/>
  <c r="M33" i="6"/>
  <c r="M30" i="6"/>
  <c r="M36" i="6"/>
  <c r="M24" i="6"/>
  <c r="M12" i="6"/>
  <c r="M35" i="6"/>
  <c r="M23" i="6"/>
  <c r="M11" i="6"/>
  <c r="M22" i="6"/>
  <c r="M31" i="6"/>
  <c r="M6" i="6"/>
  <c r="M29" i="6"/>
  <c r="M34" i="6"/>
  <c r="M21" i="6"/>
  <c r="M32" i="6"/>
  <c r="M20" i="6"/>
  <c r="M8" i="6"/>
  <c r="M19" i="6"/>
  <c r="M41" i="6"/>
  <c r="M5" i="6"/>
  <c r="H64" i="6" l="1"/>
  <c r="G64" i="6"/>
  <c r="F64" i="6"/>
  <c r="E64" i="6"/>
  <c r="A64" i="6"/>
  <c r="H63" i="6"/>
  <c r="G63" i="6"/>
  <c r="F63" i="6"/>
  <c r="E63" i="6"/>
  <c r="A63" i="6"/>
  <c r="H62" i="6"/>
  <c r="G62" i="6"/>
  <c r="F62" i="6"/>
  <c r="E62" i="6"/>
  <c r="A62" i="6"/>
  <c r="H61" i="6"/>
  <c r="G61" i="6"/>
  <c r="F61" i="6"/>
  <c r="E61" i="6"/>
  <c r="A61" i="6"/>
  <c r="H60" i="6"/>
  <c r="G60" i="6"/>
  <c r="F60" i="6"/>
  <c r="E60" i="6"/>
  <c r="A60" i="6"/>
  <c r="H59" i="6"/>
  <c r="G59" i="6"/>
  <c r="F59" i="6"/>
  <c r="E59" i="6"/>
  <c r="A59" i="6"/>
  <c r="H58" i="6"/>
  <c r="G58" i="6"/>
  <c r="F58" i="6"/>
  <c r="E58" i="6"/>
  <c r="A58" i="6"/>
  <c r="H57" i="6"/>
  <c r="G57" i="6"/>
  <c r="F57" i="6"/>
  <c r="E57" i="6"/>
  <c r="A57" i="6"/>
  <c r="H56" i="6"/>
  <c r="G56" i="6"/>
  <c r="F56" i="6"/>
  <c r="E56" i="6"/>
  <c r="A56" i="6"/>
  <c r="H55" i="6"/>
  <c r="G55" i="6"/>
  <c r="F55" i="6"/>
  <c r="E55" i="6"/>
  <c r="A55" i="6"/>
  <c r="H54" i="6"/>
  <c r="G54" i="6"/>
  <c r="F54" i="6"/>
  <c r="E54" i="6"/>
  <c r="A54" i="6"/>
  <c r="H53" i="6"/>
  <c r="G53" i="6"/>
  <c r="F53" i="6"/>
  <c r="E53" i="6"/>
  <c r="A53" i="6"/>
  <c r="H52" i="6"/>
  <c r="G52" i="6"/>
  <c r="F52" i="6"/>
  <c r="E52" i="6"/>
  <c r="A52" i="6"/>
  <c r="H51" i="6"/>
  <c r="G51" i="6"/>
  <c r="F51" i="6"/>
  <c r="E51" i="6"/>
  <c r="A51" i="6"/>
  <c r="H50" i="6"/>
  <c r="G50" i="6"/>
  <c r="F50" i="6"/>
  <c r="E50" i="6"/>
  <c r="A50" i="6"/>
  <c r="H49" i="6"/>
  <c r="G49" i="6"/>
  <c r="F49" i="6"/>
  <c r="E49" i="6"/>
  <c r="A49" i="6"/>
  <c r="H48" i="6"/>
  <c r="G48" i="6"/>
  <c r="F48" i="6"/>
  <c r="E48" i="6"/>
  <c r="A48" i="6"/>
  <c r="H47" i="6"/>
  <c r="G47" i="6"/>
  <c r="F47" i="6"/>
  <c r="E47" i="6"/>
  <c r="A47" i="6"/>
  <c r="H46" i="6"/>
  <c r="G46" i="6"/>
  <c r="F46" i="6"/>
  <c r="E46" i="6"/>
  <c r="A46" i="6"/>
  <c r="H45" i="6"/>
  <c r="G45" i="6"/>
  <c r="F45" i="6"/>
  <c r="E45" i="6"/>
  <c r="A45" i="6"/>
  <c r="H44" i="6"/>
  <c r="G44" i="6"/>
  <c r="F44" i="6"/>
  <c r="E44" i="6"/>
  <c r="A44" i="6"/>
  <c r="H43" i="6"/>
  <c r="G43" i="6"/>
  <c r="F43" i="6"/>
  <c r="E43" i="6"/>
  <c r="A43" i="6"/>
  <c r="H42" i="6"/>
  <c r="G42" i="6"/>
  <c r="F42" i="6"/>
  <c r="E42" i="6"/>
  <c r="A42" i="6"/>
  <c r="H41" i="6"/>
  <c r="G41" i="6"/>
  <c r="F41" i="6"/>
  <c r="E41" i="6"/>
  <c r="A41" i="6"/>
  <c r="H40" i="6"/>
  <c r="G40" i="6"/>
  <c r="F40" i="6"/>
  <c r="E40" i="6"/>
  <c r="A40" i="6"/>
  <c r="H39" i="6"/>
  <c r="G39" i="6"/>
  <c r="F39" i="6"/>
  <c r="E39" i="6"/>
  <c r="A39" i="6"/>
  <c r="H38" i="6"/>
  <c r="G38" i="6"/>
  <c r="F38" i="6"/>
  <c r="E38" i="6"/>
  <c r="A38" i="6"/>
  <c r="H37" i="6"/>
  <c r="G37" i="6"/>
  <c r="F37" i="6"/>
  <c r="E37" i="6"/>
  <c r="A37" i="6"/>
  <c r="H36" i="6"/>
  <c r="G36" i="6"/>
  <c r="F36" i="6"/>
  <c r="E36" i="6"/>
  <c r="A36" i="6"/>
  <c r="H35" i="6"/>
  <c r="G35" i="6"/>
  <c r="F35" i="6"/>
  <c r="E35" i="6"/>
  <c r="A35" i="6"/>
  <c r="H34" i="6"/>
  <c r="G34" i="6"/>
  <c r="F34" i="6"/>
  <c r="E34" i="6"/>
  <c r="A34" i="6"/>
  <c r="H33" i="6"/>
  <c r="G33" i="6"/>
  <c r="F33" i="6"/>
  <c r="E33" i="6"/>
  <c r="A33" i="6"/>
  <c r="H32" i="6"/>
  <c r="G32" i="6"/>
  <c r="F32" i="6"/>
  <c r="E32" i="6"/>
  <c r="A32" i="6"/>
  <c r="H31" i="6"/>
  <c r="G31" i="6"/>
  <c r="F31" i="6"/>
  <c r="E31" i="6"/>
  <c r="A31" i="6"/>
  <c r="H30" i="6"/>
  <c r="G30" i="6"/>
  <c r="F30" i="6"/>
  <c r="E30" i="6"/>
  <c r="A30" i="6"/>
  <c r="H29" i="6"/>
  <c r="G29" i="6"/>
  <c r="F29" i="6"/>
  <c r="E29" i="6"/>
  <c r="A29" i="6"/>
  <c r="H28" i="6"/>
  <c r="G28" i="6"/>
  <c r="F28" i="6"/>
  <c r="E28" i="6"/>
  <c r="A28" i="6"/>
  <c r="H27" i="6"/>
  <c r="G27" i="6"/>
  <c r="F27" i="6"/>
  <c r="E27" i="6"/>
  <c r="A27" i="6"/>
  <c r="H26" i="6"/>
  <c r="G26" i="6"/>
  <c r="F26" i="6"/>
  <c r="E26" i="6"/>
  <c r="A26" i="6"/>
  <c r="H25" i="6"/>
  <c r="G25" i="6"/>
  <c r="F25" i="6"/>
  <c r="E25" i="6"/>
  <c r="A25" i="6"/>
  <c r="H24" i="6"/>
  <c r="G24" i="6"/>
  <c r="F24" i="6"/>
  <c r="E24" i="6"/>
  <c r="A24" i="6"/>
  <c r="H23" i="6"/>
  <c r="G23" i="6"/>
  <c r="F23" i="6"/>
  <c r="E23" i="6"/>
  <c r="A23" i="6"/>
  <c r="H22" i="6"/>
  <c r="G22" i="6"/>
  <c r="F22" i="6"/>
  <c r="E22" i="6"/>
  <c r="A22" i="6"/>
  <c r="H21" i="6"/>
  <c r="G21" i="6"/>
  <c r="F21" i="6"/>
  <c r="E21" i="6"/>
  <c r="A21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<sst xmlns="http://schemas.openxmlformats.org/spreadsheetml/2006/main" count="5290" uniqueCount="4649">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</sst>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9"/>
      <tableStyleElement type="headerRow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6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6.42578125" style="6" bestFit="1" customWidth="1"/>
    <col min="5" max="5" width="18.5703125" style="6" bestFit="1" customWidth="1"/>
    <col min="6" max="6" width="16.5703125" style="6" bestFit="1" customWidth="1"/>
    <col min="7" max="7" width="16.7109375" style="6" bestFit="1" customWidth="1"/>
    <col min="8" max="8" width="19.28515625" style="6" bestFit="1" customWidth="1"/>
    <col min="9" max="12" width="58.42578125" style="6" customWidth="1" outlineLevel="1"/>
    <col min="13" max="13" width="41.85546875" style="6" customWidth="1" outlineLevel="1"/>
    <col min="14" max="14" width="19.28515625" style="6" bestFit="1" customWidth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bestFit="1" customWidth="1" collapsed="1"/>
    <col min="43" max="43" width="58.5703125" style="1" customWidth="1"/>
    <col min="44" max="44" width="13.85546875" style="1" bestFit="1" customWidth="1"/>
    <col min="45" max="16384" width="9.140625" style="1"/>
  </cols>
  <sheetData>
    <row r="1" spans="1:44" s="27" customFormat="1" x14ac:dyDescent="0.3">
      <c r="A1" s="7" t="s">
        <v>28</v>
      </c>
      <c r="C1" s="49"/>
      <c r="D1" s="44"/>
      <c r="E1" s="46"/>
      <c r="G1" s="49"/>
      <c r="H1" s="49"/>
      <c r="I1" s="53"/>
      <c r="J1" s="53"/>
      <c r="K1" s="53"/>
      <c r="L1" s="53"/>
      <c r="M1" s="53"/>
      <c r="N1" s="53" t="s">
        <v>4638</v>
      </c>
      <c r="AP1" s="53" t="s">
        <v>124</v>
      </c>
      <c r="AQ1" s="37"/>
    </row>
    <row r="2" spans="1:44" s="31" customFormat="1" x14ac:dyDescent="0.3">
      <c r="A2" s="7"/>
      <c r="B2" s="30"/>
      <c r="C2" s="49"/>
      <c r="D2" s="44"/>
      <c r="E2" s="46"/>
      <c r="F2" s="27"/>
      <c r="G2" s="49"/>
      <c r="H2" s="49"/>
      <c r="I2" s="53"/>
      <c r="J2" s="53"/>
      <c r="K2" s="53"/>
      <c r="L2" s="53"/>
      <c r="M2" s="53"/>
      <c r="N2" s="53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3"/>
    </row>
    <row r="3" spans="1:44" s="9" customFormat="1" ht="15" customHeight="1" x14ac:dyDescent="0.3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2" t="s">
        <v>152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13"/>
      <c r="AQ3" s="37" t="s">
        <v>32</v>
      </c>
      <c r="AR3" s="49"/>
    </row>
    <row r="4" spans="1:4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3">
      <c r="A5" s="7" t="str">
        <f>"Execução "&amp;ROW()-4</f>
        <v>Execução 1</v>
      </c>
      <c r="B5" s="32"/>
      <c r="C5" s="50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1"/>
      <c r="J5" s="51"/>
      <c r="K5" s="51"/>
      <c r="L5" s="51"/>
      <c r="M5" s="47" t="str">
        <f ca="1">IF(D5=99,"BLOQUEADO POR: "&amp;UPPER(TWUSER())&amp;"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3">
      <c r="A6" s="7" t="str">
        <f t="shared" ref="A6:A64" si="1">"Execução "&amp;ROW()-4</f>
        <v>Execução 2</v>
      </c>
      <c r="B6" s="32"/>
      <c r="C6" s="50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1"/>
      <c r="J6" s="51"/>
      <c r="K6" s="51"/>
      <c r="L6" s="51"/>
      <c r="M6" s="47" t="str">
        <f ca="1">IF(D6=99,"BLOQUEADO POR: "&amp;UPPER(TWUSER())&amp;"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3">
      <c r="A7" s="7" t="str">
        <f t="shared" si="1"/>
        <v>Execução 3</v>
      </c>
      <c r="B7" s="32"/>
      <c r="C7" s="50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1"/>
      <c r="J7" s="51"/>
      <c r="K7" s="51"/>
      <c r="L7" s="51"/>
      <c r="M7" s="47" t="str">
        <f ca="1">IF(D7=99,"BLOQUEADO POR: "&amp;UPPER(TWUSER())&amp;" - "&amp;TEXT(TODAY(),"DD/MM/AA"),"")</f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3">
      <c r="A8" s="7" t="str">
        <f t="shared" si="1"/>
        <v>Execução 4</v>
      </c>
      <c r="B8" s="32"/>
      <c r="C8" s="50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1"/>
      <c r="J8" s="51"/>
      <c r="K8" s="51"/>
      <c r="L8" s="51"/>
      <c r="M8" s="47" t="str">
        <f ca="1">IF(D8=99,"BLOQUEADO POR: "&amp;UPPER(TWUSER())&amp;" - "&amp;TEXT(TODAY(),"DD/MM/AA"),"")</f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3">
      <c r="A9" s="7" t="str">
        <f t="shared" si="1"/>
        <v>Execução 5</v>
      </c>
      <c r="B9" s="32"/>
      <c r="C9" s="50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1"/>
      <c r="J9" s="51"/>
      <c r="K9" s="51"/>
      <c r="L9" s="51"/>
      <c r="M9" s="47" t="str">
        <f ca="1">IF(D9=99,"BLOQUEADO POR: "&amp;UPPER(TWUSER())&amp;" - "&amp;TEXT(TODAY(),"DD/MM/AA"),"")</f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3">
      <c r="A10" s="7" t="str">
        <f t="shared" si="1"/>
        <v>Execução 6</v>
      </c>
      <c r="B10" s="32"/>
      <c r="C10" s="50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1"/>
      <c r="J10" s="51"/>
      <c r="K10" s="51"/>
      <c r="L10" s="51"/>
      <c r="M10" s="47" t="str">
        <f ca="1">IF(D10=99,"BLOQUEADO POR: "&amp;UPPER(TWUSER())&amp;" - "&amp;TEXT(TODAY(),"DD/MM/AA"),"")</f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3">
      <c r="A11" s="7" t="str">
        <f t="shared" si="1"/>
        <v>Execução 7</v>
      </c>
      <c r="B11" s="32"/>
      <c r="C11" s="50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1"/>
      <c r="J11" s="51"/>
      <c r="K11" s="51"/>
      <c r="L11" s="51"/>
      <c r="M11" s="47" t="str">
        <f ca="1">IF(D11=99,"BLOQUEADO POR: "&amp;UPPER(TWUSER())&amp;" - "&amp;TEXT(TODAY(),"DD/MM/AA"),"")</f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3">
      <c r="A12" s="7" t="str">
        <f t="shared" si="1"/>
        <v>Execução 8</v>
      </c>
      <c r="B12" s="32"/>
      <c r="C12" s="50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1"/>
      <c r="J12" s="51"/>
      <c r="K12" s="51"/>
      <c r="L12" s="51"/>
      <c r="M12" s="47" t="str">
        <f ca="1">IF(D12=99,"BLOQUEADO POR: "&amp;UPPER(TWUSER())&amp;" - "&amp;TEXT(TODAY(),"DD/MM/AA"),"")</f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3">
      <c r="A13" s="7" t="str">
        <f t="shared" si="1"/>
        <v>Execução 9</v>
      </c>
      <c r="B13" s="32"/>
      <c r="C13" s="50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1"/>
      <c r="J13" s="51"/>
      <c r="K13" s="51"/>
      <c r="L13" s="51"/>
      <c r="M13" s="47" t="str">
        <f ca="1">IF(D13=99,"BLOQUEADO POR: "&amp;UPPER(TWUSER())&amp;" - "&amp;TEXT(TODAY(),"DD/MM/AA"),"")</f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3">
      <c r="A14" s="7" t="str">
        <f t="shared" si="1"/>
        <v>Execução 10</v>
      </c>
      <c r="B14" s="32"/>
      <c r="C14" s="50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1"/>
      <c r="J14" s="51"/>
      <c r="K14" s="51"/>
      <c r="L14" s="51"/>
      <c r="M14" s="47" t="str">
        <f ca="1">IF(D14=99,"BLOQUEADO POR: "&amp;UPPER(TWUSER())&amp;" - "&amp;TEXT(TODAY(),"DD/MM/AA"),"")</f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3">
      <c r="A15" s="7" t="str">
        <f t="shared" si="1"/>
        <v>Execução 11</v>
      </c>
      <c r="B15" s="32"/>
      <c r="C15" s="50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1"/>
      <c r="J15" s="51"/>
      <c r="K15" s="51"/>
      <c r="L15" s="51"/>
      <c r="M15" s="47" t="str">
        <f ca="1">IF(D15=99,"BLOQUEADO POR: "&amp;UPPER(TWUSER())&amp;" - "&amp;TEXT(TODAY(),"DD/MM/AA"),"")</f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3">
      <c r="A16" s="7" t="str">
        <f t="shared" si="1"/>
        <v>Execução 12</v>
      </c>
      <c r="B16" s="32"/>
      <c r="C16" s="50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1"/>
      <c r="J16" s="51"/>
      <c r="K16" s="51"/>
      <c r="L16" s="51"/>
      <c r="M16" s="47" t="str">
        <f ca="1">IF(D16=99,"BLOQUEADO POR: "&amp;UPPER(TWUSER())&amp;" - "&amp;TEXT(TODAY(),"DD/MM/AA"),"")</f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3">
      <c r="A17" s="7" t="str">
        <f t="shared" si="1"/>
        <v>Execução 13</v>
      </c>
      <c r="B17" s="32"/>
      <c r="C17" s="50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1"/>
      <c r="J17" s="51"/>
      <c r="K17" s="51"/>
      <c r="L17" s="51"/>
      <c r="M17" s="47" t="str">
        <f ca="1">IF(D17=99,"BLOQUEADO POR: "&amp;UPPER(TWUSER())&amp;" - "&amp;TEXT(TODAY(),"DD/MM/AA"),"")</f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3">
      <c r="A18" s="7" t="str">
        <f t="shared" si="1"/>
        <v>Execução 14</v>
      </c>
      <c r="B18" s="32"/>
      <c r="C18" s="50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1"/>
      <c r="J18" s="51"/>
      <c r="K18" s="51"/>
      <c r="L18" s="51"/>
      <c r="M18" s="47" t="str">
        <f ca="1">IF(D18=99,"BLOQUEADO POR: "&amp;UPPER(TWUSER())&amp;" - "&amp;TEXT(TODAY(),"DD/MM/AA"),"")</f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3">
      <c r="A19" s="7" t="str">
        <f t="shared" si="1"/>
        <v>Execução 15</v>
      </c>
      <c r="B19" s="32"/>
      <c r="C19" s="50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1"/>
      <c r="J19" s="51"/>
      <c r="K19" s="51"/>
      <c r="L19" s="51"/>
      <c r="M19" s="47" t="str">
        <f ca="1">IF(D19=99,"BLOQUEADO POR: "&amp;UPPER(TWUSER())&amp;" - "&amp;TEXT(TODAY(),"DD/MM/AA"),"")</f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3">
      <c r="A20" s="7" t="str">
        <f>"Execução "&amp;ROW()-4</f>
        <v>Execução 16</v>
      </c>
      <c r="B20" s="32"/>
      <c r="C20" s="50"/>
      <c r="D20" s="33"/>
      <c r="E20" s="47" t="str">
        <f>IFERROR(VLOOKUP(D20,'Listas de Dados'!AA:AB,2,0),"Liberado")</f>
        <v>Liberado</v>
      </c>
      <c r="F20" s="47" t="str">
        <f t="shared" ref="F20:F64" ca="1" si="4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1"/>
      <c r="J20" s="51"/>
      <c r="K20" s="51"/>
      <c r="L20" s="51"/>
      <c r="M20" s="47" t="str">
        <f ca="1">IF(D20=99,"BLOQUEADO POR: "&amp;UPPER(TWUSER())&amp;"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3">
      <c r="A21" s="7" t="str">
        <f t="shared" si="1"/>
        <v>Execução 17</v>
      </c>
      <c r="B21" s="32"/>
      <c r="C21" s="50"/>
      <c r="D21" s="33"/>
      <c r="E21" s="47" t="str">
        <f>IFERROR(VLOOKUP(D21,'Listas de Dados'!AA:AB,2,0),"Liberado")</f>
        <v>Liberado</v>
      </c>
      <c r="F21" s="47" t="str">
        <f t="shared" ca="1" si="4"/>
        <v/>
      </c>
      <c r="G21" s="47" t="str">
        <f t="shared" ref="G21:G34" si="5">IF(D21=99,"ND","X0")</f>
        <v>X0</v>
      </c>
      <c r="H21" s="47" t="b">
        <f t="shared" ref="H21:H34" si="6">IF(D21=99,"FALSO",TRUE)</f>
        <v>1</v>
      </c>
      <c r="I21" s="51"/>
      <c r="J21" s="51"/>
      <c r="K21" s="51"/>
      <c r="L21" s="51"/>
      <c r="M21" s="47" t="str">
        <f ca="1">IF(D21=99,"BLOQUEADO POR: "&amp;UPPER(TWUSER())&amp;"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3">
      <c r="A22" s="7" t="str">
        <f t="shared" si="1"/>
        <v>Execução 18</v>
      </c>
      <c r="B22" s="32"/>
      <c r="C22" s="50"/>
      <c r="D22" s="33"/>
      <c r="E22" s="47" t="str">
        <f>IFERROR(VLOOKUP(D22,'Listas de Dados'!AA:AB,2,0),"Liberado")</f>
        <v>Liberado</v>
      </c>
      <c r="F22" s="47" t="str">
        <f t="shared" ca="1" si="4"/>
        <v/>
      </c>
      <c r="G22" s="47" t="str">
        <f t="shared" si="5"/>
        <v>X0</v>
      </c>
      <c r="H22" s="47" t="b">
        <f t="shared" si="6"/>
        <v>1</v>
      </c>
      <c r="I22" s="51"/>
      <c r="J22" s="51"/>
      <c r="K22" s="51"/>
      <c r="L22" s="51"/>
      <c r="M22" s="47" t="str">
        <f ca="1">IF(D22=99,"BLOQUEADO POR: "&amp;UPPER(TWUSER())&amp;" - "&amp;TEXT(TODAY(),"DD/MM/AA"),"")</f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3">
      <c r="A23" s="7" t="str">
        <f t="shared" si="1"/>
        <v>Execução 19</v>
      </c>
      <c r="B23" s="32"/>
      <c r="C23" s="50"/>
      <c r="D23" s="33"/>
      <c r="E23" s="47" t="str">
        <f>IFERROR(VLOOKUP(D23,'Listas de Dados'!AA:AB,2,0),"Liberado")</f>
        <v>Liberado</v>
      </c>
      <c r="F23" s="47" t="str">
        <f t="shared" ca="1" si="4"/>
        <v/>
      </c>
      <c r="G23" s="47" t="str">
        <f t="shared" si="5"/>
        <v>X0</v>
      </c>
      <c r="H23" s="47" t="b">
        <f t="shared" si="6"/>
        <v>1</v>
      </c>
      <c r="I23" s="51"/>
      <c r="J23" s="51"/>
      <c r="K23" s="51"/>
      <c r="L23" s="51"/>
      <c r="M23" s="47" t="str">
        <f ca="1">IF(D23=99,"BLOQUEADO POR: "&amp;UPPER(TWUSER())&amp;" - "&amp;TEXT(TODAY(),"DD/MM/AA"),"")</f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3">
      <c r="A24" s="7" t="str">
        <f t="shared" si="1"/>
        <v>Execução 20</v>
      </c>
      <c r="B24" s="32"/>
      <c r="C24" s="50"/>
      <c r="D24" s="33"/>
      <c r="E24" s="47" t="str">
        <f>IFERROR(VLOOKUP(D24,'Listas de Dados'!AA:AB,2,0),"Liberado")</f>
        <v>Liberado</v>
      </c>
      <c r="F24" s="47" t="str">
        <f t="shared" ca="1" si="4"/>
        <v/>
      </c>
      <c r="G24" s="47" t="str">
        <f t="shared" si="5"/>
        <v>X0</v>
      </c>
      <c r="H24" s="47" t="b">
        <f t="shared" si="6"/>
        <v>1</v>
      </c>
      <c r="I24" s="51"/>
      <c r="J24" s="51"/>
      <c r="K24" s="51"/>
      <c r="L24" s="51"/>
      <c r="M24" s="47" t="str">
        <f ca="1">IF(D24=99,"BLOQUEADO POR: "&amp;UPPER(TWUSER())&amp;" - "&amp;TEXT(TODAY(),"DD/MM/AA"),"")</f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3">
      <c r="A25" s="7" t="str">
        <f t="shared" si="1"/>
        <v>Execução 21</v>
      </c>
      <c r="B25" s="32"/>
      <c r="C25" s="50"/>
      <c r="D25" s="33"/>
      <c r="E25" s="47" t="str">
        <f>IFERROR(VLOOKUP(D25,'Listas de Dados'!AA:AB,2,0),"Liberado")</f>
        <v>Liberado</v>
      </c>
      <c r="F25" s="47" t="str">
        <f t="shared" ca="1" si="4"/>
        <v/>
      </c>
      <c r="G25" s="47" t="str">
        <f t="shared" si="5"/>
        <v>X0</v>
      </c>
      <c r="H25" s="47" t="b">
        <f t="shared" si="6"/>
        <v>1</v>
      </c>
      <c r="I25" s="51"/>
      <c r="J25" s="51"/>
      <c r="K25" s="51"/>
      <c r="L25" s="51"/>
      <c r="M25" s="47" t="str">
        <f ca="1">IF(D25=99,"BLOQUEADO POR: "&amp;UPPER(TWUSER())&amp;" - "&amp;TEXT(TODAY(),"DD/MM/AA"),"")</f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3">
      <c r="A26" s="7" t="str">
        <f t="shared" si="1"/>
        <v>Execução 22</v>
      </c>
      <c r="B26" s="32"/>
      <c r="C26" s="50"/>
      <c r="D26" s="33"/>
      <c r="E26" s="47" t="str">
        <f>IFERROR(VLOOKUP(D26,'Listas de Dados'!AA:AB,2,0),"Liberado")</f>
        <v>Liberado</v>
      </c>
      <c r="F26" s="47" t="str">
        <f t="shared" ca="1" si="4"/>
        <v/>
      </c>
      <c r="G26" s="47" t="str">
        <f t="shared" si="5"/>
        <v>X0</v>
      </c>
      <c r="H26" s="47" t="b">
        <f t="shared" si="6"/>
        <v>1</v>
      </c>
      <c r="I26" s="51"/>
      <c r="J26" s="51"/>
      <c r="K26" s="51"/>
      <c r="L26" s="51"/>
      <c r="M26" s="47" t="str">
        <f ca="1">IF(D26=99,"BLOQUEADO POR: "&amp;UPPER(TWUSER())&amp;" - "&amp;TEXT(TODAY(),"DD/MM/AA"),"")</f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3">
      <c r="A27" s="7" t="str">
        <f t="shared" si="1"/>
        <v>Execução 23</v>
      </c>
      <c r="B27" s="32"/>
      <c r="C27" s="50"/>
      <c r="D27" s="33"/>
      <c r="E27" s="47" t="str">
        <f>IFERROR(VLOOKUP(D27,'Listas de Dados'!AA:AB,2,0),"Liberado")</f>
        <v>Liberado</v>
      </c>
      <c r="F27" s="47" t="str">
        <f t="shared" ca="1" si="4"/>
        <v/>
      </c>
      <c r="G27" s="47" t="str">
        <f t="shared" si="5"/>
        <v>X0</v>
      </c>
      <c r="H27" s="47" t="b">
        <f t="shared" si="6"/>
        <v>1</v>
      </c>
      <c r="I27" s="51"/>
      <c r="J27" s="51"/>
      <c r="K27" s="51"/>
      <c r="L27" s="51"/>
      <c r="M27" s="47" t="str">
        <f ca="1">IF(D27=99,"BLOQUEADO POR: "&amp;UPPER(TWUSER())&amp;" - "&amp;TEXT(TODAY(),"DD/MM/AA"),"")</f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3">
      <c r="A28" s="7" t="str">
        <f t="shared" si="1"/>
        <v>Execução 24</v>
      </c>
      <c r="B28" s="32"/>
      <c r="C28" s="50"/>
      <c r="D28" s="33"/>
      <c r="E28" s="47" t="str">
        <f>IFERROR(VLOOKUP(D28,'Listas de Dados'!AA:AB,2,0),"Liberado")</f>
        <v>Liberado</v>
      </c>
      <c r="F28" s="47" t="str">
        <f t="shared" ca="1" si="4"/>
        <v/>
      </c>
      <c r="G28" s="47" t="str">
        <f t="shared" si="5"/>
        <v>X0</v>
      </c>
      <c r="H28" s="47" t="b">
        <f t="shared" si="6"/>
        <v>1</v>
      </c>
      <c r="I28" s="51"/>
      <c r="J28" s="51"/>
      <c r="K28" s="51"/>
      <c r="L28" s="51"/>
      <c r="M28" s="47" t="str">
        <f ca="1">IF(D28=99,"BLOQUEADO POR: "&amp;UPPER(TWUSER())&amp;" - "&amp;TEXT(TODAY(),"DD/MM/AA"),"")</f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3">
      <c r="A29" s="7" t="str">
        <f t="shared" si="1"/>
        <v>Execução 25</v>
      </c>
      <c r="B29" s="32"/>
      <c r="C29" s="50"/>
      <c r="D29" s="33"/>
      <c r="E29" s="47" t="str">
        <f>IFERROR(VLOOKUP(D29,'Listas de Dados'!AA:AB,2,0),"Liberado")</f>
        <v>Liberado</v>
      </c>
      <c r="F29" s="47" t="str">
        <f t="shared" ca="1" si="4"/>
        <v/>
      </c>
      <c r="G29" s="47" t="str">
        <f t="shared" si="5"/>
        <v>X0</v>
      </c>
      <c r="H29" s="47" t="b">
        <f t="shared" si="6"/>
        <v>1</v>
      </c>
      <c r="I29" s="51"/>
      <c r="J29" s="51"/>
      <c r="K29" s="51"/>
      <c r="L29" s="51"/>
      <c r="M29" s="47" t="str">
        <f ca="1">IF(D29=99,"BLOQUEADO POR: "&amp;UPPER(TWUSER())&amp;" - "&amp;TEXT(TODAY(),"DD/MM/AA"),"")</f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3">
      <c r="A30" s="7" t="str">
        <f t="shared" si="1"/>
        <v>Execução 26</v>
      </c>
      <c r="B30" s="32"/>
      <c r="C30" s="50"/>
      <c r="D30" s="33"/>
      <c r="E30" s="47" t="str">
        <f>IFERROR(VLOOKUP(D30,'Listas de Dados'!AA:AB,2,0),"Liberado")</f>
        <v>Liberado</v>
      </c>
      <c r="F30" s="47" t="str">
        <f t="shared" ca="1" si="4"/>
        <v/>
      </c>
      <c r="G30" s="47" t="str">
        <f t="shared" si="5"/>
        <v>X0</v>
      </c>
      <c r="H30" s="47" t="b">
        <f t="shared" si="6"/>
        <v>1</v>
      </c>
      <c r="I30" s="51"/>
      <c r="J30" s="51"/>
      <c r="K30" s="51"/>
      <c r="L30" s="51"/>
      <c r="M30" s="47" t="str">
        <f ca="1">IF(D30=99,"BLOQUEADO POR: "&amp;UPPER(TWUSER())&amp;" - "&amp;TEXT(TODAY(),"DD/MM/AA"),"")</f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3">
      <c r="A31" s="7" t="str">
        <f t="shared" si="1"/>
        <v>Execução 27</v>
      </c>
      <c r="B31" s="32"/>
      <c r="C31" s="50"/>
      <c r="D31" s="33"/>
      <c r="E31" s="47" t="str">
        <f>IFERROR(VLOOKUP(D31,'Listas de Dados'!AA:AB,2,0),"Liberado")</f>
        <v>Liberado</v>
      </c>
      <c r="F31" s="47" t="str">
        <f t="shared" ca="1" si="4"/>
        <v/>
      </c>
      <c r="G31" s="47" t="str">
        <f t="shared" si="5"/>
        <v>X0</v>
      </c>
      <c r="H31" s="47" t="b">
        <f t="shared" si="6"/>
        <v>1</v>
      </c>
      <c r="I31" s="51"/>
      <c r="J31" s="51"/>
      <c r="K31" s="51"/>
      <c r="L31" s="51"/>
      <c r="M31" s="47" t="str">
        <f ca="1">IF(D31=99,"BLOQUEADO POR: "&amp;UPPER(TWUSER())&amp;" - "&amp;TEXT(TODAY(),"DD/MM/AA"),"")</f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3">
      <c r="A32" s="7" t="str">
        <f t="shared" si="1"/>
        <v>Execução 28</v>
      </c>
      <c r="B32" s="32"/>
      <c r="C32" s="50"/>
      <c r="D32" s="33"/>
      <c r="E32" s="47" t="str">
        <f>IFERROR(VLOOKUP(D32,'Listas de Dados'!AA:AB,2,0),"Liberado")</f>
        <v>Liberado</v>
      </c>
      <c r="F32" s="47" t="str">
        <f t="shared" ca="1" si="4"/>
        <v/>
      </c>
      <c r="G32" s="47" t="str">
        <f t="shared" si="5"/>
        <v>X0</v>
      </c>
      <c r="H32" s="47" t="b">
        <f t="shared" si="6"/>
        <v>1</v>
      </c>
      <c r="I32" s="51"/>
      <c r="J32" s="51"/>
      <c r="K32" s="51"/>
      <c r="L32" s="51"/>
      <c r="M32" s="47" t="str">
        <f ca="1">IF(D32=99,"BLOQUEADO POR: "&amp;UPPER(TWUSER())&amp;" - "&amp;TEXT(TODAY(),"DD/MM/AA"),"")</f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3">
      <c r="A33" s="7" t="str">
        <f t="shared" si="1"/>
        <v>Execução 29</v>
      </c>
      <c r="B33" s="32"/>
      <c r="C33" s="50"/>
      <c r="D33" s="33"/>
      <c r="E33" s="47" t="str">
        <f>IFERROR(VLOOKUP(D33,'Listas de Dados'!AA:AB,2,0),"Liberado")</f>
        <v>Liberado</v>
      </c>
      <c r="F33" s="47" t="str">
        <f t="shared" ca="1" si="4"/>
        <v/>
      </c>
      <c r="G33" s="47" t="str">
        <f t="shared" si="5"/>
        <v>X0</v>
      </c>
      <c r="H33" s="47" t="b">
        <f t="shared" si="6"/>
        <v>1</v>
      </c>
      <c r="I33" s="51"/>
      <c r="J33" s="51"/>
      <c r="K33" s="51"/>
      <c r="L33" s="51"/>
      <c r="M33" s="47" t="str">
        <f ca="1">IF(D33=99,"BLOQUEADO POR: "&amp;UPPER(TWUSER())&amp;" - "&amp;TEXT(TODAY(),"DD/MM/AA"),"")</f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3">
      <c r="A34" s="7" t="str">
        <f t="shared" si="1"/>
        <v>Execução 30</v>
      </c>
      <c r="B34" s="32"/>
      <c r="C34" s="50"/>
      <c r="D34" s="33"/>
      <c r="E34" s="47" t="str">
        <f>IFERROR(VLOOKUP(D34,'Listas de Dados'!AA:AB,2,0),"Liberado")</f>
        <v>Liberado</v>
      </c>
      <c r="F34" s="47" t="str">
        <f t="shared" ca="1" si="4"/>
        <v/>
      </c>
      <c r="G34" s="47" t="str">
        <f t="shared" si="5"/>
        <v>X0</v>
      </c>
      <c r="H34" s="47" t="b">
        <f t="shared" si="6"/>
        <v>1</v>
      </c>
      <c r="I34" s="51"/>
      <c r="J34" s="51"/>
      <c r="K34" s="51"/>
      <c r="L34" s="51"/>
      <c r="M34" s="47" t="str">
        <f ca="1">IF(D34=99,"BLOQUEADO POR: "&amp;UPPER(TWUSER())&amp;" - "&amp;TEXT(TODAY(),"DD/MM/AA"),"")</f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3">
      <c r="A35" s="7" t="str">
        <f>"Execução "&amp;ROW()-4</f>
        <v>Execução 31</v>
      </c>
      <c r="B35" s="32"/>
      <c r="C35" s="50"/>
      <c r="D35" s="33"/>
      <c r="E35" s="47" t="str">
        <f>IFERROR(VLOOKUP(D35,'Listas de Dados'!AA:AB,2,0),"Liberado")</f>
        <v>Liberado</v>
      </c>
      <c r="F35" s="47" t="str">
        <f t="shared" ca="1" si="4"/>
        <v/>
      </c>
      <c r="G35" s="47" t="str">
        <f>IF(D35=99,"ND","X0")</f>
        <v>X0</v>
      </c>
      <c r="H35" s="47" t="b">
        <f>IF(D35=99,"FALSO",TRUE)</f>
        <v>1</v>
      </c>
      <c r="I35" s="51"/>
      <c r="J35" s="51"/>
      <c r="K35" s="51"/>
      <c r="L35" s="51"/>
      <c r="M35" s="47" t="str">
        <f ca="1">IF(D35=99,"BLOQUEADO POR: "&amp;UPPER(TWUSER())&amp;"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3">
      <c r="A36" s="7" t="str">
        <f t="shared" si="1"/>
        <v>Execução 32</v>
      </c>
      <c r="B36" s="32"/>
      <c r="C36" s="50"/>
      <c r="D36" s="33"/>
      <c r="E36" s="47" t="str">
        <f>IFERROR(VLOOKUP(D36,'Listas de Dados'!AA:AB,2,0),"Liberado")</f>
        <v>Liberado</v>
      </c>
      <c r="F36" s="47" t="str">
        <f t="shared" ca="1" si="4"/>
        <v/>
      </c>
      <c r="G36" s="47" t="str">
        <f t="shared" ref="G36:G49" si="7">IF(D36=99,"ND","X0")</f>
        <v>X0</v>
      </c>
      <c r="H36" s="47" t="b">
        <f t="shared" ref="H36:H49" si="8">IF(D36=99,"FALSO",TRUE)</f>
        <v>1</v>
      </c>
      <c r="I36" s="51"/>
      <c r="J36" s="51"/>
      <c r="K36" s="51"/>
      <c r="L36" s="51"/>
      <c r="M36" s="47" t="str">
        <f ca="1">IF(D36=99,"BLOQUEADO POR: "&amp;UPPER(TWUSER())&amp;"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3">
      <c r="A37" s="7" t="str">
        <f t="shared" si="1"/>
        <v>Execução 33</v>
      </c>
      <c r="B37" s="32"/>
      <c r="C37" s="50"/>
      <c r="D37" s="33"/>
      <c r="E37" s="47" t="str">
        <f>IFERROR(VLOOKUP(D37,'Listas de Dados'!AA:AB,2,0),"Liberado")</f>
        <v>Liberado</v>
      </c>
      <c r="F37" s="47" t="str">
        <f t="shared" ca="1" si="4"/>
        <v/>
      </c>
      <c r="G37" s="47" t="str">
        <f t="shared" si="7"/>
        <v>X0</v>
      </c>
      <c r="H37" s="47" t="b">
        <f t="shared" si="8"/>
        <v>1</v>
      </c>
      <c r="I37" s="51"/>
      <c r="J37" s="51"/>
      <c r="K37" s="51"/>
      <c r="L37" s="51"/>
      <c r="M37" s="47" t="str">
        <f ca="1">IF(D37=99,"BLOQUEADO POR: "&amp;UPPER(TWUSER())&amp;" - "&amp;TEXT(TODAY(),"DD/MM/AA"),"")</f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3">
      <c r="A38" s="7" t="str">
        <f t="shared" si="1"/>
        <v>Execução 34</v>
      </c>
      <c r="B38" s="32"/>
      <c r="C38" s="50"/>
      <c r="D38" s="33"/>
      <c r="E38" s="47" t="str">
        <f>IFERROR(VLOOKUP(D38,'Listas de Dados'!AA:AB,2,0),"Liberado")</f>
        <v>Liberado</v>
      </c>
      <c r="F38" s="47" t="str">
        <f t="shared" ca="1" si="4"/>
        <v/>
      </c>
      <c r="G38" s="47" t="str">
        <f t="shared" si="7"/>
        <v>X0</v>
      </c>
      <c r="H38" s="47" t="b">
        <f t="shared" si="8"/>
        <v>1</v>
      </c>
      <c r="I38" s="51"/>
      <c r="J38" s="51"/>
      <c r="K38" s="51"/>
      <c r="L38" s="51"/>
      <c r="M38" s="47" t="str">
        <f ca="1">IF(D38=99,"BLOQUEADO POR: "&amp;UPPER(TWUSER())&amp;" - "&amp;TEXT(TODAY(),"DD/MM/AA"),"")</f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3">
      <c r="A39" s="7" t="str">
        <f t="shared" si="1"/>
        <v>Execução 35</v>
      </c>
      <c r="B39" s="32"/>
      <c r="C39" s="50"/>
      <c r="D39" s="33"/>
      <c r="E39" s="47" t="str">
        <f>IFERROR(VLOOKUP(D39,'Listas de Dados'!AA:AB,2,0),"Liberado")</f>
        <v>Liberado</v>
      </c>
      <c r="F39" s="47" t="str">
        <f t="shared" ca="1" si="4"/>
        <v/>
      </c>
      <c r="G39" s="47" t="str">
        <f t="shared" si="7"/>
        <v>X0</v>
      </c>
      <c r="H39" s="47" t="b">
        <f t="shared" si="8"/>
        <v>1</v>
      </c>
      <c r="I39" s="51"/>
      <c r="J39" s="51"/>
      <c r="K39" s="51"/>
      <c r="L39" s="51"/>
      <c r="M39" s="47" t="str">
        <f ca="1">IF(D39=99,"BLOQUEADO POR: "&amp;UPPER(TWUSER())&amp;" - "&amp;TEXT(TODAY(),"DD/MM/AA"),"")</f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3">
      <c r="A40" s="7" t="str">
        <f t="shared" si="1"/>
        <v>Execução 36</v>
      </c>
      <c r="B40" s="32"/>
      <c r="C40" s="50"/>
      <c r="D40" s="33"/>
      <c r="E40" s="47" t="str">
        <f>IFERROR(VLOOKUP(D40,'Listas de Dados'!AA:AB,2,0),"Liberado")</f>
        <v>Liberado</v>
      </c>
      <c r="F40" s="47" t="str">
        <f t="shared" ca="1" si="4"/>
        <v/>
      </c>
      <c r="G40" s="47" t="str">
        <f t="shared" si="7"/>
        <v>X0</v>
      </c>
      <c r="H40" s="47" t="b">
        <f t="shared" si="8"/>
        <v>1</v>
      </c>
      <c r="I40" s="51"/>
      <c r="J40" s="51"/>
      <c r="K40" s="51"/>
      <c r="L40" s="51"/>
      <c r="M40" s="47" t="str">
        <f ca="1">IF(D40=99,"BLOQUEADO POR: "&amp;UPPER(TWUSER())&amp;" - "&amp;TEXT(TODAY(),"DD/MM/AA"),"")</f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3">
      <c r="A41" s="7" t="str">
        <f t="shared" si="1"/>
        <v>Execução 37</v>
      </c>
      <c r="B41" s="32"/>
      <c r="C41" s="50"/>
      <c r="D41" s="33"/>
      <c r="E41" s="47" t="str">
        <f>IFERROR(VLOOKUP(D41,'Listas de Dados'!AA:AB,2,0),"Liberado")</f>
        <v>Liberado</v>
      </c>
      <c r="F41" s="47" t="str">
        <f t="shared" ca="1" si="4"/>
        <v/>
      </c>
      <c r="G41" s="47" t="str">
        <f t="shared" si="7"/>
        <v>X0</v>
      </c>
      <c r="H41" s="47" t="b">
        <f t="shared" si="8"/>
        <v>1</v>
      </c>
      <c r="I41" s="51"/>
      <c r="J41" s="51"/>
      <c r="K41" s="51"/>
      <c r="L41" s="51"/>
      <c r="M41" s="47" t="str">
        <f ca="1">IF(D41=99,"BLOQUEADO POR: "&amp;UPPER(TWUSER())&amp;" - "&amp;TEXT(TODAY(),"DD/MM/AA"),"")</f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3">
      <c r="A42" s="7" t="str">
        <f t="shared" si="1"/>
        <v>Execução 38</v>
      </c>
      <c r="B42" s="32"/>
      <c r="C42" s="50"/>
      <c r="D42" s="33"/>
      <c r="E42" s="47" t="str">
        <f>IFERROR(VLOOKUP(D42,'Listas de Dados'!AA:AB,2,0),"Liberado")</f>
        <v>Liberado</v>
      </c>
      <c r="F42" s="47" t="str">
        <f t="shared" ca="1" si="4"/>
        <v/>
      </c>
      <c r="G42" s="47" t="str">
        <f t="shared" si="7"/>
        <v>X0</v>
      </c>
      <c r="H42" s="47" t="b">
        <f t="shared" si="8"/>
        <v>1</v>
      </c>
      <c r="I42" s="51"/>
      <c r="J42" s="51"/>
      <c r="K42" s="51"/>
      <c r="L42" s="51"/>
      <c r="M42" s="47" t="str">
        <f ca="1">IF(D42=99,"BLOQUEADO POR: "&amp;UPPER(TWUSER())&amp;" - "&amp;TEXT(TODAY(),"DD/MM/AA"),"")</f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3">
      <c r="A43" s="7" t="str">
        <f t="shared" si="1"/>
        <v>Execução 39</v>
      </c>
      <c r="B43" s="32"/>
      <c r="C43" s="50"/>
      <c r="D43" s="33"/>
      <c r="E43" s="47" t="str">
        <f>IFERROR(VLOOKUP(D43,'Listas de Dados'!AA:AB,2,0),"Liberado")</f>
        <v>Liberado</v>
      </c>
      <c r="F43" s="47" t="str">
        <f t="shared" ca="1" si="4"/>
        <v/>
      </c>
      <c r="G43" s="47" t="str">
        <f t="shared" si="7"/>
        <v>X0</v>
      </c>
      <c r="H43" s="47" t="b">
        <f t="shared" si="8"/>
        <v>1</v>
      </c>
      <c r="I43" s="51"/>
      <c r="J43" s="51"/>
      <c r="K43" s="51"/>
      <c r="L43" s="51"/>
      <c r="M43" s="47" t="str">
        <f ca="1">IF(D43=99,"BLOQUEADO POR: "&amp;UPPER(TWUSER())&amp;" - "&amp;TEXT(TODAY(),"DD/MM/AA"),"")</f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3">
      <c r="A44" s="7" t="str">
        <f t="shared" si="1"/>
        <v>Execução 40</v>
      </c>
      <c r="B44" s="32"/>
      <c r="C44" s="50"/>
      <c r="D44" s="33"/>
      <c r="E44" s="47" t="str">
        <f>IFERROR(VLOOKUP(D44,'Listas de Dados'!AA:AB,2,0),"Liberado")</f>
        <v>Liberado</v>
      </c>
      <c r="F44" s="47" t="str">
        <f t="shared" ca="1" si="4"/>
        <v/>
      </c>
      <c r="G44" s="47" t="str">
        <f t="shared" si="7"/>
        <v>X0</v>
      </c>
      <c r="H44" s="47" t="b">
        <f t="shared" si="8"/>
        <v>1</v>
      </c>
      <c r="I44" s="51"/>
      <c r="J44" s="51"/>
      <c r="K44" s="51"/>
      <c r="L44" s="51"/>
      <c r="M44" s="47" t="str">
        <f ca="1">IF(D44=99,"BLOQUEADO POR: "&amp;UPPER(TWUSER())&amp;" - "&amp;TEXT(TODAY(),"DD/MM/AA"),"")</f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3">
      <c r="A45" s="7" t="str">
        <f t="shared" si="1"/>
        <v>Execução 41</v>
      </c>
      <c r="B45" s="32"/>
      <c r="C45" s="50"/>
      <c r="D45" s="33"/>
      <c r="E45" s="47" t="str">
        <f>IFERROR(VLOOKUP(D45,'Listas de Dados'!AA:AB,2,0),"Liberado")</f>
        <v>Liberado</v>
      </c>
      <c r="F45" s="47" t="str">
        <f t="shared" ca="1" si="4"/>
        <v/>
      </c>
      <c r="G45" s="47" t="str">
        <f t="shared" si="7"/>
        <v>X0</v>
      </c>
      <c r="H45" s="47" t="b">
        <f t="shared" si="8"/>
        <v>1</v>
      </c>
      <c r="I45" s="51"/>
      <c r="J45" s="51"/>
      <c r="K45" s="51"/>
      <c r="L45" s="51"/>
      <c r="M45" s="47" t="str">
        <f ca="1">IF(D45=99,"BLOQUEADO POR: "&amp;UPPER(TWUSER())&amp;" - "&amp;TEXT(TODAY(),"DD/MM/AA"),"")</f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3">
      <c r="A46" s="7" t="str">
        <f t="shared" si="1"/>
        <v>Execução 42</v>
      </c>
      <c r="B46" s="32"/>
      <c r="C46" s="50"/>
      <c r="D46" s="33"/>
      <c r="E46" s="47" t="str">
        <f>IFERROR(VLOOKUP(D46,'Listas de Dados'!AA:AB,2,0),"Liberado")</f>
        <v>Liberado</v>
      </c>
      <c r="F46" s="47" t="str">
        <f t="shared" ca="1" si="4"/>
        <v/>
      </c>
      <c r="G46" s="47" t="str">
        <f t="shared" si="7"/>
        <v>X0</v>
      </c>
      <c r="H46" s="47" t="b">
        <f t="shared" si="8"/>
        <v>1</v>
      </c>
      <c r="I46" s="51"/>
      <c r="J46" s="51"/>
      <c r="K46" s="51"/>
      <c r="L46" s="51"/>
      <c r="M46" s="47" t="str">
        <f ca="1">IF(D46=99,"BLOQUEADO POR: "&amp;UPPER(TWUSER())&amp;" - "&amp;TEXT(TODAY(),"DD/MM/AA"),"")</f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3">
      <c r="A47" s="7" t="str">
        <f t="shared" si="1"/>
        <v>Execução 43</v>
      </c>
      <c r="B47" s="32"/>
      <c r="C47" s="50"/>
      <c r="D47" s="33"/>
      <c r="E47" s="47" t="str">
        <f>IFERROR(VLOOKUP(D47,'Listas de Dados'!AA:AB,2,0),"Liberado")</f>
        <v>Liberado</v>
      </c>
      <c r="F47" s="47" t="str">
        <f t="shared" ca="1" si="4"/>
        <v/>
      </c>
      <c r="G47" s="47" t="str">
        <f t="shared" si="7"/>
        <v>X0</v>
      </c>
      <c r="H47" s="47" t="b">
        <f t="shared" si="8"/>
        <v>1</v>
      </c>
      <c r="I47" s="51"/>
      <c r="J47" s="51"/>
      <c r="K47" s="51"/>
      <c r="L47" s="51"/>
      <c r="M47" s="47" t="str">
        <f ca="1">IF(D47=99,"BLOQUEADO POR: "&amp;UPPER(TWUSER())&amp;" - "&amp;TEXT(TODAY(),"DD/MM/AA"),"")</f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3">
      <c r="A48" s="7" t="str">
        <f t="shared" si="1"/>
        <v>Execução 44</v>
      </c>
      <c r="B48" s="32"/>
      <c r="C48" s="50"/>
      <c r="D48" s="33"/>
      <c r="E48" s="47" t="str">
        <f>IFERROR(VLOOKUP(D48,'Listas de Dados'!AA:AB,2,0),"Liberado")</f>
        <v>Liberado</v>
      </c>
      <c r="F48" s="47" t="str">
        <f t="shared" ca="1" si="4"/>
        <v/>
      </c>
      <c r="G48" s="47" t="str">
        <f t="shared" si="7"/>
        <v>X0</v>
      </c>
      <c r="H48" s="47" t="b">
        <f t="shared" si="8"/>
        <v>1</v>
      </c>
      <c r="I48" s="51"/>
      <c r="J48" s="51"/>
      <c r="K48" s="51"/>
      <c r="L48" s="51"/>
      <c r="M48" s="47" t="str">
        <f ca="1">IF(D48=99,"BLOQUEADO POR: "&amp;UPPER(TWUSER())&amp;" - "&amp;TEXT(TODAY(),"DD/MM/AA"),"")</f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3">
      <c r="A49" s="7" t="str">
        <f t="shared" si="1"/>
        <v>Execução 45</v>
      </c>
      <c r="B49" s="32"/>
      <c r="C49" s="50"/>
      <c r="D49" s="33"/>
      <c r="E49" s="47" t="str">
        <f>IFERROR(VLOOKUP(D49,'Listas de Dados'!AA:AB,2,0),"Liberado")</f>
        <v>Liberado</v>
      </c>
      <c r="F49" s="47" t="str">
        <f t="shared" ca="1" si="4"/>
        <v/>
      </c>
      <c r="G49" s="47" t="str">
        <f t="shared" si="7"/>
        <v>X0</v>
      </c>
      <c r="H49" s="47" t="b">
        <f t="shared" si="8"/>
        <v>1</v>
      </c>
      <c r="I49" s="51"/>
      <c r="J49" s="51"/>
      <c r="K49" s="51"/>
      <c r="L49" s="51"/>
      <c r="M49" s="47" t="str">
        <f ca="1">IF(D49=99,"BLOQUEADO POR: "&amp;UPPER(TWUSER())&amp;" - "&amp;TEXT(TODAY(),"DD/MM/AA"),"")</f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3">
      <c r="A50" s="7" t="str">
        <f>"Execução "&amp;ROW()-4</f>
        <v>Execução 46</v>
      </c>
      <c r="B50" s="32"/>
      <c r="C50" s="50"/>
      <c r="D50" s="33"/>
      <c r="E50" s="47" t="str">
        <f>IFERROR(VLOOKUP(D50,'Listas de Dados'!AA:AB,2,0),"Liberado")</f>
        <v>Liberado</v>
      </c>
      <c r="F50" s="47" t="str">
        <f t="shared" ca="1" si="4"/>
        <v/>
      </c>
      <c r="G50" s="47" t="str">
        <f>IF(D50=99,"ND","X0")</f>
        <v>X0</v>
      </c>
      <c r="H50" s="47" t="b">
        <f>IF(D50=99,"FALSO",TRUE)</f>
        <v>1</v>
      </c>
      <c r="I50" s="51"/>
      <c r="J50" s="51"/>
      <c r="K50" s="51"/>
      <c r="L50" s="51"/>
      <c r="M50" s="47" t="str">
        <f ca="1">IF(D50=99,"BLOQUEADO POR: "&amp;UPPER(TWUSER())&amp;"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3">
      <c r="A51" s="7" t="str">
        <f t="shared" si="1"/>
        <v>Execução 47</v>
      </c>
      <c r="B51" s="32"/>
      <c r="C51" s="50"/>
      <c r="D51" s="33"/>
      <c r="E51" s="47" t="str">
        <f>IFERROR(VLOOKUP(D51,'Listas de Dados'!AA:AB,2,0),"Liberado")</f>
        <v>Liberado</v>
      </c>
      <c r="F51" s="47" t="str">
        <f t="shared" ca="1" si="4"/>
        <v/>
      </c>
      <c r="G51" s="47" t="str">
        <f t="shared" ref="G51:G64" si="9">IF(D51=99,"ND","X0")</f>
        <v>X0</v>
      </c>
      <c r="H51" s="47" t="b">
        <f t="shared" ref="H51:H64" si="10">IF(D51=99,"FALSO",TRUE)</f>
        <v>1</v>
      </c>
      <c r="I51" s="51"/>
      <c r="J51" s="51"/>
      <c r="K51" s="51"/>
      <c r="L51" s="51"/>
      <c r="M51" s="47" t="str">
        <f ca="1">IF(D51=99,"BLOQUEADO POR: "&amp;UPPER(TWUSER())&amp;"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3">
      <c r="A52" s="7" t="str">
        <f t="shared" si="1"/>
        <v>Execução 48</v>
      </c>
      <c r="B52" s="32"/>
      <c r="C52" s="50"/>
      <c r="D52" s="33"/>
      <c r="E52" s="47" t="str">
        <f>IFERROR(VLOOKUP(D52,'Listas de Dados'!AA:AB,2,0),"Liberado")</f>
        <v>Liberado</v>
      </c>
      <c r="F52" s="47" t="str">
        <f t="shared" ca="1" si="4"/>
        <v/>
      </c>
      <c r="G52" s="47" t="str">
        <f t="shared" si="9"/>
        <v>X0</v>
      </c>
      <c r="H52" s="47" t="b">
        <f t="shared" si="10"/>
        <v>1</v>
      </c>
      <c r="I52" s="51"/>
      <c r="J52" s="51"/>
      <c r="K52" s="51"/>
      <c r="L52" s="51"/>
      <c r="M52" s="47" t="str">
        <f ca="1">IF(D52=99,"BLOQUEADO POR: "&amp;UPPER(TWUSER())&amp;" - "&amp;TEXT(TODAY(),"DD/MM/AA"),"")</f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3">
      <c r="A53" s="7" t="str">
        <f t="shared" si="1"/>
        <v>Execução 49</v>
      </c>
      <c r="B53" s="32"/>
      <c r="C53" s="50"/>
      <c r="D53" s="33"/>
      <c r="E53" s="47" t="str">
        <f>IFERROR(VLOOKUP(D53,'Listas de Dados'!AA:AB,2,0),"Liberado")</f>
        <v>Liberado</v>
      </c>
      <c r="F53" s="47" t="str">
        <f t="shared" ca="1" si="4"/>
        <v/>
      </c>
      <c r="G53" s="47" t="str">
        <f t="shared" si="9"/>
        <v>X0</v>
      </c>
      <c r="H53" s="47" t="b">
        <f t="shared" si="10"/>
        <v>1</v>
      </c>
      <c r="I53" s="51"/>
      <c r="J53" s="51"/>
      <c r="K53" s="51"/>
      <c r="L53" s="51"/>
      <c r="M53" s="47" t="str">
        <f ca="1">IF(D53=99,"BLOQUEADO POR: "&amp;UPPER(TWUSER())&amp;" - "&amp;TEXT(TODAY(),"DD/MM/AA"),"")</f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3">
      <c r="A54" s="7" t="str">
        <f t="shared" si="1"/>
        <v>Execução 50</v>
      </c>
      <c r="B54" s="32"/>
      <c r="C54" s="50"/>
      <c r="D54" s="33"/>
      <c r="E54" s="47" t="str">
        <f>IFERROR(VLOOKUP(D54,'Listas de Dados'!AA:AB,2,0),"Liberado")</f>
        <v>Liberado</v>
      </c>
      <c r="F54" s="47" t="str">
        <f t="shared" ca="1" si="4"/>
        <v/>
      </c>
      <c r="G54" s="47" t="str">
        <f t="shared" si="9"/>
        <v>X0</v>
      </c>
      <c r="H54" s="47" t="b">
        <f t="shared" si="10"/>
        <v>1</v>
      </c>
      <c r="I54" s="51"/>
      <c r="J54" s="51"/>
      <c r="K54" s="51"/>
      <c r="L54" s="51"/>
      <c r="M54" s="47" t="str">
        <f ca="1">IF(D54=99,"BLOQUEADO POR: "&amp;UPPER(TWUSER())&amp;" - "&amp;TEXT(TODAY(),"DD/MM/AA"),"")</f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3">
      <c r="A55" s="7" t="str">
        <f t="shared" si="1"/>
        <v>Execução 51</v>
      </c>
      <c r="B55" s="32"/>
      <c r="C55" s="50"/>
      <c r="D55" s="33"/>
      <c r="E55" s="47" t="str">
        <f>IFERROR(VLOOKUP(D55,'Listas de Dados'!AA:AB,2,0),"Liberado")</f>
        <v>Liberado</v>
      </c>
      <c r="F55" s="47" t="str">
        <f t="shared" ca="1" si="4"/>
        <v/>
      </c>
      <c r="G55" s="47" t="str">
        <f t="shared" si="9"/>
        <v>X0</v>
      </c>
      <c r="H55" s="47" t="b">
        <f t="shared" si="10"/>
        <v>1</v>
      </c>
      <c r="I55" s="51"/>
      <c r="J55" s="51"/>
      <c r="K55" s="51"/>
      <c r="L55" s="51"/>
      <c r="M55" s="47" t="str">
        <f ca="1">IF(D55=99,"BLOQUEADO POR: "&amp;UPPER(TWUSER())&amp;" - "&amp;TEXT(TODAY(),"DD/MM/AA"),"")</f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3">
      <c r="A56" s="7" t="str">
        <f t="shared" si="1"/>
        <v>Execução 52</v>
      </c>
      <c r="B56" s="32"/>
      <c r="C56" s="50"/>
      <c r="D56" s="33"/>
      <c r="E56" s="47" t="str">
        <f>IFERROR(VLOOKUP(D56,'Listas de Dados'!AA:AB,2,0),"Liberado")</f>
        <v>Liberado</v>
      </c>
      <c r="F56" s="47" t="str">
        <f t="shared" ca="1" si="4"/>
        <v/>
      </c>
      <c r="G56" s="47" t="str">
        <f t="shared" si="9"/>
        <v>X0</v>
      </c>
      <c r="H56" s="47" t="b">
        <f t="shared" si="10"/>
        <v>1</v>
      </c>
      <c r="I56" s="51"/>
      <c r="J56" s="51"/>
      <c r="K56" s="51"/>
      <c r="L56" s="51"/>
      <c r="M56" s="47" t="str">
        <f ca="1">IF(D56=99,"BLOQUEADO POR: "&amp;UPPER(TWUSER())&amp;" - "&amp;TEXT(TODAY(),"DD/MM/AA"),"")</f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3">
      <c r="A57" s="7" t="str">
        <f t="shared" si="1"/>
        <v>Execução 53</v>
      </c>
      <c r="B57" s="32"/>
      <c r="C57" s="50"/>
      <c r="D57" s="33"/>
      <c r="E57" s="47" t="str">
        <f>IFERROR(VLOOKUP(D57,'Listas de Dados'!AA:AB,2,0),"Liberado")</f>
        <v>Liberado</v>
      </c>
      <c r="F57" s="47" t="str">
        <f t="shared" ca="1" si="4"/>
        <v/>
      </c>
      <c r="G57" s="47" t="str">
        <f t="shared" si="9"/>
        <v>X0</v>
      </c>
      <c r="H57" s="47" t="b">
        <f t="shared" si="10"/>
        <v>1</v>
      </c>
      <c r="I57" s="51"/>
      <c r="J57" s="51"/>
      <c r="K57" s="51"/>
      <c r="L57" s="51"/>
      <c r="M57" s="47" t="str">
        <f ca="1">IF(D57=99,"BLOQUEADO POR: "&amp;UPPER(TWUSER())&amp;" - "&amp;TEXT(TODAY(),"DD/MM/AA"),"")</f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3">
      <c r="A58" s="7" t="str">
        <f t="shared" si="1"/>
        <v>Execução 54</v>
      </c>
      <c r="B58" s="32"/>
      <c r="C58" s="50"/>
      <c r="D58" s="33"/>
      <c r="E58" s="47" t="str">
        <f>IFERROR(VLOOKUP(D58,'Listas de Dados'!AA:AB,2,0),"Liberado")</f>
        <v>Liberado</v>
      </c>
      <c r="F58" s="47" t="str">
        <f t="shared" ca="1" si="4"/>
        <v/>
      </c>
      <c r="G58" s="47" t="str">
        <f t="shared" si="9"/>
        <v>X0</v>
      </c>
      <c r="H58" s="47" t="b">
        <f t="shared" si="10"/>
        <v>1</v>
      </c>
      <c r="I58" s="51"/>
      <c r="J58" s="51"/>
      <c r="K58" s="51"/>
      <c r="L58" s="51"/>
      <c r="M58" s="47" t="str">
        <f ca="1">IF(D58=99,"BLOQUEADO POR: "&amp;UPPER(TWUSER())&amp;" - "&amp;TEXT(TODAY(),"DD/MM/AA"),"")</f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3">
      <c r="A59" s="7" t="str">
        <f t="shared" si="1"/>
        <v>Execução 55</v>
      </c>
      <c r="B59" s="32"/>
      <c r="C59" s="50"/>
      <c r="D59" s="33"/>
      <c r="E59" s="47" t="str">
        <f>IFERROR(VLOOKUP(D59,'Listas de Dados'!AA:AB,2,0),"Liberado")</f>
        <v>Liberado</v>
      </c>
      <c r="F59" s="47" t="str">
        <f t="shared" ca="1" si="4"/>
        <v/>
      </c>
      <c r="G59" s="47" t="str">
        <f t="shared" si="9"/>
        <v>X0</v>
      </c>
      <c r="H59" s="47" t="b">
        <f t="shared" si="10"/>
        <v>1</v>
      </c>
      <c r="I59" s="51"/>
      <c r="J59" s="51"/>
      <c r="K59" s="51"/>
      <c r="L59" s="51"/>
      <c r="M59" s="47" t="str">
        <f ca="1">IF(D59=99,"BLOQUEADO POR: "&amp;UPPER(TWUSER())&amp;" - "&amp;TEXT(TODAY(),"DD/MM/AA"),"")</f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3">
      <c r="A60" s="7" t="str">
        <f t="shared" si="1"/>
        <v>Execução 56</v>
      </c>
      <c r="B60" s="32"/>
      <c r="C60" s="50"/>
      <c r="D60" s="33"/>
      <c r="E60" s="47" t="str">
        <f>IFERROR(VLOOKUP(D60,'Listas de Dados'!AA:AB,2,0),"Liberado")</f>
        <v>Liberado</v>
      </c>
      <c r="F60" s="47" t="str">
        <f t="shared" ca="1" si="4"/>
        <v/>
      </c>
      <c r="G60" s="47" t="str">
        <f t="shared" si="9"/>
        <v>X0</v>
      </c>
      <c r="H60" s="47" t="b">
        <f t="shared" si="10"/>
        <v>1</v>
      </c>
      <c r="I60" s="51"/>
      <c r="J60" s="51"/>
      <c r="K60" s="51"/>
      <c r="L60" s="51"/>
      <c r="M60" s="47" t="str">
        <f ca="1">IF(D60=99,"BLOQUEADO POR: "&amp;UPPER(TWUSER())&amp;" - "&amp;TEXT(TODAY(),"DD/MM/AA"),"")</f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3">
      <c r="A61" s="7" t="str">
        <f t="shared" si="1"/>
        <v>Execução 57</v>
      </c>
      <c r="B61" s="32"/>
      <c r="C61" s="50"/>
      <c r="D61" s="33"/>
      <c r="E61" s="47" t="str">
        <f>IFERROR(VLOOKUP(D61,'Listas de Dados'!AA:AB,2,0),"Liberado")</f>
        <v>Liberado</v>
      </c>
      <c r="F61" s="47" t="str">
        <f t="shared" ca="1" si="4"/>
        <v/>
      </c>
      <c r="G61" s="47" t="str">
        <f t="shared" si="9"/>
        <v>X0</v>
      </c>
      <c r="H61" s="47" t="b">
        <f t="shared" si="10"/>
        <v>1</v>
      </c>
      <c r="I61" s="51"/>
      <c r="J61" s="51"/>
      <c r="K61" s="51"/>
      <c r="L61" s="51"/>
      <c r="M61" s="47" t="str">
        <f ca="1">IF(D61=99,"BLOQUEADO POR: "&amp;UPPER(TWUSER())&amp;" - "&amp;TEXT(TODAY(),"DD/MM/AA"),"")</f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3">
      <c r="A62" s="7" t="str">
        <f t="shared" si="1"/>
        <v>Execução 58</v>
      </c>
      <c r="B62" s="32"/>
      <c r="C62" s="50"/>
      <c r="D62" s="33"/>
      <c r="E62" s="47" t="str">
        <f>IFERROR(VLOOKUP(D62,'Listas de Dados'!AA:AB,2,0),"Liberado")</f>
        <v>Liberado</v>
      </c>
      <c r="F62" s="47" t="str">
        <f t="shared" ca="1" si="4"/>
        <v/>
      </c>
      <c r="G62" s="47" t="str">
        <f t="shared" si="9"/>
        <v>X0</v>
      </c>
      <c r="H62" s="47" t="b">
        <f t="shared" si="10"/>
        <v>1</v>
      </c>
      <c r="I62" s="51"/>
      <c r="J62" s="51"/>
      <c r="K62" s="51"/>
      <c r="L62" s="51"/>
      <c r="M62" s="47" t="str">
        <f ca="1">IF(D62=99,"BLOQUEADO POR: "&amp;UPPER(TWUSER())&amp;" - "&amp;TEXT(TODAY(),"DD/MM/AA"),"")</f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3">
      <c r="A63" s="7" t="str">
        <f t="shared" si="1"/>
        <v>Execução 59</v>
      </c>
      <c r="B63" s="32"/>
      <c r="C63" s="50"/>
      <c r="D63" s="33"/>
      <c r="E63" s="47" t="str">
        <f>IFERROR(VLOOKUP(D63,'Listas de Dados'!AA:AB,2,0),"Liberado")</f>
        <v>Liberado</v>
      </c>
      <c r="F63" s="47" t="str">
        <f t="shared" ca="1" si="4"/>
        <v/>
      </c>
      <c r="G63" s="47" t="str">
        <f t="shared" si="9"/>
        <v>X0</v>
      </c>
      <c r="H63" s="47" t="b">
        <f t="shared" si="10"/>
        <v>1</v>
      </c>
      <c r="I63" s="51"/>
      <c r="J63" s="51"/>
      <c r="K63" s="51"/>
      <c r="L63" s="51"/>
      <c r="M63" s="47" t="str">
        <f ca="1">IF(D63=99,"BLOQUEADO POR: "&amp;UPPER(TWUSER())&amp;" - "&amp;TEXT(TODAY(),"DD/MM/AA"),"")</f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3">
      <c r="A64" s="7" t="str">
        <f t="shared" si="1"/>
        <v>Execução 60</v>
      </c>
      <c r="B64" s="32"/>
      <c r="C64" s="50"/>
      <c r="D64" s="33"/>
      <c r="E64" s="47" t="str">
        <f>IFERROR(VLOOKUP(D64,'Listas de Dados'!AA:AB,2,0),"Liberado")</f>
        <v>Liberado</v>
      </c>
      <c r="F64" s="47" t="str">
        <f t="shared" ca="1" si="4"/>
        <v/>
      </c>
      <c r="G64" s="47" t="str">
        <f t="shared" si="9"/>
        <v>X0</v>
      </c>
      <c r="H64" s="47" t="b">
        <f t="shared" si="10"/>
        <v>1</v>
      </c>
      <c r="I64" s="51"/>
      <c r="J64" s="51"/>
      <c r="K64" s="51"/>
      <c r="L64" s="51"/>
      <c r="M64" s="47" t="str">
        <f ca="1">IF(D64=99,"BLOQUEADO POR: "&amp;UPPER(TWUSER())&amp;" - "&amp;TEXT(TODAY(),"DD/MM/AA"),"")</f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">
    <cfRule type="beginsWith" dxfId="27" priority="118" operator="beginsWith" text="L">
      <formula>LEFT(B5,LEN("L"))="L"</formula>
    </cfRule>
  </conditionalFormatting>
  <conditionalFormatting sqref="B6:B19">
    <cfRule type="beginsWith" dxfId="26" priority="56" operator="beginsWith" text="L">
      <formula>LEFT(B6,LEN("L"))="L"</formula>
    </cfRule>
  </conditionalFormatting>
  <conditionalFormatting sqref="AQ1:AQ19 AQ65:AQ1048576">
    <cfRule type="containsText" dxfId="25" priority="35" operator="containsText" text="criadas">
      <formula>NOT(ISERROR(SEARCH("criadas",AQ1)))</formula>
    </cfRule>
    <cfRule type="containsText" dxfId="24" priority="37" operator="containsText" text="é gravado">
      <formula>NOT(ISERROR(SEARCH("é gravado",AQ1)))</formula>
    </cfRule>
    <cfRule type="containsText" dxfId="23" priority="38" operator="containsText" text="é modificado">
      <formula>NOT(ISERROR(SEARCH("é modificado",AQ1)))</formula>
    </cfRule>
    <cfRule type="containsText" dxfId="22" priority="39" operator="containsText" text="Error">
      <formula>NOT(ISERROR(SEARCH("Error",AQ1)))</formula>
    </cfRule>
    <cfRule type="containsText" dxfId="21" priority="40" operator="containsText" text="é criado">
      <formula>NOT(ISERROR(SEARCH("é criado",AQ1)))</formula>
    </cfRule>
  </conditionalFormatting>
  <conditionalFormatting sqref="B20">
    <cfRule type="beginsWith" dxfId="20" priority="21" operator="beginsWith" text="L">
      <formula>LEFT(B20,LEN("L"))="L"</formula>
    </cfRule>
  </conditionalFormatting>
  <conditionalFormatting sqref="B21:B34">
    <cfRule type="beginsWith" dxfId="19" priority="20" operator="beginsWith" text="L">
      <formula>LEFT(B21,LEN("L"))="L"</formula>
    </cfRule>
  </conditionalFormatting>
  <conditionalFormatting sqref="AQ20:AQ34">
    <cfRule type="containsText" dxfId="18" priority="15" operator="containsText" text="criadas">
      <formula>NOT(ISERROR(SEARCH("criadas",AQ20)))</formula>
    </cfRule>
    <cfRule type="containsText" dxfId="17" priority="16" operator="containsText" text="é gravado">
      <formula>NOT(ISERROR(SEARCH("é gravado",AQ20)))</formula>
    </cfRule>
    <cfRule type="containsText" dxfId="16" priority="17" operator="containsText" text="é modificado">
      <formula>NOT(ISERROR(SEARCH("é modificado",AQ20)))</formula>
    </cfRule>
    <cfRule type="containsText" dxfId="15" priority="18" operator="containsText" text="Error">
      <formula>NOT(ISERROR(SEARCH("Error",AQ20)))</formula>
    </cfRule>
    <cfRule type="containsText" dxfId="14" priority="19" operator="containsText" text="é criado">
      <formula>NOT(ISERROR(SEARCH("é criado",AQ20)))</formula>
    </cfRule>
  </conditionalFormatting>
  <conditionalFormatting sqref="B35">
    <cfRule type="beginsWith" dxfId="13" priority="14" operator="beginsWith" text="L">
      <formula>LEFT(B35,LEN("L"))="L"</formula>
    </cfRule>
  </conditionalFormatting>
  <conditionalFormatting sqref="B36:B49">
    <cfRule type="beginsWith" dxfId="12" priority="13" operator="beginsWith" text="L">
      <formula>LEFT(B36,LEN("L"))="L"</formula>
    </cfRule>
  </conditionalFormatting>
  <conditionalFormatting sqref="AQ35:AQ49">
    <cfRule type="containsText" dxfId="11" priority="8" operator="containsText" text="criadas">
      <formula>NOT(ISERROR(SEARCH("criadas",AQ35)))</formula>
    </cfRule>
    <cfRule type="containsText" dxfId="10" priority="9" operator="containsText" text="é gravado">
      <formula>NOT(ISERROR(SEARCH("é gravado",AQ35)))</formula>
    </cfRule>
    <cfRule type="containsText" dxfId="9" priority="10" operator="containsText" text="é modificado">
      <formula>NOT(ISERROR(SEARCH("é modificado",AQ35)))</formula>
    </cfRule>
    <cfRule type="containsText" dxfId="8" priority="11" operator="containsText" text="Error">
      <formula>NOT(ISERROR(SEARCH("Error",AQ35)))</formula>
    </cfRule>
    <cfRule type="containsText" dxfId="7" priority="12" operator="containsText" text="é criado">
      <formula>NOT(ISERROR(SEARCH("é criado",AQ35)))</formula>
    </cfRule>
  </conditionalFormatting>
  <conditionalFormatting sqref="B50">
    <cfRule type="beginsWith" dxfId="6" priority="7" operator="beginsWith" text="L">
      <formula>LEFT(B50,LEN("L"))="L"</formula>
    </cfRule>
  </conditionalFormatting>
  <conditionalFormatting sqref="B51:B64">
    <cfRule type="beginsWith" dxfId="5" priority="6" operator="beginsWith" text="L">
      <formula>LEFT(B51,LEN("L"))="L"</formula>
    </cfRule>
  </conditionalFormatting>
  <conditionalFormatting sqref="AQ50:AQ64">
    <cfRule type="containsText" dxfId="4" priority="1" operator="containsText" text="criadas">
      <formula>NOT(ISERROR(SEARCH("criadas",AQ50)))</formula>
    </cfRule>
    <cfRule type="containsText" dxfId="3" priority="2" operator="containsText" text="é gravado">
      <formula>NOT(ISERROR(SEARCH("é gravado",AQ50)))</formula>
    </cfRule>
    <cfRule type="containsText" dxfId="2" priority="3" operator="containsText" text="é modificado">
      <formula>NOT(ISERROR(SEARCH("é modificado",AQ50)))</formula>
    </cfRule>
    <cfRule type="containsText" dxfId="1" priority="4" operator="containsText" text="Error">
      <formula>NOT(ISERROR(SEARCH("Error",AQ50)))</formula>
    </cfRule>
    <cfRule type="containsText" dxfId="0" priority="5" operator="containsText" text="é criado">
      <formula>NOT(ISERROR(SEARCH("é criado",AQ50)))</formula>
    </cfRule>
  </conditionalFormatting>
  <dataValidations count="2">
    <dataValidation type="list" allowBlank="1" showInputMessage="1" showErrorMessage="1" sqref="H5:H64">
      <formula1>"VERDADEIRO,FALSO"</formula1>
    </dataValidation>
    <dataValidation type="textLength" allowBlank="1" showInputMessage="1" showErrorMessage="1" sqref="I5:L64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O5:AO64</xm:sqref>
        </x14:dataValidation>
        <x14:dataValidation type="list" allowBlank="1" showInputMessage="1" showErrorMessage="1">
          <x14:formula1>
            <xm:f>'Listas de Dados'!$AA$4:$AA$5</xm:f>
          </x14:formula1>
          <xm:sqref>D5:D64</xm:sqref>
        </x14:dataValidation>
        <x14:dataValidation type="list" allowBlank="1" showInputMessage="1" showErrorMessage="1">
          <x14:formula1>
            <xm:f>'Listas de Dados'!$B$4:$B$5</xm:f>
          </x14:formula1>
          <xm:sqref>C5:C64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3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3">
      <c r="A2" s="53"/>
      <c r="B2" s="53" t="s">
        <v>10</v>
      </c>
      <c r="C2" s="53"/>
      <c r="D2" s="53"/>
      <c r="E2" s="53"/>
      <c r="F2" s="15"/>
      <c r="G2" s="53" t="s">
        <v>33</v>
      </c>
      <c r="H2" s="53"/>
      <c r="I2" s="15"/>
      <c r="J2" s="53" t="s">
        <v>124</v>
      </c>
      <c r="K2" s="53"/>
      <c r="L2" s="15"/>
      <c r="M2" s="53" t="s">
        <v>153</v>
      </c>
      <c r="N2" s="53"/>
      <c r="O2" s="15"/>
      <c r="P2" s="53" t="s">
        <v>165</v>
      </c>
      <c r="Q2" s="53"/>
      <c r="R2" s="53"/>
      <c r="S2" s="53"/>
      <c r="T2" s="53"/>
      <c r="U2" s="53"/>
      <c r="V2" s="53"/>
      <c r="W2" s="53"/>
      <c r="X2" s="53"/>
      <c r="Y2" s="53"/>
      <c r="Z2" s="27"/>
      <c r="AA2" s="53" t="s">
        <v>267</v>
      </c>
      <c r="AB2" s="53"/>
      <c r="AC2" s="15"/>
      <c r="AD2" s="53" t="s">
        <v>270</v>
      </c>
      <c r="AE2" s="53"/>
      <c r="AF2" s="17"/>
      <c r="AG2" s="17" t="s">
        <v>270</v>
      </c>
      <c r="AH2" s="19"/>
      <c r="AI2" s="53" t="s">
        <v>302</v>
      </c>
      <c r="AJ2" s="53"/>
      <c r="AK2" s="19"/>
      <c r="AL2" s="53" t="s">
        <v>326</v>
      </c>
      <c r="AM2" s="53"/>
      <c r="AN2" s="19"/>
      <c r="AO2" s="53" t="s">
        <v>33</v>
      </c>
      <c r="AP2" s="53"/>
      <c r="AQ2" s="19"/>
      <c r="AR2" s="53" t="s">
        <v>327</v>
      </c>
      <c r="AS2" s="53"/>
      <c r="AT2" s="19"/>
      <c r="AU2" s="53" t="s">
        <v>341</v>
      </c>
      <c r="AV2" s="53"/>
      <c r="AW2" s="19"/>
      <c r="AX2" s="53" t="s">
        <v>403</v>
      </c>
      <c r="AY2" s="53"/>
      <c r="AZ2" s="21"/>
      <c r="BA2" s="53" t="s">
        <v>415</v>
      </c>
      <c r="BB2" s="53"/>
      <c r="BC2" s="53"/>
      <c r="BD2" s="53"/>
      <c r="BE2" s="23"/>
      <c r="BF2" s="53" t="s">
        <v>561</v>
      </c>
      <c r="BG2" s="53"/>
      <c r="BH2" s="53"/>
      <c r="BI2" s="29"/>
      <c r="BJ2" s="53" t="s">
        <v>613</v>
      </c>
      <c r="BK2" s="53"/>
      <c r="BL2" s="34"/>
      <c r="BM2" s="34" t="s">
        <v>96</v>
      </c>
      <c r="BN2" s="34"/>
      <c r="BO2" s="53" t="s">
        <v>684</v>
      </c>
      <c r="BP2" s="53"/>
      <c r="BQ2" s="34"/>
      <c r="BR2" s="34" t="s">
        <v>685</v>
      </c>
      <c r="BS2" s="43"/>
      <c r="BT2" s="53" t="s">
        <v>693</v>
      </c>
      <c r="BU2" s="53"/>
    </row>
    <row r="3" spans="1:73" s="2" customFormat="1" ht="17.100000000000001" customHeight="1" x14ac:dyDescent="0.3">
      <c r="A3" s="5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3">
      <c r="BT88" s="16">
        <v>22000820</v>
      </c>
      <c r="BU88" s="16" t="s">
        <v>807</v>
      </c>
    </row>
    <row r="89" spans="53:73" x14ac:dyDescent="0.3">
      <c r="BT89" s="16">
        <v>22000717</v>
      </c>
      <c r="BU89" s="16" t="s">
        <v>808</v>
      </c>
    </row>
    <row r="90" spans="53:73" x14ac:dyDescent="0.3">
      <c r="BT90" s="16">
        <v>22000010</v>
      </c>
      <c r="BU90" s="16" t="s">
        <v>809</v>
      </c>
    </row>
    <row r="91" spans="53:73" x14ac:dyDescent="0.3">
      <c r="BT91" s="16">
        <v>22000161</v>
      </c>
      <c r="BU91" s="16" t="s">
        <v>810</v>
      </c>
    </row>
    <row r="92" spans="53:73" x14ac:dyDescent="0.3">
      <c r="BT92" s="16">
        <v>22000802</v>
      </c>
      <c r="BU92" s="16" t="s">
        <v>811</v>
      </c>
    </row>
    <row r="93" spans="53:73" x14ac:dyDescent="0.3">
      <c r="BT93" s="16">
        <v>21002076</v>
      </c>
      <c r="BU93" s="16" t="s">
        <v>812</v>
      </c>
    </row>
    <row r="94" spans="53:73" x14ac:dyDescent="0.3">
      <c r="BT94" s="16">
        <v>22000941</v>
      </c>
      <c r="BU94" s="16" t="s">
        <v>813</v>
      </c>
    </row>
    <row r="95" spans="53:73" x14ac:dyDescent="0.3">
      <c r="BT95" s="16">
        <v>22000362</v>
      </c>
      <c r="BU95" s="16" t="s">
        <v>814</v>
      </c>
    </row>
    <row r="96" spans="53:73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2022-03-11T14:32:08Z</dcterms:modified>
</cp:coreProperties>
</file>