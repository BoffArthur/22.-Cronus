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3720" yWindow="57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H172" i="6" l="1"/>
  <c r="G172" i="6"/>
  <c r="F172" i="6"/>
  <c r="E172" i="6"/>
  <c r="A172" i="6"/>
  <c r="H171" i="6"/>
  <c r="G171" i="6"/>
  <c r="F171" i="6"/>
  <c r="E171" i="6"/>
  <c r="A171" i="6"/>
  <c r="H170" i="6"/>
  <c r="G170" i="6"/>
  <c r="F170" i="6"/>
  <c r="E170" i="6"/>
  <c r="A170" i="6"/>
  <c r="H169" i="6"/>
  <c r="G169" i="6"/>
  <c r="F169" i="6"/>
  <c r="E169" i="6"/>
  <c r="A169" i="6"/>
  <c r="H168" i="6"/>
  <c r="G168" i="6"/>
  <c r="F168" i="6"/>
  <c r="E168" i="6"/>
  <c r="A168" i="6"/>
  <c r="H167" i="6"/>
  <c r="G167" i="6"/>
  <c r="F167" i="6"/>
  <c r="E167" i="6"/>
  <c r="A167" i="6"/>
  <c r="H166" i="6"/>
  <c r="G166" i="6"/>
  <c r="F166" i="6"/>
  <c r="E166" i="6"/>
  <c r="A166" i="6"/>
  <c r="H165" i="6"/>
  <c r="G165" i="6"/>
  <c r="F165" i="6"/>
  <c r="E165" i="6"/>
  <c r="A165" i="6"/>
  <c r="H164" i="6"/>
  <c r="G164" i="6"/>
  <c r="F164" i="6"/>
  <c r="E164" i="6"/>
  <c r="A164" i="6"/>
  <c r="H163" i="6"/>
  <c r="G163" i="6"/>
  <c r="F163" i="6"/>
  <c r="E163" i="6"/>
  <c r="A163" i="6"/>
  <c r="H162" i="6"/>
  <c r="G162" i="6"/>
  <c r="F162" i="6"/>
  <c r="E162" i="6"/>
  <c r="A162" i="6"/>
  <c r="H161" i="6"/>
  <c r="G161" i="6"/>
  <c r="F161" i="6"/>
  <c r="E161" i="6"/>
  <c r="A161" i="6"/>
  <c r="H160" i="6"/>
  <c r="G160" i="6"/>
  <c r="F160" i="6"/>
  <c r="E160" i="6"/>
  <c r="A160" i="6"/>
  <c r="H159" i="6"/>
  <c r="G159" i="6"/>
  <c r="F159" i="6"/>
  <c r="E159" i="6"/>
  <c r="A159" i="6"/>
  <c r="H158" i="6"/>
  <c r="G158" i="6"/>
  <c r="F158" i="6"/>
  <c r="E158" i="6"/>
  <c r="A158" i="6"/>
  <c r="H157" i="6"/>
  <c r="G157" i="6"/>
  <c r="F157" i="6"/>
  <c r="E157" i="6"/>
  <c r="A157" i="6"/>
  <c r="H156" i="6"/>
  <c r="G156" i="6"/>
  <c r="F156" i="6"/>
  <c r="E156" i="6"/>
  <c r="A156" i="6"/>
  <c r="H155" i="6"/>
  <c r="G155" i="6"/>
  <c r="F155" i="6"/>
  <c r="E155" i="6"/>
  <c r="A155" i="6"/>
  <c r="H154" i="6"/>
  <c r="G154" i="6"/>
  <c r="F154" i="6"/>
  <c r="E154" i="6"/>
  <c r="A154" i="6"/>
  <c r="H153" i="6"/>
  <c r="G153" i="6"/>
  <c r="F153" i="6"/>
  <c r="E153" i="6"/>
  <c r="A153" i="6"/>
  <c r="H152" i="6"/>
  <c r="G152" i="6"/>
  <c r="F152" i="6"/>
  <c r="E152" i="6"/>
  <c r="A152" i="6"/>
  <c r="H151" i="6"/>
  <c r="G151" i="6"/>
  <c r="F151" i="6"/>
  <c r="E151" i="6"/>
  <c r="A151" i="6"/>
  <c r="H150" i="6"/>
  <c r="G150" i="6"/>
  <c r="F150" i="6"/>
  <c r="E150" i="6"/>
  <c r="A150" i="6"/>
  <c r="H149" i="6"/>
  <c r="G149" i="6"/>
  <c r="F149" i="6"/>
  <c r="E149" i="6"/>
  <c r="A149" i="6"/>
  <c r="H148" i="6"/>
  <c r="G148" i="6"/>
  <c r="F148" i="6"/>
  <c r="E148" i="6"/>
  <c r="A148" i="6"/>
  <c r="H147" i="6"/>
  <c r="G147" i="6"/>
  <c r="F147" i="6"/>
  <c r="E147" i="6"/>
  <c r="A147" i="6"/>
  <c r="H146" i="6"/>
  <c r="G146" i="6"/>
  <c r="F146" i="6"/>
  <c r="E146" i="6"/>
  <c r="A146" i="6"/>
  <c r="H145" i="6"/>
  <c r="G145" i="6"/>
  <c r="F145" i="6"/>
  <c r="E145" i="6"/>
  <c r="A145" i="6"/>
  <c r="H144" i="6"/>
  <c r="G144" i="6"/>
  <c r="F144" i="6"/>
  <c r="E144" i="6"/>
  <c r="A144" i="6"/>
  <c r="H143" i="6"/>
  <c r="G143" i="6"/>
  <c r="F143" i="6"/>
  <c r="E143" i="6"/>
  <c r="A143" i="6"/>
  <c r="H142" i="6"/>
  <c r="G142" i="6"/>
  <c r="F142" i="6"/>
  <c r="E142" i="6"/>
  <c r="A142" i="6"/>
  <c r="H141" i="6"/>
  <c r="G141" i="6"/>
  <c r="F141" i="6"/>
  <c r="E141" i="6"/>
  <c r="A141" i="6"/>
  <c r="H140" i="6"/>
  <c r="G140" i="6"/>
  <c r="F140" i="6"/>
  <c r="E140" i="6"/>
  <c r="A140" i="6"/>
  <c r="H139" i="6"/>
  <c r="G139" i="6"/>
  <c r="F139" i="6"/>
  <c r="E139" i="6"/>
  <c r="A139" i="6"/>
  <c r="H138" i="6"/>
  <c r="G138" i="6"/>
  <c r="F138" i="6"/>
  <c r="E138" i="6"/>
  <c r="A138" i="6"/>
  <c r="H137" i="6"/>
  <c r="G137" i="6"/>
  <c r="F137" i="6"/>
  <c r="E137" i="6"/>
  <c r="A137" i="6"/>
  <c r="H136" i="6"/>
  <c r="G136" i="6"/>
  <c r="F136" i="6"/>
  <c r="E136" i="6"/>
  <c r="A136" i="6"/>
  <c r="H135" i="6"/>
  <c r="G135" i="6"/>
  <c r="F135" i="6"/>
  <c r="E135" i="6"/>
  <c r="A135" i="6"/>
  <c r="H134" i="6"/>
  <c r="G134" i="6"/>
  <c r="F134" i="6"/>
  <c r="E134" i="6"/>
  <c r="A134" i="6"/>
  <c r="H133" i="6"/>
  <c r="G133" i="6"/>
  <c r="F133" i="6"/>
  <c r="E133" i="6"/>
  <c r="A133" i="6"/>
  <c r="H132" i="6"/>
  <c r="G132" i="6"/>
  <c r="F132" i="6"/>
  <c r="E132" i="6"/>
  <c r="A132" i="6"/>
  <c r="H131" i="6"/>
  <c r="G131" i="6"/>
  <c r="F131" i="6"/>
  <c r="E131" i="6"/>
  <c r="A131" i="6"/>
  <c r="H130" i="6"/>
  <c r="G130" i="6"/>
  <c r="F130" i="6"/>
  <c r="E130" i="6"/>
  <c r="A130" i="6"/>
  <c r="H129" i="6"/>
  <c r="G129" i="6"/>
  <c r="F129" i="6"/>
  <c r="E129" i="6"/>
  <c r="A129" i="6"/>
  <c r="H128" i="6"/>
  <c r="G128" i="6"/>
  <c r="F128" i="6"/>
  <c r="E128" i="6"/>
  <c r="A128" i="6"/>
  <c r="H127" i="6"/>
  <c r="G127" i="6"/>
  <c r="F127" i="6"/>
  <c r="E127" i="6"/>
  <c r="A127" i="6"/>
  <c r="H126" i="6"/>
  <c r="G126" i="6"/>
  <c r="F126" i="6"/>
  <c r="E126" i="6"/>
  <c r="A126" i="6"/>
  <c r="H125" i="6"/>
  <c r="G125" i="6"/>
  <c r="F125" i="6"/>
  <c r="E125" i="6"/>
  <c r="A125" i="6"/>
  <c r="H124" i="6"/>
  <c r="G124" i="6"/>
  <c r="F124" i="6"/>
  <c r="E124" i="6"/>
  <c r="A124" i="6"/>
  <c r="H123" i="6"/>
  <c r="G123" i="6"/>
  <c r="F123" i="6"/>
  <c r="E123" i="6"/>
  <c r="A123" i="6"/>
  <c r="H122" i="6"/>
  <c r="G122" i="6"/>
  <c r="F122" i="6"/>
  <c r="E122" i="6"/>
  <c r="A122" i="6"/>
  <c r="H121" i="6"/>
  <c r="G121" i="6"/>
  <c r="F121" i="6"/>
  <c r="E121" i="6"/>
  <c r="A121" i="6"/>
  <c r="H120" i="6"/>
  <c r="G120" i="6"/>
  <c r="F120" i="6"/>
  <c r="E120" i="6"/>
  <c r="A120" i="6"/>
  <c r="H119" i="6"/>
  <c r="G119" i="6"/>
  <c r="F119" i="6"/>
  <c r="E119" i="6"/>
  <c r="A119" i="6"/>
  <c r="H118" i="6"/>
  <c r="G118" i="6"/>
  <c r="F118" i="6"/>
  <c r="E118" i="6"/>
  <c r="A118" i="6"/>
  <c r="H117" i="6"/>
  <c r="G117" i="6"/>
  <c r="F117" i="6"/>
  <c r="E117" i="6"/>
  <c r="A117" i="6"/>
  <c r="H116" i="6"/>
  <c r="G116" i="6"/>
  <c r="F116" i="6"/>
  <c r="E116" i="6"/>
  <c r="A116" i="6"/>
  <c r="H115" i="6"/>
  <c r="G115" i="6"/>
  <c r="F115" i="6"/>
  <c r="E115" i="6"/>
  <c r="A115" i="6"/>
  <c r="H114" i="6"/>
  <c r="G114" i="6"/>
  <c r="F114" i="6"/>
  <c r="E114" i="6"/>
  <c r="A114" i="6"/>
  <c r="H113" i="6"/>
  <c r="G113" i="6"/>
  <c r="F113" i="6"/>
  <c r="E113" i="6"/>
  <c r="A113" i="6"/>
  <c r="H112" i="6"/>
  <c r="G112" i="6"/>
  <c r="F112" i="6"/>
  <c r="E112" i="6"/>
  <c r="A112" i="6"/>
  <c r="H111" i="6"/>
  <c r="G111" i="6"/>
  <c r="F111" i="6"/>
  <c r="E111" i="6"/>
  <c r="A111" i="6"/>
  <c r="H110" i="6"/>
  <c r="G110" i="6"/>
  <c r="F110" i="6"/>
  <c r="E110" i="6"/>
  <c r="A110" i="6"/>
  <c r="H109" i="6"/>
  <c r="G109" i="6"/>
  <c r="F109" i="6"/>
  <c r="E109" i="6"/>
  <c r="A109" i="6"/>
  <c r="H108" i="6"/>
  <c r="G108" i="6"/>
  <c r="F108" i="6"/>
  <c r="E108" i="6"/>
  <c r="A108" i="6"/>
  <c r="H107" i="6"/>
  <c r="G107" i="6"/>
  <c r="F107" i="6"/>
  <c r="E107" i="6"/>
  <c r="A107" i="6"/>
  <c r="H106" i="6"/>
  <c r="G106" i="6"/>
  <c r="F106" i="6"/>
  <c r="E106" i="6"/>
  <c r="A106" i="6"/>
  <c r="H105" i="6"/>
  <c r="G105" i="6"/>
  <c r="F105" i="6"/>
  <c r="E105" i="6"/>
  <c r="A105" i="6"/>
  <c r="H104" i="6"/>
  <c r="G104" i="6"/>
  <c r="F104" i="6"/>
  <c r="E104" i="6"/>
  <c r="A104" i="6"/>
  <c r="H103" i="6"/>
  <c r="G103" i="6"/>
  <c r="F103" i="6"/>
  <c r="E103" i="6"/>
  <c r="A103" i="6"/>
  <c r="H102" i="6"/>
  <c r="G102" i="6"/>
  <c r="F102" i="6"/>
  <c r="E102" i="6"/>
  <c r="A102" i="6"/>
  <c r="H101" i="6"/>
  <c r="G101" i="6"/>
  <c r="F101" i="6"/>
  <c r="E101" i="6"/>
  <c r="A101" i="6"/>
  <c r="H100" i="6"/>
  <c r="G100" i="6"/>
  <c r="F100" i="6"/>
  <c r="E100" i="6"/>
  <c r="A100" i="6"/>
  <c r="H99" i="6"/>
  <c r="G99" i="6"/>
  <c r="F99" i="6"/>
  <c r="E99" i="6"/>
  <c r="A99" i="6"/>
  <c r="H98" i="6"/>
  <c r="G98" i="6"/>
  <c r="F98" i="6"/>
  <c r="E98" i="6"/>
  <c r="A98" i="6"/>
  <c r="H97" i="6"/>
  <c r="G97" i="6"/>
  <c r="F97" i="6"/>
  <c r="E97" i="6"/>
  <c r="A97" i="6"/>
  <c r="H96" i="6"/>
  <c r="G96" i="6"/>
  <c r="F96" i="6"/>
  <c r="E96" i="6"/>
  <c r="A96" i="6"/>
  <c r="H95" i="6"/>
  <c r="G95" i="6"/>
  <c r="F95" i="6"/>
  <c r="E95" i="6"/>
  <c r="A95" i="6"/>
  <c r="H94" i="6"/>
  <c r="G94" i="6"/>
  <c r="F94" i="6"/>
  <c r="E94" i="6"/>
  <c r="A94" i="6"/>
  <c r="H93" i="6"/>
  <c r="G93" i="6"/>
  <c r="F93" i="6"/>
  <c r="E93" i="6"/>
  <c r="A93" i="6"/>
  <c r="H92" i="6"/>
  <c r="G92" i="6"/>
  <c r="F92" i="6"/>
  <c r="E92" i="6"/>
  <c r="A92" i="6"/>
  <c r="H91" i="6"/>
  <c r="G91" i="6"/>
  <c r="F91" i="6"/>
  <c r="E91" i="6"/>
  <c r="A91" i="6"/>
  <c r="H90" i="6"/>
  <c r="G90" i="6"/>
  <c r="F90" i="6"/>
  <c r="E90" i="6"/>
  <c r="A90" i="6"/>
  <c r="H89" i="6"/>
  <c r="G89" i="6"/>
  <c r="F89" i="6"/>
  <c r="E89" i="6"/>
  <c r="A89" i="6"/>
  <c r="H88" i="6"/>
  <c r="G88" i="6"/>
  <c r="F88" i="6"/>
  <c r="E88" i="6"/>
  <c r="A88" i="6"/>
  <c r="H87" i="6"/>
  <c r="G87" i="6"/>
  <c r="F87" i="6"/>
  <c r="E87" i="6"/>
  <c r="A87" i="6"/>
  <c r="H86" i="6"/>
  <c r="G86" i="6"/>
  <c r="F86" i="6"/>
  <c r="E86" i="6"/>
  <c r="A86" i="6"/>
  <c r="H85" i="6"/>
  <c r="G85" i="6"/>
  <c r="F85" i="6"/>
  <c r="E85" i="6"/>
  <c r="A85" i="6"/>
  <c r="H84" i="6"/>
  <c r="G84" i="6"/>
  <c r="F84" i="6"/>
  <c r="E84" i="6"/>
  <c r="A84" i="6"/>
  <c r="H83" i="6"/>
  <c r="G83" i="6"/>
  <c r="F83" i="6"/>
  <c r="E83" i="6"/>
  <c r="A83" i="6"/>
  <c r="H82" i="6"/>
  <c r="G82" i="6"/>
  <c r="F82" i="6"/>
  <c r="E82" i="6"/>
  <c r="A82" i="6"/>
  <c r="H81" i="6"/>
  <c r="G81" i="6"/>
  <c r="F81" i="6"/>
  <c r="E81" i="6"/>
  <c r="A81" i="6"/>
  <c r="H80" i="6"/>
  <c r="G80" i="6"/>
  <c r="F80" i="6"/>
  <c r="E80" i="6"/>
  <c r="A80" i="6"/>
  <c r="H79" i="6"/>
  <c r="G79" i="6"/>
  <c r="F79" i="6"/>
  <c r="E79" i="6"/>
  <c r="A79" i="6"/>
  <c r="H78" i="6"/>
  <c r="G78" i="6"/>
  <c r="F78" i="6"/>
  <c r="E78" i="6"/>
  <c r="A78" i="6"/>
  <c r="H77" i="6"/>
  <c r="G77" i="6"/>
  <c r="F77" i="6"/>
  <c r="E77" i="6"/>
  <c r="A77" i="6"/>
  <c r="H76" i="6"/>
  <c r="G76" i="6"/>
  <c r="F76" i="6"/>
  <c r="E76" i="6"/>
  <c r="A76" i="6"/>
  <c r="H75" i="6"/>
  <c r="G75" i="6"/>
  <c r="F75" i="6"/>
  <c r="E75" i="6"/>
  <c r="A75" i="6"/>
  <c r="H74" i="6"/>
  <c r="G74" i="6"/>
  <c r="F74" i="6"/>
  <c r="E74" i="6"/>
  <c r="A74" i="6"/>
  <c r="H73" i="6"/>
  <c r="G73" i="6"/>
  <c r="F73" i="6"/>
  <c r="E73" i="6"/>
  <c r="A73" i="6"/>
  <c r="H72" i="6"/>
  <c r="G72" i="6"/>
  <c r="F72" i="6"/>
  <c r="E72" i="6"/>
  <c r="A72" i="6"/>
  <c r="H71" i="6"/>
  <c r="G71" i="6"/>
  <c r="F71" i="6"/>
  <c r="E71" i="6"/>
  <c r="A71" i="6"/>
  <c r="H70" i="6"/>
  <c r="G70" i="6"/>
  <c r="F70" i="6"/>
  <c r="E70" i="6"/>
  <c r="A70" i="6"/>
  <c r="H69" i="6"/>
  <c r="G69" i="6"/>
  <c r="F69" i="6"/>
  <c r="E69" i="6"/>
  <c r="A69" i="6"/>
  <c r="H68" i="6"/>
  <c r="G68" i="6"/>
  <c r="F68" i="6"/>
  <c r="E68" i="6"/>
  <c r="A68" i="6"/>
  <c r="H67" i="6"/>
  <c r="G67" i="6"/>
  <c r="F67" i="6"/>
  <c r="E67" i="6"/>
  <c r="A67" i="6"/>
  <c r="H66" i="6"/>
  <c r="G66" i="6"/>
  <c r="F66" i="6"/>
  <c r="E66" i="6"/>
  <c r="A66" i="6"/>
  <c r="H64" i="6"/>
  <c r="G64" i="6"/>
  <c r="F64" i="6"/>
  <c r="E64" i="6"/>
  <c r="A64" i="6"/>
  <c r="M172" i="6"/>
  <c r="M170" i="6"/>
  <c r="M168" i="6"/>
  <c r="M166" i="6"/>
  <c r="M164" i="6"/>
  <c r="M162" i="6"/>
  <c r="M160" i="6"/>
  <c r="M158" i="6"/>
  <c r="M156" i="6"/>
  <c r="M154" i="6"/>
  <c r="M152" i="6"/>
  <c r="M150" i="6"/>
  <c r="M148" i="6"/>
  <c r="M146" i="6"/>
  <c r="M144" i="6"/>
  <c r="M142" i="6"/>
  <c r="M140" i="6"/>
  <c r="M138" i="6"/>
  <c r="M136" i="6"/>
  <c r="M134" i="6"/>
  <c r="M132" i="6"/>
  <c r="M130" i="6"/>
  <c r="M128" i="6"/>
  <c r="M126" i="6"/>
  <c r="M124" i="6"/>
  <c r="M122" i="6"/>
  <c r="M120" i="6"/>
  <c r="M118" i="6"/>
  <c r="M116" i="6"/>
  <c r="M114" i="6"/>
  <c r="M112" i="6"/>
  <c r="M110" i="6"/>
  <c r="M108" i="6"/>
  <c r="M106" i="6"/>
  <c r="M104" i="6"/>
  <c r="M102" i="6"/>
  <c r="M100" i="6"/>
  <c r="M98" i="6"/>
  <c r="M96" i="6"/>
  <c r="M94" i="6"/>
  <c r="M92" i="6"/>
  <c r="M90" i="6"/>
  <c r="M88" i="6"/>
  <c r="M86" i="6"/>
  <c r="M84" i="6"/>
  <c r="M82" i="6"/>
  <c r="M80" i="6"/>
  <c r="M78" i="6"/>
  <c r="M76" i="6"/>
  <c r="M74" i="6"/>
  <c r="M72" i="6"/>
  <c r="M70" i="6"/>
  <c r="M68" i="6"/>
  <c r="M66" i="6"/>
  <c r="M131" i="6"/>
  <c r="M117" i="6"/>
  <c r="M109" i="6"/>
  <c r="M105" i="6"/>
  <c r="M99" i="6"/>
  <c r="M95" i="6"/>
  <c r="M89" i="6"/>
  <c r="M85" i="6"/>
  <c r="M81" i="6"/>
  <c r="M77" i="6"/>
  <c r="M73" i="6"/>
  <c r="M69" i="6"/>
  <c r="M64" i="6"/>
  <c r="M171" i="6"/>
  <c r="M169" i="6"/>
  <c r="M167" i="6"/>
  <c r="M165" i="6"/>
  <c r="M163" i="6"/>
  <c r="M161" i="6"/>
  <c r="M159" i="6"/>
  <c r="M157" i="6"/>
  <c r="M155" i="6"/>
  <c r="M153" i="6"/>
  <c r="M151" i="6"/>
  <c r="M149" i="6"/>
  <c r="M147" i="6"/>
  <c r="M145" i="6"/>
  <c r="M143" i="6"/>
  <c r="M141" i="6"/>
  <c r="M139" i="6"/>
  <c r="M137" i="6"/>
  <c r="M135" i="6"/>
  <c r="M133" i="6"/>
  <c r="M129" i="6"/>
  <c r="M127" i="6"/>
  <c r="M125" i="6"/>
  <c r="M123" i="6"/>
  <c r="M121" i="6"/>
  <c r="M119" i="6"/>
  <c r="M115" i="6"/>
  <c r="M113" i="6"/>
  <c r="M111" i="6"/>
  <c r="M107" i="6"/>
  <c r="M103" i="6"/>
  <c r="M101" i="6"/>
  <c r="M97" i="6"/>
  <c r="M93" i="6"/>
  <c r="M91" i="6"/>
  <c r="M87" i="6"/>
  <c r="M83" i="6"/>
  <c r="M79" i="6"/>
  <c r="M75" i="6"/>
  <c r="M71" i="6"/>
  <c r="M67" i="6"/>
  <c r="M60" i="6"/>
  <c r="M48" i="6"/>
  <c r="M15" i="6"/>
  <c r="M33" i="6"/>
  <c r="M34" i="6"/>
  <c r="M59" i="6"/>
  <c r="M47" i="6"/>
  <c r="M38" i="6"/>
  <c r="M30" i="6"/>
  <c r="M21" i="6"/>
  <c r="M58" i="6"/>
  <c r="M46" i="6"/>
  <c r="M26" i="6"/>
  <c r="M36" i="6"/>
  <c r="M32" i="6"/>
  <c r="M57" i="6"/>
  <c r="M45" i="6"/>
  <c r="M14" i="6"/>
  <c r="M24" i="6"/>
  <c r="M20" i="6"/>
  <c r="M56" i="6"/>
  <c r="M44" i="6"/>
  <c r="M10" i="6"/>
  <c r="M12" i="6"/>
  <c r="M55" i="6"/>
  <c r="M43" i="6"/>
  <c r="M9" i="6"/>
  <c r="M35" i="6"/>
  <c r="M19" i="6"/>
  <c r="M63" i="6"/>
  <c r="M16" i="6"/>
  <c r="M62" i="6"/>
  <c r="M39" i="6"/>
  <c r="M6" i="6"/>
  <c r="M49" i="6"/>
  <c r="M13" i="6"/>
  <c r="M8" i="6"/>
  <c r="M54" i="6"/>
  <c r="M42" i="6"/>
  <c r="M7" i="6"/>
  <c r="M23" i="6"/>
  <c r="M41" i="6"/>
  <c r="M53" i="6"/>
  <c r="M40" i="6"/>
  <c r="M18" i="6"/>
  <c r="M11" i="6"/>
  <c r="M65" i="6"/>
  <c r="M52" i="6"/>
  <c r="M28" i="6"/>
  <c r="M17" i="6"/>
  <c r="M22" i="6"/>
  <c r="M51" i="6"/>
  <c r="M37" i="6"/>
  <c r="M31" i="6"/>
  <c r="M50" i="6"/>
  <c r="M25" i="6"/>
  <c r="M61" i="6"/>
  <c r="M27" i="6"/>
  <c r="M29" i="6"/>
  <c r="M5" i="6"/>
  <c r="H65" i="6" l="1"/>
  <c r="G65" i="6"/>
  <c r="F65" i="6"/>
  <c r="E65" i="6"/>
  <c r="A65" i="6"/>
  <c r="H63" i="6"/>
  <c r="G63" i="6"/>
  <c r="F63" i="6"/>
  <c r="E63" i="6"/>
  <c r="A63" i="6"/>
  <c r="H62" i="6"/>
  <c r="G62" i="6"/>
  <c r="F62" i="6"/>
  <c r="E62" i="6"/>
  <c r="A62" i="6"/>
  <c r="H61" i="6"/>
  <c r="G61" i="6"/>
  <c r="F61" i="6"/>
  <c r="E61" i="6"/>
  <c r="A61" i="6"/>
  <c r="H60" i="6"/>
  <c r="G60" i="6"/>
  <c r="F60" i="6"/>
  <c r="E60" i="6"/>
  <c r="A60" i="6"/>
  <c r="H59" i="6"/>
  <c r="G59" i="6"/>
  <c r="F59" i="6"/>
  <c r="E59" i="6"/>
  <c r="A59" i="6"/>
  <c r="H58" i="6"/>
  <c r="G58" i="6"/>
  <c r="F58" i="6"/>
  <c r="E58" i="6"/>
  <c r="A58" i="6"/>
  <c r="H57" i="6"/>
  <c r="G57" i="6"/>
  <c r="F57" i="6"/>
  <c r="E57" i="6"/>
  <c r="A57" i="6"/>
  <c r="H56" i="6"/>
  <c r="G56" i="6"/>
  <c r="F56" i="6"/>
  <c r="E56" i="6"/>
  <c r="A56" i="6"/>
  <c r="H55" i="6"/>
  <c r="G55" i="6"/>
  <c r="F55" i="6"/>
  <c r="E55" i="6"/>
  <c r="A55" i="6"/>
  <c r="H54" i="6"/>
  <c r="G54" i="6"/>
  <c r="F54" i="6"/>
  <c r="E54" i="6"/>
  <c r="A54" i="6"/>
  <c r="H53" i="6"/>
  <c r="G53" i="6"/>
  <c r="F53" i="6"/>
  <c r="E53" i="6"/>
  <c r="A53" i="6"/>
  <c r="H52" i="6"/>
  <c r="G52" i="6"/>
  <c r="F52" i="6"/>
  <c r="E52" i="6"/>
  <c r="A52" i="6"/>
  <c r="H51" i="6"/>
  <c r="G51" i="6"/>
  <c r="F51" i="6"/>
  <c r="E51" i="6"/>
  <c r="A51" i="6"/>
  <c r="H50" i="6"/>
  <c r="G50" i="6"/>
  <c r="F50" i="6"/>
  <c r="E50" i="6"/>
  <c r="A50" i="6"/>
  <c r="H49" i="6"/>
  <c r="G49" i="6"/>
  <c r="F49" i="6"/>
  <c r="E49" i="6"/>
  <c r="A49" i="6"/>
  <c r="H48" i="6"/>
  <c r="G48" i="6"/>
  <c r="F48" i="6"/>
  <c r="E48" i="6"/>
  <c r="A48" i="6"/>
  <c r="H47" i="6"/>
  <c r="G47" i="6"/>
  <c r="F47" i="6"/>
  <c r="E47" i="6"/>
  <c r="A47" i="6"/>
  <c r="H46" i="6"/>
  <c r="G46" i="6"/>
  <c r="F46" i="6"/>
  <c r="E46" i="6"/>
  <c r="A46" i="6"/>
  <c r="H45" i="6"/>
  <c r="G45" i="6"/>
  <c r="F45" i="6"/>
  <c r="E45" i="6"/>
  <c r="A45" i="6"/>
  <c r="H44" i="6"/>
  <c r="G44" i="6"/>
  <c r="F44" i="6"/>
  <c r="E44" i="6"/>
  <c r="A44" i="6"/>
  <c r="H43" i="6"/>
  <c r="G43" i="6"/>
  <c r="F43" i="6"/>
  <c r="E43" i="6"/>
  <c r="A43" i="6"/>
  <c r="H42" i="6"/>
  <c r="G42" i="6"/>
  <c r="F42" i="6"/>
  <c r="E42" i="6"/>
  <c r="A42" i="6"/>
  <c r="H41" i="6"/>
  <c r="G41" i="6"/>
  <c r="F41" i="6"/>
  <c r="E41" i="6"/>
  <c r="A41" i="6"/>
  <c r="H40" i="6"/>
  <c r="G40" i="6"/>
  <c r="F40" i="6"/>
  <c r="E40" i="6"/>
  <c r="A40" i="6"/>
  <c r="H39" i="6"/>
  <c r="G39" i="6"/>
  <c r="F39" i="6"/>
  <c r="E39" i="6"/>
  <c r="A39" i="6"/>
  <c r="H38" i="6"/>
  <c r="G38" i="6"/>
  <c r="F38" i="6"/>
  <c r="E38" i="6"/>
  <c r="A38" i="6"/>
  <c r="H37" i="6"/>
  <c r="G37" i="6"/>
  <c r="F37" i="6"/>
  <c r="E37" i="6"/>
  <c r="A37" i="6"/>
  <c r="H36" i="6"/>
  <c r="G36" i="6"/>
  <c r="F36" i="6"/>
  <c r="E36" i="6"/>
  <c r="A36" i="6"/>
  <c r="H35" i="6"/>
  <c r="G35" i="6"/>
  <c r="F35" i="6"/>
  <c r="E35" i="6"/>
  <c r="A35" i="6"/>
  <c r="H34" i="6"/>
  <c r="G34" i="6"/>
  <c r="F34" i="6"/>
  <c r="E34" i="6"/>
  <c r="A34" i="6"/>
  <c r="H33" i="6"/>
  <c r="G33" i="6"/>
  <c r="F33" i="6"/>
  <c r="E33" i="6"/>
  <c r="A33" i="6"/>
  <c r="H32" i="6"/>
  <c r="G32" i="6"/>
  <c r="F32" i="6"/>
  <c r="E32" i="6"/>
  <c r="A32" i="6"/>
  <c r="H31" i="6"/>
  <c r="G31" i="6"/>
  <c r="F31" i="6"/>
  <c r="E31" i="6"/>
  <c r="A31" i="6"/>
  <c r="H30" i="6"/>
  <c r="G30" i="6"/>
  <c r="F30" i="6"/>
  <c r="E30" i="6"/>
  <c r="A30" i="6"/>
  <c r="H29" i="6"/>
  <c r="G29" i="6"/>
  <c r="F29" i="6"/>
  <c r="E29" i="6"/>
  <c r="A29" i="6"/>
  <c r="H28" i="6"/>
  <c r="G28" i="6"/>
  <c r="F28" i="6"/>
  <c r="E28" i="6"/>
  <c r="A28" i="6"/>
  <c r="H27" i="6"/>
  <c r="G27" i="6"/>
  <c r="F27" i="6"/>
  <c r="E27" i="6"/>
  <c r="A27" i="6"/>
  <c r="H26" i="6"/>
  <c r="G26" i="6"/>
  <c r="F26" i="6"/>
  <c r="E26" i="6"/>
  <c r="A26" i="6"/>
  <c r="H25" i="6"/>
  <c r="G25" i="6"/>
  <c r="F25" i="6"/>
  <c r="E25" i="6"/>
  <c r="A25" i="6"/>
  <c r="H24" i="6"/>
  <c r="G24" i="6"/>
  <c r="F24" i="6"/>
  <c r="E24" i="6"/>
  <c r="A24" i="6"/>
  <c r="H23" i="6"/>
  <c r="G23" i="6"/>
  <c r="F23" i="6"/>
  <c r="E23" i="6"/>
  <c r="A23" i="6"/>
  <c r="H22" i="6"/>
  <c r="G22" i="6"/>
  <c r="F22" i="6"/>
  <c r="E22" i="6"/>
  <c r="A22" i="6"/>
  <c r="H21" i="6"/>
  <c r="G21" i="6"/>
  <c r="F21" i="6"/>
  <c r="E21" i="6"/>
  <c r="A21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<sst xmlns="http://schemas.openxmlformats.org/spreadsheetml/2006/main" count="5722" uniqueCount="4649">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</sst>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172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6.42578125" style="6" bestFit="1" customWidth="1"/>
    <col min="5" max="5" width="18.5703125" style="6" bestFit="1" customWidth="1"/>
    <col min="6" max="6" width="16.5703125" style="6" bestFit="1" customWidth="1"/>
    <col min="7" max="7" width="16.7109375" style="6" bestFit="1" customWidth="1"/>
    <col min="8" max="8" width="19.28515625" style="6" bestFit="1" customWidth="1"/>
    <col min="9" max="12" width="58.42578125" style="6" hidden="1" customWidth="1" outlineLevel="1"/>
    <col min="13" max="13" width="41.85546875" style="6" hidden="1" customWidth="1" outlineLevel="1"/>
    <col min="14" max="14" width="19.28515625" style="6" bestFit="1" customWidth="1" collapsed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bestFit="1" customWidth="1" collapsed="1"/>
    <col min="43" max="43" width="75.28515625" style="1" bestFit="1" customWidth="1"/>
    <col min="44" max="44" width="13.85546875" style="1" bestFit="1" customWidth="1"/>
    <col min="45" max="16384" width="9.140625" style="1"/>
  </cols>
  <sheetData>
    <row r="1" spans="1:44" s="27" customFormat="1" x14ac:dyDescent="0.3">
      <c r="A1" s="7" t="s">
        <v>28</v>
      </c>
      <c r="C1" s="49"/>
      <c r="D1" s="44"/>
      <c r="E1" s="46"/>
      <c r="G1" s="49"/>
      <c r="H1" s="49"/>
      <c r="I1" s="53"/>
      <c r="J1" s="53"/>
      <c r="K1" s="53"/>
      <c r="L1" s="53"/>
      <c r="M1" s="53"/>
      <c r="N1" s="53" t="s">
        <v>4638</v>
      </c>
      <c r="AP1" s="53" t="s">
        <v>124</v>
      </c>
      <c r="AQ1" s="37"/>
    </row>
    <row r="2" spans="1:44" s="31" customFormat="1" x14ac:dyDescent="0.3">
      <c r="A2" s="7"/>
      <c r="B2" s="30"/>
      <c r="C2" s="49"/>
      <c r="D2" s="44"/>
      <c r="E2" s="46"/>
      <c r="F2" s="27"/>
      <c r="G2" s="49"/>
      <c r="H2" s="49"/>
      <c r="I2" s="53"/>
      <c r="J2" s="53"/>
      <c r="K2" s="53"/>
      <c r="L2" s="53"/>
      <c r="M2" s="53"/>
      <c r="N2" s="53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3"/>
    </row>
    <row r="3" spans="1:44" s="9" customFormat="1" ht="15" customHeight="1" x14ac:dyDescent="0.3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2" t="s">
        <v>152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13"/>
      <c r="AQ3" s="37" t="s">
        <v>32</v>
      </c>
      <c r="AR3" s="49"/>
    </row>
    <row r="4" spans="1:4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3">
      <c r="A5" s="7" t="str">
        <f>"Execução "&amp;ROW()-4</f>
        <v>Execução 1</v>
      </c>
      <c r="B5" s="32"/>
      <c r="C5" s="50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1"/>
      <c r="J5" s="51"/>
      <c r="K5" s="51"/>
      <c r="L5" s="51"/>
      <c r="M5" s="47" t="str">
        <f ca="1">IF(D5=99,"BLOQUEADO POR: "&amp;UPPER(TWUSER())&amp;"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3">
      <c r="A6" s="7" t="str">
        <f t="shared" ref="A6:A69" si="1">"Execução "&amp;ROW()-4</f>
        <v>Execução 2</v>
      </c>
      <c r="B6" s="32"/>
      <c r="C6" s="50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1"/>
      <c r="J6" s="51"/>
      <c r="K6" s="51"/>
      <c r="L6" s="51"/>
      <c r="M6" s="47" t="str">
        <f ca="1">IF(D6=99,"BLOQUEADO POR: "&amp;UPPER(TWUSER())&amp;"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3">
      <c r="A7" s="7" t="str">
        <f t="shared" si="1"/>
        <v>Execução 3</v>
      </c>
      <c r="B7" s="32"/>
      <c r="C7" s="50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1"/>
      <c r="J7" s="51"/>
      <c r="K7" s="51"/>
      <c r="L7" s="51"/>
      <c r="M7" s="47" t="str">
        <f ca="1">IF(D7=99,"BLOQUEADO POR: "&amp;UPPER(TWUSER())&amp;" - "&amp;TEXT(TODAY(),"DD/MM/AA"),"")</f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3">
      <c r="A8" s="7" t="str">
        <f t="shared" si="1"/>
        <v>Execução 4</v>
      </c>
      <c r="B8" s="32"/>
      <c r="C8" s="50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1"/>
      <c r="J8" s="51"/>
      <c r="K8" s="51"/>
      <c r="L8" s="51"/>
      <c r="M8" s="47" t="str">
        <f ca="1">IF(D8=99,"BLOQUEADO POR: "&amp;UPPER(TWUSER())&amp;" - "&amp;TEXT(TODAY(),"DD/MM/AA"),"")</f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3">
      <c r="A9" s="7" t="str">
        <f t="shared" si="1"/>
        <v>Execução 5</v>
      </c>
      <c r="B9" s="32"/>
      <c r="C9" s="50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1"/>
      <c r="J9" s="51"/>
      <c r="K9" s="51"/>
      <c r="L9" s="51"/>
      <c r="M9" s="47" t="str">
        <f ca="1">IF(D9=99,"BLOQUEADO POR: "&amp;UPPER(TWUSER())&amp;" - "&amp;TEXT(TODAY(),"DD/MM/AA"),"")</f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3">
      <c r="A10" s="7" t="str">
        <f t="shared" si="1"/>
        <v>Execução 6</v>
      </c>
      <c r="B10" s="32"/>
      <c r="C10" s="50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1"/>
      <c r="J10" s="51"/>
      <c r="K10" s="51"/>
      <c r="L10" s="51"/>
      <c r="M10" s="47" t="str">
        <f ca="1">IF(D10=99,"BLOQUEADO POR: "&amp;UPPER(TWUSER())&amp;" - "&amp;TEXT(TODAY(),"DD/MM/AA"),"")</f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3">
      <c r="A11" s="7" t="str">
        <f t="shared" si="1"/>
        <v>Execução 7</v>
      </c>
      <c r="B11" s="32"/>
      <c r="C11" s="50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1"/>
      <c r="J11" s="51"/>
      <c r="K11" s="51"/>
      <c r="L11" s="51"/>
      <c r="M11" s="47" t="str">
        <f ca="1">IF(D11=99,"BLOQUEADO POR: "&amp;UPPER(TWUSER())&amp;" - "&amp;TEXT(TODAY(),"DD/MM/AA"),"")</f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3">
      <c r="A12" s="7" t="str">
        <f t="shared" si="1"/>
        <v>Execução 8</v>
      </c>
      <c r="B12" s="32"/>
      <c r="C12" s="50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1"/>
      <c r="J12" s="51"/>
      <c r="K12" s="51"/>
      <c r="L12" s="51"/>
      <c r="M12" s="47" t="str">
        <f ca="1">IF(D12=99,"BLOQUEADO POR: "&amp;UPPER(TWUSER())&amp;" - "&amp;TEXT(TODAY(),"DD/MM/AA"),"")</f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3">
      <c r="A13" s="7" t="str">
        <f t="shared" si="1"/>
        <v>Execução 9</v>
      </c>
      <c r="B13" s="32"/>
      <c r="C13" s="50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1"/>
      <c r="J13" s="51"/>
      <c r="K13" s="51"/>
      <c r="L13" s="51"/>
      <c r="M13" s="47" t="str">
        <f ca="1">IF(D13=99,"BLOQUEADO POR: "&amp;UPPER(TWUSER())&amp;" - "&amp;TEXT(TODAY(),"DD/MM/AA"),"")</f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3">
      <c r="A14" s="7" t="str">
        <f t="shared" si="1"/>
        <v>Execução 10</v>
      </c>
      <c r="B14" s="32"/>
      <c r="C14" s="50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1"/>
      <c r="J14" s="51"/>
      <c r="K14" s="51"/>
      <c r="L14" s="51"/>
      <c r="M14" s="47" t="str">
        <f ca="1">IF(D14=99,"BLOQUEADO POR: "&amp;UPPER(TWUSER())&amp;" - "&amp;TEXT(TODAY(),"DD/MM/AA"),"")</f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3">
      <c r="A15" s="7" t="str">
        <f t="shared" si="1"/>
        <v>Execução 11</v>
      </c>
      <c r="B15" s="32"/>
      <c r="C15" s="50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1"/>
      <c r="J15" s="51"/>
      <c r="K15" s="51"/>
      <c r="L15" s="51"/>
      <c r="M15" s="47" t="str">
        <f ca="1">IF(D15=99,"BLOQUEADO POR: "&amp;UPPER(TWUSER())&amp;" - "&amp;TEXT(TODAY(),"DD/MM/AA"),"")</f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3">
      <c r="A16" s="7" t="str">
        <f t="shared" si="1"/>
        <v>Execução 12</v>
      </c>
      <c r="B16" s="32"/>
      <c r="C16" s="50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1"/>
      <c r="J16" s="51"/>
      <c r="K16" s="51"/>
      <c r="L16" s="51"/>
      <c r="M16" s="47" t="str">
        <f ca="1">IF(D16=99,"BLOQUEADO POR: "&amp;UPPER(TWUSER())&amp;" - "&amp;TEXT(TODAY(),"DD/MM/AA"),"")</f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3">
      <c r="A17" s="7" t="str">
        <f t="shared" si="1"/>
        <v>Execução 13</v>
      </c>
      <c r="B17" s="32"/>
      <c r="C17" s="50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1"/>
      <c r="J17" s="51"/>
      <c r="K17" s="51"/>
      <c r="L17" s="51"/>
      <c r="M17" s="47" t="str">
        <f ca="1">IF(D17=99,"BLOQUEADO POR: "&amp;UPPER(TWUSER())&amp;" - "&amp;TEXT(TODAY(),"DD/MM/AA"),"")</f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3">
      <c r="A18" s="7" t="str">
        <f t="shared" si="1"/>
        <v>Execução 14</v>
      </c>
      <c r="B18" s="32"/>
      <c r="C18" s="50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1"/>
      <c r="J18" s="51"/>
      <c r="K18" s="51"/>
      <c r="L18" s="51"/>
      <c r="M18" s="47" t="str">
        <f ca="1">IF(D18=99,"BLOQUEADO POR: "&amp;UPPER(TWUSER())&amp;" - "&amp;TEXT(TODAY(),"DD/MM/AA"),"")</f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3">
      <c r="A19" s="7" t="str">
        <f t="shared" si="1"/>
        <v>Execução 15</v>
      </c>
      <c r="B19" s="32"/>
      <c r="C19" s="50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1"/>
      <c r="J19" s="51"/>
      <c r="K19" s="51"/>
      <c r="L19" s="51"/>
      <c r="M19" s="47" t="str">
        <f ca="1">IF(D19=99,"BLOQUEADO POR: "&amp;UPPER(TWUSER())&amp;" - "&amp;TEXT(TODAY(),"DD/MM/AA"),"")</f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3">
      <c r="A20" s="7" t="str">
        <f>"Execução "&amp;ROW()-4</f>
        <v>Execução 16</v>
      </c>
      <c r="B20" s="32"/>
      <c r="C20" s="50"/>
      <c r="D20" s="33"/>
      <c r="E20" s="47" t="str">
        <f>IFERROR(VLOOKUP(D20,'Listas de Dados'!AA:AB,2,0),"Liberado")</f>
        <v>Liberado</v>
      </c>
      <c r="F20" s="47" t="str">
        <f t="shared" ref="F20:F63" ca="1" si="4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1"/>
      <c r="J20" s="51"/>
      <c r="K20" s="51"/>
      <c r="L20" s="51"/>
      <c r="M20" s="47" t="str">
        <f ca="1">IF(D20=99,"BLOQUEADO POR: "&amp;UPPER(TWUSER())&amp;"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3">
      <c r="A21" s="7" t="str">
        <f t="shared" si="1"/>
        <v>Execução 17</v>
      </c>
      <c r="B21" s="32"/>
      <c r="C21" s="50"/>
      <c r="D21" s="33"/>
      <c r="E21" s="47" t="str">
        <f>IFERROR(VLOOKUP(D21,'Listas de Dados'!AA:AB,2,0),"Liberado")</f>
        <v>Liberado</v>
      </c>
      <c r="F21" s="47" t="str">
        <f t="shared" ca="1" si="4"/>
        <v/>
      </c>
      <c r="G21" s="47" t="str">
        <f t="shared" ref="G21:G34" si="5">IF(D21=99,"ND","X0")</f>
        <v>X0</v>
      </c>
      <c r="H21" s="47" t="b">
        <f t="shared" ref="H21:H34" si="6">IF(D21=99,"FALSO",TRUE)</f>
        <v>1</v>
      </c>
      <c r="I21" s="51"/>
      <c r="J21" s="51"/>
      <c r="K21" s="51"/>
      <c r="L21" s="51"/>
      <c r="M21" s="47" t="str">
        <f ca="1">IF(D21=99,"BLOQUEADO POR: "&amp;UPPER(TWUSER())&amp;"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3">
      <c r="A22" s="7" t="str">
        <f t="shared" si="1"/>
        <v>Execução 18</v>
      </c>
      <c r="B22" s="32"/>
      <c r="C22" s="50"/>
      <c r="D22" s="33"/>
      <c r="E22" s="47" t="str">
        <f>IFERROR(VLOOKUP(D22,'Listas de Dados'!AA:AB,2,0),"Liberado")</f>
        <v>Liberado</v>
      </c>
      <c r="F22" s="47" t="str">
        <f t="shared" ca="1" si="4"/>
        <v/>
      </c>
      <c r="G22" s="47" t="str">
        <f t="shared" si="5"/>
        <v>X0</v>
      </c>
      <c r="H22" s="47" t="b">
        <f t="shared" si="6"/>
        <v>1</v>
      </c>
      <c r="I22" s="51"/>
      <c r="J22" s="51"/>
      <c r="K22" s="51"/>
      <c r="L22" s="51"/>
      <c r="M22" s="47" t="str">
        <f ca="1">IF(D22=99,"BLOQUEADO POR: "&amp;UPPER(TWUSER())&amp;" - "&amp;TEXT(TODAY(),"DD/MM/AA"),"")</f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3">
      <c r="A23" s="7" t="str">
        <f t="shared" si="1"/>
        <v>Execução 19</v>
      </c>
      <c r="B23" s="32"/>
      <c r="C23" s="50"/>
      <c r="D23" s="33"/>
      <c r="E23" s="47" t="str">
        <f>IFERROR(VLOOKUP(D23,'Listas de Dados'!AA:AB,2,0),"Liberado")</f>
        <v>Liberado</v>
      </c>
      <c r="F23" s="47" t="str">
        <f t="shared" ca="1" si="4"/>
        <v/>
      </c>
      <c r="G23" s="47" t="str">
        <f t="shared" si="5"/>
        <v>X0</v>
      </c>
      <c r="H23" s="47" t="b">
        <f t="shared" si="6"/>
        <v>1</v>
      </c>
      <c r="I23" s="51"/>
      <c r="J23" s="51"/>
      <c r="K23" s="51"/>
      <c r="L23" s="51"/>
      <c r="M23" s="47" t="str">
        <f ca="1">IF(D23=99,"BLOQUEADO POR: "&amp;UPPER(TWUSER())&amp;" - "&amp;TEXT(TODAY(),"DD/MM/AA"),"")</f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3">
      <c r="A24" s="7" t="str">
        <f t="shared" si="1"/>
        <v>Execução 20</v>
      </c>
      <c r="B24" s="32"/>
      <c r="C24" s="50"/>
      <c r="D24" s="33"/>
      <c r="E24" s="47" t="str">
        <f>IFERROR(VLOOKUP(D24,'Listas de Dados'!AA:AB,2,0),"Liberado")</f>
        <v>Liberado</v>
      </c>
      <c r="F24" s="47" t="str">
        <f t="shared" ca="1" si="4"/>
        <v/>
      </c>
      <c r="G24" s="47" t="str">
        <f t="shared" si="5"/>
        <v>X0</v>
      </c>
      <c r="H24" s="47" t="b">
        <f t="shared" si="6"/>
        <v>1</v>
      </c>
      <c r="I24" s="51"/>
      <c r="J24" s="51"/>
      <c r="K24" s="51"/>
      <c r="L24" s="51"/>
      <c r="M24" s="47" t="str">
        <f ca="1">IF(D24=99,"BLOQUEADO POR: "&amp;UPPER(TWUSER())&amp;" - "&amp;TEXT(TODAY(),"DD/MM/AA"),"")</f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3">
      <c r="A25" s="7" t="str">
        <f t="shared" si="1"/>
        <v>Execução 21</v>
      </c>
      <c r="B25" s="32"/>
      <c r="C25" s="50"/>
      <c r="D25" s="33"/>
      <c r="E25" s="47" t="str">
        <f>IFERROR(VLOOKUP(D25,'Listas de Dados'!AA:AB,2,0),"Liberado")</f>
        <v>Liberado</v>
      </c>
      <c r="F25" s="47" t="str">
        <f t="shared" ca="1" si="4"/>
        <v/>
      </c>
      <c r="G25" s="47" t="str">
        <f t="shared" si="5"/>
        <v>X0</v>
      </c>
      <c r="H25" s="47" t="b">
        <f t="shared" si="6"/>
        <v>1</v>
      </c>
      <c r="I25" s="51"/>
      <c r="J25" s="51"/>
      <c r="K25" s="51"/>
      <c r="L25" s="51"/>
      <c r="M25" s="47" t="str">
        <f ca="1">IF(D25=99,"BLOQUEADO POR: "&amp;UPPER(TWUSER())&amp;" - "&amp;TEXT(TODAY(),"DD/MM/AA"),"")</f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3">
      <c r="A26" s="7" t="str">
        <f t="shared" si="1"/>
        <v>Execução 22</v>
      </c>
      <c r="B26" s="32"/>
      <c r="C26" s="50"/>
      <c r="D26" s="33"/>
      <c r="E26" s="47" t="str">
        <f>IFERROR(VLOOKUP(D26,'Listas de Dados'!AA:AB,2,0),"Liberado")</f>
        <v>Liberado</v>
      </c>
      <c r="F26" s="47" t="str">
        <f t="shared" ca="1" si="4"/>
        <v/>
      </c>
      <c r="G26" s="47" t="str">
        <f t="shared" si="5"/>
        <v>X0</v>
      </c>
      <c r="H26" s="47" t="b">
        <f t="shared" si="6"/>
        <v>1</v>
      </c>
      <c r="I26" s="51"/>
      <c r="J26" s="51"/>
      <c r="K26" s="51"/>
      <c r="L26" s="51"/>
      <c r="M26" s="47" t="str">
        <f ca="1">IF(D26=99,"BLOQUEADO POR: "&amp;UPPER(TWUSER())&amp;" - "&amp;TEXT(TODAY(),"DD/MM/AA"),"")</f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3">
      <c r="A27" s="7" t="str">
        <f t="shared" si="1"/>
        <v>Execução 23</v>
      </c>
      <c r="B27" s="32"/>
      <c r="C27" s="50"/>
      <c r="D27" s="33"/>
      <c r="E27" s="47" t="str">
        <f>IFERROR(VLOOKUP(D27,'Listas de Dados'!AA:AB,2,0),"Liberado")</f>
        <v>Liberado</v>
      </c>
      <c r="F27" s="47" t="str">
        <f t="shared" ca="1" si="4"/>
        <v/>
      </c>
      <c r="G27" s="47" t="str">
        <f t="shared" si="5"/>
        <v>X0</v>
      </c>
      <c r="H27" s="47" t="b">
        <f t="shared" si="6"/>
        <v>1</v>
      </c>
      <c r="I27" s="51"/>
      <c r="J27" s="51"/>
      <c r="K27" s="51"/>
      <c r="L27" s="51"/>
      <c r="M27" s="47" t="str">
        <f ca="1">IF(D27=99,"BLOQUEADO POR: "&amp;UPPER(TWUSER())&amp;" - "&amp;TEXT(TODAY(),"DD/MM/AA"),"")</f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3">
      <c r="A28" s="7" t="str">
        <f t="shared" si="1"/>
        <v>Execução 24</v>
      </c>
      <c r="B28" s="32"/>
      <c r="C28" s="50"/>
      <c r="D28" s="33"/>
      <c r="E28" s="47" t="str">
        <f>IFERROR(VLOOKUP(D28,'Listas de Dados'!AA:AB,2,0),"Liberado")</f>
        <v>Liberado</v>
      </c>
      <c r="F28" s="47" t="str">
        <f t="shared" ca="1" si="4"/>
        <v/>
      </c>
      <c r="G28" s="47" t="str">
        <f t="shared" si="5"/>
        <v>X0</v>
      </c>
      <c r="H28" s="47" t="b">
        <f t="shared" si="6"/>
        <v>1</v>
      </c>
      <c r="I28" s="51"/>
      <c r="J28" s="51"/>
      <c r="K28" s="51"/>
      <c r="L28" s="51"/>
      <c r="M28" s="47" t="str">
        <f ca="1">IF(D28=99,"BLOQUEADO POR: "&amp;UPPER(TWUSER())&amp;" - "&amp;TEXT(TODAY(),"DD/MM/AA"),"")</f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3">
      <c r="A29" s="7" t="str">
        <f t="shared" si="1"/>
        <v>Execução 25</v>
      </c>
      <c r="B29" s="32"/>
      <c r="C29" s="50"/>
      <c r="D29" s="33"/>
      <c r="E29" s="47" t="str">
        <f>IFERROR(VLOOKUP(D29,'Listas de Dados'!AA:AB,2,0),"Liberado")</f>
        <v>Liberado</v>
      </c>
      <c r="F29" s="47" t="str">
        <f t="shared" ca="1" si="4"/>
        <v/>
      </c>
      <c r="G29" s="47" t="str">
        <f t="shared" si="5"/>
        <v>X0</v>
      </c>
      <c r="H29" s="47" t="b">
        <f t="shared" si="6"/>
        <v>1</v>
      </c>
      <c r="I29" s="51"/>
      <c r="J29" s="51"/>
      <c r="K29" s="51"/>
      <c r="L29" s="51"/>
      <c r="M29" s="47" t="str">
        <f ca="1">IF(D29=99,"BLOQUEADO POR: "&amp;UPPER(TWUSER())&amp;" - "&amp;TEXT(TODAY(),"DD/MM/AA"),"")</f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3">
      <c r="A30" s="7" t="str">
        <f t="shared" si="1"/>
        <v>Execução 26</v>
      </c>
      <c r="B30" s="32"/>
      <c r="C30" s="50"/>
      <c r="D30" s="33"/>
      <c r="E30" s="47" t="str">
        <f>IFERROR(VLOOKUP(D30,'Listas de Dados'!AA:AB,2,0),"Liberado")</f>
        <v>Liberado</v>
      </c>
      <c r="F30" s="47" t="str">
        <f t="shared" ca="1" si="4"/>
        <v/>
      </c>
      <c r="G30" s="47" t="str">
        <f t="shared" si="5"/>
        <v>X0</v>
      </c>
      <c r="H30" s="47" t="b">
        <f t="shared" si="6"/>
        <v>1</v>
      </c>
      <c r="I30" s="51"/>
      <c r="J30" s="51"/>
      <c r="K30" s="51"/>
      <c r="L30" s="51"/>
      <c r="M30" s="47" t="str">
        <f ca="1">IF(D30=99,"BLOQUEADO POR: "&amp;UPPER(TWUSER())&amp;" - "&amp;TEXT(TODAY(),"DD/MM/AA"),"")</f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3">
      <c r="A31" s="7" t="str">
        <f t="shared" si="1"/>
        <v>Execução 27</v>
      </c>
      <c r="B31" s="32"/>
      <c r="C31" s="50"/>
      <c r="D31" s="33"/>
      <c r="E31" s="47" t="str">
        <f>IFERROR(VLOOKUP(D31,'Listas de Dados'!AA:AB,2,0),"Liberado")</f>
        <v>Liberado</v>
      </c>
      <c r="F31" s="47" t="str">
        <f t="shared" ca="1" si="4"/>
        <v/>
      </c>
      <c r="G31" s="47" t="str">
        <f t="shared" si="5"/>
        <v>X0</v>
      </c>
      <c r="H31" s="47" t="b">
        <f t="shared" si="6"/>
        <v>1</v>
      </c>
      <c r="I31" s="51"/>
      <c r="J31" s="51"/>
      <c r="K31" s="51"/>
      <c r="L31" s="51"/>
      <c r="M31" s="47" t="str">
        <f ca="1">IF(D31=99,"BLOQUEADO POR: "&amp;UPPER(TWUSER())&amp;" - "&amp;TEXT(TODAY(),"DD/MM/AA"),"")</f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3">
      <c r="A32" s="7" t="str">
        <f t="shared" si="1"/>
        <v>Execução 28</v>
      </c>
      <c r="B32" s="32"/>
      <c r="C32" s="50"/>
      <c r="D32" s="33"/>
      <c r="E32" s="47" t="str">
        <f>IFERROR(VLOOKUP(D32,'Listas de Dados'!AA:AB,2,0),"Liberado")</f>
        <v>Liberado</v>
      </c>
      <c r="F32" s="47" t="str">
        <f t="shared" ca="1" si="4"/>
        <v/>
      </c>
      <c r="G32" s="47" t="str">
        <f t="shared" si="5"/>
        <v>X0</v>
      </c>
      <c r="H32" s="47" t="b">
        <f t="shared" si="6"/>
        <v>1</v>
      </c>
      <c r="I32" s="51"/>
      <c r="J32" s="51"/>
      <c r="K32" s="51"/>
      <c r="L32" s="51"/>
      <c r="M32" s="47" t="str">
        <f ca="1">IF(D32=99,"BLOQUEADO POR: "&amp;UPPER(TWUSER())&amp;" - "&amp;TEXT(TODAY(),"DD/MM/AA"),"")</f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3">
      <c r="A33" s="7" t="str">
        <f t="shared" si="1"/>
        <v>Execução 29</v>
      </c>
      <c r="B33" s="32"/>
      <c r="C33" s="50"/>
      <c r="D33" s="33"/>
      <c r="E33" s="47" t="str">
        <f>IFERROR(VLOOKUP(D33,'Listas de Dados'!AA:AB,2,0),"Liberado")</f>
        <v>Liberado</v>
      </c>
      <c r="F33" s="47" t="str">
        <f t="shared" ca="1" si="4"/>
        <v/>
      </c>
      <c r="G33" s="47" t="str">
        <f t="shared" si="5"/>
        <v>X0</v>
      </c>
      <c r="H33" s="47" t="b">
        <f t="shared" si="6"/>
        <v>1</v>
      </c>
      <c r="I33" s="51"/>
      <c r="J33" s="51"/>
      <c r="K33" s="51"/>
      <c r="L33" s="51"/>
      <c r="M33" s="47" t="str">
        <f ca="1">IF(D33=99,"BLOQUEADO POR: "&amp;UPPER(TWUSER())&amp;" - "&amp;TEXT(TODAY(),"DD/MM/AA"),"")</f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3">
      <c r="A34" s="7" t="str">
        <f t="shared" si="1"/>
        <v>Execução 30</v>
      </c>
      <c r="B34" s="32"/>
      <c r="C34" s="50"/>
      <c r="D34" s="33"/>
      <c r="E34" s="47" t="str">
        <f>IFERROR(VLOOKUP(D34,'Listas de Dados'!AA:AB,2,0),"Liberado")</f>
        <v>Liberado</v>
      </c>
      <c r="F34" s="47" t="str">
        <f t="shared" ca="1" si="4"/>
        <v/>
      </c>
      <c r="G34" s="47" t="str">
        <f t="shared" si="5"/>
        <v>X0</v>
      </c>
      <c r="H34" s="47" t="b">
        <f t="shared" si="6"/>
        <v>1</v>
      </c>
      <c r="I34" s="51"/>
      <c r="J34" s="51"/>
      <c r="K34" s="51"/>
      <c r="L34" s="51"/>
      <c r="M34" s="47" t="str">
        <f ca="1">IF(D34=99,"BLOQUEADO POR: "&amp;UPPER(TWUSER())&amp;" - "&amp;TEXT(TODAY(),"DD/MM/AA"),"")</f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3">
      <c r="A35" s="7" t="str">
        <f>"Execução "&amp;ROW()-4</f>
        <v>Execução 31</v>
      </c>
      <c r="B35" s="32"/>
      <c r="C35" s="50"/>
      <c r="D35" s="33"/>
      <c r="E35" s="47" t="str">
        <f>IFERROR(VLOOKUP(D35,'Listas de Dados'!AA:AB,2,0),"Liberado")</f>
        <v>Liberado</v>
      </c>
      <c r="F35" s="47" t="str">
        <f t="shared" ca="1" si="4"/>
        <v/>
      </c>
      <c r="G35" s="47" t="str">
        <f>IF(D35=99,"ND","X0")</f>
        <v>X0</v>
      </c>
      <c r="H35" s="47" t="b">
        <f>IF(D35=99,"FALSO",TRUE)</f>
        <v>1</v>
      </c>
      <c r="I35" s="51"/>
      <c r="J35" s="51"/>
      <c r="K35" s="51"/>
      <c r="L35" s="51"/>
      <c r="M35" s="47" t="str">
        <f ca="1">IF(D35=99,"BLOQUEADO POR: "&amp;UPPER(TWUSER())&amp;"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3">
      <c r="A36" s="7" t="str">
        <f t="shared" si="1"/>
        <v>Execução 32</v>
      </c>
      <c r="B36" s="32"/>
      <c r="C36" s="50"/>
      <c r="D36" s="33"/>
      <c r="E36" s="47" t="str">
        <f>IFERROR(VLOOKUP(D36,'Listas de Dados'!AA:AB,2,0),"Liberado")</f>
        <v>Liberado</v>
      </c>
      <c r="F36" s="47" t="str">
        <f t="shared" ca="1" si="4"/>
        <v/>
      </c>
      <c r="G36" s="47" t="str">
        <f t="shared" ref="G36:G49" si="7">IF(D36=99,"ND","X0")</f>
        <v>X0</v>
      </c>
      <c r="H36" s="47" t="b">
        <f t="shared" ref="H36:H49" si="8">IF(D36=99,"FALSO",TRUE)</f>
        <v>1</v>
      </c>
      <c r="I36" s="51"/>
      <c r="J36" s="51"/>
      <c r="K36" s="51"/>
      <c r="L36" s="51"/>
      <c r="M36" s="47" t="str">
        <f ca="1">IF(D36=99,"BLOQUEADO POR: "&amp;UPPER(TWUSER())&amp;"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3">
      <c r="A37" s="7" t="str">
        <f t="shared" si="1"/>
        <v>Execução 33</v>
      </c>
      <c r="B37" s="32"/>
      <c r="C37" s="50"/>
      <c r="D37" s="33"/>
      <c r="E37" s="47" t="str">
        <f>IFERROR(VLOOKUP(D37,'Listas de Dados'!AA:AB,2,0),"Liberado")</f>
        <v>Liberado</v>
      </c>
      <c r="F37" s="47" t="str">
        <f t="shared" ca="1" si="4"/>
        <v/>
      </c>
      <c r="G37" s="47" t="str">
        <f t="shared" si="7"/>
        <v>X0</v>
      </c>
      <c r="H37" s="47" t="b">
        <f t="shared" si="8"/>
        <v>1</v>
      </c>
      <c r="I37" s="51"/>
      <c r="J37" s="51"/>
      <c r="K37" s="51"/>
      <c r="L37" s="51"/>
      <c r="M37" s="47" t="str">
        <f ca="1">IF(D37=99,"BLOQUEADO POR: "&amp;UPPER(TWUSER())&amp;" - "&amp;TEXT(TODAY(),"DD/MM/AA"),"")</f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3">
      <c r="A38" s="7" t="str">
        <f t="shared" si="1"/>
        <v>Execução 34</v>
      </c>
      <c r="B38" s="32"/>
      <c r="C38" s="50"/>
      <c r="D38" s="33"/>
      <c r="E38" s="47" t="str">
        <f>IFERROR(VLOOKUP(D38,'Listas de Dados'!AA:AB,2,0),"Liberado")</f>
        <v>Liberado</v>
      </c>
      <c r="F38" s="47" t="str">
        <f t="shared" ca="1" si="4"/>
        <v/>
      </c>
      <c r="G38" s="47" t="str">
        <f t="shared" si="7"/>
        <v>X0</v>
      </c>
      <c r="H38" s="47" t="b">
        <f t="shared" si="8"/>
        <v>1</v>
      </c>
      <c r="I38" s="51"/>
      <c r="J38" s="51"/>
      <c r="K38" s="51"/>
      <c r="L38" s="51"/>
      <c r="M38" s="47" t="str">
        <f ca="1">IF(D38=99,"BLOQUEADO POR: "&amp;UPPER(TWUSER())&amp;" - "&amp;TEXT(TODAY(),"DD/MM/AA"),"")</f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3">
      <c r="A39" s="7" t="str">
        <f t="shared" si="1"/>
        <v>Execução 35</v>
      </c>
      <c r="B39" s="32"/>
      <c r="C39" s="50"/>
      <c r="D39" s="33"/>
      <c r="E39" s="47" t="str">
        <f>IFERROR(VLOOKUP(D39,'Listas de Dados'!AA:AB,2,0),"Liberado")</f>
        <v>Liberado</v>
      </c>
      <c r="F39" s="47" t="str">
        <f t="shared" ca="1" si="4"/>
        <v/>
      </c>
      <c r="G39" s="47" t="str">
        <f t="shared" si="7"/>
        <v>X0</v>
      </c>
      <c r="H39" s="47" t="b">
        <f t="shared" si="8"/>
        <v>1</v>
      </c>
      <c r="I39" s="51"/>
      <c r="J39" s="51"/>
      <c r="K39" s="51"/>
      <c r="L39" s="51"/>
      <c r="M39" s="47" t="str">
        <f ca="1">IF(D39=99,"BLOQUEADO POR: "&amp;UPPER(TWUSER())&amp;" - "&amp;TEXT(TODAY(),"DD/MM/AA"),"")</f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3">
      <c r="A40" s="7" t="str">
        <f t="shared" si="1"/>
        <v>Execução 36</v>
      </c>
      <c r="B40" s="32"/>
      <c r="C40" s="50"/>
      <c r="D40" s="33"/>
      <c r="E40" s="47" t="str">
        <f>IFERROR(VLOOKUP(D40,'Listas de Dados'!AA:AB,2,0),"Liberado")</f>
        <v>Liberado</v>
      </c>
      <c r="F40" s="47" t="str">
        <f t="shared" ca="1" si="4"/>
        <v/>
      </c>
      <c r="G40" s="47" t="str">
        <f t="shared" si="7"/>
        <v>X0</v>
      </c>
      <c r="H40" s="47" t="b">
        <f t="shared" si="8"/>
        <v>1</v>
      </c>
      <c r="I40" s="51"/>
      <c r="J40" s="51"/>
      <c r="K40" s="51"/>
      <c r="L40" s="51"/>
      <c r="M40" s="47" t="str">
        <f ca="1">IF(D40=99,"BLOQUEADO POR: "&amp;UPPER(TWUSER())&amp;" - "&amp;TEXT(TODAY(),"DD/MM/AA"),"")</f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3">
      <c r="A41" s="7" t="str">
        <f t="shared" si="1"/>
        <v>Execução 37</v>
      </c>
      <c r="B41" s="32"/>
      <c r="C41" s="50"/>
      <c r="D41" s="33"/>
      <c r="E41" s="47" t="str">
        <f>IFERROR(VLOOKUP(D41,'Listas de Dados'!AA:AB,2,0),"Liberado")</f>
        <v>Liberado</v>
      </c>
      <c r="F41" s="47" t="str">
        <f t="shared" ca="1" si="4"/>
        <v/>
      </c>
      <c r="G41" s="47" t="str">
        <f t="shared" si="7"/>
        <v>X0</v>
      </c>
      <c r="H41" s="47" t="b">
        <f t="shared" si="8"/>
        <v>1</v>
      </c>
      <c r="I41" s="51"/>
      <c r="J41" s="51"/>
      <c r="K41" s="51"/>
      <c r="L41" s="51"/>
      <c r="M41" s="47" t="str">
        <f ca="1">IF(D41=99,"BLOQUEADO POR: "&amp;UPPER(TWUSER())&amp;" - "&amp;TEXT(TODAY(),"DD/MM/AA"),"")</f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3">
      <c r="A42" s="7" t="str">
        <f t="shared" si="1"/>
        <v>Execução 38</v>
      </c>
      <c r="B42" s="32"/>
      <c r="C42" s="50"/>
      <c r="D42" s="33"/>
      <c r="E42" s="47" t="str">
        <f>IFERROR(VLOOKUP(D42,'Listas de Dados'!AA:AB,2,0),"Liberado")</f>
        <v>Liberado</v>
      </c>
      <c r="F42" s="47" t="str">
        <f t="shared" ca="1" si="4"/>
        <v/>
      </c>
      <c r="G42" s="47" t="str">
        <f t="shared" si="7"/>
        <v>X0</v>
      </c>
      <c r="H42" s="47" t="b">
        <f t="shared" si="8"/>
        <v>1</v>
      </c>
      <c r="I42" s="51"/>
      <c r="J42" s="51"/>
      <c r="K42" s="51"/>
      <c r="L42" s="51"/>
      <c r="M42" s="47" t="str">
        <f ca="1">IF(D42=99,"BLOQUEADO POR: "&amp;UPPER(TWUSER())&amp;" - "&amp;TEXT(TODAY(),"DD/MM/AA"),"")</f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3">
      <c r="A43" s="7" t="str">
        <f t="shared" si="1"/>
        <v>Execução 39</v>
      </c>
      <c r="B43" s="32"/>
      <c r="C43" s="50"/>
      <c r="D43" s="33"/>
      <c r="E43" s="47" t="str">
        <f>IFERROR(VLOOKUP(D43,'Listas de Dados'!AA:AB,2,0),"Liberado")</f>
        <v>Liberado</v>
      </c>
      <c r="F43" s="47" t="str">
        <f t="shared" ca="1" si="4"/>
        <v/>
      </c>
      <c r="G43" s="47" t="str">
        <f t="shared" si="7"/>
        <v>X0</v>
      </c>
      <c r="H43" s="47" t="b">
        <f t="shared" si="8"/>
        <v>1</v>
      </c>
      <c r="I43" s="51"/>
      <c r="J43" s="51"/>
      <c r="K43" s="51"/>
      <c r="L43" s="51"/>
      <c r="M43" s="47" t="str">
        <f ca="1">IF(D43=99,"BLOQUEADO POR: "&amp;UPPER(TWUSER())&amp;" - "&amp;TEXT(TODAY(),"DD/MM/AA"),"")</f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3">
      <c r="A44" s="7" t="str">
        <f t="shared" si="1"/>
        <v>Execução 40</v>
      </c>
      <c r="B44" s="32"/>
      <c r="C44" s="50"/>
      <c r="D44" s="33"/>
      <c r="E44" s="47" t="str">
        <f>IFERROR(VLOOKUP(D44,'Listas de Dados'!AA:AB,2,0),"Liberado")</f>
        <v>Liberado</v>
      </c>
      <c r="F44" s="47" t="str">
        <f t="shared" ca="1" si="4"/>
        <v/>
      </c>
      <c r="G44" s="47" t="str">
        <f t="shared" si="7"/>
        <v>X0</v>
      </c>
      <c r="H44" s="47" t="b">
        <f t="shared" si="8"/>
        <v>1</v>
      </c>
      <c r="I44" s="51"/>
      <c r="J44" s="51"/>
      <c r="K44" s="51"/>
      <c r="L44" s="51"/>
      <c r="M44" s="47" t="str">
        <f ca="1">IF(D44=99,"BLOQUEADO POR: "&amp;UPPER(TWUSER())&amp;" - "&amp;TEXT(TODAY(),"DD/MM/AA"),"")</f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3">
      <c r="A45" s="7" t="str">
        <f t="shared" si="1"/>
        <v>Execução 41</v>
      </c>
      <c r="B45" s="32"/>
      <c r="C45" s="50"/>
      <c r="D45" s="33"/>
      <c r="E45" s="47" t="str">
        <f>IFERROR(VLOOKUP(D45,'Listas de Dados'!AA:AB,2,0),"Liberado")</f>
        <v>Liberado</v>
      </c>
      <c r="F45" s="47" t="str">
        <f t="shared" ca="1" si="4"/>
        <v/>
      </c>
      <c r="G45" s="47" t="str">
        <f t="shared" si="7"/>
        <v>X0</v>
      </c>
      <c r="H45" s="47" t="b">
        <f t="shared" si="8"/>
        <v>1</v>
      </c>
      <c r="I45" s="51"/>
      <c r="J45" s="51"/>
      <c r="K45" s="51"/>
      <c r="L45" s="51"/>
      <c r="M45" s="47" t="str">
        <f ca="1">IF(D45=99,"BLOQUEADO POR: "&amp;UPPER(TWUSER())&amp;" - "&amp;TEXT(TODAY(),"DD/MM/AA"),"")</f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3">
      <c r="A46" s="7" t="str">
        <f t="shared" si="1"/>
        <v>Execução 42</v>
      </c>
      <c r="B46" s="32"/>
      <c r="C46" s="50"/>
      <c r="D46" s="33"/>
      <c r="E46" s="47" t="str">
        <f>IFERROR(VLOOKUP(D46,'Listas de Dados'!AA:AB,2,0),"Liberado")</f>
        <v>Liberado</v>
      </c>
      <c r="F46" s="47" t="str">
        <f t="shared" ca="1" si="4"/>
        <v/>
      </c>
      <c r="G46" s="47" t="str">
        <f t="shared" si="7"/>
        <v>X0</v>
      </c>
      <c r="H46" s="47" t="b">
        <f t="shared" si="8"/>
        <v>1</v>
      </c>
      <c r="I46" s="51"/>
      <c r="J46" s="51"/>
      <c r="K46" s="51"/>
      <c r="L46" s="51"/>
      <c r="M46" s="47" t="str">
        <f ca="1">IF(D46=99,"BLOQUEADO POR: "&amp;UPPER(TWUSER())&amp;" - "&amp;TEXT(TODAY(),"DD/MM/AA"),"")</f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3">
      <c r="A47" s="7" t="str">
        <f t="shared" si="1"/>
        <v>Execução 43</v>
      </c>
      <c r="B47" s="32"/>
      <c r="C47" s="50"/>
      <c r="D47" s="33"/>
      <c r="E47" s="47" t="str">
        <f>IFERROR(VLOOKUP(D47,'Listas de Dados'!AA:AB,2,0),"Liberado")</f>
        <v>Liberado</v>
      </c>
      <c r="F47" s="47" t="str">
        <f t="shared" ca="1" si="4"/>
        <v/>
      </c>
      <c r="G47" s="47" t="str">
        <f t="shared" si="7"/>
        <v>X0</v>
      </c>
      <c r="H47" s="47" t="b">
        <f t="shared" si="8"/>
        <v>1</v>
      </c>
      <c r="I47" s="51"/>
      <c r="J47" s="51"/>
      <c r="K47" s="51"/>
      <c r="L47" s="51"/>
      <c r="M47" s="47" t="str">
        <f ca="1">IF(D47=99,"BLOQUEADO POR: "&amp;UPPER(TWUSER())&amp;" - "&amp;TEXT(TODAY(),"DD/MM/AA"),"")</f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3">
      <c r="A48" s="7" t="str">
        <f t="shared" si="1"/>
        <v>Execução 44</v>
      </c>
      <c r="B48" s="32"/>
      <c r="C48" s="50"/>
      <c r="D48" s="33"/>
      <c r="E48" s="47" t="str">
        <f>IFERROR(VLOOKUP(D48,'Listas de Dados'!AA:AB,2,0),"Liberado")</f>
        <v>Liberado</v>
      </c>
      <c r="F48" s="47" t="str">
        <f t="shared" ca="1" si="4"/>
        <v/>
      </c>
      <c r="G48" s="47" t="str">
        <f t="shared" si="7"/>
        <v>X0</v>
      </c>
      <c r="H48" s="47" t="b">
        <f t="shared" si="8"/>
        <v>1</v>
      </c>
      <c r="I48" s="51"/>
      <c r="J48" s="51"/>
      <c r="K48" s="51"/>
      <c r="L48" s="51"/>
      <c r="M48" s="47" t="str">
        <f ca="1">IF(D48=99,"BLOQUEADO POR: "&amp;UPPER(TWUSER())&amp;" - "&amp;TEXT(TODAY(),"DD/MM/AA"),"")</f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3">
      <c r="A49" s="7" t="str">
        <f t="shared" si="1"/>
        <v>Execução 45</v>
      </c>
      <c r="B49" s="32"/>
      <c r="C49" s="50"/>
      <c r="D49" s="33"/>
      <c r="E49" s="47" t="str">
        <f>IFERROR(VLOOKUP(D49,'Listas de Dados'!AA:AB,2,0),"Liberado")</f>
        <v>Liberado</v>
      </c>
      <c r="F49" s="47" t="str">
        <f t="shared" ca="1" si="4"/>
        <v/>
      </c>
      <c r="G49" s="47" t="str">
        <f t="shared" si="7"/>
        <v>X0</v>
      </c>
      <c r="H49" s="47" t="b">
        <f t="shared" si="8"/>
        <v>1</v>
      </c>
      <c r="I49" s="51"/>
      <c r="J49" s="51"/>
      <c r="K49" s="51"/>
      <c r="L49" s="51"/>
      <c r="M49" s="47" t="str">
        <f ca="1">IF(D49=99,"BLOQUEADO POR: "&amp;UPPER(TWUSER())&amp;" - "&amp;TEXT(TODAY(),"DD/MM/AA"),"")</f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3">
      <c r="A50" s="7" t="str">
        <f>"Execução "&amp;ROW()-4</f>
        <v>Execução 46</v>
      </c>
      <c r="B50" s="32"/>
      <c r="C50" s="50"/>
      <c r="D50" s="33"/>
      <c r="E50" s="47" t="str">
        <f>IFERROR(VLOOKUP(D50,'Listas de Dados'!AA:AB,2,0),"Liberado")</f>
        <v>Liberado</v>
      </c>
      <c r="F50" s="47" t="str">
        <f t="shared" ca="1" si="4"/>
        <v/>
      </c>
      <c r="G50" s="47" t="str">
        <f>IF(D50=99,"ND","X0")</f>
        <v>X0</v>
      </c>
      <c r="H50" s="47" t="b">
        <f>IF(D50=99,"FALSO",TRUE)</f>
        <v>1</v>
      </c>
      <c r="I50" s="51"/>
      <c r="J50" s="51"/>
      <c r="K50" s="51"/>
      <c r="L50" s="51"/>
      <c r="M50" s="47" t="str">
        <f ca="1">IF(D50=99,"BLOQUEADO POR: "&amp;UPPER(TWUSER())&amp;"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3">
      <c r="A51" s="7" t="str">
        <f t="shared" si="1"/>
        <v>Execução 47</v>
      </c>
      <c r="B51" s="32"/>
      <c r="C51" s="50"/>
      <c r="D51" s="33"/>
      <c r="E51" s="47" t="str">
        <f>IFERROR(VLOOKUP(D51,'Listas de Dados'!AA:AB,2,0),"Liberado")</f>
        <v>Liberado</v>
      </c>
      <c r="F51" s="47" t="str">
        <f t="shared" ca="1" si="4"/>
        <v/>
      </c>
      <c r="G51" s="47" t="str">
        <f t="shared" ref="G51:G63" si="9">IF(D51=99,"ND","X0")</f>
        <v>X0</v>
      </c>
      <c r="H51" s="47" t="b">
        <f t="shared" ref="H51:H63" si="10">IF(D51=99,"FALSO",TRUE)</f>
        <v>1</v>
      </c>
      <c r="I51" s="51"/>
      <c r="J51" s="51"/>
      <c r="K51" s="51"/>
      <c r="L51" s="51"/>
      <c r="M51" s="47" t="str">
        <f ca="1">IF(D51=99,"BLOQUEADO POR: "&amp;UPPER(TWUSER())&amp;"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3">
      <c r="A52" s="7" t="str">
        <f t="shared" si="1"/>
        <v>Execução 48</v>
      </c>
      <c r="B52" s="32"/>
      <c r="C52" s="50"/>
      <c r="D52" s="33"/>
      <c r="E52" s="47" t="str">
        <f>IFERROR(VLOOKUP(D52,'Listas de Dados'!AA:AB,2,0),"Liberado")</f>
        <v>Liberado</v>
      </c>
      <c r="F52" s="47" t="str">
        <f t="shared" ca="1" si="4"/>
        <v/>
      </c>
      <c r="G52" s="47" t="str">
        <f t="shared" si="9"/>
        <v>X0</v>
      </c>
      <c r="H52" s="47" t="b">
        <f t="shared" si="10"/>
        <v>1</v>
      </c>
      <c r="I52" s="51"/>
      <c r="J52" s="51"/>
      <c r="K52" s="51"/>
      <c r="L52" s="51"/>
      <c r="M52" s="47" t="str">
        <f ca="1">IF(D52=99,"BLOQUEADO POR: "&amp;UPPER(TWUSER())&amp;" - "&amp;TEXT(TODAY(),"DD/MM/AA"),"")</f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3">
      <c r="A53" s="7" t="str">
        <f t="shared" si="1"/>
        <v>Execução 49</v>
      </c>
      <c r="B53" s="32"/>
      <c r="C53" s="50"/>
      <c r="D53" s="33"/>
      <c r="E53" s="47" t="str">
        <f>IFERROR(VLOOKUP(D53,'Listas de Dados'!AA:AB,2,0),"Liberado")</f>
        <v>Liberado</v>
      </c>
      <c r="F53" s="47" t="str">
        <f t="shared" ca="1" si="4"/>
        <v/>
      </c>
      <c r="G53" s="47" t="str">
        <f t="shared" si="9"/>
        <v>X0</v>
      </c>
      <c r="H53" s="47" t="b">
        <f t="shared" si="10"/>
        <v>1</v>
      </c>
      <c r="I53" s="51"/>
      <c r="J53" s="51"/>
      <c r="K53" s="51"/>
      <c r="L53" s="51"/>
      <c r="M53" s="47" t="str">
        <f ca="1">IF(D53=99,"BLOQUEADO POR: "&amp;UPPER(TWUSER())&amp;" - "&amp;TEXT(TODAY(),"DD/MM/AA"),"")</f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3">
      <c r="A54" s="7" t="str">
        <f t="shared" si="1"/>
        <v>Execução 50</v>
      </c>
      <c r="B54" s="32"/>
      <c r="C54" s="50"/>
      <c r="D54" s="33"/>
      <c r="E54" s="47" t="str">
        <f>IFERROR(VLOOKUP(D54,'Listas de Dados'!AA:AB,2,0),"Liberado")</f>
        <v>Liberado</v>
      </c>
      <c r="F54" s="47" t="str">
        <f t="shared" ca="1" si="4"/>
        <v/>
      </c>
      <c r="G54" s="47" t="str">
        <f t="shared" si="9"/>
        <v>X0</v>
      </c>
      <c r="H54" s="47" t="b">
        <f t="shared" si="10"/>
        <v>1</v>
      </c>
      <c r="I54" s="51"/>
      <c r="J54" s="51"/>
      <c r="K54" s="51"/>
      <c r="L54" s="51"/>
      <c r="M54" s="47" t="str">
        <f ca="1">IF(D54=99,"BLOQUEADO POR: "&amp;UPPER(TWUSER())&amp;" - "&amp;TEXT(TODAY(),"DD/MM/AA"),"")</f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3">
      <c r="A55" s="7" t="str">
        <f t="shared" si="1"/>
        <v>Execução 51</v>
      </c>
      <c r="B55" s="32"/>
      <c r="C55" s="50"/>
      <c r="D55" s="33"/>
      <c r="E55" s="47" t="str">
        <f>IFERROR(VLOOKUP(D55,'Listas de Dados'!AA:AB,2,0),"Liberado")</f>
        <v>Liberado</v>
      </c>
      <c r="F55" s="47" t="str">
        <f t="shared" ca="1" si="4"/>
        <v/>
      </c>
      <c r="G55" s="47" t="str">
        <f t="shared" si="9"/>
        <v>X0</v>
      </c>
      <c r="H55" s="47" t="b">
        <f t="shared" si="10"/>
        <v>1</v>
      </c>
      <c r="I55" s="51"/>
      <c r="J55" s="51"/>
      <c r="K55" s="51"/>
      <c r="L55" s="51"/>
      <c r="M55" s="47" t="str">
        <f ca="1">IF(D55=99,"BLOQUEADO POR: "&amp;UPPER(TWUSER())&amp;" - "&amp;TEXT(TODAY(),"DD/MM/AA"),"")</f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3">
      <c r="A56" s="7" t="str">
        <f t="shared" si="1"/>
        <v>Execução 52</v>
      </c>
      <c r="B56" s="32"/>
      <c r="C56" s="50"/>
      <c r="D56" s="33"/>
      <c r="E56" s="47" t="str">
        <f>IFERROR(VLOOKUP(D56,'Listas de Dados'!AA:AB,2,0),"Liberado")</f>
        <v>Liberado</v>
      </c>
      <c r="F56" s="47" t="str">
        <f t="shared" ca="1" si="4"/>
        <v/>
      </c>
      <c r="G56" s="47" t="str">
        <f t="shared" si="9"/>
        <v>X0</v>
      </c>
      <c r="H56" s="47" t="b">
        <f t="shared" si="10"/>
        <v>1</v>
      </c>
      <c r="I56" s="51"/>
      <c r="J56" s="51"/>
      <c r="K56" s="51"/>
      <c r="L56" s="51"/>
      <c r="M56" s="47" t="str">
        <f ca="1">IF(D56=99,"BLOQUEADO POR: "&amp;UPPER(TWUSER())&amp;" - "&amp;TEXT(TODAY(),"DD/MM/AA"),"")</f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3">
      <c r="A57" s="7" t="str">
        <f t="shared" si="1"/>
        <v>Execução 53</v>
      </c>
      <c r="B57" s="32"/>
      <c r="C57" s="50"/>
      <c r="D57" s="33"/>
      <c r="E57" s="47" t="str">
        <f>IFERROR(VLOOKUP(D57,'Listas de Dados'!AA:AB,2,0),"Liberado")</f>
        <v>Liberado</v>
      </c>
      <c r="F57" s="47" t="str">
        <f t="shared" ca="1" si="4"/>
        <v/>
      </c>
      <c r="G57" s="47" t="str">
        <f t="shared" si="9"/>
        <v>X0</v>
      </c>
      <c r="H57" s="47" t="b">
        <f t="shared" si="10"/>
        <v>1</v>
      </c>
      <c r="I57" s="51"/>
      <c r="J57" s="51"/>
      <c r="K57" s="51"/>
      <c r="L57" s="51"/>
      <c r="M57" s="47" t="str">
        <f ca="1">IF(D57=99,"BLOQUEADO POR: "&amp;UPPER(TWUSER())&amp;" - "&amp;TEXT(TODAY(),"DD/MM/AA"),"")</f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3">
      <c r="A58" s="7" t="str">
        <f t="shared" si="1"/>
        <v>Execução 54</v>
      </c>
      <c r="B58" s="32"/>
      <c r="C58" s="50"/>
      <c r="D58" s="33"/>
      <c r="E58" s="47" t="str">
        <f>IFERROR(VLOOKUP(D58,'Listas de Dados'!AA:AB,2,0),"Liberado")</f>
        <v>Liberado</v>
      </c>
      <c r="F58" s="47" t="str">
        <f t="shared" ca="1" si="4"/>
        <v/>
      </c>
      <c r="G58" s="47" t="str">
        <f t="shared" si="9"/>
        <v>X0</v>
      </c>
      <c r="H58" s="47" t="b">
        <f t="shared" si="10"/>
        <v>1</v>
      </c>
      <c r="I58" s="51"/>
      <c r="J58" s="51"/>
      <c r="K58" s="51"/>
      <c r="L58" s="51"/>
      <c r="M58" s="47" t="str">
        <f ca="1">IF(D58=99,"BLOQUEADO POR: "&amp;UPPER(TWUSER())&amp;" - "&amp;TEXT(TODAY(),"DD/MM/AA"),"")</f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3">
      <c r="A59" s="7" t="str">
        <f t="shared" si="1"/>
        <v>Execução 55</v>
      </c>
      <c r="B59" s="32"/>
      <c r="C59" s="50"/>
      <c r="D59" s="33"/>
      <c r="E59" s="47" t="str">
        <f>IFERROR(VLOOKUP(D59,'Listas de Dados'!AA:AB,2,0),"Liberado")</f>
        <v>Liberado</v>
      </c>
      <c r="F59" s="47" t="str">
        <f t="shared" ca="1" si="4"/>
        <v/>
      </c>
      <c r="G59" s="47" t="str">
        <f t="shared" si="9"/>
        <v>X0</v>
      </c>
      <c r="H59" s="47" t="b">
        <f t="shared" si="10"/>
        <v>1</v>
      </c>
      <c r="I59" s="51"/>
      <c r="J59" s="51"/>
      <c r="K59" s="51"/>
      <c r="L59" s="51"/>
      <c r="M59" s="47" t="str">
        <f ca="1">IF(D59=99,"BLOQUEADO POR: "&amp;UPPER(TWUSER())&amp;" - "&amp;TEXT(TODAY(),"DD/MM/AA"),"")</f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3">
      <c r="A60" s="7" t="str">
        <f t="shared" si="1"/>
        <v>Execução 56</v>
      </c>
      <c r="B60" s="32"/>
      <c r="C60" s="50"/>
      <c r="D60" s="33"/>
      <c r="E60" s="47" t="str">
        <f>IFERROR(VLOOKUP(D60,'Listas de Dados'!AA:AB,2,0),"Liberado")</f>
        <v>Liberado</v>
      </c>
      <c r="F60" s="47" t="str">
        <f t="shared" ca="1" si="4"/>
        <v/>
      </c>
      <c r="G60" s="47" t="str">
        <f t="shared" si="9"/>
        <v>X0</v>
      </c>
      <c r="H60" s="47" t="b">
        <f t="shared" si="10"/>
        <v>1</v>
      </c>
      <c r="I60" s="51"/>
      <c r="J60" s="51"/>
      <c r="K60" s="51"/>
      <c r="L60" s="51"/>
      <c r="M60" s="47" t="str">
        <f ca="1">IF(D60=99,"BLOQUEADO POR: "&amp;UPPER(TWUSER())&amp;" - "&amp;TEXT(TODAY(),"DD/MM/AA"),"")</f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3">
      <c r="A61" s="7" t="str">
        <f t="shared" si="1"/>
        <v>Execução 57</v>
      </c>
      <c r="B61" s="32"/>
      <c r="C61" s="50"/>
      <c r="D61" s="33"/>
      <c r="E61" s="47" t="str">
        <f>IFERROR(VLOOKUP(D61,'Listas de Dados'!AA:AB,2,0),"Liberado")</f>
        <v>Liberado</v>
      </c>
      <c r="F61" s="47" t="str">
        <f t="shared" ca="1" si="4"/>
        <v/>
      </c>
      <c r="G61" s="47" t="str">
        <f t="shared" si="9"/>
        <v>X0</v>
      </c>
      <c r="H61" s="47" t="b">
        <f t="shared" si="10"/>
        <v>1</v>
      </c>
      <c r="I61" s="51"/>
      <c r="J61" s="51"/>
      <c r="K61" s="51"/>
      <c r="L61" s="51"/>
      <c r="M61" s="47" t="str">
        <f ca="1">IF(D61=99,"BLOQUEADO POR: "&amp;UPPER(TWUSER())&amp;" - "&amp;TEXT(TODAY(),"DD/MM/AA"),"")</f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3">
      <c r="A62" s="7" t="str">
        <f t="shared" si="1"/>
        <v>Execução 58</v>
      </c>
      <c r="B62" s="32"/>
      <c r="C62" s="50"/>
      <c r="D62" s="33"/>
      <c r="E62" s="47" t="str">
        <f>IFERROR(VLOOKUP(D62,'Listas de Dados'!AA:AB,2,0),"Liberado")</f>
        <v>Liberado</v>
      </c>
      <c r="F62" s="47" t="str">
        <f t="shared" ca="1" si="4"/>
        <v/>
      </c>
      <c r="G62" s="47" t="str">
        <f t="shared" si="9"/>
        <v>X0</v>
      </c>
      <c r="H62" s="47" t="b">
        <f t="shared" si="10"/>
        <v>1</v>
      </c>
      <c r="I62" s="51"/>
      <c r="J62" s="51"/>
      <c r="K62" s="51"/>
      <c r="L62" s="51"/>
      <c r="M62" s="47" t="str">
        <f ca="1">IF(D62=99,"BLOQUEADO POR: "&amp;UPPER(TWUSER())&amp;" - "&amp;TEXT(TODAY(),"DD/MM/AA"),"")</f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3">
      <c r="A63" s="7" t="str">
        <f t="shared" si="1"/>
        <v>Execução 59</v>
      </c>
      <c r="B63" s="32"/>
      <c r="C63" s="50"/>
      <c r="D63" s="33"/>
      <c r="E63" s="47" t="str">
        <f>IFERROR(VLOOKUP(D63,'Listas de Dados'!AA:AB,2,0),"Liberado")</f>
        <v>Liberado</v>
      </c>
      <c r="F63" s="47" t="str">
        <f t="shared" ca="1" si="4"/>
        <v/>
      </c>
      <c r="G63" s="47" t="str">
        <f t="shared" si="9"/>
        <v>X0</v>
      </c>
      <c r="H63" s="47" t="b">
        <f t="shared" si="10"/>
        <v>1</v>
      </c>
      <c r="I63" s="51"/>
      <c r="J63" s="51"/>
      <c r="K63" s="51"/>
      <c r="L63" s="51"/>
      <c r="M63" s="47" t="str">
        <f ca="1">IF(D63=99,"BLOQUEADO POR: "&amp;UPPER(TWUSER())&amp;" - "&amp;TEXT(TODAY(),"DD/MM/AA"),"")</f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3">
      <c r="A64" s="7" t="str">
        <f t="shared" si="1"/>
        <v>Execução 60</v>
      </c>
      <c r="B64" s="32"/>
      <c r="C64" s="50"/>
      <c r="D64" s="33"/>
      <c r="E64" s="47" t="str">
        <f>IFERROR(VLOOKUP(D64,'Listas de Dados'!AA:AB,2,0),"Liberado")</f>
        <v>Liberado</v>
      </c>
      <c r="F64" s="47" t="str">
        <f ca="1">IF(D64&lt;&gt;"",TEXT(TODAY(),"DD.MM.AA"),"")</f>
        <v/>
      </c>
      <c r="G64" s="47" t="str">
        <f>IF(D64=99,"ND","X0")</f>
        <v>X0</v>
      </c>
      <c r="H64" s="47" t="b">
        <f>IF(D64=99,"FALSO",TRUE)</f>
        <v>1</v>
      </c>
      <c r="I64" s="51"/>
      <c r="J64" s="51"/>
      <c r="K64" s="51"/>
      <c r="L64" s="51"/>
      <c r="M64" s="47" t="str">
        <f ca="1">IF(D64=99,"BLOQUEADO POR: "&amp;UPPER(TWUSER())&amp;" - "&amp;TEXT(TODAY(),"DD/MM/AA"),"")</f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  <row r="65" spans="1:43" x14ac:dyDescent="0.3">
      <c r="A65" s="7" t="str">
        <f t="shared" si="1"/>
        <v>Execução 61</v>
      </c>
      <c r="B65" s="32"/>
      <c r="C65" s="50"/>
      <c r="D65" s="33"/>
      <c r="E65" s="47" t="str">
        <f>IFERROR(VLOOKUP(D65,'Listas de Dados'!AA:AB,2,0),"Liberado")</f>
        <v>Liberado</v>
      </c>
      <c r="F65" s="47" t="str">
        <f ca="1">IF(D65&lt;&gt;"",TEXT(TODAY(),"DD.MM.AA"),"")</f>
        <v/>
      </c>
      <c r="G65" s="47" t="str">
        <f>IF(D65=99,"ND","X0")</f>
        <v>X0</v>
      </c>
      <c r="H65" s="47" t="b">
        <f>IF(D65=99,"FALSO",TRUE)</f>
        <v>1</v>
      </c>
      <c r="I65" s="51"/>
      <c r="J65" s="51"/>
      <c r="K65" s="51"/>
      <c r="L65" s="51"/>
      <c r="M65" s="47" t="str">
        <f ca="1">IF(D65=99,"BLOQUEADO POR: "&amp;UPPER(TWUSER())&amp;" - "&amp;TEXT(TODAY(),"DD/MM/AA"),"")</f>
        <v/>
      </c>
      <c r="O65" s="33" t="s">
        <v>98</v>
      </c>
      <c r="P65" s="33" t="s">
        <v>101</v>
      </c>
      <c r="Q65" s="33" t="s">
        <v>109</v>
      </c>
      <c r="R65" s="33" t="s">
        <v>122</v>
      </c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Q65" s="40"/>
    </row>
    <row r="66" spans="1:43" x14ac:dyDescent="0.3">
      <c r="A66" s="7" t="str">
        <f t="shared" si="1"/>
        <v>Execução 62</v>
      </c>
      <c r="B66" s="32"/>
      <c r="C66" s="50"/>
      <c r="D66" s="33"/>
      <c r="E66" s="47" t="str">
        <f>IFERROR(VLOOKUP(D66,'Listas de Dados'!AA:AB,2,0),"Liberado")</f>
        <v>Liberado</v>
      </c>
      <c r="F66" s="47" t="str">
        <f t="shared" ref="F66:F129" ca="1" si="11">IF(D66&lt;&gt;"",TEXT(TODAY(),"DD.MM.AA"),"")</f>
        <v/>
      </c>
      <c r="G66" s="47" t="str">
        <f t="shared" ref="G66:G129" si="12">IF(D66=99,"ND","X0")</f>
        <v>X0</v>
      </c>
      <c r="H66" s="47" t="b">
        <f t="shared" ref="H66:H129" si="13">IF(D66=99,"FALSO",TRUE)</f>
        <v>1</v>
      </c>
      <c r="I66" s="51"/>
      <c r="J66" s="51"/>
      <c r="K66" s="51"/>
      <c r="L66" s="51"/>
      <c r="M66" s="47" t="str">
        <f ca="1">IF(D66=99,"BLOQUEADO POR: "&amp;UPPER(TWUSER())&amp;" - "&amp;TEXT(TODAY(),"DD/MM/AA"),"")</f>
        <v/>
      </c>
      <c r="O66" s="33" t="s">
        <v>98</v>
      </c>
      <c r="P66" s="33" t="s">
        <v>101</v>
      </c>
      <c r="Q66" s="33" t="s">
        <v>109</v>
      </c>
      <c r="R66" s="33" t="s">
        <v>122</v>
      </c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Q66" s="40"/>
    </row>
    <row r="67" spans="1:43" x14ac:dyDescent="0.3">
      <c r="A67" s="7" t="str">
        <f t="shared" si="1"/>
        <v>Execução 63</v>
      </c>
      <c r="B67" s="32"/>
      <c r="C67" s="50"/>
      <c r="D67" s="33"/>
      <c r="E67" s="47" t="str">
        <f>IFERROR(VLOOKUP(D67,'Listas de Dados'!AA:AB,2,0),"Liberado")</f>
        <v>Liberado</v>
      </c>
      <c r="F67" s="47" t="str">
        <f t="shared" ca="1" si="11"/>
        <v/>
      </c>
      <c r="G67" s="47" t="str">
        <f t="shared" si="12"/>
        <v>X0</v>
      </c>
      <c r="H67" s="47" t="b">
        <f t="shared" si="13"/>
        <v>1</v>
      </c>
      <c r="I67" s="51"/>
      <c r="J67" s="51"/>
      <c r="K67" s="51"/>
      <c r="L67" s="51"/>
      <c r="M67" s="47" t="str">
        <f ca="1">IF(D67=99,"BLOQUEADO POR: "&amp;UPPER(TWUSER())&amp;" - "&amp;TEXT(TODAY(),"DD/MM/AA"),"")</f>
        <v/>
      </c>
      <c r="O67" s="33" t="s">
        <v>98</v>
      </c>
      <c r="P67" s="33" t="s">
        <v>101</v>
      </c>
      <c r="Q67" s="33" t="s">
        <v>109</v>
      </c>
      <c r="R67" s="33" t="s">
        <v>122</v>
      </c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Q67" s="40"/>
    </row>
    <row r="68" spans="1:43" x14ac:dyDescent="0.3">
      <c r="A68" s="7" t="str">
        <f t="shared" si="1"/>
        <v>Execução 64</v>
      </c>
      <c r="B68" s="32"/>
      <c r="C68" s="50"/>
      <c r="D68" s="33"/>
      <c r="E68" s="47" t="str">
        <f>IFERROR(VLOOKUP(D68,'Listas de Dados'!AA:AB,2,0),"Liberado")</f>
        <v>Liberado</v>
      </c>
      <c r="F68" s="47" t="str">
        <f t="shared" ca="1" si="11"/>
        <v/>
      </c>
      <c r="G68" s="47" t="str">
        <f t="shared" si="12"/>
        <v>X0</v>
      </c>
      <c r="H68" s="47" t="b">
        <f t="shared" si="13"/>
        <v>1</v>
      </c>
      <c r="I68" s="51"/>
      <c r="J68" s="51"/>
      <c r="K68" s="51"/>
      <c r="L68" s="51"/>
      <c r="M68" s="47" t="str">
        <f ca="1">IF(D68=99,"BLOQUEADO POR: "&amp;UPPER(TWUSER())&amp;" - "&amp;TEXT(TODAY(),"DD/MM/AA"),"")</f>
        <v/>
      </c>
      <c r="O68" s="33" t="s">
        <v>98</v>
      </c>
      <c r="P68" s="33" t="s">
        <v>101</v>
      </c>
      <c r="Q68" s="33" t="s">
        <v>109</v>
      </c>
      <c r="R68" s="33" t="s">
        <v>122</v>
      </c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Q68" s="40"/>
    </row>
    <row r="69" spans="1:43" x14ac:dyDescent="0.3">
      <c r="A69" s="7" t="str">
        <f t="shared" si="1"/>
        <v>Execução 65</v>
      </c>
      <c r="B69" s="32"/>
      <c r="C69" s="50"/>
      <c r="D69" s="33"/>
      <c r="E69" s="47" t="str">
        <f>IFERROR(VLOOKUP(D69,'Listas de Dados'!AA:AB,2,0),"Liberado")</f>
        <v>Liberado</v>
      </c>
      <c r="F69" s="47" t="str">
        <f t="shared" ca="1" si="11"/>
        <v/>
      </c>
      <c r="G69" s="47" t="str">
        <f t="shared" si="12"/>
        <v>X0</v>
      </c>
      <c r="H69" s="47" t="b">
        <f t="shared" si="13"/>
        <v>1</v>
      </c>
      <c r="I69" s="51"/>
      <c r="J69" s="51"/>
      <c r="K69" s="51"/>
      <c r="L69" s="51"/>
      <c r="M69" s="47" t="str">
        <f ca="1">IF(D69=99,"BLOQUEADO POR: "&amp;UPPER(TWUSER())&amp;" - "&amp;TEXT(TODAY(),"DD/MM/AA"),"")</f>
        <v/>
      </c>
      <c r="O69" s="33" t="s">
        <v>98</v>
      </c>
      <c r="P69" s="33" t="s">
        <v>101</v>
      </c>
      <c r="Q69" s="33" t="s">
        <v>109</v>
      </c>
      <c r="R69" s="33" t="s">
        <v>122</v>
      </c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Q69" s="40"/>
    </row>
    <row r="70" spans="1:43" x14ac:dyDescent="0.3">
      <c r="A70" s="7" t="str">
        <f t="shared" ref="A70:A133" si="14">"Execução "&amp;ROW()-4</f>
        <v>Execução 66</v>
      </c>
      <c r="B70" s="32"/>
      <c r="C70" s="50"/>
      <c r="D70" s="33"/>
      <c r="E70" s="47" t="str">
        <f>IFERROR(VLOOKUP(D70,'Listas de Dados'!AA:AB,2,0),"Liberado")</f>
        <v>Liberado</v>
      </c>
      <c r="F70" s="47" t="str">
        <f t="shared" ca="1" si="11"/>
        <v/>
      </c>
      <c r="G70" s="47" t="str">
        <f t="shared" si="12"/>
        <v>X0</v>
      </c>
      <c r="H70" s="47" t="b">
        <f t="shared" si="13"/>
        <v>1</v>
      </c>
      <c r="I70" s="51"/>
      <c r="J70" s="51"/>
      <c r="K70" s="51"/>
      <c r="L70" s="51"/>
      <c r="M70" s="47" t="str">
        <f ca="1">IF(D70=99,"BLOQUEADO POR: "&amp;UPPER(TWUSER())&amp;" - "&amp;TEXT(TODAY(),"DD/MM/AA"),"")</f>
        <v/>
      </c>
      <c r="O70" s="33" t="s">
        <v>98</v>
      </c>
      <c r="P70" s="33" t="s">
        <v>101</v>
      </c>
      <c r="Q70" s="33" t="s">
        <v>109</v>
      </c>
      <c r="R70" s="33" t="s">
        <v>122</v>
      </c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Q70" s="40"/>
    </row>
    <row r="71" spans="1:43" x14ac:dyDescent="0.3">
      <c r="A71" s="7" t="str">
        <f t="shared" si="14"/>
        <v>Execução 67</v>
      </c>
      <c r="B71" s="32"/>
      <c r="C71" s="50"/>
      <c r="D71" s="33"/>
      <c r="E71" s="47" t="str">
        <f>IFERROR(VLOOKUP(D71,'Listas de Dados'!AA:AB,2,0),"Liberado")</f>
        <v>Liberado</v>
      </c>
      <c r="F71" s="47" t="str">
        <f t="shared" ca="1" si="11"/>
        <v/>
      </c>
      <c r="G71" s="47" t="str">
        <f t="shared" si="12"/>
        <v>X0</v>
      </c>
      <c r="H71" s="47" t="b">
        <f t="shared" si="13"/>
        <v>1</v>
      </c>
      <c r="I71" s="51"/>
      <c r="J71" s="51"/>
      <c r="K71" s="51"/>
      <c r="L71" s="51"/>
      <c r="M71" s="47" t="str">
        <f ca="1">IF(D71=99,"BLOQUEADO POR: "&amp;UPPER(TWUSER())&amp;" - "&amp;TEXT(TODAY(),"DD/MM/AA"),"")</f>
        <v/>
      </c>
      <c r="O71" s="33" t="s">
        <v>98</v>
      </c>
      <c r="P71" s="33" t="s">
        <v>101</v>
      </c>
      <c r="Q71" s="33" t="s">
        <v>109</v>
      </c>
      <c r="R71" s="33" t="s">
        <v>122</v>
      </c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Q71" s="40"/>
    </row>
    <row r="72" spans="1:43" x14ac:dyDescent="0.3">
      <c r="A72" s="7" t="str">
        <f t="shared" si="14"/>
        <v>Execução 68</v>
      </c>
      <c r="B72" s="32"/>
      <c r="C72" s="50"/>
      <c r="D72" s="33"/>
      <c r="E72" s="47" t="str">
        <f>IFERROR(VLOOKUP(D72,'Listas de Dados'!AA:AB,2,0),"Liberado")</f>
        <v>Liberado</v>
      </c>
      <c r="F72" s="47" t="str">
        <f t="shared" ca="1" si="11"/>
        <v/>
      </c>
      <c r="G72" s="47" t="str">
        <f t="shared" si="12"/>
        <v>X0</v>
      </c>
      <c r="H72" s="47" t="b">
        <f t="shared" si="13"/>
        <v>1</v>
      </c>
      <c r="I72" s="51"/>
      <c r="J72" s="51"/>
      <c r="K72" s="51"/>
      <c r="L72" s="51"/>
      <c r="M72" s="47" t="str">
        <f ca="1">IF(D72=99,"BLOQUEADO POR: "&amp;UPPER(TWUSER())&amp;" - "&amp;TEXT(TODAY(),"DD/MM/AA"),"")</f>
        <v/>
      </c>
      <c r="O72" s="33" t="s">
        <v>98</v>
      </c>
      <c r="P72" s="33" t="s">
        <v>101</v>
      </c>
      <c r="Q72" s="33" t="s">
        <v>109</v>
      </c>
      <c r="R72" s="33" t="s">
        <v>122</v>
      </c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Q72" s="40"/>
    </row>
    <row r="73" spans="1:43" x14ac:dyDescent="0.3">
      <c r="A73" s="7" t="str">
        <f t="shared" si="14"/>
        <v>Execução 69</v>
      </c>
      <c r="B73" s="32"/>
      <c r="C73" s="50"/>
      <c r="D73" s="33"/>
      <c r="E73" s="47" t="str">
        <f>IFERROR(VLOOKUP(D73,'Listas de Dados'!AA:AB,2,0),"Liberado")</f>
        <v>Liberado</v>
      </c>
      <c r="F73" s="47" t="str">
        <f t="shared" ca="1" si="11"/>
        <v/>
      </c>
      <c r="G73" s="47" t="str">
        <f t="shared" si="12"/>
        <v>X0</v>
      </c>
      <c r="H73" s="47" t="b">
        <f t="shared" si="13"/>
        <v>1</v>
      </c>
      <c r="I73" s="51"/>
      <c r="J73" s="51"/>
      <c r="K73" s="51"/>
      <c r="L73" s="51"/>
      <c r="M73" s="47" t="str">
        <f ca="1">IF(D73=99,"BLOQUEADO POR: "&amp;UPPER(TWUSER())&amp;" - "&amp;TEXT(TODAY(),"DD/MM/AA"),"")</f>
        <v/>
      </c>
      <c r="O73" s="33" t="s">
        <v>98</v>
      </c>
      <c r="P73" s="33" t="s">
        <v>101</v>
      </c>
      <c r="Q73" s="33" t="s">
        <v>109</v>
      </c>
      <c r="R73" s="33" t="s">
        <v>122</v>
      </c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Q73" s="40"/>
    </row>
    <row r="74" spans="1:43" x14ac:dyDescent="0.3">
      <c r="A74" s="7" t="str">
        <f t="shared" si="14"/>
        <v>Execução 70</v>
      </c>
      <c r="B74" s="32"/>
      <c r="C74" s="50"/>
      <c r="D74" s="33"/>
      <c r="E74" s="47" t="str">
        <f>IFERROR(VLOOKUP(D74,'Listas de Dados'!AA:AB,2,0),"Liberado")</f>
        <v>Liberado</v>
      </c>
      <c r="F74" s="47" t="str">
        <f t="shared" ca="1" si="11"/>
        <v/>
      </c>
      <c r="G74" s="47" t="str">
        <f t="shared" si="12"/>
        <v>X0</v>
      </c>
      <c r="H74" s="47" t="b">
        <f t="shared" si="13"/>
        <v>1</v>
      </c>
      <c r="I74" s="51"/>
      <c r="J74" s="51"/>
      <c r="K74" s="51"/>
      <c r="L74" s="51"/>
      <c r="M74" s="47" t="str">
        <f ca="1">IF(D74=99,"BLOQUEADO POR: "&amp;UPPER(TWUSER())&amp;" - "&amp;TEXT(TODAY(),"DD/MM/AA"),"")</f>
        <v/>
      </c>
      <c r="O74" s="33" t="s">
        <v>98</v>
      </c>
      <c r="P74" s="33" t="s">
        <v>101</v>
      </c>
      <c r="Q74" s="33" t="s">
        <v>109</v>
      </c>
      <c r="R74" s="33" t="s">
        <v>122</v>
      </c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Q74" s="40"/>
    </row>
    <row r="75" spans="1:43" x14ac:dyDescent="0.3">
      <c r="A75" s="7" t="str">
        <f t="shared" si="14"/>
        <v>Execução 71</v>
      </c>
      <c r="B75" s="32"/>
      <c r="C75" s="50"/>
      <c r="D75" s="33"/>
      <c r="E75" s="47" t="str">
        <f>IFERROR(VLOOKUP(D75,'Listas de Dados'!AA:AB,2,0),"Liberado")</f>
        <v>Liberado</v>
      </c>
      <c r="F75" s="47" t="str">
        <f t="shared" ca="1" si="11"/>
        <v/>
      </c>
      <c r="G75" s="47" t="str">
        <f t="shared" si="12"/>
        <v>X0</v>
      </c>
      <c r="H75" s="47" t="b">
        <f t="shared" si="13"/>
        <v>1</v>
      </c>
      <c r="I75" s="51"/>
      <c r="J75" s="51"/>
      <c r="K75" s="51"/>
      <c r="L75" s="51"/>
      <c r="M75" s="47" t="str">
        <f ca="1">IF(D75=99,"BLOQUEADO POR: "&amp;UPPER(TWUSER())&amp;" - "&amp;TEXT(TODAY(),"DD/MM/AA"),"")</f>
        <v/>
      </c>
      <c r="O75" s="33" t="s">
        <v>98</v>
      </c>
      <c r="P75" s="33" t="s">
        <v>101</v>
      </c>
      <c r="Q75" s="33" t="s">
        <v>109</v>
      </c>
      <c r="R75" s="33" t="s">
        <v>122</v>
      </c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Q75" s="40"/>
    </row>
    <row r="76" spans="1:43" x14ac:dyDescent="0.3">
      <c r="A76" s="7" t="str">
        <f t="shared" si="14"/>
        <v>Execução 72</v>
      </c>
      <c r="B76" s="32"/>
      <c r="C76" s="50"/>
      <c r="D76" s="33"/>
      <c r="E76" s="47" t="str">
        <f>IFERROR(VLOOKUP(D76,'Listas de Dados'!AA:AB,2,0),"Liberado")</f>
        <v>Liberado</v>
      </c>
      <c r="F76" s="47" t="str">
        <f t="shared" ca="1" si="11"/>
        <v/>
      </c>
      <c r="G76" s="47" t="str">
        <f t="shared" si="12"/>
        <v>X0</v>
      </c>
      <c r="H76" s="47" t="b">
        <f t="shared" si="13"/>
        <v>1</v>
      </c>
      <c r="I76" s="51"/>
      <c r="J76" s="51"/>
      <c r="K76" s="51"/>
      <c r="L76" s="51"/>
      <c r="M76" s="47" t="str">
        <f ca="1">IF(D76=99,"BLOQUEADO POR: "&amp;UPPER(TWUSER())&amp;" - "&amp;TEXT(TODAY(),"DD/MM/AA"),"")</f>
        <v/>
      </c>
      <c r="O76" s="33" t="s">
        <v>98</v>
      </c>
      <c r="P76" s="33" t="s">
        <v>101</v>
      </c>
      <c r="Q76" s="33" t="s">
        <v>109</v>
      </c>
      <c r="R76" s="33" t="s">
        <v>122</v>
      </c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Q76" s="40"/>
    </row>
    <row r="77" spans="1:43" x14ac:dyDescent="0.3">
      <c r="A77" s="7" t="str">
        <f t="shared" si="14"/>
        <v>Execução 73</v>
      </c>
      <c r="B77" s="32"/>
      <c r="C77" s="50"/>
      <c r="D77" s="33"/>
      <c r="E77" s="47" t="str">
        <f>IFERROR(VLOOKUP(D77,'Listas de Dados'!AA:AB,2,0),"Liberado")</f>
        <v>Liberado</v>
      </c>
      <c r="F77" s="47" t="str">
        <f t="shared" ca="1" si="11"/>
        <v/>
      </c>
      <c r="G77" s="47" t="str">
        <f t="shared" si="12"/>
        <v>X0</v>
      </c>
      <c r="H77" s="47" t="b">
        <f t="shared" si="13"/>
        <v>1</v>
      </c>
      <c r="I77" s="51"/>
      <c r="J77" s="51"/>
      <c r="K77" s="51"/>
      <c r="L77" s="51"/>
      <c r="M77" s="47" t="str">
        <f ca="1">IF(D77=99,"BLOQUEADO POR: "&amp;UPPER(TWUSER())&amp;" - "&amp;TEXT(TODAY(),"DD/MM/AA"),"")</f>
        <v/>
      </c>
      <c r="O77" s="33" t="s">
        <v>98</v>
      </c>
      <c r="P77" s="33" t="s">
        <v>101</v>
      </c>
      <c r="Q77" s="33" t="s">
        <v>109</v>
      </c>
      <c r="R77" s="33" t="s">
        <v>122</v>
      </c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Q77" s="40"/>
    </row>
    <row r="78" spans="1:43" x14ac:dyDescent="0.3">
      <c r="A78" s="7" t="str">
        <f t="shared" si="14"/>
        <v>Execução 74</v>
      </c>
      <c r="B78" s="32"/>
      <c r="C78" s="50"/>
      <c r="D78" s="33"/>
      <c r="E78" s="47" t="str">
        <f>IFERROR(VLOOKUP(D78,'Listas de Dados'!AA:AB,2,0),"Liberado")</f>
        <v>Liberado</v>
      </c>
      <c r="F78" s="47" t="str">
        <f t="shared" ca="1" si="11"/>
        <v/>
      </c>
      <c r="G78" s="47" t="str">
        <f t="shared" si="12"/>
        <v>X0</v>
      </c>
      <c r="H78" s="47" t="b">
        <f t="shared" si="13"/>
        <v>1</v>
      </c>
      <c r="I78" s="51"/>
      <c r="J78" s="51"/>
      <c r="K78" s="51"/>
      <c r="L78" s="51"/>
      <c r="M78" s="47" t="str">
        <f ca="1">IF(D78=99,"BLOQUEADO POR: "&amp;UPPER(TWUSER())&amp;" - "&amp;TEXT(TODAY(),"DD/MM/AA"),"")</f>
        <v/>
      </c>
      <c r="O78" s="33" t="s">
        <v>98</v>
      </c>
      <c r="P78" s="33" t="s">
        <v>101</v>
      </c>
      <c r="Q78" s="33" t="s">
        <v>109</v>
      </c>
      <c r="R78" s="33" t="s">
        <v>122</v>
      </c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Q78" s="40"/>
    </row>
    <row r="79" spans="1:43" x14ac:dyDescent="0.3">
      <c r="A79" s="7" t="str">
        <f t="shared" si="14"/>
        <v>Execução 75</v>
      </c>
      <c r="B79" s="32"/>
      <c r="C79" s="50"/>
      <c r="D79" s="33"/>
      <c r="E79" s="47" t="str">
        <f>IFERROR(VLOOKUP(D79,'Listas de Dados'!AA:AB,2,0),"Liberado")</f>
        <v>Liberado</v>
      </c>
      <c r="F79" s="47" t="str">
        <f t="shared" ca="1" si="11"/>
        <v/>
      </c>
      <c r="G79" s="47" t="str">
        <f t="shared" si="12"/>
        <v>X0</v>
      </c>
      <c r="H79" s="47" t="b">
        <f t="shared" si="13"/>
        <v>1</v>
      </c>
      <c r="I79" s="51"/>
      <c r="J79" s="51"/>
      <c r="K79" s="51"/>
      <c r="L79" s="51"/>
      <c r="M79" s="47" t="str">
        <f ca="1">IF(D79=99,"BLOQUEADO POR: "&amp;UPPER(TWUSER())&amp;" - "&amp;TEXT(TODAY(),"DD/MM/AA"),"")</f>
        <v/>
      </c>
      <c r="O79" s="33" t="s">
        <v>98</v>
      </c>
      <c r="P79" s="33" t="s">
        <v>101</v>
      </c>
      <c r="Q79" s="33" t="s">
        <v>109</v>
      </c>
      <c r="R79" s="33" t="s">
        <v>122</v>
      </c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Q79" s="40"/>
    </row>
    <row r="80" spans="1:43" x14ac:dyDescent="0.3">
      <c r="A80" s="7" t="str">
        <f t="shared" si="14"/>
        <v>Execução 76</v>
      </c>
      <c r="B80" s="32"/>
      <c r="C80" s="50"/>
      <c r="D80" s="33"/>
      <c r="E80" s="47" t="str">
        <f>IFERROR(VLOOKUP(D80,'Listas de Dados'!AA:AB,2,0),"Liberado")</f>
        <v>Liberado</v>
      </c>
      <c r="F80" s="47" t="str">
        <f t="shared" ca="1" si="11"/>
        <v/>
      </c>
      <c r="G80" s="47" t="str">
        <f t="shared" si="12"/>
        <v>X0</v>
      </c>
      <c r="H80" s="47" t="b">
        <f t="shared" si="13"/>
        <v>1</v>
      </c>
      <c r="I80" s="51"/>
      <c r="J80" s="51"/>
      <c r="K80" s="51"/>
      <c r="L80" s="51"/>
      <c r="M80" s="47" t="str">
        <f ca="1">IF(D80=99,"BLOQUEADO POR: "&amp;UPPER(TWUSER())&amp;" - "&amp;TEXT(TODAY(),"DD/MM/AA"),"")</f>
        <v/>
      </c>
      <c r="O80" s="33" t="s">
        <v>98</v>
      </c>
      <c r="P80" s="33" t="s">
        <v>101</v>
      </c>
      <c r="Q80" s="33" t="s">
        <v>109</v>
      </c>
      <c r="R80" s="33" t="s">
        <v>122</v>
      </c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Q80" s="40"/>
    </row>
    <row r="81" spans="1:43" x14ac:dyDescent="0.3">
      <c r="A81" s="7" t="str">
        <f t="shared" si="14"/>
        <v>Execução 77</v>
      </c>
      <c r="B81" s="32"/>
      <c r="C81" s="50"/>
      <c r="D81" s="33"/>
      <c r="E81" s="47" t="str">
        <f>IFERROR(VLOOKUP(D81,'Listas de Dados'!AA:AB,2,0),"Liberado")</f>
        <v>Liberado</v>
      </c>
      <c r="F81" s="47" t="str">
        <f t="shared" ca="1" si="11"/>
        <v/>
      </c>
      <c r="G81" s="47" t="str">
        <f t="shared" si="12"/>
        <v>X0</v>
      </c>
      <c r="H81" s="47" t="b">
        <f t="shared" si="13"/>
        <v>1</v>
      </c>
      <c r="I81" s="51"/>
      <c r="J81" s="51"/>
      <c r="K81" s="51"/>
      <c r="L81" s="51"/>
      <c r="M81" s="47" t="str">
        <f ca="1">IF(D81=99,"BLOQUEADO POR: "&amp;UPPER(TWUSER())&amp;" - "&amp;TEXT(TODAY(),"DD/MM/AA"),"")</f>
        <v/>
      </c>
      <c r="O81" s="33" t="s">
        <v>98</v>
      </c>
      <c r="P81" s="33" t="s">
        <v>101</v>
      </c>
      <c r="Q81" s="33" t="s">
        <v>109</v>
      </c>
      <c r="R81" s="33" t="s">
        <v>122</v>
      </c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Q81" s="40"/>
    </row>
    <row r="82" spans="1:43" x14ac:dyDescent="0.3">
      <c r="A82" s="7" t="str">
        <f t="shared" si="14"/>
        <v>Execução 78</v>
      </c>
      <c r="B82" s="32"/>
      <c r="C82" s="50"/>
      <c r="D82" s="33"/>
      <c r="E82" s="47" t="str">
        <f>IFERROR(VLOOKUP(D82,'Listas de Dados'!AA:AB,2,0),"Liberado")</f>
        <v>Liberado</v>
      </c>
      <c r="F82" s="47" t="str">
        <f t="shared" ca="1" si="11"/>
        <v/>
      </c>
      <c r="G82" s="47" t="str">
        <f t="shared" si="12"/>
        <v>X0</v>
      </c>
      <c r="H82" s="47" t="b">
        <f t="shared" si="13"/>
        <v>1</v>
      </c>
      <c r="I82" s="51"/>
      <c r="J82" s="51"/>
      <c r="K82" s="51"/>
      <c r="L82" s="51"/>
      <c r="M82" s="47" t="str">
        <f ca="1">IF(D82=99,"BLOQUEADO POR: "&amp;UPPER(TWUSER())&amp;" - "&amp;TEXT(TODAY(),"DD/MM/AA"),"")</f>
        <v/>
      </c>
      <c r="O82" s="33" t="s">
        <v>98</v>
      </c>
      <c r="P82" s="33" t="s">
        <v>101</v>
      </c>
      <c r="Q82" s="33" t="s">
        <v>109</v>
      </c>
      <c r="R82" s="33" t="s">
        <v>122</v>
      </c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Q82" s="40"/>
    </row>
    <row r="83" spans="1:43" x14ac:dyDescent="0.3">
      <c r="A83" s="7" t="str">
        <f t="shared" si="14"/>
        <v>Execução 79</v>
      </c>
      <c r="B83" s="32"/>
      <c r="C83" s="50"/>
      <c r="D83" s="33"/>
      <c r="E83" s="47" t="str">
        <f>IFERROR(VLOOKUP(D83,'Listas de Dados'!AA:AB,2,0),"Liberado")</f>
        <v>Liberado</v>
      </c>
      <c r="F83" s="47" t="str">
        <f t="shared" ca="1" si="11"/>
        <v/>
      </c>
      <c r="G83" s="47" t="str">
        <f t="shared" si="12"/>
        <v>X0</v>
      </c>
      <c r="H83" s="47" t="b">
        <f t="shared" si="13"/>
        <v>1</v>
      </c>
      <c r="I83" s="51"/>
      <c r="J83" s="51"/>
      <c r="K83" s="51"/>
      <c r="L83" s="51"/>
      <c r="M83" s="47" t="str">
        <f ca="1">IF(D83=99,"BLOQUEADO POR: "&amp;UPPER(TWUSER())&amp;" - "&amp;TEXT(TODAY(),"DD/MM/AA"),"")</f>
        <v/>
      </c>
      <c r="O83" s="33" t="s">
        <v>98</v>
      </c>
      <c r="P83" s="33" t="s">
        <v>101</v>
      </c>
      <c r="Q83" s="33" t="s">
        <v>109</v>
      </c>
      <c r="R83" s="33" t="s">
        <v>122</v>
      </c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Q83" s="40"/>
    </row>
    <row r="84" spans="1:43" x14ac:dyDescent="0.3">
      <c r="A84" s="7" t="str">
        <f t="shared" si="14"/>
        <v>Execução 80</v>
      </c>
      <c r="B84" s="32"/>
      <c r="C84" s="50"/>
      <c r="D84" s="33"/>
      <c r="E84" s="47" t="str">
        <f>IFERROR(VLOOKUP(D84,'Listas de Dados'!AA:AB,2,0),"Liberado")</f>
        <v>Liberado</v>
      </c>
      <c r="F84" s="47" t="str">
        <f t="shared" ca="1" si="11"/>
        <v/>
      </c>
      <c r="G84" s="47" t="str">
        <f t="shared" si="12"/>
        <v>X0</v>
      </c>
      <c r="H84" s="47" t="b">
        <f t="shared" si="13"/>
        <v>1</v>
      </c>
      <c r="I84" s="51"/>
      <c r="J84" s="51"/>
      <c r="K84" s="51"/>
      <c r="L84" s="51"/>
      <c r="M84" s="47" t="str">
        <f ca="1">IF(D84=99,"BLOQUEADO POR: "&amp;UPPER(TWUSER())&amp;" - "&amp;TEXT(TODAY(),"DD/MM/AA"),"")</f>
        <v/>
      </c>
      <c r="O84" s="33" t="s">
        <v>98</v>
      </c>
      <c r="P84" s="33" t="s">
        <v>101</v>
      </c>
      <c r="Q84" s="33" t="s">
        <v>109</v>
      </c>
      <c r="R84" s="33" t="s">
        <v>122</v>
      </c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Q84" s="40"/>
    </row>
    <row r="85" spans="1:43" x14ac:dyDescent="0.3">
      <c r="A85" s="7" t="str">
        <f t="shared" si="14"/>
        <v>Execução 81</v>
      </c>
      <c r="B85" s="32"/>
      <c r="C85" s="50"/>
      <c r="D85" s="33"/>
      <c r="E85" s="47" t="str">
        <f>IFERROR(VLOOKUP(D85,'Listas de Dados'!AA:AB,2,0),"Liberado")</f>
        <v>Liberado</v>
      </c>
      <c r="F85" s="47" t="str">
        <f t="shared" ca="1" si="11"/>
        <v/>
      </c>
      <c r="G85" s="47" t="str">
        <f t="shared" si="12"/>
        <v>X0</v>
      </c>
      <c r="H85" s="47" t="b">
        <f t="shared" si="13"/>
        <v>1</v>
      </c>
      <c r="I85" s="51"/>
      <c r="J85" s="51"/>
      <c r="K85" s="51"/>
      <c r="L85" s="51"/>
      <c r="M85" s="47" t="str">
        <f ca="1">IF(D85=99,"BLOQUEADO POR: "&amp;UPPER(TWUSER())&amp;" - "&amp;TEXT(TODAY(),"DD/MM/AA"),"")</f>
        <v/>
      </c>
      <c r="O85" s="33" t="s">
        <v>98</v>
      </c>
      <c r="P85" s="33" t="s">
        <v>101</v>
      </c>
      <c r="Q85" s="33" t="s">
        <v>109</v>
      </c>
      <c r="R85" s="33" t="s">
        <v>122</v>
      </c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Q85" s="40"/>
    </row>
    <row r="86" spans="1:43" x14ac:dyDescent="0.3">
      <c r="A86" s="7" t="str">
        <f t="shared" si="14"/>
        <v>Execução 82</v>
      </c>
      <c r="B86" s="32"/>
      <c r="C86" s="50"/>
      <c r="D86" s="33"/>
      <c r="E86" s="47" t="str">
        <f>IFERROR(VLOOKUP(D86,'Listas de Dados'!AA:AB,2,0),"Liberado")</f>
        <v>Liberado</v>
      </c>
      <c r="F86" s="47" t="str">
        <f t="shared" ca="1" si="11"/>
        <v/>
      </c>
      <c r="G86" s="47" t="str">
        <f t="shared" si="12"/>
        <v>X0</v>
      </c>
      <c r="H86" s="47" t="b">
        <f t="shared" si="13"/>
        <v>1</v>
      </c>
      <c r="I86" s="51"/>
      <c r="J86" s="51"/>
      <c r="K86" s="51"/>
      <c r="L86" s="51"/>
      <c r="M86" s="47" t="str">
        <f ca="1">IF(D86=99,"BLOQUEADO POR: "&amp;UPPER(TWUSER())&amp;" - "&amp;TEXT(TODAY(),"DD/MM/AA"),"")</f>
        <v/>
      </c>
      <c r="O86" s="33" t="s">
        <v>98</v>
      </c>
      <c r="P86" s="33" t="s">
        <v>101</v>
      </c>
      <c r="Q86" s="33" t="s">
        <v>109</v>
      </c>
      <c r="R86" s="33" t="s">
        <v>122</v>
      </c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Q86" s="40"/>
    </row>
    <row r="87" spans="1:43" x14ac:dyDescent="0.3">
      <c r="A87" s="7" t="str">
        <f t="shared" si="14"/>
        <v>Execução 83</v>
      </c>
      <c r="B87" s="32"/>
      <c r="C87" s="50"/>
      <c r="D87" s="33"/>
      <c r="E87" s="47" t="str">
        <f>IFERROR(VLOOKUP(D87,'Listas de Dados'!AA:AB,2,0),"Liberado")</f>
        <v>Liberado</v>
      </c>
      <c r="F87" s="47" t="str">
        <f t="shared" ca="1" si="11"/>
        <v/>
      </c>
      <c r="G87" s="47" t="str">
        <f t="shared" si="12"/>
        <v>X0</v>
      </c>
      <c r="H87" s="47" t="b">
        <f t="shared" si="13"/>
        <v>1</v>
      </c>
      <c r="I87" s="51"/>
      <c r="J87" s="51"/>
      <c r="K87" s="51"/>
      <c r="L87" s="51"/>
      <c r="M87" s="47" t="str">
        <f ca="1">IF(D87=99,"BLOQUEADO POR: "&amp;UPPER(TWUSER())&amp;" - "&amp;TEXT(TODAY(),"DD/MM/AA"),"")</f>
        <v/>
      </c>
      <c r="O87" s="33" t="s">
        <v>98</v>
      </c>
      <c r="P87" s="33" t="s">
        <v>101</v>
      </c>
      <c r="Q87" s="33" t="s">
        <v>109</v>
      </c>
      <c r="R87" s="33" t="s">
        <v>122</v>
      </c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Q87" s="40"/>
    </row>
    <row r="88" spans="1:43" x14ac:dyDescent="0.3">
      <c r="A88" s="7" t="str">
        <f t="shared" si="14"/>
        <v>Execução 84</v>
      </c>
      <c r="B88" s="32"/>
      <c r="C88" s="50"/>
      <c r="D88" s="33"/>
      <c r="E88" s="47" t="str">
        <f>IFERROR(VLOOKUP(D88,'Listas de Dados'!AA:AB,2,0),"Liberado")</f>
        <v>Liberado</v>
      </c>
      <c r="F88" s="47" t="str">
        <f t="shared" ca="1" si="11"/>
        <v/>
      </c>
      <c r="G88" s="47" t="str">
        <f t="shared" si="12"/>
        <v>X0</v>
      </c>
      <c r="H88" s="47" t="b">
        <f t="shared" si="13"/>
        <v>1</v>
      </c>
      <c r="I88" s="51"/>
      <c r="J88" s="51"/>
      <c r="K88" s="51"/>
      <c r="L88" s="51"/>
      <c r="M88" s="47" t="str">
        <f ca="1">IF(D88=99,"BLOQUEADO POR: "&amp;UPPER(TWUSER())&amp;" - "&amp;TEXT(TODAY(),"DD/MM/AA"),"")</f>
        <v/>
      </c>
      <c r="O88" s="33" t="s">
        <v>98</v>
      </c>
      <c r="P88" s="33" t="s">
        <v>101</v>
      </c>
      <c r="Q88" s="33" t="s">
        <v>109</v>
      </c>
      <c r="R88" s="33" t="s">
        <v>122</v>
      </c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Q88" s="40"/>
    </row>
    <row r="89" spans="1:43" x14ac:dyDescent="0.3">
      <c r="A89" s="7" t="str">
        <f t="shared" si="14"/>
        <v>Execução 85</v>
      </c>
      <c r="B89" s="32"/>
      <c r="C89" s="50"/>
      <c r="D89" s="33"/>
      <c r="E89" s="47" t="str">
        <f>IFERROR(VLOOKUP(D89,'Listas de Dados'!AA:AB,2,0),"Liberado")</f>
        <v>Liberado</v>
      </c>
      <c r="F89" s="47" t="str">
        <f t="shared" ca="1" si="11"/>
        <v/>
      </c>
      <c r="G89" s="47" t="str">
        <f t="shared" si="12"/>
        <v>X0</v>
      </c>
      <c r="H89" s="47" t="b">
        <f t="shared" si="13"/>
        <v>1</v>
      </c>
      <c r="I89" s="51"/>
      <c r="J89" s="51"/>
      <c r="K89" s="51"/>
      <c r="L89" s="51"/>
      <c r="M89" s="47" t="str">
        <f ca="1">IF(D89=99,"BLOQUEADO POR: "&amp;UPPER(TWUSER())&amp;" - "&amp;TEXT(TODAY(),"DD/MM/AA"),"")</f>
        <v/>
      </c>
      <c r="O89" s="33" t="s">
        <v>98</v>
      </c>
      <c r="P89" s="33" t="s">
        <v>101</v>
      </c>
      <c r="Q89" s="33" t="s">
        <v>109</v>
      </c>
      <c r="R89" s="33" t="s">
        <v>122</v>
      </c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Q89" s="40"/>
    </row>
    <row r="90" spans="1:43" x14ac:dyDescent="0.3">
      <c r="A90" s="7" t="str">
        <f t="shared" si="14"/>
        <v>Execução 86</v>
      </c>
      <c r="B90" s="32"/>
      <c r="C90" s="50"/>
      <c r="D90" s="33"/>
      <c r="E90" s="47" t="str">
        <f>IFERROR(VLOOKUP(D90,'Listas de Dados'!AA:AB,2,0),"Liberado")</f>
        <v>Liberado</v>
      </c>
      <c r="F90" s="47" t="str">
        <f t="shared" ca="1" si="11"/>
        <v/>
      </c>
      <c r="G90" s="47" t="str">
        <f t="shared" si="12"/>
        <v>X0</v>
      </c>
      <c r="H90" s="47" t="b">
        <f t="shared" si="13"/>
        <v>1</v>
      </c>
      <c r="I90" s="51"/>
      <c r="J90" s="51"/>
      <c r="K90" s="51"/>
      <c r="L90" s="51"/>
      <c r="M90" s="47" t="str">
        <f ca="1">IF(D90=99,"BLOQUEADO POR: "&amp;UPPER(TWUSER())&amp;" - "&amp;TEXT(TODAY(),"DD/MM/AA"),"")</f>
        <v/>
      </c>
      <c r="O90" s="33" t="s">
        <v>98</v>
      </c>
      <c r="P90" s="33" t="s">
        <v>101</v>
      </c>
      <c r="Q90" s="33" t="s">
        <v>109</v>
      </c>
      <c r="R90" s="33" t="s">
        <v>122</v>
      </c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Q90" s="40"/>
    </row>
    <row r="91" spans="1:43" x14ac:dyDescent="0.3">
      <c r="A91" s="7" t="str">
        <f t="shared" si="14"/>
        <v>Execução 87</v>
      </c>
      <c r="B91" s="32"/>
      <c r="C91" s="50"/>
      <c r="D91" s="33"/>
      <c r="E91" s="47" t="str">
        <f>IFERROR(VLOOKUP(D91,'Listas de Dados'!AA:AB,2,0),"Liberado")</f>
        <v>Liberado</v>
      </c>
      <c r="F91" s="47" t="str">
        <f t="shared" ca="1" si="11"/>
        <v/>
      </c>
      <c r="G91" s="47" t="str">
        <f t="shared" si="12"/>
        <v>X0</v>
      </c>
      <c r="H91" s="47" t="b">
        <f t="shared" si="13"/>
        <v>1</v>
      </c>
      <c r="I91" s="51"/>
      <c r="J91" s="51"/>
      <c r="K91" s="51"/>
      <c r="L91" s="51"/>
      <c r="M91" s="47" t="str">
        <f ca="1">IF(D91=99,"BLOQUEADO POR: "&amp;UPPER(TWUSER())&amp;" - "&amp;TEXT(TODAY(),"DD/MM/AA"),"")</f>
        <v/>
      </c>
      <c r="O91" s="33" t="s">
        <v>98</v>
      </c>
      <c r="P91" s="33" t="s">
        <v>101</v>
      </c>
      <c r="Q91" s="33" t="s">
        <v>109</v>
      </c>
      <c r="R91" s="33" t="s">
        <v>122</v>
      </c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Q91" s="40"/>
    </row>
    <row r="92" spans="1:43" x14ac:dyDescent="0.3">
      <c r="A92" s="7" t="str">
        <f t="shared" si="14"/>
        <v>Execução 88</v>
      </c>
      <c r="B92" s="32"/>
      <c r="C92" s="50"/>
      <c r="D92" s="33"/>
      <c r="E92" s="47" t="str">
        <f>IFERROR(VLOOKUP(D92,'Listas de Dados'!AA:AB,2,0),"Liberado")</f>
        <v>Liberado</v>
      </c>
      <c r="F92" s="47" t="str">
        <f t="shared" ca="1" si="11"/>
        <v/>
      </c>
      <c r="G92" s="47" t="str">
        <f t="shared" si="12"/>
        <v>X0</v>
      </c>
      <c r="H92" s="47" t="b">
        <f t="shared" si="13"/>
        <v>1</v>
      </c>
      <c r="I92" s="51"/>
      <c r="J92" s="51"/>
      <c r="K92" s="51"/>
      <c r="L92" s="51"/>
      <c r="M92" s="47" t="str">
        <f ca="1">IF(D92=99,"BLOQUEADO POR: "&amp;UPPER(TWUSER())&amp;" - "&amp;TEXT(TODAY(),"DD/MM/AA"),"")</f>
        <v/>
      </c>
      <c r="O92" s="33" t="s">
        <v>98</v>
      </c>
      <c r="P92" s="33" t="s">
        <v>101</v>
      </c>
      <c r="Q92" s="33" t="s">
        <v>109</v>
      </c>
      <c r="R92" s="33" t="s">
        <v>122</v>
      </c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Q92" s="40"/>
    </row>
    <row r="93" spans="1:43" x14ac:dyDescent="0.3">
      <c r="A93" s="7" t="str">
        <f t="shared" si="14"/>
        <v>Execução 89</v>
      </c>
      <c r="B93" s="32"/>
      <c r="C93" s="50"/>
      <c r="D93" s="33"/>
      <c r="E93" s="47" t="str">
        <f>IFERROR(VLOOKUP(D93,'Listas de Dados'!AA:AB,2,0),"Liberado")</f>
        <v>Liberado</v>
      </c>
      <c r="F93" s="47" t="str">
        <f t="shared" ca="1" si="11"/>
        <v/>
      </c>
      <c r="G93" s="47" t="str">
        <f t="shared" si="12"/>
        <v>X0</v>
      </c>
      <c r="H93" s="47" t="b">
        <f t="shared" si="13"/>
        <v>1</v>
      </c>
      <c r="I93" s="51"/>
      <c r="J93" s="51"/>
      <c r="K93" s="51"/>
      <c r="L93" s="51"/>
      <c r="M93" s="47" t="str">
        <f ca="1">IF(D93=99,"BLOQUEADO POR: "&amp;UPPER(TWUSER())&amp;" - "&amp;TEXT(TODAY(),"DD/MM/AA"),"")</f>
        <v/>
      </c>
      <c r="O93" s="33" t="s">
        <v>98</v>
      </c>
      <c r="P93" s="33" t="s">
        <v>101</v>
      </c>
      <c r="Q93" s="33" t="s">
        <v>109</v>
      </c>
      <c r="R93" s="33" t="s">
        <v>122</v>
      </c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Q93" s="40"/>
    </row>
    <row r="94" spans="1:43" x14ac:dyDescent="0.3">
      <c r="A94" s="7" t="str">
        <f t="shared" si="14"/>
        <v>Execução 90</v>
      </c>
      <c r="B94" s="32"/>
      <c r="C94" s="50"/>
      <c r="D94" s="33"/>
      <c r="E94" s="47" t="str">
        <f>IFERROR(VLOOKUP(D94,'Listas de Dados'!AA:AB,2,0),"Liberado")</f>
        <v>Liberado</v>
      </c>
      <c r="F94" s="47" t="str">
        <f t="shared" ca="1" si="11"/>
        <v/>
      </c>
      <c r="G94" s="47" t="str">
        <f t="shared" si="12"/>
        <v>X0</v>
      </c>
      <c r="H94" s="47" t="b">
        <f t="shared" si="13"/>
        <v>1</v>
      </c>
      <c r="I94" s="51"/>
      <c r="J94" s="51"/>
      <c r="K94" s="51"/>
      <c r="L94" s="51"/>
      <c r="M94" s="47" t="str">
        <f ca="1">IF(D94=99,"BLOQUEADO POR: "&amp;UPPER(TWUSER())&amp;" - "&amp;TEXT(TODAY(),"DD/MM/AA"),"")</f>
        <v/>
      </c>
      <c r="O94" s="33" t="s">
        <v>98</v>
      </c>
      <c r="P94" s="33" t="s">
        <v>101</v>
      </c>
      <c r="Q94" s="33" t="s">
        <v>109</v>
      </c>
      <c r="R94" s="33" t="s">
        <v>122</v>
      </c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Q94" s="40"/>
    </row>
    <row r="95" spans="1:43" x14ac:dyDescent="0.3">
      <c r="A95" s="7" t="str">
        <f t="shared" si="14"/>
        <v>Execução 91</v>
      </c>
      <c r="B95" s="32"/>
      <c r="C95" s="50"/>
      <c r="D95" s="33"/>
      <c r="E95" s="47" t="str">
        <f>IFERROR(VLOOKUP(D95,'Listas de Dados'!AA:AB,2,0),"Liberado")</f>
        <v>Liberado</v>
      </c>
      <c r="F95" s="47" t="str">
        <f t="shared" ca="1" si="11"/>
        <v/>
      </c>
      <c r="G95" s="47" t="str">
        <f t="shared" si="12"/>
        <v>X0</v>
      </c>
      <c r="H95" s="47" t="b">
        <f t="shared" si="13"/>
        <v>1</v>
      </c>
      <c r="I95" s="51"/>
      <c r="J95" s="51"/>
      <c r="K95" s="51"/>
      <c r="L95" s="51"/>
      <c r="M95" s="47" t="str">
        <f ca="1">IF(D95=99,"BLOQUEADO POR: "&amp;UPPER(TWUSER())&amp;" - "&amp;TEXT(TODAY(),"DD/MM/AA"),"")</f>
        <v/>
      </c>
      <c r="O95" s="33" t="s">
        <v>98</v>
      </c>
      <c r="P95" s="33" t="s">
        <v>101</v>
      </c>
      <c r="Q95" s="33" t="s">
        <v>109</v>
      </c>
      <c r="R95" s="33" t="s">
        <v>122</v>
      </c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Q95" s="40"/>
    </row>
    <row r="96" spans="1:43" x14ac:dyDescent="0.3">
      <c r="A96" s="7" t="str">
        <f t="shared" si="14"/>
        <v>Execução 92</v>
      </c>
      <c r="B96" s="32"/>
      <c r="C96" s="50"/>
      <c r="D96" s="33"/>
      <c r="E96" s="47" t="str">
        <f>IFERROR(VLOOKUP(D96,'Listas de Dados'!AA:AB,2,0),"Liberado")</f>
        <v>Liberado</v>
      </c>
      <c r="F96" s="47" t="str">
        <f t="shared" ca="1" si="11"/>
        <v/>
      </c>
      <c r="G96" s="47" t="str">
        <f t="shared" si="12"/>
        <v>X0</v>
      </c>
      <c r="H96" s="47" t="b">
        <f t="shared" si="13"/>
        <v>1</v>
      </c>
      <c r="I96" s="51"/>
      <c r="J96" s="51"/>
      <c r="K96" s="51"/>
      <c r="L96" s="51"/>
      <c r="M96" s="47" t="str">
        <f ca="1">IF(D96=99,"BLOQUEADO POR: "&amp;UPPER(TWUSER())&amp;" - "&amp;TEXT(TODAY(),"DD/MM/AA"),"")</f>
        <v/>
      </c>
      <c r="O96" s="33" t="s">
        <v>98</v>
      </c>
      <c r="P96" s="33" t="s">
        <v>101</v>
      </c>
      <c r="Q96" s="33" t="s">
        <v>109</v>
      </c>
      <c r="R96" s="33" t="s">
        <v>122</v>
      </c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Q96" s="40"/>
    </row>
    <row r="97" spans="1:43" x14ac:dyDescent="0.3">
      <c r="A97" s="7" t="str">
        <f t="shared" si="14"/>
        <v>Execução 93</v>
      </c>
      <c r="B97" s="32"/>
      <c r="C97" s="50"/>
      <c r="D97" s="33"/>
      <c r="E97" s="47" t="str">
        <f>IFERROR(VLOOKUP(D97,'Listas de Dados'!AA:AB,2,0),"Liberado")</f>
        <v>Liberado</v>
      </c>
      <c r="F97" s="47" t="str">
        <f t="shared" ca="1" si="11"/>
        <v/>
      </c>
      <c r="G97" s="47" t="str">
        <f t="shared" si="12"/>
        <v>X0</v>
      </c>
      <c r="H97" s="47" t="b">
        <f t="shared" si="13"/>
        <v>1</v>
      </c>
      <c r="I97" s="51"/>
      <c r="J97" s="51"/>
      <c r="K97" s="51"/>
      <c r="L97" s="51"/>
      <c r="M97" s="47" t="str">
        <f ca="1">IF(D97=99,"BLOQUEADO POR: "&amp;UPPER(TWUSER())&amp;" - "&amp;TEXT(TODAY(),"DD/MM/AA"),"")</f>
        <v/>
      </c>
      <c r="O97" s="33" t="s">
        <v>98</v>
      </c>
      <c r="P97" s="33" t="s">
        <v>101</v>
      </c>
      <c r="Q97" s="33" t="s">
        <v>109</v>
      </c>
      <c r="R97" s="33" t="s">
        <v>122</v>
      </c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Q97" s="40"/>
    </row>
    <row r="98" spans="1:43" x14ac:dyDescent="0.3">
      <c r="A98" s="7" t="str">
        <f t="shared" si="14"/>
        <v>Execução 94</v>
      </c>
      <c r="B98" s="32"/>
      <c r="C98" s="50"/>
      <c r="D98" s="33"/>
      <c r="E98" s="47" t="str">
        <f>IFERROR(VLOOKUP(D98,'Listas de Dados'!AA:AB,2,0),"Liberado")</f>
        <v>Liberado</v>
      </c>
      <c r="F98" s="47" t="str">
        <f t="shared" ca="1" si="11"/>
        <v/>
      </c>
      <c r="G98" s="47" t="str">
        <f t="shared" si="12"/>
        <v>X0</v>
      </c>
      <c r="H98" s="47" t="b">
        <f t="shared" si="13"/>
        <v>1</v>
      </c>
      <c r="I98" s="51"/>
      <c r="J98" s="51"/>
      <c r="K98" s="51"/>
      <c r="L98" s="51"/>
      <c r="M98" s="47" t="str">
        <f ca="1">IF(D98=99,"BLOQUEADO POR: "&amp;UPPER(TWUSER())&amp;" - "&amp;TEXT(TODAY(),"DD/MM/AA"),"")</f>
        <v/>
      </c>
      <c r="O98" s="33" t="s">
        <v>98</v>
      </c>
      <c r="P98" s="33" t="s">
        <v>101</v>
      </c>
      <c r="Q98" s="33" t="s">
        <v>109</v>
      </c>
      <c r="R98" s="33" t="s">
        <v>122</v>
      </c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Q98" s="40"/>
    </row>
    <row r="99" spans="1:43" x14ac:dyDescent="0.3">
      <c r="A99" s="7" t="str">
        <f t="shared" si="14"/>
        <v>Execução 95</v>
      </c>
      <c r="B99" s="32"/>
      <c r="C99" s="50"/>
      <c r="D99" s="33"/>
      <c r="E99" s="47" t="str">
        <f>IFERROR(VLOOKUP(D99,'Listas de Dados'!AA:AB,2,0),"Liberado")</f>
        <v>Liberado</v>
      </c>
      <c r="F99" s="47" t="str">
        <f t="shared" ca="1" si="11"/>
        <v/>
      </c>
      <c r="G99" s="47" t="str">
        <f t="shared" si="12"/>
        <v>X0</v>
      </c>
      <c r="H99" s="47" t="b">
        <f t="shared" si="13"/>
        <v>1</v>
      </c>
      <c r="I99" s="51"/>
      <c r="J99" s="51"/>
      <c r="K99" s="51"/>
      <c r="L99" s="51"/>
      <c r="M99" s="47" t="str">
        <f ca="1">IF(D99=99,"BLOQUEADO POR: "&amp;UPPER(TWUSER())&amp;" - "&amp;TEXT(TODAY(),"DD/MM/AA"),"")</f>
        <v/>
      </c>
      <c r="O99" s="33" t="s">
        <v>98</v>
      </c>
      <c r="P99" s="33" t="s">
        <v>101</v>
      </c>
      <c r="Q99" s="33" t="s">
        <v>109</v>
      </c>
      <c r="R99" s="33" t="s">
        <v>122</v>
      </c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Q99" s="40"/>
    </row>
    <row r="100" spans="1:43" x14ac:dyDescent="0.3">
      <c r="A100" s="7" t="str">
        <f t="shared" si="14"/>
        <v>Execução 96</v>
      </c>
      <c r="B100" s="32"/>
      <c r="C100" s="50"/>
      <c r="D100" s="33"/>
      <c r="E100" s="47" t="str">
        <f>IFERROR(VLOOKUP(D100,'Listas de Dados'!AA:AB,2,0),"Liberado")</f>
        <v>Liberado</v>
      </c>
      <c r="F100" s="47" t="str">
        <f t="shared" ca="1" si="11"/>
        <v/>
      </c>
      <c r="G100" s="47" t="str">
        <f t="shared" si="12"/>
        <v>X0</v>
      </c>
      <c r="H100" s="47" t="b">
        <f t="shared" si="13"/>
        <v>1</v>
      </c>
      <c r="I100" s="51"/>
      <c r="J100" s="51"/>
      <c r="K100" s="51"/>
      <c r="L100" s="51"/>
      <c r="M100" s="47" t="str">
        <f ca="1">IF(D100=99,"BLOQUEADO POR: "&amp;UPPER(TWUSER())&amp;" - "&amp;TEXT(TODAY(),"DD/MM/AA"),"")</f>
        <v/>
      </c>
      <c r="O100" s="33" t="s">
        <v>98</v>
      </c>
      <c r="P100" s="33" t="s">
        <v>101</v>
      </c>
      <c r="Q100" s="33" t="s">
        <v>109</v>
      </c>
      <c r="R100" s="33" t="s">
        <v>122</v>
      </c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Q100" s="40"/>
    </row>
    <row r="101" spans="1:43" x14ac:dyDescent="0.3">
      <c r="A101" s="7" t="str">
        <f t="shared" si="14"/>
        <v>Execução 97</v>
      </c>
      <c r="B101" s="32"/>
      <c r="C101" s="50"/>
      <c r="D101" s="33"/>
      <c r="E101" s="47" t="str">
        <f>IFERROR(VLOOKUP(D101,'Listas de Dados'!AA:AB,2,0),"Liberado")</f>
        <v>Liberado</v>
      </c>
      <c r="F101" s="47" t="str">
        <f t="shared" ca="1" si="11"/>
        <v/>
      </c>
      <c r="G101" s="47" t="str">
        <f t="shared" si="12"/>
        <v>X0</v>
      </c>
      <c r="H101" s="47" t="b">
        <f t="shared" si="13"/>
        <v>1</v>
      </c>
      <c r="I101" s="51"/>
      <c r="J101" s="51"/>
      <c r="K101" s="51"/>
      <c r="L101" s="51"/>
      <c r="M101" s="47" t="str">
        <f ca="1">IF(D101=99,"BLOQUEADO POR: "&amp;UPPER(TWUSER())&amp;" - "&amp;TEXT(TODAY(),"DD/MM/AA"),"")</f>
        <v/>
      </c>
      <c r="O101" s="33" t="s">
        <v>98</v>
      </c>
      <c r="P101" s="33" t="s">
        <v>101</v>
      </c>
      <c r="Q101" s="33" t="s">
        <v>109</v>
      </c>
      <c r="R101" s="33" t="s">
        <v>122</v>
      </c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Q101" s="40"/>
    </row>
    <row r="102" spans="1:43" x14ac:dyDescent="0.3">
      <c r="A102" s="7" t="str">
        <f t="shared" si="14"/>
        <v>Execução 98</v>
      </c>
      <c r="B102" s="32"/>
      <c r="C102" s="50"/>
      <c r="D102" s="33"/>
      <c r="E102" s="47" t="str">
        <f>IFERROR(VLOOKUP(D102,'Listas de Dados'!AA:AB,2,0),"Liberado")</f>
        <v>Liberado</v>
      </c>
      <c r="F102" s="47" t="str">
        <f t="shared" ca="1" si="11"/>
        <v/>
      </c>
      <c r="G102" s="47" t="str">
        <f t="shared" si="12"/>
        <v>X0</v>
      </c>
      <c r="H102" s="47" t="b">
        <f t="shared" si="13"/>
        <v>1</v>
      </c>
      <c r="I102" s="51"/>
      <c r="J102" s="51"/>
      <c r="K102" s="51"/>
      <c r="L102" s="51"/>
      <c r="M102" s="47" t="str">
        <f ca="1">IF(D102=99,"BLOQUEADO POR: "&amp;UPPER(TWUSER())&amp;" - "&amp;TEXT(TODAY(),"DD/MM/AA"),"")</f>
        <v/>
      </c>
      <c r="O102" s="33" t="s">
        <v>98</v>
      </c>
      <c r="P102" s="33" t="s">
        <v>101</v>
      </c>
      <c r="Q102" s="33" t="s">
        <v>109</v>
      </c>
      <c r="R102" s="33" t="s">
        <v>122</v>
      </c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Q102" s="40"/>
    </row>
    <row r="103" spans="1:43" x14ac:dyDescent="0.3">
      <c r="A103" s="7" t="str">
        <f t="shared" si="14"/>
        <v>Execução 99</v>
      </c>
      <c r="B103" s="32"/>
      <c r="C103" s="50"/>
      <c r="D103" s="33"/>
      <c r="E103" s="47" t="str">
        <f>IFERROR(VLOOKUP(D103,'Listas de Dados'!AA:AB,2,0),"Liberado")</f>
        <v>Liberado</v>
      </c>
      <c r="F103" s="47" t="str">
        <f t="shared" ca="1" si="11"/>
        <v/>
      </c>
      <c r="G103" s="47" t="str">
        <f t="shared" si="12"/>
        <v>X0</v>
      </c>
      <c r="H103" s="47" t="b">
        <f t="shared" si="13"/>
        <v>1</v>
      </c>
      <c r="I103" s="51"/>
      <c r="J103" s="51"/>
      <c r="K103" s="51"/>
      <c r="L103" s="51"/>
      <c r="M103" s="47" t="str">
        <f ca="1">IF(D103=99,"BLOQUEADO POR: "&amp;UPPER(TWUSER())&amp;" - "&amp;TEXT(TODAY(),"DD/MM/AA"),"")</f>
        <v/>
      </c>
      <c r="O103" s="33" t="s">
        <v>98</v>
      </c>
      <c r="P103" s="33" t="s">
        <v>101</v>
      </c>
      <c r="Q103" s="33" t="s">
        <v>109</v>
      </c>
      <c r="R103" s="33" t="s">
        <v>122</v>
      </c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Q103" s="40"/>
    </row>
    <row r="104" spans="1:43" x14ac:dyDescent="0.3">
      <c r="A104" s="7" t="str">
        <f t="shared" si="14"/>
        <v>Execução 100</v>
      </c>
      <c r="B104" s="32"/>
      <c r="C104" s="50"/>
      <c r="D104" s="33"/>
      <c r="E104" s="47" t="str">
        <f>IFERROR(VLOOKUP(D104,'Listas de Dados'!AA:AB,2,0),"Liberado")</f>
        <v>Liberado</v>
      </c>
      <c r="F104" s="47" t="str">
        <f t="shared" ca="1" si="11"/>
        <v/>
      </c>
      <c r="G104" s="47" t="str">
        <f t="shared" si="12"/>
        <v>X0</v>
      </c>
      <c r="H104" s="47" t="b">
        <f t="shared" si="13"/>
        <v>1</v>
      </c>
      <c r="I104" s="51"/>
      <c r="J104" s="51"/>
      <c r="K104" s="51"/>
      <c r="L104" s="51"/>
      <c r="M104" s="47" t="str">
        <f ca="1">IF(D104=99,"BLOQUEADO POR: "&amp;UPPER(TWUSER())&amp;" - "&amp;TEXT(TODAY(),"DD/MM/AA"),"")</f>
        <v/>
      </c>
      <c r="O104" s="33" t="s">
        <v>98</v>
      </c>
      <c r="P104" s="33" t="s">
        <v>101</v>
      </c>
      <c r="Q104" s="33" t="s">
        <v>109</v>
      </c>
      <c r="R104" s="33" t="s">
        <v>122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Q104" s="40"/>
    </row>
    <row r="105" spans="1:43" x14ac:dyDescent="0.3">
      <c r="A105" s="7" t="str">
        <f t="shared" si="14"/>
        <v>Execução 101</v>
      </c>
      <c r="B105" s="32"/>
      <c r="C105" s="50"/>
      <c r="D105" s="33"/>
      <c r="E105" s="47" t="str">
        <f>IFERROR(VLOOKUP(D105,'Listas de Dados'!AA:AB,2,0),"Liberado")</f>
        <v>Liberado</v>
      </c>
      <c r="F105" s="47" t="str">
        <f t="shared" ca="1" si="11"/>
        <v/>
      </c>
      <c r="G105" s="47" t="str">
        <f t="shared" si="12"/>
        <v>X0</v>
      </c>
      <c r="H105" s="47" t="b">
        <f t="shared" si="13"/>
        <v>1</v>
      </c>
      <c r="I105" s="51"/>
      <c r="J105" s="51"/>
      <c r="K105" s="51"/>
      <c r="L105" s="51"/>
      <c r="M105" s="47" t="str">
        <f ca="1">IF(D105=99,"BLOQUEADO POR: "&amp;UPPER(TWUSER())&amp;" - "&amp;TEXT(TODAY(),"DD/MM/AA"),"")</f>
        <v/>
      </c>
      <c r="O105" s="33" t="s">
        <v>98</v>
      </c>
      <c r="P105" s="33" t="s">
        <v>101</v>
      </c>
      <c r="Q105" s="33" t="s">
        <v>109</v>
      </c>
      <c r="R105" s="33" t="s">
        <v>122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Q105" s="40"/>
    </row>
    <row r="106" spans="1:43" x14ac:dyDescent="0.3">
      <c r="A106" s="7" t="str">
        <f t="shared" si="14"/>
        <v>Execução 102</v>
      </c>
      <c r="B106" s="32"/>
      <c r="C106" s="50"/>
      <c r="D106" s="33"/>
      <c r="E106" s="47" t="str">
        <f>IFERROR(VLOOKUP(D106,'Listas de Dados'!AA:AB,2,0),"Liberado")</f>
        <v>Liberado</v>
      </c>
      <c r="F106" s="47" t="str">
        <f t="shared" ca="1" si="11"/>
        <v/>
      </c>
      <c r="G106" s="47" t="str">
        <f t="shared" si="12"/>
        <v>X0</v>
      </c>
      <c r="H106" s="47" t="b">
        <f t="shared" si="13"/>
        <v>1</v>
      </c>
      <c r="I106" s="51"/>
      <c r="J106" s="51"/>
      <c r="K106" s="51"/>
      <c r="L106" s="51"/>
      <c r="M106" s="47" t="str">
        <f ca="1">IF(D106=99,"BLOQUEADO POR: "&amp;UPPER(TWUSER())&amp;" - "&amp;TEXT(TODAY(),"DD/MM/AA"),"")</f>
        <v/>
      </c>
      <c r="O106" s="33" t="s">
        <v>98</v>
      </c>
      <c r="P106" s="33" t="s">
        <v>101</v>
      </c>
      <c r="Q106" s="33" t="s">
        <v>109</v>
      </c>
      <c r="R106" s="33" t="s">
        <v>122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Q106" s="40"/>
    </row>
    <row r="107" spans="1:43" x14ac:dyDescent="0.3">
      <c r="A107" s="7" t="str">
        <f t="shared" si="14"/>
        <v>Execução 103</v>
      </c>
      <c r="B107" s="32"/>
      <c r="C107" s="50"/>
      <c r="D107" s="33"/>
      <c r="E107" s="47" t="str">
        <f>IFERROR(VLOOKUP(D107,'Listas de Dados'!AA:AB,2,0),"Liberado")</f>
        <v>Liberado</v>
      </c>
      <c r="F107" s="47" t="str">
        <f t="shared" ca="1" si="11"/>
        <v/>
      </c>
      <c r="G107" s="47" t="str">
        <f t="shared" si="12"/>
        <v>X0</v>
      </c>
      <c r="H107" s="47" t="b">
        <f t="shared" si="13"/>
        <v>1</v>
      </c>
      <c r="I107" s="51"/>
      <c r="J107" s="51"/>
      <c r="K107" s="51"/>
      <c r="L107" s="51"/>
      <c r="M107" s="47" t="str">
        <f ca="1">IF(D107=99,"BLOQUEADO POR: "&amp;UPPER(TWUSER())&amp;" - "&amp;TEXT(TODAY(),"DD/MM/AA"),"")</f>
        <v/>
      </c>
      <c r="O107" s="33" t="s">
        <v>98</v>
      </c>
      <c r="P107" s="33" t="s">
        <v>101</v>
      </c>
      <c r="Q107" s="33" t="s">
        <v>109</v>
      </c>
      <c r="R107" s="33" t="s">
        <v>122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Q107" s="40"/>
    </row>
    <row r="108" spans="1:43" x14ac:dyDescent="0.3">
      <c r="A108" s="7" t="str">
        <f t="shared" si="14"/>
        <v>Execução 104</v>
      </c>
      <c r="B108" s="32"/>
      <c r="C108" s="50"/>
      <c r="D108" s="33"/>
      <c r="E108" s="47" t="str">
        <f>IFERROR(VLOOKUP(D108,'Listas de Dados'!AA:AB,2,0),"Liberado")</f>
        <v>Liberado</v>
      </c>
      <c r="F108" s="47" t="str">
        <f t="shared" ca="1" si="11"/>
        <v/>
      </c>
      <c r="G108" s="47" t="str">
        <f t="shared" si="12"/>
        <v>X0</v>
      </c>
      <c r="H108" s="47" t="b">
        <f t="shared" si="13"/>
        <v>1</v>
      </c>
      <c r="I108" s="51"/>
      <c r="J108" s="51"/>
      <c r="K108" s="51"/>
      <c r="L108" s="51"/>
      <c r="M108" s="47" t="str">
        <f ca="1">IF(D108=99,"BLOQUEADO POR: "&amp;UPPER(TWUSER())&amp;" - "&amp;TEXT(TODAY(),"DD/MM/AA"),"")</f>
        <v/>
      </c>
      <c r="O108" s="33" t="s">
        <v>98</v>
      </c>
      <c r="P108" s="33" t="s">
        <v>101</v>
      </c>
      <c r="Q108" s="33" t="s">
        <v>109</v>
      </c>
      <c r="R108" s="33" t="s">
        <v>122</v>
      </c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Q108" s="40"/>
    </row>
    <row r="109" spans="1:43" x14ac:dyDescent="0.3">
      <c r="A109" s="7" t="str">
        <f t="shared" si="14"/>
        <v>Execução 105</v>
      </c>
      <c r="B109" s="32"/>
      <c r="C109" s="50"/>
      <c r="D109" s="33"/>
      <c r="E109" s="47" t="str">
        <f>IFERROR(VLOOKUP(D109,'Listas de Dados'!AA:AB,2,0),"Liberado")</f>
        <v>Liberado</v>
      </c>
      <c r="F109" s="47" t="str">
        <f t="shared" ca="1" si="11"/>
        <v/>
      </c>
      <c r="G109" s="47" t="str">
        <f t="shared" si="12"/>
        <v>X0</v>
      </c>
      <c r="H109" s="47" t="b">
        <f t="shared" si="13"/>
        <v>1</v>
      </c>
      <c r="I109" s="51"/>
      <c r="J109" s="51"/>
      <c r="K109" s="51"/>
      <c r="L109" s="51"/>
      <c r="M109" s="47" t="str">
        <f ca="1">IF(D109=99,"BLOQUEADO POR: "&amp;UPPER(TWUSER())&amp;" - "&amp;TEXT(TODAY(),"DD/MM/AA"),"")</f>
        <v/>
      </c>
      <c r="O109" s="33" t="s">
        <v>98</v>
      </c>
      <c r="P109" s="33" t="s">
        <v>101</v>
      </c>
      <c r="Q109" s="33" t="s">
        <v>109</v>
      </c>
      <c r="R109" s="33" t="s">
        <v>122</v>
      </c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Q109" s="40"/>
    </row>
    <row r="110" spans="1:43" x14ac:dyDescent="0.3">
      <c r="A110" s="7" t="str">
        <f t="shared" si="14"/>
        <v>Execução 106</v>
      </c>
      <c r="B110" s="32"/>
      <c r="C110" s="50"/>
      <c r="D110" s="33"/>
      <c r="E110" s="47" t="str">
        <f>IFERROR(VLOOKUP(D110,'Listas de Dados'!AA:AB,2,0),"Liberado")</f>
        <v>Liberado</v>
      </c>
      <c r="F110" s="47" t="str">
        <f t="shared" ca="1" si="11"/>
        <v/>
      </c>
      <c r="G110" s="47" t="str">
        <f t="shared" si="12"/>
        <v>X0</v>
      </c>
      <c r="H110" s="47" t="b">
        <f t="shared" si="13"/>
        <v>1</v>
      </c>
      <c r="I110" s="51"/>
      <c r="J110" s="51"/>
      <c r="K110" s="51"/>
      <c r="L110" s="51"/>
      <c r="M110" s="47" t="str">
        <f ca="1">IF(D110=99,"BLOQUEADO POR: "&amp;UPPER(TWUSER())&amp;" - "&amp;TEXT(TODAY(),"DD/MM/AA"),"")</f>
        <v/>
      </c>
      <c r="O110" s="33" t="s">
        <v>98</v>
      </c>
      <c r="P110" s="33" t="s">
        <v>101</v>
      </c>
      <c r="Q110" s="33" t="s">
        <v>109</v>
      </c>
      <c r="R110" s="33" t="s">
        <v>122</v>
      </c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Q110" s="40"/>
    </row>
    <row r="111" spans="1:43" x14ac:dyDescent="0.3">
      <c r="A111" s="7" t="str">
        <f t="shared" si="14"/>
        <v>Execução 107</v>
      </c>
      <c r="B111" s="32"/>
      <c r="C111" s="50"/>
      <c r="D111" s="33"/>
      <c r="E111" s="47" t="str">
        <f>IFERROR(VLOOKUP(D111,'Listas de Dados'!AA:AB,2,0),"Liberado")</f>
        <v>Liberado</v>
      </c>
      <c r="F111" s="47" t="str">
        <f t="shared" ca="1" si="11"/>
        <v/>
      </c>
      <c r="G111" s="47" t="str">
        <f t="shared" si="12"/>
        <v>X0</v>
      </c>
      <c r="H111" s="47" t="b">
        <f t="shared" si="13"/>
        <v>1</v>
      </c>
      <c r="I111" s="51"/>
      <c r="J111" s="51"/>
      <c r="K111" s="51"/>
      <c r="L111" s="51"/>
      <c r="M111" s="47" t="str">
        <f ca="1">IF(D111=99,"BLOQUEADO POR: "&amp;UPPER(TWUSER())&amp;" - "&amp;TEXT(TODAY(),"DD/MM/AA"),"")</f>
        <v/>
      </c>
      <c r="O111" s="33" t="s">
        <v>98</v>
      </c>
      <c r="P111" s="33" t="s">
        <v>101</v>
      </c>
      <c r="Q111" s="33" t="s">
        <v>109</v>
      </c>
      <c r="R111" s="33" t="s">
        <v>122</v>
      </c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Q111" s="40"/>
    </row>
    <row r="112" spans="1:43" x14ac:dyDescent="0.3">
      <c r="A112" s="7" t="str">
        <f t="shared" si="14"/>
        <v>Execução 108</v>
      </c>
      <c r="B112" s="32"/>
      <c r="C112" s="50"/>
      <c r="D112" s="33"/>
      <c r="E112" s="47" t="str">
        <f>IFERROR(VLOOKUP(D112,'Listas de Dados'!AA:AB,2,0),"Liberado")</f>
        <v>Liberado</v>
      </c>
      <c r="F112" s="47" t="str">
        <f t="shared" ca="1" si="11"/>
        <v/>
      </c>
      <c r="G112" s="47" t="str">
        <f t="shared" si="12"/>
        <v>X0</v>
      </c>
      <c r="H112" s="47" t="b">
        <f t="shared" si="13"/>
        <v>1</v>
      </c>
      <c r="I112" s="51"/>
      <c r="J112" s="51"/>
      <c r="K112" s="51"/>
      <c r="L112" s="51"/>
      <c r="M112" s="47" t="str">
        <f ca="1">IF(D112=99,"BLOQUEADO POR: "&amp;UPPER(TWUSER())&amp;" - "&amp;TEXT(TODAY(),"DD/MM/AA"),"")</f>
        <v/>
      </c>
      <c r="O112" s="33" t="s">
        <v>98</v>
      </c>
      <c r="P112" s="33" t="s">
        <v>101</v>
      </c>
      <c r="Q112" s="33" t="s">
        <v>109</v>
      </c>
      <c r="R112" s="33" t="s">
        <v>122</v>
      </c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Q112" s="40"/>
    </row>
    <row r="113" spans="1:43" x14ac:dyDescent="0.3">
      <c r="A113" s="7" t="str">
        <f t="shared" si="14"/>
        <v>Execução 109</v>
      </c>
      <c r="B113" s="32"/>
      <c r="C113" s="50"/>
      <c r="D113" s="33"/>
      <c r="E113" s="47" t="str">
        <f>IFERROR(VLOOKUP(D113,'Listas de Dados'!AA:AB,2,0),"Liberado")</f>
        <v>Liberado</v>
      </c>
      <c r="F113" s="47" t="str">
        <f t="shared" ca="1" si="11"/>
        <v/>
      </c>
      <c r="G113" s="47" t="str">
        <f t="shared" si="12"/>
        <v>X0</v>
      </c>
      <c r="H113" s="47" t="b">
        <f t="shared" si="13"/>
        <v>1</v>
      </c>
      <c r="I113" s="51"/>
      <c r="J113" s="51"/>
      <c r="K113" s="51"/>
      <c r="L113" s="51"/>
      <c r="M113" s="47" t="str">
        <f ca="1">IF(D113=99,"BLOQUEADO POR: "&amp;UPPER(TWUSER())&amp;" - "&amp;TEXT(TODAY(),"DD/MM/AA"),"")</f>
        <v/>
      </c>
      <c r="O113" s="33" t="s">
        <v>98</v>
      </c>
      <c r="P113" s="33" t="s">
        <v>101</v>
      </c>
      <c r="Q113" s="33" t="s">
        <v>109</v>
      </c>
      <c r="R113" s="33" t="s">
        <v>122</v>
      </c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Q113" s="40"/>
    </row>
    <row r="114" spans="1:43" x14ac:dyDescent="0.3">
      <c r="A114" s="7" t="str">
        <f t="shared" si="14"/>
        <v>Execução 110</v>
      </c>
      <c r="B114" s="32"/>
      <c r="C114" s="50"/>
      <c r="D114" s="33"/>
      <c r="E114" s="47" t="str">
        <f>IFERROR(VLOOKUP(D114,'Listas de Dados'!AA:AB,2,0),"Liberado")</f>
        <v>Liberado</v>
      </c>
      <c r="F114" s="47" t="str">
        <f t="shared" ca="1" si="11"/>
        <v/>
      </c>
      <c r="G114" s="47" t="str">
        <f t="shared" si="12"/>
        <v>X0</v>
      </c>
      <c r="H114" s="47" t="b">
        <f t="shared" si="13"/>
        <v>1</v>
      </c>
      <c r="I114" s="51"/>
      <c r="J114" s="51"/>
      <c r="K114" s="51"/>
      <c r="L114" s="51"/>
      <c r="M114" s="47" t="str">
        <f ca="1">IF(D114=99,"BLOQUEADO POR: "&amp;UPPER(TWUSER())&amp;" - "&amp;TEXT(TODAY(),"DD/MM/AA"),"")</f>
        <v/>
      </c>
      <c r="O114" s="33" t="s">
        <v>98</v>
      </c>
      <c r="P114" s="33" t="s">
        <v>101</v>
      </c>
      <c r="Q114" s="33" t="s">
        <v>109</v>
      </c>
      <c r="R114" s="33" t="s">
        <v>122</v>
      </c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Q114" s="40"/>
    </row>
    <row r="115" spans="1:43" x14ac:dyDescent="0.3">
      <c r="A115" s="7" t="str">
        <f t="shared" si="14"/>
        <v>Execução 111</v>
      </c>
      <c r="B115" s="32"/>
      <c r="C115" s="50"/>
      <c r="D115" s="33"/>
      <c r="E115" s="47" t="str">
        <f>IFERROR(VLOOKUP(D115,'Listas de Dados'!AA:AB,2,0),"Liberado")</f>
        <v>Liberado</v>
      </c>
      <c r="F115" s="47" t="str">
        <f t="shared" ca="1" si="11"/>
        <v/>
      </c>
      <c r="G115" s="47" t="str">
        <f t="shared" si="12"/>
        <v>X0</v>
      </c>
      <c r="H115" s="47" t="b">
        <f t="shared" si="13"/>
        <v>1</v>
      </c>
      <c r="I115" s="51"/>
      <c r="J115" s="51"/>
      <c r="K115" s="51"/>
      <c r="L115" s="51"/>
      <c r="M115" s="47" t="str">
        <f ca="1">IF(D115=99,"BLOQUEADO POR: "&amp;UPPER(TWUSER())&amp;" - "&amp;TEXT(TODAY(),"DD/MM/AA"),"")</f>
        <v/>
      </c>
      <c r="O115" s="33" t="s">
        <v>98</v>
      </c>
      <c r="P115" s="33" t="s">
        <v>101</v>
      </c>
      <c r="Q115" s="33" t="s">
        <v>109</v>
      </c>
      <c r="R115" s="33" t="s">
        <v>122</v>
      </c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Q115" s="40"/>
    </row>
    <row r="116" spans="1:43" x14ac:dyDescent="0.3">
      <c r="A116" s="7" t="str">
        <f t="shared" si="14"/>
        <v>Execução 112</v>
      </c>
      <c r="B116" s="32"/>
      <c r="C116" s="50"/>
      <c r="D116" s="33"/>
      <c r="E116" s="47" t="str">
        <f>IFERROR(VLOOKUP(D116,'Listas de Dados'!AA:AB,2,0),"Liberado")</f>
        <v>Liberado</v>
      </c>
      <c r="F116" s="47" t="str">
        <f t="shared" ca="1" si="11"/>
        <v/>
      </c>
      <c r="G116" s="47" t="str">
        <f t="shared" si="12"/>
        <v>X0</v>
      </c>
      <c r="H116" s="47" t="b">
        <f t="shared" si="13"/>
        <v>1</v>
      </c>
      <c r="I116" s="51"/>
      <c r="J116" s="51"/>
      <c r="K116" s="51"/>
      <c r="L116" s="51"/>
      <c r="M116" s="47" t="str">
        <f ca="1">IF(D116=99,"BLOQUEADO POR: "&amp;UPPER(TWUSER())&amp;" - "&amp;TEXT(TODAY(),"DD/MM/AA"),"")</f>
        <v/>
      </c>
      <c r="O116" s="33" t="s">
        <v>98</v>
      </c>
      <c r="P116" s="33" t="s">
        <v>101</v>
      </c>
      <c r="Q116" s="33" t="s">
        <v>109</v>
      </c>
      <c r="R116" s="33" t="s">
        <v>122</v>
      </c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Q116" s="40"/>
    </row>
    <row r="117" spans="1:43" x14ac:dyDescent="0.3">
      <c r="A117" s="7" t="str">
        <f t="shared" si="14"/>
        <v>Execução 113</v>
      </c>
      <c r="B117" s="32"/>
      <c r="C117" s="50"/>
      <c r="D117" s="33"/>
      <c r="E117" s="47" t="str">
        <f>IFERROR(VLOOKUP(D117,'Listas de Dados'!AA:AB,2,0),"Liberado")</f>
        <v>Liberado</v>
      </c>
      <c r="F117" s="47" t="str">
        <f t="shared" ca="1" si="11"/>
        <v/>
      </c>
      <c r="G117" s="47" t="str">
        <f t="shared" si="12"/>
        <v>X0</v>
      </c>
      <c r="H117" s="47" t="b">
        <f t="shared" si="13"/>
        <v>1</v>
      </c>
      <c r="I117" s="51"/>
      <c r="J117" s="51"/>
      <c r="K117" s="51"/>
      <c r="L117" s="51"/>
      <c r="M117" s="47" t="str">
        <f ca="1">IF(D117=99,"BLOQUEADO POR: "&amp;UPPER(TWUSER())&amp;" - "&amp;TEXT(TODAY(),"DD/MM/AA"),"")</f>
        <v/>
      </c>
      <c r="O117" s="33" t="s">
        <v>98</v>
      </c>
      <c r="P117" s="33" t="s">
        <v>101</v>
      </c>
      <c r="Q117" s="33" t="s">
        <v>109</v>
      </c>
      <c r="R117" s="33" t="s">
        <v>122</v>
      </c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Q117" s="40"/>
    </row>
    <row r="118" spans="1:43" x14ac:dyDescent="0.3">
      <c r="A118" s="7" t="str">
        <f t="shared" si="14"/>
        <v>Execução 114</v>
      </c>
      <c r="B118" s="32"/>
      <c r="C118" s="50"/>
      <c r="D118" s="33"/>
      <c r="E118" s="47" t="str">
        <f>IFERROR(VLOOKUP(D118,'Listas de Dados'!AA:AB,2,0),"Liberado")</f>
        <v>Liberado</v>
      </c>
      <c r="F118" s="47" t="str">
        <f t="shared" ca="1" si="11"/>
        <v/>
      </c>
      <c r="G118" s="47" t="str">
        <f t="shared" si="12"/>
        <v>X0</v>
      </c>
      <c r="H118" s="47" t="b">
        <f t="shared" si="13"/>
        <v>1</v>
      </c>
      <c r="I118" s="51"/>
      <c r="J118" s="51"/>
      <c r="K118" s="51"/>
      <c r="L118" s="51"/>
      <c r="M118" s="47" t="str">
        <f ca="1">IF(D118=99,"BLOQUEADO POR: "&amp;UPPER(TWUSER())&amp;" - "&amp;TEXT(TODAY(),"DD/MM/AA"),"")</f>
        <v/>
      </c>
      <c r="O118" s="33" t="s">
        <v>98</v>
      </c>
      <c r="P118" s="33" t="s">
        <v>101</v>
      </c>
      <c r="Q118" s="33" t="s">
        <v>109</v>
      </c>
      <c r="R118" s="33" t="s">
        <v>122</v>
      </c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Q118" s="40"/>
    </row>
    <row r="119" spans="1:43" x14ac:dyDescent="0.3">
      <c r="A119" s="7" t="str">
        <f t="shared" si="14"/>
        <v>Execução 115</v>
      </c>
      <c r="B119" s="32"/>
      <c r="C119" s="50"/>
      <c r="D119" s="33"/>
      <c r="E119" s="47" t="str">
        <f>IFERROR(VLOOKUP(D119,'Listas de Dados'!AA:AB,2,0),"Liberado")</f>
        <v>Liberado</v>
      </c>
      <c r="F119" s="47" t="str">
        <f t="shared" ca="1" si="11"/>
        <v/>
      </c>
      <c r="G119" s="47" t="str">
        <f t="shared" si="12"/>
        <v>X0</v>
      </c>
      <c r="H119" s="47" t="b">
        <f t="shared" si="13"/>
        <v>1</v>
      </c>
      <c r="I119" s="51"/>
      <c r="J119" s="51"/>
      <c r="K119" s="51"/>
      <c r="L119" s="51"/>
      <c r="M119" s="47" t="str">
        <f ca="1">IF(D119=99,"BLOQUEADO POR: "&amp;UPPER(TWUSER())&amp;" - "&amp;TEXT(TODAY(),"DD/MM/AA"),"")</f>
        <v/>
      </c>
      <c r="O119" s="33" t="s">
        <v>98</v>
      </c>
      <c r="P119" s="33" t="s">
        <v>101</v>
      </c>
      <c r="Q119" s="33" t="s">
        <v>109</v>
      </c>
      <c r="R119" s="33" t="s">
        <v>122</v>
      </c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Q119" s="40"/>
    </row>
    <row r="120" spans="1:43" x14ac:dyDescent="0.3">
      <c r="A120" s="7" t="str">
        <f t="shared" si="14"/>
        <v>Execução 116</v>
      </c>
      <c r="B120" s="32"/>
      <c r="C120" s="50"/>
      <c r="D120" s="33"/>
      <c r="E120" s="47" t="str">
        <f>IFERROR(VLOOKUP(D120,'Listas de Dados'!AA:AB,2,0),"Liberado")</f>
        <v>Liberado</v>
      </c>
      <c r="F120" s="47" t="str">
        <f t="shared" ca="1" si="11"/>
        <v/>
      </c>
      <c r="G120" s="47" t="str">
        <f t="shared" si="12"/>
        <v>X0</v>
      </c>
      <c r="H120" s="47" t="b">
        <f t="shared" si="13"/>
        <v>1</v>
      </c>
      <c r="I120" s="51"/>
      <c r="J120" s="51"/>
      <c r="K120" s="51"/>
      <c r="L120" s="51"/>
      <c r="M120" s="47" t="str">
        <f ca="1">IF(D120=99,"BLOQUEADO POR: "&amp;UPPER(TWUSER())&amp;" - "&amp;TEXT(TODAY(),"DD/MM/AA"),"")</f>
        <v/>
      </c>
      <c r="O120" s="33" t="s">
        <v>98</v>
      </c>
      <c r="P120" s="33" t="s">
        <v>101</v>
      </c>
      <c r="Q120" s="33" t="s">
        <v>109</v>
      </c>
      <c r="R120" s="33" t="s">
        <v>122</v>
      </c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Q120" s="40"/>
    </row>
    <row r="121" spans="1:43" x14ac:dyDescent="0.3">
      <c r="A121" s="7" t="str">
        <f t="shared" si="14"/>
        <v>Execução 117</v>
      </c>
      <c r="B121" s="32"/>
      <c r="C121" s="50"/>
      <c r="D121" s="33"/>
      <c r="E121" s="47" t="str">
        <f>IFERROR(VLOOKUP(D121,'Listas de Dados'!AA:AB,2,0),"Liberado")</f>
        <v>Liberado</v>
      </c>
      <c r="F121" s="47" t="str">
        <f t="shared" ca="1" si="11"/>
        <v/>
      </c>
      <c r="G121" s="47" t="str">
        <f t="shared" si="12"/>
        <v>X0</v>
      </c>
      <c r="H121" s="47" t="b">
        <f t="shared" si="13"/>
        <v>1</v>
      </c>
      <c r="I121" s="51"/>
      <c r="J121" s="51"/>
      <c r="K121" s="51"/>
      <c r="L121" s="51"/>
      <c r="M121" s="47" t="str">
        <f ca="1">IF(D121=99,"BLOQUEADO POR: "&amp;UPPER(TWUSER())&amp;" - "&amp;TEXT(TODAY(),"DD/MM/AA"),"")</f>
        <v/>
      </c>
      <c r="O121" s="33" t="s">
        <v>98</v>
      </c>
      <c r="P121" s="33" t="s">
        <v>101</v>
      </c>
      <c r="Q121" s="33" t="s">
        <v>109</v>
      </c>
      <c r="R121" s="33" t="s">
        <v>122</v>
      </c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Q121" s="40"/>
    </row>
    <row r="122" spans="1:43" x14ac:dyDescent="0.3">
      <c r="A122" s="7" t="str">
        <f t="shared" si="14"/>
        <v>Execução 118</v>
      </c>
      <c r="B122" s="32"/>
      <c r="C122" s="50"/>
      <c r="D122" s="33"/>
      <c r="E122" s="47" t="str">
        <f>IFERROR(VLOOKUP(D122,'Listas de Dados'!AA:AB,2,0),"Liberado")</f>
        <v>Liberado</v>
      </c>
      <c r="F122" s="47" t="str">
        <f t="shared" ca="1" si="11"/>
        <v/>
      </c>
      <c r="G122" s="47" t="str">
        <f t="shared" si="12"/>
        <v>X0</v>
      </c>
      <c r="H122" s="47" t="b">
        <f t="shared" si="13"/>
        <v>1</v>
      </c>
      <c r="I122" s="51"/>
      <c r="J122" s="51"/>
      <c r="K122" s="51"/>
      <c r="L122" s="51"/>
      <c r="M122" s="47" t="str">
        <f ca="1">IF(D122=99,"BLOQUEADO POR: "&amp;UPPER(TWUSER())&amp;" - "&amp;TEXT(TODAY(),"DD/MM/AA"),"")</f>
        <v/>
      </c>
      <c r="O122" s="33" t="s">
        <v>98</v>
      </c>
      <c r="P122" s="33" t="s">
        <v>101</v>
      </c>
      <c r="Q122" s="33" t="s">
        <v>109</v>
      </c>
      <c r="R122" s="33" t="s">
        <v>122</v>
      </c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Q122" s="40"/>
    </row>
    <row r="123" spans="1:43" x14ac:dyDescent="0.3">
      <c r="A123" s="7" t="str">
        <f t="shared" si="14"/>
        <v>Execução 119</v>
      </c>
      <c r="B123" s="32"/>
      <c r="C123" s="50"/>
      <c r="D123" s="33"/>
      <c r="E123" s="47" t="str">
        <f>IFERROR(VLOOKUP(D123,'Listas de Dados'!AA:AB,2,0),"Liberado")</f>
        <v>Liberado</v>
      </c>
      <c r="F123" s="47" t="str">
        <f t="shared" ca="1" si="11"/>
        <v/>
      </c>
      <c r="G123" s="47" t="str">
        <f t="shared" si="12"/>
        <v>X0</v>
      </c>
      <c r="H123" s="47" t="b">
        <f t="shared" si="13"/>
        <v>1</v>
      </c>
      <c r="I123" s="51"/>
      <c r="J123" s="51"/>
      <c r="K123" s="51"/>
      <c r="L123" s="51"/>
      <c r="M123" s="47" t="str">
        <f ca="1">IF(D123=99,"BLOQUEADO POR: "&amp;UPPER(TWUSER())&amp;" - "&amp;TEXT(TODAY(),"DD/MM/AA"),"")</f>
        <v/>
      </c>
      <c r="O123" s="33" t="s">
        <v>98</v>
      </c>
      <c r="P123" s="33" t="s">
        <v>101</v>
      </c>
      <c r="Q123" s="33" t="s">
        <v>109</v>
      </c>
      <c r="R123" s="33" t="s">
        <v>122</v>
      </c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Q123" s="40"/>
    </row>
    <row r="124" spans="1:43" x14ac:dyDescent="0.3">
      <c r="A124" s="7" t="str">
        <f t="shared" si="14"/>
        <v>Execução 120</v>
      </c>
      <c r="B124" s="32"/>
      <c r="C124" s="50"/>
      <c r="D124" s="33"/>
      <c r="E124" s="47" t="str">
        <f>IFERROR(VLOOKUP(D124,'Listas de Dados'!AA:AB,2,0),"Liberado")</f>
        <v>Liberado</v>
      </c>
      <c r="F124" s="47" t="str">
        <f t="shared" ca="1" si="11"/>
        <v/>
      </c>
      <c r="G124" s="47" t="str">
        <f t="shared" si="12"/>
        <v>X0</v>
      </c>
      <c r="H124" s="47" t="b">
        <f t="shared" si="13"/>
        <v>1</v>
      </c>
      <c r="I124" s="51"/>
      <c r="J124" s="51"/>
      <c r="K124" s="51"/>
      <c r="L124" s="51"/>
      <c r="M124" s="47" t="str">
        <f ca="1">IF(D124=99,"BLOQUEADO POR: "&amp;UPPER(TWUSER())&amp;" - "&amp;TEXT(TODAY(),"DD/MM/AA"),"")</f>
        <v/>
      </c>
      <c r="O124" s="33" t="s">
        <v>98</v>
      </c>
      <c r="P124" s="33" t="s">
        <v>101</v>
      </c>
      <c r="Q124" s="33" t="s">
        <v>109</v>
      </c>
      <c r="R124" s="33" t="s">
        <v>122</v>
      </c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Q124" s="40"/>
    </row>
    <row r="125" spans="1:43" x14ac:dyDescent="0.3">
      <c r="A125" s="7" t="str">
        <f t="shared" si="14"/>
        <v>Execução 121</v>
      </c>
      <c r="B125" s="32"/>
      <c r="C125" s="50"/>
      <c r="D125" s="33"/>
      <c r="E125" s="47" t="str">
        <f>IFERROR(VLOOKUP(D125,'Listas de Dados'!AA:AB,2,0),"Liberado")</f>
        <v>Liberado</v>
      </c>
      <c r="F125" s="47" t="str">
        <f t="shared" ca="1" si="11"/>
        <v/>
      </c>
      <c r="G125" s="47" t="str">
        <f t="shared" si="12"/>
        <v>X0</v>
      </c>
      <c r="H125" s="47" t="b">
        <f t="shared" si="13"/>
        <v>1</v>
      </c>
      <c r="I125" s="51"/>
      <c r="J125" s="51"/>
      <c r="K125" s="51"/>
      <c r="L125" s="51"/>
      <c r="M125" s="47" t="str">
        <f ca="1">IF(D125=99,"BLOQUEADO POR: "&amp;UPPER(TWUSER())&amp;" - "&amp;TEXT(TODAY(),"DD/MM/AA"),"")</f>
        <v/>
      </c>
      <c r="O125" s="33" t="s">
        <v>98</v>
      </c>
      <c r="P125" s="33" t="s">
        <v>101</v>
      </c>
      <c r="Q125" s="33" t="s">
        <v>109</v>
      </c>
      <c r="R125" s="33" t="s">
        <v>122</v>
      </c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Q125" s="40"/>
    </row>
    <row r="126" spans="1:43" x14ac:dyDescent="0.3">
      <c r="A126" s="7" t="str">
        <f t="shared" si="14"/>
        <v>Execução 122</v>
      </c>
      <c r="B126" s="32"/>
      <c r="C126" s="50"/>
      <c r="D126" s="33"/>
      <c r="E126" s="47" t="str">
        <f>IFERROR(VLOOKUP(D126,'Listas de Dados'!AA:AB,2,0),"Liberado")</f>
        <v>Liberado</v>
      </c>
      <c r="F126" s="47" t="str">
        <f t="shared" ca="1" si="11"/>
        <v/>
      </c>
      <c r="G126" s="47" t="str">
        <f t="shared" si="12"/>
        <v>X0</v>
      </c>
      <c r="H126" s="47" t="b">
        <f t="shared" si="13"/>
        <v>1</v>
      </c>
      <c r="I126" s="51"/>
      <c r="J126" s="51"/>
      <c r="K126" s="51"/>
      <c r="L126" s="51"/>
      <c r="M126" s="47" t="str">
        <f ca="1">IF(D126=99,"BLOQUEADO POR: "&amp;UPPER(TWUSER())&amp;" - "&amp;TEXT(TODAY(),"DD/MM/AA"),"")</f>
        <v/>
      </c>
      <c r="O126" s="33" t="s">
        <v>98</v>
      </c>
      <c r="P126" s="33" t="s">
        <v>101</v>
      </c>
      <c r="Q126" s="33" t="s">
        <v>109</v>
      </c>
      <c r="R126" s="33" t="s">
        <v>122</v>
      </c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Q126" s="40"/>
    </row>
    <row r="127" spans="1:43" x14ac:dyDescent="0.3">
      <c r="A127" s="7" t="str">
        <f t="shared" si="14"/>
        <v>Execução 123</v>
      </c>
      <c r="B127" s="32"/>
      <c r="C127" s="50"/>
      <c r="D127" s="33"/>
      <c r="E127" s="47" t="str">
        <f>IFERROR(VLOOKUP(D127,'Listas de Dados'!AA:AB,2,0),"Liberado")</f>
        <v>Liberado</v>
      </c>
      <c r="F127" s="47" t="str">
        <f t="shared" ca="1" si="11"/>
        <v/>
      </c>
      <c r="G127" s="47" t="str">
        <f t="shared" si="12"/>
        <v>X0</v>
      </c>
      <c r="H127" s="47" t="b">
        <f t="shared" si="13"/>
        <v>1</v>
      </c>
      <c r="I127" s="51"/>
      <c r="J127" s="51"/>
      <c r="K127" s="51"/>
      <c r="L127" s="51"/>
      <c r="M127" s="47" t="str">
        <f ca="1">IF(D127=99,"BLOQUEADO POR: "&amp;UPPER(TWUSER())&amp;" - "&amp;TEXT(TODAY(),"DD/MM/AA"),"")</f>
        <v/>
      </c>
      <c r="O127" s="33" t="s">
        <v>98</v>
      </c>
      <c r="P127" s="33" t="s">
        <v>101</v>
      </c>
      <c r="Q127" s="33" t="s">
        <v>109</v>
      </c>
      <c r="R127" s="33" t="s">
        <v>122</v>
      </c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Q127" s="40"/>
    </row>
    <row r="128" spans="1:43" x14ac:dyDescent="0.3">
      <c r="A128" s="7" t="str">
        <f t="shared" si="14"/>
        <v>Execução 124</v>
      </c>
      <c r="B128" s="32"/>
      <c r="C128" s="50"/>
      <c r="D128" s="33"/>
      <c r="E128" s="47" t="str">
        <f>IFERROR(VLOOKUP(D128,'Listas de Dados'!AA:AB,2,0),"Liberado")</f>
        <v>Liberado</v>
      </c>
      <c r="F128" s="47" t="str">
        <f t="shared" ca="1" si="11"/>
        <v/>
      </c>
      <c r="G128" s="47" t="str">
        <f t="shared" si="12"/>
        <v>X0</v>
      </c>
      <c r="H128" s="47" t="b">
        <f t="shared" si="13"/>
        <v>1</v>
      </c>
      <c r="I128" s="51"/>
      <c r="J128" s="51"/>
      <c r="K128" s="51"/>
      <c r="L128" s="51"/>
      <c r="M128" s="47" t="str">
        <f ca="1">IF(D128=99,"BLOQUEADO POR: "&amp;UPPER(TWUSER())&amp;" - "&amp;TEXT(TODAY(),"DD/MM/AA"),"")</f>
        <v/>
      </c>
      <c r="O128" s="33" t="s">
        <v>98</v>
      </c>
      <c r="P128" s="33" t="s">
        <v>101</v>
      </c>
      <c r="Q128" s="33" t="s">
        <v>109</v>
      </c>
      <c r="R128" s="33" t="s">
        <v>122</v>
      </c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Q128" s="40"/>
    </row>
    <row r="129" spans="1:43" x14ac:dyDescent="0.3">
      <c r="A129" s="7" t="str">
        <f t="shared" si="14"/>
        <v>Execução 125</v>
      </c>
      <c r="B129" s="32"/>
      <c r="C129" s="50"/>
      <c r="D129" s="33"/>
      <c r="E129" s="47" t="str">
        <f>IFERROR(VLOOKUP(D129,'Listas de Dados'!AA:AB,2,0),"Liberado")</f>
        <v>Liberado</v>
      </c>
      <c r="F129" s="47" t="str">
        <f t="shared" ca="1" si="11"/>
        <v/>
      </c>
      <c r="G129" s="47" t="str">
        <f t="shared" si="12"/>
        <v>X0</v>
      </c>
      <c r="H129" s="47" t="b">
        <f t="shared" si="13"/>
        <v>1</v>
      </c>
      <c r="I129" s="51"/>
      <c r="J129" s="51"/>
      <c r="K129" s="51"/>
      <c r="L129" s="51"/>
      <c r="M129" s="47" t="str">
        <f ca="1">IF(D129=99,"BLOQUEADO POR: "&amp;UPPER(TWUSER())&amp;" - "&amp;TEXT(TODAY(),"DD/MM/AA"),"")</f>
        <v/>
      </c>
      <c r="O129" s="33" t="s">
        <v>98</v>
      </c>
      <c r="P129" s="33" t="s">
        <v>101</v>
      </c>
      <c r="Q129" s="33" t="s">
        <v>109</v>
      </c>
      <c r="R129" s="33" t="s">
        <v>122</v>
      </c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Q129" s="40"/>
    </row>
    <row r="130" spans="1:43" x14ac:dyDescent="0.3">
      <c r="A130" s="7" t="str">
        <f t="shared" si="14"/>
        <v>Execução 126</v>
      </c>
      <c r="B130" s="32"/>
      <c r="C130" s="50"/>
      <c r="D130" s="33"/>
      <c r="E130" s="47" t="str">
        <f>IFERROR(VLOOKUP(D130,'Listas de Dados'!AA:AB,2,0),"Liberado")</f>
        <v>Liberado</v>
      </c>
      <c r="F130" s="47" t="str">
        <f t="shared" ref="F130:F172" ca="1" si="15">IF(D130&lt;&gt;"",TEXT(TODAY(),"DD.MM.AA"),"")</f>
        <v/>
      </c>
      <c r="G130" s="47" t="str">
        <f t="shared" ref="G130:G172" si="16">IF(D130=99,"ND","X0")</f>
        <v>X0</v>
      </c>
      <c r="H130" s="47" t="b">
        <f t="shared" ref="H130:H172" si="17">IF(D130=99,"FALSO",TRUE)</f>
        <v>1</v>
      </c>
      <c r="I130" s="51"/>
      <c r="J130" s="51"/>
      <c r="K130" s="51"/>
      <c r="L130" s="51"/>
      <c r="M130" s="47" t="str">
        <f ca="1">IF(D130=99,"BLOQUEADO POR: "&amp;UPPER(TWUSER())&amp;" - "&amp;TEXT(TODAY(),"DD/MM/AA"),"")</f>
        <v/>
      </c>
      <c r="O130" s="33" t="s">
        <v>98</v>
      </c>
      <c r="P130" s="33" t="s">
        <v>101</v>
      </c>
      <c r="Q130" s="33" t="s">
        <v>109</v>
      </c>
      <c r="R130" s="33" t="s">
        <v>122</v>
      </c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Q130" s="40"/>
    </row>
    <row r="131" spans="1:43" x14ac:dyDescent="0.3">
      <c r="A131" s="7" t="str">
        <f t="shared" si="14"/>
        <v>Execução 127</v>
      </c>
      <c r="B131" s="32"/>
      <c r="C131" s="50"/>
      <c r="D131" s="33"/>
      <c r="E131" s="47" t="str">
        <f>IFERROR(VLOOKUP(D131,'Listas de Dados'!AA:AB,2,0),"Liberado")</f>
        <v>Liberado</v>
      </c>
      <c r="F131" s="47" t="str">
        <f t="shared" ca="1" si="15"/>
        <v/>
      </c>
      <c r="G131" s="47" t="str">
        <f t="shared" si="16"/>
        <v>X0</v>
      </c>
      <c r="H131" s="47" t="b">
        <f t="shared" si="17"/>
        <v>1</v>
      </c>
      <c r="I131" s="51"/>
      <c r="J131" s="51"/>
      <c r="K131" s="51"/>
      <c r="L131" s="51"/>
      <c r="M131" s="47" t="str">
        <f ca="1">IF(D131=99,"BLOQUEADO POR: "&amp;UPPER(TWUSER())&amp;" - "&amp;TEXT(TODAY(),"DD/MM/AA"),"")</f>
        <v/>
      </c>
      <c r="O131" s="33" t="s">
        <v>98</v>
      </c>
      <c r="P131" s="33" t="s">
        <v>101</v>
      </c>
      <c r="Q131" s="33" t="s">
        <v>109</v>
      </c>
      <c r="R131" s="33" t="s">
        <v>122</v>
      </c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Q131" s="40"/>
    </row>
    <row r="132" spans="1:43" x14ac:dyDescent="0.3">
      <c r="A132" s="7" t="str">
        <f t="shared" si="14"/>
        <v>Execução 128</v>
      </c>
      <c r="B132" s="32"/>
      <c r="C132" s="50"/>
      <c r="D132" s="33"/>
      <c r="E132" s="47" t="str">
        <f>IFERROR(VLOOKUP(D132,'Listas de Dados'!AA:AB,2,0),"Liberado")</f>
        <v>Liberado</v>
      </c>
      <c r="F132" s="47" t="str">
        <f t="shared" ca="1" si="15"/>
        <v/>
      </c>
      <c r="G132" s="47" t="str">
        <f t="shared" si="16"/>
        <v>X0</v>
      </c>
      <c r="H132" s="47" t="b">
        <f t="shared" si="17"/>
        <v>1</v>
      </c>
      <c r="I132" s="51"/>
      <c r="J132" s="51"/>
      <c r="K132" s="51"/>
      <c r="L132" s="51"/>
      <c r="M132" s="47" t="str">
        <f ca="1">IF(D132=99,"BLOQUEADO POR: "&amp;UPPER(TWUSER())&amp;" - "&amp;TEXT(TODAY(),"DD/MM/AA"),"")</f>
        <v/>
      </c>
      <c r="O132" s="33" t="s">
        <v>98</v>
      </c>
      <c r="P132" s="33" t="s">
        <v>101</v>
      </c>
      <c r="Q132" s="33" t="s">
        <v>109</v>
      </c>
      <c r="R132" s="33" t="s">
        <v>122</v>
      </c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Q132" s="40"/>
    </row>
    <row r="133" spans="1:43" x14ac:dyDescent="0.3">
      <c r="A133" s="7" t="str">
        <f t="shared" si="14"/>
        <v>Execução 129</v>
      </c>
      <c r="B133" s="32"/>
      <c r="C133" s="50"/>
      <c r="D133" s="33"/>
      <c r="E133" s="47" t="str">
        <f>IFERROR(VLOOKUP(D133,'Listas de Dados'!AA:AB,2,0),"Liberado")</f>
        <v>Liberado</v>
      </c>
      <c r="F133" s="47" t="str">
        <f t="shared" ca="1" si="15"/>
        <v/>
      </c>
      <c r="G133" s="47" t="str">
        <f t="shared" si="16"/>
        <v>X0</v>
      </c>
      <c r="H133" s="47" t="b">
        <f t="shared" si="17"/>
        <v>1</v>
      </c>
      <c r="I133" s="51"/>
      <c r="J133" s="51"/>
      <c r="K133" s="51"/>
      <c r="L133" s="51"/>
      <c r="M133" s="47" t="str">
        <f ca="1">IF(D133=99,"BLOQUEADO POR: "&amp;UPPER(TWUSER())&amp;" - "&amp;TEXT(TODAY(),"DD/MM/AA"),"")</f>
        <v/>
      </c>
      <c r="O133" s="33" t="s">
        <v>98</v>
      </c>
      <c r="P133" s="33" t="s">
        <v>101</v>
      </c>
      <c r="Q133" s="33" t="s">
        <v>109</v>
      </c>
      <c r="R133" s="33" t="s">
        <v>122</v>
      </c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Q133" s="40"/>
    </row>
    <row r="134" spans="1:43" x14ac:dyDescent="0.3">
      <c r="A134" s="7" t="str">
        <f t="shared" ref="A134:A172" si="18">"Execução "&amp;ROW()-4</f>
        <v>Execução 130</v>
      </c>
      <c r="B134" s="32"/>
      <c r="C134" s="50"/>
      <c r="D134" s="33"/>
      <c r="E134" s="47" t="str">
        <f>IFERROR(VLOOKUP(D134,'Listas de Dados'!AA:AB,2,0),"Liberado")</f>
        <v>Liberado</v>
      </c>
      <c r="F134" s="47" t="str">
        <f t="shared" ca="1" si="15"/>
        <v/>
      </c>
      <c r="G134" s="47" t="str">
        <f t="shared" si="16"/>
        <v>X0</v>
      </c>
      <c r="H134" s="47" t="b">
        <f t="shared" si="17"/>
        <v>1</v>
      </c>
      <c r="I134" s="51"/>
      <c r="J134" s="51"/>
      <c r="K134" s="51"/>
      <c r="L134" s="51"/>
      <c r="M134" s="47" t="str">
        <f ca="1">IF(D134=99,"BLOQUEADO POR: "&amp;UPPER(TWUSER())&amp;" - "&amp;TEXT(TODAY(),"DD/MM/AA"),"")</f>
        <v/>
      </c>
      <c r="O134" s="33" t="s">
        <v>98</v>
      </c>
      <c r="P134" s="33" t="s">
        <v>101</v>
      </c>
      <c r="Q134" s="33" t="s">
        <v>109</v>
      </c>
      <c r="R134" s="33" t="s">
        <v>122</v>
      </c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Q134" s="40"/>
    </row>
    <row r="135" spans="1:43" x14ac:dyDescent="0.3">
      <c r="A135" s="7" t="str">
        <f t="shared" si="18"/>
        <v>Execução 131</v>
      </c>
      <c r="B135" s="32"/>
      <c r="C135" s="50"/>
      <c r="D135" s="33"/>
      <c r="E135" s="47" t="str">
        <f>IFERROR(VLOOKUP(D135,'Listas de Dados'!AA:AB,2,0),"Liberado")</f>
        <v>Liberado</v>
      </c>
      <c r="F135" s="47" t="str">
        <f t="shared" ca="1" si="15"/>
        <v/>
      </c>
      <c r="G135" s="47" t="str">
        <f t="shared" si="16"/>
        <v>X0</v>
      </c>
      <c r="H135" s="47" t="b">
        <f t="shared" si="17"/>
        <v>1</v>
      </c>
      <c r="I135" s="51"/>
      <c r="J135" s="51"/>
      <c r="K135" s="51"/>
      <c r="L135" s="51"/>
      <c r="M135" s="47" t="str">
        <f ca="1">IF(D135=99,"BLOQUEADO POR: "&amp;UPPER(TWUSER())&amp;" - "&amp;TEXT(TODAY(),"DD/MM/AA"),"")</f>
        <v/>
      </c>
      <c r="O135" s="33" t="s">
        <v>98</v>
      </c>
      <c r="P135" s="33" t="s">
        <v>101</v>
      </c>
      <c r="Q135" s="33" t="s">
        <v>109</v>
      </c>
      <c r="R135" s="33" t="s">
        <v>122</v>
      </c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Q135" s="40"/>
    </row>
    <row r="136" spans="1:43" x14ac:dyDescent="0.3">
      <c r="A136" s="7" t="str">
        <f t="shared" si="18"/>
        <v>Execução 132</v>
      </c>
      <c r="B136" s="32"/>
      <c r="C136" s="50"/>
      <c r="D136" s="33"/>
      <c r="E136" s="47" t="str">
        <f>IFERROR(VLOOKUP(D136,'Listas de Dados'!AA:AB,2,0),"Liberado")</f>
        <v>Liberado</v>
      </c>
      <c r="F136" s="47" t="str">
        <f t="shared" ca="1" si="15"/>
        <v/>
      </c>
      <c r="G136" s="47" t="str">
        <f t="shared" si="16"/>
        <v>X0</v>
      </c>
      <c r="H136" s="47" t="b">
        <f t="shared" si="17"/>
        <v>1</v>
      </c>
      <c r="I136" s="51"/>
      <c r="J136" s="51"/>
      <c r="K136" s="51"/>
      <c r="L136" s="51"/>
      <c r="M136" s="47" t="str">
        <f ca="1">IF(D136=99,"BLOQUEADO POR: "&amp;UPPER(TWUSER())&amp;" - "&amp;TEXT(TODAY(),"DD/MM/AA"),"")</f>
        <v/>
      </c>
      <c r="O136" s="33" t="s">
        <v>98</v>
      </c>
      <c r="P136" s="33" t="s">
        <v>101</v>
      </c>
      <c r="Q136" s="33" t="s">
        <v>109</v>
      </c>
      <c r="R136" s="33" t="s">
        <v>122</v>
      </c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Q136" s="40"/>
    </row>
    <row r="137" spans="1:43" x14ac:dyDescent="0.3">
      <c r="A137" s="7" t="str">
        <f t="shared" si="18"/>
        <v>Execução 133</v>
      </c>
      <c r="B137" s="32"/>
      <c r="C137" s="50"/>
      <c r="D137" s="33"/>
      <c r="E137" s="47" t="str">
        <f>IFERROR(VLOOKUP(D137,'Listas de Dados'!AA:AB,2,0),"Liberado")</f>
        <v>Liberado</v>
      </c>
      <c r="F137" s="47" t="str">
        <f t="shared" ca="1" si="15"/>
        <v/>
      </c>
      <c r="G137" s="47" t="str">
        <f t="shared" si="16"/>
        <v>X0</v>
      </c>
      <c r="H137" s="47" t="b">
        <f t="shared" si="17"/>
        <v>1</v>
      </c>
      <c r="I137" s="51"/>
      <c r="J137" s="51"/>
      <c r="K137" s="51"/>
      <c r="L137" s="51"/>
      <c r="M137" s="47" t="str">
        <f ca="1">IF(D137=99,"BLOQUEADO POR: "&amp;UPPER(TWUSER())&amp;" - "&amp;TEXT(TODAY(),"DD/MM/AA"),"")</f>
        <v/>
      </c>
      <c r="O137" s="33" t="s">
        <v>98</v>
      </c>
      <c r="P137" s="33" t="s">
        <v>101</v>
      </c>
      <c r="Q137" s="33" t="s">
        <v>109</v>
      </c>
      <c r="R137" s="33" t="s">
        <v>122</v>
      </c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Q137" s="40"/>
    </row>
    <row r="138" spans="1:43" x14ac:dyDescent="0.3">
      <c r="A138" s="7" t="str">
        <f t="shared" si="18"/>
        <v>Execução 134</v>
      </c>
      <c r="B138" s="32"/>
      <c r="C138" s="50"/>
      <c r="D138" s="33"/>
      <c r="E138" s="47" t="str">
        <f>IFERROR(VLOOKUP(D138,'Listas de Dados'!AA:AB,2,0),"Liberado")</f>
        <v>Liberado</v>
      </c>
      <c r="F138" s="47" t="str">
        <f t="shared" ca="1" si="15"/>
        <v/>
      </c>
      <c r="G138" s="47" t="str">
        <f t="shared" si="16"/>
        <v>X0</v>
      </c>
      <c r="H138" s="47" t="b">
        <f t="shared" si="17"/>
        <v>1</v>
      </c>
      <c r="I138" s="51"/>
      <c r="J138" s="51"/>
      <c r="K138" s="51"/>
      <c r="L138" s="51"/>
      <c r="M138" s="47" t="str">
        <f ca="1">IF(D138=99,"BLOQUEADO POR: "&amp;UPPER(TWUSER())&amp;" - "&amp;TEXT(TODAY(),"DD/MM/AA"),"")</f>
        <v/>
      </c>
      <c r="O138" s="33" t="s">
        <v>98</v>
      </c>
      <c r="P138" s="33" t="s">
        <v>101</v>
      </c>
      <c r="Q138" s="33" t="s">
        <v>109</v>
      </c>
      <c r="R138" s="33" t="s">
        <v>122</v>
      </c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Q138" s="40"/>
    </row>
    <row r="139" spans="1:43" x14ac:dyDescent="0.3">
      <c r="A139" s="7" t="str">
        <f t="shared" si="18"/>
        <v>Execução 135</v>
      </c>
      <c r="B139" s="32"/>
      <c r="C139" s="50"/>
      <c r="D139" s="33"/>
      <c r="E139" s="47" t="str">
        <f>IFERROR(VLOOKUP(D139,'Listas de Dados'!AA:AB,2,0),"Liberado")</f>
        <v>Liberado</v>
      </c>
      <c r="F139" s="47" t="str">
        <f t="shared" ca="1" si="15"/>
        <v/>
      </c>
      <c r="G139" s="47" t="str">
        <f t="shared" si="16"/>
        <v>X0</v>
      </c>
      <c r="H139" s="47" t="b">
        <f t="shared" si="17"/>
        <v>1</v>
      </c>
      <c r="I139" s="51"/>
      <c r="J139" s="51"/>
      <c r="K139" s="51"/>
      <c r="L139" s="51"/>
      <c r="M139" s="47" t="str">
        <f ca="1">IF(D139=99,"BLOQUEADO POR: "&amp;UPPER(TWUSER())&amp;" - "&amp;TEXT(TODAY(),"DD/MM/AA"),"")</f>
        <v/>
      </c>
      <c r="O139" s="33" t="s">
        <v>98</v>
      </c>
      <c r="P139" s="33" t="s">
        <v>101</v>
      </c>
      <c r="Q139" s="33" t="s">
        <v>109</v>
      </c>
      <c r="R139" s="33" t="s">
        <v>122</v>
      </c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Q139" s="40"/>
    </row>
    <row r="140" spans="1:43" x14ac:dyDescent="0.3">
      <c r="A140" s="7" t="str">
        <f t="shared" si="18"/>
        <v>Execução 136</v>
      </c>
      <c r="B140" s="32"/>
      <c r="C140" s="50"/>
      <c r="D140" s="33"/>
      <c r="E140" s="47" t="str">
        <f>IFERROR(VLOOKUP(D140,'Listas de Dados'!AA:AB,2,0),"Liberado")</f>
        <v>Liberado</v>
      </c>
      <c r="F140" s="47" t="str">
        <f t="shared" ca="1" si="15"/>
        <v/>
      </c>
      <c r="G140" s="47" t="str">
        <f t="shared" si="16"/>
        <v>X0</v>
      </c>
      <c r="H140" s="47" t="b">
        <f t="shared" si="17"/>
        <v>1</v>
      </c>
      <c r="I140" s="51"/>
      <c r="J140" s="51"/>
      <c r="K140" s="51"/>
      <c r="L140" s="51"/>
      <c r="M140" s="47" t="str">
        <f ca="1">IF(D140=99,"BLOQUEADO POR: "&amp;UPPER(TWUSER())&amp;" - "&amp;TEXT(TODAY(),"DD/MM/AA"),"")</f>
        <v/>
      </c>
      <c r="O140" s="33" t="s">
        <v>98</v>
      </c>
      <c r="P140" s="33" t="s">
        <v>101</v>
      </c>
      <c r="Q140" s="33" t="s">
        <v>109</v>
      </c>
      <c r="R140" s="33" t="s">
        <v>122</v>
      </c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Q140" s="40"/>
    </row>
    <row r="141" spans="1:43" x14ac:dyDescent="0.3">
      <c r="A141" s="7" t="str">
        <f t="shared" si="18"/>
        <v>Execução 137</v>
      </c>
      <c r="B141" s="32"/>
      <c r="C141" s="50"/>
      <c r="D141" s="33"/>
      <c r="E141" s="47" t="str">
        <f>IFERROR(VLOOKUP(D141,'Listas de Dados'!AA:AB,2,0),"Liberado")</f>
        <v>Liberado</v>
      </c>
      <c r="F141" s="47" t="str">
        <f t="shared" ca="1" si="15"/>
        <v/>
      </c>
      <c r="G141" s="47" t="str">
        <f t="shared" si="16"/>
        <v>X0</v>
      </c>
      <c r="H141" s="47" t="b">
        <f t="shared" si="17"/>
        <v>1</v>
      </c>
      <c r="I141" s="51"/>
      <c r="J141" s="51"/>
      <c r="K141" s="51"/>
      <c r="L141" s="51"/>
      <c r="M141" s="47" t="str">
        <f ca="1">IF(D141=99,"BLOQUEADO POR: "&amp;UPPER(TWUSER())&amp;" - "&amp;TEXT(TODAY(),"DD/MM/AA"),"")</f>
        <v/>
      </c>
      <c r="O141" s="33" t="s">
        <v>98</v>
      </c>
      <c r="P141" s="33" t="s">
        <v>101</v>
      </c>
      <c r="Q141" s="33" t="s">
        <v>109</v>
      </c>
      <c r="R141" s="33" t="s">
        <v>122</v>
      </c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Q141" s="40"/>
    </row>
    <row r="142" spans="1:43" x14ac:dyDescent="0.3">
      <c r="A142" s="7" t="str">
        <f t="shared" si="18"/>
        <v>Execução 138</v>
      </c>
      <c r="B142" s="32"/>
      <c r="C142" s="50"/>
      <c r="D142" s="33"/>
      <c r="E142" s="47" t="str">
        <f>IFERROR(VLOOKUP(D142,'Listas de Dados'!AA:AB,2,0),"Liberado")</f>
        <v>Liberado</v>
      </c>
      <c r="F142" s="47" t="str">
        <f t="shared" ca="1" si="15"/>
        <v/>
      </c>
      <c r="G142" s="47" t="str">
        <f t="shared" si="16"/>
        <v>X0</v>
      </c>
      <c r="H142" s="47" t="b">
        <f t="shared" si="17"/>
        <v>1</v>
      </c>
      <c r="I142" s="51"/>
      <c r="J142" s="51"/>
      <c r="K142" s="51"/>
      <c r="L142" s="51"/>
      <c r="M142" s="47" t="str">
        <f ca="1">IF(D142=99,"BLOQUEADO POR: "&amp;UPPER(TWUSER())&amp;" - "&amp;TEXT(TODAY(),"DD/MM/AA"),"")</f>
        <v/>
      </c>
      <c r="O142" s="33" t="s">
        <v>98</v>
      </c>
      <c r="P142" s="33" t="s">
        <v>101</v>
      </c>
      <c r="Q142" s="33" t="s">
        <v>109</v>
      </c>
      <c r="R142" s="33" t="s">
        <v>122</v>
      </c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Q142" s="40"/>
    </row>
    <row r="143" spans="1:43" x14ac:dyDescent="0.3">
      <c r="A143" s="7" t="str">
        <f t="shared" si="18"/>
        <v>Execução 139</v>
      </c>
      <c r="B143" s="32"/>
      <c r="C143" s="50"/>
      <c r="D143" s="33"/>
      <c r="E143" s="47" t="str">
        <f>IFERROR(VLOOKUP(D143,'Listas de Dados'!AA:AB,2,0),"Liberado")</f>
        <v>Liberado</v>
      </c>
      <c r="F143" s="47" t="str">
        <f t="shared" ca="1" si="15"/>
        <v/>
      </c>
      <c r="G143" s="47" t="str">
        <f t="shared" si="16"/>
        <v>X0</v>
      </c>
      <c r="H143" s="47" t="b">
        <f t="shared" si="17"/>
        <v>1</v>
      </c>
      <c r="I143" s="51"/>
      <c r="J143" s="51"/>
      <c r="K143" s="51"/>
      <c r="L143" s="51"/>
      <c r="M143" s="47" t="str">
        <f ca="1">IF(D143=99,"BLOQUEADO POR: "&amp;UPPER(TWUSER())&amp;" - "&amp;TEXT(TODAY(),"DD/MM/AA"),"")</f>
        <v/>
      </c>
      <c r="O143" s="33" t="s">
        <v>98</v>
      </c>
      <c r="P143" s="33" t="s">
        <v>101</v>
      </c>
      <c r="Q143" s="33" t="s">
        <v>109</v>
      </c>
      <c r="R143" s="33" t="s">
        <v>122</v>
      </c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Q143" s="40"/>
    </row>
    <row r="144" spans="1:43" x14ac:dyDescent="0.3">
      <c r="A144" s="7" t="str">
        <f t="shared" si="18"/>
        <v>Execução 140</v>
      </c>
      <c r="B144" s="32"/>
      <c r="C144" s="50"/>
      <c r="D144" s="33"/>
      <c r="E144" s="47" t="str">
        <f>IFERROR(VLOOKUP(D144,'Listas de Dados'!AA:AB,2,0),"Liberado")</f>
        <v>Liberado</v>
      </c>
      <c r="F144" s="47" t="str">
        <f t="shared" ca="1" si="15"/>
        <v/>
      </c>
      <c r="G144" s="47" t="str">
        <f t="shared" si="16"/>
        <v>X0</v>
      </c>
      <c r="H144" s="47" t="b">
        <f t="shared" si="17"/>
        <v>1</v>
      </c>
      <c r="I144" s="51"/>
      <c r="J144" s="51"/>
      <c r="K144" s="51"/>
      <c r="L144" s="51"/>
      <c r="M144" s="47" t="str">
        <f ca="1">IF(D144=99,"BLOQUEADO POR: "&amp;UPPER(TWUSER())&amp;" - "&amp;TEXT(TODAY(),"DD/MM/AA"),"")</f>
        <v/>
      </c>
      <c r="O144" s="33" t="s">
        <v>98</v>
      </c>
      <c r="P144" s="33" t="s">
        <v>101</v>
      </c>
      <c r="Q144" s="33" t="s">
        <v>109</v>
      </c>
      <c r="R144" s="33" t="s">
        <v>122</v>
      </c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Q144" s="40"/>
    </row>
    <row r="145" spans="1:43" x14ac:dyDescent="0.3">
      <c r="A145" s="7" t="str">
        <f t="shared" si="18"/>
        <v>Execução 141</v>
      </c>
      <c r="B145" s="32"/>
      <c r="C145" s="50"/>
      <c r="D145" s="33"/>
      <c r="E145" s="47" t="str">
        <f>IFERROR(VLOOKUP(D145,'Listas de Dados'!AA:AB,2,0),"Liberado")</f>
        <v>Liberado</v>
      </c>
      <c r="F145" s="47" t="str">
        <f t="shared" ca="1" si="15"/>
        <v/>
      </c>
      <c r="G145" s="47" t="str">
        <f t="shared" si="16"/>
        <v>X0</v>
      </c>
      <c r="H145" s="47" t="b">
        <f t="shared" si="17"/>
        <v>1</v>
      </c>
      <c r="I145" s="51"/>
      <c r="J145" s="51"/>
      <c r="K145" s="51"/>
      <c r="L145" s="51"/>
      <c r="M145" s="47" t="str">
        <f ca="1">IF(D145=99,"BLOQUEADO POR: "&amp;UPPER(TWUSER())&amp;" - "&amp;TEXT(TODAY(),"DD/MM/AA"),"")</f>
        <v/>
      </c>
      <c r="O145" s="33" t="s">
        <v>98</v>
      </c>
      <c r="P145" s="33" t="s">
        <v>101</v>
      </c>
      <c r="Q145" s="33" t="s">
        <v>109</v>
      </c>
      <c r="R145" s="33" t="s">
        <v>122</v>
      </c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Q145" s="40"/>
    </row>
    <row r="146" spans="1:43" x14ac:dyDescent="0.3">
      <c r="A146" s="7" t="str">
        <f t="shared" si="18"/>
        <v>Execução 142</v>
      </c>
      <c r="B146" s="32"/>
      <c r="C146" s="50"/>
      <c r="D146" s="33"/>
      <c r="E146" s="47" t="str">
        <f>IFERROR(VLOOKUP(D146,'Listas de Dados'!AA:AB,2,0),"Liberado")</f>
        <v>Liberado</v>
      </c>
      <c r="F146" s="47" t="str">
        <f t="shared" ca="1" si="15"/>
        <v/>
      </c>
      <c r="G146" s="47" t="str">
        <f t="shared" si="16"/>
        <v>X0</v>
      </c>
      <c r="H146" s="47" t="b">
        <f t="shared" si="17"/>
        <v>1</v>
      </c>
      <c r="I146" s="51"/>
      <c r="J146" s="51"/>
      <c r="K146" s="51"/>
      <c r="L146" s="51"/>
      <c r="M146" s="47" t="str">
        <f ca="1">IF(D146=99,"BLOQUEADO POR: "&amp;UPPER(TWUSER())&amp;" - "&amp;TEXT(TODAY(),"DD/MM/AA"),"")</f>
        <v/>
      </c>
      <c r="O146" s="33" t="s">
        <v>98</v>
      </c>
      <c r="P146" s="33" t="s">
        <v>101</v>
      </c>
      <c r="Q146" s="33" t="s">
        <v>109</v>
      </c>
      <c r="R146" s="33" t="s">
        <v>122</v>
      </c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Q146" s="40"/>
    </row>
    <row r="147" spans="1:43" x14ac:dyDescent="0.3">
      <c r="A147" s="7" t="str">
        <f t="shared" si="18"/>
        <v>Execução 143</v>
      </c>
      <c r="B147" s="32"/>
      <c r="C147" s="50"/>
      <c r="D147" s="33"/>
      <c r="E147" s="47" t="str">
        <f>IFERROR(VLOOKUP(D147,'Listas de Dados'!AA:AB,2,0),"Liberado")</f>
        <v>Liberado</v>
      </c>
      <c r="F147" s="47" t="str">
        <f t="shared" ca="1" si="15"/>
        <v/>
      </c>
      <c r="G147" s="47" t="str">
        <f t="shared" si="16"/>
        <v>X0</v>
      </c>
      <c r="H147" s="47" t="b">
        <f t="shared" si="17"/>
        <v>1</v>
      </c>
      <c r="I147" s="51"/>
      <c r="J147" s="51"/>
      <c r="K147" s="51"/>
      <c r="L147" s="51"/>
      <c r="M147" s="47" t="str">
        <f ca="1">IF(D147=99,"BLOQUEADO POR: "&amp;UPPER(TWUSER())&amp;" - "&amp;TEXT(TODAY(),"DD/MM/AA"),"")</f>
        <v/>
      </c>
      <c r="O147" s="33" t="s">
        <v>98</v>
      </c>
      <c r="P147" s="33" t="s">
        <v>101</v>
      </c>
      <c r="Q147" s="33" t="s">
        <v>109</v>
      </c>
      <c r="R147" s="33" t="s">
        <v>122</v>
      </c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Q147" s="40"/>
    </row>
    <row r="148" spans="1:43" x14ac:dyDescent="0.3">
      <c r="A148" s="7" t="str">
        <f t="shared" si="18"/>
        <v>Execução 144</v>
      </c>
      <c r="B148" s="32"/>
      <c r="C148" s="50"/>
      <c r="D148" s="33"/>
      <c r="E148" s="47" t="str">
        <f>IFERROR(VLOOKUP(D148,'Listas de Dados'!AA:AB,2,0),"Liberado")</f>
        <v>Liberado</v>
      </c>
      <c r="F148" s="47" t="str">
        <f t="shared" ca="1" si="15"/>
        <v/>
      </c>
      <c r="G148" s="47" t="str">
        <f t="shared" si="16"/>
        <v>X0</v>
      </c>
      <c r="H148" s="47" t="b">
        <f t="shared" si="17"/>
        <v>1</v>
      </c>
      <c r="I148" s="51"/>
      <c r="J148" s="51"/>
      <c r="K148" s="51"/>
      <c r="L148" s="51"/>
      <c r="M148" s="47" t="str">
        <f ca="1">IF(D148=99,"BLOQUEADO POR: "&amp;UPPER(TWUSER())&amp;" - "&amp;TEXT(TODAY(),"DD/MM/AA"),"")</f>
        <v/>
      </c>
      <c r="O148" s="33" t="s">
        <v>98</v>
      </c>
      <c r="P148" s="33" t="s">
        <v>101</v>
      </c>
      <c r="Q148" s="33" t="s">
        <v>109</v>
      </c>
      <c r="R148" s="33" t="s">
        <v>122</v>
      </c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Q148" s="40"/>
    </row>
    <row r="149" spans="1:43" x14ac:dyDescent="0.3">
      <c r="A149" s="7" t="str">
        <f t="shared" si="18"/>
        <v>Execução 145</v>
      </c>
      <c r="B149" s="32"/>
      <c r="C149" s="50"/>
      <c r="D149" s="33"/>
      <c r="E149" s="47" t="str">
        <f>IFERROR(VLOOKUP(D149,'Listas de Dados'!AA:AB,2,0),"Liberado")</f>
        <v>Liberado</v>
      </c>
      <c r="F149" s="47" t="str">
        <f t="shared" ca="1" si="15"/>
        <v/>
      </c>
      <c r="G149" s="47" t="str">
        <f t="shared" si="16"/>
        <v>X0</v>
      </c>
      <c r="H149" s="47" t="b">
        <f t="shared" si="17"/>
        <v>1</v>
      </c>
      <c r="I149" s="51"/>
      <c r="J149" s="51"/>
      <c r="K149" s="51"/>
      <c r="L149" s="51"/>
      <c r="M149" s="47" t="str">
        <f ca="1">IF(D149=99,"BLOQUEADO POR: "&amp;UPPER(TWUSER())&amp;" - "&amp;TEXT(TODAY(),"DD/MM/AA"),"")</f>
        <v/>
      </c>
      <c r="O149" s="33" t="s">
        <v>98</v>
      </c>
      <c r="P149" s="33" t="s">
        <v>101</v>
      </c>
      <c r="Q149" s="33" t="s">
        <v>109</v>
      </c>
      <c r="R149" s="33" t="s">
        <v>122</v>
      </c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Q149" s="40"/>
    </row>
    <row r="150" spans="1:43" x14ac:dyDescent="0.3">
      <c r="A150" s="7" t="str">
        <f t="shared" si="18"/>
        <v>Execução 146</v>
      </c>
      <c r="B150" s="32"/>
      <c r="C150" s="50"/>
      <c r="D150" s="33"/>
      <c r="E150" s="47" t="str">
        <f>IFERROR(VLOOKUP(D150,'Listas de Dados'!AA:AB,2,0),"Liberado")</f>
        <v>Liberado</v>
      </c>
      <c r="F150" s="47" t="str">
        <f t="shared" ca="1" si="15"/>
        <v/>
      </c>
      <c r="G150" s="47" t="str">
        <f t="shared" si="16"/>
        <v>X0</v>
      </c>
      <c r="H150" s="47" t="b">
        <f t="shared" si="17"/>
        <v>1</v>
      </c>
      <c r="I150" s="51"/>
      <c r="J150" s="51"/>
      <c r="K150" s="51"/>
      <c r="L150" s="51"/>
      <c r="M150" s="47" t="str">
        <f ca="1">IF(D150=99,"BLOQUEADO POR: "&amp;UPPER(TWUSER())&amp;" - "&amp;TEXT(TODAY(),"DD/MM/AA"),"")</f>
        <v/>
      </c>
      <c r="O150" s="33" t="s">
        <v>98</v>
      </c>
      <c r="P150" s="33" t="s">
        <v>101</v>
      </c>
      <c r="Q150" s="33" t="s">
        <v>109</v>
      </c>
      <c r="R150" s="33" t="s">
        <v>122</v>
      </c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Q150" s="40"/>
    </row>
    <row r="151" spans="1:43" x14ac:dyDescent="0.3">
      <c r="A151" s="7" t="str">
        <f t="shared" si="18"/>
        <v>Execução 147</v>
      </c>
      <c r="B151" s="32"/>
      <c r="C151" s="50"/>
      <c r="D151" s="33"/>
      <c r="E151" s="47" t="str">
        <f>IFERROR(VLOOKUP(D151,'Listas de Dados'!AA:AB,2,0),"Liberado")</f>
        <v>Liberado</v>
      </c>
      <c r="F151" s="47" t="str">
        <f t="shared" ca="1" si="15"/>
        <v/>
      </c>
      <c r="G151" s="47" t="str">
        <f t="shared" si="16"/>
        <v>X0</v>
      </c>
      <c r="H151" s="47" t="b">
        <f t="shared" si="17"/>
        <v>1</v>
      </c>
      <c r="I151" s="51"/>
      <c r="J151" s="51"/>
      <c r="K151" s="51"/>
      <c r="L151" s="51"/>
      <c r="M151" s="47" t="str">
        <f ca="1">IF(D151=99,"BLOQUEADO POR: "&amp;UPPER(TWUSER())&amp;" - "&amp;TEXT(TODAY(),"DD/MM/AA"),"")</f>
        <v/>
      </c>
      <c r="O151" s="33" t="s">
        <v>98</v>
      </c>
      <c r="P151" s="33" t="s">
        <v>101</v>
      </c>
      <c r="Q151" s="33" t="s">
        <v>109</v>
      </c>
      <c r="R151" s="33" t="s">
        <v>122</v>
      </c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Q151" s="40"/>
    </row>
    <row r="152" spans="1:43" x14ac:dyDescent="0.3">
      <c r="A152" s="7" t="str">
        <f t="shared" si="18"/>
        <v>Execução 148</v>
      </c>
      <c r="B152" s="32"/>
      <c r="C152" s="50"/>
      <c r="D152" s="33"/>
      <c r="E152" s="47" t="str">
        <f>IFERROR(VLOOKUP(D152,'Listas de Dados'!AA:AB,2,0),"Liberado")</f>
        <v>Liberado</v>
      </c>
      <c r="F152" s="47" t="str">
        <f t="shared" ca="1" si="15"/>
        <v/>
      </c>
      <c r="G152" s="47" t="str">
        <f t="shared" si="16"/>
        <v>X0</v>
      </c>
      <c r="H152" s="47" t="b">
        <f t="shared" si="17"/>
        <v>1</v>
      </c>
      <c r="I152" s="51"/>
      <c r="J152" s="51"/>
      <c r="K152" s="51"/>
      <c r="L152" s="51"/>
      <c r="M152" s="47" t="str">
        <f ca="1">IF(D152=99,"BLOQUEADO POR: "&amp;UPPER(TWUSER())&amp;" - "&amp;TEXT(TODAY(),"DD/MM/AA"),"")</f>
        <v/>
      </c>
      <c r="O152" s="33" t="s">
        <v>98</v>
      </c>
      <c r="P152" s="33" t="s">
        <v>101</v>
      </c>
      <c r="Q152" s="33" t="s">
        <v>109</v>
      </c>
      <c r="R152" s="33" t="s">
        <v>122</v>
      </c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Q152" s="40"/>
    </row>
    <row r="153" spans="1:43" x14ac:dyDescent="0.3">
      <c r="A153" s="7" t="str">
        <f t="shared" si="18"/>
        <v>Execução 149</v>
      </c>
      <c r="B153" s="32"/>
      <c r="C153" s="50"/>
      <c r="D153" s="33"/>
      <c r="E153" s="47" t="str">
        <f>IFERROR(VLOOKUP(D153,'Listas de Dados'!AA:AB,2,0),"Liberado")</f>
        <v>Liberado</v>
      </c>
      <c r="F153" s="47" t="str">
        <f t="shared" ca="1" si="15"/>
        <v/>
      </c>
      <c r="G153" s="47" t="str">
        <f t="shared" si="16"/>
        <v>X0</v>
      </c>
      <c r="H153" s="47" t="b">
        <f t="shared" si="17"/>
        <v>1</v>
      </c>
      <c r="I153" s="51"/>
      <c r="J153" s="51"/>
      <c r="K153" s="51"/>
      <c r="L153" s="51"/>
      <c r="M153" s="47" t="str">
        <f ca="1">IF(D153=99,"BLOQUEADO POR: "&amp;UPPER(TWUSER())&amp;" - "&amp;TEXT(TODAY(),"DD/MM/AA"),"")</f>
        <v/>
      </c>
      <c r="O153" s="33" t="s">
        <v>98</v>
      </c>
      <c r="P153" s="33" t="s">
        <v>101</v>
      </c>
      <c r="Q153" s="33" t="s">
        <v>109</v>
      </c>
      <c r="R153" s="33" t="s">
        <v>122</v>
      </c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Q153" s="40"/>
    </row>
    <row r="154" spans="1:43" x14ac:dyDescent="0.3">
      <c r="A154" s="7" t="str">
        <f t="shared" si="18"/>
        <v>Execução 150</v>
      </c>
      <c r="B154" s="32"/>
      <c r="C154" s="50"/>
      <c r="D154" s="33"/>
      <c r="E154" s="47" t="str">
        <f>IFERROR(VLOOKUP(D154,'Listas de Dados'!AA:AB,2,0),"Liberado")</f>
        <v>Liberado</v>
      </c>
      <c r="F154" s="47" t="str">
        <f t="shared" ca="1" si="15"/>
        <v/>
      </c>
      <c r="G154" s="47" t="str">
        <f t="shared" si="16"/>
        <v>X0</v>
      </c>
      <c r="H154" s="47" t="b">
        <f t="shared" si="17"/>
        <v>1</v>
      </c>
      <c r="I154" s="51"/>
      <c r="J154" s="51"/>
      <c r="K154" s="51"/>
      <c r="L154" s="51"/>
      <c r="M154" s="47" t="str">
        <f ca="1">IF(D154=99,"BLOQUEADO POR: "&amp;UPPER(TWUSER())&amp;" - "&amp;TEXT(TODAY(),"DD/MM/AA"),"")</f>
        <v/>
      </c>
      <c r="O154" s="33" t="s">
        <v>98</v>
      </c>
      <c r="P154" s="33" t="s">
        <v>101</v>
      </c>
      <c r="Q154" s="33" t="s">
        <v>109</v>
      </c>
      <c r="R154" s="33" t="s">
        <v>122</v>
      </c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Q154" s="40"/>
    </row>
    <row r="155" spans="1:43" x14ac:dyDescent="0.3">
      <c r="A155" s="7" t="str">
        <f t="shared" si="18"/>
        <v>Execução 151</v>
      </c>
      <c r="B155" s="32"/>
      <c r="C155" s="50"/>
      <c r="D155" s="33"/>
      <c r="E155" s="47" t="str">
        <f>IFERROR(VLOOKUP(D155,'Listas de Dados'!AA:AB,2,0),"Liberado")</f>
        <v>Liberado</v>
      </c>
      <c r="F155" s="47" t="str">
        <f t="shared" ca="1" si="15"/>
        <v/>
      </c>
      <c r="G155" s="47" t="str">
        <f t="shared" si="16"/>
        <v>X0</v>
      </c>
      <c r="H155" s="47" t="b">
        <f t="shared" si="17"/>
        <v>1</v>
      </c>
      <c r="I155" s="51"/>
      <c r="J155" s="51"/>
      <c r="K155" s="51"/>
      <c r="L155" s="51"/>
      <c r="M155" s="47" t="str">
        <f ca="1">IF(D155=99,"BLOQUEADO POR: "&amp;UPPER(TWUSER())&amp;" - "&amp;TEXT(TODAY(),"DD/MM/AA"),"")</f>
        <v/>
      </c>
      <c r="O155" s="33" t="s">
        <v>98</v>
      </c>
      <c r="P155" s="33" t="s">
        <v>101</v>
      </c>
      <c r="Q155" s="33" t="s">
        <v>109</v>
      </c>
      <c r="R155" s="33" t="s">
        <v>122</v>
      </c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Q155" s="40"/>
    </row>
    <row r="156" spans="1:43" x14ac:dyDescent="0.3">
      <c r="A156" s="7" t="str">
        <f t="shared" si="18"/>
        <v>Execução 152</v>
      </c>
      <c r="B156" s="32"/>
      <c r="C156" s="50"/>
      <c r="D156" s="33"/>
      <c r="E156" s="47" t="str">
        <f>IFERROR(VLOOKUP(D156,'Listas de Dados'!AA:AB,2,0),"Liberado")</f>
        <v>Liberado</v>
      </c>
      <c r="F156" s="47" t="str">
        <f t="shared" ca="1" si="15"/>
        <v/>
      </c>
      <c r="G156" s="47" t="str">
        <f t="shared" si="16"/>
        <v>X0</v>
      </c>
      <c r="H156" s="47" t="b">
        <f t="shared" si="17"/>
        <v>1</v>
      </c>
      <c r="I156" s="51"/>
      <c r="J156" s="51"/>
      <c r="K156" s="51"/>
      <c r="L156" s="51"/>
      <c r="M156" s="47" t="str">
        <f ca="1">IF(D156=99,"BLOQUEADO POR: "&amp;UPPER(TWUSER())&amp;" - "&amp;TEXT(TODAY(),"DD/MM/AA"),"")</f>
        <v/>
      </c>
      <c r="O156" s="33" t="s">
        <v>98</v>
      </c>
      <c r="P156" s="33" t="s">
        <v>101</v>
      </c>
      <c r="Q156" s="33" t="s">
        <v>109</v>
      </c>
      <c r="R156" s="33" t="s">
        <v>122</v>
      </c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Q156" s="40"/>
    </row>
    <row r="157" spans="1:43" x14ac:dyDescent="0.3">
      <c r="A157" s="7" t="str">
        <f t="shared" si="18"/>
        <v>Execução 153</v>
      </c>
      <c r="B157" s="32"/>
      <c r="C157" s="50"/>
      <c r="D157" s="33"/>
      <c r="E157" s="47" t="str">
        <f>IFERROR(VLOOKUP(D157,'Listas de Dados'!AA:AB,2,0),"Liberado")</f>
        <v>Liberado</v>
      </c>
      <c r="F157" s="47" t="str">
        <f t="shared" ca="1" si="15"/>
        <v/>
      </c>
      <c r="G157" s="47" t="str">
        <f t="shared" si="16"/>
        <v>X0</v>
      </c>
      <c r="H157" s="47" t="b">
        <f t="shared" si="17"/>
        <v>1</v>
      </c>
      <c r="I157" s="51"/>
      <c r="J157" s="51"/>
      <c r="K157" s="51"/>
      <c r="L157" s="51"/>
      <c r="M157" s="47" t="str">
        <f ca="1">IF(D157=99,"BLOQUEADO POR: "&amp;UPPER(TWUSER())&amp;" - "&amp;TEXT(TODAY(),"DD/MM/AA"),"")</f>
        <v/>
      </c>
      <c r="O157" s="33" t="s">
        <v>98</v>
      </c>
      <c r="P157" s="33" t="s">
        <v>101</v>
      </c>
      <c r="Q157" s="33" t="s">
        <v>109</v>
      </c>
      <c r="R157" s="33" t="s">
        <v>122</v>
      </c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Q157" s="40"/>
    </row>
    <row r="158" spans="1:43" x14ac:dyDescent="0.3">
      <c r="A158" s="7" t="str">
        <f t="shared" si="18"/>
        <v>Execução 154</v>
      </c>
      <c r="B158" s="32"/>
      <c r="C158" s="50"/>
      <c r="D158" s="33"/>
      <c r="E158" s="47" t="str">
        <f>IFERROR(VLOOKUP(D158,'Listas de Dados'!AA:AB,2,0),"Liberado")</f>
        <v>Liberado</v>
      </c>
      <c r="F158" s="47" t="str">
        <f t="shared" ca="1" si="15"/>
        <v/>
      </c>
      <c r="G158" s="47" t="str">
        <f t="shared" si="16"/>
        <v>X0</v>
      </c>
      <c r="H158" s="47" t="b">
        <f t="shared" si="17"/>
        <v>1</v>
      </c>
      <c r="I158" s="51"/>
      <c r="J158" s="51"/>
      <c r="K158" s="51"/>
      <c r="L158" s="51"/>
      <c r="M158" s="47" t="str">
        <f ca="1">IF(D158=99,"BLOQUEADO POR: "&amp;UPPER(TWUSER())&amp;" - "&amp;TEXT(TODAY(),"DD/MM/AA"),"")</f>
        <v/>
      </c>
      <c r="O158" s="33" t="s">
        <v>98</v>
      </c>
      <c r="P158" s="33" t="s">
        <v>101</v>
      </c>
      <c r="Q158" s="33" t="s">
        <v>109</v>
      </c>
      <c r="R158" s="33" t="s">
        <v>122</v>
      </c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Q158" s="40"/>
    </row>
    <row r="159" spans="1:43" x14ac:dyDescent="0.3">
      <c r="A159" s="7" t="str">
        <f t="shared" si="18"/>
        <v>Execução 155</v>
      </c>
      <c r="B159" s="32"/>
      <c r="C159" s="50"/>
      <c r="D159" s="33"/>
      <c r="E159" s="47" t="str">
        <f>IFERROR(VLOOKUP(D159,'Listas de Dados'!AA:AB,2,0),"Liberado")</f>
        <v>Liberado</v>
      </c>
      <c r="F159" s="47" t="str">
        <f t="shared" ca="1" si="15"/>
        <v/>
      </c>
      <c r="G159" s="47" t="str">
        <f t="shared" si="16"/>
        <v>X0</v>
      </c>
      <c r="H159" s="47" t="b">
        <f t="shared" si="17"/>
        <v>1</v>
      </c>
      <c r="I159" s="51"/>
      <c r="J159" s="51"/>
      <c r="K159" s="51"/>
      <c r="L159" s="51"/>
      <c r="M159" s="47" t="str">
        <f ca="1">IF(D159=99,"BLOQUEADO POR: "&amp;UPPER(TWUSER())&amp;" - "&amp;TEXT(TODAY(),"DD/MM/AA"),"")</f>
        <v/>
      </c>
      <c r="O159" s="33" t="s">
        <v>98</v>
      </c>
      <c r="P159" s="33" t="s">
        <v>101</v>
      </c>
      <c r="Q159" s="33" t="s">
        <v>109</v>
      </c>
      <c r="R159" s="33" t="s">
        <v>122</v>
      </c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Q159" s="40"/>
    </row>
    <row r="160" spans="1:43" x14ac:dyDescent="0.3">
      <c r="A160" s="7" t="str">
        <f t="shared" si="18"/>
        <v>Execução 156</v>
      </c>
      <c r="B160" s="32"/>
      <c r="C160" s="50"/>
      <c r="D160" s="33"/>
      <c r="E160" s="47" t="str">
        <f>IFERROR(VLOOKUP(D160,'Listas de Dados'!AA:AB,2,0),"Liberado")</f>
        <v>Liberado</v>
      </c>
      <c r="F160" s="47" t="str">
        <f t="shared" ca="1" si="15"/>
        <v/>
      </c>
      <c r="G160" s="47" t="str">
        <f t="shared" si="16"/>
        <v>X0</v>
      </c>
      <c r="H160" s="47" t="b">
        <f t="shared" si="17"/>
        <v>1</v>
      </c>
      <c r="I160" s="51"/>
      <c r="J160" s="51"/>
      <c r="K160" s="51"/>
      <c r="L160" s="51"/>
      <c r="M160" s="47" t="str">
        <f ca="1">IF(D160=99,"BLOQUEADO POR: "&amp;UPPER(TWUSER())&amp;" - "&amp;TEXT(TODAY(),"DD/MM/AA"),"")</f>
        <v/>
      </c>
      <c r="O160" s="33" t="s">
        <v>98</v>
      </c>
      <c r="P160" s="33" t="s">
        <v>101</v>
      </c>
      <c r="Q160" s="33" t="s">
        <v>109</v>
      </c>
      <c r="R160" s="33" t="s">
        <v>122</v>
      </c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Q160" s="40"/>
    </row>
    <row r="161" spans="1:43" x14ac:dyDescent="0.3">
      <c r="A161" s="7" t="str">
        <f t="shared" si="18"/>
        <v>Execução 157</v>
      </c>
      <c r="B161" s="32"/>
      <c r="C161" s="50"/>
      <c r="D161" s="33"/>
      <c r="E161" s="47" t="str">
        <f>IFERROR(VLOOKUP(D161,'Listas de Dados'!AA:AB,2,0),"Liberado")</f>
        <v>Liberado</v>
      </c>
      <c r="F161" s="47" t="str">
        <f t="shared" ca="1" si="15"/>
        <v/>
      </c>
      <c r="G161" s="47" t="str">
        <f t="shared" si="16"/>
        <v>X0</v>
      </c>
      <c r="H161" s="47" t="b">
        <f t="shared" si="17"/>
        <v>1</v>
      </c>
      <c r="I161" s="51"/>
      <c r="J161" s="51"/>
      <c r="K161" s="51"/>
      <c r="L161" s="51"/>
      <c r="M161" s="47" t="str">
        <f ca="1">IF(D161=99,"BLOQUEADO POR: "&amp;UPPER(TWUSER())&amp;" - "&amp;TEXT(TODAY(),"DD/MM/AA"),"")</f>
        <v/>
      </c>
      <c r="O161" s="33" t="s">
        <v>98</v>
      </c>
      <c r="P161" s="33" t="s">
        <v>101</v>
      </c>
      <c r="Q161" s="33" t="s">
        <v>109</v>
      </c>
      <c r="R161" s="33" t="s">
        <v>122</v>
      </c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Q161" s="40"/>
    </row>
    <row r="162" spans="1:43" x14ac:dyDescent="0.3">
      <c r="A162" s="7" t="str">
        <f t="shared" si="18"/>
        <v>Execução 158</v>
      </c>
      <c r="B162" s="32"/>
      <c r="C162" s="50"/>
      <c r="D162" s="33"/>
      <c r="E162" s="47" t="str">
        <f>IFERROR(VLOOKUP(D162,'Listas de Dados'!AA:AB,2,0),"Liberado")</f>
        <v>Liberado</v>
      </c>
      <c r="F162" s="47" t="str">
        <f t="shared" ca="1" si="15"/>
        <v/>
      </c>
      <c r="G162" s="47" t="str">
        <f t="shared" si="16"/>
        <v>X0</v>
      </c>
      <c r="H162" s="47" t="b">
        <f t="shared" si="17"/>
        <v>1</v>
      </c>
      <c r="I162" s="51"/>
      <c r="J162" s="51"/>
      <c r="K162" s="51"/>
      <c r="L162" s="51"/>
      <c r="M162" s="47" t="str">
        <f ca="1">IF(D162=99,"BLOQUEADO POR: "&amp;UPPER(TWUSER())&amp;" - "&amp;TEXT(TODAY(),"DD/MM/AA"),"")</f>
        <v/>
      </c>
      <c r="O162" s="33" t="s">
        <v>98</v>
      </c>
      <c r="P162" s="33" t="s">
        <v>101</v>
      </c>
      <c r="Q162" s="33" t="s">
        <v>109</v>
      </c>
      <c r="R162" s="33" t="s">
        <v>122</v>
      </c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Q162" s="40"/>
    </row>
    <row r="163" spans="1:43" x14ac:dyDescent="0.3">
      <c r="A163" s="7" t="str">
        <f t="shared" si="18"/>
        <v>Execução 159</v>
      </c>
      <c r="B163" s="32"/>
      <c r="C163" s="50"/>
      <c r="D163" s="33"/>
      <c r="E163" s="47" t="str">
        <f>IFERROR(VLOOKUP(D163,'Listas de Dados'!AA:AB,2,0),"Liberado")</f>
        <v>Liberado</v>
      </c>
      <c r="F163" s="47" t="str">
        <f t="shared" ca="1" si="15"/>
        <v/>
      </c>
      <c r="G163" s="47" t="str">
        <f t="shared" si="16"/>
        <v>X0</v>
      </c>
      <c r="H163" s="47" t="b">
        <f t="shared" si="17"/>
        <v>1</v>
      </c>
      <c r="I163" s="51"/>
      <c r="J163" s="51"/>
      <c r="K163" s="51"/>
      <c r="L163" s="51"/>
      <c r="M163" s="47" t="str">
        <f ca="1">IF(D163=99,"BLOQUEADO POR: "&amp;UPPER(TWUSER())&amp;" - "&amp;TEXT(TODAY(),"DD/MM/AA"),"")</f>
        <v/>
      </c>
      <c r="O163" s="33" t="s">
        <v>98</v>
      </c>
      <c r="P163" s="33" t="s">
        <v>101</v>
      </c>
      <c r="Q163" s="33" t="s">
        <v>109</v>
      </c>
      <c r="R163" s="33" t="s">
        <v>122</v>
      </c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Q163" s="40"/>
    </row>
    <row r="164" spans="1:43" x14ac:dyDescent="0.3">
      <c r="A164" s="7" t="str">
        <f t="shared" si="18"/>
        <v>Execução 160</v>
      </c>
      <c r="B164" s="32"/>
      <c r="C164" s="50"/>
      <c r="D164" s="33"/>
      <c r="E164" s="47" t="str">
        <f>IFERROR(VLOOKUP(D164,'Listas de Dados'!AA:AB,2,0),"Liberado")</f>
        <v>Liberado</v>
      </c>
      <c r="F164" s="47" t="str">
        <f t="shared" ca="1" si="15"/>
        <v/>
      </c>
      <c r="G164" s="47" t="str">
        <f t="shared" si="16"/>
        <v>X0</v>
      </c>
      <c r="H164" s="47" t="b">
        <f t="shared" si="17"/>
        <v>1</v>
      </c>
      <c r="I164" s="51"/>
      <c r="J164" s="51"/>
      <c r="K164" s="51"/>
      <c r="L164" s="51"/>
      <c r="M164" s="47" t="str">
        <f ca="1">IF(D164=99,"BLOQUEADO POR: "&amp;UPPER(TWUSER())&amp;" - "&amp;TEXT(TODAY(),"DD/MM/AA"),"")</f>
        <v/>
      </c>
      <c r="O164" s="33" t="s">
        <v>98</v>
      </c>
      <c r="P164" s="33" t="s">
        <v>101</v>
      </c>
      <c r="Q164" s="33" t="s">
        <v>109</v>
      </c>
      <c r="R164" s="33" t="s">
        <v>122</v>
      </c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Q164" s="40"/>
    </row>
    <row r="165" spans="1:43" x14ac:dyDescent="0.3">
      <c r="A165" s="7" t="str">
        <f t="shared" si="18"/>
        <v>Execução 161</v>
      </c>
      <c r="B165" s="32"/>
      <c r="C165" s="50"/>
      <c r="D165" s="33"/>
      <c r="E165" s="47" t="str">
        <f>IFERROR(VLOOKUP(D165,'Listas de Dados'!AA:AB,2,0),"Liberado")</f>
        <v>Liberado</v>
      </c>
      <c r="F165" s="47" t="str">
        <f t="shared" ca="1" si="15"/>
        <v/>
      </c>
      <c r="G165" s="47" t="str">
        <f t="shared" si="16"/>
        <v>X0</v>
      </c>
      <c r="H165" s="47" t="b">
        <f t="shared" si="17"/>
        <v>1</v>
      </c>
      <c r="I165" s="51"/>
      <c r="J165" s="51"/>
      <c r="K165" s="51"/>
      <c r="L165" s="51"/>
      <c r="M165" s="47" t="str">
        <f ca="1">IF(D165=99,"BLOQUEADO POR: "&amp;UPPER(TWUSER())&amp;" - "&amp;TEXT(TODAY(),"DD/MM/AA"),"")</f>
        <v/>
      </c>
      <c r="O165" s="33" t="s">
        <v>98</v>
      </c>
      <c r="P165" s="33" t="s">
        <v>101</v>
      </c>
      <c r="Q165" s="33" t="s">
        <v>109</v>
      </c>
      <c r="R165" s="33" t="s">
        <v>122</v>
      </c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Q165" s="40"/>
    </row>
    <row r="166" spans="1:43" x14ac:dyDescent="0.3">
      <c r="A166" s="7" t="str">
        <f t="shared" si="18"/>
        <v>Execução 162</v>
      </c>
      <c r="B166" s="32"/>
      <c r="C166" s="50"/>
      <c r="D166" s="33"/>
      <c r="E166" s="47" t="str">
        <f>IFERROR(VLOOKUP(D166,'Listas de Dados'!AA:AB,2,0),"Liberado")</f>
        <v>Liberado</v>
      </c>
      <c r="F166" s="47" t="str">
        <f t="shared" ca="1" si="15"/>
        <v/>
      </c>
      <c r="G166" s="47" t="str">
        <f t="shared" si="16"/>
        <v>X0</v>
      </c>
      <c r="H166" s="47" t="b">
        <f t="shared" si="17"/>
        <v>1</v>
      </c>
      <c r="I166" s="51"/>
      <c r="J166" s="51"/>
      <c r="K166" s="51"/>
      <c r="L166" s="51"/>
      <c r="M166" s="47" t="str">
        <f ca="1">IF(D166=99,"BLOQUEADO POR: "&amp;UPPER(TWUSER())&amp;" - "&amp;TEXT(TODAY(),"DD/MM/AA"),"")</f>
        <v/>
      </c>
      <c r="O166" s="33" t="s">
        <v>98</v>
      </c>
      <c r="P166" s="33" t="s">
        <v>101</v>
      </c>
      <c r="Q166" s="33" t="s">
        <v>109</v>
      </c>
      <c r="R166" s="33" t="s">
        <v>122</v>
      </c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Q166" s="40"/>
    </row>
    <row r="167" spans="1:43" x14ac:dyDescent="0.3">
      <c r="A167" s="7" t="str">
        <f t="shared" si="18"/>
        <v>Execução 163</v>
      </c>
      <c r="B167" s="32"/>
      <c r="C167" s="50"/>
      <c r="D167" s="33"/>
      <c r="E167" s="47" t="str">
        <f>IFERROR(VLOOKUP(D167,'Listas de Dados'!AA:AB,2,0),"Liberado")</f>
        <v>Liberado</v>
      </c>
      <c r="F167" s="47" t="str">
        <f t="shared" ca="1" si="15"/>
        <v/>
      </c>
      <c r="G167" s="47" t="str">
        <f t="shared" si="16"/>
        <v>X0</v>
      </c>
      <c r="H167" s="47" t="b">
        <f t="shared" si="17"/>
        <v>1</v>
      </c>
      <c r="I167" s="51"/>
      <c r="J167" s="51"/>
      <c r="K167" s="51"/>
      <c r="L167" s="51"/>
      <c r="M167" s="47" t="str">
        <f ca="1">IF(D167=99,"BLOQUEADO POR: "&amp;UPPER(TWUSER())&amp;" - "&amp;TEXT(TODAY(),"DD/MM/AA"),"")</f>
        <v/>
      </c>
      <c r="O167" s="33" t="s">
        <v>98</v>
      </c>
      <c r="P167" s="33" t="s">
        <v>101</v>
      </c>
      <c r="Q167" s="33" t="s">
        <v>109</v>
      </c>
      <c r="R167" s="33" t="s">
        <v>122</v>
      </c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Q167" s="40"/>
    </row>
    <row r="168" spans="1:43" x14ac:dyDescent="0.3">
      <c r="A168" s="7" t="str">
        <f t="shared" si="18"/>
        <v>Execução 164</v>
      </c>
      <c r="B168" s="32"/>
      <c r="C168" s="50"/>
      <c r="D168" s="33"/>
      <c r="E168" s="47" t="str">
        <f>IFERROR(VLOOKUP(D168,'Listas de Dados'!AA:AB,2,0),"Liberado")</f>
        <v>Liberado</v>
      </c>
      <c r="F168" s="47" t="str">
        <f t="shared" ca="1" si="15"/>
        <v/>
      </c>
      <c r="G168" s="47" t="str">
        <f t="shared" si="16"/>
        <v>X0</v>
      </c>
      <c r="H168" s="47" t="b">
        <f t="shared" si="17"/>
        <v>1</v>
      </c>
      <c r="I168" s="51"/>
      <c r="J168" s="51"/>
      <c r="K168" s="51"/>
      <c r="L168" s="51"/>
      <c r="M168" s="47" t="str">
        <f ca="1">IF(D168=99,"BLOQUEADO POR: "&amp;UPPER(TWUSER())&amp;" - "&amp;TEXT(TODAY(),"DD/MM/AA"),"")</f>
        <v/>
      </c>
      <c r="O168" s="33" t="s">
        <v>98</v>
      </c>
      <c r="P168" s="33" t="s">
        <v>101</v>
      </c>
      <c r="Q168" s="33" t="s">
        <v>109</v>
      </c>
      <c r="R168" s="33" t="s">
        <v>122</v>
      </c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Q168" s="40"/>
    </row>
    <row r="169" spans="1:43" x14ac:dyDescent="0.3">
      <c r="A169" s="7" t="str">
        <f t="shared" si="18"/>
        <v>Execução 165</v>
      </c>
      <c r="B169" s="32"/>
      <c r="C169" s="50"/>
      <c r="D169" s="33"/>
      <c r="E169" s="47" t="str">
        <f>IFERROR(VLOOKUP(D169,'Listas de Dados'!AA:AB,2,0),"Liberado")</f>
        <v>Liberado</v>
      </c>
      <c r="F169" s="47" t="str">
        <f t="shared" ca="1" si="15"/>
        <v/>
      </c>
      <c r="G169" s="47" t="str">
        <f t="shared" si="16"/>
        <v>X0</v>
      </c>
      <c r="H169" s="47" t="b">
        <f t="shared" si="17"/>
        <v>1</v>
      </c>
      <c r="I169" s="51"/>
      <c r="J169" s="51"/>
      <c r="K169" s="51"/>
      <c r="L169" s="51"/>
      <c r="M169" s="47" t="str">
        <f ca="1">IF(D169=99,"BLOQUEADO POR: "&amp;UPPER(TWUSER())&amp;" - "&amp;TEXT(TODAY(),"DD/MM/AA"),"")</f>
        <v/>
      </c>
      <c r="O169" s="33" t="s">
        <v>98</v>
      </c>
      <c r="P169" s="33" t="s">
        <v>101</v>
      </c>
      <c r="Q169" s="33" t="s">
        <v>109</v>
      </c>
      <c r="R169" s="33" t="s">
        <v>122</v>
      </c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Q169" s="40"/>
    </row>
    <row r="170" spans="1:43" x14ac:dyDescent="0.3">
      <c r="A170" s="7" t="str">
        <f t="shared" si="18"/>
        <v>Execução 166</v>
      </c>
      <c r="B170" s="32"/>
      <c r="C170" s="50"/>
      <c r="D170" s="33"/>
      <c r="E170" s="47" t="str">
        <f>IFERROR(VLOOKUP(D170,'Listas de Dados'!AA:AB,2,0),"Liberado")</f>
        <v>Liberado</v>
      </c>
      <c r="F170" s="47" t="str">
        <f t="shared" ca="1" si="15"/>
        <v/>
      </c>
      <c r="G170" s="47" t="str">
        <f t="shared" si="16"/>
        <v>X0</v>
      </c>
      <c r="H170" s="47" t="b">
        <f t="shared" si="17"/>
        <v>1</v>
      </c>
      <c r="I170" s="51"/>
      <c r="J170" s="51"/>
      <c r="K170" s="51"/>
      <c r="L170" s="51"/>
      <c r="M170" s="47" t="str">
        <f ca="1">IF(D170=99,"BLOQUEADO POR: "&amp;UPPER(TWUSER())&amp;" - "&amp;TEXT(TODAY(),"DD/MM/AA"),"")</f>
        <v/>
      </c>
      <c r="O170" s="33" t="s">
        <v>98</v>
      </c>
      <c r="P170" s="33" t="s">
        <v>101</v>
      </c>
      <c r="Q170" s="33" t="s">
        <v>109</v>
      </c>
      <c r="R170" s="33" t="s">
        <v>122</v>
      </c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Q170" s="40"/>
    </row>
    <row r="171" spans="1:43" x14ac:dyDescent="0.3">
      <c r="A171" s="7" t="str">
        <f t="shared" si="18"/>
        <v>Execução 167</v>
      </c>
      <c r="B171" s="32"/>
      <c r="C171" s="50"/>
      <c r="D171" s="33"/>
      <c r="E171" s="47" t="str">
        <f>IFERROR(VLOOKUP(D171,'Listas de Dados'!AA:AB,2,0),"Liberado")</f>
        <v>Liberado</v>
      </c>
      <c r="F171" s="47" t="str">
        <f t="shared" ca="1" si="15"/>
        <v/>
      </c>
      <c r="G171" s="47" t="str">
        <f t="shared" si="16"/>
        <v>X0</v>
      </c>
      <c r="H171" s="47" t="b">
        <f t="shared" si="17"/>
        <v>1</v>
      </c>
      <c r="I171" s="51"/>
      <c r="J171" s="51"/>
      <c r="K171" s="51"/>
      <c r="L171" s="51"/>
      <c r="M171" s="47" t="str">
        <f ca="1">IF(D171=99,"BLOQUEADO POR: "&amp;UPPER(TWUSER())&amp;" - "&amp;TEXT(TODAY(),"DD/MM/AA"),"")</f>
        <v/>
      </c>
      <c r="O171" s="33" t="s">
        <v>98</v>
      </c>
      <c r="P171" s="33" t="s">
        <v>101</v>
      </c>
      <c r="Q171" s="33" t="s">
        <v>109</v>
      </c>
      <c r="R171" s="33" t="s">
        <v>122</v>
      </c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Q171" s="40"/>
    </row>
    <row r="172" spans="1:43" x14ac:dyDescent="0.3">
      <c r="A172" s="7" t="str">
        <f t="shared" si="18"/>
        <v>Execução 168</v>
      </c>
      <c r="B172" s="32"/>
      <c r="C172" s="50"/>
      <c r="D172" s="33"/>
      <c r="E172" s="47" t="str">
        <f>IFERROR(VLOOKUP(D172,'Listas de Dados'!AA:AB,2,0),"Liberado")</f>
        <v>Liberado</v>
      </c>
      <c r="F172" s="47" t="str">
        <f t="shared" ca="1" si="15"/>
        <v/>
      </c>
      <c r="G172" s="47" t="str">
        <f t="shared" si="16"/>
        <v>X0</v>
      </c>
      <c r="H172" s="47" t="b">
        <f t="shared" si="17"/>
        <v>1</v>
      </c>
      <c r="I172" s="51"/>
      <c r="J172" s="51"/>
      <c r="K172" s="51"/>
      <c r="L172" s="51"/>
      <c r="M172" s="47" t="str">
        <f ca="1">IF(D172=99,"BLOQUEADO POR: "&amp;UPPER(TWUSER())&amp;" - "&amp;TEXT(TODAY(),"DD/MM/AA"),"")</f>
        <v/>
      </c>
      <c r="O172" s="33" t="s">
        <v>98</v>
      </c>
      <c r="P172" s="33" t="s">
        <v>101</v>
      </c>
      <c r="Q172" s="33" t="s">
        <v>109</v>
      </c>
      <c r="R172" s="33" t="s">
        <v>122</v>
      </c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Q172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 B51:B63 B65">
    <cfRule type="beginsWith" dxfId="33" priority="130" operator="beginsWith" text="L">
      <formula>LEFT(B5,LEN("L"))="L"</formula>
    </cfRule>
  </conditionalFormatting>
  <conditionalFormatting sqref="B6:B19">
    <cfRule type="beginsWith" dxfId="32" priority="68" operator="beginsWith" text="L">
      <formula>LEFT(B6,LEN("L"))="L"</formula>
    </cfRule>
  </conditionalFormatting>
  <conditionalFormatting sqref="AQ1:AQ19 AQ50:AQ63 AQ65 AQ173:AQ1048576">
    <cfRule type="containsText" dxfId="31" priority="47" operator="containsText" text="criadas">
      <formula>NOT(ISERROR(SEARCH("criadas",AQ1)))</formula>
    </cfRule>
    <cfRule type="containsText" dxfId="30" priority="49" operator="containsText" text="é gravado">
      <formula>NOT(ISERROR(SEARCH("é gravado",AQ1)))</formula>
    </cfRule>
    <cfRule type="containsText" dxfId="29" priority="50" operator="containsText" text="é modificado">
      <formula>NOT(ISERROR(SEARCH("é modificado",AQ1)))</formula>
    </cfRule>
    <cfRule type="containsText" dxfId="28" priority="51" operator="containsText" text="Error">
      <formula>NOT(ISERROR(SEARCH("Error",AQ1)))</formula>
    </cfRule>
    <cfRule type="containsText" dxfId="27" priority="52" operator="containsText" text="é criado">
      <formula>NOT(ISERROR(SEARCH("é criado",AQ1)))</formula>
    </cfRule>
  </conditionalFormatting>
  <conditionalFormatting sqref="B20">
    <cfRule type="beginsWith" dxfId="26" priority="33" operator="beginsWith" text="L">
      <formula>LEFT(B20,LEN("L"))="L"</formula>
    </cfRule>
  </conditionalFormatting>
  <conditionalFormatting sqref="B21:B34">
    <cfRule type="beginsWith" dxfId="25" priority="32" operator="beginsWith" text="L">
      <formula>LEFT(B21,LEN("L"))="L"</formula>
    </cfRule>
  </conditionalFormatting>
  <conditionalFormatting sqref="AQ20:AQ34">
    <cfRule type="containsText" dxfId="24" priority="27" operator="containsText" text="criadas">
      <formula>NOT(ISERROR(SEARCH("criadas",AQ20)))</formula>
    </cfRule>
    <cfRule type="containsText" dxfId="23" priority="28" operator="containsText" text="é gravado">
      <formula>NOT(ISERROR(SEARCH("é gravado",AQ20)))</formula>
    </cfRule>
    <cfRule type="containsText" dxfId="22" priority="29" operator="containsText" text="é modificado">
      <formula>NOT(ISERROR(SEARCH("é modificado",AQ20)))</formula>
    </cfRule>
    <cfRule type="containsText" dxfId="21" priority="30" operator="containsText" text="Error">
      <formula>NOT(ISERROR(SEARCH("Error",AQ20)))</formula>
    </cfRule>
    <cfRule type="containsText" dxfId="20" priority="31" operator="containsText" text="é criado">
      <formula>NOT(ISERROR(SEARCH("é criado",AQ20)))</formula>
    </cfRule>
  </conditionalFormatting>
  <conditionalFormatting sqref="B35">
    <cfRule type="beginsWith" dxfId="19" priority="26" operator="beginsWith" text="L">
      <formula>LEFT(B35,LEN("L"))="L"</formula>
    </cfRule>
  </conditionalFormatting>
  <conditionalFormatting sqref="B36:B49">
    <cfRule type="beginsWith" dxfId="18" priority="25" operator="beginsWith" text="L">
      <formula>LEFT(B36,LEN("L"))="L"</formula>
    </cfRule>
  </conditionalFormatting>
  <conditionalFormatting sqref="AQ35:AQ49">
    <cfRule type="containsText" dxfId="17" priority="20" operator="containsText" text="criadas">
      <formula>NOT(ISERROR(SEARCH("criadas",AQ35)))</formula>
    </cfRule>
    <cfRule type="containsText" dxfId="16" priority="21" operator="containsText" text="é gravado">
      <formula>NOT(ISERROR(SEARCH("é gravado",AQ35)))</formula>
    </cfRule>
    <cfRule type="containsText" dxfId="15" priority="22" operator="containsText" text="é modificado">
      <formula>NOT(ISERROR(SEARCH("é modificado",AQ35)))</formula>
    </cfRule>
    <cfRule type="containsText" dxfId="14" priority="23" operator="containsText" text="Error">
      <formula>NOT(ISERROR(SEARCH("Error",AQ35)))</formula>
    </cfRule>
    <cfRule type="containsText" dxfId="13" priority="24" operator="containsText" text="é criado">
      <formula>NOT(ISERROR(SEARCH("é criado",AQ35)))</formula>
    </cfRule>
  </conditionalFormatting>
  <conditionalFormatting sqref="B50">
    <cfRule type="beginsWith" dxfId="12" priority="19" operator="beginsWith" text="L">
      <formula>LEFT(B50,LEN("L"))="L"</formula>
    </cfRule>
  </conditionalFormatting>
  <conditionalFormatting sqref="B64">
    <cfRule type="beginsWith" dxfId="11" priority="12" operator="beginsWith" text="L">
      <formula>LEFT(B64,LEN("L"))="L"</formula>
    </cfRule>
  </conditionalFormatting>
  <conditionalFormatting sqref="AQ64">
    <cfRule type="containsText" dxfId="10" priority="7" operator="containsText" text="criadas">
      <formula>NOT(ISERROR(SEARCH("criadas",AQ64)))</formula>
    </cfRule>
    <cfRule type="containsText" dxfId="9" priority="8" operator="containsText" text="é gravado">
      <formula>NOT(ISERROR(SEARCH("é gravado",AQ64)))</formula>
    </cfRule>
    <cfRule type="containsText" dxfId="8" priority="9" operator="containsText" text="é modificado">
      <formula>NOT(ISERROR(SEARCH("é modificado",AQ64)))</formula>
    </cfRule>
    <cfRule type="containsText" dxfId="7" priority="10" operator="containsText" text="Error">
      <formula>NOT(ISERROR(SEARCH("Error",AQ64)))</formula>
    </cfRule>
    <cfRule type="containsText" dxfId="6" priority="11" operator="containsText" text="é criado">
      <formula>NOT(ISERROR(SEARCH("é criado",AQ64)))</formula>
    </cfRule>
  </conditionalFormatting>
  <conditionalFormatting sqref="B66:B172">
    <cfRule type="beginsWith" dxfId="5" priority="6" operator="beginsWith" text="L">
      <formula>LEFT(B66,LEN("L"))="L"</formula>
    </cfRule>
  </conditionalFormatting>
  <conditionalFormatting sqref="AQ66:AQ172">
    <cfRule type="containsText" dxfId="4" priority="1" operator="containsText" text="criadas">
      <formula>NOT(ISERROR(SEARCH("criadas",AQ66)))</formula>
    </cfRule>
    <cfRule type="containsText" dxfId="3" priority="2" operator="containsText" text="é gravado">
      <formula>NOT(ISERROR(SEARCH("é gravado",AQ66)))</formula>
    </cfRule>
    <cfRule type="containsText" dxfId="2" priority="3" operator="containsText" text="é modificado">
      <formula>NOT(ISERROR(SEARCH("é modificado",AQ66)))</formula>
    </cfRule>
    <cfRule type="containsText" dxfId="1" priority="4" operator="containsText" text="Error">
      <formula>NOT(ISERROR(SEARCH("Error",AQ66)))</formula>
    </cfRule>
    <cfRule type="containsText" dxfId="0" priority="5" operator="containsText" text="é criado">
      <formula>NOT(ISERROR(SEARCH("é criado",AQ66)))</formula>
    </cfRule>
  </conditionalFormatting>
  <dataValidations count="2">
    <dataValidation type="list" allowBlank="1" showInputMessage="1" showErrorMessage="1" sqref="H5:H172">
      <formula1>"VERDADEIRO,FALSO"</formula1>
    </dataValidation>
    <dataValidation type="textLength" allowBlank="1" showInputMessage="1" showErrorMessage="1" sqref="I5:L172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O5:AO172</xm:sqref>
        </x14:dataValidation>
        <x14:dataValidation type="list" allowBlank="1" showInputMessage="1" showErrorMessage="1">
          <x14:formula1>
            <xm:f>'Listas de Dados'!$AA$4:$AA$5</xm:f>
          </x14:formula1>
          <xm:sqref>D5:D172</xm:sqref>
        </x14:dataValidation>
        <x14:dataValidation type="list" allowBlank="1" showInputMessage="1" showErrorMessage="1">
          <x14:formula1>
            <xm:f>'Listas de Dados'!$B$4:$B$5</xm:f>
          </x14:formula1>
          <xm:sqref>C5:C172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3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3">
      <c r="A2" s="53"/>
      <c r="B2" s="53" t="s">
        <v>10</v>
      </c>
      <c r="C2" s="53"/>
      <c r="D2" s="53"/>
      <c r="E2" s="53"/>
      <c r="F2" s="15"/>
      <c r="G2" s="53" t="s">
        <v>33</v>
      </c>
      <c r="H2" s="53"/>
      <c r="I2" s="15"/>
      <c r="J2" s="53" t="s">
        <v>124</v>
      </c>
      <c r="K2" s="53"/>
      <c r="L2" s="15"/>
      <c r="M2" s="53" t="s">
        <v>153</v>
      </c>
      <c r="N2" s="53"/>
      <c r="O2" s="15"/>
      <c r="P2" s="53" t="s">
        <v>165</v>
      </c>
      <c r="Q2" s="53"/>
      <c r="R2" s="53"/>
      <c r="S2" s="53"/>
      <c r="T2" s="53"/>
      <c r="U2" s="53"/>
      <c r="V2" s="53"/>
      <c r="W2" s="53"/>
      <c r="X2" s="53"/>
      <c r="Y2" s="53"/>
      <c r="Z2" s="27"/>
      <c r="AA2" s="53" t="s">
        <v>267</v>
      </c>
      <c r="AB2" s="53"/>
      <c r="AC2" s="15"/>
      <c r="AD2" s="53" t="s">
        <v>270</v>
      </c>
      <c r="AE2" s="53"/>
      <c r="AF2" s="17"/>
      <c r="AG2" s="17" t="s">
        <v>270</v>
      </c>
      <c r="AH2" s="19"/>
      <c r="AI2" s="53" t="s">
        <v>302</v>
      </c>
      <c r="AJ2" s="53"/>
      <c r="AK2" s="19"/>
      <c r="AL2" s="53" t="s">
        <v>326</v>
      </c>
      <c r="AM2" s="53"/>
      <c r="AN2" s="19"/>
      <c r="AO2" s="53" t="s">
        <v>33</v>
      </c>
      <c r="AP2" s="53"/>
      <c r="AQ2" s="19"/>
      <c r="AR2" s="53" t="s">
        <v>327</v>
      </c>
      <c r="AS2" s="53"/>
      <c r="AT2" s="19"/>
      <c r="AU2" s="53" t="s">
        <v>341</v>
      </c>
      <c r="AV2" s="53"/>
      <c r="AW2" s="19"/>
      <c r="AX2" s="53" t="s">
        <v>403</v>
      </c>
      <c r="AY2" s="53"/>
      <c r="AZ2" s="21"/>
      <c r="BA2" s="53" t="s">
        <v>415</v>
      </c>
      <c r="BB2" s="53"/>
      <c r="BC2" s="53"/>
      <c r="BD2" s="53"/>
      <c r="BE2" s="23"/>
      <c r="BF2" s="53" t="s">
        <v>561</v>
      </c>
      <c r="BG2" s="53"/>
      <c r="BH2" s="53"/>
      <c r="BI2" s="29"/>
      <c r="BJ2" s="53" t="s">
        <v>613</v>
      </c>
      <c r="BK2" s="53"/>
      <c r="BL2" s="34"/>
      <c r="BM2" s="34" t="s">
        <v>96</v>
      </c>
      <c r="BN2" s="34"/>
      <c r="BO2" s="53" t="s">
        <v>684</v>
      </c>
      <c r="BP2" s="53"/>
      <c r="BQ2" s="34"/>
      <c r="BR2" s="34" t="s">
        <v>685</v>
      </c>
      <c r="BS2" s="43"/>
      <c r="BT2" s="53" t="s">
        <v>693</v>
      </c>
      <c r="BU2" s="53"/>
    </row>
    <row r="3" spans="1:73" s="2" customFormat="1" ht="17.100000000000001" customHeight="1" x14ac:dyDescent="0.3">
      <c r="A3" s="5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3">
      <c r="BT88" s="16">
        <v>22000820</v>
      </c>
      <c r="BU88" s="16" t="s">
        <v>807</v>
      </c>
    </row>
    <row r="89" spans="53:73" x14ac:dyDescent="0.3">
      <c r="BT89" s="16">
        <v>22000717</v>
      </c>
      <c r="BU89" s="16" t="s">
        <v>808</v>
      </c>
    </row>
    <row r="90" spans="53:73" x14ac:dyDescent="0.3">
      <c r="BT90" s="16">
        <v>22000010</v>
      </c>
      <c r="BU90" s="16" t="s">
        <v>809</v>
      </c>
    </row>
    <row r="91" spans="53:73" x14ac:dyDescent="0.3">
      <c r="BT91" s="16">
        <v>22000161</v>
      </c>
      <c r="BU91" s="16" t="s">
        <v>810</v>
      </c>
    </row>
    <row r="92" spans="53:73" x14ac:dyDescent="0.3">
      <c r="BT92" s="16">
        <v>22000802</v>
      </c>
      <c r="BU92" s="16" t="s">
        <v>811</v>
      </c>
    </row>
    <row r="93" spans="53:73" x14ac:dyDescent="0.3">
      <c r="BT93" s="16">
        <v>21002076</v>
      </c>
      <c r="BU93" s="16" t="s">
        <v>812</v>
      </c>
    </row>
    <row r="94" spans="53:73" x14ac:dyDescent="0.3">
      <c r="BT94" s="16">
        <v>22000941</v>
      </c>
      <c r="BU94" s="16" t="s">
        <v>813</v>
      </c>
    </row>
    <row r="95" spans="53:73" x14ac:dyDescent="0.3">
      <c r="BT95" s="16">
        <v>22000362</v>
      </c>
      <c r="BU95" s="16" t="s">
        <v>814</v>
      </c>
    </row>
    <row r="96" spans="53:73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2022-03-16T18:09:59Z</dcterms:modified>
</cp:coreProperties>
</file>