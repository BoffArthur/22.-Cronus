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drawings/drawing3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drawings/drawing4.xml" ContentType="application/vnd.openxmlformats-officedocument.drawing+xml"/>
  <Override PartName="/xl/ctrlProps/ctrlProp6.xml" ContentType="application/vnd.ms-excel.controlproperties+xml"/>
  <Override PartName="/xl/ctrlProps/ctrlProp7.xml" ContentType="application/vnd.ms-excel.controlproperties+xml"/>
  <Override PartName="/xl/drawings/drawing5.xml" ContentType="application/vnd.openxmlformats-officedocument.drawing+xml"/>
  <Override PartName="/xl/ctrlProps/ctrlProp8.xml" ContentType="application/vnd.ms-excel.controlproperties+xml"/>
  <Override PartName="/xl/ctrlProps/ctrlProp9.xml" ContentType="application/vnd.ms-excel.controlproperties+xml"/>
  <Override PartName="/xl/drawings/drawing6.xml" ContentType="application/vnd.openxmlformats-officedocument.drawing+xml"/>
  <Override PartName="/xl/ctrlProps/ctrlProp10.xml" ContentType="application/vnd.ms-excel.controlproperties+xml"/>
  <Override PartName="/xl/ctrlProps/ctrlProp11.xml" ContentType="application/vnd.ms-excel.controlproperties+xml"/>
  <Override PartName="/xl/drawings/drawing7.xml" ContentType="application/vnd.openxmlformats-officedocument.drawing+xml"/>
  <Override PartName="/xl/ctrlProps/ctrlProp12.xml" ContentType="application/vnd.ms-excel.controlproperties+xml"/>
  <Override PartName="/xl/ctrlProps/ctrlProp13.xml" ContentType="application/vnd.ms-excel.controlproperties+xml"/>
  <Override PartName="/xl/drawings/drawing8.xml" ContentType="application/vnd.openxmlformats-officedocument.drawing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9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EstaPasta_de_trabalho"/>
  <mc:AlternateContent xmlns:mc="http://schemas.openxmlformats.org/markup-compatibility/2006">
    <mc:Choice Requires="x15">
      <x15ac:absPath xmlns:x15ac="http://schemas.microsoft.com/office/spreadsheetml/2010/11/ac" url="Q:\Trabalhos em Andamento\Arthur Boff\19. Programas\22. Cronus\Excel\Workbooks\SAP Script Connection\Not Applied\"/>
    </mc:Choice>
  </mc:AlternateContent>
  <bookViews>
    <workbookView xWindow="5580" yWindow="70200" windowWidth="28800" windowHeight="14130"/>
  </bookViews>
  <sheets>
    <sheet name="MM01" sheetId="6" r:id="rId1"/>
    <sheet name="CS40" sheetId="8" r:id="rId2"/>
    <sheet name="CA02" sheetId="9" r:id="rId3"/>
    <sheet name="MM02" sheetId="10" r:id="rId4"/>
    <sheet name="LPK1" sheetId="11" r:id="rId5"/>
    <sheet name="C223" sheetId="12" r:id="rId6"/>
    <sheet name="ZTMM_PURLINS" sheetId="13" r:id="rId7"/>
    <sheet name="Consulta" sheetId="7" r:id="rId8"/>
    <sheet name="Listas de Dados" sheetId="2" r:id="rId9"/>
  </sheets>
  <functionGroups builtInGroupCount="18"/>
  <definedNames>
    <definedName name="DadosExternos_1" localSheetId="7" hidden="1">Consulta!$A$1:$CB$9</definedName>
  </definedNames>
  <calcPr calcId="162913"/>
</workbook>
</file>

<file path=xl/calcChain.xml><?xml version="1.0" encoding="utf-8"?>
<calcChain xmlns="http://schemas.openxmlformats.org/spreadsheetml/2006/main">
  <c r="CE10" i="7" l="1"/>
  <c r="C6" i="13" l="1"/>
  <c r="C7" i="13"/>
  <c r="C8" i="13"/>
  <c r="C9" i="13"/>
  <c r="C10" i="13"/>
  <c r="C11" i="13"/>
  <c r="C12" i="13"/>
  <c r="C13" i="13"/>
  <c r="C14" i="13"/>
  <c r="C15" i="13"/>
  <c r="C16" i="13"/>
  <c r="C17" i="13"/>
  <c r="C18" i="13"/>
  <c r="C19" i="13"/>
  <c r="C20" i="13"/>
  <c r="C21" i="13"/>
  <c r="C22" i="13"/>
  <c r="C23" i="13"/>
  <c r="C24" i="13"/>
  <c r="C25" i="13"/>
  <c r="C26" i="13"/>
  <c r="C27" i="13"/>
  <c r="C28" i="13"/>
  <c r="C29" i="13"/>
  <c r="C30" i="13"/>
  <c r="D6" i="13"/>
  <c r="E6" i="13"/>
  <c r="F6" i="13"/>
  <c r="G6" i="13"/>
  <c r="H6" i="13"/>
  <c r="D7" i="13"/>
  <c r="E7" i="13"/>
  <c r="F7" i="13"/>
  <c r="G7" i="13"/>
  <c r="H7" i="13"/>
  <c r="D8" i="13"/>
  <c r="E8" i="13"/>
  <c r="F8" i="13"/>
  <c r="G8" i="13"/>
  <c r="H8" i="13"/>
  <c r="D9" i="13"/>
  <c r="E9" i="13"/>
  <c r="F9" i="13"/>
  <c r="G9" i="13"/>
  <c r="H9" i="13"/>
  <c r="D10" i="13"/>
  <c r="E10" i="13"/>
  <c r="F10" i="13"/>
  <c r="G10" i="13"/>
  <c r="H10" i="13"/>
  <c r="D11" i="13"/>
  <c r="E11" i="13"/>
  <c r="F11" i="13"/>
  <c r="G11" i="13"/>
  <c r="H11" i="13"/>
  <c r="D12" i="13"/>
  <c r="E12" i="13"/>
  <c r="F12" i="13"/>
  <c r="G12" i="13"/>
  <c r="H12" i="13"/>
  <c r="D13" i="13"/>
  <c r="E13" i="13"/>
  <c r="F13" i="13"/>
  <c r="G13" i="13"/>
  <c r="H13" i="13"/>
  <c r="D14" i="13"/>
  <c r="E14" i="13"/>
  <c r="F14" i="13"/>
  <c r="G14" i="13"/>
  <c r="H14" i="13"/>
  <c r="D15" i="13"/>
  <c r="E15" i="13"/>
  <c r="F15" i="13"/>
  <c r="G15" i="13"/>
  <c r="H15" i="13"/>
  <c r="D16" i="13"/>
  <c r="E16" i="13"/>
  <c r="F16" i="13"/>
  <c r="G16" i="13"/>
  <c r="H16" i="13"/>
  <c r="D17" i="13"/>
  <c r="E17" i="13"/>
  <c r="F17" i="13"/>
  <c r="G17" i="13"/>
  <c r="H17" i="13"/>
  <c r="D18" i="13"/>
  <c r="E18" i="13"/>
  <c r="F18" i="13"/>
  <c r="G18" i="13"/>
  <c r="H18" i="13"/>
  <c r="D19" i="13"/>
  <c r="E19" i="13"/>
  <c r="F19" i="13"/>
  <c r="G19" i="13"/>
  <c r="H19" i="13"/>
  <c r="D20" i="13"/>
  <c r="E20" i="13"/>
  <c r="F20" i="13"/>
  <c r="G20" i="13"/>
  <c r="H20" i="13"/>
  <c r="D21" i="13"/>
  <c r="E21" i="13"/>
  <c r="F21" i="13"/>
  <c r="G21" i="13"/>
  <c r="H21" i="13"/>
  <c r="D22" i="13"/>
  <c r="E22" i="13"/>
  <c r="F22" i="13"/>
  <c r="G22" i="13"/>
  <c r="H22" i="13"/>
  <c r="D23" i="13"/>
  <c r="E23" i="13"/>
  <c r="F23" i="13"/>
  <c r="G23" i="13"/>
  <c r="H23" i="13"/>
  <c r="D24" i="13"/>
  <c r="E24" i="13"/>
  <c r="F24" i="13"/>
  <c r="G24" i="13"/>
  <c r="H24" i="13"/>
  <c r="D25" i="13"/>
  <c r="E25" i="13"/>
  <c r="F25" i="13"/>
  <c r="G25" i="13"/>
  <c r="H25" i="13"/>
  <c r="D26" i="13"/>
  <c r="E26" i="13"/>
  <c r="F26" i="13"/>
  <c r="G26" i="13"/>
  <c r="H26" i="13"/>
  <c r="D27" i="13"/>
  <c r="E27" i="13"/>
  <c r="F27" i="13"/>
  <c r="G27" i="13"/>
  <c r="H27" i="13"/>
  <c r="D28" i="13"/>
  <c r="E28" i="13"/>
  <c r="F28" i="13"/>
  <c r="G28" i="13"/>
  <c r="H28" i="13"/>
  <c r="D29" i="13"/>
  <c r="E29" i="13"/>
  <c r="F29" i="13"/>
  <c r="G29" i="13"/>
  <c r="H29" i="13"/>
  <c r="D30" i="13"/>
  <c r="E30" i="13"/>
  <c r="F30" i="13"/>
  <c r="G30" i="13"/>
  <c r="H30" i="13"/>
  <c r="D5" i="13"/>
  <c r="H5" i="13"/>
  <c r="G5" i="13"/>
  <c r="F5" i="13"/>
  <c r="E5" i="13"/>
  <c r="C5" i="13" l="1"/>
  <c r="A30" i="13"/>
  <c r="A29" i="13"/>
  <c r="A28" i="13"/>
  <c r="A27" i="13"/>
  <c r="A26" i="13"/>
  <c r="A25" i="13"/>
  <c r="A24" i="13"/>
  <c r="A23" i="13"/>
  <c r="A22" i="13"/>
  <c r="A21" i="13"/>
  <c r="A20" i="13"/>
  <c r="A19" i="13"/>
  <c r="A18" i="13"/>
  <c r="A17" i="13"/>
  <c r="A16" i="13"/>
  <c r="A15" i="13"/>
  <c r="A14" i="13"/>
  <c r="A13" i="13"/>
  <c r="A12" i="13"/>
  <c r="A11" i="13"/>
  <c r="A10" i="13"/>
  <c r="A9" i="13"/>
  <c r="A8" i="13"/>
  <c r="A7" i="13"/>
  <c r="A6" i="13"/>
  <c r="A5" i="13"/>
  <c r="DD54" i="6" l="1"/>
  <c r="DD53" i="6"/>
  <c r="DD52" i="6"/>
  <c r="DD51" i="6"/>
  <c r="DD50" i="6"/>
  <c r="DD49" i="6"/>
  <c r="DD48" i="6"/>
  <c r="DD47" i="6"/>
  <c r="DD46" i="6"/>
  <c r="DD45" i="6"/>
  <c r="DD44" i="6"/>
  <c r="DD43" i="6"/>
  <c r="DD42" i="6"/>
  <c r="DD41" i="6"/>
  <c r="DD40" i="6"/>
  <c r="DD39" i="6"/>
  <c r="DD38" i="6"/>
  <c r="DD37" i="6"/>
  <c r="DD36" i="6"/>
  <c r="DD35" i="6"/>
  <c r="DD34" i="6"/>
  <c r="DD33" i="6"/>
  <c r="DD32" i="6"/>
  <c r="DD31" i="6"/>
  <c r="DD30" i="6"/>
  <c r="DD29" i="6"/>
  <c r="DD28" i="6"/>
  <c r="DD27" i="6"/>
  <c r="DD26" i="6"/>
  <c r="DD25" i="6"/>
  <c r="DD24" i="6"/>
  <c r="DD23" i="6"/>
  <c r="DD22" i="6"/>
  <c r="DD21" i="6"/>
  <c r="DD20" i="6"/>
  <c r="DD19" i="6"/>
  <c r="DD18" i="6"/>
  <c r="DD17" i="6"/>
  <c r="DD16" i="6"/>
  <c r="DD15" i="6"/>
  <c r="DD14" i="6"/>
  <c r="DD13" i="6"/>
  <c r="DD12" i="6"/>
  <c r="DD11" i="6"/>
  <c r="DD10" i="6"/>
  <c r="DD9" i="6"/>
  <c r="DD8" i="6"/>
  <c r="DD7" i="6"/>
  <c r="DD6" i="6"/>
  <c r="DD5" i="6"/>
  <c r="DC54" i="6"/>
  <c r="DC53" i="6"/>
  <c r="DC52" i="6"/>
  <c r="DC51" i="6"/>
  <c r="DC50" i="6"/>
  <c r="DC49" i="6"/>
  <c r="DC48" i="6"/>
  <c r="DC47" i="6"/>
  <c r="DC46" i="6"/>
  <c r="DC45" i="6"/>
  <c r="DC44" i="6"/>
  <c r="DC43" i="6"/>
  <c r="DC42" i="6"/>
  <c r="DC41" i="6"/>
  <c r="DC40" i="6"/>
  <c r="DC39" i="6"/>
  <c r="DC38" i="6"/>
  <c r="DC37" i="6"/>
  <c r="DC36" i="6"/>
  <c r="DC35" i="6"/>
  <c r="DC34" i="6"/>
  <c r="DC33" i="6"/>
  <c r="DC32" i="6"/>
  <c r="DC31" i="6"/>
  <c r="DC30" i="6"/>
  <c r="DC29" i="6"/>
  <c r="DC28" i="6"/>
  <c r="DC27" i="6"/>
  <c r="DC26" i="6"/>
  <c r="DC25" i="6"/>
  <c r="DC24" i="6"/>
  <c r="DC23" i="6"/>
  <c r="DC22" i="6"/>
  <c r="DC21" i="6"/>
  <c r="DC20" i="6"/>
  <c r="DC19" i="6"/>
  <c r="DC18" i="6"/>
  <c r="DC17" i="6"/>
  <c r="DC16" i="6"/>
  <c r="DC15" i="6"/>
  <c r="DC14" i="6"/>
  <c r="DC13" i="6"/>
  <c r="DC12" i="6"/>
  <c r="DC11" i="6"/>
  <c r="DC10" i="6"/>
  <c r="DC9" i="6"/>
  <c r="DC8" i="6"/>
  <c r="DC7" i="6"/>
  <c r="DC6" i="6"/>
  <c r="DC5" i="6"/>
  <c r="DB54" i="6"/>
  <c r="DB53" i="6"/>
  <c r="DB52" i="6"/>
  <c r="DB51" i="6"/>
  <c r="DB50" i="6"/>
  <c r="DB49" i="6"/>
  <c r="DB48" i="6"/>
  <c r="DB47" i="6"/>
  <c r="DB46" i="6"/>
  <c r="DB45" i="6"/>
  <c r="DB44" i="6"/>
  <c r="DB43" i="6"/>
  <c r="DB42" i="6"/>
  <c r="DB41" i="6"/>
  <c r="DB40" i="6"/>
  <c r="DB39" i="6"/>
  <c r="DB38" i="6"/>
  <c r="DB37" i="6"/>
  <c r="DB36" i="6"/>
  <c r="DB35" i="6"/>
  <c r="DB34" i="6"/>
  <c r="DB33" i="6"/>
  <c r="DB32" i="6"/>
  <c r="DB31" i="6"/>
  <c r="DB30" i="6"/>
  <c r="DB29" i="6"/>
  <c r="DB28" i="6"/>
  <c r="DB27" i="6"/>
  <c r="DB26" i="6"/>
  <c r="DB25" i="6"/>
  <c r="DB24" i="6"/>
  <c r="DB23" i="6"/>
  <c r="DB22" i="6"/>
  <c r="DB21" i="6"/>
  <c r="DB20" i="6"/>
  <c r="DB19" i="6"/>
  <c r="DB18" i="6"/>
  <c r="DB17" i="6"/>
  <c r="DB16" i="6"/>
  <c r="DB15" i="6"/>
  <c r="DB14" i="6"/>
  <c r="DB13" i="6"/>
  <c r="DB12" i="6"/>
  <c r="DB11" i="6"/>
  <c r="DB10" i="6"/>
  <c r="DB9" i="6"/>
  <c r="DB8" i="6"/>
  <c r="DB7" i="6"/>
  <c r="DB6" i="6"/>
  <c r="DB5" i="6"/>
  <c r="DA54" i="6"/>
  <c r="DA53" i="6"/>
  <c r="DA52" i="6"/>
  <c r="DA51" i="6"/>
  <c r="DA50" i="6"/>
  <c r="DA49" i="6"/>
  <c r="DA48" i="6"/>
  <c r="DA47" i="6"/>
  <c r="DA46" i="6"/>
  <c r="DA45" i="6"/>
  <c r="DA44" i="6"/>
  <c r="DA43" i="6"/>
  <c r="DA42" i="6"/>
  <c r="DA41" i="6"/>
  <c r="DA40" i="6"/>
  <c r="DA39" i="6"/>
  <c r="DA38" i="6"/>
  <c r="DA37" i="6"/>
  <c r="DA36" i="6"/>
  <c r="DA35" i="6"/>
  <c r="DA34" i="6"/>
  <c r="DA33" i="6"/>
  <c r="DA32" i="6"/>
  <c r="DA31" i="6"/>
  <c r="DA30" i="6"/>
  <c r="DA29" i="6"/>
  <c r="DA28" i="6"/>
  <c r="DA27" i="6"/>
  <c r="DA26" i="6"/>
  <c r="DA25" i="6"/>
  <c r="DA24" i="6"/>
  <c r="DA23" i="6"/>
  <c r="DA22" i="6"/>
  <c r="DA21" i="6"/>
  <c r="DA20" i="6"/>
  <c r="DA19" i="6"/>
  <c r="DA18" i="6"/>
  <c r="DA17" i="6"/>
  <c r="DA16" i="6"/>
  <c r="DA15" i="6"/>
  <c r="DA14" i="6"/>
  <c r="DA13" i="6"/>
  <c r="DA12" i="6"/>
  <c r="DA11" i="6"/>
  <c r="DA10" i="6"/>
  <c r="DA9" i="6"/>
  <c r="DA8" i="6"/>
  <c r="DA7" i="6"/>
  <c r="DA6" i="6"/>
  <c r="DA5" i="6"/>
  <c r="C6" i="10" l="1"/>
  <c r="C7" i="10"/>
  <c r="C8" i="10"/>
  <c r="C9" i="10"/>
  <c r="C10" i="10"/>
  <c r="C11" i="10"/>
  <c r="C12" i="10"/>
  <c r="C13" i="10"/>
  <c r="C14" i="10"/>
  <c r="C15" i="10"/>
  <c r="C16" i="10"/>
  <c r="C17" i="10"/>
  <c r="C18" i="10"/>
  <c r="C19" i="10"/>
  <c r="C20" i="10"/>
  <c r="C21" i="10"/>
  <c r="C22" i="10"/>
  <c r="C23" i="10"/>
  <c r="C24" i="10"/>
  <c r="C25" i="10"/>
  <c r="C26" i="10"/>
  <c r="C27" i="10"/>
  <c r="C28" i="10"/>
  <c r="C29" i="10"/>
  <c r="C30" i="10"/>
  <c r="C31" i="10"/>
  <c r="C32" i="10"/>
  <c r="C33" i="10"/>
  <c r="C34" i="10"/>
  <c r="C35" i="10"/>
  <c r="C36" i="10"/>
  <c r="C37" i="10"/>
  <c r="C38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C53" i="10"/>
  <c r="C54" i="10"/>
  <c r="B1" i="10"/>
  <c r="C6" i="9"/>
  <c r="C7" i="9"/>
  <c r="C8" i="9"/>
  <c r="C9" i="9"/>
  <c r="C10" i="9"/>
  <c r="C11" i="9"/>
  <c r="C12" i="9"/>
  <c r="C13" i="9"/>
  <c r="C14" i="9"/>
  <c r="C15" i="9"/>
  <c r="C16" i="9"/>
  <c r="C17" i="9"/>
  <c r="C18" i="9"/>
  <c r="C19" i="9"/>
  <c r="C20" i="9"/>
  <c r="C21" i="9"/>
  <c r="C22" i="9"/>
  <c r="C23" i="9"/>
  <c r="C24" i="9"/>
  <c r="C25" i="9"/>
  <c r="C26" i="9"/>
  <c r="C27" i="9"/>
  <c r="C28" i="9"/>
  <c r="C29" i="9"/>
  <c r="C30" i="9"/>
  <c r="C31" i="9"/>
  <c r="C32" i="9"/>
  <c r="C33" i="9"/>
  <c r="C34" i="9"/>
  <c r="C35" i="9"/>
  <c r="C36" i="9"/>
  <c r="C37" i="9"/>
  <c r="C38" i="9"/>
  <c r="C39" i="9"/>
  <c r="C40" i="9"/>
  <c r="C41" i="9"/>
  <c r="C42" i="9"/>
  <c r="C43" i="9"/>
  <c r="C44" i="9"/>
  <c r="C45" i="9"/>
  <c r="C46" i="9"/>
  <c r="C47" i="9"/>
  <c r="C48" i="9"/>
  <c r="C49" i="9"/>
  <c r="C50" i="9"/>
  <c r="C51" i="9"/>
  <c r="C52" i="9"/>
  <c r="C53" i="9"/>
  <c r="C54" i="9"/>
  <c r="B1" i="9"/>
  <c r="C6" i="12" l="1"/>
  <c r="C7" i="12"/>
  <c r="C8" i="12"/>
  <c r="C9" i="12"/>
  <c r="C10" i="12"/>
  <c r="C11" i="12"/>
  <c r="C12" i="12"/>
  <c r="C13" i="12"/>
  <c r="C14" i="12"/>
  <c r="C15" i="12"/>
  <c r="C16" i="12"/>
  <c r="C17" i="12"/>
  <c r="C18" i="12"/>
  <c r="C19" i="12"/>
  <c r="C20" i="12"/>
  <c r="C21" i="12"/>
  <c r="C22" i="12"/>
  <c r="C23" i="12"/>
  <c r="C24" i="12"/>
  <c r="C25" i="12"/>
  <c r="C26" i="12"/>
  <c r="C27" i="12"/>
  <c r="C28" i="12"/>
  <c r="C29" i="12"/>
  <c r="C30" i="12"/>
  <c r="C31" i="12"/>
  <c r="C32" i="12"/>
  <c r="C33" i="12"/>
  <c r="C34" i="12"/>
  <c r="C35" i="12"/>
  <c r="C36" i="12"/>
  <c r="C37" i="12"/>
  <c r="C38" i="12"/>
  <c r="C39" i="12"/>
  <c r="C40" i="12"/>
  <c r="C41" i="12"/>
  <c r="C42" i="12"/>
  <c r="C43" i="12"/>
  <c r="C44" i="12"/>
  <c r="C45" i="12"/>
  <c r="C46" i="12"/>
  <c r="C47" i="12"/>
  <c r="C48" i="12"/>
  <c r="C49" i="12"/>
  <c r="C50" i="12"/>
  <c r="C51" i="12"/>
  <c r="C52" i="12"/>
  <c r="C53" i="12"/>
  <c r="C54" i="12"/>
  <c r="E54" i="12" l="1"/>
  <c r="E53" i="12"/>
  <c r="E52" i="12"/>
  <c r="E51" i="12"/>
  <c r="E50" i="12"/>
  <c r="E49" i="12"/>
  <c r="E48" i="12"/>
  <c r="E47" i="12"/>
  <c r="E46" i="12"/>
  <c r="E45" i="12"/>
  <c r="E44" i="12"/>
  <c r="E43" i="12"/>
  <c r="E42" i="12"/>
  <c r="E41" i="12"/>
  <c r="E40" i="12"/>
  <c r="E39" i="12"/>
  <c r="E38" i="12"/>
  <c r="E37" i="12"/>
  <c r="E36" i="12"/>
  <c r="E35" i="12"/>
  <c r="E34" i="12"/>
  <c r="E33" i="12"/>
  <c r="E32" i="12"/>
  <c r="E31" i="12"/>
  <c r="E30" i="12"/>
  <c r="E29" i="12"/>
  <c r="E28" i="12"/>
  <c r="E27" i="12"/>
  <c r="E26" i="12"/>
  <c r="E25" i="12"/>
  <c r="E24" i="12"/>
  <c r="E23" i="12"/>
  <c r="E22" i="12"/>
  <c r="E21" i="12"/>
  <c r="E20" i="12"/>
  <c r="E19" i="12"/>
  <c r="E18" i="12"/>
  <c r="E17" i="12"/>
  <c r="E16" i="12"/>
  <c r="E15" i="12"/>
  <c r="E14" i="12"/>
  <c r="E13" i="12"/>
  <c r="E12" i="12"/>
  <c r="E11" i="12"/>
  <c r="E10" i="12"/>
  <c r="E9" i="12"/>
  <c r="E8" i="12"/>
  <c r="E7" i="12"/>
  <c r="E6" i="12"/>
  <c r="E5" i="12"/>
  <c r="D6" i="12"/>
  <c r="D7" i="12"/>
  <c r="D8" i="12"/>
  <c r="D9" i="12"/>
  <c r="D10" i="12"/>
  <c r="D11" i="12"/>
  <c r="D12" i="12"/>
  <c r="D13" i="12"/>
  <c r="D14" i="12"/>
  <c r="D15" i="12"/>
  <c r="D16" i="12"/>
  <c r="D17" i="12"/>
  <c r="D18" i="12"/>
  <c r="D19" i="12"/>
  <c r="D20" i="12"/>
  <c r="D21" i="12"/>
  <c r="D22" i="12"/>
  <c r="D23" i="12"/>
  <c r="D24" i="12"/>
  <c r="D25" i="12"/>
  <c r="D26" i="12"/>
  <c r="D27" i="12"/>
  <c r="D28" i="12"/>
  <c r="D29" i="12"/>
  <c r="D30" i="12"/>
  <c r="D31" i="12"/>
  <c r="D32" i="12"/>
  <c r="D33" i="12"/>
  <c r="D34" i="12"/>
  <c r="D35" i="12"/>
  <c r="D36" i="12"/>
  <c r="D37" i="12"/>
  <c r="D38" i="12"/>
  <c r="D39" i="12"/>
  <c r="D40" i="12"/>
  <c r="D41" i="12"/>
  <c r="D42" i="12"/>
  <c r="D43" i="12"/>
  <c r="D44" i="12"/>
  <c r="D45" i="12"/>
  <c r="D46" i="12"/>
  <c r="D47" i="12"/>
  <c r="D48" i="12"/>
  <c r="D49" i="12"/>
  <c r="D50" i="12"/>
  <c r="D51" i="12"/>
  <c r="D52" i="12"/>
  <c r="D53" i="12"/>
  <c r="D54" i="12"/>
  <c r="A54" i="12" l="1"/>
  <c r="A53" i="12"/>
  <c r="A52" i="12"/>
  <c r="A51" i="12"/>
  <c r="A50" i="12"/>
  <c r="A49" i="12"/>
  <c r="A48" i="12"/>
  <c r="A47" i="12"/>
  <c r="A46" i="12"/>
  <c r="A45" i="12"/>
  <c r="A44" i="12"/>
  <c r="A43" i="12"/>
  <c r="A42" i="12"/>
  <c r="A41" i="12"/>
  <c r="A40" i="12"/>
  <c r="A39" i="12"/>
  <c r="A38" i="12"/>
  <c r="A37" i="12"/>
  <c r="A36" i="12"/>
  <c r="A35" i="12"/>
  <c r="A34" i="12"/>
  <c r="A33" i="12"/>
  <c r="A32" i="12"/>
  <c r="A31" i="12"/>
  <c r="A30" i="12"/>
  <c r="A29" i="12"/>
  <c r="A28" i="12"/>
  <c r="A27" i="12"/>
  <c r="A26" i="12"/>
  <c r="A25" i="12"/>
  <c r="A24" i="12"/>
  <c r="A23" i="12"/>
  <c r="A22" i="12"/>
  <c r="A21" i="12"/>
  <c r="A20" i="12"/>
  <c r="A19" i="12"/>
  <c r="A18" i="12"/>
  <c r="A17" i="12"/>
  <c r="A16" i="12"/>
  <c r="A15" i="12"/>
  <c r="A14" i="12"/>
  <c r="A13" i="12"/>
  <c r="A12" i="12"/>
  <c r="A11" i="12"/>
  <c r="A10" i="12"/>
  <c r="A9" i="12"/>
  <c r="A8" i="12"/>
  <c r="A7" i="12"/>
  <c r="A6" i="12"/>
  <c r="A5" i="12"/>
  <c r="AR6" i="6" l="1"/>
  <c r="AS6" i="6" s="1"/>
  <c r="AR7" i="6"/>
  <c r="AS7" i="6" s="1"/>
  <c r="AR8" i="6"/>
  <c r="AS8" i="6" s="1"/>
  <c r="AR9" i="6"/>
  <c r="AS9" i="6" s="1"/>
  <c r="AR10" i="6"/>
  <c r="AS10" i="6" s="1"/>
  <c r="AR11" i="6"/>
  <c r="AS11" i="6" s="1"/>
  <c r="AR12" i="6"/>
  <c r="AS12" i="6" s="1"/>
  <c r="AR13" i="6"/>
  <c r="AS13" i="6" s="1"/>
  <c r="AR14" i="6"/>
  <c r="AS14" i="6" s="1"/>
  <c r="AR15" i="6"/>
  <c r="AS15" i="6" s="1"/>
  <c r="AR16" i="6"/>
  <c r="AS16" i="6" s="1"/>
  <c r="AR17" i="6"/>
  <c r="AS17" i="6" s="1"/>
  <c r="AR18" i="6"/>
  <c r="AS18" i="6" s="1"/>
  <c r="AR19" i="6"/>
  <c r="AS19" i="6" s="1"/>
  <c r="AR20" i="6"/>
  <c r="AS20" i="6" s="1"/>
  <c r="AR21" i="6"/>
  <c r="AS21" i="6" s="1"/>
  <c r="AR22" i="6"/>
  <c r="AS22" i="6" s="1"/>
  <c r="AR23" i="6"/>
  <c r="AS23" i="6" s="1"/>
  <c r="AR24" i="6"/>
  <c r="AS24" i="6" s="1"/>
  <c r="AR25" i="6"/>
  <c r="AS25" i="6" s="1"/>
  <c r="AR26" i="6"/>
  <c r="AS26" i="6" s="1"/>
  <c r="AR27" i="6"/>
  <c r="AS27" i="6" s="1"/>
  <c r="AR28" i="6"/>
  <c r="AS28" i="6" s="1"/>
  <c r="AR29" i="6"/>
  <c r="AS29" i="6" s="1"/>
  <c r="AR30" i="6"/>
  <c r="AS30" i="6" s="1"/>
  <c r="AR31" i="6"/>
  <c r="AS31" i="6" s="1"/>
  <c r="AR32" i="6"/>
  <c r="AS32" i="6" s="1"/>
  <c r="AR33" i="6"/>
  <c r="AS33" i="6" s="1"/>
  <c r="AR34" i="6"/>
  <c r="AS34" i="6" s="1"/>
  <c r="AR35" i="6"/>
  <c r="AS35" i="6" s="1"/>
  <c r="AR36" i="6"/>
  <c r="AS36" i="6" s="1"/>
  <c r="AR37" i="6"/>
  <c r="AS37" i="6" s="1"/>
  <c r="AR38" i="6"/>
  <c r="AS38" i="6" s="1"/>
  <c r="AR39" i="6"/>
  <c r="AS39" i="6" s="1"/>
  <c r="AR40" i="6"/>
  <c r="AS40" i="6" s="1"/>
  <c r="AR41" i="6"/>
  <c r="AS41" i="6" s="1"/>
  <c r="AR42" i="6"/>
  <c r="AS42" i="6" s="1"/>
  <c r="AR43" i="6"/>
  <c r="AS43" i="6" s="1"/>
  <c r="AR44" i="6"/>
  <c r="AS44" i="6" s="1"/>
  <c r="AR45" i="6"/>
  <c r="AS45" i="6" s="1"/>
  <c r="AR46" i="6"/>
  <c r="AS46" i="6" s="1"/>
  <c r="AR47" i="6"/>
  <c r="AS47" i="6" s="1"/>
  <c r="AR48" i="6"/>
  <c r="AS48" i="6" s="1"/>
  <c r="AR49" i="6"/>
  <c r="AS49" i="6" s="1"/>
  <c r="AR50" i="6"/>
  <c r="AS50" i="6" s="1"/>
  <c r="AR51" i="6"/>
  <c r="AS51" i="6" s="1"/>
  <c r="AR52" i="6"/>
  <c r="AS52" i="6" s="1"/>
  <c r="AR53" i="6"/>
  <c r="AS53" i="6" s="1"/>
  <c r="AR54" i="6"/>
  <c r="AS54" i="6" s="1"/>
  <c r="AR5" i="6"/>
  <c r="AS5" i="6" s="1"/>
  <c r="EF6" i="6"/>
  <c r="EF7" i="6"/>
  <c r="EF8" i="6"/>
  <c r="EF9" i="6"/>
  <c r="EF10" i="6"/>
  <c r="EF11" i="6"/>
  <c r="EF12" i="6"/>
  <c r="EF13" i="6"/>
  <c r="EF14" i="6"/>
  <c r="EF15" i="6"/>
  <c r="EF16" i="6"/>
  <c r="EF17" i="6"/>
  <c r="EF18" i="6"/>
  <c r="EF19" i="6"/>
  <c r="EF20" i="6"/>
  <c r="EF21" i="6"/>
  <c r="EF22" i="6"/>
  <c r="EF23" i="6"/>
  <c r="EF24" i="6"/>
  <c r="EF25" i="6"/>
  <c r="EF26" i="6"/>
  <c r="EF27" i="6"/>
  <c r="EF28" i="6"/>
  <c r="EF29" i="6"/>
  <c r="EF30" i="6"/>
  <c r="EF31" i="6"/>
  <c r="EF32" i="6"/>
  <c r="EF33" i="6"/>
  <c r="EF34" i="6"/>
  <c r="EF35" i="6"/>
  <c r="EF36" i="6"/>
  <c r="EF37" i="6"/>
  <c r="EF38" i="6"/>
  <c r="EF39" i="6"/>
  <c r="EF40" i="6"/>
  <c r="EF41" i="6"/>
  <c r="EF42" i="6"/>
  <c r="EF43" i="6"/>
  <c r="EF44" i="6"/>
  <c r="EF45" i="6"/>
  <c r="EF46" i="6"/>
  <c r="EF47" i="6"/>
  <c r="EF48" i="6"/>
  <c r="EF49" i="6"/>
  <c r="EF50" i="6"/>
  <c r="EF51" i="6"/>
  <c r="EF52" i="6"/>
  <c r="EF53" i="6"/>
  <c r="EF54" i="6"/>
  <c r="EF5" i="6"/>
  <c r="CY9" i="6"/>
  <c r="CY8" i="6"/>
  <c r="CY7" i="6"/>
  <c r="CY6" i="6"/>
  <c r="CY5" i="6"/>
  <c r="E6" i="6" l="1"/>
  <c r="G6" i="6"/>
  <c r="H6" i="6"/>
  <c r="J6" i="6"/>
  <c r="E7" i="6"/>
  <c r="G7" i="6"/>
  <c r="H7" i="6"/>
  <c r="J7" i="6"/>
  <c r="E8" i="6"/>
  <c r="G8" i="6"/>
  <c r="H8" i="6"/>
  <c r="J8" i="6"/>
  <c r="E9" i="6"/>
  <c r="G9" i="6"/>
  <c r="H9" i="6"/>
  <c r="J9" i="6"/>
  <c r="E10" i="6"/>
  <c r="G10" i="6"/>
  <c r="H10" i="6"/>
  <c r="J10" i="6"/>
  <c r="E11" i="6"/>
  <c r="G11" i="6"/>
  <c r="H11" i="6"/>
  <c r="J11" i="6"/>
  <c r="E12" i="6"/>
  <c r="G12" i="6"/>
  <c r="H12" i="6"/>
  <c r="J12" i="6"/>
  <c r="E13" i="6"/>
  <c r="G13" i="6"/>
  <c r="H13" i="6"/>
  <c r="J13" i="6"/>
  <c r="E14" i="6"/>
  <c r="G14" i="6"/>
  <c r="H14" i="6"/>
  <c r="J14" i="6"/>
  <c r="E15" i="6"/>
  <c r="G15" i="6"/>
  <c r="H15" i="6"/>
  <c r="J15" i="6"/>
  <c r="E16" i="6"/>
  <c r="G16" i="6"/>
  <c r="H16" i="6"/>
  <c r="J16" i="6"/>
  <c r="E17" i="6"/>
  <c r="G17" i="6"/>
  <c r="H17" i="6"/>
  <c r="J17" i="6"/>
  <c r="E18" i="6"/>
  <c r="G18" i="6"/>
  <c r="H18" i="6"/>
  <c r="J18" i="6"/>
  <c r="E19" i="6"/>
  <c r="G19" i="6"/>
  <c r="H19" i="6"/>
  <c r="J19" i="6"/>
  <c r="E20" i="6"/>
  <c r="G20" i="6"/>
  <c r="H20" i="6"/>
  <c r="J20" i="6"/>
  <c r="E21" i="6"/>
  <c r="G21" i="6"/>
  <c r="H21" i="6"/>
  <c r="J21" i="6"/>
  <c r="E22" i="6"/>
  <c r="G22" i="6"/>
  <c r="H22" i="6"/>
  <c r="J22" i="6"/>
  <c r="E23" i="6"/>
  <c r="G23" i="6"/>
  <c r="H23" i="6"/>
  <c r="J23" i="6"/>
  <c r="E24" i="6"/>
  <c r="G24" i="6"/>
  <c r="H24" i="6"/>
  <c r="J24" i="6"/>
  <c r="E25" i="6"/>
  <c r="G25" i="6"/>
  <c r="H25" i="6"/>
  <c r="J25" i="6"/>
  <c r="E26" i="6"/>
  <c r="G26" i="6"/>
  <c r="H26" i="6"/>
  <c r="J26" i="6"/>
  <c r="E27" i="6"/>
  <c r="G27" i="6"/>
  <c r="H27" i="6"/>
  <c r="J27" i="6"/>
  <c r="E28" i="6"/>
  <c r="G28" i="6"/>
  <c r="H28" i="6"/>
  <c r="J28" i="6"/>
  <c r="E29" i="6"/>
  <c r="G29" i="6"/>
  <c r="H29" i="6"/>
  <c r="J29" i="6"/>
  <c r="E30" i="6"/>
  <c r="G30" i="6"/>
  <c r="H30" i="6"/>
  <c r="J30" i="6"/>
  <c r="E31" i="6"/>
  <c r="G31" i="6"/>
  <c r="H31" i="6"/>
  <c r="J31" i="6"/>
  <c r="E32" i="6"/>
  <c r="G32" i="6"/>
  <c r="H32" i="6"/>
  <c r="J32" i="6"/>
  <c r="E33" i="6"/>
  <c r="G33" i="6"/>
  <c r="H33" i="6"/>
  <c r="J33" i="6"/>
  <c r="E34" i="6"/>
  <c r="G34" i="6"/>
  <c r="H34" i="6"/>
  <c r="J34" i="6"/>
  <c r="E35" i="6"/>
  <c r="G35" i="6"/>
  <c r="H35" i="6"/>
  <c r="J35" i="6"/>
  <c r="E36" i="6"/>
  <c r="G36" i="6"/>
  <c r="H36" i="6"/>
  <c r="J36" i="6"/>
  <c r="E37" i="6"/>
  <c r="G37" i="6"/>
  <c r="H37" i="6"/>
  <c r="J37" i="6"/>
  <c r="E38" i="6"/>
  <c r="G38" i="6"/>
  <c r="H38" i="6"/>
  <c r="J38" i="6"/>
  <c r="E39" i="6"/>
  <c r="G39" i="6"/>
  <c r="H39" i="6"/>
  <c r="J39" i="6"/>
  <c r="E40" i="6"/>
  <c r="G40" i="6"/>
  <c r="H40" i="6"/>
  <c r="J40" i="6"/>
  <c r="E41" i="6"/>
  <c r="G41" i="6"/>
  <c r="H41" i="6"/>
  <c r="J41" i="6"/>
  <c r="E42" i="6"/>
  <c r="G42" i="6"/>
  <c r="H42" i="6"/>
  <c r="J42" i="6"/>
  <c r="E43" i="6"/>
  <c r="G43" i="6"/>
  <c r="H43" i="6"/>
  <c r="J43" i="6"/>
  <c r="E44" i="6"/>
  <c r="G44" i="6"/>
  <c r="H44" i="6"/>
  <c r="J44" i="6"/>
  <c r="E45" i="6"/>
  <c r="G45" i="6"/>
  <c r="H45" i="6"/>
  <c r="J45" i="6"/>
  <c r="E46" i="6"/>
  <c r="G46" i="6"/>
  <c r="H46" i="6"/>
  <c r="J46" i="6"/>
  <c r="E47" i="6"/>
  <c r="G47" i="6"/>
  <c r="H47" i="6"/>
  <c r="J47" i="6"/>
  <c r="E48" i="6"/>
  <c r="G48" i="6"/>
  <c r="H48" i="6"/>
  <c r="J48" i="6"/>
  <c r="E49" i="6"/>
  <c r="G49" i="6"/>
  <c r="H49" i="6"/>
  <c r="J49" i="6"/>
  <c r="E50" i="6"/>
  <c r="G50" i="6"/>
  <c r="H50" i="6"/>
  <c r="J50" i="6"/>
  <c r="E51" i="6"/>
  <c r="G51" i="6"/>
  <c r="H51" i="6"/>
  <c r="J51" i="6"/>
  <c r="E52" i="6"/>
  <c r="G52" i="6"/>
  <c r="H52" i="6"/>
  <c r="J52" i="6"/>
  <c r="E53" i="6"/>
  <c r="G53" i="6"/>
  <c r="H53" i="6"/>
  <c r="J53" i="6"/>
  <c r="E54" i="6"/>
  <c r="G54" i="6"/>
  <c r="H54" i="6"/>
  <c r="J54" i="6"/>
  <c r="J5" i="6"/>
  <c r="H5" i="6"/>
  <c r="G5" i="6"/>
  <c r="CY10" i="6"/>
  <c r="CY11" i="6"/>
  <c r="CY12" i="6"/>
  <c r="CY13" i="6"/>
  <c r="CY14" i="6"/>
  <c r="CY15" i="6"/>
  <c r="CY16" i="6"/>
  <c r="CY17" i="6"/>
  <c r="CY18" i="6"/>
  <c r="CY19" i="6"/>
  <c r="CY20" i="6"/>
  <c r="CY21" i="6"/>
  <c r="CY22" i="6"/>
  <c r="CY23" i="6"/>
  <c r="CY24" i="6"/>
  <c r="CY25" i="6"/>
  <c r="CY26" i="6"/>
  <c r="CY27" i="6"/>
  <c r="CY28" i="6"/>
  <c r="CY29" i="6"/>
  <c r="CY30" i="6"/>
  <c r="CY31" i="6"/>
  <c r="CY32" i="6"/>
  <c r="CY33" i="6"/>
  <c r="CY34" i="6"/>
  <c r="CY35" i="6"/>
  <c r="CY36" i="6"/>
  <c r="CY37" i="6"/>
  <c r="CY38" i="6"/>
  <c r="CY39" i="6"/>
  <c r="CY40" i="6"/>
  <c r="CY41" i="6"/>
  <c r="CY42" i="6"/>
  <c r="CY43" i="6"/>
  <c r="CY44" i="6"/>
  <c r="CY45" i="6"/>
  <c r="CY46" i="6"/>
  <c r="CY47" i="6"/>
  <c r="CY48" i="6"/>
  <c r="CY49" i="6"/>
  <c r="CY50" i="6"/>
  <c r="CY51" i="6"/>
  <c r="CY52" i="6"/>
  <c r="CY53" i="6"/>
  <c r="CY54" i="6"/>
  <c r="I53" i="6" l="1"/>
  <c r="CU53" i="6"/>
  <c r="I44" i="6"/>
  <c r="CU44" i="6"/>
  <c r="I41" i="6"/>
  <c r="CU41" i="6"/>
  <c r="I38" i="6"/>
  <c r="CU38" i="6"/>
  <c r="I35" i="6"/>
  <c r="CU35" i="6"/>
  <c r="I32" i="6"/>
  <c r="CU32" i="6"/>
  <c r="I29" i="6"/>
  <c r="CU29" i="6"/>
  <c r="I26" i="6"/>
  <c r="CU26" i="6"/>
  <c r="I23" i="6"/>
  <c r="CU23" i="6"/>
  <c r="I20" i="6"/>
  <c r="CU20" i="6"/>
  <c r="I17" i="6"/>
  <c r="CU17" i="6"/>
  <c r="I14" i="6"/>
  <c r="CU14" i="6"/>
  <c r="I11" i="6"/>
  <c r="CU11" i="6"/>
  <c r="I8" i="6"/>
  <c r="CU8" i="6"/>
  <c r="I50" i="6"/>
  <c r="CU50" i="6"/>
  <c r="I49" i="6"/>
  <c r="CU49" i="6"/>
  <c r="I37" i="6"/>
  <c r="CU37" i="6"/>
  <c r="I22" i="6"/>
  <c r="CU22" i="6"/>
  <c r="I13" i="6"/>
  <c r="CU13" i="6"/>
  <c r="I10" i="6"/>
  <c r="CU10" i="6"/>
  <c r="K7" i="6"/>
  <c r="CU7" i="6"/>
  <c r="I52" i="6"/>
  <c r="CU52" i="6"/>
  <c r="I28" i="6"/>
  <c r="CU28" i="6"/>
  <c r="K5" i="6"/>
  <c r="CU5" i="6"/>
  <c r="C5" i="10"/>
  <c r="C5" i="9"/>
  <c r="C5" i="12"/>
  <c r="D5" i="12" s="1"/>
  <c r="C5" i="11"/>
  <c r="I40" i="6"/>
  <c r="CU40" i="6"/>
  <c r="I31" i="6"/>
  <c r="CU31" i="6"/>
  <c r="I16" i="6"/>
  <c r="CU16" i="6"/>
  <c r="I43" i="6"/>
  <c r="CU43" i="6"/>
  <c r="I34" i="6"/>
  <c r="CU34" i="6"/>
  <c r="K19" i="6"/>
  <c r="CU19" i="6"/>
  <c r="I25" i="6"/>
  <c r="CU25" i="6"/>
  <c r="I54" i="6"/>
  <c r="CU54" i="6"/>
  <c r="I51" i="6"/>
  <c r="CU51" i="6"/>
  <c r="I48" i="6"/>
  <c r="CU48" i="6"/>
  <c r="I45" i="6"/>
  <c r="CU45" i="6"/>
  <c r="I42" i="6"/>
  <c r="CU42" i="6"/>
  <c r="I39" i="6"/>
  <c r="CU39" i="6"/>
  <c r="I36" i="6"/>
  <c r="CU36" i="6"/>
  <c r="I33" i="6"/>
  <c r="CU33" i="6"/>
  <c r="I30" i="6"/>
  <c r="CU30" i="6"/>
  <c r="I27" i="6"/>
  <c r="CU27" i="6"/>
  <c r="I24" i="6"/>
  <c r="CU24" i="6"/>
  <c r="I21" i="6"/>
  <c r="CU21" i="6"/>
  <c r="I18" i="6"/>
  <c r="CU18" i="6"/>
  <c r="I15" i="6"/>
  <c r="CU15" i="6"/>
  <c r="I12" i="6"/>
  <c r="CU12" i="6"/>
  <c r="I9" i="6"/>
  <c r="CU9" i="6"/>
  <c r="I6" i="6"/>
  <c r="CU6" i="6"/>
  <c r="I47" i="6"/>
  <c r="CU47" i="6"/>
  <c r="I46" i="6"/>
  <c r="CU46" i="6"/>
  <c r="K37" i="6"/>
  <c r="K21" i="6"/>
  <c r="K41" i="6"/>
  <c r="K29" i="6"/>
  <c r="K49" i="6"/>
  <c r="K15" i="6"/>
  <c r="I7" i="6"/>
  <c r="K9" i="6"/>
  <c r="K45" i="6"/>
  <c r="K17" i="6"/>
  <c r="K25" i="6"/>
  <c r="K53" i="6"/>
  <c r="K33" i="6"/>
  <c r="I19" i="6"/>
  <c r="K51" i="6"/>
  <c r="K43" i="6"/>
  <c r="K35" i="6"/>
  <c r="K27" i="6"/>
  <c r="K11" i="6"/>
  <c r="K47" i="6"/>
  <c r="K39" i="6"/>
  <c r="K31" i="6"/>
  <c r="K23" i="6"/>
  <c r="K13" i="6"/>
  <c r="K54" i="6"/>
  <c r="K52" i="6"/>
  <c r="K50" i="6"/>
  <c r="K48" i="6"/>
  <c r="K46" i="6"/>
  <c r="K44" i="6"/>
  <c r="K42" i="6"/>
  <c r="K40" i="6"/>
  <c r="K38" i="6"/>
  <c r="K36" i="6"/>
  <c r="K34" i="6"/>
  <c r="K32" i="6"/>
  <c r="K30" i="6"/>
  <c r="K28" i="6"/>
  <c r="K26" i="6"/>
  <c r="K24" i="6"/>
  <c r="K22" i="6"/>
  <c r="K20" i="6"/>
  <c r="K18" i="6"/>
  <c r="K16" i="6"/>
  <c r="K14" i="6"/>
  <c r="K12" i="6"/>
  <c r="K10" i="6"/>
  <c r="K8" i="6"/>
  <c r="K6" i="6"/>
  <c r="I5" i="6"/>
  <c r="CC6" i="6"/>
  <c r="CC7" i="6"/>
  <c r="CC8" i="6"/>
  <c r="CC9" i="6"/>
  <c r="CC10" i="6"/>
  <c r="CC11" i="6"/>
  <c r="CC12" i="6"/>
  <c r="CC13" i="6"/>
  <c r="CC14" i="6"/>
  <c r="CC15" i="6"/>
  <c r="CC16" i="6"/>
  <c r="CC17" i="6"/>
  <c r="CC18" i="6"/>
  <c r="CC19" i="6"/>
  <c r="CC20" i="6"/>
  <c r="CC21" i="6"/>
  <c r="CC22" i="6"/>
  <c r="CC23" i="6"/>
  <c r="CC24" i="6"/>
  <c r="CC25" i="6"/>
  <c r="CC26" i="6"/>
  <c r="CC27" i="6"/>
  <c r="CC28" i="6"/>
  <c r="CC29" i="6"/>
  <c r="CC30" i="6"/>
  <c r="CC31" i="6"/>
  <c r="CC32" i="6"/>
  <c r="CC33" i="6"/>
  <c r="CC34" i="6"/>
  <c r="CC35" i="6"/>
  <c r="CC36" i="6"/>
  <c r="CC37" i="6"/>
  <c r="CC38" i="6"/>
  <c r="CC39" i="6"/>
  <c r="CC40" i="6"/>
  <c r="CC41" i="6"/>
  <c r="CC42" i="6"/>
  <c r="CC43" i="6"/>
  <c r="CC44" i="6"/>
  <c r="CC45" i="6"/>
  <c r="CC46" i="6"/>
  <c r="CC47" i="6"/>
  <c r="CC48" i="6"/>
  <c r="CC49" i="6"/>
  <c r="CC50" i="6"/>
  <c r="CC51" i="6"/>
  <c r="CC52" i="6"/>
  <c r="CC53" i="6"/>
  <c r="CC54" i="6"/>
  <c r="CC5" i="6"/>
  <c r="AW54" i="6" l="1"/>
  <c r="AW53" i="6"/>
  <c r="AW52" i="6"/>
  <c r="AW51" i="6"/>
  <c r="AW50" i="6"/>
  <c r="AW49" i="6"/>
  <c r="AW48" i="6"/>
  <c r="AW47" i="6"/>
  <c r="AW46" i="6"/>
  <c r="AW45" i="6"/>
  <c r="AW44" i="6"/>
  <c r="AW43" i="6"/>
  <c r="AW42" i="6"/>
  <c r="AW41" i="6"/>
  <c r="AW40" i="6"/>
  <c r="AW39" i="6"/>
  <c r="AW38" i="6"/>
  <c r="AW37" i="6"/>
  <c r="AW36" i="6"/>
  <c r="AW35" i="6"/>
  <c r="AW34" i="6"/>
  <c r="AW33" i="6"/>
  <c r="AW32" i="6"/>
  <c r="AW31" i="6"/>
  <c r="AW30" i="6"/>
  <c r="AW29" i="6"/>
  <c r="AW28" i="6"/>
  <c r="AW27" i="6"/>
  <c r="AW26" i="6"/>
  <c r="AW25" i="6"/>
  <c r="AW24" i="6"/>
  <c r="AW23" i="6"/>
  <c r="AW22" i="6"/>
  <c r="AW21" i="6"/>
  <c r="AW20" i="6"/>
  <c r="AW19" i="6"/>
  <c r="AW18" i="6"/>
  <c r="AW17" i="6"/>
  <c r="AW16" i="6"/>
  <c r="AW15" i="6"/>
  <c r="AW14" i="6"/>
  <c r="AW13" i="6"/>
  <c r="AW12" i="6"/>
  <c r="AW11" i="6"/>
  <c r="AW10" i="6"/>
  <c r="AW9" i="6"/>
  <c r="AW8" i="6"/>
  <c r="AW7" i="6"/>
  <c r="AW6" i="6"/>
  <c r="A54" i="10" l="1"/>
  <c r="A53" i="10"/>
  <c r="A52" i="10"/>
  <c r="A51" i="10"/>
  <c r="A50" i="10"/>
  <c r="A49" i="10"/>
  <c r="A48" i="10"/>
  <c r="A47" i="10"/>
  <c r="A46" i="10"/>
  <c r="A45" i="10"/>
  <c r="A44" i="10"/>
  <c r="A43" i="10"/>
  <c r="A42" i="10"/>
  <c r="A41" i="10"/>
  <c r="A40" i="10"/>
  <c r="A39" i="10"/>
  <c r="A38" i="10"/>
  <c r="A37" i="10"/>
  <c r="A36" i="10"/>
  <c r="A35" i="10"/>
  <c r="A34" i="10"/>
  <c r="A33" i="10"/>
  <c r="A32" i="10"/>
  <c r="A31" i="10"/>
  <c r="A30" i="10"/>
  <c r="A29" i="10"/>
  <c r="A28" i="10"/>
  <c r="A27" i="10"/>
  <c r="A26" i="10"/>
  <c r="A25" i="10"/>
  <c r="A24" i="10"/>
  <c r="A23" i="10"/>
  <c r="A22" i="10"/>
  <c r="A21" i="10"/>
  <c r="A20" i="10"/>
  <c r="A19" i="10"/>
  <c r="A18" i="10"/>
  <c r="A17" i="10"/>
  <c r="A16" i="10"/>
  <c r="A15" i="10"/>
  <c r="C54" i="11" l="1"/>
  <c r="A54" i="11"/>
  <c r="C53" i="11"/>
  <c r="A53" i="11"/>
  <c r="C52" i="11"/>
  <c r="A52" i="11"/>
  <c r="C51" i="11"/>
  <c r="A51" i="11"/>
  <c r="C50" i="11"/>
  <c r="A50" i="11"/>
  <c r="C49" i="11"/>
  <c r="A49" i="11"/>
  <c r="C48" i="11"/>
  <c r="A48" i="11"/>
  <c r="C47" i="11"/>
  <c r="A47" i="11"/>
  <c r="C46" i="11"/>
  <c r="A46" i="11"/>
  <c r="C45" i="11"/>
  <c r="A45" i="11"/>
  <c r="C44" i="11"/>
  <c r="A44" i="11"/>
  <c r="C43" i="11"/>
  <c r="A43" i="11"/>
  <c r="C42" i="11"/>
  <c r="A42" i="11"/>
  <c r="C41" i="11"/>
  <c r="A41" i="11"/>
  <c r="C40" i="11"/>
  <c r="A40" i="11"/>
  <c r="C39" i="11"/>
  <c r="A39" i="11"/>
  <c r="C38" i="11"/>
  <c r="A38" i="11"/>
  <c r="C37" i="11"/>
  <c r="A37" i="11"/>
  <c r="C36" i="11"/>
  <c r="A36" i="11"/>
  <c r="C35" i="11"/>
  <c r="A35" i="11"/>
  <c r="C34" i="11"/>
  <c r="A34" i="11"/>
  <c r="C33" i="11"/>
  <c r="A33" i="11"/>
  <c r="C32" i="11"/>
  <c r="A32" i="11"/>
  <c r="C31" i="11"/>
  <c r="A31" i="11"/>
  <c r="C30" i="11"/>
  <c r="A30" i="11"/>
  <c r="C29" i="11"/>
  <c r="A29" i="11"/>
  <c r="C28" i="11"/>
  <c r="A28" i="11"/>
  <c r="C27" i="11"/>
  <c r="A27" i="11"/>
  <c r="C26" i="11"/>
  <c r="A26" i="11"/>
  <c r="C25" i="11"/>
  <c r="A25" i="11"/>
  <c r="C24" i="11"/>
  <c r="A24" i="11"/>
  <c r="C23" i="11"/>
  <c r="A23" i="11"/>
  <c r="C22" i="11"/>
  <c r="A22" i="11"/>
  <c r="C21" i="11"/>
  <c r="A21" i="11"/>
  <c r="C20" i="11"/>
  <c r="A20" i="11"/>
  <c r="C19" i="11"/>
  <c r="A19" i="11"/>
  <c r="C18" i="11"/>
  <c r="A18" i="11"/>
  <c r="C17" i="11"/>
  <c r="A17" i="11"/>
  <c r="C16" i="11"/>
  <c r="A16" i="11"/>
  <c r="C15" i="11"/>
  <c r="A15" i="11"/>
  <c r="C14" i="11"/>
  <c r="A14" i="11"/>
  <c r="C13" i="11"/>
  <c r="A13" i="11"/>
  <c r="C12" i="11"/>
  <c r="A12" i="11"/>
  <c r="C11" i="11"/>
  <c r="A11" i="11"/>
  <c r="C10" i="11"/>
  <c r="A10" i="11"/>
  <c r="C9" i="11"/>
  <c r="A9" i="11"/>
  <c r="C8" i="11"/>
  <c r="A8" i="11"/>
  <c r="C7" i="11"/>
  <c r="A7" i="11"/>
  <c r="C6" i="11"/>
  <c r="A6" i="11"/>
  <c r="A5" i="11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C12" i="8"/>
  <c r="C11" i="8"/>
  <c r="C10" i="8"/>
  <c r="C9" i="8"/>
  <c r="C8" i="8"/>
  <c r="C7" i="8"/>
  <c r="C6" i="8"/>
  <c r="C5" i="8"/>
  <c r="CZ53" i="7" l="1"/>
  <c r="EN54" i="6"/>
  <c r="EI54" i="6"/>
  <c r="EE54" i="6"/>
  <c r="ED54" i="6"/>
  <c r="DY54" i="6"/>
  <c r="DX54" i="6"/>
  <c r="DV54" i="6"/>
  <c r="DU54" i="6"/>
  <c r="DT54" i="6"/>
  <c r="DR54" i="6"/>
  <c r="DQ54" i="6"/>
  <c r="DP54" i="6"/>
  <c r="DN54" i="6"/>
  <c r="DM54" i="6"/>
  <c r="DL54" i="6"/>
  <c r="DJ54" i="6"/>
  <c r="DE54" i="6"/>
  <c r="CJ54" i="6"/>
  <c r="CI54" i="6"/>
  <c r="BX54" i="6"/>
  <c r="BO54" i="6"/>
  <c r="BN54" i="6"/>
  <c r="BL54" i="6"/>
  <c r="BI54" i="6"/>
  <c r="BE54" i="6"/>
  <c r="BB54" i="6"/>
  <c r="BD54" i="6" s="1"/>
  <c r="BA54" i="6"/>
  <c r="AX54" i="6"/>
  <c r="AU54" i="6"/>
  <c r="AP54" i="6"/>
  <c r="CZ54" i="6"/>
  <c r="D54" i="6"/>
  <c r="C54" i="6"/>
  <c r="A54" i="6"/>
  <c r="EN53" i="6"/>
  <c r="EI53" i="6"/>
  <c r="EE53" i="6"/>
  <c r="ED53" i="6"/>
  <c r="DY53" i="6"/>
  <c r="DX53" i="6"/>
  <c r="DV53" i="6"/>
  <c r="DU53" i="6"/>
  <c r="DT53" i="6"/>
  <c r="DR53" i="6"/>
  <c r="DQ53" i="6"/>
  <c r="DP53" i="6"/>
  <c r="DN53" i="6"/>
  <c r="DM53" i="6"/>
  <c r="DL53" i="6"/>
  <c r="DJ53" i="6"/>
  <c r="DE53" i="6"/>
  <c r="CJ53" i="6"/>
  <c r="CI53" i="6"/>
  <c r="BX53" i="6"/>
  <c r="BO53" i="6"/>
  <c r="BN53" i="6"/>
  <c r="BL53" i="6"/>
  <c r="BI53" i="6"/>
  <c r="BE53" i="6"/>
  <c r="BA53" i="6"/>
  <c r="AX53" i="6"/>
  <c r="AU53" i="6"/>
  <c r="AP53" i="6"/>
  <c r="CZ53" i="6"/>
  <c r="D53" i="6"/>
  <c r="C53" i="6"/>
  <c r="A53" i="6"/>
  <c r="EN52" i="6"/>
  <c r="EI52" i="6"/>
  <c r="EE52" i="6"/>
  <c r="ED52" i="6"/>
  <c r="DY52" i="6"/>
  <c r="DX52" i="6"/>
  <c r="DV52" i="6"/>
  <c r="DU52" i="6"/>
  <c r="DT52" i="6"/>
  <c r="DR52" i="6"/>
  <c r="DQ52" i="6"/>
  <c r="DP52" i="6"/>
  <c r="DN52" i="6"/>
  <c r="DM52" i="6"/>
  <c r="DL52" i="6"/>
  <c r="DJ52" i="6"/>
  <c r="DE52" i="6"/>
  <c r="CJ52" i="6"/>
  <c r="CI52" i="6"/>
  <c r="BX52" i="6"/>
  <c r="BO52" i="6"/>
  <c r="BN52" i="6"/>
  <c r="BL52" i="6"/>
  <c r="BI52" i="6"/>
  <c r="BE52" i="6"/>
  <c r="BA52" i="6"/>
  <c r="DI52" i="6"/>
  <c r="AU52" i="6"/>
  <c r="AP52" i="6"/>
  <c r="CZ52" i="6"/>
  <c r="D52" i="6"/>
  <c r="C52" i="6"/>
  <c r="A52" i="6"/>
  <c r="EN51" i="6"/>
  <c r="EI51" i="6"/>
  <c r="EE51" i="6"/>
  <c r="ED51" i="6"/>
  <c r="DY51" i="6"/>
  <c r="DX51" i="6"/>
  <c r="DV51" i="6"/>
  <c r="DU51" i="6"/>
  <c r="DT51" i="6"/>
  <c r="DR51" i="6"/>
  <c r="DQ51" i="6"/>
  <c r="DP51" i="6"/>
  <c r="DN51" i="6"/>
  <c r="DM51" i="6"/>
  <c r="DL51" i="6"/>
  <c r="DJ51" i="6"/>
  <c r="DE51" i="6"/>
  <c r="CJ51" i="6"/>
  <c r="CI51" i="6"/>
  <c r="BX51" i="6"/>
  <c r="BO51" i="6"/>
  <c r="BN51" i="6"/>
  <c r="BL51" i="6"/>
  <c r="BI51" i="6"/>
  <c r="BE51" i="6"/>
  <c r="BA51" i="6"/>
  <c r="BB51" i="6"/>
  <c r="AU51" i="6"/>
  <c r="AP51" i="6"/>
  <c r="CZ51" i="6"/>
  <c r="D51" i="6"/>
  <c r="CX51" i="6" s="1"/>
  <c r="C51" i="6"/>
  <c r="A51" i="6"/>
  <c r="EN50" i="6"/>
  <c r="EI50" i="6"/>
  <c r="EE50" i="6"/>
  <c r="ED50" i="6"/>
  <c r="DY50" i="6"/>
  <c r="DX50" i="6"/>
  <c r="DV50" i="6"/>
  <c r="DU50" i="6"/>
  <c r="DT50" i="6"/>
  <c r="DR50" i="6"/>
  <c r="DQ50" i="6"/>
  <c r="DP50" i="6"/>
  <c r="DN50" i="6"/>
  <c r="DM50" i="6"/>
  <c r="DL50" i="6"/>
  <c r="DJ50" i="6"/>
  <c r="DE50" i="6"/>
  <c r="CJ50" i="6"/>
  <c r="CI50" i="6"/>
  <c r="BX50" i="6"/>
  <c r="BO50" i="6"/>
  <c r="BN50" i="6"/>
  <c r="BL50" i="6"/>
  <c r="BI50" i="6"/>
  <c r="BE50" i="6"/>
  <c r="BA50" i="6"/>
  <c r="DI50" i="6"/>
  <c r="AU50" i="6"/>
  <c r="AP50" i="6"/>
  <c r="CZ50" i="6"/>
  <c r="D50" i="6"/>
  <c r="C50" i="6"/>
  <c r="A50" i="6"/>
  <c r="EN49" i="6"/>
  <c r="EI49" i="6"/>
  <c r="EE49" i="6"/>
  <c r="ED49" i="6"/>
  <c r="DY49" i="6"/>
  <c r="DX49" i="6"/>
  <c r="DV49" i="6"/>
  <c r="DU49" i="6"/>
  <c r="DT49" i="6"/>
  <c r="DR49" i="6"/>
  <c r="DQ49" i="6"/>
  <c r="DP49" i="6"/>
  <c r="DN49" i="6"/>
  <c r="DM49" i="6"/>
  <c r="DL49" i="6"/>
  <c r="DJ49" i="6"/>
  <c r="DE49" i="6"/>
  <c r="CJ49" i="6"/>
  <c r="CI49" i="6"/>
  <c r="BX49" i="6"/>
  <c r="BO49" i="6"/>
  <c r="BN49" i="6"/>
  <c r="BL49" i="6"/>
  <c r="BI49" i="6"/>
  <c r="BE49" i="6"/>
  <c r="BA49" i="6"/>
  <c r="BB49" i="6"/>
  <c r="AU49" i="6"/>
  <c r="AP49" i="6"/>
  <c r="CZ49" i="6"/>
  <c r="D49" i="6"/>
  <c r="CW49" i="6" s="1"/>
  <c r="C49" i="6"/>
  <c r="A49" i="6"/>
  <c r="EN48" i="6"/>
  <c r="EI48" i="6"/>
  <c r="EE48" i="6"/>
  <c r="ED48" i="6"/>
  <c r="DY48" i="6"/>
  <c r="DX48" i="6"/>
  <c r="DV48" i="6"/>
  <c r="DU48" i="6"/>
  <c r="DT48" i="6"/>
  <c r="DR48" i="6"/>
  <c r="DQ48" i="6"/>
  <c r="DP48" i="6"/>
  <c r="DN48" i="6"/>
  <c r="DM48" i="6"/>
  <c r="DL48" i="6"/>
  <c r="DJ48" i="6"/>
  <c r="DI48" i="6"/>
  <c r="DE48" i="6"/>
  <c r="CJ48" i="6"/>
  <c r="CI48" i="6"/>
  <c r="BX48" i="6"/>
  <c r="BO48" i="6"/>
  <c r="BN48" i="6"/>
  <c r="BL48" i="6"/>
  <c r="BI48" i="6"/>
  <c r="BE48" i="6"/>
  <c r="BA48" i="6"/>
  <c r="BB48" i="6"/>
  <c r="AU48" i="6"/>
  <c r="AP48" i="6"/>
  <c r="CZ48" i="6"/>
  <c r="D48" i="6"/>
  <c r="CW48" i="6" s="1"/>
  <c r="C48" i="6"/>
  <c r="A48" i="6"/>
  <c r="EN47" i="6"/>
  <c r="EI47" i="6"/>
  <c r="EE47" i="6"/>
  <c r="ED47" i="6"/>
  <c r="DY47" i="6"/>
  <c r="DX47" i="6"/>
  <c r="DV47" i="6"/>
  <c r="DU47" i="6"/>
  <c r="DT47" i="6"/>
  <c r="DR47" i="6"/>
  <c r="DQ47" i="6"/>
  <c r="DP47" i="6"/>
  <c r="DN47" i="6"/>
  <c r="DM47" i="6"/>
  <c r="DL47" i="6"/>
  <c r="DJ47" i="6"/>
  <c r="DE47" i="6"/>
  <c r="CJ47" i="6"/>
  <c r="CI47" i="6"/>
  <c r="BX47" i="6"/>
  <c r="BO47" i="6"/>
  <c r="BN47" i="6"/>
  <c r="BL47" i="6"/>
  <c r="BI47" i="6"/>
  <c r="BE47" i="6"/>
  <c r="BA47" i="6"/>
  <c r="DI47" i="6"/>
  <c r="AU47" i="6"/>
  <c r="AP47" i="6"/>
  <c r="CZ47" i="6"/>
  <c r="D47" i="6"/>
  <c r="C47" i="6"/>
  <c r="A47" i="6"/>
  <c r="EN46" i="6"/>
  <c r="EI46" i="6"/>
  <c r="EE46" i="6"/>
  <c r="ED46" i="6"/>
  <c r="DY46" i="6"/>
  <c r="DX46" i="6"/>
  <c r="DV46" i="6"/>
  <c r="DU46" i="6"/>
  <c r="DT46" i="6"/>
  <c r="DR46" i="6"/>
  <c r="DQ46" i="6"/>
  <c r="DP46" i="6"/>
  <c r="DN46" i="6"/>
  <c r="DM46" i="6"/>
  <c r="DL46" i="6"/>
  <c r="DJ46" i="6"/>
  <c r="DE46" i="6"/>
  <c r="CJ46" i="6"/>
  <c r="CI46" i="6"/>
  <c r="BX46" i="6"/>
  <c r="BO46" i="6"/>
  <c r="BN46" i="6"/>
  <c r="BL46" i="6"/>
  <c r="BI46" i="6"/>
  <c r="BE46" i="6"/>
  <c r="BA46" i="6"/>
  <c r="AX46" i="6"/>
  <c r="AU46" i="6"/>
  <c r="AP46" i="6"/>
  <c r="CZ46" i="6"/>
  <c r="D46" i="6"/>
  <c r="C46" i="6"/>
  <c r="A46" i="6"/>
  <c r="EN45" i="6"/>
  <c r="EI45" i="6"/>
  <c r="EE45" i="6"/>
  <c r="ED45" i="6"/>
  <c r="DY45" i="6"/>
  <c r="DX45" i="6"/>
  <c r="DV45" i="6"/>
  <c r="DU45" i="6"/>
  <c r="DT45" i="6"/>
  <c r="DR45" i="6"/>
  <c r="DQ45" i="6"/>
  <c r="DP45" i="6"/>
  <c r="DN45" i="6"/>
  <c r="DM45" i="6"/>
  <c r="DL45" i="6"/>
  <c r="DJ45" i="6"/>
  <c r="DE45" i="6"/>
  <c r="CJ45" i="6"/>
  <c r="CI45" i="6"/>
  <c r="BX45" i="6"/>
  <c r="BO45" i="6"/>
  <c r="BN45" i="6"/>
  <c r="BL45" i="6"/>
  <c r="BI45" i="6"/>
  <c r="BE45" i="6"/>
  <c r="BB45" i="6"/>
  <c r="BD45" i="6" s="1"/>
  <c r="BA45" i="6"/>
  <c r="AX45" i="6"/>
  <c r="AU45" i="6"/>
  <c r="AP45" i="6"/>
  <c r="CZ45" i="6"/>
  <c r="D45" i="6"/>
  <c r="CX45" i="6" s="1"/>
  <c r="C45" i="6"/>
  <c r="A45" i="6"/>
  <c r="EN44" i="6"/>
  <c r="EI44" i="6"/>
  <c r="EE44" i="6"/>
  <c r="ED44" i="6"/>
  <c r="DY44" i="6"/>
  <c r="DX44" i="6"/>
  <c r="DV44" i="6"/>
  <c r="DU44" i="6"/>
  <c r="DT44" i="6"/>
  <c r="DR44" i="6"/>
  <c r="DQ44" i="6"/>
  <c r="DP44" i="6"/>
  <c r="DN44" i="6"/>
  <c r="DM44" i="6"/>
  <c r="DL44" i="6"/>
  <c r="DJ44" i="6"/>
  <c r="DE44" i="6"/>
  <c r="CJ44" i="6"/>
  <c r="CI44" i="6"/>
  <c r="BX44" i="6"/>
  <c r="BO44" i="6"/>
  <c r="BN44" i="6"/>
  <c r="BL44" i="6"/>
  <c r="BI44" i="6"/>
  <c r="BE44" i="6"/>
  <c r="BA44" i="6"/>
  <c r="DI44" i="6"/>
  <c r="AU44" i="6"/>
  <c r="AP44" i="6"/>
  <c r="CZ44" i="6"/>
  <c r="D44" i="6"/>
  <c r="CW44" i="6" s="1"/>
  <c r="C44" i="6"/>
  <c r="A44" i="6"/>
  <c r="EN43" i="6"/>
  <c r="EI43" i="6"/>
  <c r="EE43" i="6"/>
  <c r="ED43" i="6"/>
  <c r="DY43" i="6"/>
  <c r="DX43" i="6"/>
  <c r="DV43" i="6"/>
  <c r="DU43" i="6"/>
  <c r="DT43" i="6"/>
  <c r="DR43" i="6"/>
  <c r="DQ43" i="6"/>
  <c r="DP43" i="6"/>
  <c r="DN43" i="6"/>
  <c r="DM43" i="6"/>
  <c r="DL43" i="6"/>
  <c r="DJ43" i="6"/>
  <c r="DE43" i="6"/>
  <c r="CJ43" i="6"/>
  <c r="CI43" i="6"/>
  <c r="BX43" i="6"/>
  <c r="BO43" i="6"/>
  <c r="BN43" i="6"/>
  <c r="BL43" i="6"/>
  <c r="BI43" i="6"/>
  <c r="BE43" i="6"/>
  <c r="BA43" i="6"/>
  <c r="DI43" i="6"/>
  <c r="AU43" i="6"/>
  <c r="AP43" i="6"/>
  <c r="CZ43" i="6"/>
  <c r="D43" i="6"/>
  <c r="C43" i="6"/>
  <c r="A43" i="6"/>
  <c r="EN42" i="6"/>
  <c r="EI42" i="6"/>
  <c r="EE42" i="6"/>
  <c r="ED42" i="6"/>
  <c r="DY42" i="6"/>
  <c r="DX42" i="6"/>
  <c r="DV42" i="6"/>
  <c r="DU42" i="6"/>
  <c r="DT42" i="6"/>
  <c r="DR42" i="6"/>
  <c r="DQ42" i="6"/>
  <c r="DP42" i="6"/>
  <c r="DN42" i="6"/>
  <c r="DM42" i="6"/>
  <c r="DL42" i="6"/>
  <c r="DJ42" i="6"/>
  <c r="DE42" i="6"/>
  <c r="CJ42" i="6"/>
  <c r="CI42" i="6"/>
  <c r="BX42" i="6"/>
  <c r="BO42" i="6"/>
  <c r="BN42" i="6"/>
  <c r="BL42" i="6"/>
  <c r="BI42" i="6"/>
  <c r="BE42" i="6"/>
  <c r="BA42" i="6"/>
  <c r="AX42" i="6"/>
  <c r="AU42" i="6"/>
  <c r="AP42" i="6"/>
  <c r="CZ42" i="6"/>
  <c r="D42" i="6"/>
  <c r="C42" i="6"/>
  <c r="A42" i="6"/>
  <c r="EN41" i="6"/>
  <c r="EI41" i="6"/>
  <c r="EE41" i="6"/>
  <c r="ED41" i="6"/>
  <c r="DY41" i="6"/>
  <c r="DX41" i="6"/>
  <c r="DV41" i="6"/>
  <c r="DU41" i="6"/>
  <c r="DT41" i="6"/>
  <c r="DR41" i="6"/>
  <c r="DQ41" i="6"/>
  <c r="DP41" i="6"/>
  <c r="DN41" i="6"/>
  <c r="DM41" i="6"/>
  <c r="DL41" i="6"/>
  <c r="DJ41" i="6"/>
  <c r="DE41" i="6"/>
  <c r="CJ41" i="6"/>
  <c r="CI41" i="6"/>
  <c r="BX41" i="6"/>
  <c r="BO41" i="6"/>
  <c r="BN41" i="6"/>
  <c r="BL41" i="6"/>
  <c r="BI41" i="6"/>
  <c r="BE41" i="6"/>
  <c r="BA41" i="6"/>
  <c r="AX41" i="6"/>
  <c r="AU41" i="6"/>
  <c r="AP41" i="6"/>
  <c r="CZ41" i="6"/>
  <c r="D41" i="6"/>
  <c r="C41" i="6"/>
  <c r="A41" i="6"/>
  <c r="EN40" i="6"/>
  <c r="EI40" i="6"/>
  <c r="EE40" i="6"/>
  <c r="ED40" i="6"/>
  <c r="DY40" i="6"/>
  <c r="DX40" i="6"/>
  <c r="DV40" i="6"/>
  <c r="DU40" i="6"/>
  <c r="DT40" i="6"/>
  <c r="DR40" i="6"/>
  <c r="DQ40" i="6"/>
  <c r="DP40" i="6"/>
  <c r="DN40" i="6"/>
  <c r="DM40" i="6"/>
  <c r="DL40" i="6"/>
  <c r="DJ40" i="6"/>
  <c r="DE40" i="6"/>
  <c r="CJ40" i="6"/>
  <c r="CI40" i="6"/>
  <c r="BX40" i="6"/>
  <c r="BO40" i="6"/>
  <c r="BN40" i="6"/>
  <c r="BL40" i="6"/>
  <c r="BI40" i="6"/>
  <c r="BE40" i="6"/>
  <c r="BA40" i="6"/>
  <c r="BB40" i="6"/>
  <c r="BD40" i="6" s="1"/>
  <c r="AU40" i="6"/>
  <c r="AP40" i="6"/>
  <c r="CZ40" i="6"/>
  <c r="D40" i="6"/>
  <c r="C40" i="6"/>
  <c r="A40" i="6"/>
  <c r="EN39" i="6"/>
  <c r="EI39" i="6"/>
  <c r="EE39" i="6"/>
  <c r="ED39" i="6"/>
  <c r="DY39" i="6"/>
  <c r="DX39" i="6"/>
  <c r="DV39" i="6"/>
  <c r="DU39" i="6"/>
  <c r="DT39" i="6"/>
  <c r="DR39" i="6"/>
  <c r="DQ39" i="6"/>
  <c r="DP39" i="6"/>
  <c r="DN39" i="6"/>
  <c r="DM39" i="6"/>
  <c r="DL39" i="6"/>
  <c r="DJ39" i="6"/>
  <c r="DE39" i="6"/>
  <c r="CJ39" i="6"/>
  <c r="CI39" i="6"/>
  <c r="BX39" i="6"/>
  <c r="BO39" i="6"/>
  <c r="BN39" i="6"/>
  <c r="BL39" i="6"/>
  <c r="BI39" i="6"/>
  <c r="BE39" i="6"/>
  <c r="BA39" i="6"/>
  <c r="BB39" i="6"/>
  <c r="AU39" i="6"/>
  <c r="AP39" i="6"/>
  <c r="CZ39" i="6"/>
  <c r="D39" i="6"/>
  <c r="CX39" i="6" s="1"/>
  <c r="C39" i="6"/>
  <c r="A39" i="6"/>
  <c r="EN38" i="6"/>
  <c r="EI38" i="6"/>
  <c r="EE38" i="6"/>
  <c r="ED38" i="6"/>
  <c r="DY38" i="6"/>
  <c r="DX38" i="6"/>
  <c r="DV38" i="6"/>
  <c r="DU38" i="6"/>
  <c r="DT38" i="6"/>
  <c r="DR38" i="6"/>
  <c r="DQ38" i="6"/>
  <c r="DP38" i="6"/>
  <c r="DN38" i="6"/>
  <c r="DM38" i="6"/>
  <c r="DL38" i="6"/>
  <c r="DJ38" i="6"/>
  <c r="DE38" i="6"/>
  <c r="CJ38" i="6"/>
  <c r="CI38" i="6"/>
  <c r="BX38" i="6"/>
  <c r="BO38" i="6"/>
  <c r="BN38" i="6"/>
  <c r="BL38" i="6"/>
  <c r="BI38" i="6"/>
  <c r="BE38" i="6"/>
  <c r="BA38" i="6"/>
  <c r="DI38" i="6"/>
  <c r="AU38" i="6"/>
  <c r="AP38" i="6"/>
  <c r="CZ38" i="6"/>
  <c r="D38" i="6"/>
  <c r="C38" i="6"/>
  <c r="A38" i="6"/>
  <c r="EN37" i="6"/>
  <c r="EI37" i="6"/>
  <c r="EE37" i="6"/>
  <c r="ED37" i="6"/>
  <c r="DY37" i="6"/>
  <c r="DX37" i="6"/>
  <c r="DV37" i="6"/>
  <c r="DU37" i="6"/>
  <c r="DT37" i="6"/>
  <c r="DR37" i="6"/>
  <c r="DQ37" i="6"/>
  <c r="DP37" i="6"/>
  <c r="DN37" i="6"/>
  <c r="DM37" i="6"/>
  <c r="DL37" i="6"/>
  <c r="DJ37" i="6"/>
  <c r="DI37" i="6"/>
  <c r="DE37" i="6"/>
  <c r="CJ37" i="6"/>
  <c r="CI37" i="6"/>
  <c r="BX37" i="6"/>
  <c r="BO37" i="6"/>
  <c r="BN37" i="6"/>
  <c r="BL37" i="6"/>
  <c r="BI37" i="6"/>
  <c r="BE37" i="6"/>
  <c r="BA37" i="6"/>
  <c r="BB37" i="6"/>
  <c r="AU37" i="6"/>
  <c r="AP37" i="6"/>
  <c r="CZ37" i="6"/>
  <c r="D37" i="6"/>
  <c r="CW37" i="6" s="1"/>
  <c r="C37" i="6"/>
  <c r="A37" i="6"/>
  <c r="EN36" i="6"/>
  <c r="EI36" i="6"/>
  <c r="EE36" i="6"/>
  <c r="ED36" i="6"/>
  <c r="DY36" i="6"/>
  <c r="DX36" i="6"/>
  <c r="DV36" i="6"/>
  <c r="DU36" i="6"/>
  <c r="DT36" i="6"/>
  <c r="DR36" i="6"/>
  <c r="DQ36" i="6"/>
  <c r="DP36" i="6"/>
  <c r="DN36" i="6"/>
  <c r="DM36" i="6"/>
  <c r="DL36" i="6"/>
  <c r="DJ36" i="6"/>
  <c r="DE36" i="6"/>
  <c r="CJ36" i="6"/>
  <c r="CI36" i="6"/>
  <c r="BX36" i="6"/>
  <c r="BO36" i="6"/>
  <c r="BN36" i="6"/>
  <c r="BL36" i="6"/>
  <c r="BI36" i="6"/>
  <c r="BE36" i="6"/>
  <c r="BA36" i="6"/>
  <c r="BB36" i="6"/>
  <c r="AU36" i="6"/>
  <c r="AP36" i="6"/>
  <c r="CZ36" i="6"/>
  <c r="D36" i="6"/>
  <c r="CW36" i="6" s="1"/>
  <c r="C36" i="6"/>
  <c r="A36" i="6"/>
  <c r="EN35" i="6"/>
  <c r="EI35" i="6"/>
  <c r="EE35" i="6"/>
  <c r="ED35" i="6"/>
  <c r="DY35" i="6"/>
  <c r="DX35" i="6"/>
  <c r="DV35" i="6"/>
  <c r="DU35" i="6"/>
  <c r="DT35" i="6"/>
  <c r="DR35" i="6"/>
  <c r="DQ35" i="6"/>
  <c r="DP35" i="6"/>
  <c r="DN35" i="6"/>
  <c r="DM35" i="6"/>
  <c r="DL35" i="6"/>
  <c r="DJ35" i="6"/>
  <c r="DE35" i="6"/>
  <c r="CJ35" i="6"/>
  <c r="CI35" i="6"/>
  <c r="BX35" i="6"/>
  <c r="BO35" i="6"/>
  <c r="BN35" i="6"/>
  <c r="BL35" i="6"/>
  <c r="BI35" i="6"/>
  <c r="BE35" i="6"/>
  <c r="BA35" i="6"/>
  <c r="DI35" i="6"/>
  <c r="AU35" i="6"/>
  <c r="AP35" i="6"/>
  <c r="CZ35" i="6"/>
  <c r="D35" i="6"/>
  <c r="C35" i="6"/>
  <c r="A35" i="6"/>
  <c r="EN34" i="6"/>
  <c r="EI34" i="6"/>
  <c r="EE34" i="6"/>
  <c r="ED34" i="6"/>
  <c r="DY34" i="6"/>
  <c r="DX34" i="6"/>
  <c r="DV34" i="6"/>
  <c r="DU34" i="6"/>
  <c r="DT34" i="6"/>
  <c r="DR34" i="6"/>
  <c r="DQ34" i="6"/>
  <c r="DP34" i="6"/>
  <c r="DN34" i="6"/>
  <c r="DM34" i="6"/>
  <c r="DL34" i="6"/>
  <c r="DJ34" i="6"/>
  <c r="DE34" i="6"/>
  <c r="CJ34" i="6"/>
  <c r="CI34" i="6"/>
  <c r="BX34" i="6"/>
  <c r="BO34" i="6"/>
  <c r="BN34" i="6"/>
  <c r="BL34" i="6"/>
  <c r="BI34" i="6"/>
  <c r="BE34" i="6"/>
  <c r="BA34" i="6"/>
  <c r="AX34" i="6"/>
  <c r="AU34" i="6"/>
  <c r="AP34" i="6"/>
  <c r="D34" i="6"/>
  <c r="C34" i="6"/>
  <c r="A34" i="6"/>
  <c r="EN33" i="6"/>
  <c r="EI33" i="6"/>
  <c r="EE33" i="6"/>
  <c r="ED33" i="6"/>
  <c r="DY33" i="6"/>
  <c r="DX33" i="6"/>
  <c r="DV33" i="6"/>
  <c r="DU33" i="6"/>
  <c r="DT33" i="6"/>
  <c r="DR33" i="6"/>
  <c r="DQ33" i="6"/>
  <c r="DP33" i="6"/>
  <c r="DN33" i="6"/>
  <c r="DM33" i="6"/>
  <c r="DL33" i="6"/>
  <c r="DJ33" i="6"/>
  <c r="DE33" i="6"/>
  <c r="CJ33" i="6"/>
  <c r="CI33" i="6"/>
  <c r="BX33" i="6"/>
  <c r="BO33" i="6"/>
  <c r="BN33" i="6"/>
  <c r="BL33" i="6"/>
  <c r="BI33" i="6"/>
  <c r="BE33" i="6"/>
  <c r="BA33" i="6"/>
  <c r="DI33" i="6"/>
  <c r="AU33" i="6"/>
  <c r="AP33" i="6"/>
  <c r="CZ33" i="6"/>
  <c r="D33" i="6"/>
  <c r="CX33" i="6" s="1"/>
  <c r="C33" i="6"/>
  <c r="A33" i="6"/>
  <c r="EN32" i="6"/>
  <c r="EI32" i="6"/>
  <c r="EE32" i="6"/>
  <c r="ED32" i="6"/>
  <c r="DY32" i="6"/>
  <c r="DX32" i="6"/>
  <c r="DV32" i="6"/>
  <c r="DU32" i="6"/>
  <c r="DT32" i="6"/>
  <c r="DR32" i="6"/>
  <c r="DQ32" i="6"/>
  <c r="DP32" i="6"/>
  <c r="DN32" i="6"/>
  <c r="DM32" i="6"/>
  <c r="DL32" i="6"/>
  <c r="DJ32" i="6"/>
  <c r="DE32" i="6"/>
  <c r="CJ32" i="6"/>
  <c r="CI32" i="6"/>
  <c r="BX32" i="6"/>
  <c r="BO32" i="6"/>
  <c r="BN32" i="6"/>
  <c r="BL32" i="6"/>
  <c r="BI32" i="6"/>
  <c r="BE32" i="6"/>
  <c r="BA32" i="6"/>
  <c r="DI32" i="6"/>
  <c r="AU32" i="6"/>
  <c r="AP32" i="6"/>
  <c r="CZ32" i="6"/>
  <c r="D32" i="6"/>
  <c r="CW32" i="6" s="1"/>
  <c r="C32" i="6"/>
  <c r="A32" i="6"/>
  <c r="EN31" i="6"/>
  <c r="EI31" i="6"/>
  <c r="EE31" i="6"/>
  <c r="ED31" i="6"/>
  <c r="DY31" i="6"/>
  <c r="DX31" i="6"/>
  <c r="DV31" i="6"/>
  <c r="DU31" i="6"/>
  <c r="DT31" i="6"/>
  <c r="DR31" i="6"/>
  <c r="DQ31" i="6"/>
  <c r="DP31" i="6"/>
  <c r="DN31" i="6"/>
  <c r="DM31" i="6"/>
  <c r="DL31" i="6"/>
  <c r="DJ31" i="6"/>
  <c r="DE31" i="6"/>
  <c r="CJ31" i="6"/>
  <c r="CI31" i="6"/>
  <c r="BX31" i="6"/>
  <c r="BO31" i="6"/>
  <c r="BN31" i="6"/>
  <c r="BL31" i="6"/>
  <c r="BI31" i="6"/>
  <c r="BE31" i="6"/>
  <c r="BA31" i="6"/>
  <c r="DI31" i="6"/>
  <c r="AU31" i="6"/>
  <c r="AP31" i="6"/>
  <c r="CZ31" i="6"/>
  <c r="D31" i="6"/>
  <c r="C31" i="6"/>
  <c r="A31" i="6"/>
  <c r="EN30" i="6"/>
  <c r="EI30" i="6"/>
  <c r="EE30" i="6"/>
  <c r="ED30" i="6"/>
  <c r="DY30" i="6"/>
  <c r="DX30" i="6"/>
  <c r="DV30" i="6"/>
  <c r="DU30" i="6"/>
  <c r="DT30" i="6"/>
  <c r="DR30" i="6"/>
  <c r="DQ30" i="6"/>
  <c r="DP30" i="6"/>
  <c r="DN30" i="6"/>
  <c r="DM30" i="6"/>
  <c r="DL30" i="6"/>
  <c r="DJ30" i="6"/>
  <c r="DE30" i="6"/>
  <c r="CJ30" i="6"/>
  <c r="CI30" i="6"/>
  <c r="BX30" i="6"/>
  <c r="BO30" i="6"/>
  <c r="BN30" i="6"/>
  <c r="BL30" i="6"/>
  <c r="BI30" i="6"/>
  <c r="BE30" i="6"/>
  <c r="BA30" i="6"/>
  <c r="AX30" i="6"/>
  <c r="AU30" i="6"/>
  <c r="AP30" i="6"/>
  <c r="CZ30" i="6"/>
  <c r="D30" i="6"/>
  <c r="C30" i="6"/>
  <c r="A30" i="6"/>
  <c r="EN29" i="6"/>
  <c r="EI29" i="6"/>
  <c r="EE29" i="6"/>
  <c r="ED29" i="6"/>
  <c r="DY29" i="6"/>
  <c r="DX29" i="6"/>
  <c r="DV29" i="6"/>
  <c r="DU29" i="6"/>
  <c r="DT29" i="6"/>
  <c r="DR29" i="6"/>
  <c r="DQ29" i="6"/>
  <c r="DP29" i="6"/>
  <c r="DN29" i="6"/>
  <c r="DM29" i="6"/>
  <c r="DL29" i="6"/>
  <c r="DJ29" i="6"/>
  <c r="DE29" i="6"/>
  <c r="CJ29" i="6"/>
  <c r="CI29" i="6"/>
  <c r="BX29" i="6"/>
  <c r="BO29" i="6"/>
  <c r="BN29" i="6"/>
  <c r="BL29" i="6"/>
  <c r="BI29" i="6"/>
  <c r="BE29" i="6"/>
  <c r="BA29" i="6"/>
  <c r="AX29" i="6"/>
  <c r="AU29" i="6"/>
  <c r="AP29" i="6"/>
  <c r="CZ29" i="6"/>
  <c r="D29" i="6"/>
  <c r="C29" i="6"/>
  <c r="A29" i="6"/>
  <c r="EN28" i="6"/>
  <c r="EI28" i="6"/>
  <c r="EE28" i="6"/>
  <c r="ED28" i="6"/>
  <c r="DY28" i="6"/>
  <c r="DX28" i="6"/>
  <c r="DV28" i="6"/>
  <c r="DU28" i="6"/>
  <c r="DT28" i="6"/>
  <c r="DR28" i="6"/>
  <c r="DQ28" i="6"/>
  <c r="DP28" i="6"/>
  <c r="DN28" i="6"/>
  <c r="DM28" i="6"/>
  <c r="DL28" i="6"/>
  <c r="DJ28" i="6"/>
  <c r="DE28" i="6"/>
  <c r="CJ28" i="6"/>
  <c r="CI28" i="6"/>
  <c r="BX28" i="6"/>
  <c r="BO28" i="6"/>
  <c r="BN28" i="6"/>
  <c r="BL28" i="6"/>
  <c r="BI28" i="6"/>
  <c r="BE28" i="6"/>
  <c r="BA28" i="6"/>
  <c r="BB28" i="6"/>
  <c r="AU28" i="6"/>
  <c r="AP28" i="6"/>
  <c r="CZ28" i="6"/>
  <c r="D28" i="6"/>
  <c r="C28" i="6"/>
  <c r="A28" i="6"/>
  <c r="EN27" i="6"/>
  <c r="EI27" i="6"/>
  <c r="EE27" i="6"/>
  <c r="ED27" i="6"/>
  <c r="DY27" i="6"/>
  <c r="DX27" i="6"/>
  <c r="DV27" i="6"/>
  <c r="DU27" i="6"/>
  <c r="DT27" i="6"/>
  <c r="DR27" i="6"/>
  <c r="DQ27" i="6"/>
  <c r="DP27" i="6"/>
  <c r="DN27" i="6"/>
  <c r="DM27" i="6"/>
  <c r="DL27" i="6"/>
  <c r="DJ27" i="6"/>
  <c r="DE27" i="6"/>
  <c r="CJ27" i="6"/>
  <c r="CI27" i="6"/>
  <c r="BX27" i="6"/>
  <c r="BO27" i="6"/>
  <c r="BN27" i="6"/>
  <c r="BL27" i="6"/>
  <c r="BI27" i="6"/>
  <c r="BE27" i="6"/>
  <c r="BA27" i="6"/>
  <c r="BB27" i="6"/>
  <c r="AU27" i="6"/>
  <c r="AP27" i="6"/>
  <c r="CZ27" i="6"/>
  <c r="D27" i="6"/>
  <c r="CX27" i="6" s="1"/>
  <c r="C27" i="6"/>
  <c r="A27" i="6"/>
  <c r="EN26" i="6"/>
  <c r="EI26" i="6"/>
  <c r="EE26" i="6"/>
  <c r="ED26" i="6"/>
  <c r="DY26" i="6"/>
  <c r="DX26" i="6"/>
  <c r="DV26" i="6"/>
  <c r="DU26" i="6"/>
  <c r="DT26" i="6"/>
  <c r="DR26" i="6"/>
  <c r="DQ26" i="6"/>
  <c r="DP26" i="6"/>
  <c r="DN26" i="6"/>
  <c r="DM26" i="6"/>
  <c r="DL26" i="6"/>
  <c r="DJ26" i="6"/>
  <c r="DE26" i="6"/>
  <c r="CJ26" i="6"/>
  <c r="CI26" i="6"/>
  <c r="BX26" i="6"/>
  <c r="BO26" i="6"/>
  <c r="BN26" i="6"/>
  <c r="BL26" i="6"/>
  <c r="BI26" i="6"/>
  <c r="BE26" i="6"/>
  <c r="BA26" i="6"/>
  <c r="DI26" i="6"/>
  <c r="AU26" i="6"/>
  <c r="AP26" i="6"/>
  <c r="CZ26" i="6"/>
  <c r="D26" i="6"/>
  <c r="C26" i="6"/>
  <c r="A26" i="6"/>
  <c r="EN25" i="6"/>
  <c r="EI25" i="6"/>
  <c r="EE25" i="6"/>
  <c r="ED25" i="6"/>
  <c r="DY25" i="6"/>
  <c r="DX25" i="6"/>
  <c r="DV25" i="6"/>
  <c r="DU25" i="6"/>
  <c r="DT25" i="6"/>
  <c r="DR25" i="6"/>
  <c r="DQ25" i="6"/>
  <c r="DP25" i="6"/>
  <c r="DN25" i="6"/>
  <c r="DM25" i="6"/>
  <c r="DL25" i="6"/>
  <c r="DJ25" i="6"/>
  <c r="DI25" i="6"/>
  <c r="DE25" i="6"/>
  <c r="CJ25" i="6"/>
  <c r="CI25" i="6"/>
  <c r="BX25" i="6"/>
  <c r="BO25" i="6"/>
  <c r="BN25" i="6"/>
  <c r="BL25" i="6"/>
  <c r="BI25" i="6"/>
  <c r="BE25" i="6"/>
  <c r="BA25" i="6"/>
  <c r="BB25" i="6"/>
  <c r="AU25" i="6"/>
  <c r="AP25" i="6"/>
  <c r="CZ25" i="6"/>
  <c r="D25" i="6"/>
  <c r="CW25" i="6" s="1"/>
  <c r="C25" i="6"/>
  <c r="A25" i="6"/>
  <c r="EN24" i="6"/>
  <c r="EI24" i="6"/>
  <c r="EE24" i="6"/>
  <c r="ED24" i="6"/>
  <c r="DY24" i="6"/>
  <c r="DX24" i="6"/>
  <c r="DV24" i="6"/>
  <c r="DU24" i="6"/>
  <c r="DT24" i="6"/>
  <c r="DR24" i="6"/>
  <c r="DQ24" i="6"/>
  <c r="DP24" i="6"/>
  <c r="DN24" i="6"/>
  <c r="DM24" i="6"/>
  <c r="DL24" i="6"/>
  <c r="DJ24" i="6"/>
  <c r="DE24" i="6"/>
  <c r="CJ24" i="6"/>
  <c r="CI24" i="6"/>
  <c r="BX24" i="6"/>
  <c r="BO24" i="6"/>
  <c r="BN24" i="6"/>
  <c r="BL24" i="6"/>
  <c r="BI24" i="6"/>
  <c r="BE24" i="6"/>
  <c r="BA24" i="6"/>
  <c r="BB24" i="6"/>
  <c r="AU24" i="6"/>
  <c r="AP24" i="6"/>
  <c r="CZ24" i="6"/>
  <c r="D24" i="6"/>
  <c r="CW24" i="6" s="1"/>
  <c r="C24" i="6"/>
  <c r="A24" i="6"/>
  <c r="EN23" i="6"/>
  <c r="EI23" i="6"/>
  <c r="EE23" i="6"/>
  <c r="ED23" i="6"/>
  <c r="DY23" i="6"/>
  <c r="DX23" i="6"/>
  <c r="DV23" i="6"/>
  <c r="DU23" i="6"/>
  <c r="DT23" i="6"/>
  <c r="DR23" i="6"/>
  <c r="DQ23" i="6"/>
  <c r="DP23" i="6"/>
  <c r="DN23" i="6"/>
  <c r="DM23" i="6"/>
  <c r="DL23" i="6"/>
  <c r="DJ23" i="6"/>
  <c r="DE23" i="6"/>
  <c r="CJ23" i="6"/>
  <c r="CI23" i="6"/>
  <c r="BX23" i="6"/>
  <c r="BO23" i="6"/>
  <c r="BN23" i="6"/>
  <c r="BL23" i="6"/>
  <c r="BI23" i="6"/>
  <c r="BE23" i="6"/>
  <c r="BA23" i="6"/>
  <c r="DI23" i="6"/>
  <c r="AU23" i="6"/>
  <c r="AP23" i="6"/>
  <c r="CZ23" i="6"/>
  <c r="D23" i="6"/>
  <c r="C23" i="6"/>
  <c r="A23" i="6"/>
  <c r="EN22" i="6"/>
  <c r="EI22" i="6"/>
  <c r="EE22" i="6"/>
  <c r="ED22" i="6"/>
  <c r="DY22" i="6"/>
  <c r="DX22" i="6"/>
  <c r="DV22" i="6"/>
  <c r="DU22" i="6"/>
  <c r="DT22" i="6"/>
  <c r="DR22" i="6"/>
  <c r="DQ22" i="6"/>
  <c r="DP22" i="6"/>
  <c r="DN22" i="6"/>
  <c r="DM22" i="6"/>
  <c r="DL22" i="6"/>
  <c r="DJ22" i="6"/>
  <c r="DE22" i="6"/>
  <c r="CJ22" i="6"/>
  <c r="CI22" i="6"/>
  <c r="BX22" i="6"/>
  <c r="BO22" i="6"/>
  <c r="BN22" i="6"/>
  <c r="BL22" i="6"/>
  <c r="BI22" i="6"/>
  <c r="BE22" i="6"/>
  <c r="BA22" i="6"/>
  <c r="AX22" i="6"/>
  <c r="AU22" i="6"/>
  <c r="AP22" i="6"/>
  <c r="CZ22" i="6"/>
  <c r="D22" i="6"/>
  <c r="C22" i="6"/>
  <c r="A22" i="6"/>
  <c r="EN21" i="6"/>
  <c r="EI21" i="6"/>
  <c r="EE21" i="6"/>
  <c r="ED21" i="6"/>
  <c r="DY21" i="6"/>
  <c r="DX21" i="6"/>
  <c r="DV21" i="6"/>
  <c r="DU21" i="6"/>
  <c r="DT21" i="6"/>
  <c r="DR21" i="6"/>
  <c r="DQ21" i="6"/>
  <c r="DP21" i="6"/>
  <c r="DN21" i="6"/>
  <c r="DM21" i="6"/>
  <c r="DL21" i="6"/>
  <c r="DJ21" i="6"/>
  <c r="DE21" i="6"/>
  <c r="CJ21" i="6"/>
  <c r="CI21" i="6"/>
  <c r="BX21" i="6"/>
  <c r="BO21" i="6"/>
  <c r="BN21" i="6"/>
  <c r="BL21" i="6"/>
  <c r="BI21" i="6"/>
  <c r="BE21" i="6"/>
  <c r="BA21" i="6"/>
  <c r="DI21" i="6"/>
  <c r="AU21" i="6"/>
  <c r="AP21" i="6"/>
  <c r="CZ21" i="6"/>
  <c r="D21" i="6"/>
  <c r="C21" i="6"/>
  <c r="A21" i="6"/>
  <c r="EN20" i="6"/>
  <c r="EI20" i="6"/>
  <c r="EE20" i="6"/>
  <c r="ED20" i="6"/>
  <c r="DY20" i="6"/>
  <c r="DX20" i="6"/>
  <c r="DV20" i="6"/>
  <c r="DU20" i="6"/>
  <c r="DT20" i="6"/>
  <c r="DR20" i="6"/>
  <c r="DQ20" i="6"/>
  <c r="DP20" i="6"/>
  <c r="DN20" i="6"/>
  <c r="DM20" i="6"/>
  <c r="DL20" i="6"/>
  <c r="DJ20" i="6"/>
  <c r="DE20" i="6"/>
  <c r="CJ20" i="6"/>
  <c r="CI20" i="6"/>
  <c r="BX20" i="6"/>
  <c r="BO20" i="6"/>
  <c r="BN20" i="6"/>
  <c r="BL20" i="6"/>
  <c r="BI20" i="6"/>
  <c r="BE20" i="6"/>
  <c r="BA20" i="6"/>
  <c r="DI20" i="6"/>
  <c r="AU20" i="6"/>
  <c r="AP20" i="6"/>
  <c r="CZ20" i="6"/>
  <c r="D20" i="6"/>
  <c r="CW20" i="6" s="1"/>
  <c r="C20" i="6"/>
  <c r="A20" i="6"/>
  <c r="EN19" i="6"/>
  <c r="EI19" i="6"/>
  <c r="EE19" i="6"/>
  <c r="ED19" i="6"/>
  <c r="DY19" i="6"/>
  <c r="DX19" i="6"/>
  <c r="DV19" i="6"/>
  <c r="DU19" i="6"/>
  <c r="DT19" i="6"/>
  <c r="DR19" i="6"/>
  <c r="DQ19" i="6"/>
  <c r="DP19" i="6"/>
  <c r="DN19" i="6"/>
  <c r="DM19" i="6"/>
  <c r="DL19" i="6"/>
  <c r="DJ19" i="6"/>
  <c r="DE19" i="6"/>
  <c r="CJ19" i="6"/>
  <c r="CI19" i="6"/>
  <c r="BX19" i="6"/>
  <c r="BO19" i="6"/>
  <c r="BN19" i="6"/>
  <c r="BL19" i="6"/>
  <c r="BI19" i="6"/>
  <c r="BE19" i="6"/>
  <c r="BA19" i="6"/>
  <c r="DI19" i="6"/>
  <c r="AU19" i="6"/>
  <c r="AP19" i="6"/>
  <c r="CZ19" i="6"/>
  <c r="D19" i="6"/>
  <c r="C19" i="6"/>
  <c r="A19" i="6"/>
  <c r="EN18" i="6"/>
  <c r="EI18" i="6"/>
  <c r="EE18" i="6"/>
  <c r="ED18" i="6"/>
  <c r="DY18" i="6"/>
  <c r="DX18" i="6"/>
  <c r="DV18" i="6"/>
  <c r="DU18" i="6"/>
  <c r="DT18" i="6"/>
  <c r="DR18" i="6"/>
  <c r="DQ18" i="6"/>
  <c r="DP18" i="6"/>
  <c r="DN18" i="6"/>
  <c r="DM18" i="6"/>
  <c r="DL18" i="6"/>
  <c r="DJ18" i="6"/>
  <c r="DE18" i="6"/>
  <c r="CJ18" i="6"/>
  <c r="CI18" i="6"/>
  <c r="BX18" i="6"/>
  <c r="BO18" i="6"/>
  <c r="BN18" i="6"/>
  <c r="BL18" i="6"/>
  <c r="BI18" i="6"/>
  <c r="BE18" i="6"/>
  <c r="BA18" i="6"/>
  <c r="AX18" i="6"/>
  <c r="AU18" i="6"/>
  <c r="AP18" i="6"/>
  <c r="CZ18" i="6"/>
  <c r="D18" i="6"/>
  <c r="C18" i="6"/>
  <c r="A18" i="6"/>
  <c r="EN17" i="6"/>
  <c r="EI17" i="6"/>
  <c r="EE17" i="6"/>
  <c r="ED17" i="6"/>
  <c r="DY17" i="6"/>
  <c r="DX17" i="6"/>
  <c r="DV17" i="6"/>
  <c r="DU17" i="6"/>
  <c r="DT17" i="6"/>
  <c r="DR17" i="6"/>
  <c r="DQ17" i="6"/>
  <c r="DP17" i="6"/>
  <c r="DN17" i="6"/>
  <c r="DM17" i="6"/>
  <c r="DL17" i="6"/>
  <c r="DJ17" i="6"/>
  <c r="DE17" i="6"/>
  <c r="CJ17" i="6"/>
  <c r="CI17" i="6"/>
  <c r="BX17" i="6"/>
  <c r="BO17" i="6"/>
  <c r="BN17" i="6"/>
  <c r="BL17" i="6"/>
  <c r="BI17" i="6"/>
  <c r="BE17" i="6"/>
  <c r="BA17" i="6"/>
  <c r="AX17" i="6"/>
  <c r="AU17" i="6"/>
  <c r="AP17" i="6"/>
  <c r="CZ17" i="6"/>
  <c r="D17" i="6"/>
  <c r="C17" i="6"/>
  <c r="A17" i="6"/>
  <c r="EN16" i="6"/>
  <c r="EI16" i="6"/>
  <c r="EE16" i="6"/>
  <c r="ED16" i="6"/>
  <c r="DY16" i="6"/>
  <c r="DX16" i="6"/>
  <c r="DV16" i="6"/>
  <c r="DU16" i="6"/>
  <c r="DT16" i="6"/>
  <c r="DR16" i="6"/>
  <c r="DQ16" i="6"/>
  <c r="DP16" i="6"/>
  <c r="DN16" i="6"/>
  <c r="DM16" i="6"/>
  <c r="DL16" i="6"/>
  <c r="DJ16" i="6"/>
  <c r="DE16" i="6"/>
  <c r="CJ16" i="6"/>
  <c r="CI16" i="6"/>
  <c r="BX16" i="6"/>
  <c r="BO16" i="6"/>
  <c r="BN16" i="6"/>
  <c r="BL16" i="6"/>
  <c r="BI16" i="6"/>
  <c r="BE16" i="6"/>
  <c r="BA16" i="6"/>
  <c r="DI16" i="6"/>
  <c r="AU16" i="6"/>
  <c r="AP16" i="6"/>
  <c r="CZ16" i="6"/>
  <c r="D16" i="6"/>
  <c r="C16" i="6"/>
  <c r="A16" i="6"/>
  <c r="EN15" i="6"/>
  <c r="EI15" i="6"/>
  <c r="EE15" i="6"/>
  <c r="ED15" i="6"/>
  <c r="DY15" i="6"/>
  <c r="DX15" i="6"/>
  <c r="DV15" i="6"/>
  <c r="DU15" i="6"/>
  <c r="DT15" i="6"/>
  <c r="DR15" i="6"/>
  <c r="DQ15" i="6"/>
  <c r="DP15" i="6"/>
  <c r="DN15" i="6"/>
  <c r="DM15" i="6"/>
  <c r="DL15" i="6"/>
  <c r="DJ15" i="6"/>
  <c r="DE15" i="6"/>
  <c r="CJ15" i="6"/>
  <c r="CI15" i="6"/>
  <c r="BX15" i="6"/>
  <c r="BO15" i="6"/>
  <c r="BN15" i="6"/>
  <c r="BL15" i="6"/>
  <c r="BI15" i="6"/>
  <c r="BE15" i="6"/>
  <c r="BA15" i="6"/>
  <c r="BB15" i="6"/>
  <c r="AU15" i="6"/>
  <c r="AP15" i="6"/>
  <c r="CZ15" i="6"/>
  <c r="D15" i="6"/>
  <c r="CX15" i="6" s="1"/>
  <c r="C15" i="6"/>
  <c r="A15" i="6"/>
  <c r="EN14" i="6"/>
  <c r="EI14" i="6"/>
  <c r="EE14" i="6"/>
  <c r="ED14" i="6"/>
  <c r="DY14" i="6"/>
  <c r="DX14" i="6"/>
  <c r="DV14" i="6"/>
  <c r="DU14" i="6"/>
  <c r="DT14" i="6"/>
  <c r="DR14" i="6"/>
  <c r="DQ14" i="6"/>
  <c r="DP14" i="6"/>
  <c r="DN14" i="6"/>
  <c r="DM14" i="6"/>
  <c r="DL14" i="6"/>
  <c r="DJ14" i="6"/>
  <c r="DE14" i="6"/>
  <c r="CJ14" i="6"/>
  <c r="CI14" i="6"/>
  <c r="BX14" i="6"/>
  <c r="BO14" i="6"/>
  <c r="BN14" i="6"/>
  <c r="BL14" i="6"/>
  <c r="BI14" i="6"/>
  <c r="BE14" i="6"/>
  <c r="BA14" i="6"/>
  <c r="DI14" i="6"/>
  <c r="AU14" i="6"/>
  <c r="AP14" i="6"/>
  <c r="CZ14" i="6"/>
  <c r="D14" i="6"/>
  <c r="C14" i="6"/>
  <c r="A14" i="6"/>
  <c r="EN13" i="6"/>
  <c r="EI13" i="6"/>
  <c r="EE13" i="6"/>
  <c r="ED13" i="6"/>
  <c r="DY13" i="6"/>
  <c r="DX13" i="6"/>
  <c r="DV13" i="6"/>
  <c r="DU13" i="6"/>
  <c r="DT13" i="6"/>
  <c r="DR13" i="6"/>
  <c r="DQ13" i="6"/>
  <c r="DP13" i="6"/>
  <c r="DN13" i="6"/>
  <c r="DM13" i="6"/>
  <c r="DL13" i="6"/>
  <c r="DJ13" i="6"/>
  <c r="DE13" i="6"/>
  <c r="CJ13" i="6"/>
  <c r="CI13" i="6"/>
  <c r="BX13" i="6"/>
  <c r="BO13" i="6"/>
  <c r="BN13" i="6"/>
  <c r="BL13" i="6"/>
  <c r="BI13" i="6"/>
  <c r="BE13" i="6"/>
  <c r="BA13" i="6"/>
  <c r="BB13" i="6"/>
  <c r="AU13" i="6"/>
  <c r="AP13" i="6"/>
  <c r="CZ13" i="6"/>
  <c r="D13" i="6"/>
  <c r="CW13" i="6" s="1"/>
  <c r="C13" i="6"/>
  <c r="A13" i="6"/>
  <c r="EN12" i="6"/>
  <c r="EI12" i="6"/>
  <c r="EE12" i="6"/>
  <c r="ED12" i="6"/>
  <c r="DY12" i="6"/>
  <c r="DX12" i="6"/>
  <c r="DV12" i="6"/>
  <c r="DU12" i="6"/>
  <c r="DT12" i="6"/>
  <c r="DR12" i="6"/>
  <c r="DQ12" i="6"/>
  <c r="DP12" i="6"/>
  <c r="DN12" i="6"/>
  <c r="DM12" i="6"/>
  <c r="DL12" i="6"/>
  <c r="DJ12" i="6"/>
  <c r="DE12" i="6"/>
  <c r="CJ12" i="6"/>
  <c r="CI12" i="6"/>
  <c r="BX12" i="6"/>
  <c r="BO12" i="6"/>
  <c r="BN12" i="6"/>
  <c r="BL12" i="6"/>
  <c r="BI12" i="6"/>
  <c r="BE12" i="6"/>
  <c r="BA12" i="6"/>
  <c r="BB12" i="6"/>
  <c r="AU12" i="6"/>
  <c r="AP12" i="6"/>
  <c r="CZ12" i="6"/>
  <c r="D12" i="6"/>
  <c r="CW12" i="6" s="1"/>
  <c r="C12" i="6"/>
  <c r="A12" i="6"/>
  <c r="EN11" i="6"/>
  <c r="EI11" i="6"/>
  <c r="EE11" i="6"/>
  <c r="ED11" i="6"/>
  <c r="DY11" i="6"/>
  <c r="DX11" i="6"/>
  <c r="DV11" i="6"/>
  <c r="DU11" i="6"/>
  <c r="DT11" i="6"/>
  <c r="DR11" i="6"/>
  <c r="DQ11" i="6"/>
  <c r="DP11" i="6"/>
  <c r="DN11" i="6"/>
  <c r="DM11" i="6"/>
  <c r="DL11" i="6"/>
  <c r="DJ11" i="6"/>
  <c r="DE11" i="6"/>
  <c r="CJ11" i="6"/>
  <c r="CI11" i="6"/>
  <c r="BX11" i="6"/>
  <c r="BO11" i="6"/>
  <c r="BN11" i="6"/>
  <c r="BL11" i="6"/>
  <c r="BI11" i="6"/>
  <c r="BE11" i="6"/>
  <c r="BA11" i="6"/>
  <c r="DI11" i="6"/>
  <c r="AU11" i="6"/>
  <c r="AP11" i="6"/>
  <c r="CZ11" i="6"/>
  <c r="D11" i="6"/>
  <c r="C11" i="6"/>
  <c r="A11" i="6"/>
  <c r="EN10" i="6"/>
  <c r="EI10" i="6"/>
  <c r="EE10" i="6"/>
  <c r="ED10" i="6"/>
  <c r="DY10" i="6"/>
  <c r="DX10" i="6"/>
  <c r="DV10" i="6"/>
  <c r="DU10" i="6"/>
  <c r="DT10" i="6"/>
  <c r="DR10" i="6"/>
  <c r="DQ10" i="6"/>
  <c r="DP10" i="6"/>
  <c r="DN10" i="6"/>
  <c r="DM10" i="6"/>
  <c r="DL10" i="6"/>
  <c r="DJ10" i="6"/>
  <c r="DE10" i="6"/>
  <c r="CJ10" i="6"/>
  <c r="CI10" i="6"/>
  <c r="BX10" i="6"/>
  <c r="BO10" i="6"/>
  <c r="BN10" i="6"/>
  <c r="BL10" i="6"/>
  <c r="BI10" i="6"/>
  <c r="BE10" i="6"/>
  <c r="BA10" i="6"/>
  <c r="AX10" i="6"/>
  <c r="AU10" i="6"/>
  <c r="AP10" i="6"/>
  <c r="CZ10" i="6"/>
  <c r="D10" i="6"/>
  <c r="C10" i="6"/>
  <c r="A10" i="6"/>
  <c r="EN9" i="6"/>
  <c r="EI9" i="6"/>
  <c r="EE9" i="6"/>
  <c r="ED9" i="6"/>
  <c r="DY9" i="6"/>
  <c r="DX9" i="6"/>
  <c r="DV9" i="6"/>
  <c r="DU9" i="6"/>
  <c r="DT9" i="6"/>
  <c r="DR9" i="6"/>
  <c r="DQ9" i="6"/>
  <c r="DP9" i="6"/>
  <c r="DN9" i="6"/>
  <c r="DM9" i="6"/>
  <c r="DL9" i="6"/>
  <c r="DJ9" i="6"/>
  <c r="DE9" i="6"/>
  <c r="CJ9" i="6"/>
  <c r="CI9" i="6"/>
  <c r="BX9" i="6"/>
  <c r="BO9" i="6"/>
  <c r="BN9" i="6"/>
  <c r="BL9" i="6"/>
  <c r="BI9" i="6"/>
  <c r="BE9" i="6"/>
  <c r="BA9" i="6"/>
  <c r="AX9" i="6"/>
  <c r="AU9" i="6"/>
  <c r="AP9" i="6"/>
  <c r="CZ9" i="6"/>
  <c r="D9" i="6"/>
  <c r="CX9" i="6" s="1"/>
  <c r="C9" i="6"/>
  <c r="A9" i="6"/>
  <c r="EN8" i="6"/>
  <c r="EI8" i="6"/>
  <c r="EE8" i="6"/>
  <c r="ED8" i="6"/>
  <c r="DY8" i="6"/>
  <c r="DX8" i="6"/>
  <c r="DV8" i="6"/>
  <c r="DU8" i="6"/>
  <c r="DT8" i="6"/>
  <c r="DR8" i="6"/>
  <c r="DQ8" i="6"/>
  <c r="DP8" i="6"/>
  <c r="DN8" i="6"/>
  <c r="DM8" i="6"/>
  <c r="DL8" i="6"/>
  <c r="DJ8" i="6"/>
  <c r="DE8" i="6"/>
  <c r="CJ8" i="6"/>
  <c r="CI8" i="6"/>
  <c r="BX8" i="6"/>
  <c r="BO8" i="6"/>
  <c r="BN8" i="6"/>
  <c r="BL8" i="6"/>
  <c r="BI8" i="6"/>
  <c r="BE8" i="6"/>
  <c r="BA8" i="6"/>
  <c r="DI8" i="6"/>
  <c r="AU8" i="6"/>
  <c r="AP8" i="6"/>
  <c r="CZ8" i="6"/>
  <c r="D8" i="6"/>
  <c r="CW8" i="6" s="1"/>
  <c r="C8" i="6"/>
  <c r="A8" i="6"/>
  <c r="EN7" i="6"/>
  <c r="EI7" i="6"/>
  <c r="EE7" i="6"/>
  <c r="ED7" i="6"/>
  <c r="DY7" i="6"/>
  <c r="DX7" i="6"/>
  <c r="DV7" i="6"/>
  <c r="DU7" i="6"/>
  <c r="DT7" i="6"/>
  <c r="DR7" i="6"/>
  <c r="DQ7" i="6"/>
  <c r="DP7" i="6"/>
  <c r="DN7" i="6"/>
  <c r="DM7" i="6"/>
  <c r="DL7" i="6"/>
  <c r="DJ7" i="6"/>
  <c r="DE7" i="6"/>
  <c r="CJ7" i="6"/>
  <c r="CI7" i="6"/>
  <c r="BX7" i="6"/>
  <c r="BO7" i="6"/>
  <c r="BN7" i="6"/>
  <c r="BL7" i="6"/>
  <c r="BI7" i="6"/>
  <c r="BE7" i="6"/>
  <c r="BA7" i="6"/>
  <c r="DI7" i="6"/>
  <c r="AU7" i="6"/>
  <c r="AP7" i="6"/>
  <c r="CZ7" i="6"/>
  <c r="D7" i="6"/>
  <c r="CX7" i="6" s="1"/>
  <c r="C7" i="6"/>
  <c r="A7" i="6"/>
  <c r="EN6" i="6"/>
  <c r="EI6" i="6"/>
  <c r="EE6" i="6"/>
  <c r="ED6" i="6"/>
  <c r="DY6" i="6"/>
  <c r="DX6" i="6"/>
  <c r="DV6" i="6"/>
  <c r="DU6" i="6"/>
  <c r="DT6" i="6"/>
  <c r="DR6" i="6"/>
  <c r="DQ6" i="6"/>
  <c r="DP6" i="6"/>
  <c r="DN6" i="6"/>
  <c r="DM6" i="6"/>
  <c r="DL6" i="6"/>
  <c r="DJ6" i="6"/>
  <c r="DE6" i="6"/>
  <c r="CJ6" i="6"/>
  <c r="CI6" i="6"/>
  <c r="BX6" i="6"/>
  <c r="BO6" i="6"/>
  <c r="BN6" i="6"/>
  <c r="BL6" i="6"/>
  <c r="BI6" i="6"/>
  <c r="BE6" i="6"/>
  <c r="BA6" i="6"/>
  <c r="DI6" i="6"/>
  <c r="AU6" i="6"/>
  <c r="AP6" i="6"/>
  <c r="CZ6" i="6"/>
  <c r="D6" i="6"/>
  <c r="C6" i="6"/>
  <c r="A6" i="6"/>
  <c r="AW5" i="6"/>
  <c r="AX5" i="6" s="1"/>
  <c r="CX43" i="6" l="1"/>
  <c r="BH17" i="6"/>
  <c r="BF17" i="6" s="1"/>
  <c r="BG17" i="6" s="1"/>
  <c r="BH19" i="6"/>
  <c r="BF19" i="6" s="1"/>
  <c r="BG19" i="6" s="1"/>
  <c r="AX27" i="6"/>
  <c r="DI40" i="6"/>
  <c r="AX31" i="6"/>
  <c r="CX34" i="6"/>
  <c r="AX15" i="6"/>
  <c r="BH41" i="6"/>
  <c r="BF41" i="6" s="1"/>
  <c r="BG41" i="6" s="1"/>
  <c r="CW41" i="6"/>
  <c r="DI18" i="6"/>
  <c r="CX41" i="6"/>
  <c r="BH34" i="6"/>
  <c r="BF34" i="6" s="1"/>
  <c r="BG34" i="6" s="1"/>
  <c r="CX48" i="6"/>
  <c r="BB29" i="6"/>
  <c r="BD29" i="6" s="1"/>
  <c r="BH23" i="6"/>
  <c r="BF23" i="6" s="1"/>
  <c r="BG23" i="6" s="1"/>
  <c r="CX23" i="6"/>
  <c r="DI42" i="6"/>
  <c r="DI45" i="6"/>
  <c r="DI13" i="6"/>
  <c r="AX7" i="6"/>
  <c r="BD28" i="6"/>
  <c r="BC28" i="6"/>
  <c r="AX16" i="6"/>
  <c r="BB18" i="6"/>
  <c r="BH26" i="6"/>
  <c r="BF26" i="6" s="1"/>
  <c r="BG26" i="6" s="1"/>
  <c r="AX40" i="6"/>
  <c r="BB9" i="6"/>
  <c r="BD9" i="6" s="1"/>
  <c r="CX26" i="6"/>
  <c r="DI28" i="6"/>
  <c r="BH30" i="6"/>
  <c r="BF30" i="6" s="1"/>
  <c r="BG30" i="6" s="1"/>
  <c r="BB42" i="6"/>
  <c r="AX51" i="6"/>
  <c r="DI9" i="6"/>
  <c r="BB16" i="6"/>
  <c r="CX24" i="6"/>
  <c r="CW34" i="6"/>
  <c r="BH18" i="6"/>
  <c r="BF18" i="6" s="1"/>
  <c r="BG18" i="6" s="1"/>
  <c r="CW29" i="6"/>
  <c r="AX52" i="6"/>
  <c r="BB17" i="6"/>
  <c r="BD17" i="6" s="1"/>
  <c r="AX28" i="6"/>
  <c r="CW38" i="6"/>
  <c r="BB52" i="6"/>
  <c r="BD52" i="6" s="1"/>
  <c r="BB30" i="6"/>
  <c r="CW50" i="6"/>
  <c r="BB53" i="6"/>
  <c r="BD53" i="6" s="1"/>
  <c r="AX6" i="6"/>
  <c r="CW7" i="6"/>
  <c r="BH11" i="6"/>
  <c r="BF11" i="6" s="1"/>
  <c r="BG11" i="6" s="1"/>
  <c r="BH22" i="6"/>
  <c r="BF22" i="6" s="1"/>
  <c r="BG22" i="6" s="1"/>
  <c r="BH25" i="6"/>
  <c r="BF25" i="6" s="1"/>
  <c r="BG25" i="6" s="1"/>
  <c r="DI27" i="6"/>
  <c r="AX33" i="6"/>
  <c r="CZ34" i="6"/>
  <c r="CX38" i="6"/>
  <c r="BC40" i="6"/>
  <c r="BH47" i="6"/>
  <c r="BF47" i="6" s="1"/>
  <c r="BG47" i="6" s="1"/>
  <c r="BC54" i="6"/>
  <c r="BH15" i="6"/>
  <c r="BF15" i="6" s="1"/>
  <c r="BG15" i="6" s="1"/>
  <c r="CX20" i="6"/>
  <c r="BH29" i="6"/>
  <c r="BF29" i="6" s="1"/>
  <c r="BG29" i="6" s="1"/>
  <c r="DI30" i="6"/>
  <c r="DI36" i="6"/>
  <c r="CW43" i="6"/>
  <c r="CX47" i="6"/>
  <c r="CW22" i="6"/>
  <c r="BB33" i="6"/>
  <c r="BD33" i="6" s="1"/>
  <c r="BH51" i="6"/>
  <c r="BF51" i="6" s="1"/>
  <c r="BG51" i="6" s="1"/>
  <c r="BH7" i="6"/>
  <c r="BF7" i="6" s="1"/>
  <c r="BG7" i="6" s="1"/>
  <c r="BH13" i="6"/>
  <c r="BF13" i="6" s="1"/>
  <c r="BG13" i="6" s="1"/>
  <c r="DI15" i="6"/>
  <c r="AX21" i="6"/>
  <c r="CX22" i="6"/>
  <c r="CW26" i="6"/>
  <c r="CX29" i="6"/>
  <c r="AX39" i="6"/>
  <c r="CW40" i="6"/>
  <c r="DI49" i="6"/>
  <c r="BH54" i="6"/>
  <c r="BF54" i="6" s="1"/>
  <c r="BG54" i="6" s="1"/>
  <c r="BH35" i="6"/>
  <c r="BF35" i="6" s="1"/>
  <c r="BG35" i="6" s="1"/>
  <c r="BH49" i="6"/>
  <c r="BF49" i="6" s="1"/>
  <c r="BG49" i="6" s="1"/>
  <c r="DI51" i="6"/>
  <c r="BH53" i="6"/>
  <c r="BF53" i="6" s="1"/>
  <c r="BG53" i="6" s="1"/>
  <c r="CX12" i="6"/>
  <c r="BH14" i="6"/>
  <c r="BF14" i="6" s="1"/>
  <c r="BG14" i="6" s="1"/>
  <c r="CW17" i="6"/>
  <c r="AX19" i="6"/>
  <c r="BB21" i="6"/>
  <c r="BD21" i="6" s="1"/>
  <c r="DI24" i="6"/>
  <c r="CW31" i="6"/>
  <c r="CX35" i="6"/>
  <c r="CW53" i="6"/>
  <c r="DI54" i="6"/>
  <c r="BH6" i="6"/>
  <c r="BF6" i="6" s="1"/>
  <c r="BG6" i="6" s="1"/>
  <c r="CX8" i="6"/>
  <c r="CW10" i="6"/>
  <c r="CW14" i="6"/>
  <c r="CX17" i="6"/>
  <c r="CX31" i="6"/>
  <c r="BH39" i="6"/>
  <c r="BF39" i="6" s="1"/>
  <c r="BG39" i="6" s="1"/>
  <c r="CX44" i="6"/>
  <c r="CW46" i="6"/>
  <c r="BH50" i="6"/>
  <c r="BF50" i="6" s="1"/>
  <c r="BG50" i="6" s="1"/>
  <c r="CX53" i="6"/>
  <c r="BB6" i="6"/>
  <c r="CX10" i="6"/>
  <c r="CX14" i="6"/>
  <c r="CW28" i="6"/>
  <c r="BB41" i="6"/>
  <c r="BD41" i="6" s="1"/>
  <c r="BH42" i="6"/>
  <c r="BF42" i="6" s="1"/>
  <c r="BG42" i="6" s="1"/>
  <c r="CX46" i="6"/>
  <c r="DI12" i="6"/>
  <c r="CW19" i="6"/>
  <c r="BH37" i="6"/>
  <c r="BF37" i="6" s="1"/>
  <c r="BG37" i="6" s="1"/>
  <c r="DI39" i="6"/>
  <c r="CX50" i="6"/>
  <c r="CX19" i="6"/>
  <c r="BH10" i="6"/>
  <c r="BF10" i="6" s="1"/>
  <c r="BG10" i="6" s="1"/>
  <c r="CW16" i="6"/>
  <c r="BH27" i="6"/>
  <c r="BF27" i="6" s="1"/>
  <c r="BG27" i="6" s="1"/>
  <c r="CX32" i="6"/>
  <c r="CX36" i="6"/>
  <c r="BH38" i="6"/>
  <c r="BF38" i="6" s="1"/>
  <c r="BG38" i="6" s="1"/>
  <c r="AX43" i="6"/>
  <c r="BH46" i="6"/>
  <c r="BF46" i="6" s="1"/>
  <c r="BG46" i="6" s="1"/>
  <c r="CW52" i="6"/>
  <c r="BD51" i="6"/>
  <c r="BC51" i="6"/>
  <c r="BD24" i="6"/>
  <c r="BC24" i="6"/>
  <c r="BD37" i="6"/>
  <c r="BC37" i="6"/>
  <c r="BC12" i="6"/>
  <c r="BD12" i="6"/>
  <c r="BD39" i="6"/>
  <c r="BC39" i="6"/>
  <c r="BD48" i="6"/>
  <c r="BC48" i="6"/>
  <c r="BD25" i="6"/>
  <c r="BC25" i="6"/>
  <c r="BD27" i="6"/>
  <c r="BC27" i="6"/>
  <c r="BC36" i="6"/>
  <c r="BD36" i="6"/>
  <c r="BD13" i="6"/>
  <c r="BC13" i="6"/>
  <c r="BD15" i="6"/>
  <c r="BC15" i="6"/>
  <c r="BD49" i="6"/>
  <c r="BC49" i="6"/>
  <c r="CW6" i="6"/>
  <c r="AX8" i="6"/>
  <c r="BB10" i="6"/>
  <c r="CX13" i="6"/>
  <c r="BH16" i="6"/>
  <c r="BF16" i="6" s="1"/>
  <c r="BG16" i="6" s="1"/>
  <c r="DI17" i="6"/>
  <c r="CW18" i="6"/>
  <c r="AX20" i="6"/>
  <c r="BB22" i="6"/>
  <c r="CX25" i="6"/>
  <c r="BH28" i="6"/>
  <c r="BF28" i="6" s="1"/>
  <c r="BG28" i="6" s="1"/>
  <c r="DI29" i="6"/>
  <c r="CW30" i="6"/>
  <c r="AX32" i="6"/>
  <c r="BB34" i="6"/>
  <c r="CX37" i="6"/>
  <c r="BH40" i="6"/>
  <c r="BF40" i="6" s="1"/>
  <c r="BG40" i="6" s="1"/>
  <c r="DI41" i="6"/>
  <c r="CW42" i="6"/>
  <c r="AX44" i="6"/>
  <c r="BB46" i="6"/>
  <c r="CX49" i="6"/>
  <c r="BH52" i="6"/>
  <c r="BF52" i="6" s="1"/>
  <c r="BG52" i="6" s="1"/>
  <c r="DI53" i="6"/>
  <c r="CW54" i="6"/>
  <c r="CX6" i="6"/>
  <c r="BH9" i="6"/>
  <c r="BF9" i="6" s="1"/>
  <c r="BG9" i="6" s="1"/>
  <c r="DI10" i="6"/>
  <c r="CW11" i="6"/>
  <c r="AX13" i="6"/>
  <c r="CX18" i="6"/>
  <c r="BH21" i="6"/>
  <c r="BF21" i="6" s="1"/>
  <c r="BG21" i="6" s="1"/>
  <c r="DI22" i="6"/>
  <c r="CW23" i="6"/>
  <c r="AX25" i="6"/>
  <c r="CX30" i="6"/>
  <c r="BH33" i="6"/>
  <c r="BF33" i="6" s="1"/>
  <c r="BG33" i="6" s="1"/>
  <c r="DI34" i="6"/>
  <c r="CW35" i="6"/>
  <c r="AX37" i="6"/>
  <c r="CX42" i="6"/>
  <c r="BH45" i="6"/>
  <c r="BF45" i="6" s="1"/>
  <c r="BG45" i="6" s="1"/>
  <c r="DI46" i="6"/>
  <c r="CW47" i="6"/>
  <c r="AX49" i="6"/>
  <c r="CX54" i="6"/>
  <c r="BB20" i="6"/>
  <c r="BB32" i="6"/>
  <c r="BB44" i="6"/>
  <c r="BB8" i="6"/>
  <c r="CX11" i="6"/>
  <c r="CW9" i="6"/>
  <c r="AX11" i="6"/>
  <c r="CX16" i="6"/>
  <c r="CW21" i="6"/>
  <c r="AX23" i="6"/>
  <c r="CX28" i="6"/>
  <c r="BH31" i="6"/>
  <c r="BF31" i="6" s="1"/>
  <c r="BG31" i="6" s="1"/>
  <c r="CW33" i="6"/>
  <c r="AX35" i="6"/>
  <c r="CX40" i="6"/>
  <c r="BH43" i="6"/>
  <c r="BF43" i="6" s="1"/>
  <c r="BG43" i="6" s="1"/>
  <c r="CW45" i="6"/>
  <c r="AX47" i="6"/>
  <c r="CX52" i="6"/>
  <c r="BH12" i="6"/>
  <c r="BF12" i="6" s="1"/>
  <c r="BG12" i="6" s="1"/>
  <c r="CX21" i="6"/>
  <c r="BH24" i="6"/>
  <c r="BF24" i="6" s="1"/>
  <c r="BG24" i="6" s="1"/>
  <c r="BH36" i="6"/>
  <c r="BF36" i="6" s="1"/>
  <c r="BG36" i="6" s="1"/>
  <c r="BH48" i="6"/>
  <c r="BF48" i="6" s="1"/>
  <c r="BG48" i="6" s="1"/>
  <c r="BB11" i="6"/>
  <c r="BB23" i="6"/>
  <c r="BB35" i="6"/>
  <c r="BB47" i="6"/>
  <c r="AX14" i="6"/>
  <c r="AX26" i="6"/>
  <c r="AX38" i="6"/>
  <c r="AX50" i="6"/>
  <c r="AX12" i="6"/>
  <c r="BB14" i="6"/>
  <c r="BH20" i="6"/>
  <c r="BF20" i="6" s="1"/>
  <c r="BG20" i="6" s="1"/>
  <c r="AX24" i="6"/>
  <c r="BB26" i="6"/>
  <c r="BH32" i="6"/>
  <c r="BF32" i="6" s="1"/>
  <c r="BG32" i="6" s="1"/>
  <c r="AX36" i="6"/>
  <c r="BB38" i="6"/>
  <c r="BH44" i="6"/>
  <c r="BF44" i="6" s="1"/>
  <c r="BG44" i="6" s="1"/>
  <c r="BC45" i="6"/>
  <c r="AX48" i="6"/>
  <c r="BB50" i="6"/>
  <c r="CW15" i="6"/>
  <c r="BB19" i="6"/>
  <c r="CW27" i="6"/>
  <c r="BB31" i="6"/>
  <c r="CW39" i="6"/>
  <c r="BB43" i="6"/>
  <c r="CW51" i="6"/>
  <c r="BH8" i="6"/>
  <c r="BF8" i="6" s="1"/>
  <c r="BG8" i="6" s="1"/>
  <c r="BB7" i="6"/>
  <c r="DI5" i="6"/>
  <c r="BB5" i="6"/>
  <c r="BC21" i="6" l="1"/>
  <c r="BC33" i="6"/>
  <c r="BC53" i="6"/>
  <c r="BC29" i="6"/>
  <c r="BC9" i="6"/>
  <c r="BC52" i="6"/>
  <c r="BC17" i="6"/>
  <c r="BC30" i="6"/>
  <c r="BD30" i="6"/>
  <c r="BD16" i="6"/>
  <c r="BC16" i="6"/>
  <c r="BD18" i="6"/>
  <c r="BC18" i="6"/>
  <c r="BD42" i="6"/>
  <c r="BC42" i="6"/>
  <c r="BC41" i="6"/>
  <c r="BC6" i="6"/>
  <c r="BD6" i="6"/>
  <c r="BD35" i="6"/>
  <c r="BC35" i="6"/>
  <c r="BD11" i="6"/>
  <c r="BC11" i="6"/>
  <c r="BD46" i="6"/>
  <c r="BC46" i="6"/>
  <c r="BD44" i="6"/>
  <c r="BC44" i="6"/>
  <c r="BD8" i="6"/>
  <c r="BC8" i="6"/>
  <c r="BD14" i="6"/>
  <c r="BC14" i="6"/>
  <c r="BD22" i="6"/>
  <c r="BC22" i="6"/>
  <c r="BD47" i="6"/>
  <c r="BC47" i="6"/>
  <c r="BD34" i="6"/>
  <c r="BC34" i="6"/>
  <c r="BC19" i="6"/>
  <c r="BD19" i="6"/>
  <c r="BD26" i="6"/>
  <c r="BC26" i="6"/>
  <c r="BD23" i="6"/>
  <c r="BC23" i="6"/>
  <c r="BD50" i="6"/>
  <c r="BC50" i="6"/>
  <c r="BC7" i="6"/>
  <c r="BD7" i="6"/>
  <c r="BD32" i="6"/>
  <c r="BC32" i="6"/>
  <c r="BC31" i="6"/>
  <c r="BD31" i="6"/>
  <c r="BD10" i="6"/>
  <c r="BC10" i="6"/>
  <c r="BC43" i="6"/>
  <c r="BD43" i="6"/>
  <c r="BD38" i="6"/>
  <c r="BC38" i="6"/>
  <c r="BD20" i="6"/>
  <c r="BC20" i="6"/>
  <c r="BC5" i="6"/>
  <c r="BD5" i="6"/>
  <c r="A15" i="8" l="1"/>
  <c r="A16" i="8"/>
  <c r="A17" i="8"/>
  <c r="A18" i="8"/>
  <c r="A19" i="8"/>
  <c r="A20" i="8"/>
  <c r="A21" i="8"/>
  <c r="A22" i="8"/>
  <c r="A23" i="8"/>
  <c r="A24" i="8"/>
  <c r="A25" i="8"/>
  <c r="A26" i="8"/>
  <c r="A27" i="8"/>
  <c r="A28" i="8"/>
  <c r="A29" i="8"/>
  <c r="A30" i="8"/>
  <c r="A31" i="8"/>
  <c r="A32" i="8"/>
  <c r="A33" i="8"/>
  <c r="A34" i="8"/>
  <c r="A35" i="8"/>
  <c r="A36" i="8"/>
  <c r="A37" i="8"/>
  <c r="A38" i="8"/>
  <c r="A39" i="8"/>
  <c r="A40" i="8"/>
  <c r="A41" i="8"/>
  <c r="A42" i="8"/>
  <c r="A43" i="8"/>
  <c r="A44" i="8"/>
  <c r="A45" i="8"/>
  <c r="A46" i="8"/>
  <c r="A47" i="8"/>
  <c r="A48" i="8"/>
  <c r="A49" i="8"/>
  <c r="A50" i="8"/>
  <c r="A51" i="8"/>
  <c r="A52" i="8"/>
  <c r="A53" i="8"/>
  <c r="A54" i="8"/>
  <c r="A45" i="9"/>
  <c r="A46" i="9"/>
  <c r="A47" i="9"/>
  <c r="A48" i="9"/>
  <c r="A49" i="9"/>
  <c r="A50" i="9"/>
  <c r="A51" i="9"/>
  <c r="A52" i="9"/>
  <c r="A53" i="9"/>
  <c r="A54" i="9"/>
  <c r="A37" i="9"/>
  <c r="A38" i="9"/>
  <c r="A39" i="9"/>
  <c r="A40" i="9"/>
  <c r="A41" i="9"/>
  <c r="A42" i="9"/>
  <c r="A43" i="9"/>
  <c r="A44" i="9"/>
  <c r="A15" i="9"/>
  <c r="A16" i="9"/>
  <c r="A17" i="9"/>
  <c r="A18" i="9"/>
  <c r="A19" i="9"/>
  <c r="A20" i="9"/>
  <c r="A21" i="9"/>
  <c r="A22" i="9"/>
  <c r="A23" i="9"/>
  <c r="A24" i="9"/>
  <c r="A25" i="9"/>
  <c r="A26" i="9"/>
  <c r="A27" i="9"/>
  <c r="A28" i="9"/>
  <c r="A29" i="9"/>
  <c r="A30" i="9"/>
  <c r="A31" i="9"/>
  <c r="A32" i="9"/>
  <c r="A33" i="9"/>
  <c r="A34" i="9"/>
  <c r="A35" i="9"/>
  <c r="A36" i="9"/>
  <c r="A14" i="10"/>
  <c r="A13" i="10"/>
  <c r="A12" i="10"/>
  <c r="A11" i="10"/>
  <c r="A10" i="10"/>
  <c r="A9" i="10"/>
  <c r="A8" i="10"/>
  <c r="A7" i="10"/>
  <c r="A6" i="10"/>
  <c r="A5" i="10"/>
  <c r="A14" i="9"/>
  <c r="A13" i="9"/>
  <c r="A12" i="9"/>
  <c r="A11" i="9"/>
  <c r="A10" i="9"/>
  <c r="A9" i="9"/>
  <c r="A8" i="9"/>
  <c r="A7" i="9"/>
  <c r="A6" i="9"/>
  <c r="A5" i="9"/>
  <c r="A14" i="8"/>
  <c r="A13" i="8"/>
  <c r="A12" i="8"/>
  <c r="A11" i="8"/>
  <c r="A10" i="8"/>
  <c r="A9" i="8"/>
  <c r="A8" i="8"/>
  <c r="A7" i="8"/>
  <c r="A6" i="8"/>
  <c r="A5" i="8"/>
  <c r="DE5" i="6" l="1"/>
  <c r="BX5" i="6"/>
  <c r="BL5" i="6"/>
  <c r="BA5" i="6"/>
  <c r="AP5" i="6"/>
  <c r="E5" i="6"/>
  <c r="D5" i="6"/>
  <c r="C5" i="6"/>
  <c r="CZ5" i="6" l="1"/>
  <c r="EN5" i="6" l="1"/>
  <c r="EI5" i="6"/>
  <c r="ED5" i="6"/>
  <c r="EE5" i="6"/>
  <c r="DY5" i="6"/>
  <c r="DX5" i="6"/>
  <c r="DU5" i="6"/>
  <c r="DT5" i="6"/>
  <c r="DP5" i="6"/>
  <c r="DQ5" i="6"/>
  <c r="DM5" i="6"/>
  <c r="DL5" i="6"/>
  <c r="DJ5" i="6"/>
  <c r="DV5" i="6"/>
  <c r="DR5" i="6"/>
  <c r="DN5" i="6"/>
  <c r="CX5" i="6" l="1"/>
  <c r="CW5" i="6"/>
  <c r="CJ5" i="6" l="1"/>
  <c r="CI5" i="6"/>
  <c r="BO5" i="6"/>
  <c r="BN5" i="6"/>
  <c r="BH5" i="6" l="1"/>
  <c r="BF5" i="6" s="1"/>
  <c r="BG5" i="6" s="1"/>
  <c r="BI5" i="6"/>
  <c r="BE5" i="6"/>
  <c r="AU5" i="6" l="1"/>
  <c r="A5" i="6" l="1"/>
</calcChain>
</file>

<file path=xl/comments1.xml><?xml version="1.0" encoding="utf-8"?>
<comments xmlns="http://schemas.openxmlformats.org/spreadsheetml/2006/main">
  <authors>
    <author>Boff Arthur</author>
  </authors>
  <commentList>
    <comment ref="BJ1" authorId="0" shapeId="0">
      <text>
        <r>
          <rPr>
            <b/>
            <sz val="9"/>
            <color indexed="81"/>
            <rFont val="Segoe UI"/>
            <family val="2"/>
          </rPr>
          <t>Boff Arthur:</t>
        </r>
        <r>
          <rPr>
            <sz val="9"/>
            <color indexed="81"/>
            <rFont val="Segoe UI"/>
            <family val="2"/>
          </rPr>
          <t xml:space="preserve">
DESCRIÇÃO DA CODIFICAÇÃO ADOTADA:
</t>
        </r>
        <r>
          <rPr>
            <b/>
            <sz val="9"/>
            <color indexed="81"/>
            <rFont val="Segoe UI"/>
            <family val="2"/>
          </rPr>
          <t xml:space="preserve">CONV.  +  {X/Y} / {UMA/UMB} + {L1/L2}
</t>
        </r>
        <r>
          <rPr>
            <sz val="9"/>
            <color indexed="81"/>
            <rFont val="Segoe UI"/>
            <family val="2"/>
          </rPr>
          <t xml:space="preserve">CONV → DESCRIÇÃO PADRÃO
X/Y→ VALOR X OU Y DA UMA OU UMB
UMA/UMB→UNIDADE DE MEDIDA A OU UNIDADE DE MEDIDA B
L1/L2→ LINHA SAP 1 OU LINHA SAP 2
</t>
        </r>
      </text>
    </comment>
  </commentList>
</comments>
</file>

<file path=xl/connections.xml><?xml version="1.0" encoding="utf-8"?>
<connections xmlns="http://schemas.openxmlformats.org/spreadsheetml/2006/main">
  <connection id="1" keepAlive="1" name="Consulta - Estrutura P01" description="Conexão com a consulta 'Estrutura P01' na pasta de trabalho." type="5" refreshedVersion="6" saveData="1">
    <dbPr connection="Provider=Microsoft.Mashup.OleDb.1;Data Source=$Workbook$;Location=Estrutura P01;Extended Properties=&quot;&quot;" command="SELECT * FROM [Estrutura P01]"/>
  </connection>
</connections>
</file>

<file path=xl/sharedStrings.xml><?xml version="1.0" encoding="utf-8"?>
<sst xmlns="http://schemas.openxmlformats.org/spreadsheetml/2006/main" count="3539" uniqueCount="1059">
  <si>
    <t>CENTRO</t>
  </si>
  <si>
    <t>DEPOSITO</t>
  </si>
  <si>
    <t>CANAL DE DISTRIBUIÇÃO</t>
  </si>
  <si>
    <t>N° DEPOSITO</t>
  </si>
  <si>
    <t>0581</t>
  </si>
  <si>
    <t>0350</t>
  </si>
  <si>
    <t>06</t>
  </si>
  <si>
    <t>08</t>
  </si>
  <si>
    <t>581</t>
  </si>
  <si>
    <t>0582</t>
  </si>
  <si>
    <t>NIVEIS ORGANIZACIONAIS</t>
  </si>
  <si>
    <t>0011</t>
  </si>
  <si>
    <t>0021</t>
  </si>
  <si>
    <t>0022</t>
  </si>
  <si>
    <t>0050</t>
  </si>
  <si>
    <t>0120</t>
  </si>
  <si>
    <t>0180</t>
  </si>
  <si>
    <t>0200</t>
  </si>
  <si>
    <t>0330</t>
  </si>
  <si>
    <t>0340</t>
  </si>
  <si>
    <t>0345</t>
  </si>
  <si>
    <t>0360</t>
  </si>
  <si>
    <t>0380</t>
  </si>
  <si>
    <t>0928</t>
  </si>
  <si>
    <t>07</t>
  </si>
  <si>
    <t>09</t>
  </si>
  <si>
    <t>10</t>
  </si>
  <si>
    <t>582</t>
  </si>
  <si>
    <t>N° Coluna</t>
  </si>
  <si>
    <t>Nome Técnico</t>
  </si>
  <si>
    <t>Nome Usual</t>
  </si>
  <si>
    <t>DIRETORIO SAP</t>
  </si>
  <si>
    <t>MsgHandler</t>
  </si>
  <si>
    <t>TIPO DE MRP</t>
  </si>
  <si>
    <t>M0</t>
  </si>
  <si>
    <t>MPS tipo fix.-0-</t>
  </si>
  <si>
    <t>M1</t>
  </si>
  <si>
    <t>MPS tipo fix.-1-</t>
  </si>
  <si>
    <t>M2</t>
  </si>
  <si>
    <t>MPS tipo fix.-2-</t>
  </si>
  <si>
    <t>M3</t>
  </si>
  <si>
    <t>MPS tipo fix. -3-</t>
  </si>
  <si>
    <t>M4</t>
  </si>
  <si>
    <t>MPS tipo fix. -4-</t>
  </si>
  <si>
    <t>ND</t>
  </si>
  <si>
    <t>Sem MRP</t>
  </si>
  <si>
    <t>P1</t>
  </si>
  <si>
    <t>MRP  tip.fix. -1-</t>
  </si>
  <si>
    <t>P2</t>
  </si>
  <si>
    <t>MRP  tip.fix. -2-</t>
  </si>
  <si>
    <t>P3</t>
  </si>
  <si>
    <t>MRP  tip.fix. -3-</t>
  </si>
  <si>
    <t>P4</t>
  </si>
  <si>
    <t>MRP  tip.fix. -4-</t>
  </si>
  <si>
    <t>PD</t>
  </si>
  <si>
    <t>MRP baseado no planejamento</t>
  </si>
  <si>
    <t>R1</t>
  </si>
  <si>
    <t>MRP cíclico</t>
  </si>
  <si>
    <t>R2</t>
  </si>
  <si>
    <t>Cíclico com ponto reabast.aut.</t>
  </si>
  <si>
    <t>RE</t>
  </si>
  <si>
    <t>Reabastecimento planej.extern.</t>
  </si>
  <si>
    <t>RF</t>
  </si>
  <si>
    <t>Reabast.com estoque teór.din.</t>
  </si>
  <si>
    <t>RP</t>
  </si>
  <si>
    <t>MRP de reaprovisionamento</t>
  </si>
  <si>
    <t>RR</t>
  </si>
  <si>
    <t>Reab.cícl.com estoq.teór.din.</t>
  </si>
  <si>
    <t>RS</t>
  </si>
  <si>
    <t>MRP cíclico de reabastecimento</t>
  </si>
  <si>
    <t>V1</t>
  </si>
  <si>
    <t>Pto.reabast.manual c/nec.ext</t>
  </si>
  <si>
    <t>V2</t>
  </si>
  <si>
    <t>Pto.reabast.autom.c/nec.ext.</t>
  </si>
  <si>
    <t>VB</t>
  </si>
  <si>
    <t>MRP manual ponto reabastecim.</t>
  </si>
  <si>
    <t>VI</t>
  </si>
  <si>
    <t>Vendor Managed Inventory</t>
  </si>
  <si>
    <t>VM</t>
  </si>
  <si>
    <t>MRP automát. ponto reabastec.</t>
  </si>
  <si>
    <t>VS</t>
  </si>
  <si>
    <t>MRP sazonal</t>
  </si>
  <si>
    <t>VV</t>
  </si>
  <si>
    <t>Plan.baseado em previsão</t>
  </si>
  <si>
    <t>X0</t>
  </si>
  <si>
    <t>Sem MRP, com explosão LT</t>
  </si>
  <si>
    <t>X1</t>
  </si>
  <si>
    <t>No planning</t>
  </si>
  <si>
    <t>X2</t>
  </si>
  <si>
    <t>APO planning w/o ATP</t>
  </si>
  <si>
    <t>Z1</t>
  </si>
  <si>
    <t>Man.reord.point all ext.reqs</t>
  </si>
  <si>
    <t>ABREVIAÇÃO</t>
  </si>
  <si>
    <t>DESCRIÇÃO</t>
  </si>
  <si>
    <t>ctxtRMMG1-MATNR</t>
  </si>
  <si>
    <t>CÓDIGO</t>
  </si>
  <si>
    <t>cmbRMMG1-MBRSH</t>
  </si>
  <si>
    <t>SETOR INDUSTRIAL</t>
  </si>
  <si>
    <t>cmbRMMG1-MTART</t>
  </si>
  <si>
    <t>TIPO DE MATERIAL</t>
  </si>
  <si>
    <t>M</t>
  </si>
  <si>
    <t>Dados básicos 1</t>
  </si>
  <si>
    <t>Dados básicos 2</t>
  </si>
  <si>
    <t>Classificação</t>
  </si>
  <si>
    <t>SD: dados org.vendas 1</t>
  </si>
  <si>
    <t>SD: dados org.vendas 2</t>
  </si>
  <si>
    <t>SD: dados gerais/centro</t>
  </si>
  <si>
    <t>Comércio exterior: exportação</t>
  </si>
  <si>
    <t>Texto de SD</t>
  </si>
  <si>
    <t>Compras</t>
  </si>
  <si>
    <t>Comércio exterior: importação</t>
  </si>
  <si>
    <t>Texto pedido compras</t>
  </si>
  <si>
    <t>MRP 1</t>
  </si>
  <si>
    <t>MRP 2</t>
  </si>
  <si>
    <t>MRP 3</t>
  </si>
  <si>
    <t>MRP 4</t>
  </si>
  <si>
    <t>Previsão</t>
  </si>
  <si>
    <t>Esquematização do trabalho</t>
  </si>
  <si>
    <t>Dds.gerais centro/armazen.1</t>
  </si>
  <si>
    <t>Dds.gerais centro/armazen.2</t>
  </si>
  <si>
    <t>Administração de depósitos 1</t>
  </si>
  <si>
    <t>Administração de depósitos 2</t>
  </si>
  <si>
    <t>Administração de qualidade</t>
  </si>
  <si>
    <t>Contabilidade 1</t>
  </si>
  <si>
    <t>Contabilidade 2</t>
  </si>
  <si>
    <t>Cálculo do preço 1</t>
  </si>
  <si>
    <t>Cálculo do preço 2</t>
  </si>
  <si>
    <t>SELEÇÃO DE VISÕES</t>
  </si>
  <si>
    <t>VISÃO 1</t>
  </si>
  <si>
    <t>VISÃO 2</t>
  </si>
  <si>
    <t>VISÃO 3</t>
  </si>
  <si>
    <t>VISÃO 4</t>
  </si>
  <si>
    <t>VISÃO 5</t>
  </si>
  <si>
    <t>VISÃO 6</t>
  </si>
  <si>
    <t>VISÃO 7</t>
  </si>
  <si>
    <t>VISÃO 8</t>
  </si>
  <si>
    <t>VISÃO 9</t>
  </si>
  <si>
    <t>VISÃO 10</t>
  </si>
  <si>
    <t>VISÃO 11</t>
  </si>
  <si>
    <t>VISÃO 12</t>
  </si>
  <si>
    <t>VISÃO 13</t>
  </si>
  <si>
    <t>VISÃO 14</t>
  </si>
  <si>
    <t>VISÃO 15</t>
  </si>
  <si>
    <t>VISÃO 16</t>
  </si>
  <si>
    <t>VISÃO 17</t>
  </si>
  <si>
    <t>VISÃO 18</t>
  </si>
  <si>
    <t>VISÃO 19</t>
  </si>
  <si>
    <t>VISÃO 20</t>
  </si>
  <si>
    <t>VISÃO 21</t>
  </si>
  <si>
    <t>VISÃO 22</t>
  </si>
  <si>
    <t>VISÃO 23</t>
  </si>
  <si>
    <t>VISÃO 24</t>
  </si>
  <si>
    <t>VISÃO 25</t>
  </si>
  <si>
    <t>VISÃO 26</t>
  </si>
  <si>
    <t>VISÃO 27</t>
  </si>
  <si>
    <t>tblSAPLMGMMTC_VIEW</t>
  </si>
  <si>
    <t>ctxtRMMG1-WERKS</t>
  </si>
  <si>
    <t>ctxtRMMG1-VKORG</t>
  </si>
  <si>
    <t>ctxtRMMG1-LGORT</t>
  </si>
  <si>
    <t>ORG. DE VENDAS</t>
  </si>
  <si>
    <t>ctxtRMMG1-VTWEG</t>
  </si>
  <si>
    <t>ctxtRMMG1-LGNUM</t>
  </si>
  <si>
    <t>N° DO DEPOSITO</t>
  </si>
  <si>
    <t>txtMAKT-MAKTX</t>
  </si>
  <si>
    <t>ctxtMARA-MEINS</t>
  </si>
  <si>
    <t>UNID. MED. BÁSICA</t>
  </si>
  <si>
    <t>ctxtMARA-MATKL</t>
  </si>
  <si>
    <t>GRP DE MERCADORIA</t>
  </si>
  <si>
    <t>txtMARA-BISMT</t>
  </si>
  <si>
    <t>CÓDIGO PRD</t>
  </si>
  <si>
    <t>NIVEIS ORG.</t>
  </si>
  <si>
    <t>ctxtMARA-SPART</t>
  </si>
  <si>
    <t>SETOR DE ATIVIDADE</t>
  </si>
  <si>
    <t>Pipes</t>
  </si>
  <si>
    <t>Profiles</t>
  </si>
  <si>
    <t>Leichtbau</t>
  </si>
  <si>
    <t>Tubos Especiais</t>
  </si>
  <si>
    <t>Perfis Especiais</t>
  </si>
  <si>
    <t>Telhas</t>
  </si>
  <si>
    <t>Serviços</t>
  </si>
  <si>
    <t>Purlins</t>
  </si>
  <si>
    <t>Tubos Padrão</t>
  </si>
  <si>
    <t>Perfis Padrão</t>
  </si>
  <si>
    <t>Kanban</t>
  </si>
  <si>
    <t>ctxtMARA-PRDHA</t>
  </si>
  <si>
    <t>HIERAR. DE PROD.</t>
  </si>
  <si>
    <t>HIERARQUIA</t>
  </si>
  <si>
    <t>H1</t>
  </si>
  <si>
    <t>H2</t>
  </si>
  <si>
    <t>H3</t>
  </si>
  <si>
    <t>H4</t>
  </si>
  <si>
    <t>H5</t>
  </si>
  <si>
    <t>51</t>
  </si>
  <si>
    <t>Padrão</t>
  </si>
  <si>
    <t>01</t>
  </si>
  <si>
    <t>Venda</t>
  </si>
  <si>
    <t>Tubos</t>
  </si>
  <si>
    <t>0001</t>
  </si>
  <si>
    <t>BQ (Fina Quente)</t>
  </si>
  <si>
    <t>CORTADO EM SERRA</t>
  </si>
  <si>
    <t>52</t>
  </si>
  <si>
    <t>Especial</t>
  </si>
  <si>
    <t>02</t>
  </si>
  <si>
    <t>Serviço</t>
  </si>
  <si>
    <t>Perfis</t>
  </si>
  <si>
    <t>0002</t>
  </si>
  <si>
    <t>BQD (Fina Quente Decol)</t>
  </si>
  <si>
    <t>DOBRADO</t>
  </si>
  <si>
    <t>53</t>
  </si>
  <si>
    <t>Padrão CE</t>
  </si>
  <si>
    <t>03</t>
  </si>
  <si>
    <t>Revenda</t>
  </si>
  <si>
    <t>0003</t>
  </si>
  <si>
    <t>BF (Fina Fria)</t>
  </si>
  <si>
    <t>FURADO</t>
  </si>
  <si>
    <t>54</t>
  </si>
  <si>
    <t>Tubo II</t>
  </si>
  <si>
    <t>04</t>
  </si>
  <si>
    <t>0004</t>
  </si>
  <si>
    <t>BZ (Zincada)</t>
  </si>
  <si>
    <t>CORTADO EM LASER</t>
  </si>
  <si>
    <t>55</t>
  </si>
  <si>
    <t>Perfil II</t>
  </si>
  <si>
    <t>05</t>
  </si>
  <si>
    <t>Conj.Sold.</t>
  </si>
  <si>
    <t>0005</t>
  </si>
  <si>
    <t>BZL  (Zincalume)</t>
  </si>
  <si>
    <t>CORTADO EM ÂNGULO</t>
  </si>
  <si>
    <t>56</t>
  </si>
  <si>
    <t>Sucata</t>
  </si>
  <si>
    <t>0006</t>
  </si>
  <si>
    <t>GF (Galvanizado a Fogo)</t>
  </si>
  <si>
    <t>CORTADO E DOBRADO</t>
  </si>
  <si>
    <t>57</t>
  </si>
  <si>
    <t>Outros</t>
  </si>
  <si>
    <t>CORTADO E FURADO</t>
  </si>
  <si>
    <t>58</t>
  </si>
  <si>
    <t>CORT. EM SERRA E A LASER</t>
  </si>
  <si>
    <t>CORT. EM SERRA E ÂNGULO</t>
  </si>
  <si>
    <t>CORT. DOBRADO E FURADO</t>
  </si>
  <si>
    <t>11</t>
  </si>
  <si>
    <t>CORT. DOBRADO E LASER</t>
  </si>
  <si>
    <t>12</t>
  </si>
  <si>
    <t>CORT. DOBRADO E ÂNGULO</t>
  </si>
  <si>
    <t>13</t>
  </si>
  <si>
    <t>CORT. DOBRADO FURADO E LASER</t>
  </si>
  <si>
    <t>14</t>
  </si>
  <si>
    <t>CORT. DOBRADO FURADO E ÂNGULO</t>
  </si>
  <si>
    <t>15</t>
  </si>
  <si>
    <t>CORT. DOBRADO FURADO LASER E ÂNGULO</t>
  </si>
  <si>
    <t>16</t>
  </si>
  <si>
    <t>DOBRADO E FURADO</t>
  </si>
  <si>
    <t>17</t>
  </si>
  <si>
    <t>DOBRADO E LASER</t>
  </si>
  <si>
    <t>18</t>
  </si>
  <si>
    <t>DOBRADO E ÂNGULO</t>
  </si>
  <si>
    <t>19</t>
  </si>
  <si>
    <t>DOBRADO FURADO E LASER</t>
  </si>
  <si>
    <t>20</t>
  </si>
  <si>
    <t>DOBRADO FURADO E ÂNGULO</t>
  </si>
  <si>
    <t>21</t>
  </si>
  <si>
    <t>DOBRADO FURADO LASER E ÂNGULO</t>
  </si>
  <si>
    <t>22</t>
  </si>
  <si>
    <t>FURADO E LASER</t>
  </si>
  <si>
    <t>23</t>
  </si>
  <si>
    <t>FURADO E ÂNGULO</t>
  </si>
  <si>
    <t>24</t>
  </si>
  <si>
    <t>FURADO LASER ÂNGULO</t>
  </si>
  <si>
    <t>25</t>
  </si>
  <si>
    <t>LASER E ÂNGULO</t>
  </si>
  <si>
    <t>26</t>
  </si>
  <si>
    <t>CARAC. ESPECIAL</t>
  </si>
  <si>
    <t>27</t>
  </si>
  <si>
    <t>CORT A LASER E FEITO ROSCA</t>
  </si>
  <si>
    <t>28</t>
  </si>
  <si>
    <t>FORMADORA 5</t>
  </si>
  <si>
    <t>29</t>
  </si>
  <si>
    <t>TUBO DE CONDUÇÃO</t>
  </si>
  <si>
    <t>30</t>
  </si>
  <si>
    <t>TUBO DE CONDUÇÃO 5</t>
  </si>
  <si>
    <t>31</t>
  </si>
  <si>
    <t>ACES</t>
  </si>
  <si>
    <t>32</t>
  </si>
  <si>
    <t>TPP</t>
  </si>
  <si>
    <t>33</t>
  </si>
  <si>
    <t>POSTE VITICULTURA</t>
  </si>
  <si>
    <t>34</t>
  </si>
  <si>
    <t>CARAC. ESPECIAL CORT.</t>
  </si>
  <si>
    <t>ctxtMARA-MSTAE</t>
  </si>
  <si>
    <t>STATUS MATERIAL</t>
  </si>
  <si>
    <t>ctxtMARA-MSTDE</t>
  </si>
  <si>
    <t>DATA DE VALIDADE DO STATUS</t>
  </si>
  <si>
    <t>STATUS DE MATERIAL</t>
  </si>
  <si>
    <t>BLOQUEADO</t>
  </si>
  <si>
    <t>txtMARA-BRGEW</t>
  </si>
  <si>
    <t>PESO LIQUIDO</t>
  </si>
  <si>
    <t>txtMARA-NTGEW</t>
  </si>
  <si>
    <t>ctxtMARA-GEWEI</t>
  </si>
  <si>
    <t>UNIDADE DE PESO</t>
  </si>
  <si>
    <t>KG</t>
  </si>
  <si>
    <t>ctxtMARA-VOLEH</t>
  </si>
  <si>
    <t>UNIDADE DE VOLUME</t>
  </si>
  <si>
    <t>txtMARA-GROES</t>
  </si>
  <si>
    <t>TAMANHO/DIMENSÃO</t>
  </si>
  <si>
    <t>txtSMEINH-UMREN[0,1]</t>
  </si>
  <si>
    <t>txtSMEINH-UMREN[0,2]</t>
  </si>
  <si>
    <t>ctxtSMEINH-MEINH[1,1]</t>
  </si>
  <si>
    <t>CONV. X L1</t>
  </si>
  <si>
    <t>CONV. X L2</t>
  </si>
  <si>
    <t>CONV. UMA L1</t>
  </si>
  <si>
    <t>ctxtSMEINH-MEINH[1,2]</t>
  </si>
  <si>
    <t>CONV. UMA L2</t>
  </si>
  <si>
    <t>txtSMEINH-UMREZ[4,1]</t>
  </si>
  <si>
    <t>CONV. Y L1</t>
  </si>
  <si>
    <t>txtSMEINH-UMREZ[4,2]</t>
  </si>
  <si>
    <t>CONV. Y L2</t>
  </si>
  <si>
    <t>CONV. UMB L1</t>
  </si>
  <si>
    <t>CONV. UMB L2</t>
  </si>
  <si>
    <t>NÃO UTILIZADA</t>
  </si>
  <si>
    <t>CARACTERISTICA</t>
  </si>
  <si>
    <t>CONVERSÃO DADOS BÁSICOS</t>
  </si>
  <si>
    <t>COMPRIMENTO (mm)</t>
  </si>
  <si>
    <t>txtMARA-NORMT</t>
  </si>
  <si>
    <t>NORMA DE FABRICAÇÃO</t>
  </si>
  <si>
    <t>NBR 6591</t>
  </si>
  <si>
    <t>ASTM A500</t>
  </si>
  <si>
    <t>ctxtMVKE-VRKME</t>
  </si>
  <si>
    <t>UNI. DE VENDA</t>
  </si>
  <si>
    <t>ctxtMARA-MSTAV</t>
  </si>
  <si>
    <t>ctxtMARA-MSTDV</t>
  </si>
  <si>
    <t>STATUS DE VENDA</t>
  </si>
  <si>
    <t>VALIDADE DO STS DE VENDA</t>
  </si>
  <si>
    <t>ctxtMVKE-DWERK</t>
  </si>
  <si>
    <t>CENTRO FORNECEDOR</t>
  </si>
  <si>
    <t>VISÃO DE SELEÇÃO</t>
  </si>
  <si>
    <t>VISÃO MM</t>
  </si>
  <si>
    <t xml:space="preserve"> Dados básicos 1</t>
  </si>
  <si>
    <t xml:space="preserve"> Dados básicos 2</t>
  </si>
  <si>
    <t xml:space="preserve"> Classificação</t>
  </si>
  <si>
    <t xml:space="preserve"> SD: org.vendas 1</t>
  </si>
  <si>
    <t xml:space="preserve"> SD: org.vendas 2</t>
  </si>
  <si>
    <t xml:space="preserve"> SD: DdsGer/Centr</t>
  </si>
  <si>
    <t xml:space="preserve"> Com.ext.: exportação</t>
  </si>
  <si>
    <t xml:space="preserve"> Texto de SD</t>
  </si>
  <si>
    <t xml:space="preserve"> Compras</t>
  </si>
  <si>
    <t xml:space="preserve"> Com.ext.: importação</t>
  </si>
  <si>
    <t xml:space="preserve"> Texto pedido compras</t>
  </si>
  <si>
    <t xml:space="preserve"> MRP 1</t>
  </si>
  <si>
    <t xml:space="preserve"> MRP 2</t>
  </si>
  <si>
    <t xml:space="preserve"> MRP 3</t>
  </si>
  <si>
    <t xml:space="preserve"> MRP 4</t>
  </si>
  <si>
    <t xml:space="preserve"> Previsão</t>
  </si>
  <si>
    <t xml:space="preserve"> Esquematiz.trabalho</t>
  </si>
  <si>
    <t xml:space="preserve"> Dds.centro/armazen.1</t>
  </si>
  <si>
    <t xml:space="preserve"> Dds.centro/armazen.2</t>
  </si>
  <si>
    <t xml:space="preserve"> Admin.depósitos 1</t>
  </si>
  <si>
    <t xml:space="preserve"> Admin.depósitos 2</t>
  </si>
  <si>
    <t xml:space="preserve"> Admin.qualidade</t>
  </si>
  <si>
    <t xml:space="preserve"> Contabilidade 1</t>
  </si>
  <si>
    <t xml:space="preserve"> Contabilidade 2</t>
  </si>
  <si>
    <t xml:space="preserve"> Cálculo do preço 1</t>
  </si>
  <si>
    <t xml:space="preserve"> Cálculo do preço 2</t>
  </si>
  <si>
    <t>ctxtMVKE-VERSG</t>
  </si>
  <si>
    <t>GRP ESTAT.MAT</t>
  </si>
  <si>
    <t>ctxtMVKE-KONDM</t>
  </si>
  <si>
    <t>GRP DE MAT</t>
  </si>
  <si>
    <t>ctxtMVKE-KTGRM</t>
  </si>
  <si>
    <t>GRP CLASS.CONT</t>
  </si>
  <si>
    <t>chkMARA-XCHPF</t>
  </si>
  <si>
    <t>ADMIN LOT OBRIG</t>
  </si>
  <si>
    <t>ctxtMARC-MTVFP</t>
  </si>
  <si>
    <t>VERIFICAR DISP.</t>
  </si>
  <si>
    <t>ZM</t>
  </si>
  <si>
    <t>VERIFICAR DISPONIBILIDADE</t>
  </si>
  <si>
    <t>Necessidade diária</t>
  </si>
  <si>
    <t>Neces.indiv.</t>
  </si>
  <si>
    <t>CH</t>
  </si>
  <si>
    <t>Lotes</t>
  </si>
  <si>
    <t>DR</t>
  </si>
  <si>
    <t>KP</t>
  </si>
  <si>
    <t>Sem verificação</t>
  </si>
  <si>
    <t>ZL</t>
  </si>
  <si>
    <t>Individ.requirements</t>
  </si>
  <si>
    <t>ZV</t>
  </si>
  <si>
    <t>ctxtMARA-TRAGR</t>
  </si>
  <si>
    <t>GRP TRNSP</t>
  </si>
  <si>
    <t>ctxtMARC-LADGR</t>
  </si>
  <si>
    <t>GRP CARREG.</t>
  </si>
  <si>
    <t>ctxtMARC-STEUC</t>
  </si>
  <si>
    <t>NCM</t>
  </si>
  <si>
    <t>ctxtMARC-HERKL</t>
  </si>
  <si>
    <t>PAÍS DE ORIGEM</t>
  </si>
  <si>
    <t>BR</t>
  </si>
  <si>
    <t>ctxtMARC-INDUS</t>
  </si>
  <si>
    <t>MATERIAL CFOP</t>
  </si>
  <si>
    <t>ctxtMARC-EKGRP</t>
  </si>
  <si>
    <t>GRP DE COMP.</t>
  </si>
  <si>
    <t>M01</t>
  </si>
  <si>
    <t>Valdemir Bertelli</t>
  </si>
  <si>
    <t>M05</t>
  </si>
  <si>
    <t>Grasiela Rodolfo</t>
  </si>
  <si>
    <t>M07</t>
  </si>
  <si>
    <t>Geovane Pellizzari</t>
  </si>
  <si>
    <t>M08</t>
  </si>
  <si>
    <t>M09</t>
  </si>
  <si>
    <t>Diego Guida</t>
  </si>
  <si>
    <t>M10</t>
  </si>
  <si>
    <t>Sabrina de Paula</t>
  </si>
  <si>
    <t>M12</t>
  </si>
  <si>
    <t>Anelise Casara</t>
  </si>
  <si>
    <t>GRUPO DE COMPRADORES</t>
  </si>
  <si>
    <t>ctxtMARC-DISMM</t>
  </si>
  <si>
    <t>ctxtMARC-DISPO</t>
  </si>
  <si>
    <t>PLANEJADOR MRP</t>
  </si>
  <si>
    <t>003</t>
  </si>
  <si>
    <t>Andre Buffon</t>
  </si>
  <si>
    <t>005</t>
  </si>
  <si>
    <t>Clodoaldo Camassol</t>
  </si>
  <si>
    <t>Grupo 581</t>
  </si>
  <si>
    <t>subcon</t>
  </si>
  <si>
    <t>999</t>
  </si>
  <si>
    <t>BOB</t>
  </si>
  <si>
    <t>Bobina</t>
  </si>
  <si>
    <t>NOS</t>
  </si>
  <si>
    <t>No slitting</t>
  </si>
  <si>
    <t>TIR</t>
  </si>
  <si>
    <t>TIRAS</t>
  </si>
  <si>
    <t>ctxtMARC-DISLS</t>
  </si>
  <si>
    <t>TAMANHO LOTE MRP</t>
  </si>
  <si>
    <t>DY</t>
  </si>
  <si>
    <t>EX</t>
  </si>
  <si>
    <t>FS</t>
  </si>
  <si>
    <t>FX</t>
  </si>
  <si>
    <t>GR</t>
  </si>
  <si>
    <t>HB</t>
  </si>
  <si>
    <t>M5</t>
  </si>
  <si>
    <t>M6</t>
  </si>
  <si>
    <t>M7</t>
  </si>
  <si>
    <t>M8</t>
  </si>
  <si>
    <t>MB</t>
  </si>
  <si>
    <t>PB</t>
  </si>
  <si>
    <t>PK</t>
  </si>
  <si>
    <t>SP</t>
  </si>
  <si>
    <t>TB</t>
  </si>
  <si>
    <t>W2</t>
  </si>
  <si>
    <t>W3</t>
  </si>
  <si>
    <t>W4</t>
  </si>
  <si>
    <t>W5</t>
  </si>
  <si>
    <t>W6</t>
  </si>
  <si>
    <t>W7</t>
  </si>
  <si>
    <t>W8</t>
  </si>
  <si>
    <t>WB</t>
  </si>
  <si>
    <t>WI</t>
  </si>
  <si>
    <t>Z3</t>
  </si>
  <si>
    <t>Z4</t>
  </si>
  <si>
    <t>Z5</t>
  </si>
  <si>
    <t>Z6</t>
  </si>
  <si>
    <t>ZB</t>
  </si>
  <si>
    <t>Cálculo dinâmico de planejamento</t>
  </si>
  <si>
    <t>Cálculo exato do tamanho de lote</t>
  </si>
  <si>
    <t>Fixo/partição</t>
  </si>
  <si>
    <t>Cálculo fixo do tamanho de lote</t>
  </si>
  <si>
    <t>Regr.cálc.tam.lotes seg.Groff</t>
  </si>
  <si>
    <t>Reposição até estoque máximo</t>
  </si>
  <si>
    <t>2-months lot size</t>
  </si>
  <si>
    <t>3-months lot size</t>
  </si>
  <si>
    <t>4-months lot size</t>
  </si>
  <si>
    <t>5-months lot size</t>
  </si>
  <si>
    <t>6-months lot size</t>
  </si>
  <si>
    <t>7-months lot size</t>
  </si>
  <si>
    <t>8-months lot size</t>
  </si>
  <si>
    <t>Tamanho de lote mensal</t>
  </si>
  <si>
    <t>Tam.lote periód.análogo períodoContabil.</t>
  </si>
  <si>
    <t>Tam.lote periód.seg.calendário planej.</t>
  </si>
  <si>
    <t>Método de custos equilibrados</t>
  </si>
  <si>
    <t>Tamanho de lote diário</t>
  </si>
  <si>
    <t>Semana - 2</t>
  </si>
  <si>
    <t>3-weeks lot size</t>
  </si>
  <si>
    <t>4-weeks lot size</t>
  </si>
  <si>
    <t>5-weeks lot size</t>
  </si>
  <si>
    <t>6-weeks lot size</t>
  </si>
  <si>
    <t>7-weeks lot size</t>
  </si>
  <si>
    <t>8-weeks lot size</t>
  </si>
  <si>
    <t>Tamanho de lote semanal</t>
  </si>
  <si>
    <t>Tamanho de lote econômico variável</t>
  </si>
  <si>
    <t>do not use! 3-months lot size</t>
  </si>
  <si>
    <t>do not use!4-months lot size</t>
  </si>
  <si>
    <t>do not use!5-months lot size</t>
  </si>
  <si>
    <t>do not use!6-months lot size</t>
  </si>
  <si>
    <t>Replenish to maximum stock level</t>
  </si>
  <si>
    <t>chkMARC-KZKUP</t>
  </si>
  <si>
    <t>COPRODUTO</t>
  </si>
  <si>
    <t>ctxtMARC-BESKZ</t>
  </si>
  <si>
    <t>TIPO DE SUPRIMENTO</t>
  </si>
  <si>
    <t>ctxtMARC-KZECH</t>
  </si>
  <si>
    <t>ENTRADA DE LOTES</t>
  </si>
  <si>
    <t>E</t>
  </si>
  <si>
    <t>Fabricação própria</t>
  </si>
  <si>
    <t>F</t>
  </si>
  <si>
    <t>Suprimento externo</t>
  </si>
  <si>
    <t>ctxtMARC-SOBSL</t>
  </si>
  <si>
    <t>SUPRIMENTO ESPECIAL</t>
  </si>
  <si>
    <t>SUBCONTRATADO</t>
  </si>
  <si>
    <t>TRANSFERENCIA</t>
  </si>
  <si>
    <t>FABRICAÇÃO INTERNA</t>
  </si>
  <si>
    <t>ctxtMARC-LGPRO</t>
  </si>
  <si>
    <t>ctxtMARC-LGFSB</t>
  </si>
  <si>
    <t>DEP. PROD. EXTER.</t>
  </si>
  <si>
    <t>DEP. DE PRODUÇÃO</t>
  </si>
  <si>
    <t>txtMARC-PLIFZ</t>
  </si>
  <si>
    <t>PRAZO DE ENTREGA</t>
  </si>
  <si>
    <t>txtMARC-WEBAZ</t>
  </si>
  <si>
    <t>TEMPO PCDMT</t>
  </si>
  <si>
    <t>ctxtMARC-FHORI</t>
  </si>
  <si>
    <t>CHAVE DE PRAZOS</t>
  </si>
  <si>
    <t>000</t>
  </si>
  <si>
    <t>ctxtMARC-STRGR</t>
  </si>
  <si>
    <t>GRP DE ESTRAT</t>
  </si>
  <si>
    <t>ctxtMARC-VRMOD</t>
  </si>
  <si>
    <t>MODO COMPENSA.</t>
  </si>
  <si>
    <t>txtMARC-VINT1</t>
  </si>
  <si>
    <t>INT.COMP.REGRESS.</t>
  </si>
  <si>
    <t>txtMARC-VINT2</t>
  </si>
  <si>
    <t>INT.COMP.PROGRESS.</t>
  </si>
  <si>
    <t>ctxtMARC-STDPD</t>
  </si>
  <si>
    <t>MAT.CONFIGURAVEL</t>
  </si>
  <si>
    <t>RIR</t>
  </si>
  <si>
    <t>METALIZAÇÃO</t>
  </si>
  <si>
    <t>GEMETRIA</t>
  </si>
  <si>
    <t>ESPESSUTA</t>
  </si>
  <si>
    <t>VARIAVEL MATRIZ DE SETUP</t>
  </si>
  <si>
    <t>ELIP</t>
  </si>
  <si>
    <t>N</t>
  </si>
  <si>
    <t>RED</t>
  </si>
  <si>
    <t>X</t>
  </si>
  <si>
    <t>J</t>
  </si>
  <si>
    <t>OBL</t>
  </si>
  <si>
    <t>QUA</t>
  </si>
  <si>
    <t>ESP</t>
  </si>
  <si>
    <t>RET 10</t>
  </si>
  <si>
    <t>RET 100</t>
  </si>
  <si>
    <t>RET 101,6</t>
  </si>
  <si>
    <t>RET 110</t>
  </si>
  <si>
    <t>RET 127</t>
  </si>
  <si>
    <t>RET 130</t>
  </si>
  <si>
    <t>RET 15</t>
  </si>
  <si>
    <t>RET 150</t>
  </si>
  <si>
    <t>RET 19</t>
  </si>
  <si>
    <t>RET 20</t>
  </si>
  <si>
    <t>RET 25</t>
  </si>
  <si>
    <t>RET 30</t>
  </si>
  <si>
    <t>RET 35</t>
  </si>
  <si>
    <t>RET 40</t>
  </si>
  <si>
    <t>RET 50</t>
  </si>
  <si>
    <t>RET 50,8</t>
  </si>
  <si>
    <t>RET 54,5</t>
  </si>
  <si>
    <t>RET 60</t>
  </si>
  <si>
    <t>RET 70</t>
  </si>
  <si>
    <t>RET 76,2</t>
  </si>
  <si>
    <t>RET 80</t>
  </si>
  <si>
    <t>RET 90</t>
  </si>
  <si>
    <t>RET 31,8</t>
  </si>
  <si>
    <t>RET 25,4</t>
  </si>
  <si>
    <t>0060</t>
  </si>
  <si>
    <t>0065</t>
  </si>
  <si>
    <t>0070</t>
  </si>
  <si>
    <t>0075</t>
  </si>
  <si>
    <t>0080</t>
  </si>
  <si>
    <t>0090</t>
  </si>
  <si>
    <t>0095</t>
  </si>
  <si>
    <t>0100</t>
  </si>
  <si>
    <t>0106</t>
  </si>
  <si>
    <t>0111</t>
  </si>
  <si>
    <t>0114</t>
  </si>
  <si>
    <t>0125</t>
  </si>
  <si>
    <t>0130</t>
  </si>
  <si>
    <t>0140</t>
  </si>
  <si>
    <t>0143</t>
  </si>
  <si>
    <t>0145</t>
  </si>
  <si>
    <t>0150</t>
  </si>
  <si>
    <t>0155</t>
  </si>
  <si>
    <t>0170</t>
  </si>
  <si>
    <t>0175</t>
  </si>
  <si>
    <t>0185</t>
  </si>
  <si>
    <t>0190</t>
  </si>
  <si>
    <t>0194</t>
  </si>
  <si>
    <t>0195</t>
  </si>
  <si>
    <t>0215</t>
  </si>
  <si>
    <t>0225</t>
  </si>
  <si>
    <t>0230</t>
  </si>
  <si>
    <t>0240</t>
  </si>
  <si>
    <t>0250</t>
  </si>
  <si>
    <t>0260</t>
  </si>
  <si>
    <t>0265</t>
  </si>
  <si>
    <t>0270</t>
  </si>
  <si>
    <t>0275</t>
  </si>
  <si>
    <t>0279</t>
  </si>
  <si>
    <t>0280</t>
  </si>
  <si>
    <t>0285</t>
  </si>
  <si>
    <t>0295</t>
  </si>
  <si>
    <t>0300</t>
  </si>
  <si>
    <t>0304</t>
  </si>
  <si>
    <t>0305</t>
  </si>
  <si>
    <t>0318</t>
  </si>
  <si>
    <t>0320</t>
  </si>
  <si>
    <t>0325</t>
  </si>
  <si>
    <t>0335</t>
  </si>
  <si>
    <t>0355</t>
  </si>
  <si>
    <t>0375</t>
  </si>
  <si>
    <t>0390</t>
  </si>
  <si>
    <t>0400</t>
  </si>
  <si>
    <t>0410</t>
  </si>
  <si>
    <t>0425</t>
  </si>
  <si>
    <t>0430</t>
  </si>
  <si>
    <t>0440</t>
  </si>
  <si>
    <t>0450</t>
  </si>
  <si>
    <t>0475</t>
  </si>
  <si>
    <t>0476</t>
  </si>
  <si>
    <t>0478</t>
  </si>
  <si>
    <t>0500</t>
  </si>
  <si>
    <t>0540</t>
  </si>
  <si>
    <t>0550</t>
  </si>
  <si>
    <t>0560</t>
  </si>
  <si>
    <t>0580</t>
  </si>
  <si>
    <t>0600</t>
  </si>
  <si>
    <t>0602</t>
  </si>
  <si>
    <t>0610</t>
  </si>
  <si>
    <t>0620</t>
  </si>
  <si>
    <t>0630</t>
  </si>
  <si>
    <t>0635</t>
  </si>
  <si>
    <t>0640</t>
  </si>
  <si>
    <t>0650</t>
  </si>
  <si>
    <t>0700</t>
  </si>
  <si>
    <t>0710</t>
  </si>
  <si>
    <t>0730</t>
  </si>
  <si>
    <t>0750</t>
  </si>
  <si>
    <t>0800</t>
  </si>
  <si>
    <t>0818</t>
  </si>
  <si>
    <t>ORDEM DE VENDA APO</t>
  </si>
  <si>
    <t>N° ORDEM DE VENDA APO</t>
  </si>
  <si>
    <t>CHAVE LNP</t>
  </si>
  <si>
    <t>PÇS POR AMARRADO</t>
  </si>
  <si>
    <t>TOL. COMPRIMENTO +</t>
  </si>
  <si>
    <t>TOL. COMPRIMENTO -</t>
  </si>
  <si>
    <t>COMPRIMENTO</t>
  </si>
  <si>
    <t>TAM. LOTE CAL. CUSTO</t>
  </si>
  <si>
    <t>PESO POR METRO</t>
  </si>
  <si>
    <t>ctxtRCTMS-MWERT[1,10]-GERAL</t>
  </si>
  <si>
    <t>ctxtRCTMS-MWERT[1,16]-COMMON</t>
  </si>
  <si>
    <t>ctxtRCTMS-MWERT[1,17]-COMMON</t>
  </si>
  <si>
    <t>ctxtRCTMS-MWERT[1,17]-OTHERS</t>
  </si>
  <si>
    <t>VÁLIDO DESDE</t>
  </si>
  <si>
    <t>VÁLIDO ATÉ</t>
  </si>
  <si>
    <t>ctxtMKAL-VERID[0,0]</t>
  </si>
  <si>
    <t>ctxtMKAL-VERID[0,1]</t>
  </si>
  <si>
    <t>ctxtMKAL-VERID[0,2]</t>
  </si>
  <si>
    <t>ctxtMKAL-VERID[0,3]</t>
  </si>
  <si>
    <t>txtMKAL-TEXT1[1,0]</t>
  </si>
  <si>
    <t>txtMKAL-TEXT1[1,1]</t>
  </si>
  <si>
    <t>txtMKAL-TEXT1[1,2]</t>
  </si>
  <si>
    <t>txtMKAL-TEXT1[1,3]</t>
  </si>
  <si>
    <t>MÁQUINA VER. 1</t>
  </si>
  <si>
    <t>VERSÃO PRODUÇÃO 1</t>
  </si>
  <si>
    <t>VERSÃO PRODUÇÃO  2</t>
  </si>
  <si>
    <t>VERSÃO PRODUÇÃO  3</t>
  </si>
  <si>
    <t>VERSÃO PRODUÇÃO 4</t>
  </si>
  <si>
    <t>MÁQUINA VER. 2</t>
  </si>
  <si>
    <t>MÁQUINA VER. 3</t>
  </si>
  <si>
    <t>MÁQUINA VER. 4</t>
  </si>
  <si>
    <t>LEGENDA:</t>
  </si>
  <si>
    <t>UTILIZAÇÃO LIVRE</t>
  </si>
  <si>
    <t>TITULOS (NÃO ALTERAR)</t>
  </si>
  <si>
    <t>FORMULAS (NÃO ALTERAR)</t>
  </si>
  <si>
    <t>DADOS PADRÃO (NÃO ALTERAR)</t>
  </si>
  <si>
    <t>DADOS OBRIGATORIOS DE PREENCHIMENTO</t>
  </si>
  <si>
    <t>DADOS OPCIONAIS, PASSIVEIS DE ALTERAÇÃO</t>
  </si>
  <si>
    <t>PREENCHIDO PELO SCRIPT</t>
  </si>
  <si>
    <t>OS_C6</t>
  </si>
  <si>
    <t>2448 Corte Estacionário 6</t>
  </si>
  <si>
    <t>OS_C7</t>
  </si>
  <si>
    <t>2441 Linha de Corte COSEN - C07</t>
  </si>
  <si>
    <t>PER_F01</t>
  </si>
  <si>
    <t>2421 Form. de Tubos 01</t>
  </si>
  <si>
    <t>PER_F02</t>
  </si>
  <si>
    <t>2422 Form. de Tubos 02</t>
  </si>
  <si>
    <t>PER_F03</t>
  </si>
  <si>
    <t>2423 Form. de Tubos 03</t>
  </si>
  <si>
    <t>PER_F04</t>
  </si>
  <si>
    <t>2424 Form. de Tubos 04</t>
  </si>
  <si>
    <t>PER_F05</t>
  </si>
  <si>
    <t>2425 Form. de Tubos 05</t>
  </si>
  <si>
    <t>PER_F06</t>
  </si>
  <si>
    <t>2426 Form. de Tubos 06</t>
  </si>
  <si>
    <t>PER_PF01</t>
  </si>
  <si>
    <t>2461 Perfiladeira 01</t>
  </si>
  <si>
    <t>PER_PF02</t>
  </si>
  <si>
    <t>2462 Perfiladeira 02</t>
  </si>
  <si>
    <t>PER_PF03</t>
  </si>
  <si>
    <t>2463 Perfiladeira 03</t>
  </si>
  <si>
    <t>SL_S01</t>
  </si>
  <si>
    <t>2471 Slitter S01</t>
  </si>
  <si>
    <t>SL_S02</t>
  </si>
  <si>
    <t>2472 Slitter S02</t>
  </si>
  <si>
    <t>SUB_0581</t>
  </si>
  <si>
    <t>2451 Subcontratação 0581</t>
  </si>
  <si>
    <t>LAB0581</t>
  </si>
  <si>
    <t>Laboratório Unidade Fabril</t>
  </si>
  <si>
    <t>MÁQUINAS CADASTRADAS</t>
  </si>
  <si>
    <t>OS_AP01</t>
  </si>
  <si>
    <t>4472 Acessórios Purlins</t>
  </si>
  <si>
    <t>OS_C5</t>
  </si>
  <si>
    <t>4435 Corte Estacionário 5</t>
  </si>
  <si>
    <t>OS_CJD1</t>
  </si>
  <si>
    <t>4424 Célula Jonh Deere</t>
  </si>
  <si>
    <t>OS_CL1</t>
  </si>
  <si>
    <t>4437 Corte Laser 1</t>
  </si>
  <si>
    <t>OS_CL2</t>
  </si>
  <si>
    <t>4461 Corte Laser 02</t>
  </si>
  <si>
    <t>OS_COE1</t>
  </si>
  <si>
    <t>4423 Célula de Operações Especiais</t>
  </si>
  <si>
    <t>OS_CS01</t>
  </si>
  <si>
    <t>4426 Célula de Solda</t>
  </si>
  <si>
    <t>OS_CS02</t>
  </si>
  <si>
    <t>4427 Célula de Solda 2</t>
  </si>
  <si>
    <t>OS_CT1</t>
  </si>
  <si>
    <t>4445 Calandra Tauring CT1</t>
  </si>
  <si>
    <t>OS_CT2</t>
  </si>
  <si>
    <t>4444 Calandra Calfran CT2</t>
  </si>
  <si>
    <t>OS_DT3</t>
  </si>
  <si>
    <t>4443 Dobra Tubos CNC 3</t>
  </si>
  <si>
    <t>OS_DT4</t>
  </si>
  <si>
    <t>4446 Dobra Tubos CNC 4</t>
  </si>
  <si>
    <t>OS_L3D1</t>
  </si>
  <si>
    <t>4438 Corte Laser L3D1</t>
  </si>
  <si>
    <t>PER_F07</t>
  </si>
  <si>
    <t>4411 Formadora 07</t>
  </si>
  <si>
    <t>PER_MD1</t>
  </si>
  <si>
    <t>4455 Multidobra 1</t>
  </si>
  <si>
    <t>PER_PUR</t>
  </si>
  <si>
    <t>4471 Perfiladeira Purlins</t>
  </si>
  <si>
    <t>PER_TE1</t>
  </si>
  <si>
    <t>4451 Formadora de Telhas OND</t>
  </si>
  <si>
    <t>PER_TE2</t>
  </si>
  <si>
    <t>4452 Formadora de Telhas TP40</t>
  </si>
  <si>
    <t>PER_TE3</t>
  </si>
  <si>
    <t>4453 Formadora de Telhas TP25</t>
  </si>
  <si>
    <t>SUB_0582</t>
  </si>
  <si>
    <t>2451 Subcontratação 0582</t>
  </si>
  <si>
    <t>VERSÕES DE PRODUÇÃO</t>
  </si>
  <si>
    <t>ctxtMKAL-ADATU[2,0]</t>
  </si>
  <si>
    <t>ctxtMKAL-BDATU[3,0]</t>
  </si>
  <si>
    <t>ctxtMKAL-ADATU[2,1]</t>
  </si>
  <si>
    <t>ctxtMKAL-BDATU[3,1]</t>
  </si>
  <si>
    <t>ctxtMKAL-ADATU[2,2]</t>
  </si>
  <si>
    <t>ctxtMKAL-BDATU[3,2]</t>
  </si>
  <si>
    <t>ctxtMKAL-ADATU[2,3]</t>
  </si>
  <si>
    <t>ctxtMKAL-BDATU[3,3]</t>
  </si>
  <si>
    <t>chkMARC-UEETK</t>
  </si>
  <si>
    <t>ILIMITADO</t>
  </si>
  <si>
    <t>ctxtMARC-SFCPF</t>
  </si>
  <si>
    <t>PERFIL DE PRODUÇÃO</t>
  </si>
  <si>
    <t>PPSO</t>
  </si>
  <si>
    <t>txtMLGN-LHMG1</t>
  </si>
  <si>
    <t>QUANTIDADE MAC</t>
  </si>
  <si>
    <t>ctxtMLGN-LHME1</t>
  </si>
  <si>
    <t>U.M. MAC</t>
  </si>
  <si>
    <t>ctxtMBEW-BKLAS</t>
  </si>
  <si>
    <t>CLASSE CONTABIL</t>
  </si>
  <si>
    <t>txtCKMMAT_DISPLAY-PEINH_1</t>
  </si>
  <si>
    <t>UNIDADE DE PREÇO</t>
  </si>
  <si>
    <t>chkMBEW-OWNPR</t>
  </si>
  <si>
    <t>PROD. INTERNA</t>
  </si>
  <si>
    <t>txtMBEW-BWPEI</t>
  </si>
  <si>
    <t>ctxtMBEW-MTUSE</t>
  </si>
  <si>
    <t>UTILIZ. MATERIAL</t>
  </si>
  <si>
    <t>ctxtMBEW-MTORG</t>
  </si>
  <si>
    <t>ORIGEM MATERIAL</t>
  </si>
  <si>
    <t>chkMARC-NCOST</t>
  </si>
  <si>
    <t>NÃO CALCULAR CUSTOS</t>
  </si>
  <si>
    <t>txtMARC-LOSGR</t>
  </si>
  <si>
    <t>TAM.LOT.CAL.CUSTOS</t>
  </si>
  <si>
    <t>ctxtMVKE-MTPOS</t>
  </si>
  <si>
    <t>GRP.CTGR.ITEM</t>
  </si>
  <si>
    <t>NORM</t>
  </si>
  <si>
    <t>ctxtMARA-MTPOS_MARA</t>
  </si>
  <si>
    <t>GRP.CTGR.GER.ITEM</t>
  </si>
  <si>
    <t>PESO BRUTO (kg/m)</t>
  </si>
  <si>
    <t>ITENS</t>
  </si>
  <si>
    <t>TUBOS</t>
  </si>
  <si>
    <t>NBR 6355</t>
  </si>
  <si>
    <t>PERFIS</t>
  </si>
  <si>
    <t>NBR 8261</t>
  </si>
  <si>
    <t>NBR 5580</t>
  </si>
  <si>
    <t>NBR 5590</t>
  </si>
  <si>
    <t>PJT</t>
  </si>
  <si>
    <t>STS</t>
  </si>
  <si>
    <t>Código P01</t>
  </si>
  <si>
    <t>Descrição P01</t>
  </si>
  <si>
    <t>Modelo</t>
  </si>
  <si>
    <t>Descrição do Modelo</t>
  </si>
  <si>
    <t>Centro</t>
  </si>
  <si>
    <t>Comprimento
Final</t>
  </si>
  <si>
    <t>Peso Kg/m</t>
  </si>
  <si>
    <t>KG/PC</t>
  </si>
  <si>
    <t>GrPMerc.</t>
  </si>
  <si>
    <t>Unidade de Venda</t>
  </si>
  <si>
    <t>Peças por 
Amarrado</t>
  </si>
  <si>
    <t>Centro de trabalho</t>
  </si>
  <si>
    <t>Tempo
Setup</t>
  </si>
  <si>
    <t>Tempo de
Operação</t>
  </si>
  <si>
    <t>Perda de 
Processo</t>
  </si>
  <si>
    <t>Comprimento 
do Multiplo</t>
  </si>
  <si>
    <t>Perda em Kg para fabricar 1000 peças do tubo cortado (perda inerente)</t>
  </si>
  <si>
    <t>Quantidade em metros para fabricar 1000 peças + perda de processo</t>
  </si>
  <si>
    <t>Quantidade em peças para fabricar 1000 peças + perda de processo</t>
  </si>
  <si>
    <t>DADOS AO</t>
  </si>
  <si>
    <t>Espessura nominal</t>
  </si>
  <si>
    <t>Laminação</t>
  </si>
  <si>
    <t>MTH?
MTL?</t>
  </si>
  <si>
    <t>Espessura Mínima</t>
  </si>
  <si>
    <t>Espessura Máxima</t>
  </si>
  <si>
    <t>Máquina</t>
  </si>
  <si>
    <t>Mapa/Plano de montagem</t>
  </si>
  <si>
    <t>Velocidade
(m/hr)</t>
  </si>
  <si>
    <t>Nave</t>
  </si>
  <si>
    <t>Tempo de 
pré-instalação</t>
  </si>
  <si>
    <t>Sucata (m)</t>
  </si>
  <si>
    <t>Perda (%)</t>
  </si>
  <si>
    <t>Largura da tira</t>
  </si>
  <si>
    <t>Bobina
 configuravel?</t>
  </si>
  <si>
    <t>Largura ideal</t>
  </si>
  <si>
    <t>Velocidade
3000 até 4999</t>
  </si>
  <si>
    <t>Velocidade
5000 até 8000</t>
  </si>
  <si>
    <t>Velocidade
8001 até 14000</t>
  </si>
  <si>
    <t>DADOS LNP</t>
  </si>
  <si>
    <t>Cliente</t>
  </si>
  <si>
    <t xml:space="preserve">Preço de terceirização </t>
  </si>
  <si>
    <t>MFER</t>
  </si>
  <si>
    <t>Tipo de Material PROF</t>
  </si>
  <si>
    <t>Geometria CHAR</t>
  </si>
  <si>
    <t>Espessura CHAR</t>
  </si>
  <si>
    <t>Raspagem Interna?</t>
  </si>
  <si>
    <t>Metalização?</t>
  </si>
  <si>
    <t>ctxtRC29N-MATNR</t>
  </si>
  <si>
    <t>ctxtRC29N-WERKS</t>
  </si>
  <si>
    <t>ctxtRC29N-STLAN</t>
  </si>
  <si>
    <t>UTILIZAÇÃO LT</t>
  </si>
  <si>
    <t>CHAVE</t>
  </si>
  <si>
    <t>MAX BOL &amp; BOM</t>
  </si>
  <si>
    <t>ctxtMAPL-MATNR</t>
  </si>
  <si>
    <t>ctxtMAPL-WERKS</t>
  </si>
  <si>
    <t>ctxtMAKZ-KUPPL[2,0]</t>
  </si>
  <si>
    <t>Total</t>
  </si>
  <si>
    <t>MC0350612</t>
  </si>
  <si>
    <t>PC</t>
  </si>
  <si>
    <t>MC0350512</t>
  </si>
  <si>
    <t>ctxtRMPKR-MATNR</t>
  </si>
  <si>
    <t>ctxtRMPKR-WERKS</t>
  </si>
  <si>
    <t>FERT</t>
  </si>
  <si>
    <t>KMAT</t>
  </si>
  <si>
    <t>DFER</t>
  </si>
  <si>
    <t>HAWZ</t>
  </si>
  <si>
    <t>HAWA</t>
  </si>
  <si>
    <t>MC0130600</t>
  </si>
  <si>
    <t>ACESSORIOS DE COBERTURA</t>
  </si>
  <si>
    <t>MC0330300</t>
  </si>
  <si>
    <t>PERFIL FQ SAE</t>
  </si>
  <si>
    <t>MC0330302</t>
  </si>
  <si>
    <t>PERFIL ZINCADO</t>
  </si>
  <si>
    <t>MC0330303</t>
  </si>
  <si>
    <t>PERFIL ZINCADO TRILHO</t>
  </si>
  <si>
    <t>MC0330313</t>
  </si>
  <si>
    <t>PERFIL II QUALIDADE</t>
  </si>
  <si>
    <t>MC0330400</t>
  </si>
  <si>
    <t>PERFIL ESPECIAL</t>
  </si>
  <si>
    <t>MC0350500</t>
  </si>
  <si>
    <t>TUBO FINA FRIO</t>
  </si>
  <si>
    <t>MC0350501</t>
  </si>
  <si>
    <t>TUBO FINA QUENTE</t>
  </si>
  <si>
    <t>MC0350502</t>
  </si>
  <si>
    <t>TUBO ZINCADO</t>
  </si>
  <si>
    <t>MC0350507</t>
  </si>
  <si>
    <t>TUBO II QUALIDADE</t>
  </si>
  <si>
    <t>MC0350511</t>
  </si>
  <si>
    <t>TUBO ZINCADO PERFURADO</t>
  </si>
  <si>
    <t>TUBOS MAQUINA 5</t>
  </si>
  <si>
    <t>MC0350518</t>
  </si>
  <si>
    <t>TUBO ZINCADO ALTO-RELEVO</t>
  </si>
  <si>
    <t>MC0350520</t>
  </si>
  <si>
    <t>TUBO DE CONDUCAO</t>
  </si>
  <si>
    <t>MC0350527</t>
  </si>
  <si>
    <t>TUBO FINA FRIO PERFURADO</t>
  </si>
  <si>
    <t>MC0350528</t>
  </si>
  <si>
    <t>TUBOS MAQUINA 5 CONDUCAO</t>
  </si>
  <si>
    <t>MC0350600</t>
  </si>
  <si>
    <t>TUBO FINA FRIO CORTADO</t>
  </si>
  <si>
    <t>MC0350601</t>
  </si>
  <si>
    <t>TUBO FINA QUENTE CORTADO</t>
  </si>
  <si>
    <t>MC0350602</t>
  </si>
  <si>
    <t>TUBO ZINCADO CORTADO</t>
  </si>
  <si>
    <t>MC0350608</t>
  </si>
  <si>
    <t>PERFIL FQ SAE CORTADO</t>
  </si>
  <si>
    <t>MC0350609</t>
  </si>
  <si>
    <t>TUBO DE CONDUÇÃO CORTADO</t>
  </si>
  <si>
    <t>MC0350611</t>
  </si>
  <si>
    <t>TUBOS MAQUINAS 5 CONDUCAO CORTADO</t>
  </si>
  <si>
    <t>TUBOS MAQUINAS 5 CORTADO</t>
  </si>
  <si>
    <t>MC0350700</t>
  </si>
  <si>
    <t>TUBO ESPECIAL</t>
  </si>
  <si>
    <t>MC0360600</t>
  </si>
  <si>
    <t>TELHAS ZINCADAS ONDULADAS</t>
  </si>
  <si>
    <t>MC0360601</t>
  </si>
  <si>
    <t>TELHAS ZINCADAS TRAPEZOIDAIS</t>
  </si>
  <si>
    <t>MC0360602</t>
  </si>
  <si>
    <t>TELHAS ZINCALUME ONDULADAS</t>
  </si>
  <si>
    <t>MC0360603</t>
  </si>
  <si>
    <t>TELHAS ZINCALUME TRAPEZOIDAIS</t>
  </si>
  <si>
    <t>MC0360604</t>
  </si>
  <si>
    <t>TELHAS ZINCALUME PRE-PINTADAS</t>
  </si>
  <si>
    <t>MC0360608</t>
  </si>
  <si>
    <t>BLANK</t>
  </si>
  <si>
    <t>MC1010100</t>
  </si>
  <si>
    <t>SUCATA</t>
  </si>
  <si>
    <t>GRUPO DE MERCADORIAS</t>
  </si>
  <si>
    <t>UNIDADE DE VENDA</t>
  </si>
  <si>
    <t>UM</t>
  </si>
  <si>
    <t>DIRETORIO DA CONSULTA (POWER QUERY)</t>
  </si>
  <si>
    <t>Grupo 582</t>
  </si>
  <si>
    <t>C:\Program Files (x86)\SAP\FrontEnd\SapGui\saplogon.exe</t>
  </si>
  <si>
    <t>Hierarquia 1</t>
  </si>
  <si>
    <t>Hierarquia 2</t>
  </si>
  <si>
    <t>Hierarquia 3</t>
  </si>
  <si>
    <t>Hierarquia 4</t>
  </si>
  <si>
    <t>Hierarquia 5</t>
  </si>
  <si>
    <t>Hierarquia Final</t>
  </si>
  <si>
    <t>N° SAP da Bitola</t>
  </si>
  <si>
    <t>Bitola de Produção
          Descrição</t>
  </si>
  <si>
    <t>DADOS VARIANT</t>
  </si>
  <si>
    <t>LIBERADO</t>
  </si>
  <si>
    <t>DIRETÓRIO PARA SALVAR O RELATÓRIO FINAL</t>
  </si>
  <si>
    <t>LOG DE ALTERAÇÃO</t>
  </si>
  <si>
    <t>ctxtMBEW-HRKFT</t>
  </si>
  <si>
    <t>GRUPO DE ORIGEM</t>
  </si>
  <si>
    <t>D:\1. Cadastros P01\2. Relatorios Script</t>
  </si>
  <si>
    <t>Chave LNTR</t>
  </si>
  <si>
    <t>Centro de Produção</t>
  </si>
  <si>
    <t>Depósito de produção</t>
  </si>
  <si>
    <t>Canal de Distribuição</t>
  </si>
  <si>
    <t>Setor de Atividade</t>
  </si>
  <si>
    <t>Níveis Organizacionais SAP</t>
  </si>
  <si>
    <t>0010</t>
  </si>
  <si>
    <t>Código do componente</t>
  </si>
  <si>
    <t>Column56</t>
  </si>
  <si>
    <t>Column58</t>
  </si>
  <si>
    <t>Column60</t>
  </si>
  <si>
    <t>Column62</t>
  </si>
  <si>
    <t>C223-0581</t>
  </si>
  <si>
    <t>C223-0582</t>
  </si>
  <si>
    <t>ctxtMKAL-WERKS</t>
  </si>
  <si>
    <t>Grupo de Planejamento Detalhado</t>
  </si>
  <si>
    <t>50736335</t>
  </si>
  <si>
    <t>Chave PROF para itens da 0581</t>
  </si>
  <si>
    <t>Chave PROF para itens da 0582</t>
  </si>
  <si>
    <t>ctxtMKAL-MATNR</t>
  </si>
  <si>
    <t>ctxtMKAL_EXPAND-ADATU[10,0]</t>
  </si>
  <si>
    <t>DATA MÁXIMA DE VALIDADE</t>
  </si>
  <si>
    <t>DATA ATUAL DE VALIDADE</t>
  </si>
  <si>
    <t>ctxtMKAL_EXPAND-BDATU[11,0]</t>
  </si>
  <si>
    <t>ctxtMKAL_EXPAND-STLAL[15,0]</t>
  </si>
  <si>
    <t>LT ALTERNATIVA</t>
  </si>
  <si>
    <t>ctxtMKAL_EXPAND-STLAN[16,0]</t>
  </si>
  <si>
    <t>UTIL. LT ALTERNATIVA</t>
  </si>
  <si>
    <t>ctxtMKAL_EXPAND-PLNNR[18,0]</t>
  </si>
  <si>
    <t>GRP. PLANEJAMENTO</t>
  </si>
  <si>
    <t>cmbMKAL_EXPAND-PLNTY[20,0]</t>
  </si>
  <si>
    <t>TIPO DE ROTEIRO</t>
  </si>
  <si>
    <t>31.12.9999</t>
  </si>
  <si>
    <t>Descrição CAM</t>
  </si>
  <si>
    <t>Enrijecedor Superior (mm)</t>
  </si>
  <si>
    <t>Enrijecedor Inferior (mm)</t>
  </si>
  <si>
    <t>Aba Superior (mm)</t>
  </si>
  <si>
    <t>Aba Inferior (mm)</t>
  </si>
  <si>
    <t>DIM 1 (mm)</t>
  </si>
  <si>
    <t>DIM 2 (mm)</t>
  </si>
  <si>
    <t>DIM 3 (mm)</t>
  </si>
  <si>
    <t>Alavanca 1 (mm)</t>
  </si>
  <si>
    <t>Alavanca 2 (mm)</t>
  </si>
  <si>
    <t>DADOS PURLINS</t>
  </si>
  <si>
    <t>NEW</t>
  </si>
  <si>
    <t/>
  </si>
  <si>
    <t>5201020004</t>
  </si>
  <si>
    <t>7308.90.10</t>
  </si>
  <si>
    <t>Multiplo&lt;Final</t>
  </si>
  <si>
    <t>BZ</t>
  </si>
  <si>
    <t>I</t>
  </si>
  <si>
    <t>Meincol 2</t>
  </si>
  <si>
    <t>Industria</t>
  </si>
  <si>
    <t>Comum</t>
  </si>
  <si>
    <t>OLD</t>
  </si>
  <si>
    <t>ctxtMARC-RGEKZ</t>
  </si>
  <si>
    <t>BAIXA POR EXPLOSÃO</t>
  </si>
  <si>
    <t>txtMARC-DZEIT</t>
  </si>
  <si>
    <t>TEMPO PROD. INT.</t>
  </si>
  <si>
    <t>PRAZO DE ENTR.PREV.</t>
  </si>
  <si>
    <t>ctxtMARA-RAUBE</t>
  </si>
  <si>
    <t>CONDIÇÃO DE ESTOC.</t>
  </si>
  <si>
    <t>ctxtRCTMS-MWERT[1,11]-0</t>
  </si>
  <si>
    <t>ctxtRCTMS-MWERT[1,13]-0</t>
  </si>
  <si>
    <t>ctxtRCTMS-MWERT[1,6]-0</t>
  </si>
  <si>
    <t>ctxtRCTMS-MWERT[1,5]-1</t>
  </si>
  <si>
    <t>ENRIJECIDO SUPERIOR</t>
  </si>
  <si>
    <t>ctxtRCTMS-MWERT[1,7]-1</t>
  </si>
  <si>
    <t>ctxtRCTMS-MWERT[1,8]-1</t>
  </si>
  <si>
    <t>ENRIJECIDO INFERIOR</t>
  </si>
  <si>
    <t>ABA SUPERIOR</t>
  </si>
  <si>
    <t>ctxtRCTMS-MWERT[1,9]-1</t>
  </si>
  <si>
    <t>ctxtRCTMS-MWERT[1,10]-1</t>
  </si>
  <si>
    <t>ABA INFERIOR</t>
  </si>
  <si>
    <t>ctxtRCTMS-MWERT[1,3]-1</t>
  </si>
  <si>
    <t>K00_P_PURL_0581</t>
  </si>
  <si>
    <t>K00_P_PURL_0582</t>
  </si>
  <si>
    <t>K00_P_TRIM_PU_0581</t>
  </si>
  <si>
    <t>K00_P_TRIM_PU_0582</t>
  </si>
  <si>
    <t>ctxtZTPP_REL_PURLIN-COD_SAP[0,0]</t>
  </si>
  <si>
    <t>ctxtZTPP_REL_PURLIN-COD_CAM[1,0]</t>
  </si>
  <si>
    <t>txtZTPP_REL_PURLIN-DIM1[2,0]</t>
  </si>
  <si>
    <t>txtZTPP_REL_PURLIN-DIM2[3,0]</t>
  </si>
  <si>
    <t>txtZTPP_REL_PURLIN-DIM3[4,0]</t>
  </si>
  <si>
    <t>txtZTPP_REL_PURLIN-ALAVANCA_D[5,0]</t>
  </si>
  <si>
    <t>txtZTPP_REL_PURLIN-ALAVANCA_E[6,0]</t>
  </si>
  <si>
    <t>DIM 1</t>
  </si>
  <si>
    <t>DIM 2</t>
  </si>
  <si>
    <t>DIM 3</t>
  </si>
  <si>
    <t>ALAVANCA DIR.</t>
  </si>
  <si>
    <t>ALAVANCA ESQ.</t>
  </si>
  <si>
    <t>Q:\Trabalhos em Andamento\Arthur Boff\8. Planilhas\18. Carga de Códigos Purlins para padrão PROF\PERFIL 232Z19_TESTE.xlsm</t>
  </si>
  <si>
    <t>K060574</t>
  </si>
  <si>
    <t>PERFIL 232Z19_TESTE</t>
  </si>
  <si>
    <t>TB ESP 40X60</t>
  </si>
  <si>
    <t>L060574</t>
  </si>
  <si>
    <t>1,72</t>
  </si>
  <si>
    <t>2,1800000000000002</t>
  </si>
  <si>
    <t>1117</t>
  </si>
  <si>
    <t>Produto Acabado</t>
  </si>
  <si>
    <t>232Z19</t>
  </si>
  <si>
    <t>V104538</t>
  </si>
  <si>
    <t>BOBINA 1,95 BZ NBR7008 ZAR400</t>
  </si>
  <si>
    <t>Perfil Purlins</t>
  </si>
  <si>
    <t>Conjunto Soldado</t>
  </si>
  <si>
    <t>Tubo/Perfil Agregado</t>
  </si>
  <si>
    <t>Tubo/Perfil Conformado</t>
  </si>
  <si>
    <t>Componente Comprado</t>
  </si>
  <si>
    <t>Coluna1</t>
  </si>
  <si>
    <t>Coluna2</t>
  </si>
  <si>
    <t>Coluna3</t>
  </si>
  <si>
    <t>Material K060574 é criado - em 18/02/22 14:24:50</t>
  </si>
  <si>
    <t>ctxtRCTMS-MWERT[1,12]-1</t>
  </si>
  <si>
    <t>REGULAMENTO DE EMBALAGEM</t>
  </si>
  <si>
    <t>50740277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</si>
</sst>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3" x14ac:knownFonts="1">
    <font>
      <sz val="10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voestalpine"/>
      <family val="2"/>
    </font>
    <font>
      <b/>
      <sz val="10"/>
      <color theme="0"/>
      <name val="voestalpine"/>
      <family val="2"/>
    </font>
    <font>
      <sz val="10"/>
      <color theme="0"/>
      <name val="voestalpine"/>
      <family val="2"/>
    </font>
    <font>
      <sz val="8"/>
      <color theme="0"/>
      <name val="voestalpine"/>
      <family val="2"/>
    </font>
    <font>
      <b/>
      <sz val="8"/>
      <color theme="0"/>
      <name val="voestalpine"/>
      <family val="2"/>
    </font>
    <font>
      <sz val="10"/>
      <color rgb="FF000000"/>
      <name val="voestalpine"/>
      <family val="2"/>
    </font>
    <font>
      <sz val="10"/>
      <color rgb="FF000000"/>
      <name val="Trebuchet MS"/>
      <family val="2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i/>
      <u/>
      <sz val="10"/>
      <color theme="1"/>
      <name val="voestalpine"/>
      <family val="2"/>
    </font>
    <font>
      <b/>
      <sz val="14"/>
      <color theme="0"/>
      <name val="voestalpine"/>
      <family val="2"/>
    </font>
  </fonts>
  <fills count="13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/>
        <bgColor indexed="64"/>
      </patternFill>
    </fill>
  </fills>
  <borders count="1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hair">
        <color auto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/>
      </bottom>
      <diagonal/>
    </border>
    <border>
      <left style="thin">
        <color theme="4" tint="0.39997558519241921"/>
      </left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theme="1" tint="0.499984740745262"/>
      </top>
      <bottom style="hair">
        <color theme="1"/>
      </bottom>
      <diagonal/>
    </border>
    <border>
      <left style="thin">
        <color theme="1" tint="0.499984740745262"/>
      </left>
      <right style="thin">
        <color theme="1" tint="0.499984740745262"/>
      </right>
      <top style="hair">
        <color auto="1"/>
      </top>
      <bottom style="hair">
        <color auto="1"/>
      </bottom>
      <diagonal/>
    </border>
  </borders>
  <cellStyleXfs count="12">
    <xf numFmtId="0" fontId="0" fillId="0" borderId="0"/>
    <xf numFmtId="0" fontId="1" fillId="0" borderId="0"/>
    <xf numFmtId="0" fontId="2" fillId="10" borderId="9">
      <alignment horizontal="center" vertical="center"/>
    </xf>
    <xf numFmtId="0" fontId="2" fillId="3" borderId="9" applyNumberFormat="0" applyProtection="0">
      <alignment horizontal="center" vertical="center"/>
      <protection locked="0"/>
    </xf>
    <xf numFmtId="49" fontId="2" fillId="5" borderId="9" applyNumberFormat="0">
      <alignment horizontal="center" vertical="center"/>
    </xf>
    <xf numFmtId="0" fontId="2" fillId="11" borderId="9">
      <alignment horizontal="center" vertical="center"/>
      <protection locked="0"/>
    </xf>
    <xf numFmtId="0" fontId="2" fillId="8" borderId="9" applyNumberFormat="0" applyProtection="0">
      <alignment horizontal="center" vertical="center"/>
      <protection locked="0"/>
    </xf>
    <xf numFmtId="0" fontId="4" fillId="2" borderId="2">
      <alignment horizontal="center" vertical="center"/>
    </xf>
    <xf numFmtId="0" fontId="2" fillId="6" borderId="9">
      <alignment horizontal="center" vertical="center"/>
    </xf>
    <xf numFmtId="0" fontId="2" fillId="9" borderId="9">
      <alignment horizontal="center" vertical="center"/>
      <protection locked="0"/>
    </xf>
    <xf numFmtId="0" fontId="4" fillId="4" borderId="2">
      <alignment horizontal="center" vertical="center"/>
    </xf>
    <xf numFmtId="0" fontId="12" fillId="12" borderId="0">
      <alignment horizontal="center" vertical="center"/>
    </xf>
  </cellStyleXfs>
  <cellXfs count="101">
    <xf numFmtId="0" fontId="0" fillId="0" borderId="0" xfId="0"/>
    <xf numFmtId="0" fontId="2" fillId="0" borderId="0" xfId="0" applyFont="1" applyAlignment="1">
      <alignment vertical="center"/>
    </xf>
    <xf numFmtId="0" fontId="4" fillId="2" borderId="0" xfId="0" applyFont="1" applyFill="1" applyAlignment="1">
      <alignment horizontal="center" vertical="center"/>
    </xf>
    <xf numFmtId="0" fontId="3" fillId="2" borderId="2" xfId="0" applyFont="1" applyFill="1" applyBorder="1" applyAlignment="1">
      <alignment horizontal="center"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0" xfId="0" applyFont="1" applyFill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5" fillId="2" borderId="0" xfId="0" applyFont="1" applyFill="1" applyAlignment="1">
      <alignment horizontal="right" vertical="center"/>
    </xf>
    <xf numFmtId="0" fontId="6" fillId="2" borderId="0" xfId="0" applyFont="1" applyFill="1" applyAlignment="1">
      <alignment horizontal="right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center" vertical="center"/>
    </xf>
    <xf numFmtId="0" fontId="2" fillId="0" borderId="0" xfId="0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2" fillId="3" borderId="3" xfId="0" applyNumberFormat="1" applyFont="1" applyFill="1" applyBorder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2" fillId="3" borderId="3" xfId="0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2" fillId="3" borderId="3" xfId="0" applyNumberFormat="1" applyFont="1" applyFill="1" applyBorder="1" applyAlignment="1">
      <alignment horizontal="left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4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3" borderId="0" xfId="0" applyFont="1" applyFill="1" applyAlignment="1">
      <alignment horizontal="center" vertical="center"/>
    </xf>
    <xf numFmtId="0" fontId="2" fillId="6" borderId="0" xfId="0" applyFont="1" applyFill="1" applyAlignment="1">
      <alignment horizontal="center" vertical="center"/>
    </xf>
    <xf numFmtId="0" fontId="2" fillId="8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11" fillId="0" borderId="0" xfId="0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0" fillId="0" borderId="0" xfId="0" applyNumberFormat="1"/>
    <xf numFmtId="0" fontId="0" fillId="0" borderId="0" xfId="0" applyNumberFormat="1" applyAlignment="1">
      <alignment wrapText="1"/>
    </xf>
    <xf numFmtId="0" fontId="4" fillId="2" borderId="0" xfId="0" applyFont="1" applyFill="1" applyAlignment="1">
      <alignment horizontal="left" vertical="center"/>
    </xf>
    <xf numFmtId="0" fontId="4" fillId="2" borderId="0" xfId="0" applyFont="1" applyFill="1" applyAlignment="1">
      <alignment vertical="center"/>
    </xf>
    <xf numFmtId="0" fontId="2" fillId="3" borderId="4" xfId="0" applyFont="1" applyFill="1" applyBorder="1" applyAlignment="1">
      <alignment horizontal="center" vertical="center"/>
    </xf>
    <xf numFmtId="0" fontId="2" fillId="6" borderId="4" xfId="0" applyFont="1" applyFill="1" applyBorder="1" applyAlignment="1">
      <alignment horizontal="center" vertical="center"/>
    </xf>
    <xf numFmtId="0" fontId="2" fillId="0" borderId="4" xfId="0" applyFont="1" applyFill="1" applyBorder="1" applyAlignment="1">
      <alignment horizontal="center" vertical="center"/>
    </xf>
    <xf numFmtId="0" fontId="2" fillId="8" borderId="4" xfId="0" applyFont="1" applyFill="1" applyBorder="1" applyAlignment="1">
      <alignment horizontal="center" vertical="center"/>
    </xf>
    <xf numFmtId="14" fontId="2" fillId="6" borderId="4" xfId="0" applyNumberFormat="1" applyFont="1" applyFill="1" applyBorder="1" applyAlignment="1">
      <alignment horizontal="center" vertical="center"/>
    </xf>
    <xf numFmtId="14" fontId="2" fillId="0" borderId="4" xfId="0" applyNumberFormat="1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center" vertical="center"/>
    </xf>
    <xf numFmtId="49" fontId="2" fillId="6" borderId="4" xfId="0" applyNumberFormat="1" applyFont="1" applyFill="1" applyBorder="1" applyAlignment="1">
      <alignment horizontal="center" vertical="center"/>
    </xf>
    <xf numFmtId="49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49" fontId="4" fillId="7" borderId="0" xfId="0" applyNumberFormat="1" applyFont="1" applyFill="1" applyAlignment="1">
      <alignment horizontal="right" vertical="center"/>
    </xf>
    <xf numFmtId="49" fontId="4" fillId="7" borderId="0" xfId="0" applyNumberFormat="1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4" fillId="9" borderId="4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0" borderId="4" xfId="0" applyNumberFormat="1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49" fontId="0" fillId="0" borderId="0" xfId="0" applyNumberFormat="1"/>
    <xf numFmtId="49" fontId="2" fillId="5" borderId="6" xfId="0" applyNumberFormat="1" applyFont="1" applyFill="1" applyBorder="1" applyAlignment="1">
      <alignment horizontal="left" vertical="center"/>
    </xf>
    <xf numFmtId="49" fontId="2" fillId="5" borderId="7" xfId="0" applyNumberFormat="1" applyFont="1" applyFill="1" applyBorder="1" applyAlignment="1">
      <alignment horizontal="left" vertical="center"/>
    </xf>
    <xf numFmtId="49" fontId="2" fillId="5" borderId="8" xfId="0" applyNumberFormat="1" applyFont="1" applyFill="1" applyBorder="1" applyAlignment="1">
      <alignment horizontal="left" vertical="center"/>
    </xf>
    <xf numFmtId="11" fontId="2" fillId="0" borderId="0" xfId="0" applyNumberFormat="1" applyFont="1" applyAlignment="1">
      <alignment horizontal="center" vertical="center"/>
    </xf>
    <xf numFmtId="11" fontId="2" fillId="0" borderId="0" xfId="0" applyNumberFormat="1" applyFont="1" applyAlignment="1">
      <alignment horizontal="left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6" borderId="4" xfId="0" applyNumberFormat="1" applyFont="1" applyFill="1" applyBorder="1" applyAlignment="1">
      <alignment horizontal="center" vertical="center"/>
    </xf>
    <xf numFmtId="0" fontId="2" fillId="8" borderId="4" xfId="0" applyNumberFormat="1" applyFont="1" applyFill="1" applyBorder="1" applyAlignment="1">
      <alignment horizontal="center" vertical="center"/>
    </xf>
    <xf numFmtId="0" fontId="2" fillId="5" borderId="4" xfId="0" applyNumberFormat="1" applyFont="1" applyFill="1" applyBorder="1" applyAlignment="1">
      <alignment horizontal="center" vertical="center"/>
    </xf>
    <xf numFmtId="0" fontId="4" fillId="9" borderId="0" xfId="0" quotePrefix="1" applyFont="1" applyFill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5" fillId="2" borderId="0" xfId="1" applyFont="1" applyFill="1" applyAlignment="1">
      <alignment horizontal="right" vertical="center"/>
    </xf>
    <xf numFmtId="0" fontId="4" fillId="2" borderId="0" xfId="1" applyFont="1" applyFill="1" applyAlignment="1">
      <alignment horizontal="center" vertical="center"/>
    </xf>
    <xf numFmtId="0" fontId="4" fillId="2" borderId="0" xfId="1" applyFont="1" applyFill="1" applyAlignment="1">
      <alignment horizontal="left" vertical="center"/>
    </xf>
    <xf numFmtId="0" fontId="4" fillId="2" borderId="0" xfId="1" applyFont="1" applyFill="1" applyAlignment="1">
      <alignment vertical="center"/>
    </xf>
    <xf numFmtId="0" fontId="4" fillId="2" borderId="1" xfId="1" applyFont="1" applyFill="1" applyBorder="1" applyAlignment="1">
      <alignment horizontal="center" vertical="center"/>
    </xf>
    <xf numFmtId="0" fontId="4" fillId="2" borderId="0" xfId="1" applyFont="1" applyFill="1" applyBorder="1" applyAlignment="1">
      <alignment horizontal="right" vertical="center"/>
    </xf>
    <xf numFmtId="0" fontId="6" fillId="2" borderId="0" xfId="1" applyFont="1" applyFill="1" applyAlignment="1">
      <alignment horizontal="right" vertical="center"/>
    </xf>
    <xf numFmtId="0" fontId="3" fillId="2" borderId="2" xfId="1" applyFont="1" applyFill="1" applyBorder="1" applyAlignment="1">
      <alignment horizontal="center" vertical="center"/>
    </xf>
    <xf numFmtId="0" fontId="3" fillId="2" borderId="0" xfId="1" applyFont="1" applyFill="1" applyBorder="1" applyAlignment="1">
      <alignment horizontal="center" vertical="center"/>
    </xf>
    <xf numFmtId="0" fontId="3" fillId="2" borderId="0" xfId="1" applyFont="1" applyFill="1" applyAlignment="1">
      <alignment horizontal="center" vertical="center"/>
    </xf>
    <xf numFmtId="0" fontId="2" fillId="3" borderId="4" xfId="1" applyFont="1" applyFill="1" applyBorder="1" applyAlignment="1">
      <alignment horizontal="center" vertical="center"/>
    </xf>
    <xf numFmtId="49" fontId="2" fillId="5" borderId="6" xfId="1" applyNumberFormat="1" applyFont="1" applyFill="1" applyBorder="1" applyAlignment="1">
      <alignment horizontal="left" vertical="center"/>
    </xf>
    <xf numFmtId="0" fontId="2" fillId="0" borderId="0" xfId="1" applyFont="1" applyAlignment="1">
      <alignment vertical="center"/>
    </xf>
    <xf numFmtId="0" fontId="2" fillId="0" borderId="0" xfId="1" applyFont="1" applyAlignment="1">
      <alignment horizontal="center" vertical="center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4" fillId="2" borderId="0" xfId="0" applyFont="1" applyFill="1" applyAlignment="1">
      <alignment horizontal="center" vertical="center" wrapText="1"/>
    </xf>
    <xf numFmtId="0" fontId="4" fillId="2" borderId="0" xfId="0" applyFont="1" applyFill="1" applyAlignment="1">
      <alignment horizontal="center" vertical="center"/>
    </xf>
    <xf numFmtId="0" fontId="4" fillId="2" borderId="0" xfId="0" applyFont="1" applyFill="1" applyBorder="1" applyAlignment="1">
      <alignment horizontal="center" vertical="center"/>
    </xf>
    <xf numFmtId="0" fontId="2" fillId="5" borderId="9" xfId="4" applyNumberFormat="1">
      <alignment horizontal="center" vertical="center"/>
    </xf>
  </cellXfs>
  <cellStyles count="12">
    <cellStyle name="Dados Chave" xfId="2"/>
    <cellStyle name="Dados Editáveis" xfId="3"/>
    <cellStyle name="Dados Fixos" xfId="4"/>
    <cellStyle name="Dados Obrigatórios com validação DDs" xfId="5"/>
    <cellStyle name="Dados Opcionais" xfId="6"/>
    <cellStyle name="Fixos" xfId="7"/>
    <cellStyle name="Fórmulas" xfId="8"/>
    <cellStyle name="Normal" xfId="0" builtinId="0" customBuiltin="1"/>
    <cellStyle name="Normal 2" xfId="1"/>
    <cellStyle name="Script" xfId="9"/>
    <cellStyle name="Subtítulos" xfId="10"/>
    <cellStyle name="Títulos" xfId="11"/>
  </cellStyles>
  <dxfs count="191"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FF000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ont>
        <color theme="1"/>
      </font>
      <fill>
        <patternFill>
          <bgColor rgb="FF92D050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fill>
        <patternFill>
          <bgColor theme="4" tint="0.79998168889431442"/>
        </patternFill>
      </fill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numFmt numFmtId="30" formatCode="@"/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8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voestalpine"/>
        <scheme val="none"/>
      </font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color theme="0"/>
      </font>
      <fill>
        <patternFill>
          <bgColor theme="1"/>
        </patternFill>
      </fill>
      <border>
        <left/>
        <right/>
        <top/>
        <bottom/>
        <vertical/>
        <horizontal/>
      </border>
    </dxf>
    <dxf>
      <font>
        <b val="0"/>
        <i val="0"/>
        <u val="none"/>
      </font>
      <border>
        <top style="hair">
          <color auto="1"/>
        </top>
        <bottom style="hair">
          <color auto="1"/>
        </bottom>
        <vertical style="thin">
          <color theme="1" tint="0.499984740745262"/>
        </vertical>
        <horizontal style="hair">
          <color auto="1"/>
        </horizontal>
      </border>
    </dxf>
  </dxfs>
  <tableStyles count="1" defaultTableStyle="TableStyleMedium2" defaultPivotStyle="PivotStyleLight16">
    <tableStyle name="Estilo de Tabela 1" pivot="0" count="2">
      <tableStyleElement type="wholeTable" dxfId="190"/>
      <tableStyleElement type="headerRow" dxfId="189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microsoft.com/office/2006/relationships/vbaProject" Target="vbaProject.bin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1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2289" name="Button 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2293" name="Button 5" hidden="1">
              <a:extLst>
                <a:ext uri="{63B3BB69-23CF-44E3-9099-C40C66FF867C}">
                  <a14:compatExt spid="_x0000_s1229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4339" name="Button 3" hidden="1">
              <a:extLst>
                <a:ext uri="{63B3BB69-23CF-44E3-9099-C40C66FF867C}">
                  <a14:compatExt spid="_x0000_s1433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5363" name="Button 3" hidden="1">
              <a:extLst>
                <a:ext uri="{63B3BB69-23CF-44E3-9099-C40C66FF867C}">
                  <a14:compatExt spid="_x0000_s1536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2</xdr:row>
          <xdr:rowOff>0</xdr:rowOff>
        </xdr:from>
        <xdr:to>
          <xdr:col>2</xdr:col>
          <xdr:colOff>9525</xdr:colOff>
          <xdr:row>2</xdr:row>
          <xdr:rowOff>180975</xdr:rowOff>
        </xdr:to>
        <xdr:sp macro="" textlink="">
          <xdr:nvSpPr>
            <xdr:cNvPr id="24579" name="Button 3" hidden="1">
              <a:extLst>
                <a:ext uri="{63B3BB69-23CF-44E3-9099-C40C66FF867C}">
                  <a14:compatExt spid="_x0000_s245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Carregar da MM01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1</xdr:row>
          <xdr:rowOff>142875</xdr:rowOff>
        </xdr:to>
        <xdr:sp macro="" textlink="">
          <xdr:nvSpPr>
            <xdr:cNvPr id="24581" name="Button 5" hidden="1">
              <a:extLst>
                <a:ext uri="{63B3BB69-23CF-44E3-9099-C40C66FF867C}">
                  <a14:compatExt spid="_x0000_s2458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voestalpine"/>
                </a:rPr>
                <a:t>Executar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0</xdr:rowOff>
        </xdr:from>
        <xdr:to>
          <xdr:col>3</xdr:col>
          <xdr:colOff>352425</xdr:colOff>
          <xdr:row>0</xdr:row>
          <xdr:rowOff>295275</xdr:rowOff>
        </xdr:to>
        <xdr:sp macro="" textlink="">
          <xdr:nvSpPr>
            <xdr:cNvPr id="22529" name="Button 1" hidden="1">
              <a:extLst>
                <a:ext uri="{63B3BB69-23CF-44E3-9099-C40C66FF867C}">
                  <a14:compatExt spid="_x0000_s2252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Abrir Seleção de Transferência</a:t>
              </a:r>
            </a:p>
          </xdr:txBody>
        </xdr:sp>
        <xdr:clientData fPrintsWithSheet="0"/>
      </xdr:twoCellAnchor>
    </mc:Choice>
    <mc:Fallback/>
  </mc:AlternateContent>
</xdr:wsDr>
</file>

<file path=xl/drawings/drawing9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28575</xdr:colOff>
          <xdr:row>0</xdr:row>
          <xdr:rowOff>28575</xdr:rowOff>
        </xdr:from>
        <xdr:to>
          <xdr:col>0</xdr:col>
          <xdr:colOff>914400</xdr:colOff>
          <xdr:row>1</xdr:row>
          <xdr:rowOff>38100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Instalar CAS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5</xdr:row>
          <xdr:rowOff>0</xdr:rowOff>
        </xdr:from>
        <xdr:to>
          <xdr:col>0</xdr:col>
          <xdr:colOff>1600200</xdr:colOff>
          <xdr:row>6</xdr:row>
          <xdr:rowOff>9525</xdr:rowOff>
        </xdr:to>
        <xdr:sp macro="" textlink="">
          <xdr:nvSpPr>
            <xdr:cNvPr id="11267" name="Button 3" hidden="1">
              <a:extLst>
                <a:ext uri="{63B3BB69-23CF-44E3-9099-C40C66FF867C}">
                  <a14:compatExt spid="_x0000_s1126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Selecionar Arquivo raiz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8</xdr:row>
          <xdr:rowOff>0</xdr:rowOff>
        </xdr:from>
        <xdr:to>
          <xdr:col>0</xdr:col>
          <xdr:colOff>1600200</xdr:colOff>
          <xdr:row>9</xdr:row>
          <xdr:rowOff>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pt-BR" sz="1000" b="0" i="0" u="none" strike="noStrike" baseline="0">
                  <a:solidFill>
                    <a:srgbClr val="000000"/>
                  </a:solidFill>
                  <a:latin typeface="Trebuchet MS"/>
                </a:rPr>
                <a:t>Gerar Relatório Final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adosExternos_1" backgroundRefresh="0" connectionId="1" autoFormatId="0" applyNumberFormats="0" applyBorderFormats="0" applyFontFormats="1" applyPatternFormats="1" applyAlignmentFormats="0" applyWidthHeightFormats="0">
  <queryTableRefresh preserveSortFilterLayout="0" nextId="84" unboundColumnsRight="3">
    <queryTableFields count="83">
      <queryTableField id="1" name="PJT" tableColumnId="84"/>
      <queryTableField id="2" name="STS" tableColumnId="85"/>
      <queryTableField id="3" name="Código P01" tableColumnId="86"/>
      <queryTableField id="4" name="Descrição P01" tableColumnId="87"/>
      <queryTableField id="5" name="Modelo" tableColumnId="88"/>
      <queryTableField id="6" name="Descrição do Modelo" tableColumnId="89"/>
      <queryTableField id="7" name="Centro" tableColumnId="90"/>
      <queryTableField id="8" name="Comprimento_x000a_Final" tableColumnId="91"/>
      <queryTableField id="9" name="Peso Kg/m" tableColumnId="92"/>
      <queryTableField id="10" name="KG/PC" tableColumnId="93"/>
      <queryTableField id="11" name="Hierarquia 1" tableColumnId="94"/>
      <queryTableField id="12" name="Hierarquia 2" tableColumnId="95"/>
      <queryTableField id="13" name="Hierarquia 3" tableColumnId="96"/>
      <queryTableField id="14" name="Hierarquia 4" tableColumnId="97"/>
      <queryTableField id="15" name="Hierarquia 5" tableColumnId="98"/>
      <queryTableField id="16" name="Hierarquia Final" tableColumnId="99"/>
      <queryTableField id="17" name="GrPMerc." tableColumnId="100"/>
      <queryTableField id="18" name="Bitola de Produção_x000a_          Descrição" tableColumnId="101"/>
      <queryTableField id="19" name="N° SAP da Bitola" tableColumnId="102"/>
      <queryTableField id="20" name="Unidade de Venda" tableColumnId="103"/>
      <queryTableField id="21" name="NCM" tableColumnId="104"/>
      <queryTableField id="22" name="Peças por _x000a_Amarrado" tableColumnId="105"/>
      <queryTableField id="23" name="Centro de trabalho" tableColumnId="106"/>
      <queryTableField id="24" name="Tempo_x000a_Setup" tableColumnId="107"/>
      <queryTableField id="25" name="Tempo de_x000a_Operação" tableColumnId="108"/>
      <queryTableField id="26" name="Perda de _x000a_Processo" tableColumnId="109"/>
      <queryTableField id="27" name="Código do componente" tableColumnId="110"/>
      <queryTableField id="28" name="Comprimento _x000a_do Multiplo" tableColumnId="111"/>
      <queryTableField id="29" name="Perda em Kg para fabricar 1000 peças do tubo cortado (perda inerente)" tableColumnId="112"/>
      <queryTableField id="30" name="Quantidade em metros para fabricar 1000 peças + perda de processo" tableColumnId="113"/>
      <queryTableField id="31" name="Quantidade em peças para fabricar 1000 peças + perda de processo" tableColumnId="114"/>
      <queryTableField id="32" name="DADOS AO" tableColumnId="115"/>
      <queryTableField id="33" name="Chave LNTR" tableColumnId="116"/>
      <queryTableField id="34" name="Espessura nominal" tableColumnId="117"/>
      <queryTableField id="35" name="Laminação" tableColumnId="118"/>
      <queryTableField id="36" name="MTH?_x000a_MTL?" tableColumnId="119"/>
      <queryTableField id="37" name="Espessura Mínima" tableColumnId="120"/>
      <queryTableField id="38" name="Espessura Máxima" tableColumnId="121"/>
      <queryTableField id="39" name="Máquina" tableColumnId="122"/>
      <queryTableField id="40" name="Mapa/Plano de montagem" tableColumnId="123"/>
      <queryTableField id="41" name="Velocidade_x000a_(m/hr)" tableColumnId="124"/>
      <queryTableField id="42" name="Nave" tableColumnId="125"/>
      <queryTableField id="43" name="Tempo de _x000a_pré-instalação" tableColumnId="126"/>
      <queryTableField id="44" name="Sucata (m)" tableColumnId="127"/>
      <queryTableField id="45" name="Perda (%)" tableColumnId="128"/>
      <queryTableField id="46" name="Largura da tira" tableColumnId="129"/>
      <queryTableField id="47" name="Bobina_x000a_ configuravel?" tableColumnId="130"/>
      <queryTableField id="48" name="Largura ideal" tableColumnId="131"/>
      <queryTableField id="49" name="Velocidade_x000a_3000 até 4999" tableColumnId="132"/>
      <queryTableField id="50" name="Velocidade_x000a_5000 até 8000" tableColumnId="133"/>
      <queryTableField id="51" name="Velocidade_x000a_8001 até 14000" tableColumnId="134"/>
      <queryTableField id="52" name="DADOS LNP" tableColumnId="135"/>
      <queryTableField id="53" name="Cliente" tableColumnId="136"/>
      <queryTableField id="54" name="Preço de terceirização " tableColumnId="137"/>
      <queryTableField id="55" name="Centro de Produção" tableColumnId="138"/>
      <queryTableField id="56" name="Column56" tableColumnId="139"/>
      <queryTableField id="57" name="Depósito de produção" tableColumnId="140"/>
      <queryTableField id="58" name="Column58" tableColumnId="141"/>
      <queryTableField id="59" name="Canal de Distribuição" tableColumnId="142"/>
      <queryTableField id="60" name="Column60" tableColumnId="143"/>
      <queryTableField id="61" name="Setor de Atividade" tableColumnId="144"/>
      <queryTableField id="62" name="Column62" tableColumnId="145"/>
      <queryTableField id="63" name="Níveis Organizacionais SAP" tableColumnId="146"/>
      <queryTableField id="64" name="Tipo de Material PROF" tableColumnId="147"/>
      <queryTableField id="65" name="Geometria CHAR" tableColumnId="148"/>
      <queryTableField id="66" name="Espessura CHAR" tableColumnId="149"/>
      <queryTableField id="67" name="Raspagem Interna?" tableColumnId="150"/>
      <queryTableField id="68" name="Metalização?" tableColumnId="151"/>
      <queryTableField id="69" name="DADOS VARIANT" tableColumnId="152"/>
      <queryTableField id="70" name="Descrição CAM" tableColumnId="153"/>
      <queryTableField id="71" name="Enrijecedor Superior (mm)" tableColumnId="154"/>
      <queryTableField id="72" name="Enrijecedor Inferior (mm)" tableColumnId="155"/>
      <queryTableField id="73" name="Aba Superior (mm)" tableColumnId="156"/>
      <queryTableField id="74" name="Aba Inferior (mm)" tableColumnId="157"/>
      <queryTableField id="75" name="DIM 1 (mm)" tableColumnId="158"/>
      <queryTableField id="76" name="DIM 2 (mm)" tableColumnId="159"/>
      <queryTableField id="77" name="DIM 3 (mm)" tableColumnId="160"/>
      <queryTableField id="78" name="Alavanca 1 (mm)" tableColumnId="161"/>
      <queryTableField id="79" name="Alavanca 2 (mm)" tableColumnId="162"/>
      <queryTableField id="80" name="DADOS PURLINS" tableColumnId="163"/>
      <queryTableField id="83" dataBound="0" tableColumnId="164"/>
      <queryTableField id="82" dataBound="0" tableColumnId="165"/>
      <queryTableField id="81" dataBound="0" tableColumnId="166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id="1" name="Estrutura_P01" displayName="Estrutura_P01" ref="A1:CE10" tableType="queryTable" totalsRowCount="1">
  <autoFilter ref="A1:CE9"/>
  <tableColumns count="83">
    <tableColumn id="84" uniqueName="84" name="PJT" totalsRowLabel="Total" queryTableFieldId="1" dataDxfId="185"/>
    <tableColumn id="85" uniqueName="85" name="STS" queryTableFieldId="2" dataDxfId="184"/>
    <tableColumn id="86" uniqueName="86" name="Código P01" queryTableFieldId="3" dataDxfId="183"/>
    <tableColumn id="87" uniqueName="87" name="Descrição P01" queryTableFieldId="4" dataDxfId="182"/>
    <tableColumn id="88" uniqueName="88" name="Modelo" queryTableFieldId="5" dataDxfId="181"/>
    <tableColumn id="89" uniqueName="89" name="Descrição do Modelo" queryTableFieldId="6" dataDxfId="180"/>
    <tableColumn id="90" uniqueName="90" name="Centro" queryTableFieldId="7" dataDxfId="179"/>
    <tableColumn id="91" uniqueName="91" name="Comprimento_x000a_Final" queryTableFieldId="8" dataDxfId="178"/>
    <tableColumn id="92" uniqueName="92" name="Peso Kg/m" queryTableFieldId="9" dataDxfId="177"/>
    <tableColumn id="93" uniqueName="93" name="KG/PC" queryTableFieldId="10" dataDxfId="176"/>
    <tableColumn id="94" uniqueName="94" name="Hierarquia 1" queryTableFieldId="11" dataDxfId="175"/>
    <tableColumn id="95" uniqueName="95" name="Hierarquia 2" queryTableFieldId="12" dataDxfId="174"/>
    <tableColumn id="96" uniqueName="96" name="Hierarquia 3" queryTableFieldId="13" dataDxfId="173"/>
    <tableColumn id="97" uniqueName="97" name="Hierarquia 4" queryTableFieldId="14" dataDxfId="172"/>
    <tableColumn id="98" uniqueName="98" name="Hierarquia 5" queryTableFieldId="15" dataDxfId="171"/>
    <tableColumn id="99" uniqueName="99" name="Hierarquia Final" queryTableFieldId="16" dataDxfId="170"/>
    <tableColumn id="100" uniqueName="100" name="GrPMerc." queryTableFieldId="17" dataDxfId="169"/>
    <tableColumn id="101" uniqueName="101" name="Bitola de Produção_x000a_          Descrição" queryTableFieldId="18" dataDxfId="168"/>
    <tableColumn id="102" uniqueName="102" name="N° SAP da Bitola" queryTableFieldId="19" dataDxfId="167"/>
    <tableColumn id="103" uniqueName="103" name="Unidade de Venda" queryTableFieldId="20" dataDxfId="166"/>
    <tableColumn id="104" uniqueName="104" name="NCM" queryTableFieldId="21" dataDxfId="165"/>
    <tableColumn id="105" uniqueName="105" name="Peças por _x000a_Amarrado" queryTableFieldId="22" dataDxfId="164"/>
    <tableColumn id="106" uniqueName="106" name="Centro de trabalho" queryTableFieldId="23" dataDxfId="163"/>
    <tableColumn id="107" uniqueName="107" name="Tempo_x000a_Setup" queryTableFieldId="24" dataDxfId="162"/>
    <tableColumn id="108" uniqueName="108" name="Tempo de_x000a_Operação" queryTableFieldId="25" dataDxfId="161"/>
    <tableColumn id="109" uniqueName="109" name="Perda de _x000a_Processo" queryTableFieldId="26" dataDxfId="160"/>
    <tableColumn id="110" uniqueName="110" name="Código do componente" queryTableFieldId="27" dataDxfId="159"/>
    <tableColumn id="111" uniqueName="111" name="Comprimento _x000a_do Multiplo" queryTableFieldId="28" dataDxfId="158"/>
    <tableColumn id="112" uniqueName="112" name="Perda em Kg para fabricar 1000 peças do tubo cortado (perda inerente)" queryTableFieldId="29" dataDxfId="157"/>
    <tableColumn id="113" uniqueName="113" name="Quantidade em metros para fabricar 1000 peças + perda de processo" queryTableFieldId="30" dataDxfId="156"/>
    <tableColumn id="114" uniqueName="114" name="Quantidade em peças para fabricar 1000 peças + perda de processo" queryTableFieldId="31" dataDxfId="155"/>
    <tableColumn id="115" uniqueName="115" name="DADOS AO" queryTableFieldId="32" dataDxfId="154"/>
    <tableColumn id="116" uniqueName="116" name="Chave LNTR" queryTableFieldId="33" dataDxfId="153"/>
    <tableColumn id="117" uniqueName="117" name="Espessura nominal" queryTableFieldId="34" dataDxfId="152"/>
    <tableColumn id="118" uniqueName="118" name="Laminação" queryTableFieldId="35" dataDxfId="151"/>
    <tableColumn id="119" uniqueName="119" name="MTH?_x000a_MTL?" queryTableFieldId="36" dataDxfId="150"/>
    <tableColumn id="120" uniqueName="120" name="Espessura Mínima" queryTableFieldId="37" dataDxfId="149"/>
    <tableColumn id="121" uniqueName="121" name="Espessura Máxima" queryTableFieldId="38" dataDxfId="148"/>
    <tableColumn id="122" uniqueName="122" name="Máquina" queryTableFieldId="39" dataDxfId="147"/>
    <tableColumn id="123" uniqueName="123" name="Mapa/Plano de montagem" queryTableFieldId="40" dataDxfId="146"/>
    <tableColumn id="124" uniqueName="124" name="Velocidade_x000a_(m/hr)" queryTableFieldId="41" dataDxfId="145"/>
    <tableColumn id="125" uniqueName="125" name="Nave" queryTableFieldId="42" dataDxfId="144"/>
    <tableColumn id="126" uniqueName="126" name="Tempo de _x000a_pré-instalação" queryTableFieldId="43" dataDxfId="143"/>
    <tableColumn id="127" uniqueName="127" name="Sucata (m)" queryTableFieldId="44" dataDxfId="142"/>
    <tableColumn id="128" uniqueName="128" name="Perda (%)" queryTableFieldId="45" dataDxfId="141"/>
    <tableColumn id="129" uniqueName="129" name="Largura da tira" queryTableFieldId="46" dataDxfId="140"/>
    <tableColumn id="130" uniqueName="130" name="Bobina_x000a_ configuravel?" queryTableFieldId="47" dataDxfId="139"/>
    <tableColumn id="131" uniqueName="131" name="Largura ideal" queryTableFieldId="48" dataDxfId="138"/>
    <tableColumn id="132" uniqueName="132" name="Velocidade_x000a_3000 até 4999" queryTableFieldId="49" dataDxfId="137"/>
    <tableColumn id="133" uniqueName="133" name="Velocidade_x000a_5000 até 8000" queryTableFieldId="50" dataDxfId="136"/>
    <tableColumn id="134" uniqueName="134" name="Velocidade_x000a_8001 até 14000" queryTableFieldId="51" dataDxfId="135"/>
    <tableColumn id="135" uniqueName="135" name="DADOS LNP" queryTableFieldId="52" dataDxfId="134"/>
    <tableColumn id="136" uniqueName="136" name="Cliente" queryTableFieldId="53" dataDxfId="133"/>
    <tableColumn id="137" uniqueName="137" name="Preço de terceirização " queryTableFieldId="54" dataDxfId="132"/>
    <tableColumn id="138" uniqueName="138" name="Centro de Produção" queryTableFieldId="55" dataDxfId="131"/>
    <tableColumn id="139" uniqueName="139" name="Column56" queryTableFieldId="56" dataDxfId="130"/>
    <tableColumn id="140" uniqueName="140" name="Depósito de produção" queryTableFieldId="57" dataDxfId="129"/>
    <tableColumn id="141" uniqueName="141" name="Column58" queryTableFieldId="58" dataDxfId="128"/>
    <tableColumn id="142" uniqueName="142" name="Canal de Distribuição" queryTableFieldId="59" dataDxfId="127"/>
    <tableColumn id="143" uniqueName="143" name="Column60" queryTableFieldId="60" dataDxfId="126"/>
    <tableColumn id="144" uniqueName="144" name="Setor de Atividade" queryTableFieldId="61" dataDxfId="125"/>
    <tableColumn id="145" uniqueName="145" name="Column62" queryTableFieldId="62" dataDxfId="124"/>
    <tableColumn id="146" uniqueName="146" name="Níveis Organizacionais SAP" queryTableFieldId="63" dataDxfId="123"/>
    <tableColumn id="147" uniqueName="147" name="Tipo de Material PROF" queryTableFieldId="64" dataDxfId="122"/>
    <tableColumn id="148" uniqueName="148" name="Geometria CHAR" queryTableFieldId="65" dataDxfId="121"/>
    <tableColumn id="149" uniqueName="149" name="Espessura CHAR" queryTableFieldId="66" dataDxfId="120"/>
    <tableColumn id="150" uniqueName="150" name="Raspagem Interna?" queryTableFieldId="67" dataDxfId="119"/>
    <tableColumn id="151" uniqueName="151" name="Metalização?" queryTableFieldId="68" dataDxfId="118"/>
    <tableColumn id="152" uniqueName="152" name="DADOS VARIANT" queryTableFieldId="69" dataDxfId="117"/>
    <tableColumn id="153" uniqueName="153" name="Descrição CAM" queryTableFieldId="70" dataDxfId="116"/>
    <tableColumn id="154" uniqueName="154" name="Enrijecedor Superior (mm)" queryTableFieldId="71" dataDxfId="115"/>
    <tableColumn id="155" uniqueName="155" name="Enrijecedor Inferior (mm)" queryTableFieldId="72" dataDxfId="114"/>
    <tableColumn id="156" uniqueName="156" name="Aba Superior (mm)" queryTableFieldId="73" dataDxfId="113"/>
    <tableColumn id="157" uniqueName="157" name="Aba Inferior (mm)" queryTableFieldId="74" dataDxfId="112"/>
    <tableColumn id="158" uniqueName="158" name="DIM 1 (mm)" queryTableFieldId="75" dataDxfId="111"/>
    <tableColumn id="159" uniqueName="159" name="DIM 2 (mm)" queryTableFieldId="76" dataDxfId="110"/>
    <tableColumn id="160" uniqueName="160" name="DIM 3 (mm)" queryTableFieldId="77" dataDxfId="109"/>
    <tableColumn id="161" uniqueName="161" name="Alavanca 1 (mm)" queryTableFieldId="78" dataDxfId="108"/>
    <tableColumn id="162" uniqueName="162" name="Alavanca 2 (mm)" queryTableFieldId="79" dataDxfId="107"/>
    <tableColumn id="163" uniqueName="163" name="DADOS PURLINS" queryTableFieldId="80" dataDxfId="106"/>
    <tableColumn id="164" uniqueName="164" name="Coluna1" queryTableFieldId="83" dataDxfId="105"/>
    <tableColumn id="165" uniqueName="165" name="Coluna2" queryTableFieldId="82" dataDxfId="104"/>
    <tableColumn id="166" uniqueName="166" name="Coluna3" totalsRowFunction="count" queryTableFieldId="81" dataDxfId="103"/>
  </tableColumns>
  <tableStyleInfo name="Estilo de Tabela 1" showFirstColumn="0" showLastColumn="0" showRowStripes="1" showColumnStripes="0"/>
</table>
</file>

<file path=xl/tables/table2.xml><?xml version="1.0" encoding="utf-8"?>
<table xmlns="http://schemas.openxmlformats.org/spreadsheetml/2006/main" id="3" name="Tabela3" displayName="Tabela3" ref="A6:A7" totalsRowShown="0" headerRowDxfId="188" dataDxfId="187">
  <autoFilter ref="A6:A7"/>
  <tableColumns count="1">
    <tableColumn id="1" name="DIRETORIO DA CONSULTA (POWER QUERY)" dataDxfId="186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omments" Target="../comments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5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5" Type="http://schemas.openxmlformats.org/officeDocument/2006/relationships/ctrlProp" Target="../ctrlProps/ctrlProp7.xml"/><Relationship Id="rId4" Type="http://schemas.openxmlformats.org/officeDocument/2006/relationships/ctrlProp" Target="../ctrlProps/ctrlProp6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5" Type="http://schemas.openxmlformats.org/officeDocument/2006/relationships/ctrlProp" Target="../ctrlProps/ctrlProp9.xml"/><Relationship Id="rId4" Type="http://schemas.openxmlformats.org/officeDocument/2006/relationships/ctrlProp" Target="../ctrlProps/ctrlProp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5" Type="http://schemas.openxmlformats.org/officeDocument/2006/relationships/ctrlProp" Target="../ctrlProps/ctrlProp11.xml"/><Relationship Id="rId4" Type="http://schemas.openxmlformats.org/officeDocument/2006/relationships/ctrlProp" Target="../ctrlProps/ctrlProp10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7.vml"/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Relationship Id="rId5" Type="http://schemas.openxmlformats.org/officeDocument/2006/relationships/ctrlProp" Target="../ctrlProps/ctrlProp13.xml"/><Relationship Id="rId4" Type="http://schemas.openxmlformats.org/officeDocument/2006/relationships/ctrlProp" Target="../ctrlProps/ctrlProp1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4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8.xml"/><Relationship Id="rId4" Type="http://schemas.openxmlformats.org/officeDocument/2006/relationships/table" Target="../tables/table1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9.vml"/><Relationship Id="rId7" Type="http://schemas.openxmlformats.org/officeDocument/2006/relationships/table" Target="../tables/table2.x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8.bin"/><Relationship Id="rId6" Type="http://schemas.openxmlformats.org/officeDocument/2006/relationships/ctrlProp" Target="../ctrlProps/ctrlProp17.xml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5">
    <tabColor theme="4" tint="0.79998168889431442"/>
  </sheetPr>
  <dimension ref="A1:EO54"/>
  <sheetViews>
    <sheetView showGridLines="0" showRowColHeaders="0" tabSelected="1" workbookViewId="0">
      <pane xSplit="3" ySplit="4" topLeftCell="D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outlineLevelCol="1" x14ac:dyDescent="0.2"/>
  <cols>
    <col min="1" max="1" width="11.7109375" style="7" customWidth="1"/>
    <col min="2" max="2" width="18.5703125" style="6" customWidth="1"/>
    <col min="3" max="3" width="42.140625" style="6" customWidth="1"/>
    <col min="4" max="4" width="18.42578125" style="6" customWidth="1"/>
    <col min="5" max="5" width="19.85546875" style="6" customWidth="1"/>
    <col min="6" max="6" width="18.7109375" style="6" hidden="1" customWidth="1"/>
    <col min="7" max="8" width="18.140625" style="6" hidden="1" customWidth="1" outlineLevel="1"/>
    <col min="9" max="9" width="18.5703125" style="6" hidden="1" customWidth="1" outlineLevel="1"/>
    <col min="10" max="10" width="23.42578125" style="6" hidden="1" customWidth="1" outlineLevel="1"/>
    <col min="11" max="11" width="18.85546875" style="6" hidden="1" customWidth="1" outlineLevel="1"/>
    <col min="12" max="12" width="11.7109375" style="6" customWidth="1" collapsed="1"/>
    <col min="13" max="14" width="15" style="6" hidden="1" customWidth="1" outlineLevel="1"/>
    <col min="15" max="15" width="12.28515625" style="6" hidden="1" customWidth="1" outlineLevel="1"/>
    <col min="16" max="17" width="21.7109375" style="6" hidden="1" customWidth="1" outlineLevel="1"/>
    <col min="18" max="18" width="22.28515625" style="6" hidden="1" customWidth="1" outlineLevel="1"/>
    <col min="19" max="19" width="28.140625" style="6" hidden="1" customWidth="1" outlineLevel="1"/>
    <col min="20" max="21" width="8" style="6" hidden="1" customWidth="1" outlineLevel="1"/>
    <col min="22" max="27" width="9.140625" style="6" hidden="1" customWidth="1" outlineLevel="1"/>
    <col min="28" max="28" width="26.42578125" style="6" hidden="1" customWidth="1" outlineLevel="1"/>
    <col min="29" max="30" width="26.5703125" style="6" hidden="1" customWidth="1" outlineLevel="1"/>
    <col min="31" max="32" width="26.85546875" style="6" hidden="1" customWidth="1" outlineLevel="1"/>
    <col min="33" max="33" width="25.85546875" style="6" hidden="1" customWidth="1" outlineLevel="1"/>
    <col min="34" max="35" width="15" style="6" hidden="1" customWidth="1" outlineLevel="1"/>
    <col min="36" max="37" width="17.5703125" style="6" hidden="1" customWidth="1" outlineLevel="1"/>
    <col min="38" max="39" width="9.140625" style="6" hidden="1" customWidth="1" outlineLevel="1"/>
    <col min="40" max="40" width="19.140625" style="6" customWidth="1" collapsed="1"/>
    <col min="41" max="41" width="18.28515625" style="6" hidden="1" customWidth="1"/>
    <col min="42" max="42" width="20.140625" style="6" customWidth="1"/>
    <col min="43" max="43" width="14.85546875" style="6" customWidth="1"/>
    <col min="44" max="44" width="19.42578125" style="6" customWidth="1"/>
    <col min="45" max="46" width="17" style="6" customWidth="1"/>
    <col min="47" max="47" width="28.5703125" style="6" hidden="1" customWidth="1"/>
    <col min="48" max="48" width="23.28515625" style="6" hidden="1" customWidth="1"/>
    <col min="49" max="49" width="18.7109375" style="6" customWidth="1"/>
    <col min="50" max="50" width="16" style="6" hidden="1" customWidth="1"/>
    <col min="51" max="51" width="17" style="6" hidden="1" customWidth="1"/>
    <col min="52" max="52" width="20" style="6" hidden="1" customWidth="1"/>
    <col min="53" max="53" width="21.42578125" style="6" customWidth="1"/>
    <col min="54" max="54" width="22" style="6" hidden="1" customWidth="1" outlineLevel="1"/>
    <col min="55" max="55" width="22.42578125" style="6" hidden="1" customWidth="1" outlineLevel="1"/>
    <col min="56" max="56" width="21.7109375" style="6" hidden="1" customWidth="1" outlineLevel="1"/>
    <col min="57" max="57" width="14" style="6" hidden="1" customWidth="1" outlineLevel="1"/>
    <col min="58" max="58" width="22" style="6" hidden="1" customWidth="1" outlineLevel="1"/>
    <col min="59" max="59" width="22.42578125" style="6" hidden="1" customWidth="1" outlineLevel="1"/>
    <col min="60" max="60" width="21.7109375" style="6" hidden="1" customWidth="1" outlineLevel="1"/>
    <col min="61" max="61" width="14" style="6" hidden="1" customWidth="1" outlineLevel="1"/>
    <col min="62" max="62" width="28.5703125" style="6" customWidth="1" collapsed="1"/>
    <col min="63" max="63" width="23.140625" style="6" customWidth="1"/>
    <col min="64" max="64" width="16.42578125" style="6" customWidth="1"/>
    <col min="65" max="65" width="17" style="6" customWidth="1"/>
    <col min="66" max="66" width="26.28515625" style="6" hidden="1" customWidth="1"/>
    <col min="67" max="67" width="21.140625" style="6" hidden="1" customWidth="1"/>
    <col min="68" max="68" width="16" style="6" hidden="1" customWidth="1"/>
    <col min="69" max="69" width="17.5703125" style="6" hidden="1" customWidth="1"/>
    <col min="70" max="70" width="16.5703125" style="6" hidden="1" customWidth="1"/>
    <col min="71" max="71" width="16.42578125" style="6" hidden="1" customWidth="1"/>
    <col min="72" max="72" width="17.42578125" style="6" hidden="1" customWidth="1"/>
    <col min="73" max="74" width="16.42578125" style="6" hidden="1" customWidth="1"/>
    <col min="75" max="75" width="16.7109375" style="6" hidden="1" customWidth="1"/>
    <col min="76" max="76" width="16.28515625" style="6" customWidth="1"/>
    <col min="77" max="77" width="16.28515625" style="6" hidden="1" customWidth="1"/>
    <col min="78" max="78" width="16.42578125" style="6" hidden="1" customWidth="1"/>
    <col min="79" max="79" width="16.140625" style="6" customWidth="1"/>
    <col min="80" max="80" width="16.7109375" style="6" customWidth="1"/>
    <col min="81" max="81" width="17.5703125" style="6" customWidth="1"/>
    <col min="82" max="82" width="19.85546875" style="6" customWidth="1"/>
    <col min="83" max="83" width="16.140625" style="6" customWidth="1"/>
    <col min="84" max="84" width="20.140625" style="6" customWidth="1"/>
    <col min="85" max="85" width="21.7109375" style="6" customWidth="1"/>
    <col min="86" max="86" width="18.28515625" style="6" customWidth="1"/>
    <col min="87" max="87" width="18.7109375" style="6" customWidth="1"/>
    <col min="88" max="88" width="17.7109375" style="6" customWidth="1"/>
    <col min="89" max="89" width="18.85546875" style="6" customWidth="1"/>
    <col min="90" max="90" width="20.7109375" style="6" customWidth="1"/>
    <col min="91" max="91" width="17.42578125" style="6" customWidth="1"/>
    <col min="92" max="92" width="21" style="6" customWidth="1"/>
    <col min="93" max="93" width="15.85546875" style="6" hidden="1" customWidth="1"/>
    <col min="94" max="94" width="17.7109375" style="6" hidden="1" customWidth="1"/>
    <col min="95" max="95" width="16.140625" style="6" hidden="1" customWidth="1"/>
    <col min="96" max="96" width="18.140625" style="6" hidden="1" customWidth="1"/>
    <col min="97" max="97" width="19.140625" style="6" hidden="1" customWidth="1"/>
    <col min="98" max="98" width="20.7109375" style="6" hidden="1" customWidth="1"/>
    <col min="99" max="99" width="19.7109375" style="6" customWidth="1"/>
    <col min="100" max="100" width="29.7109375" style="6" customWidth="1"/>
    <col min="101" max="102" width="24.85546875" style="6" customWidth="1"/>
    <col min="103" max="108" width="23.7109375" style="6" customWidth="1"/>
    <col min="109" max="109" width="24.85546875" style="6" customWidth="1"/>
    <col min="110" max="110" width="29.7109375" style="6" bestFit="1" customWidth="1"/>
    <col min="111" max="112" width="33" style="6" customWidth="1"/>
    <col min="113" max="113" width="31.140625" style="6" hidden="1" customWidth="1"/>
    <col min="114" max="114" width="20.5703125" style="6" hidden="1" customWidth="1" outlineLevel="1"/>
    <col min="115" max="115" width="18.5703125" style="6" hidden="1" customWidth="1" outlineLevel="1"/>
    <col min="116" max="116" width="20.7109375" style="6" hidden="1" customWidth="1" outlineLevel="1"/>
    <col min="117" max="117" width="20.5703125" style="6" hidden="1" customWidth="1" outlineLevel="1"/>
    <col min="118" max="118" width="21" style="6" hidden="1" customWidth="1" outlineLevel="1"/>
    <col min="119" max="119" width="18.5703125" style="6" hidden="1" customWidth="1" outlineLevel="1"/>
    <col min="120" max="120" width="20.7109375" style="6" hidden="1" customWidth="1" outlineLevel="1"/>
    <col min="121" max="121" width="20.5703125" style="6" hidden="1" customWidth="1" outlineLevel="1"/>
    <col min="122" max="122" width="21" style="6" hidden="1" customWidth="1" outlineLevel="1"/>
    <col min="123" max="123" width="18.5703125" style="6" hidden="1" customWidth="1" outlineLevel="1"/>
    <col min="124" max="124" width="20.7109375" style="6" hidden="1" customWidth="1" outlineLevel="1"/>
    <col min="125" max="126" width="20.5703125" style="6" hidden="1" customWidth="1" outlineLevel="1"/>
    <col min="127" max="127" width="18.5703125" style="6" hidden="1" customWidth="1" outlineLevel="1"/>
    <col min="128" max="128" width="20.7109375" style="6" hidden="1" customWidth="1" outlineLevel="1"/>
    <col min="129" max="129" width="20.5703125" style="6" hidden="1" customWidth="1" outlineLevel="1"/>
    <col min="130" max="130" width="23.42578125" style="6" customWidth="1" collapsed="1"/>
    <col min="131" max="131" width="15.85546875" style="6" hidden="1" customWidth="1"/>
    <col min="132" max="132" width="20.5703125" style="6" hidden="1" customWidth="1"/>
    <col min="133" max="133" width="20.7109375" style="6" customWidth="1"/>
    <col min="134" max="134" width="17.85546875" style="6" customWidth="1"/>
    <col min="135" max="135" width="16.7109375" style="6" customWidth="1"/>
    <col min="136" max="136" width="17.42578125" style="6" customWidth="1"/>
    <col min="137" max="137" width="28.5703125" style="6" hidden="1" customWidth="1"/>
    <col min="138" max="138" width="17.42578125" style="6" hidden="1" customWidth="1"/>
    <col min="139" max="139" width="18.5703125" style="6" hidden="1" customWidth="1"/>
    <col min="140" max="140" width="16.7109375" style="6" hidden="1" customWidth="1"/>
    <col min="141" max="142" width="17.7109375" style="6" hidden="1" customWidth="1"/>
    <col min="143" max="143" width="23" style="6" customWidth="1"/>
    <col min="144" max="144" width="20.85546875" style="6" hidden="1" customWidth="1"/>
    <col min="145" max="145" width="75.7109375" style="1" customWidth="1"/>
    <col min="146" max="146" width="22" style="1" customWidth="1"/>
    <col min="147" max="16384" width="9.140625" style="1"/>
  </cols>
  <sheetData>
    <row r="1" spans="1:145" s="34" customFormat="1" x14ac:dyDescent="0.2">
      <c r="A1" s="7" t="s">
        <v>28</v>
      </c>
      <c r="L1" s="98" t="s">
        <v>170</v>
      </c>
      <c r="AN1" s="98" t="s">
        <v>127</v>
      </c>
      <c r="AZ1" s="34" t="s">
        <v>319</v>
      </c>
      <c r="BJ1" s="97" t="s">
        <v>320</v>
      </c>
      <c r="BK1" s="98"/>
      <c r="CL1" s="79"/>
      <c r="CM1" s="79"/>
      <c r="CN1" s="79"/>
      <c r="DA1" s="79"/>
      <c r="DB1" s="79"/>
      <c r="DC1" s="79"/>
      <c r="DD1" s="79"/>
      <c r="DF1" s="95"/>
      <c r="DZ1" s="97" t="s">
        <v>748</v>
      </c>
      <c r="EB1" s="79"/>
      <c r="EK1" s="65"/>
      <c r="EO1" s="58"/>
    </row>
    <row r="2" spans="1:145" s="41" customFormat="1" x14ac:dyDescent="0.2">
      <c r="A2" s="7"/>
      <c r="B2" s="40"/>
      <c r="C2" s="34">
        <v>4</v>
      </c>
      <c r="D2" s="34">
        <v>64</v>
      </c>
      <c r="E2" s="34">
        <v>8</v>
      </c>
      <c r="F2" s="34"/>
      <c r="G2" s="34">
        <v>55</v>
      </c>
      <c r="H2" s="34">
        <v>57</v>
      </c>
      <c r="I2" s="34"/>
      <c r="J2" s="34">
        <v>59</v>
      </c>
      <c r="K2" s="34"/>
      <c r="L2" s="98"/>
      <c r="M2" s="34"/>
      <c r="N2" s="34"/>
      <c r="O2" s="34"/>
      <c r="P2" s="34"/>
      <c r="Q2" s="34"/>
      <c r="R2" s="34"/>
      <c r="S2" s="34"/>
      <c r="T2" s="34"/>
      <c r="U2" s="34"/>
      <c r="V2" s="34"/>
      <c r="W2" s="34"/>
      <c r="X2" s="34"/>
      <c r="Y2" s="34"/>
      <c r="Z2" s="34"/>
      <c r="AA2" s="34"/>
      <c r="AB2" s="34"/>
      <c r="AC2" s="34"/>
      <c r="AD2" s="34"/>
      <c r="AE2" s="34"/>
      <c r="AF2" s="34"/>
      <c r="AG2" s="34"/>
      <c r="AH2" s="34"/>
      <c r="AI2" s="34"/>
      <c r="AJ2" s="34"/>
      <c r="AK2" s="34"/>
      <c r="AL2" s="34"/>
      <c r="AM2" s="34"/>
      <c r="AN2" s="98"/>
      <c r="AO2" s="34"/>
      <c r="AP2" s="34">
        <v>17</v>
      </c>
      <c r="AQ2" s="34"/>
      <c r="AR2" s="34">
        <v>61</v>
      </c>
      <c r="AS2" s="34">
        <v>16</v>
      </c>
      <c r="AT2" s="34"/>
      <c r="AU2" s="34"/>
      <c r="AV2" s="34"/>
      <c r="AW2" s="34">
        <v>9</v>
      </c>
      <c r="AX2" s="34"/>
      <c r="AY2" s="34"/>
      <c r="AZ2" s="34" t="s">
        <v>318</v>
      </c>
      <c r="BA2" s="34">
        <v>18</v>
      </c>
      <c r="BB2" s="34"/>
      <c r="BC2" s="34"/>
      <c r="BD2" s="34"/>
      <c r="BE2" s="34"/>
      <c r="BF2" s="34"/>
      <c r="BG2" s="34"/>
      <c r="BH2" s="34"/>
      <c r="BI2" s="34"/>
      <c r="BJ2" s="97"/>
      <c r="BK2" s="98"/>
      <c r="BL2" s="34">
        <v>20</v>
      </c>
      <c r="BM2" s="34"/>
      <c r="BN2" s="34"/>
      <c r="BO2" s="34"/>
      <c r="BP2" s="34"/>
      <c r="BQ2" s="34"/>
      <c r="BR2" s="34"/>
      <c r="BS2" s="34"/>
      <c r="BT2" s="34"/>
      <c r="BU2" s="34"/>
      <c r="BV2" s="34"/>
      <c r="BW2" s="34"/>
      <c r="BX2" s="34">
        <v>21</v>
      </c>
      <c r="BY2" s="34"/>
      <c r="BZ2" s="34"/>
      <c r="CA2" s="34"/>
      <c r="CB2" s="34"/>
      <c r="CC2" s="34"/>
      <c r="CD2" s="34"/>
      <c r="CE2" s="34"/>
      <c r="CF2" s="34"/>
      <c r="CG2" s="34"/>
      <c r="CH2" s="34"/>
      <c r="CI2" s="34"/>
      <c r="CJ2" s="34"/>
      <c r="CK2" s="34"/>
      <c r="CL2" s="79"/>
      <c r="CM2" s="79"/>
      <c r="CN2" s="79"/>
      <c r="CO2" s="34"/>
      <c r="CP2" s="34"/>
      <c r="CQ2" s="34"/>
      <c r="CR2" s="34"/>
      <c r="CS2" s="34"/>
      <c r="CT2" s="34"/>
      <c r="CU2" s="34"/>
      <c r="CV2" s="34"/>
      <c r="CW2" s="34"/>
      <c r="CX2" s="34"/>
      <c r="CY2" s="34">
        <v>33</v>
      </c>
      <c r="CZ2" s="34"/>
      <c r="DA2" s="79">
        <v>22</v>
      </c>
      <c r="DB2" s="79">
        <v>71</v>
      </c>
      <c r="DC2" s="79">
        <v>72</v>
      </c>
      <c r="DD2" s="79">
        <v>73</v>
      </c>
      <c r="DE2" s="34">
        <v>74</v>
      </c>
      <c r="DF2" s="95"/>
      <c r="DG2" s="34"/>
      <c r="DH2" s="34"/>
      <c r="DI2" s="34"/>
      <c r="DJ2" s="34"/>
      <c r="DK2" s="34"/>
      <c r="DL2" s="34"/>
      <c r="DM2" s="34"/>
      <c r="DN2" s="34"/>
      <c r="DO2" s="34"/>
      <c r="DP2" s="34"/>
      <c r="DQ2" s="34"/>
      <c r="DR2" s="34"/>
      <c r="DS2" s="34"/>
      <c r="DT2" s="34"/>
      <c r="DU2" s="34"/>
      <c r="DV2" s="34"/>
      <c r="DW2" s="34"/>
      <c r="DX2" s="34"/>
      <c r="DY2" s="34"/>
      <c r="DZ2" s="97"/>
      <c r="EA2" s="34"/>
      <c r="EB2" s="79"/>
      <c r="EC2" s="34"/>
      <c r="ED2" s="34"/>
      <c r="EE2" s="34"/>
      <c r="EF2" s="34">
        <v>61</v>
      </c>
      <c r="EG2" s="34"/>
      <c r="EH2" s="34"/>
      <c r="EI2" s="34"/>
      <c r="EJ2" s="34"/>
      <c r="EK2" s="65"/>
      <c r="EL2" s="34"/>
      <c r="EM2" s="34"/>
      <c r="EN2" s="34"/>
    </row>
    <row r="3" spans="1:145" s="9" customFormat="1" ht="15" customHeight="1" x14ac:dyDescent="0.2">
      <c r="A3" s="7" t="s">
        <v>29</v>
      </c>
      <c r="B3" s="4" t="s">
        <v>94</v>
      </c>
      <c r="C3" s="16" t="s">
        <v>163</v>
      </c>
      <c r="D3" s="13" t="s">
        <v>98</v>
      </c>
      <c r="E3" s="18"/>
      <c r="F3" s="13" t="s">
        <v>96</v>
      </c>
      <c r="G3" s="36" t="s">
        <v>156</v>
      </c>
      <c r="H3" s="13" t="s">
        <v>158</v>
      </c>
      <c r="I3" s="13" t="s">
        <v>157</v>
      </c>
      <c r="J3" s="13" t="s">
        <v>160</v>
      </c>
      <c r="K3" s="13" t="s">
        <v>161</v>
      </c>
      <c r="L3" s="16"/>
      <c r="M3" s="99" t="s">
        <v>155</v>
      </c>
      <c r="N3" s="99"/>
      <c r="O3" s="99"/>
      <c r="P3" s="99"/>
      <c r="Q3" s="99"/>
      <c r="R3" s="99"/>
      <c r="S3" s="99"/>
      <c r="T3" s="99"/>
      <c r="U3" s="99"/>
      <c r="V3" s="99"/>
      <c r="W3" s="99"/>
      <c r="X3" s="99"/>
      <c r="Y3" s="99"/>
      <c r="Z3" s="99"/>
      <c r="AA3" s="99"/>
      <c r="AB3" s="99"/>
      <c r="AC3" s="99"/>
      <c r="AD3" s="99"/>
      <c r="AE3" s="99"/>
      <c r="AF3" s="99"/>
      <c r="AG3" s="99"/>
      <c r="AH3" s="99"/>
      <c r="AI3" s="99"/>
      <c r="AJ3" s="99"/>
      <c r="AK3" s="99"/>
      <c r="AL3" s="99"/>
      <c r="AM3" s="99"/>
      <c r="AN3" s="13"/>
      <c r="AO3" s="16" t="s">
        <v>164</v>
      </c>
      <c r="AP3" s="16" t="s">
        <v>166</v>
      </c>
      <c r="AQ3" s="16" t="s">
        <v>168</v>
      </c>
      <c r="AR3" s="16" t="s">
        <v>171</v>
      </c>
      <c r="AS3" s="16" t="s">
        <v>184</v>
      </c>
      <c r="AT3" s="16" t="s">
        <v>288</v>
      </c>
      <c r="AU3" s="16" t="s">
        <v>290</v>
      </c>
      <c r="AV3" s="29" t="s">
        <v>784</v>
      </c>
      <c r="AW3" s="16" t="s">
        <v>294</v>
      </c>
      <c r="AX3" s="16" t="s">
        <v>296</v>
      </c>
      <c r="AY3" s="16" t="s">
        <v>297</v>
      </c>
      <c r="AZ3" s="16" t="s">
        <v>300</v>
      </c>
      <c r="BA3" s="16" t="s">
        <v>302</v>
      </c>
      <c r="BB3" s="18" t="s">
        <v>304</v>
      </c>
      <c r="BC3" s="18" t="s">
        <v>306</v>
      </c>
      <c r="BD3" s="18" t="s">
        <v>312</v>
      </c>
      <c r="BE3" s="18"/>
      <c r="BF3" s="18" t="s">
        <v>305</v>
      </c>
      <c r="BG3" s="18" t="s">
        <v>310</v>
      </c>
      <c r="BH3" s="18" t="s">
        <v>314</v>
      </c>
      <c r="BI3" s="18"/>
      <c r="BJ3" s="18"/>
      <c r="BK3" s="18" t="s">
        <v>322</v>
      </c>
      <c r="BL3" s="21" t="s">
        <v>326</v>
      </c>
      <c r="BM3" s="21" t="s">
        <v>328</v>
      </c>
      <c r="BN3" s="21" t="s">
        <v>329</v>
      </c>
      <c r="BO3" s="21" t="s">
        <v>332</v>
      </c>
      <c r="BP3" s="21" t="s">
        <v>362</v>
      </c>
      <c r="BQ3" s="21" t="s">
        <v>364</v>
      </c>
      <c r="BR3" s="21" t="s">
        <v>366</v>
      </c>
      <c r="BS3" s="29" t="s">
        <v>781</v>
      </c>
      <c r="BT3" s="21" t="s">
        <v>368</v>
      </c>
      <c r="BU3" s="21" t="s">
        <v>370</v>
      </c>
      <c r="BV3" s="21" t="s">
        <v>384</v>
      </c>
      <c r="BW3" s="21" t="s">
        <v>386</v>
      </c>
      <c r="BX3" s="21" t="s">
        <v>388</v>
      </c>
      <c r="BY3" s="21" t="s">
        <v>390</v>
      </c>
      <c r="BZ3" s="21" t="s">
        <v>393</v>
      </c>
      <c r="CA3" s="21" t="s">
        <v>395</v>
      </c>
      <c r="CB3" s="21" t="s">
        <v>411</v>
      </c>
      <c r="CC3" s="21" t="s">
        <v>412</v>
      </c>
      <c r="CD3" s="21" t="s">
        <v>427</v>
      </c>
      <c r="CE3" s="21" t="s">
        <v>490</v>
      </c>
      <c r="CF3" s="21" t="s">
        <v>492</v>
      </c>
      <c r="CG3" s="21" t="s">
        <v>500</v>
      </c>
      <c r="CH3" s="21" t="s">
        <v>494</v>
      </c>
      <c r="CI3" s="21" t="s">
        <v>505</v>
      </c>
      <c r="CJ3" s="21" t="s">
        <v>506</v>
      </c>
      <c r="CK3" s="21" t="s">
        <v>509</v>
      </c>
      <c r="CL3" s="80" t="s">
        <v>509</v>
      </c>
      <c r="CM3" s="80" t="s">
        <v>1001</v>
      </c>
      <c r="CN3" s="80" t="s">
        <v>999</v>
      </c>
      <c r="CO3" s="21" t="s">
        <v>511</v>
      </c>
      <c r="CP3" s="21" t="s">
        <v>513</v>
      </c>
      <c r="CQ3" s="21" t="s">
        <v>516</v>
      </c>
      <c r="CR3" s="21" t="s">
        <v>518</v>
      </c>
      <c r="CS3" s="21" t="s">
        <v>520</v>
      </c>
      <c r="CT3" s="21" t="s">
        <v>522</v>
      </c>
      <c r="CU3" s="21" t="s">
        <v>524</v>
      </c>
      <c r="CV3" s="24" t="s">
        <v>647</v>
      </c>
      <c r="CW3" s="24" t="s">
        <v>1006</v>
      </c>
      <c r="CX3" s="24" t="s">
        <v>1007</v>
      </c>
      <c r="CY3" s="80" t="s">
        <v>1008</v>
      </c>
      <c r="CZ3" s="24" t="s">
        <v>1018</v>
      </c>
      <c r="DA3" s="80" t="s">
        <v>1009</v>
      </c>
      <c r="DB3" s="80" t="s">
        <v>1011</v>
      </c>
      <c r="DC3" s="80" t="s">
        <v>1012</v>
      </c>
      <c r="DD3" s="80" t="s">
        <v>1015</v>
      </c>
      <c r="DE3" s="24" t="s">
        <v>1016</v>
      </c>
      <c r="DF3" s="96" t="s">
        <v>1056</v>
      </c>
      <c r="DG3" s="24" t="s">
        <v>648</v>
      </c>
      <c r="DH3" s="24" t="s">
        <v>649</v>
      </c>
      <c r="DI3" s="24" t="s">
        <v>650</v>
      </c>
      <c r="DJ3" s="27" t="s">
        <v>653</v>
      </c>
      <c r="DK3" s="27" t="s">
        <v>657</v>
      </c>
      <c r="DL3" s="27" t="s">
        <v>749</v>
      </c>
      <c r="DM3" s="27" t="s">
        <v>750</v>
      </c>
      <c r="DN3" s="27" t="s">
        <v>654</v>
      </c>
      <c r="DO3" s="27" t="s">
        <v>658</v>
      </c>
      <c r="DP3" s="27" t="s">
        <v>751</v>
      </c>
      <c r="DQ3" s="27" t="s">
        <v>752</v>
      </c>
      <c r="DR3" s="27" t="s">
        <v>655</v>
      </c>
      <c r="DS3" s="27" t="s">
        <v>659</v>
      </c>
      <c r="DT3" s="27" t="s">
        <v>753</v>
      </c>
      <c r="DU3" s="27" t="s">
        <v>754</v>
      </c>
      <c r="DV3" s="27" t="s">
        <v>656</v>
      </c>
      <c r="DW3" s="27" t="s">
        <v>660</v>
      </c>
      <c r="DX3" s="27" t="s">
        <v>755</v>
      </c>
      <c r="DY3" s="27" t="s">
        <v>756</v>
      </c>
      <c r="DZ3" s="33"/>
      <c r="EA3" s="27" t="s">
        <v>757</v>
      </c>
      <c r="EB3" s="80" t="s">
        <v>759</v>
      </c>
      <c r="EC3" s="80" t="s">
        <v>1004</v>
      </c>
      <c r="ED3" s="27" t="s">
        <v>762</v>
      </c>
      <c r="EE3" s="27" t="s">
        <v>764</v>
      </c>
      <c r="EF3" s="27" t="s">
        <v>766</v>
      </c>
      <c r="EG3" s="27" t="s">
        <v>768</v>
      </c>
      <c r="EH3" s="61" t="s">
        <v>770</v>
      </c>
      <c r="EI3" s="27" t="s">
        <v>772</v>
      </c>
      <c r="EJ3" s="27" t="s">
        <v>773</v>
      </c>
      <c r="EK3" s="66" t="s">
        <v>775</v>
      </c>
      <c r="EL3" s="66" t="s">
        <v>941</v>
      </c>
      <c r="EM3" s="27" t="s">
        <v>777</v>
      </c>
      <c r="EN3" s="27" t="s">
        <v>779</v>
      </c>
      <c r="EO3" s="58" t="s">
        <v>32</v>
      </c>
    </row>
    <row r="4" spans="1:145" s="5" customFormat="1" ht="15" customHeight="1" x14ac:dyDescent="0.2">
      <c r="A4" s="8" t="s">
        <v>30</v>
      </c>
      <c r="B4" s="3" t="s">
        <v>95</v>
      </c>
      <c r="C4" s="14" t="s">
        <v>93</v>
      </c>
      <c r="D4" s="14" t="s">
        <v>99</v>
      </c>
      <c r="E4" s="14" t="s">
        <v>321</v>
      </c>
      <c r="F4" s="14" t="s">
        <v>97</v>
      </c>
      <c r="G4" s="14" t="s">
        <v>0</v>
      </c>
      <c r="H4" s="14" t="s">
        <v>1</v>
      </c>
      <c r="I4" s="14" t="s">
        <v>159</v>
      </c>
      <c r="J4" s="14" t="s">
        <v>2</v>
      </c>
      <c r="K4" s="14" t="s">
        <v>162</v>
      </c>
      <c r="L4" s="14"/>
      <c r="M4" s="14" t="s">
        <v>128</v>
      </c>
      <c r="N4" s="14" t="s">
        <v>129</v>
      </c>
      <c r="O4" s="14" t="s">
        <v>130</v>
      </c>
      <c r="P4" s="14" t="s">
        <v>131</v>
      </c>
      <c r="Q4" s="14" t="s">
        <v>132</v>
      </c>
      <c r="R4" s="14" t="s">
        <v>133</v>
      </c>
      <c r="S4" s="14" t="s">
        <v>134</v>
      </c>
      <c r="T4" s="14" t="s">
        <v>135</v>
      </c>
      <c r="U4" s="14" t="s">
        <v>136</v>
      </c>
      <c r="V4" s="14" t="s">
        <v>137</v>
      </c>
      <c r="W4" s="14" t="s">
        <v>138</v>
      </c>
      <c r="X4" s="14" t="s">
        <v>139</v>
      </c>
      <c r="Y4" s="14" t="s">
        <v>140</v>
      </c>
      <c r="Z4" s="14" t="s">
        <v>141</v>
      </c>
      <c r="AA4" s="14" t="s">
        <v>142</v>
      </c>
      <c r="AB4" s="14" t="s">
        <v>143</v>
      </c>
      <c r="AC4" s="14" t="s">
        <v>144</v>
      </c>
      <c r="AD4" s="14" t="s">
        <v>145</v>
      </c>
      <c r="AE4" s="14" t="s">
        <v>146</v>
      </c>
      <c r="AF4" s="14" t="s">
        <v>147</v>
      </c>
      <c r="AG4" s="14" t="s">
        <v>148</v>
      </c>
      <c r="AH4" s="14" t="s">
        <v>149</v>
      </c>
      <c r="AI4" s="14" t="s">
        <v>150</v>
      </c>
      <c r="AJ4" s="14" t="s">
        <v>151</v>
      </c>
      <c r="AK4" s="14" t="s">
        <v>152</v>
      </c>
      <c r="AL4" s="14" t="s">
        <v>153</v>
      </c>
      <c r="AM4" s="14" t="s">
        <v>154</v>
      </c>
      <c r="AN4" s="14"/>
      <c r="AO4" s="14" t="s">
        <v>165</v>
      </c>
      <c r="AP4" s="14" t="s">
        <v>167</v>
      </c>
      <c r="AQ4" s="14" t="s">
        <v>169</v>
      </c>
      <c r="AR4" s="14" t="s">
        <v>172</v>
      </c>
      <c r="AS4" s="14" t="s">
        <v>185</v>
      </c>
      <c r="AT4" s="14" t="s">
        <v>289</v>
      </c>
      <c r="AU4" s="14" t="s">
        <v>291</v>
      </c>
      <c r="AV4" s="14" t="s">
        <v>785</v>
      </c>
      <c r="AW4" s="14" t="s">
        <v>786</v>
      </c>
      <c r="AX4" s="14" t="s">
        <v>295</v>
      </c>
      <c r="AY4" s="14" t="s">
        <v>298</v>
      </c>
      <c r="AZ4" s="14" t="s">
        <v>301</v>
      </c>
      <c r="BA4" s="14" t="s">
        <v>303</v>
      </c>
      <c r="BB4" s="14" t="s">
        <v>307</v>
      </c>
      <c r="BC4" s="14" t="s">
        <v>309</v>
      </c>
      <c r="BD4" s="14" t="s">
        <v>313</v>
      </c>
      <c r="BE4" s="14" t="s">
        <v>316</v>
      </c>
      <c r="BF4" s="14" t="s">
        <v>308</v>
      </c>
      <c r="BG4" s="14" t="s">
        <v>311</v>
      </c>
      <c r="BH4" s="14" t="s">
        <v>315</v>
      </c>
      <c r="BI4" s="14" t="s">
        <v>317</v>
      </c>
      <c r="BJ4" s="14"/>
      <c r="BK4" s="14" t="s">
        <v>323</v>
      </c>
      <c r="BL4" s="14" t="s">
        <v>327</v>
      </c>
      <c r="BM4" s="14" t="s">
        <v>330</v>
      </c>
      <c r="BN4" s="14" t="s">
        <v>331</v>
      </c>
      <c r="BO4" s="14" t="s">
        <v>333</v>
      </c>
      <c r="BP4" s="14" t="s">
        <v>363</v>
      </c>
      <c r="BQ4" s="14" t="s">
        <v>365</v>
      </c>
      <c r="BR4" s="14" t="s">
        <v>367</v>
      </c>
      <c r="BS4" s="14" t="s">
        <v>782</v>
      </c>
      <c r="BT4" s="14" t="s">
        <v>369</v>
      </c>
      <c r="BU4" s="14" t="s">
        <v>371</v>
      </c>
      <c r="BV4" s="14" t="s">
        <v>385</v>
      </c>
      <c r="BW4" s="14" t="s">
        <v>387</v>
      </c>
      <c r="BX4" s="14" t="s">
        <v>389</v>
      </c>
      <c r="BY4" s="14" t="s">
        <v>391</v>
      </c>
      <c r="BZ4" s="14" t="s">
        <v>394</v>
      </c>
      <c r="CA4" s="14" t="s">
        <v>396</v>
      </c>
      <c r="CB4" s="14" t="s">
        <v>33</v>
      </c>
      <c r="CC4" s="14" t="s">
        <v>413</v>
      </c>
      <c r="CD4" s="14" t="s">
        <v>428</v>
      </c>
      <c r="CE4" s="14" t="s">
        <v>491</v>
      </c>
      <c r="CF4" s="14" t="s">
        <v>493</v>
      </c>
      <c r="CG4" s="14" t="s">
        <v>501</v>
      </c>
      <c r="CH4" s="14" t="s">
        <v>495</v>
      </c>
      <c r="CI4" s="14" t="s">
        <v>508</v>
      </c>
      <c r="CJ4" s="14" t="s">
        <v>507</v>
      </c>
      <c r="CK4" s="14" t="s">
        <v>510</v>
      </c>
      <c r="CL4" s="14" t="s">
        <v>1003</v>
      </c>
      <c r="CM4" s="14" t="s">
        <v>1002</v>
      </c>
      <c r="CN4" s="14" t="s">
        <v>1000</v>
      </c>
      <c r="CO4" s="14" t="s">
        <v>512</v>
      </c>
      <c r="CP4" s="14" t="s">
        <v>514</v>
      </c>
      <c r="CQ4" s="14" t="s">
        <v>517</v>
      </c>
      <c r="CR4" s="14" t="s">
        <v>519</v>
      </c>
      <c r="CS4" s="14" t="s">
        <v>521</v>
      </c>
      <c r="CT4" s="14" t="s">
        <v>523</v>
      </c>
      <c r="CU4" s="14" t="s">
        <v>525</v>
      </c>
      <c r="CV4" s="14" t="s">
        <v>645</v>
      </c>
      <c r="CW4" s="14" t="s">
        <v>638</v>
      </c>
      <c r="CX4" s="14" t="s">
        <v>639</v>
      </c>
      <c r="CY4" s="14" t="s">
        <v>640</v>
      </c>
      <c r="CZ4" s="14" t="s">
        <v>644</v>
      </c>
      <c r="DA4" s="14" t="s">
        <v>641</v>
      </c>
      <c r="DB4" s="14" t="s">
        <v>1010</v>
      </c>
      <c r="DC4" s="14" t="s">
        <v>1013</v>
      </c>
      <c r="DD4" s="14" t="s">
        <v>1014</v>
      </c>
      <c r="DE4" s="14" t="s">
        <v>1017</v>
      </c>
      <c r="DF4" s="14" t="s">
        <v>1057</v>
      </c>
      <c r="DG4" s="14" t="s">
        <v>642</v>
      </c>
      <c r="DH4" s="14" t="s">
        <v>643</v>
      </c>
      <c r="DI4" s="14" t="s">
        <v>646</v>
      </c>
      <c r="DJ4" s="14" t="s">
        <v>662</v>
      </c>
      <c r="DK4" s="14" t="s">
        <v>661</v>
      </c>
      <c r="DL4" s="14" t="s">
        <v>651</v>
      </c>
      <c r="DM4" s="14" t="s">
        <v>652</v>
      </c>
      <c r="DN4" s="14" t="s">
        <v>663</v>
      </c>
      <c r="DO4" s="14" t="s">
        <v>666</v>
      </c>
      <c r="DP4" s="14" t="s">
        <v>651</v>
      </c>
      <c r="DQ4" s="14" t="s">
        <v>652</v>
      </c>
      <c r="DR4" s="14" t="s">
        <v>664</v>
      </c>
      <c r="DS4" s="14" t="s">
        <v>667</v>
      </c>
      <c r="DT4" s="14" t="s">
        <v>651</v>
      </c>
      <c r="DU4" s="14" t="s">
        <v>652</v>
      </c>
      <c r="DV4" s="14" t="s">
        <v>665</v>
      </c>
      <c r="DW4" s="14" t="s">
        <v>668</v>
      </c>
      <c r="DX4" s="14" t="s">
        <v>651</v>
      </c>
      <c r="DY4" s="14" t="s">
        <v>652</v>
      </c>
      <c r="DZ4" s="14"/>
      <c r="EA4" s="14" t="s">
        <v>758</v>
      </c>
      <c r="EB4" s="14" t="s">
        <v>760</v>
      </c>
      <c r="EC4" s="14" t="s">
        <v>1005</v>
      </c>
      <c r="ED4" s="14" t="s">
        <v>763</v>
      </c>
      <c r="EE4" s="14" t="s">
        <v>765</v>
      </c>
      <c r="EF4" s="14" t="s">
        <v>767</v>
      </c>
      <c r="EG4" s="14" t="s">
        <v>769</v>
      </c>
      <c r="EH4" s="14" t="s">
        <v>771</v>
      </c>
      <c r="EI4" s="14" t="s">
        <v>769</v>
      </c>
      <c r="EJ4" s="14" t="s">
        <v>774</v>
      </c>
      <c r="EK4" s="14" t="s">
        <v>776</v>
      </c>
      <c r="EL4" s="14" t="s">
        <v>942</v>
      </c>
      <c r="EM4" s="14" t="s">
        <v>778</v>
      </c>
      <c r="EN4" s="14" t="s">
        <v>780</v>
      </c>
      <c r="EO4" s="5" t="s">
        <v>940</v>
      </c>
    </row>
    <row r="5" spans="1:145" x14ac:dyDescent="0.2">
      <c r="A5" s="7" t="str">
        <f>"Execução "&amp;ROW()-4</f>
        <v>Execução 1</v>
      </c>
      <c r="B5" s="42"/>
      <c r="C5" s="43" t="str">
        <f>IF(IFERROR(INDEX(Consulta!$A:$DS,MATCH('MM01'!$B5,Consulta!$C:$C,0),'MM01'!C$2),"")=0,"",IFERROR(INDEX(Consulta!$A:$DS,MATCH('MM01'!$B5,Consulta!$C:$C,0),'MM01'!C$2),""))</f>
        <v/>
      </c>
      <c r="D5" s="43" t="str">
        <f>IF(IFERROR(INDEX(Consulta!$A:$DS,MATCH('MM01'!$B5,Consulta!$C:$C,0),'MM01'!D$2),"")=0,"",IFERROR(INDEX(Consulta!$A:$DS,MATCH('MM01'!$B5,Consulta!$C:$C,0),'MM01'!D$2),""))</f>
        <v/>
      </c>
      <c r="E5" s="43" t="str">
        <f>IF(IFERROR(INDEX(Consulta!$A:$DS,MATCH('MM01'!$B5,Consulta!$C:$C,0),'MM01'!E$2),"")=0,"",IFERROR(INDEX(Consulta!$A:$DS,MATCH('MM01'!$B5,Consulta!$C:$C,0),'MM01'!E$2),""))</f>
        <v/>
      </c>
      <c r="F5" s="44" t="s">
        <v>100</v>
      </c>
      <c r="G5" s="49" t="str">
        <f>IF(IFERROR(INDEX(Consulta!$A:$DS,MATCH('MM01'!$B5,Consulta!$C:$C,0),'MM01'!G$2),"")=0,"",IFERROR(INDEX(Consulta!$A:$DS,MATCH('MM01'!$B5,Consulta!$C:$C,0),'MM01'!G$2),""))</f>
        <v/>
      </c>
      <c r="H5" s="49" t="str">
        <f>IF(IFERROR(INDEX(Consulta!$A:$DS,MATCH('MM01'!$B5,Consulta!$C:$C,0),'MM01'!H$2),"")=0,"",IFERROR(INDEX(Consulta!$A:$DS,MATCH('MM01'!$B5,Consulta!$C:$C,0),'MM01'!H$2),""))</f>
        <v/>
      </c>
      <c r="I5" s="49" t="str">
        <f>G5</f>
        <v/>
      </c>
      <c r="J5" s="49" t="str">
        <f>IF(IFERROR(INDEX(Consulta!$A:$DS,MATCH('MM01'!$B5,Consulta!$C:$C,0),'MM01'!J$2),"")=0,"",IFERROR(INDEX(Consulta!$A:$DS,MATCH('MM01'!$B5,Consulta!$C:$C,0),'MM01'!J$2),""))</f>
        <v/>
      </c>
      <c r="K5" s="49" t="str">
        <f>RIGHT(G5,3)</f>
        <v/>
      </c>
      <c r="M5" s="45" t="s">
        <v>101</v>
      </c>
      <c r="N5" s="45" t="s">
        <v>102</v>
      </c>
      <c r="O5" s="45" t="s">
        <v>103</v>
      </c>
      <c r="P5" s="45" t="s">
        <v>104</v>
      </c>
      <c r="Q5" s="45" t="s">
        <v>105</v>
      </c>
      <c r="R5" s="45" t="s">
        <v>106</v>
      </c>
      <c r="S5" s="45" t="s">
        <v>107</v>
      </c>
      <c r="T5" s="45"/>
      <c r="U5" s="45"/>
      <c r="V5" s="45"/>
      <c r="W5" s="45"/>
      <c r="X5" s="45" t="s">
        <v>112</v>
      </c>
      <c r="Y5" s="45" t="s">
        <v>113</v>
      </c>
      <c r="Z5" s="45" t="s">
        <v>114</v>
      </c>
      <c r="AA5" s="45" t="s">
        <v>115</v>
      </c>
      <c r="AB5" s="45" t="s">
        <v>117</v>
      </c>
      <c r="AC5" s="45" t="s">
        <v>118</v>
      </c>
      <c r="AD5" s="45" t="s">
        <v>119</v>
      </c>
      <c r="AE5" s="45" t="s">
        <v>120</v>
      </c>
      <c r="AF5" s="45" t="s">
        <v>121</v>
      </c>
      <c r="AG5" s="45" t="s">
        <v>122</v>
      </c>
      <c r="AH5" s="45" t="s">
        <v>123</v>
      </c>
      <c r="AI5" s="45" t="s">
        <v>124</v>
      </c>
      <c r="AJ5" s="45" t="s">
        <v>125</v>
      </c>
      <c r="AK5" s="45" t="s">
        <v>126</v>
      </c>
      <c r="AL5" s="45"/>
      <c r="AM5" s="45"/>
      <c r="AO5" s="44" t="s">
        <v>100</v>
      </c>
      <c r="AP5" s="43" t="str">
        <f>IF(IFERROR(INDEX(Consulta!$A:$DS,MATCH('MM01'!$B5,Consulta!$C:$C,0),'MM01'!AP$2),"")=0,"",IFERROR(INDEX(Consulta!$A:$DS,MATCH('MM01'!$B5,Consulta!$C:$C,0),'MM01'!AP$2),""))</f>
        <v/>
      </c>
      <c r="AQ5" s="45"/>
      <c r="AR5" s="43" t="str">
        <f>IF(IFERROR(INDEX(Consulta!$A:$DS,MATCH('MM01'!$B5,Consulta!$C:$C,0),'MM01'!AR$2),"")=0,"",IFERROR(INDEX(Consulta!$A:$DS,MATCH('MM01'!$B5,Consulta!$C:$C,0),'MM01'!AR$2),""))</f>
        <v/>
      </c>
      <c r="AS5" s="43" t="str">
        <f>IF(IFERROR(INDEX(Consulta!$A:$DS,MATCH('MM01'!$B5,Consulta!$C:$C,0),'MM01'!AS$2),"")=0,"",IF(AR5="68",5102,IFERROR(INDEX(Consulta!$A:$DS,MATCH('MM01'!$B5,Consulta!$C:$C,0),'MM01'!AS$2),"")))</f>
        <v/>
      </c>
      <c r="AT5" s="45"/>
      <c r="AU5" s="46" t="str">
        <f ca="1">IF(AT5&lt;&gt;0,TEXT(TODAY(),"DD.MM.AAAA"),"")</f>
        <v/>
      </c>
      <c r="AV5" s="47" t="s">
        <v>783</v>
      </c>
      <c r="AW5" s="43" t="str">
        <f>IF(IFERROR(INDEX(Consulta!$A:$DS,MATCH('MM01'!$B5,Consulta!$C:$C,0),'MM01'!AW$2),"")=0,"",IFERROR(ROUND(INDEX(Consulta!$A:$DS,MATCH('MM01'!$B5,Consulta!$C:$C,0),'MM01'!AW$2),3),""))</f>
        <v/>
      </c>
      <c r="AX5" s="43" t="str">
        <f>IFERROR(IF(AW5&lt;&gt;0,ROUND(AW5,3),""),"")</f>
        <v/>
      </c>
      <c r="AY5" s="48" t="s">
        <v>299</v>
      </c>
      <c r="AZ5" s="48"/>
      <c r="BA5" s="43" t="str">
        <f>IF(IFERROR(INDEX(Consulta!$A:$DS,MATCH('MM01'!$B5,Consulta!$C:$C,0),'MM01'!BA$2),"")=0,"",IFERROR(INDEX(Consulta!$A:$DS,MATCH('MM01'!$B5,Consulta!$C:$C,0),'MM01'!BA$2),""))</f>
        <v/>
      </c>
      <c r="BB5" s="43" t="str">
        <f>IFERROR(ROUND(AW5,3)*1000,"")</f>
        <v/>
      </c>
      <c r="BC5" s="43" t="str">
        <f>IF(BB5="","",AY5)</f>
        <v/>
      </c>
      <c r="BD5" s="43" t="str">
        <f>IF(BB5="","",IF(BB5&lt;100000,1000,100))</f>
        <v/>
      </c>
      <c r="BE5" s="43" t="str">
        <f>AO5</f>
        <v>M</v>
      </c>
      <c r="BF5" s="43" t="str">
        <f>IF(BH5="","",IF(D5&lt;&gt;"KMAT",IF(BH5&lt;100000,1000,100),""))</f>
        <v/>
      </c>
      <c r="BG5" s="43" t="str">
        <f>IF(BF5="","",IF(D5&lt;&gt;"KMAT","PC",""))</f>
        <v/>
      </c>
      <c r="BH5" s="43" t="str">
        <f>IF(D5&lt;&gt;"KMAT",E5,"")</f>
        <v/>
      </c>
      <c r="BI5" s="43" t="str">
        <f>AO5</f>
        <v>M</v>
      </c>
      <c r="BK5" s="45" t="s">
        <v>789</v>
      </c>
      <c r="BL5" s="43" t="str">
        <f>IF(IFERROR(INDEX(Consulta!$A:$DS,MATCH('MM01'!$B5,Consulta!$C:$C,0),'MM01'!BL$2),"")=0,"",IFERROR(INDEX(Consulta!$A:$DS,MATCH('MM01'!$B5,Consulta!$C:$C,0),'MM01'!BL$2),""))</f>
        <v/>
      </c>
      <c r="BM5" s="45"/>
      <c r="BN5" s="46" t="str">
        <f ca="1">IF(BM5&lt;&gt;0,TEXT(TODAY(),"DD.MM.AAAA"),"")</f>
        <v/>
      </c>
      <c r="BO5" s="49" t="str">
        <f>G5</f>
        <v/>
      </c>
      <c r="BP5" s="50">
        <v>1</v>
      </c>
      <c r="BQ5" s="50" t="s">
        <v>194</v>
      </c>
      <c r="BR5" s="50" t="s">
        <v>194</v>
      </c>
      <c r="BS5" s="50" t="s">
        <v>783</v>
      </c>
      <c r="BT5" s="44">
        <v>1</v>
      </c>
      <c r="BU5" s="44" t="s">
        <v>372</v>
      </c>
      <c r="BV5" s="50" t="s">
        <v>197</v>
      </c>
      <c r="BW5" s="50" t="s">
        <v>197</v>
      </c>
      <c r="BX5" s="43" t="str">
        <f>IF(IFERROR(INDEX(Consulta!$A:$DS,MATCH('MM01'!$B5,Consulta!$C:$C,0),'MM01'!BX$2),"")=0,"",IFERROR(INDEX(Consulta!$A:$DS,MATCH('MM01'!$B5,Consulta!$C:$C,0),'MM01'!BX$2),""))</f>
        <v/>
      </c>
      <c r="BY5" s="44" t="s">
        <v>392</v>
      </c>
      <c r="BZ5" s="50">
        <v>0</v>
      </c>
      <c r="CA5" s="45" t="s">
        <v>403</v>
      </c>
      <c r="CB5" s="45" t="s">
        <v>84</v>
      </c>
      <c r="CC5" s="43" t="str">
        <f>RIGHT(G5,3)</f>
        <v/>
      </c>
      <c r="CD5" s="45" t="s">
        <v>430</v>
      </c>
      <c r="CE5" s="45">
        <v>1</v>
      </c>
      <c r="CF5" s="45" t="s">
        <v>496</v>
      </c>
      <c r="CG5" s="45"/>
      <c r="CH5" s="44"/>
      <c r="CI5" s="49" t="str">
        <f>H5</f>
        <v/>
      </c>
      <c r="CJ5" s="49" t="str">
        <f>H5</f>
        <v/>
      </c>
      <c r="CK5" s="45"/>
      <c r="CL5" s="44">
        <v>5</v>
      </c>
      <c r="CM5" s="44">
        <v>1</v>
      </c>
      <c r="CN5" s="44">
        <v>1</v>
      </c>
      <c r="CO5" s="44">
        <v>1</v>
      </c>
      <c r="CP5" s="50" t="s">
        <v>515</v>
      </c>
      <c r="CQ5" s="44" t="s">
        <v>372</v>
      </c>
      <c r="CR5" s="44">
        <v>2</v>
      </c>
      <c r="CS5" s="44">
        <v>42</v>
      </c>
      <c r="CT5" s="44">
        <v>10</v>
      </c>
      <c r="CU5" s="43" t="str">
        <f>"K00_P_PURL_"&amp;G5</f>
        <v>K00_P_PURL_</v>
      </c>
      <c r="CV5" s="45">
        <v>5000</v>
      </c>
      <c r="CW5" s="43" t="str">
        <f t="shared" ref="CW5:CW36" si="0">IF(OR(D5="MFER",D5="KMAT"),"INITIAL",IF(OR(D5="FERT",D5="HAWZ"),"0000999999",""))</f>
        <v/>
      </c>
      <c r="CX5" s="43" t="str">
        <f t="shared" ref="CX5:CX36" si="1">IF(OR(D5="MFER",D5="KMAT"),"INIT",IF(OR(D5="FERT",D5="HAWZ"),"999999",""))</f>
        <v/>
      </c>
      <c r="CY5" s="43" t="str">
        <f>IF(IFERROR(INDEX(Consulta!$A:$DS,MATCH('MM01'!$B5,Consulta!$C:$C,0),'MM01'!CY$2),"")=0,"",IFERROR(INDEX(Consulta!$A:$DS,MATCH('MM01'!$B5,Consulta!$C:$C,0),'MM01'!CY$2),""))</f>
        <v/>
      </c>
      <c r="CZ5" s="43" t="str">
        <f t="shared" ref="CZ5:CZ36" si="2">IF(E5=0,"",E5)</f>
        <v/>
      </c>
      <c r="DA5" s="43" t="str">
        <f>IF(IFERROR(INDEX(Consulta!$A:$DS,MATCH('MM01'!$B5,Consulta!$C:$C,0),'MM01'!DA$2),"")=0,"",IFERROR(INDEX(Consulta!$A:$DS,MATCH('MM01'!$B5,Consulta!$C:$C,0),'MM01'!DA$2),""))</f>
        <v/>
      </c>
      <c r="DB5" s="43" t="str">
        <f>IF(IFERROR(INDEX(Consulta!$A:$DS,MATCH('MM01'!$B5,Consulta!$C:$C,0),'MM01'!DB$2),"")=0,"",IFERROR(INDEX(Consulta!$A:$DS,MATCH('MM01'!$B5,Consulta!$C:$C,0),'MM01'!DB$2),""))</f>
        <v/>
      </c>
      <c r="DC5" s="43" t="str">
        <f>IF(IFERROR(INDEX(Consulta!$A:$DS,MATCH('MM01'!$B5,Consulta!$C:$C,0),'MM01'!DC$2),"")=0,"",IFERROR(INDEX(Consulta!$A:$DS,MATCH('MM01'!$B5,Consulta!$C:$C,0),'MM01'!DC$2),""))</f>
        <v/>
      </c>
      <c r="DD5" s="43" t="str">
        <f>IF(IFERROR(INDEX(Consulta!$A:$DS,MATCH('MM01'!$B5,Consulta!$C:$C,0),'MM01'!DD$2),"")=0,"",IFERROR(INDEX(Consulta!$A:$DS,MATCH('MM01'!$B5,Consulta!$C:$C,0),'MM01'!DD$2),""))</f>
        <v/>
      </c>
      <c r="DE5" s="43" t="str">
        <f>IF(IFERROR(INDEX(Consulta!$A:$DS,MATCH('MM01'!$B5,Consulta!$C:$C,0),'MM01'!DE$2),"")=0,"",IFERROR(INDEX(Consulta!$A:$DS,MATCH('MM01'!$B5,Consulta!$C:$C,0),'MM01'!DE$2),""))</f>
        <v/>
      </c>
      <c r="DF5" s="100">
        <v>3458</v>
      </c>
      <c r="DG5" s="45">
        <v>0</v>
      </c>
      <c r="DH5" s="45">
        <v>0</v>
      </c>
      <c r="DI5" s="43" t="str">
        <f t="shared" ref="DI5:DI36" si="3">IFERROR(ROUND(AW5,2),"")</f>
        <v/>
      </c>
      <c r="DJ5" s="43">
        <f>IF(DK5&lt;&gt;0,1,"")</f>
        <v>1</v>
      </c>
      <c r="DK5" s="57" t="s">
        <v>738</v>
      </c>
      <c r="DL5" s="43" t="str">
        <f ca="1">IF(DK5&lt;&gt;0,TEXT(TODAY(),"dd.mm.aaaa"),"")</f>
        <v>18.02.2022</v>
      </c>
      <c r="DM5" s="43" t="str">
        <f>IF(DK5&lt;&gt;0,"31.12.9999","")</f>
        <v>31.12.9999</v>
      </c>
      <c r="DN5" s="43" t="str">
        <f>IF(DO5&lt;&gt;0,2,"")</f>
        <v/>
      </c>
      <c r="DO5" s="57"/>
      <c r="DP5" s="43" t="str">
        <f ca="1">IF(DO5&lt;&gt;0,TEXT(TODAY(),"dd.mm.aaaa"),"")</f>
        <v/>
      </c>
      <c r="DQ5" s="43" t="str">
        <f>IF(DO5&lt;&gt;0,"31.12.9999","")</f>
        <v/>
      </c>
      <c r="DR5" s="43" t="str">
        <f>IF(DS5&lt;&gt;0,3,"")</f>
        <v/>
      </c>
      <c r="DS5" s="57"/>
      <c r="DT5" s="43" t="str">
        <f ca="1">IF(DS5&lt;&gt;0,TEXT(TODAY(),"dd.mm.aaaa"),"")</f>
        <v/>
      </c>
      <c r="DU5" s="43" t="str">
        <f>IF(DS5&lt;&gt;0,"31.12.9999","")</f>
        <v/>
      </c>
      <c r="DV5" s="43" t="str">
        <f>IF(DW5&lt;&gt;0,4,"")</f>
        <v/>
      </c>
      <c r="DW5" s="57"/>
      <c r="DX5" s="43" t="str">
        <f ca="1">IF(DW5&lt;&gt;0,TEXT(TODAY(),"dd.mm.aaaa"),"")</f>
        <v/>
      </c>
      <c r="DY5" s="43" t="str">
        <f>IF(DW5&lt;&gt;0,"31.12.9999","")</f>
        <v/>
      </c>
      <c r="EA5" s="44">
        <v>0</v>
      </c>
      <c r="EB5" s="44" t="s">
        <v>761</v>
      </c>
      <c r="EC5" s="44">
        <v>30</v>
      </c>
      <c r="ED5" s="43">
        <f t="shared" ref="ED5:ED36" si="4">IF(OR(AO5="M",AO5="KG"),0.01,1)</f>
        <v>0.01</v>
      </c>
      <c r="EE5" s="43" t="str">
        <f t="shared" ref="EE5:EE36" si="5">AO5</f>
        <v>M</v>
      </c>
      <c r="EF5" s="43" t="str">
        <f>IF(IFERROR(INDEX(Consulta!$A:$DS,MATCH('MM01'!$B5,Consulta!$C:$C,0),'MM01'!EF$2),"")=0,"7925",IF(IFERROR(INDEX(Consulta!$A:$DS,MATCH('MM01'!$B5,Consulta!$C:$C,0),'MM01'!EF$2),"")="68","7910","7925"))</f>
        <v>7925</v>
      </c>
      <c r="EG5" s="44">
        <v>100</v>
      </c>
      <c r="EH5" s="62">
        <v>1</v>
      </c>
      <c r="EI5" s="43">
        <f>EG5</f>
        <v>100</v>
      </c>
      <c r="EJ5" s="44">
        <v>1</v>
      </c>
      <c r="EK5" s="44">
        <v>0</v>
      </c>
      <c r="EL5" s="44" t="s">
        <v>859</v>
      </c>
      <c r="EM5" s="45">
        <v>0</v>
      </c>
      <c r="EN5" s="43">
        <f>CV5</f>
        <v>5000</v>
      </c>
      <c r="EO5" s="68" t="s">
        <v>1055</v>
      </c>
    </row>
    <row r="6" spans="1:145" x14ac:dyDescent="0.2">
      <c r="A6" s="7" t="str">
        <f t="shared" ref="A6:A54" si="6">"Execução "&amp;ROW()-4</f>
        <v>Execução 2</v>
      </c>
      <c r="B6" s="42"/>
      <c r="C6" s="43" t="str">
        <f>IF(IFERROR(INDEX(Consulta!$A:$DS,MATCH('MM01'!$B6,Consulta!$C:$C,0),'MM01'!C$2),"")=0,"",IFERROR(INDEX(Consulta!$A:$DS,MATCH('MM01'!$B6,Consulta!$C:$C,0),'MM01'!C$2),""))</f>
        <v/>
      </c>
      <c r="D6" s="43" t="str">
        <f>IF(IFERROR(INDEX(Consulta!$A:$DS,MATCH('MM01'!$B6,Consulta!$C:$C,0),'MM01'!D$2),"")=0,"",IFERROR(INDEX(Consulta!$A:$DS,MATCH('MM01'!$B6,Consulta!$C:$C,0),'MM01'!D$2),""))</f>
        <v/>
      </c>
      <c r="E6" s="43" t="str">
        <f>IF(IFERROR(INDEX(Consulta!$A:$DS,MATCH('MM01'!$B6,Consulta!$C:$C,0),'MM01'!E$2),"")=0,"",IFERROR(INDEX(Consulta!$A:$DS,MATCH('MM01'!$B6,Consulta!$C:$C,0),'MM01'!E$2),""))</f>
        <v/>
      </c>
      <c r="F6" s="44" t="s">
        <v>100</v>
      </c>
      <c r="G6" s="49" t="str">
        <f>IF(IFERROR(INDEX(Consulta!$A:$DS,MATCH('MM01'!$B6,Consulta!$C:$C,0),'MM01'!G$2),"")=0,"",IFERROR(INDEX(Consulta!$A:$DS,MATCH('MM01'!$B6,Consulta!$C:$C,0),'MM01'!G$2),""))</f>
        <v/>
      </c>
      <c r="H6" s="49" t="str">
        <f>IF(IFERROR(INDEX(Consulta!$A:$DS,MATCH('MM01'!$B6,Consulta!$C:$C,0),'MM01'!H$2),"")=0,"",IFERROR(INDEX(Consulta!$A:$DS,MATCH('MM01'!$B6,Consulta!$C:$C,0),'MM01'!H$2),""))</f>
        <v/>
      </c>
      <c r="I6" s="49" t="str">
        <f t="shared" ref="I6:I54" si="7">G6</f>
        <v/>
      </c>
      <c r="J6" s="49" t="str">
        <f>IF(IFERROR(INDEX(Consulta!$A:$DS,MATCH('MM01'!$B6,Consulta!$C:$C,0),'MM01'!J$2),"")=0,"",IFERROR(INDEX(Consulta!$A:$DS,MATCH('MM01'!$B6,Consulta!$C:$C,0),'MM01'!J$2),""))</f>
        <v/>
      </c>
      <c r="K6" s="49" t="str">
        <f t="shared" ref="K6:K54" si="8">RIGHT(G6,3)</f>
        <v/>
      </c>
      <c r="M6" s="45" t="s">
        <v>101</v>
      </c>
      <c r="N6" s="45" t="s">
        <v>102</v>
      </c>
      <c r="O6" s="45" t="s">
        <v>103</v>
      </c>
      <c r="P6" s="45" t="s">
        <v>104</v>
      </c>
      <c r="Q6" s="45" t="s">
        <v>105</v>
      </c>
      <c r="R6" s="45" t="s">
        <v>106</v>
      </c>
      <c r="S6" s="45" t="s">
        <v>107</v>
      </c>
      <c r="T6" s="45"/>
      <c r="U6" s="45"/>
      <c r="V6" s="45"/>
      <c r="W6" s="45"/>
      <c r="X6" s="45" t="s">
        <v>112</v>
      </c>
      <c r="Y6" s="45" t="s">
        <v>113</v>
      </c>
      <c r="Z6" s="45" t="s">
        <v>114</v>
      </c>
      <c r="AA6" s="45" t="s">
        <v>115</v>
      </c>
      <c r="AB6" s="45" t="s">
        <v>117</v>
      </c>
      <c r="AC6" s="45" t="s">
        <v>118</v>
      </c>
      <c r="AD6" s="45" t="s">
        <v>119</v>
      </c>
      <c r="AE6" s="45" t="s">
        <v>120</v>
      </c>
      <c r="AF6" s="45" t="s">
        <v>121</v>
      </c>
      <c r="AG6" s="45" t="s">
        <v>122</v>
      </c>
      <c r="AH6" s="45" t="s">
        <v>123</v>
      </c>
      <c r="AI6" s="45" t="s">
        <v>124</v>
      </c>
      <c r="AJ6" s="45" t="s">
        <v>125</v>
      </c>
      <c r="AK6" s="45" t="s">
        <v>126</v>
      </c>
      <c r="AL6" s="45"/>
      <c r="AM6" s="45"/>
      <c r="AO6" s="44" t="s">
        <v>100</v>
      </c>
      <c r="AP6" s="43" t="str">
        <f>IF(IFERROR(INDEX(Consulta!$A:$DS,MATCH('MM01'!$B6,Consulta!$C:$C,0),'MM01'!AP$2),"")=0,"",IFERROR(INDEX(Consulta!$A:$DS,MATCH('MM01'!$B6,Consulta!$C:$C,0),'MM01'!AP$2),""))</f>
        <v/>
      </c>
      <c r="AQ6" s="45"/>
      <c r="AR6" s="43" t="str">
        <f>IF(IFERROR(INDEX(Consulta!$A:$DS,MATCH('MM01'!$B6,Consulta!$C:$C,0),'MM01'!AR$2),"")=0,"",IFERROR(INDEX(Consulta!$A:$DS,MATCH('MM01'!$B6,Consulta!$C:$C,0),'MM01'!AR$2),""))</f>
        <v/>
      </c>
      <c r="AS6" s="43" t="str">
        <f>IF(IFERROR(INDEX(Consulta!$A:$DS,MATCH('MM01'!$B6,Consulta!$C:$C,0),'MM01'!AS$2),"")=0,"",IF(AR6="68",5102,IFERROR(INDEX(Consulta!$A:$DS,MATCH('MM01'!$B6,Consulta!$C:$C,0),'MM01'!AS$2),"")))</f>
        <v/>
      </c>
      <c r="AT6" s="45"/>
      <c r="AU6" s="46" t="str">
        <f t="shared" ref="AU6:AU54" ca="1" si="9">IF(AT6&lt;&gt;0,TEXT(TODAY(),"DD.MM.AAAA"),"")</f>
        <v/>
      </c>
      <c r="AV6" s="47" t="s">
        <v>783</v>
      </c>
      <c r="AW6" s="43" t="str">
        <f>IF(IFERROR(INDEX(Consulta!$A:$DS,MATCH('MM01'!$B6,Consulta!$C:$C,0),'MM01'!AW$2),"")=0,"",IFERROR(ROUND(INDEX(Consulta!$A:$DS,MATCH('MM01'!$B6,Consulta!$C:$C,0),'MM01'!AW$2),3),""))</f>
        <v/>
      </c>
      <c r="AX6" s="43" t="str">
        <f t="shared" ref="AX6:AX54" si="10">IFERROR(IF(AW6&lt;&gt;0,ROUND(AW6,3),""),"")</f>
        <v/>
      </c>
      <c r="AY6" s="48" t="s">
        <v>299</v>
      </c>
      <c r="AZ6" s="48"/>
      <c r="BA6" s="43" t="str">
        <f>IF(IFERROR(INDEX(Consulta!$A:$DS,MATCH('MM01'!$B6,Consulta!$C:$C,0),'MM01'!BA$2),"")=0,"",IFERROR(INDEX(Consulta!$A:$DS,MATCH('MM01'!$B6,Consulta!$C:$C,0),'MM01'!BA$2),""))</f>
        <v/>
      </c>
      <c r="BB6" s="43" t="str">
        <f t="shared" ref="BB6:BB54" si="11">IFERROR(ROUND(AW6,3)*1000,"")</f>
        <v/>
      </c>
      <c r="BC6" s="43" t="str">
        <f t="shared" ref="BC6:BC54" si="12">IF(BB6="","",AY6)</f>
        <v/>
      </c>
      <c r="BD6" s="43" t="str">
        <f t="shared" ref="BD6:BD54" si="13">IF(BB6="","",IF(BB6&lt;100000,1000,100))</f>
        <v/>
      </c>
      <c r="BE6" s="43" t="str">
        <f t="shared" ref="BE6:BE54" si="14">AO6</f>
        <v>M</v>
      </c>
      <c r="BF6" s="43" t="str">
        <f t="shared" ref="BF6:BF54" si="15">IF(BH6="","",IF(D6&lt;&gt;"KMAT",IF(BH6&lt;100000,1000,100),""))</f>
        <v/>
      </c>
      <c r="BG6" s="43" t="str">
        <f t="shared" ref="BG6:BG54" si="16">IF(BF6="","",IF(D6&lt;&gt;"KMAT","PC",""))</f>
        <v/>
      </c>
      <c r="BH6" s="43" t="str">
        <f t="shared" ref="BH6:BH54" si="17">IF(D6&lt;&gt;"KMAT",E6,"")</f>
        <v/>
      </c>
      <c r="BI6" s="43" t="str">
        <f t="shared" ref="BI6:BI54" si="18">AO6</f>
        <v>M</v>
      </c>
      <c r="BK6" s="45" t="s">
        <v>789</v>
      </c>
      <c r="BL6" s="43" t="str">
        <f>IF(IFERROR(INDEX(Consulta!$A:$DS,MATCH('MM01'!$B6,Consulta!$C:$C,0),'MM01'!BL$2),"")=0,"",IFERROR(INDEX(Consulta!$A:$DS,MATCH('MM01'!$B6,Consulta!$C:$C,0),'MM01'!BL$2),""))</f>
        <v/>
      </c>
      <c r="BM6" s="45"/>
      <c r="BN6" s="46" t="str">
        <f t="shared" ref="BN6:BN54" ca="1" si="19">IF(BM6&lt;&gt;0,TEXT(TODAY(),"DD.MM.AAAA"),"")</f>
        <v/>
      </c>
      <c r="BO6" s="49" t="str">
        <f t="shared" ref="BO6:BO54" si="20">G6</f>
        <v/>
      </c>
      <c r="BP6" s="50">
        <v>1</v>
      </c>
      <c r="BQ6" s="50" t="s">
        <v>194</v>
      </c>
      <c r="BR6" s="50" t="s">
        <v>194</v>
      </c>
      <c r="BS6" s="50" t="s">
        <v>783</v>
      </c>
      <c r="BT6" s="44">
        <v>1</v>
      </c>
      <c r="BU6" s="44" t="s">
        <v>372</v>
      </c>
      <c r="BV6" s="50" t="s">
        <v>197</v>
      </c>
      <c r="BW6" s="50" t="s">
        <v>197</v>
      </c>
      <c r="BX6" s="43" t="str">
        <f>IF(IFERROR(INDEX(Consulta!$A:$DS,MATCH('MM01'!$B6,Consulta!$C:$C,0),'MM01'!BX$2),"")=0,"",IFERROR(INDEX(Consulta!$A:$DS,MATCH('MM01'!$B6,Consulta!$C:$C,0),'MM01'!BX$2),""))</f>
        <v/>
      </c>
      <c r="BY6" s="44" t="s">
        <v>392</v>
      </c>
      <c r="BZ6" s="50">
        <v>0</v>
      </c>
      <c r="CA6" s="45" t="s">
        <v>403</v>
      </c>
      <c r="CB6" s="45" t="s">
        <v>84</v>
      </c>
      <c r="CC6" s="43" t="str">
        <f t="shared" ref="CC6:CC54" si="21">RIGHT(G6,3)</f>
        <v/>
      </c>
      <c r="CD6" s="45" t="s">
        <v>430</v>
      </c>
      <c r="CE6" s="45">
        <v>1</v>
      </c>
      <c r="CF6" s="45" t="s">
        <v>496</v>
      </c>
      <c r="CG6" s="45"/>
      <c r="CH6" s="44"/>
      <c r="CI6" s="49" t="str">
        <f t="shared" ref="CI6:CI54" si="22">H6</f>
        <v/>
      </c>
      <c r="CJ6" s="49" t="str">
        <f t="shared" ref="CJ6:CJ54" si="23">H6</f>
        <v/>
      </c>
      <c r="CK6" s="45"/>
      <c r="CL6" s="44">
        <v>5</v>
      </c>
      <c r="CM6" s="44">
        <v>1</v>
      </c>
      <c r="CN6" s="44">
        <v>1</v>
      </c>
      <c r="CO6" s="44">
        <v>1</v>
      </c>
      <c r="CP6" s="50" t="s">
        <v>515</v>
      </c>
      <c r="CQ6" s="44" t="s">
        <v>372</v>
      </c>
      <c r="CR6" s="44">
        <v>2</v>
      </c>
      <c r="CS6" s="44">
        <v>42</v>
      </c>
      <c r="CT6" s="44">
        <v>10</v>
      </c>
      <c r="CU6" s="43" t="str">
        <f t="shared" ref="CU6:CU54" si="24">"K00_P_PURL_"&amp;G6</f>
        <v>K00_P_PURL_</v>
      </c>
      <c r="CV6" s="45">
        <v>5000</v>
      </c>
      <c r="CW6" s="43" t="str">
        <f t="shared" si="0"/>
        <v/>
      </c>
      <c r="CX6" s="43" t="str">
        <f t="shared" si="1"/>
        <v/>
      </c>
      <c r="CY6" s="43" t="str">
        <f>IF(IFERROR(INDEX(Consulta!$A:$DS,MATCH('MM01'!$B6,Consulta!$C:$C,0),'MM01'!CY$2),"")=0,"",IFERROR(INDEX(Consulta!$A:$DS,MATCH('MM01'!$B6,Consulta!$C:$C,0),'MM01'!CY$2),""))</f>
        <v/>
      </c>
      <c r="CZ6" s="43" t="str">
        <f t="shared" si="2"/>
        <v/>
      </c>
      <c r="DA6" s="43" t="str">
        <f>IF(IFERROR(INDEX(Consulta!$A:$DS,MATCH('MM01'!$B6,Consulta!$C:$C,0),'MM01'!DA$2),"")=0,"",IFERROR(INDEX(Consulta!$A:$DS,MATCH('MM01'!$B6,Consulta!$C:$C,0),'MM01'!DA$2),""))</f>
        <v/>
      </c>
      <c r="DB6" s="43" t="str">
        <f>IF(IFERROR(INDEX(Consulta!$A:$DS,MATCH('MM01'!$B6,Consulta!$C:$C,0),'MM01'!DB$2),"")=0,"",IFERROR(INDEX(Consulta!$A:$DS,MATCH('MM01'!$B6,Consulta!$C:$C,0),'MM01'!DB$2),""))</f>
        <v/>
      </c>
      <c r="DC6" s="43" t="str">
        <f>IF(IFERROR(INDEX(Consulta!$A:$DS,MATCH('MM01'!$B6,Consulta!$C:$C,0),'MM01'!DC$2),"")=0,"",IFERROR(INDEX(Consulta!$A:$DS,MATCH('MM01'!$B6,Consulta!$C:$C,0),'MM01'!DC$2),""))</f>
        <v/>
      </c>
      <c r="DD6" s="43" t="str">
        <f>IF(IFERROR(INDEX(Consulta!$A:$DS,MATCH('MM01'!$B6,Consulta!$C:$C,0),'MM01'!DD$2),"")=0,"",IFERROR(INDEX(Consulta!$A:$DS,MATCH('MM01'!$B6,Consulta!$C:$C,0),'MM01'!DD$2),""))</f>
        <v/>
      </c>
      <c r="DE6" s="43" t="str">
        <f>IF(IFERROR(INDEX(Consulta!$A:$DS,MATCH('MM01'!$B6,Consulta!$C:$C,0),'MM01'!DE$2),"")=0,"",IFERROR(INDEX(Consulta!$A:$DS,MATCH('MM01'!$B6,Consulta!$C:$C,0),'MM01'!DE$2),""))</f>
        <v/>
      </c>
      <c r="DF6" s="100">
        <v>3458</v>
      </c>
      <c r="DG6" s="45">
        <v>0</v>
      </c>
      <c r="DH6" s="45">
        <v>0</v>
      </c>
      <c r="DI6" s="43" t="str">
        <f t="shared" si="3"/>
        <v/>
      </c>
      <c r="DJ6" s="43" t="str">
        <f t="shared" ref="DJ6:DJ54" si="25">IF(DK6&lt;&gt;0,1,"")</f>
        <v/>
      </c>
      <c r="DK6" s="57"/>
      <c r="DL6" s="43" t="str">
        <f t="shared" ref="DL6:DL54" ca="1" si="26">IF(DK6&lt;&gt;0,TEXT(TODAY(),"dd.mm.aaaa"),"")</f>
        <v/>
      </c>
      <c r="DM6" s="43" t="str">
        <f t="shared" ref="DM6:DM54" si="27">IF(DK6&lt;&gt;0,"31.12.9999","")</f>
        <v/>
      </c>
      <c r="DN6" s="43" t="str">
        <f t="shared" ref="DN6:DN54" si="28">IF(DO6&lt;&gt;0,2,"")</f>
        <v/>
      </c>
      <c r="DO6" s="57"/>
      <c r="DP6" s="43" t="str">
        <f t="shared" ref="DP6:DP54" ca="1" si="29">IF(DO6&lt;&gt;0,TEXT(TODAY(),"dd.mm.aaaa"),"")</f>
        <v/>
      </c>
      <c r="DQ6" s="43" t="str">
        <f t="shared" ref="DQ6:DQ54" si="30">IF(DO6&lt;&gt;0,"31.12.9999","")</f>
        <v/>
      </c>
      <c r="DR6" s="43" t="str">
        <f t="shared" ref="DR6:DR54" si="31">IF(DS6&lt;&gt;0,3,"")</f>
        <v/>
      </c>
      <c r="DS6" s="57"/>
      <c r="DT6" s="43" t="str">
        <f t="shared" ref="DT6:DT54" ca="1" si="32">IF(DS6&lt;&gt;0,TEXT(TODAY(),"dd.mm.aaaa"),"")</f>
        <v/>
      </c>
      <c r="DU6" s="43" t="str">
        <f t="shared" ref="DU6:DU54" si="33">IF(DS6&lt;&gt;0,"31.12.9999","")</f>
        <v/>
      </c>
      <c r="DV6" s="43" t="str">
        <f t="shared" ref="DV6:DV54" si="34">IF(DW6&lt;&gt;0,4,"")</f>
        <v/>
      </c>
      <c r="DW6" s="57"/>
      <c r="DX6" s="43" t="str">
        <f t="shared" ref="DX6:DX54" ca="1" si="35">IF(DW6&lt;&gt;0,TEXT(TODAY(),"dd.mm.aaaa"),"")</f>
        <v/>
      </c>
      <c r="DY6" s="43" t="str">
        <f t="shared" ref="DY6:DY54" si="36">IF(DW6&lt;&gt;0,"31.12.9999","")</f>
        <v/>
      </c>
      <c r="EA6" s="44">
        <v>0</v>
      </c>
      <c r="EB6" s="44" t="s">
        <v>761</v>
      </c>
      <c r="EC6" s="44">
        <v>30</v>
      </c>
      <c r="ED6" s="43">
        <f t="shared" si="4"/>
        <v>0.01</v>
      </c>
      <c r="EE6" s="43" t="str">
        <f t="shared" si="5"/>
        <v>M</v>
      </c>
      <c r="EF6" s="43" t="str">
        <f>IF(IFERROR(INDEX(Consulta!$A:$DS,MATCH('MM01'!$B6,Consulta!$C:$C,0),'MM01'!EF$2),"")=0,"7925",IF(IFERROR(INDEX(Consulta!$A:$DS,MATCH('MM01'!$B6,Consulta!$C:$C,0),'MM01'!EF$2),"")="68","7910","7925"))</f>
        <v>7925</v>
      </c>
      <c r="EG6" s="44">
        <v>100</v>
      </c>
      <c r="EH6" s="62">
        <v>1</v>
      </c>
      <c r="EI6" s="43">
        <f t="shared" ref="EI6:EI54" si="37">EG6</f>
        <v>100</v>
      </c>
      <c r="EJ6" s="44">
        <v>1</v>
      </c>
      <c r="EK6" s="44">
        <v>0</v>
      </c>
      <c r="EL6" s="44" t="s">
        <v>859</v>
      </c>
      <c r="EM6" s="45">
        <v>0</v>
      </c>
      <c r="EN6" s="43">
        <f t="shared" ref="EN6:EN54" si="38">CV6</f>
        <v>5000</v>
      </c>
      <c r="EO6" s="69"/>
    </row>
    <row r="7" spans="1:145" x14ac:dyDescent="0.2">
      <c r="A7" s="7" t="str">
        <f t="shared" si="6"/>
        <v>Execução 3</v>
      </c>
      <c r="B7" s="42"/>
      <c r="C7" s="43" t="str">
        <f>IF(IFERROR(INDEX(Consulta!$A:$DS,MATCH('MM01'!$B7,Consulta!$C:$C,0),'MM01'!C$2),"")=0,"",IFERROR(INDEX(Consulta!$A:$DS,MATCH('MM01'!$B7,Consulta!$C:$C,0),'MM01'!C$2),""))</f>
        <v/>
      </c>
      <c r="D7" s="43" t="str">
        <f>IF(IFERROR(INDEX(Consulta!$A:$DS,MATCH('MM01'!$B7,Consulta!$C:$C,0),'MM01'!D$2),"")=0,"",IFERROR(INDEX(Consulta!$A:$DS,MATCH('MM01'!$B7,Consulta!$C:$C,0),'MM01'!D$2),""))</f>
        <v/>
      </c>
      <c r="E7" s="43" t="str">
        <f>IF(IFERROR(INDEX(Consulta!$A:$DS,MATCH('MM01'!$B7,Consulta!$C:$C,0),'MM01'!E$2),"")=0,"",IFERROR(INDEX(Consulta!$A:$DS,MATCH('MM01'!$B7,Consulta!$C:$C,0),'MM01'!E$2),""))</f>
        <v/>
      </c>
      <c r="F7" s="44" t="s">
        <v>100</v>
      </c>
      <c r="G7" s="49" t="str">
        <f>IF(IFERROR(INDEX(Consulta!$A:$DS,MATCH('MM01'!$B7,Consulta!$C:$C,0),'MM01'!G$2),"")=0,"",IFERROR(INDEX(Consulta!$A:$DS,MATCH('MM01'!$B7,Consulta!$C:$C,0),'MM01'!G$2),""))</f>
        <v/>
      </c>
      <c r="H7" s="49" t="str">
        <f>IF(IFERROR(INDEX(Consulta!$A:$DS,MATCH('MM01'!$B7,Consulta!$C:$C,0),'MM01'!H$2),"")=0,"",IFERROR(INDEX(Consulta!$A:$DS,MATCH('MM01'!$B7,Consulta!$C:$C,0),'MM01'!H$2),""))</f>
        <v/>
      </c>
      <c r="I7" s="49" t="str">
        <f t="shared" si="7"/>
        <v/>
      </c>
      <c r="J7" s="49" t="str">
        <f>IF(IFERROR(INDEX(Consulta!$A:$DS,MATCH('MM01'!$B7,Consulta!$C:$C,0),'MM01'!J$2),"")=0,"",IFERROR(INDEX(Consulta!$A:$DS,MATCH('MM01'!$B7,Consulta!$C:$C,0),'MM01'!J$2),""))</f>
        <v/>
      </c>
      <c r="K7" s="49" t="str">
        <f t="shared" si="8"/>
        <v/>
      </c>
      <c r="M7" s="45" t="s">
        <v>101</v>
      </c>
      <c r="N7" s="45" t="s">
        <v>102</v>
      </c>
      <c r="O7" s="45" t="s">
        <v>103</v>
      </c>
      <c r="P7" s="45" t="s">
        <v>104</v>
      </c>
      <c r="Q7" s="45" t="s">
        <v>105</v>
      </c>
      <c r="R7" s="45" t="s">
        <v>106</v>
      </c>
      <c r="S7" s="45" t="s">
        <v>107</v>
      </c>
      <c r="T7" s="45"/>
      <c r="U7" s="45"/>
      <c r="V7" s="45"/>
      <c r="W7" s="45"/>
      <c r="X7" s="45" t="s">
        <v>112</v>
      </c>
      <c r="Y7" s="45" t="s">
        <v>113</v>
      </c>
      <c r="Z7" s="45" t="s">
        <v>114</v>
      </c>
      <c r="AA7" s="45" t="s">
        <v>115</v>
      </c>
      <c r="AB7" s="45" t="s">
        <v>117</v>
      </c>
      <c r="AC7" s="45" t="s">
        <v>118</v>
      </c>
      <c r="AD7" s="45" t="s">
        <v>119</v>
      </c>
      <c r="AE7" s="45" t="s">
        <v>120</v>
      </c>
      <c r="AF7" s="45" t="s">
        <v>121</v>
      </c>
      <c r="AG7" s="45" t="s">
        <v>122</v>
      </c>
      <c r="AH7" s="45" t="s">
        <v>123</v>
      </c>
      <c r="AI7" s="45" t="s">
        <v>124</v>
      </c>
      <c r="AJ7" s="45" t="s">
        <v>125</v>
      </c>
      <c r="AK7" s="45" t="s">
        <v>126</v>
      </c>
      <c r="AL7" s="45"/>
      <c r="AM7" s="45"/>
      <c r="AO7" s="44" t="s">
        <v>100</v>
      </c>
      <c r="AP7" s="43" t="str">
        <f>IF(IFERROR(INDEX(Consulta!$A:$DS,MATCH('MM01'!$B7,Consulta!$C:$C,0),'MM01'!AP$2),"")=0,"",IFERROR(INDEX(Consulta!$A:$DS,MATCH('MM01'!$B7,Consulta!$C:$C,0),'MM01'!AP$2),""))</f>
        <v/>
      </c>
      <c r="AQ7" s="45"/>
      <c r="AR7" s="43" t="str">
        <f>IF(IFERROR(INDEX(Consulta!$A:$DS,MATCH('MM01'!$B7,Consulta!$C:$C,0),'MM01'!AR$2),"")=0,"",IFERROR(INDEX(Consulta!$A:$DS,MATCH('MM01'!$B7,Consulta!$C:$C,0),'MM01'!AR$2),""))</f>
        <v/>
      </c>
      <c r="AS7" s="43" t="str">
        <f>IF(IFERROR(INDEX(Consulta!$A:$DS,MATCH('MM01'!$B7,Consulta!$C:$C,0),'MM01'!AS$2),"")=0,"",IF(AR7="68",5102,IFERROR(INDEX(Consulta!$A:$DS,MATCH('MM01'!$B7,Consulta!$C:$C,0),'MM01'!AS$2),"")))</f>
        <v/>
      </c>
      <c r="AT7" s="45"/>
      <c r="AU7" s="46" t="str">
        <f t="shared" ca="1" si="9"/>
        <v/>
      </c>
      <c r="AV7" s="47" t="s">
        <v>783</v>
      </c>
      <c r="AW7" s="43" t="str">
        <f>IF(IFERROR(INDEX(Consulta!$A:$DS,MATCH('MM01'!$B7,Consulta!$C:$C,0),'MM01'!AW$2),"")=0,"",IFERROR(ROUND(INDEX(Consulta!$A:$DS,MATCH('MM01'!$B7,Consulta!$C:$C,0),'MM01'!AW$2),3),""))</f>
        <v/>
      </c>
      <c r="AX7" s="43" t="str">
        <f t="shared" si="10"/>
        <v/>
      </c>
      <c r="AY7" s="48" t="s">
        <v>299</v>
      </c>
      <c r="AZ7" s="48"/>
      <c r="BA7" s="43" t="str">
        <f>IF(IFERROR(INDEX(Consulta!$A:$DS,MATCH('MM01'!$B7,Consulta!$C:$C,0),'MM01'!BA$2),"")=0,"",IFERROR(INDEX(Consulta!$A:$DS,MATCH('MM01'!$B7,Consulta!$C:$C,0),'MM01'!BA$2),""))</f>
        <v/>
      </c>
      <c r="BB7" s="43" t="str">
        <f t="shared" si="11"/>
        <v/>
      </c>
      <c r="BC7" s="43" t="str">
        <f t="shared" si="12"/>
        <v/>
      </c>
      <c r="BD7" s="43" t="str">
        <f t="shared" si="13"/>
        <v/>
      </c>
      <c r="BE7" s="43" t="str">
        <f t="shared" si="14"/>
        <v>M</v>
      </c>
      <c r="BF7" s="43" t="str">
        <f t="shared" si="15"/>
        <v/>
      </c>
      <c r="BG7" s="43" t="str">
        <f t="shared" si="16"/>
        <v/>
      </c>
      <c r="BH7" s="43" t="str">
        <f t="shared" si="17"/>
        <v/>
      </c>
      <c r="BI7" s="43" t="str">
        <f t="shared" si="18"/>
        <v>M</v>
      </c>
      <c r="BK7" s="45" t="s">
        <v>789</v>
      </c>
      <c r="BL7" s="43" t="str">
        <f>IF(IFERROR(INDEX(Consulta!$A:$DS,MATCH('MM01'!$B7,Consulta!$C:$C,0),'MM01'!BL$2),"")=0,"",IFERROR(INDEX(Consulta!$A:$DS,MATCH('MM01'!$B7,Consulta!$C:$C,0),'MM01'!BL$2),""))</f>
        <v/>
      </c>
      <c r="BM7" s="45"/>
      <c r="BN7" s="46" t="str">
        <f t="shared" ca="1" si="19"/>
        <v/>
      </c>
      <c r="BO7" s="49" t="str">
        <f t="shared" si="20"/>
        <v/>
      </c>
      <c r="BP7" s="50">
        <v>1</v>
      </c>
      <c r="BQ7" s="50" t="s">
        <v>194</v>
      </c>
      <c r="BR7" s="50" t="s">
        <v>194</v>
      </c>
      <c r="BS7" s="50" t="s">
        <v>783</v>
      </c>
      <c r="BT7" s="44">
        <v>1</v>
      </c>
      <c r="BU7" s="44" t="s">
        <v>372</v>
      </c>
      <c r="BV7" s="50" t="s">
        <v>197</v>
      </c>
      <c r="BW7" s="50" t="s">
        <v>197</v>
      </c>
      <c r="BX7" s="43" t="str">
        <f>IF(IFERROR(INDEX(Consulta!$A:$DS,MATCH('MM01'!$B7,Consulta!$C:$C,0),'MM01'!BX$2),"")=0,"",IFERROR(INDEX(Consulta!$A:$DS,MATCH('MM01'!$B7,Consulta!$C:$C,0),'MM01'!BX$2),""))</f>
        <v/>
      </c>
      <c r="BY7" s="44" t="s">
        <v>392</v>
      </c>
      <c r="BZ7" s="50">
        <v>0</v>
      </c>
      <c r="CA7" s="45" t="s">
        <v>403</v>
      </c>
      <c r="CB7" s="45" t="s">
        <v>84</v>
      </c>
      <c r="CC7" s="43" t="str">
        <f t="shared" si="21"/>
        <v/>
      </c>
      <c r="CD7" s="45" t="s">
        <v>430</v>
      </c>
      <c r="CE7" s="45">
        <v>1</v>
      </c>
      <c r="CF7" s="45" t="s">
        <v>496</v>
      </c>
      <c r="CG7" s="45"/>
      <c r="CH7" s="44"/>
      <c r="CI7" s="49" t="str">
        <f t="shared" si="22"/>
        <v/>
      </c>
      <c r="CJ7" s="49" t="str">
        <f t="shared" si="23"/>
        <v/>
      </c>
      <c r="CK7" s="45"/>
      <c r="CL7" s="44">
        <v>5</v>
      </c>
      <c r="CM7" s="44">
        <v>1</v>
      </c>
      <c r="CN7" s="44">
        <v>1</v>
      </c>
      <c r="CO7" s="44">
        <v>1</v>
      </c>
      <c r="CP7" s="50" t="s">
        <v>515</v>
      </c>
      <c r="CQ7" s="44" t="s">
        <v>372</v>
      </c>
      <c r="CR7" s="44">
        <v>2</v>
      </c>
      <c r="CS7" s="44">
        <v>42</v>
      </c>
      <c r="CT7" s="44">
        <v>10</v>
      </c>
      <c r="CU7" s="43" t="str">
        <f t="shared" si="24"/>
        <v>K00_P_PURL_</v>
      </c>
      <c r="CV7" s="45">
        <v>5000</v>
      </c>
      <c r="CW7" s="43" t="str">
        <f t="shared" si="0"/>
        <v/>
      </c>
      <c r="CX7" s="43" t="str">
        <f t="shared" si="1"/>
        <v/>
      </c>
      <c r="CY7" s="43" t="str">
        <f>IF(IFERROR(INDEX(Consulta!$A:$DS,MATCH('MM01'!$B7,Consulta!$C:$C,0),'MM01'!CY$2),"")=0,"",IFERROR(INDEX(Consulta!$A:$DS,MATCH('MM01'!$B7,Consulta!$C:$C,0),'MM01'!CY$2),""))</f>
        <v/>
      </c>
      <c r="CZ7" s="43" t="str">
        <f t="shared" si="2"/>
        <v/>
      </c>
      <c r="DA7" s="43" t="str">
        <f>IF(IFERROR(INDEX(Consulta!$A:$DS,MATCH('MM01'!$B7,Consulta!$C:$C,0),'MM01'!DA$2),"")=0,"",IFERROR(INDEX(Consulta!$A:$DS,MATCH('MM01'!$B7,Consulta!$C:$C,0),'MM01'!DA$2),""))</f>
        <v/>
      </c>
      <c r="DB7" s="43" t="str">
        <f>IF(IFERROR(INDEX(Consulta!$A:$DS,MATCH('MM01'!$B7,Consulta!$C:$C,0),'MM01'!DB$2),"")=0,"",IFERROR(INDEX(Consulta!$A:$DS,MATCH('MM01'!$B7,Consulta!$C:$C,0),'MM01'!DB$2),""))</f>
        <v/>
      </c>
      <c r="DC7" s="43" t="str">
        <f>IF(IFERROR(INDEX(Consulta!$A:$DS,MATCH('MM01'!$B7,Consulta!$C:$C,0),'MM01'!DC$2),"")=0,"",IFERROR(INDEX(Consulta!$A:$DS,MATCH('MM01'!$B7,Consulta!$C:$C,0),'MM01'!DC$2),""))</f>
        <v/>
      </c>
      <c r="DD7" s="43" t="str">
        <f>IF(IFERROR(INDEX(Consulta!$A:$DS,MATCH('MM01'!$B7,Consulta!$C:$C,0),'MM01'!DD$2),"")=0,"",IFERROR(INDEX(Consulta!$A:$DS,MATCH('MM01'!$B7,Consulta!$C:$C,0),'MM01'!DD$2),""))</f>
        <v/>
      </c>
      <c r="DE7" s="43" t="str">
        <f>IF(IFERROR(INDEX(Consulta!$A:$DS,MATCH('MM01'!$B7,Consulta!$C:$C,0),'MM01'!DE$2),"")=0,"",IFERROR(INDEX(Consulta!$A:$DS,MATCH('MM01'!$B7,Consulta!$C:$C,0),'MM01'!DE$2),""))</f>
        <v/>
      </c>
      <c r="DF7" s="100">
        <v>3458</v>
      </c>
      <c r="DG7" s="45">
        <v>0</v>
      </c>
      <c r="DH7" s="45">
        <v>0</v>
      </c>
      <c r="DI7" s="43" t="str">
        <f t="shared" si="3"/>
        <v/>
      </c>
      <c r="DJ7" s="43" t="str">
        <f t="shared" si="25"/>
        <v/>
      </c>
      <c r="DK7" s="57"/>
      <c r="DL7" s="43" t="str">
        <f t="shared" ca="1" si="26"/>
        <v/>
      </c>
      <c r="DM7" s="43" t="str">
        <f t="shared" si="27"/>
        <v/>
      </c>
      <c r="DN7" s="43" t="str">
        <f t="shared" si="28"/>
        <v/>
      </c>
      <c r="DO7" s="57"/>
      <c r="DP7" s="43" t="str">
        <f t="shared" ca="1" si="29"/>
        <v/>
      </c>
      <c r="DQ7" s="43" t="str">
        <f t="shared" si="30"/>
        <v/>
      </c>
      <c r="DR7" s="43" t="str">
        <f t="shared" si="31"/>
        <v/>
      </c>
      <c r="DS7" s="57"/>
      <c r="DT7" s="43" t="str">
        <f t="shared" ca="1" si="32"/>
        <v/>
      </c>
      <c r="DU7" s="43" t="str">
        <f t="shared" si="33"/>
        <v/>
      </c>
      <c r="DV7" s="43" t="str">
        <f t="shared" si="34"/>
        <v/>
      </c>
      <c r="DW7" s="57"/>
      <c r="DX7" s="43" t="str">
        <f t="shared" ca="1" si="35"/>
        <v/>
      </c>
      <c r="DY7" s="43" t="str">
        <f t="shared" si="36"/>
        <v/>
      </c>
      <c r="EA7" s="44">
        <v>0</v>
      </c>
      <c r="EB7" s="44" t="s">
        <v>761</v>
      </c>
      <c r="EC7" s="44">
        <v>30</v>
      </c>
      <c r="ED7" s="43">
        <f t="shared" si="4"/>
        <v>0.01</v>
      </c>
      <c r="EE7" s="43" t="str">
        <f t="shared" si="5"/>
        <v>M</v>
      </c>
      <c r="EF7" s="43" t="str">
        <f>IF(IFERROR(INDEX(Consulta!$A:$DS,MATCH('MM01'!$B7,Consulta!$C:$C,0),'MM01'!EF$2),"")=0,"7925",IF(IFERROR(INDEX(Consulta!$A:$DS,MATCH('MM01'!$B7,Consulta!$C:$C,0),'MM01'!EF$2),"")="68","7910","7925"))</f>
        <v>7925</v>
      </c>
      <c r="EG7" s="44">
        <v>100</v>
      </c>
      <c r="EH7" s="62">
        <v>1</v>
      </c>
      <c r="EI7" s="43">
        <f t="shared" si="37"/>
        <v>100</v>
      </c>
      <c r="EJ7" s="44">
        <v>1</v>
      </c>
      <c r="EK7" s="44">
        <v>0</v>
      </c>
      <c r="EL7" s="44" t="s">
        <v>859</v>
      </c>
      <c r="EM7" s="45">
        <v>0</v>
      </c>
      <c r="EN7" s="43">
        <f t="shared" si="38"/>
        <v>5000</v>
      </c>
      <c r="EO7" s="69"/>
    </row>
    <row r="8" spans="1:145" x14ac:dyDescent="0.2">
      <c r="A8" s="7" t="str">
        <f t="shared" si="6"/>
        <v>Execução 4</v>
      </c>
      <c r="B8" s="42"/>
      <c r="C8" s="43" t="str">
        <f>IF(IFERROR(INDEX(Consulta!$A:$DS,MATCH('MM01'!$B8,Consulta!$C:$C,0),'MM01'!C$2),"")=0,"",IFERROR(INDEX(Consulta!$A:$DS,MATCH('MM01'!$B8,Consulta!$C:$C,0),'MM01'!C$2),""))</f>
        <v/>
      </c>
      <c r="D8" s="43" t="str">
        <f>IF(IFERROR(INDEX(Consulta!$A:$DS,MATCH('MM01'!$B8,Consulta!$C:$C,0),'MM01'!D$2),"")=0,"",IFERROR(INDEX(Consulta!$A:$DS,MATCH('MM01'!$B8,Consulta!$C:$C,0),'MM01'!D$2),""))</f>
        <v/>
      </c>
      <c r="E8" s="43" t="str">
        <f>IF(IFERROR(INDEX(Consulta!$A:$DS,MATCH('MM01'!$B8,Consulta!$C:$C,0),'MM01'!E$2),"")=0,"",IFERROR(INDEX(Consulta!$A:$DS,MATCH('MM01'!$B8,Consulta!$C:$C,0),'MM01'!E$2),""))</f>
        <v/>
      </c>
      <c r="F8" s="44" t="s">
        <v>100</v>
      </c>
      <c r="G8" s="49" t="str">
        <f>IF(IFERROR(INDEX(Consulta!$A:$DS,MATCH('MM01'!$B8,Consulta!$C:$C,0),'MM01'!G$2),"")=0,"",IFERROR(INDEX(Consulta!$A:$DS,MATCH('MM01'!$B8,Consulta!$C:$C,0),'MM01'!G$2),""))</f>
        <v/>
      </c>
      <c r="H8" s="49" t="str">
        <f>IF(IFERROR(INDEX(Consulta!$A:$DS,MATCH('MM01'!$B8,Consulta!$C:$C,0),'MM01'!H$2),"")=0,"",IFERROR(INDEX(Consulta!$A:$DS,MATCH('MM01'!$B8,Consulta!$C:$C,0),'MM01'!H$2),""))</f>
        <v/>
      </c>
      <c r="I8" s="49" t="str">
        <f t="shared" si="7"/>
        <v/>
      </c>
      <c r="J8" s="49" t="str">
        <f>IF(IFERROR(INDEX(Consulta!$A:$DS,MATCH('MM01'!$B8,Consulta!$C:$C,0),'MM01'!J$2),"")=0,"",IFERROR(INDEX(Consulta!$A:$DS,MATCH('MM01'!$B8,Consulta!$C:$C,0),'MM01'!J$2),""))</f>
        <v/>
      </c>
      <c r="K8" s="49" t="str">
        <f t="shared" si="8"/>
        <v/>
      </c>
      <c r="M8" s="45" t="s">
        <v>101</v>
      </c>
      <c r="N8" s="45" t="s">
        <v>102</v>
      </c>
      <c r="O8" s="45" t="s">
        <v>103</v>
      </c>
      <c r="P8" s="45" t="s">
        <v>104</v>
      </c>
      <c r="Q8" s="45" t="s">
        <v>105</v>
      </c>
      <c r="R8" s="45" t="s">
        <v>106</v>
      </c>
      <c r="S8" s="45" t="s">
        <v>107</v>
      </c>
      <c r="T8" s="45"/>
      <c r="U8" s="45"/>
      <c r="V8" s="45"/>
      <c r="W8" s="45"/>
      <c r="X8" s="45" t="s">
        <v>112</v>
      </c>
      <c r="Y8" s="45" t="s">
        <v>113</v>
      </c>
      <c r="Z8" s="45" t="s">
        <v>114</v>
      </c>
      <c r="AA8" s="45" t="s">
        <v>115</v>
      </c>
      <c r="AB8" s="45" t="s">
        <v>117</v>
      </c>
      <c r="AC8" s="45" t="s">
        <v>118</v>
      </c>
      <c r="AD8" s="45" t="s">
        <v>119</v>
      </c>
      <c r="AE8" s="45" t="s">
        <v>120</v>
      </c>
      <c r="AF8" s="45" t="s">
        <v>121</v>
      </c>
      <c r="AG8" s="45" t="s">
        <v>122</v>
      </c>
      <c r="AH8" s="45" t="s">
        <v>123</v>
      </c>
      <c r="AI8" s="45" t="s">
        <v>124</v>
      </c>
      <c r="AJ8" s="45" t="s">
        <v>125</v>
      </c>
      <c r="AK8" s="45" t="s">
        <v>126</v>
      </c>
      <c r="AL8" s="45"/>
      <c r="AM8" s="45"/>
      <c r="AO8" s="44" t="s">
        <v>100</v>
      </c>
      <c r="AP8" s="43" t="str">
        <f>IF(IFERROR(INDEX(Consulta!$A:$DS,MATCH('MM01'!$B8,Consulta!$C:$C,0),'MM01'!AP$2),"")=0,"",IFERROR(INDEX(Consulta!$A:$DS,MATCH('MM01'!$B8,Consulta!$C:$C,0),'MM01'!AP$2),""))</f>
        <v/>
      </c>
      <c r="AQ8" s="45"/>
      <c r="AR8" s="43" t="str">
        <f>IF(IFERROR(INDEX(Consulta!$A:$DS,MATCH('MM01'!$B8,Consulta!$C:$C,0),'MM01'!AR$2),"")=0,"",IFERROR(INDEX(Consulta!$A:$DS,MATCH('MM01'!$B8,Consulta!$C:$C,0),'MM01'!AR$2),""))</f>
        <v/>
      </c>
      <c r="AS8" s="43" t="str">
        <f>IF(IFERROR(INDEX(Consulta!$A:$DS,MATCH('MM01'!$B8,Consulta!$C:$C,0),'MM01'!AS$2),"")=0,"",IF(AR8="68",5102,IFERROR(INDEX(Consulta!$A:$DS,MATCH('MM01'!$B8,Consulta!$C:$C,0),'MM01'!AS$2),"")))</f>
        <v/>
      </c>
      <c r="AT8" s="45"/>
      <c r="AU8" s="46" t="str">
        <f t="shared" ca="1" si="9"/>
        <v/>
      </c>
      <c r="AV8" s="47" t="s">
        <v>783</v>
      </c>
      <c r="AW8" s="43" t="str">
        <f>IF(IFERROR(INDEX(Consulta!$A:$DS,MATCH('MM01'!$B8,Consulta!$C:$C,0),'MM01'!AW$2),"")=0,"",IFERROR(ROUND(INDEX(Consulta!$A:$DS,MATCH('MM01'!$B8,Consulta!$C:$C,0),'MM01'!AW$2),3),""))</f>
        <v/>
      </c>
      <c r="AX8" s="43" t="str">
        <f t="shared" si="10"/>
        <v/>
      </c>
      <c r="AY8" s="48" t="s">
        <v>299</v>
      </c>
      <c r="AZ8" s="48"/>
      <c r="BA8" s="43" t="str">
        <f>IF(IFERROR(INDEX(Consulta!$A:$DS,MATCH('MM01'!$B8,Consulta!$C:$C,0),'MM01'!BA$2),"")=0,"",IFERROR(INDEX(Consulta!$A:$DS,MATCH('MM01'!$B8,Consulta!$C:$C,0),'MM01'!BA$2),""))</f>
        <v/>
      </c>
      <c r="BB8" s="43" t="str">
        <f t="shared" si="11"/>
        <v/>
      </c>
      <c r="BC8" s="43" t="str">
        <f t="shared" si="12"/>
        <v/>
      </c>
      <c r="BD8" s="43" t="str">
        <f t="shared" si="13"/>
        <v/>
      </c>
      <c r="BE8" s="43" t="str">
        <f t="shared" si="14"/>
        <v>M</v>
      </c>
      <c r="BF8" s="43" t="str">
        <f t="shared" si="15"/>
        <v/>
      </c>
      <c r="BG8" s="43" t="str">
        <f t="shared" si="16"/>
        <v/>
      </c>
      <c r="BH8" s="43" t="str">
        <f t="shared" si="17"/>
        <v/>
      </c>
      <c r="BI8" s="43" t="str">
        <f t="shared" si="18"/>
        <v>M</v>
      </c>
      <c r="BK8" s="45" t="s">
        <v>789</v>
      </c>
      <c r="BL8" s="43" t="str">
        <f>IF(IFERROR(INDEX(Consulta!$A:$DS,MATCH('MM01'!$B8,Consulta!$C:$C,0),'MM01'!BL$2),"")=0,"",IFERROR(INDEX(Consulta!$A:$DS,MATCH('MM01'!$B8,Consulta!$C:$C,0),'MM01'!BL$2),""))</f>
        <v/>
      </c>
      <c r="BM8" s="45"/>
      <c r="BN8" s="46" t="str">
        <f t="shared" ca="1" si="19"/>
        <v/>
      </c>
      <c r="BO8" s="49" t="str">
        <f t="shared" si="20"/>
        <v/>
      </c>
      <c r="BP8" s="50">
        <v>1</v>
      </c>
      <c r="BQ8" s="50" t="s">
        <v>194</v>
      </c>
      <c r="BR8" s="50" t="s">
        <v>194</v>
      </c>
      <c r="BS8" s="50" t="s">
        <v>783</v>
      </c>
      <c r="BT8" s="44">
        <v>1</v>
      </c>
      <c r="BU8" s="44" t="s">
        <v>372</v>
      </c>
      <c r="BV8" s="50" t="s">
        <v>197</v>
      </c>
      <c r="BW8" s="50" t="s">
        <v>197</v>
      </c>
      <c r="BX8" s="43" t="str">
        <f>IF(IFERROR(INDEX(Consulta!$A:$DS,MATCH('MM01'!$B8,Consulta!$C:$C,0),'MM01'!BX$2),"")=0,"",IFERROR(INDEX(Consulta!$A:$DS,MATCH('MM01'!$B8,Consulta!$C:$C,0),'MM01'!BX$2),""))</f>
        <v/>
      </c>
      <c r="BY8" s="44" t="s">
        <v>392</v>
      </c>
      <c r="BZ8" s="50">
        <v>0</v>
      </c>
      <c r="CA8" s="45" t="s">
        <v>403</v>
      </c>
      <c r="CB8" s="45" t="s">
        <v>84</v>
      </c>
      <c r="CC8" s="43" t="str">
        <f t="shared" si="21"/>
        <v/>
      </c>
      <c r="CD8" s="45" t="s">
        <v>430</v>
      </c>
      <c r="CE8" s="45">
        <v>1</v>
      </c>
      <c r="CF8" s="45" t="s">
        <v>496</v>
      </c>
      <c r="CG8" s="45"/>
      <c r="CH8" s="44"/>
      <c r="CI8" s="49" t="str">
        <f t="shared" si="22"/>
        <v/>
      </c>
      <c r="CJ8" s="49" t="str">
        <f t="shared" si="23"/>
        <v/>
      </c>
      <c r="CK8" s="45"/>
      <c r="CL8" s="44">
        <v>5</v>
      </c>
      <c r="CM8" s="44">
        <v>1</v>
      </c>
      <c r="CN8" s="44">
        <v>1</v>
      </c>
      <c r="CO8" s="44">
        <v>1</v>
      </c>
      <c r="CP8" s="50" t="s">
        <v>515</v>
      </c>
      <c r="CQ8" s="44" t="s">
        <v>372</v>
      </c>
      <c r="CR8" s="44">
        <v>2</v>
      </c>
      <c r="CS8" s="44">
        <v>42</v>
      </c>
      <c r="CT8" s="44">
        <v>10</v>
      </c>
      <c r="CU8" s="43" t="str">
        <f t="shared" si="24"/>
        <v>K00_P_PURL_</v>
      </c>
      <c r="CV8" s="45">
        <v>5000</v>
      </c>
      <c r="CW8" s="43" t="str">
        <f t="shared" si="0"/>
        <v/>
      </c>
      <c r="CX8" s="43" t="str">
        <f t="shared" si="1"/>
        <v/>
      </c>
      <c r="CY8" s="43" t="str">
        <f>IF(IFERROR(INDEX(Consulta!$A:$DS,MATCH('MM01'!$B8,Consulta!$C:$C,0),'MM01'!CY$2),"")=0,"",IFERROR(INDEX(Consulta!$A:$DS,MATCH('MM01'!$B8,Consulta!$C:$C,0),'MM01'!CY$2),""))</f>
        <v/>
      </c>
      <c r="CZ8" s="43" t="str">
        <f t="shared" si="2"/>
        <v/>
      </c>
      <c r="DA8" s="43" t="str">
        <f>IF(IFERROR(INDEX(Consulta!$A:$DS,MATCH('MM01'!$B8,Consulta!$C:$C,0),'MM01'!DA$2),"")=0,"",IFERROR(INDEX(Consulta!$A:$DS,MATCH('MM01'!$B8,Consulta!$C:$C,0),'MM01'!DA$2),""))</f>
        <v/>
      </c>
      <c r="DB8" s="43" t="str">
        <f>IF(IFERROR(INDEX(Consulta!$A:$DS,MATCH('MM01'!$B8,Consulta!$C:$C,0),'MM01'!DB$2),"")=0,"",IFERROR(INDEX(Consulta!$A:$DS,MATCH('MM01'!$B8,Consulta!$C:$C,0),'MM01'!DB$2),""))</f>
        <v/>
      </c>
      <c r="DC8" s="43" t="str">
        <f>IF(IFERROR(INDEX(Consulta!$A:$DS,MATCH('MM01'!$B8,Consulta!$C:$C,0),'MM01'!DC$2),"")=0,"",IFERROR(INDEX(Consulta!$A:$DS,MATCH('MM01'!$B8,Consulta!$C:$C,0),'MM01'!DC$2),""))</f>
        <v/>
      </c>
      <c r="DD8" s="43" t="str">
        <f>IF(IFERROR(INDEX(Consulta!$A:$DS,MATCH('MM01'!$B8,Consulta!$C:$C,0),'MM01'!DD$2),"")=0,"",IFERROR(INDEX(Consulta!$A:$DS,MATCH('MM01'!$B8,Consulta!$C:$C,0),'MM01'!DD$2),""))</f>
        <v/>
      </c>
      <c r="DE8" s="43" t="str">
        <f>IF(IFERROR(INDEX(Consulta!$A:$DS,MATCH('MM01'!$B8,Consulta!$C:$C,0),'MM01'!DE$2),"")=0,"",IFERROR(INDEX(Consulta!$A:$DS,MATCH('MM01'!$B8,Consulta!$C:$C,0),'MM01'!DE$2),""))</f>
        <v/>
      </c>
      <c r="DF8" s="100">
        <v>3458</v>
      </c>
      <c r="DG8" s="45">
        <v>0</v>
      </c>
      <c r="DH8" s="45">
        <v>0</v>
      </c>
      <c r="DI8" s="43" t="str">
        <f t="shared" si="3"/>
        <v/>
      </c>
      <c r="DJ8" s="43" t="str">
        <f t="shared" si="25"/>
        <v/>
      </c>
      <c r="DK8" s="57"/>
      <c r="DL8" s="43" t="str">
        <f t="shared" ca="1" si="26"/>
        <v/>
      </c>
      <c r="DM8" s="43" t="str">
        <f t="shared" si="27"/>
        <v/>
      </c>
      <c r="DN8" s="43" t="str">
        <f t="shared" si="28"/>
        <v/>
      </c>
      <c r="DO8" s="57"/>
      <c r="DP8" s="43" t="str">
        <f t="shared" ca="1" si="29"/>
        <v/>
      </c>
      <c r="DQ8" s="43" t="str">
        <f t="shared" si="30"/>
        <v/>
      </c>
      <c r="DR8" s="43" t="str">
        <f t="shared" si="31"/>
        <v/>
      </c>
      <c r="DS8" s="57"/>
      <c r="DT8" s="43" t="str">
        <f t="shared" ca="1" si="32"/>
        <v/>
      </c>
      <c r="DU8" s="43" t="str">
        <f t="shared" si="33"/>
        <v/>
      </c>
      <c r="DV8" s="43" t="str">
        <f t="shared" si="34"/>
        <v/>
      </c>
      <c r="DW8" s="57"/>
      <c r="DX8" s="43" t="str">
        <f t="shared" ca="1" si="35"/>
        <v/>
      </c>
      <c r="DY8" s="43" t="str">
        <f t="shared" si="36"/>
        <v/>
      </c>
      <c r="EA8" s="44">
        <v>0</v>
      </c>
      <c r="EB8" s="44" t="s">
        <v>761</v>
      </c>
      <c r="EC8" s="44">
        <v>30</v>
      </c>
      <c r="ED8" s="43">
        <f t="shared" si="4"/>
        <v>0.01</v>
      </c>
      <c r="EE8" s="43" t="str">
        <f t="shared" si="5"/>
        <v>M</v>
      </c>
      <c r="EF8" s="43" t="str">
        <f>IF(IFERROR(INDEX(Consulta!$A:$DS,MATCH('MM01'!$B8,Consulta!$C:$C,0),'MM01'!EF$2),"")=0,"7925",IF(IFERROR(INDEX(Consulta!$A:$DS,MATCH('MM01'!$B8,Consulta!$C:$C,0),'MM01'!EF$2),"")="68","7910","7925"))</f>
        <v>7925</v>
      </c>
      <c r="EG8" s="44">
        <v>100</v>
      </c>
      <c r="EH8" s="62">
        <v>1</v>
      </c>
      <c r="EI8" s="43">
        <f t="shared" si="37"/>
        <v>100</v>
      </c>
      <c r="EJ8" s="44">
        <v>1</v>
      </c>
      <c r="EK8" s="44">
        <v>0</v>
      </c>
      <c r="EL8" s="44" t="s">
        <v>859</v>
      </c>
      <c r="EM8" s="45">
        <v>0</v>
      </c>
      <c r="EN8" s="43">
        <f t="shared" si="38"/>
        <v>5000</v>
      </c>
      <c r="EO8" s="69"/>
    </row>
    <row r="9" spans="1:145" x14ac:dyDescent="0.2">
      <c r="A9" s="7" t="str">
        <f t="shared" si="6"/>
        <v>Execução 5</v>
      </c>
      <c r="B9" s="42"/>
      <c r="C9" s="43" t="str">
        <f>IF(IFERROR(INDEX(Consulta!$A:$DS,MATCH('MM01'!$B9,Consulta!$C:$C,0),'MM01'!C$2),"")=0,"",IFERROR(INDEX(Consulta!$A:$DS,MATCH('MM01'!$B9,Consulta!$C:$C,0),'MM01'!C$2),""))</f>
        <v/>
      </c>
      <c r="D9" s="43" t="str">
        <f>IF(IFERROR(INDEX(Consulta!$A:$DS,MATCH('MM01'!$B9,Consulta!$C:$C,0),'MM01'!D$2),"")=0,"",IFERROR(INDEX(Consulta!$A:$DS,MATCH('MM01'!$B9,Consulta!$C:$C,0),'MM01'!D$2),""))</f>
        <v/>
      </c>
      <c r="E9" s="43" t="str">
        <f>IF(IFERROR(INDEX(Consulta!$A:$DS,MATCH('MM01'!$B9,Consulta!$C:$C,0),'MM01'!E$2),"")=0,"",IFERROR(INDEX(Consulta!$A:$DS,MATCH('MM01'!$B9,Consulta!$C:$C,0),'MM01'!E$2),""))</f>
        <v/>
      </c>
      <c r="F9" s="44" t="s">
        <v>100</v>
      </c>
      <c r="G9" s="49" t="str">
        <f>IF(IFERROR(INDEX(Consulta!$A:$DS,MATCH('MM01'!$B9,Consulta!$C:$C,0),'MM01'!G$2),"")=0,"",IFERROR(INDEX(Consulta!$A:$DS,MATCH('MM01'!$B9,Consulta!$C:$C,0),'MM01'!G$2),""))</f>
        <v/>
      </c>
      <c r="H9" s="49" t="str">
        <f>IF(IFERROR(INDEX(Consulta!$A:$DS,MATCH('MM01'!$B9,Consulta!$C:$C,0),'MM01'!H$2),"")=0,"",IFERROR(INDEX(Consulta!$A:$DS,MATCH('MM01'!$B9,Consulta!$C:$C,0),'MM01'!H$2),""))</f>
        <v/>
      </c>
      <c r="I9" s="49" t="str">
        <f t="shared" si="7"/>
        <v/>
      </c>
      <c r="J9" s="49" t="str">
        <f>IF(IFERROR(INDEX(Consulta!$A:$DS,MATCH('MM01'!$B9,Consulta!$C:$C,0),'MM01'!J$2),"")=0,"",IFERROR(INDEX(Consulta!$A:$DS,MATCH('MM01'!$B9,Consulta!$C:$C,0),'MM01'!J$2),""))</f>
        <v/>
      </c>
      <c r="K9" s="49" t="str">
        <f t="shared" si="8"/>
        <v/>
      </c>
      <c r="M9" s="45" t="s">
        <v>101</v>
      </c>
      <c r="N9" s="45" t="s">
        <v>102</v>
      </c>
      <c r="O9" s="45" t="s">
        <v>103</v>
      </c>
      <c r="P9" s="45" t="s">
        <v>104</v>
      </c>
      <c r="Q9" s="45" t="s">
        <v>105</v>
      </c>
      <c r="R9" s="45" t="s">
        <v>106</v>
      </c>
      <c r="S9" s="45" t="s">
        <v>107</v>
      </c>
      <c r="T9" s="45"/>
      <c r="U9" s="45"/>
      <c r="V9" s="45"/>
      <c r="W9" s="45"/>
      <c r="X9" s="45" t="s">
        <v>112</v>
      </c>
      <c r="Y9" s="45" t="s">
        <v>113</v>
      </c>
      <c r="Z9" s="45" t="s">
        <v>114</v>
      </c>
      <c r="AA9" s="45" t="s">
        <v>115</v>
      </c>
      <c r="AB9" s="45" t="s">
        <v>117</v>
      </c>
      <c r="AC9" s="45" t="s">
        <v>118</v>
      </c>
      <c r="AD9" s="45" t="s">
        <v>119</v>
      </c>
      <c r="AE9" s="45" t="s">
        <v>120</v>
      </c>
      <c r="AF9" s="45" t="s">
        <v>121</v>
      </c>
      <c r="AG9" s="45" t="s">
        <v>122</v>
      </c>
      <c r="AH9" s="45" t="s">
        <v>123</v>
      </c>
      <c r="AI9" s="45" t="s">
        <v>124</v>
      </c>
      <c r="AJ9" s="45" t="s">
        <v>125</v>
      </c>
      <c r="AK9" s="45" t="s">
        <v>126</v>
      </c>
      <c r="AL9" s="45"/>
      <c r="AM9" s="45"/>
      <c r="AO9" s="44" t="s">
        <v>100</v>
      </c>
      <c r="AP9" s="43" t="str">
        <f>IF(IFERROR(INDEX(Consulta!$A:$DS,MATCH('MM01'!$B9,Consulta!$C:$C,0),'MM01'!AP$2),"")=0,"",IFERROR(INDEX(Consulta!$A:$DS,MATCH('MM01'!$B9,Consulta!$C:$C,0),'MM01'!AP$2),""))</f>
        <v/>
      </c>
      <c r="AQ9" s="45"/>
      <c r="AR9" s="43" t="str">
        <f>IF(IFERROR(INDEX(Consulta!$A:$DS,MATCH('MM01'!$B9,Consulta!$C:$C,0),'MM01'!AR$2),"")=0,"",IFERROR(INDEX(Consulta!$A:$DS,MATCH('MM01'!$B9,Consulta!$C:$C,0),'MM01'!AR$2),""))</f>
        <v/>
      </c>
      <c r="AS9" s="43" t="str">
        <f>IF(IFERROR(INDEX(Consulta!$A:$DS,MATCH('MM01'!$B9,Consulta!$C:$C,0),'MM01'!AS$2),"")=0,"",IF(AR9="68",5102,IFERROR(INDEX(Consulta!$A:$DS,MATCH('MM01'!$B9,Consulta!$C:$C,0),'MM01'!AS$2),"")))</f>
        <v/>
      </c>
      <c r="AT9" s="45"/>
      <c r="AU9" s="46" t="str">
        <f t="shared" ca="1" si="9"/>
        <v/>
      </c>
      <c r="AV9" s="47" t="s">
        <v>783</v>
      </c>
      <c r="AW9" s="43" t="str">
        <f>IF(IFERROR(INDEX(Consulta!$A:$DS,MATCH('MM01'!$B9,Consulta!$C:$C,0),'MM01'!AW$2),"")=0,"",IFERROR(ROUND(INDEX(Consulta!$A:$DS,MATCH('MM01'!$B9,Consulta!$C:$C,0),'MM01'!AW$2),3),""))</f>
        <v/>
      </c>
      <c r="AX9" s="43" t="str">
        <f t="shared" si="10"/>
        <v/>
      </c>
      <c r="AY9" s="48" t="s">
        <v>299</v>
      </c>
      <c r="AZ9" s="48"/>
      <c r="BA9" s="43" t="str">
        <f>IF(IFERROR(INDEX(Consulta!$A:$DS,MATCH('MM01'!$B9,Consulta!$C:$C,0),'MM01'!BA$2),"")=0,"",IFERROR(INDEX(Consulta!$A:$DS,MATCH('MM01'!$B9,Consulta!$C:$C,0),'MM01'!BA$2),""))</f>
        <v/>
      </c>
      <c r="BB9" s="43" t="str">
        <f t="shared" si="11"/>
        <v/>
      </c>
      <c r="BC9" s="43" t="str">
        <f t="shared" si="12"/>
        <v/>
      </c>
      <c r="BD9" s="43" t="str">
        <f t="shared" si="13"/>
        <v/>
      </c>
      <c r="BE9" s="43" t="str">
        <f t="shared" si="14"/>
        <v>M</v>
      </c>
      <c r="BF9" s="43" t="str">
        <f t="shared" si="15"/>
        <v/>
      </c>
      <c r="BG9" s="43" t="str">
        <f t="shared" si="16"/>
        <v/>
      </c>
      <c r="BH9" s="43" t="str">
        <f t="shared" si="17"/>
        <v/>
      </c>
      <c r="BI9" s="43" t="str">
        <f t="shared" si="18"/>
        <v>M</v>
      </c>
      <c r="BK9" s="45" t="s">
        <v>789</v>
      </c>
      <c r="BL9" s="43" t="str">
        <f>IF(IFERROR(INDEX(Consulta!$A:$DS,MATCH('MM01'!$B9,Consulta!$C:$C,0),'MM01'!BL$2),"")=0,"",IFERROR(INDEX(Consulta!$A:$DS,MATCH('MM01'!$B9,Consulta!$C:$C,0),'MM01'!BL$2),""))</f>
        <v/>
      </c>
      <c r="BM9" s="45"/>
      <c r="BN9" s="46" t="str">
        <f t="shared" ca="1" si="19"/>
        <v/>
      </c>
      <c r="BO9" s="49" t="str">
        <f t="shared" si="20"/>
        <v/>
      </c>
      <c r="BP9" s="50">
        <v>1</v>
      </c>
      <c r="BQ9" s="50" t="s">
        <v>194</v>
      </c>
      <c r="BR9" s="50" t="s">
        <v>194</v>
      </c>
      <c r="BS9" s="50" t="s">
        <v>783</v>
      </c>
      <c r="BT9" s="44">
        <v>1</v>
      </c>
      <c r="BU9" s="44" t="s">
        <v>372</v>
      </c>
      <c r="BV9" s="50" t="s">
        <v>197</v>
      </c>
      <c r="BW9" s="50" t="s">
        <v>197</v>
      </c>
      <c r="BX9" s="43" t="str">
        <f>IF(IFERROR(INDEX(Consulta!$A:$DS,MATCH('MM01'!$B9,Consulta!$C:$C,0),'MM01'!BX$2),"")=0,"",IFERROR(INDEX(Consulta!$A:$DS,MATCH('MM01'!$B9,Consulta!$C:$C,0),'MM01'!BX$2),""))</f>
        <v/>
      </c>
      <c r="BY9" s="44" t="s">
        <v>392</v>
      </c>
      <c r="BZ9" s="50">
        <v>0</v>
      </c>
      <c r="CA9" s="45" t="s">
        <v>403</v>
      </c>
      <c r="CB9" s="45" t="s">
        <v>84</v>
      </c>
      <c r="CC9" s="43" t="str">
        <f t="shared" si="21"/>
        <v/>
      </c>
      <c r="CD9" s="45" t="s">
        <v>430</v>
      </c>
      <c r="CE9" s="45">
        <v>1</v>
      </c>
      <c r="CF9" s="45" t="s">
        <v>496</v>
      </c>
      <c r="CG9" s="45"/>
      <c r="CH9" s="44"/>
      <c r="CI9" s="49" t="str">
        <f t="shared" si="22"/>
        <v/>
      </c>
      <c r="CJ9" s="49" t="str">
        <f t="shared" si="23"/>
        <v/>
      </c>
      <c r="CK9" s="45"/>
      <c r="CL9" s="44">
        <v>5</v>
      </c>
      <c r="CM9" s="44">
        <v>1</v>
      </c>
      <c r="CN9" s="44">
        <v>1</v>
      </c>
      <c r="CO9" s="44">
        <v>1</v>
      </c>
      <c r="CP9" s="50" t="s">
        <v>515</v>
      </c>
      <c r="CQ9" s="44" t="s">
        <v>372</v>
      </c>
      <c r="CR9" s="44">
        <v>2</v>
      </c>
      <c r="CS9" s="44">
        <v>42</v>
      </c>
      <c r="CT9" s="44">
        <v>10</v>
      </c>
      <c r="CU9" s="43" t="str">
        <f t="shared" si="24"/>
        <v>K00_P_PURL_</v>
      </c>
      <c r="CV9" s="45">
        <v>5000</v>
      </c>
      <c r="CW9" s="43" t="str">
        <f t="shared" si="0"/>
        <v/>
      </c>
      <c r="CX9" s="43" t="str">
        <f t="shared" si="1"/>
        <v/>
      </c>
      <c r="CY9" s="43" t="str">
        <f>IF(IFERROR(INDEX(Consulta!$A:$DS,MATCH('MM01'!$B9,Consulta!$C:$C,0),'MM01'!CY$2),"")=0,"",IFERROR(INDEX(Consulta!$A:$DS,MATCH('MM01'!$B9,Consulta!$C:$C,0),'MM01'!CY$2),""))</f>
        <v/>
      </c>
      <c r="CZ9" s="43" t="str">
        <f t="shared" si="2"/>
        <v/>
      </c>
      <c r="DA9" s="43" t="str">
        <f>IF(IFERROR(INDEX(Consulta!$A:$DS,MATCH('MM01'!$B9,Consulta!$C:$C,0),'MM01'!DA$2),"")=0,"",IFERROR(INDEX(Consulta!$A:$DS,MATCH('MM01'!$B9,Consulta!$C:$C,0),'MM01'!DA$2),""))</f>
        <v/>
      </c>
      <c r="DB9" s="43" t="str">
        <f>IF(IFERROR(INDEX(Consulta!$A:$DS,MATCH('MM01'!$B9,Consulta!$C:$C,0),'MM01'!DB$2),"")=0,"",IFERROR(INDEX(Consulta!$A:$DS,MATCH('MM01'!$B9,Consulta!$C:$C,0),'MM01'!DB$2),""))</f>
        <v/>
      </c>
      <c r="DC9" s="43" t="str">
        <f>IF(IFERROR(INDEX(Consulta!$A:$DS,MATCH('MM01'!$B9,Consulta!$C:$C,0),'MM01'!DC$2),"")=0,"",IFERROR(INDEX(Consulta!$A:$DS,MATCH('MM01'!$B9,Consulta!$C:$C,0),'MM01'!DC$2),""))</f>
        <v/>
      </c>
      <c r="DD9" s="43" t="str">
        <f>IF(IFERROR(INDEX(Consulta!$A:$DS,MATCH('MM01'!$B9,Consulta!$C:$C,0),'MM01'!DD$2),"")=0,"",IFERROR(INDEX(Consulta!$A:$DS,MATCH('MM01'!$B9,Consulta!$C:$C,0),'MM01'!DD$2),""))</f>
        <v/>
      </c>
      <c r="DE9" s="43" t="str">
        <f>IF(IFERROR(INDEX(Consulta!$A:$DS,MATCH('MM01'!$B9,Consulta!$C:$C,0),'MM01'!DE$2),"")=0,"",IFERROR(INDEX(Consulta!$A:$DS,MATCH('MM01'!$B9,Consulta!$C:$C,0),'MM01'!DE$2),""))</f>
        <v/>
      </c>
      <c r="DF9" s="100">
        <v>3458</v>
      </c>
      <c r="DG9" s="45">
        <v>0</v>
      </c>
      <c r="DH9" s="45">
        <v>0</v>
      </c>
      <c r="DI9" s="43" t="str">
        <f t="shared" si="3"/>
        <v/>
      </c>
      <c r="DJ9" s="43" t="str">
        <f t="shared" si="25"/>
        <v/>
      </c>
      <c r="DK9" s="57"/>
      <c r="DL9" s="43" t="str">
        <f t="shared" ca="1" si="26"/>
        <v/>
      </c>
      <c r="DM9" s="43" t="str">
        <f t="shared" si="27"/>
        <v/>
      </c>
      <c r="DN9" s="43" t="str">
        <f t="shared" si="28"/>
        <v/>
      </c>
      <c r="DO9" s="57"/>
      <c r="DP9" s="43" t="str">
        <f t="shared" ca="1" si="29"/>
        <v/>
      </c>
      <c r="DQ9" s="43" t="str">
        <f t="shared" si="30"/>
        <v/>
      </c>
      <c r="DR9" s="43" t="str">
        <f t="shared" si="31"/>
        <v/>
      </c>
      <c r="DS9" s="57"/>
      <c r="DT9" s="43" t="str">
        <f t="shared" ca="1" si="32"/>
        <v/>
      </c>
      <c r="DU9" s="43" t="str">
        <f t="shared" si="33"/>
        <v/>
      </c>
      <c r="DV9" s="43" t="str">
        <f t="shared" si="34"/>
        <v/>
      </c>
      <c r="DW9" s="57"/>
      <c r="DX9" s="43" t="str">
        <f t="shared" ca="1" si="35"/>
        <v/>
      </c>
      <c r="DY9" s="43" t="str">
        <f t="shared" si="36"/>
        <v/>
      </c>
      <c r="EA9" s="44">
        <v>0</v>
      </c>
      <c r="EB9" s="44" t="s">
        <v>761</v>
      </c>
      <c r="EC9" s="44">
        <v>30</v>
      </c>
      <c r="ED9" s="43">
        <f t="shared" si="4"/>
        <v>0.01</v>
      </c>
      <c r="EE9" s="43" t="str">
        <f t="shared" si="5"/>
        <v>M</v>
      </c>
      <c r="EF9" s="43" t="str">
        <f>IF(IFERROR(INDEX(Consulta!$A:$DS,MATCH('MM01'!$B9,Consulta!$C:$C,0),'MM01'!EF$2),"")=0,"7925",IF(IFERROR(INDEX(Consulta!$A:$DS,MATCH('MM01'!$B9,Consulta!$C:$C,0),'MM01'!EF$2),"")="68","7910","7925"))</f>
        <v>7925</v>
      </c>
      <c r="EG9" s="44">
        <v>100</v>
      </c>
      <c r="EH9" s="62">
        <v>1</v>
      </c>
      <c r="EI9" s="43">
        <f t="shared" si="37"/>
        <v>100</v>
      </c>
      <c r="EJ9" s="44">
        <v>1</v>
      </c>
      <c r="EK9" s="44">
        <v>0</v>
      </c>
      <c r="EL9" s="44" t="s">
        <v>859</v>
      </c>
      <c r="EM9" s="45">
        <v>0</v>
      </c>
      <c r="EN9" s="43">
        <f t="shared" si="38"/>
        <v>5000</v>
      </c>
      <c r="EO9" s="69"/>
    </row>
    <row r="10" spans="1:145" x14ac:dyDescent="0.2">
      <c r="A10" s="7" t="str">
        <f t="shared" si="6"/>
        <v>Execução 6</v>
      </c>
      <c r="B10" s="42"/>
      <c r="C10" s="43" t="str">
        <f>IF(IFERROR(INDEX(Consulta!$A:$DS,MATCH('MM01'!$B10,Consulta!$C:$C,0),'MM01'!C$2),"")=0,"",IFERROR(INDEX(Consulta!$A:$DS,MATCH('MM01'!$B10,Consulta!$C:$C,0),'MM01'!C$2),""))</f>
        <v/>
      </c>
      <c r="D10" s="43" t="str">
        <f>IF(IFERROR(INDEX(Consulta!$A:$DS,MATCH('MM01'!$B10,Consulta!$C:$C,0),'MM01'!D$2),"")=0,"",IFERROR(INDEX(Consulta!$A:$DS,MATCH('MM01'!$B10,Consulta!$C:$C,0),'MM01'!D$2),""))</f>
        <v/>
      </c>
      <c r="E10" s="43" t="str">
        <f>IF(IFERROR(INDEX(Consulta!$A:$DS,MATCH('MM01'!$B10,Consulta!$C:$C,0),'MM01'!E$2),"")=0,"",IFERROR(INDEX(Consulta!$A:$DS,MATCH('MM01'!$B10,Consulta!$C:$C,0),'MM01'!E$2),""))</f>
        <v/>
      </c>
      <c r="F10" s="44" t="s">
        <v>100</v>
      </c>
      <c r="G10" s="49" t="str">
        <f>IF(IFERROR(INDEX(Consulta!$A:$DS,MATCH('MM01'!$B10,Consulta!$C:$C,0),'MM01'!G$2),"")=0,"",IFERROR(INDEX(Consulta!$A:$DS,MATCH('MM01'!$B10,Consulta!$C:$C,0),'MM01'!G$2),""))</f>
        <v/>
      </c>
      <c r="H10" s="49" t="str">
        <f>IF(IFERROR(INDEX(Consulta!$A:$DS,MATCH('MM01'!$B10,Consulta!$C:$C,0),'MM01'!H$2),"")=0,"",IFERROR(INDEX(Consulta!$A:$DS,MATCH('MM01'!$B10,Consulta!$C:$C,0),'MM01'!H$2),""))</f>
        <v/>
      </c>
      <c r="I10" s="49" t="str">
        <f t="shared" si="7"/>
        <v/>
      </c>
      <c r="J10" s="49" t="str">
        <f>IF(IFERROR(INDEX(Consulta!$A:$DS,MATCH('MM01'!$B10,Consulta!$C:$C,0),'MM01'!J$2),"")=0,"",IFERROR(INDEX(Consulta!$A:$DS,MATCH('MM01'!$B10,Consulta!$C:$C,0),'MM01'!J$2),""))</f>
        <v/>
      </c>
      <c r="K10" s="49" t="str">
        <f t="shared" si="8"/>
        <v/>
      </c>
      <c r="M10" s="45" t="s">
        <v>101</v>
      </c>
      <c r="N10" s="45" t="s">
        <v>102</v>
      </c>
      <c r="O10" s="45" t="s">
        <v>103</v>
      </c>
      <c r="P10" s="45" t="s">
        <v>104</v>
      </c>
      <c r="Q10" s="45" t="s">
        <v>105</v>
      </c>
      <c r="R10" s="45" t="s">
        <v>106</v>
      </c>
      <c r="S10" s="45" t="s">
        <v>107</v>
      </c>
      <c r="T10" s="45"/>
      <c r="U10" s="45"/>
      <c r="V10" s="45"/>
      <c r="W10" s="45"/>
      <c r="X10" s="45" t="s">
        <v>112</v>
      </c>
      <c r="Y10" s="45" t="s">
        <v>113</v>
      </c>
      <c r="Z10" s="45" t="s">
        <v>114</v>
      </c>
      <c r="AA10" s="45" t="s">
        <v>115</v>
      </c>
      <c r="AB10" s="45" t="s">
        <v>117</v>
      </c>
      <c r="AC10" s="45" t="s">
        <v>118</v>
      </c>
      <c r="AD10" s="45" t="s">
        <v>119</v>
      </c>
      <c r="AE10" s="45" t="s">
        <v>120</v>
      </c>
      <c r="AF10" s="45" t="s">
        <v>121</v>
      </c>
      <c r="AG10" s="45" t="s">
        <v>122</v>
      </c>
      <c r="AH10" s="45" t="s">
        <v>123</v>
      </c>
      <c r="AI10" s="45" t="s">
        <v>124</v>
      </c>
      <c r="AJ10" s="45" t="s">
        <v>125</v>
      </c>
      <c r="AK10" s="45" t="s">
        <v>126</v>
      </c>
      <c r="AL10" s="45"/>
      <c r="AM10" s="45"/>
      <c r="AO10" s="44" t="s">
        <v>100</v>
      </c>
      <c r="AP10" s="43" t="str">
        <f>IF(IFERROR(INDEX(Consulta!$A:$DS,MATCH('MM01'!$B10,Consulta!$C:$C,0),'MM01'!AP$2),"")=0,"",IFERROR(INDEX(Consulta!$A:$DS,MATCH('MM01'!$B10,Consulta!$C:$C,0),'MM01'!AP$2),""))</f>
        <v/>
      </c>
      <c r="AQ10" s="45"/>
      <c r="AR10" s="43" t="str">
        <f>IF(IFERROR(INDEX(Consulta!$A:$DS,MATCH('MM01'!$B10,Consulta!$C:$C,0),'MM01'!AR$2),"")=0,"",IFERROR(INDEX(Consulta!$A:$DS,MATCH('MM01'!$B10,Consulta!$C:$C,0),'MM01'!AR$2),""))</f>
        <v/>
      </c>
      <c r="AS10" s="43" t="str">
        <f>IF(IFERROR(INDEX(Consulta!$A:$DS,MATCH('MM01'!$B10,Consulta!$C:$C,0),'MM01'!AS$2),"")=0,"",IF(AR10="68",5102,IFERROR(INDEX(Consulta!$A:$DS,MATCH('MM01'!$B10,Consulta!$C:$C,0),'MM01'!AS$2),"")))</f>
        <v/>
      </c>
      <c r="AT10" s="45"/>
      <c r="AU10" s="46" t="str">
        <f t="shared" ca="1" si="9"/>
        <v/>
      </c>
      <c r="AV10" s="47" t="s">
        <v>783</v>
      </c>
      <c r="AW10" s="43" t="str">
        <f>IF(IFERROR(INDEX(Consulta!$A:$DS,MATCH('MM01'!$B10,Consulta!$C:$C,0),'MM01'!AW$2),"")=0,"",IFERROR(ROUND(INDEX(Consulta!$A:$DS,MATCH('MM01'!$B10,Consulta!$C:$C,0),'MM01'!AW$2),3),""))</f>
        <v/>
      </c>
      <c r="AX10" s="43" t="str">
        <f t="shared" si="10"/>
        <v/>
      </c>
      <c r="AY10" s="48" t="s">
        <v>299</v>
      </c>
      <c r="AZ10" s="48"/>
      <c r="BA10" s="43" t="str">
        <f>IF(IFERROR(INDEX(Consulta!$A:$DS,MATCH('MM01'!$B10,Consulta!$C:$C,0),'MM01'!BA$2),"")=0,"",IFERROR(INDEX(Consulta!$A:$DS,MATCH('MM01'!$B10,Consulta!$C:$C,0),'MM01'!BA$2),""))</f>
        <v/>
      </c>
      <c r="BB10" s="43" t="str">
        <f t="shared" si="11"/>
        <v/>
      </c>
      <c r="BC10" s="43" t="str">
        <f t="shared" si="12"/>
        <v/>
      </c>
      <c r="BD10" s="43" t="str">
        <f t="shared" si="13"/>
        <v/>
      </c>
      <c r="BE10" s="43" t="str">
        <f t="shared" si="14"/>
        <v>M</v>
      </c>
      <c r="BF10" s="43" t="str">
        <f t="shared" si="15"/>
        <v/>
      </c>
      <c r="BG10" s="43" t="str">
        <f t="shared" si="16"/>
        <v/>
      </c>
      <c r="BH10" s="43" t="str">
        <f t="shared" si="17"/>
        <v/>
      </c>
      <c r="BI10" s="43" t="str">
        <f t="shared" si="18"/>
        <v>M</v>
      </c>
      <c r="BK10" s="45" t="s">
        <v>789</v>
      </c>
      <c r="BL10" s="43" t="str">
        <f>IF(IFERROR(INDEX(Consulta!$A:$DS,MATCH('MM01'!$B10,Consulta!$C:$C,0),'MM01'!BL$2),"")=0,"",IFERROR(INDEX(Consulta!$A:$DS,MATCH('MM01'!$B10,Consulta!$C:$C,0),'MM01'!BL$2),""))</f>
        <v/>
      </c>
      <c r="BM10" s="45"/>
      <c r="BN10" s="46" t="str">
        <f t="shared" ca="1" si="19"/>
        <v/>
      </c>
      <c r="BO10" s="49" t="str">
        <f t="shared" si="20"/>
        <v/>
      </c>
      <c r="BP10" s="50">
        <v>1</v>
      </c>
      <c r="BQ10" s="50" t="s">
        <v>194</v>
      </c>
      <c r="BR10" s="50" t="s">
        <v>194</v>
      </c>
      <c r="BS10" s="50" t="s">
        <v>783</v>
      </c>
      <c r="BT10" s="44">
        <v>1</v>
      </c>
      <c r="BU10" s="44" t="s">
        <v>372</v>
      </c>
      <c r="BV10" s="50" t="s">
        <v>197</v>
      </c>
      <c r="BW10" s="50" t="s">
        <v>197</v>
      </c>
      <c r="BX10" s="43" t="str">
        <f>IF(IFERROR(INDEX(Consulta!$A:$DS,MATCH('MM01'!$B10,Consulta!$C:$C,0),'MM01'!BX$2),"")=0,"",IFERROR(INDEX(Consulta!$A:$DS,MATCH('MM01'!$B10,Consulta!$C:$C,0),'MM01'!BX$2),""))</f>
        <v/>
      </c>
      <c r="BY10" s="44" t="s">
        <v>392</v>
      </c>
      <c r="BZ10" s="50">
        <v>0</v>
      </c>
      <c r="CA10" s="45" t="s">
        <v>403</v>
      </c>
      <c r="CB10" s="45" t="s">
        <v>84</v>
      </c>
      <c r="CC10" s="43" t="str">
        <f t="shared" si="21"/>
        <v/>
      </c>
      <c r="CD10" s="45" t="s">
        <v>430</v>
      </c>
      <c r="CE10" s="45">
        <v>1</v>
      </c>
      <c r="CF10" s="45" t="s">
        <v>496</v>
      </c>
      <c r="CG10" s="45"/>
      <c r="CH10" s="44"/>
      <c r="CI10" s="49" t="str">
        <f t="shared" si="22"/>
        <v/>
      </c>
      <c r="CJ10" s="49" t="str">
        <f t="shared" si="23"/>
        <v/>
      </c>
      <c r="CK10" s="45"/>
      <c r="CL10" s="44">
        <v>5</v>
      </c>
      <c r="CM10" s="44">
        <v>1</v>
      </c>
      <c r="CN10" s="44">
        <v>1</v>
      </c>
      <c r="CO10" s="44">
        <v>1</v>
      </c>
      <c r="CP10" s="50" t="s">
        <v>515</v>
      </c>
      <c r="CQ10" s="44" t="s">
        <v>372</v>
      </c>
      <c r="CR10" s="44">
        <v>2</v>
      </c>
      <c r="CS10" s="44">
        <v>42</v>
      </c>
      <c r="CT10" s="44">
        <v>10</v>
      </c>
      <c r="CU10" s="43" t="str">
        <f t="shared" si="24"/>
        <v>K00_P_PURL_</v>
      </c>
      <c r="CV10" s="45">
        <v>5000</v>
      </c>
      <c r="CW10" s="43" t="str">
        <f t="shared" si="0"/>
        <v/>
      </c>
      <c r="CX10" s="43" t="str">
        <f t="shared" si="1"/>
        <v/>
      </c>
      <c r="CY10" s="43" t="str">
        <f>IF(IFERROR(INDEX(Consulta!$A:$DS,MATCH('MM01'!$B10,Consulta!$C:$C,0),'MM01'!CY$2),"")=0,"",IFERROR(INDEX(Consulta!$A:$DS,MATCH('MM01'!$B10,Consulta!$C:$C,0),'MM01'!CY$2),""))</f>
        <v/>
      </c>
      <c r="CZ10" s="43" t="str">
        <f t="shared" si="2"/>
        <v/>
      </c>
      <c r="DA10" s="43" t="str">
        <f>IF(IFERROR(INDEX(Consulta!$A:$DS,MATCH('MM01'!$B10,Consulta!$C:$C,0),'MM01'!DA$2),"")=0,"",IFERROR(INDEX(Consulta!$A:$DS,MATCH('MM01'!$B10,Consulta!$C:$C,0),'MM01'!DA$2),""))</f>
        <v/>
      </c>
      <c r="DB10" s="43" t="str">
        <f>IF(IFERROR(INDEX(Consulta!$A:$DS,MATCH('MM01'!$B10,Consulta!$C:$C,0),'MM01'!DB$2),"")=0,"",IFERROR(INDEX(Consulta!$A:$DS,MATCH('MM01'!$B10,Consulta!$C:$C,0),'MM01'!DB$2),""))</f>
        <v/>
      </c>
      <c r="DC10" s="43" t="str">
        <f>IF(IFERROR(INDEX(Consulta!$A:$DS,MATCH('MM01'!$B10,Consulta!$C:$C,0),'MM01'!DC$2),"")=0,"",IFERROR(INDEX(Consulta!$A:$DS,MATCH('MM01'!$B10,Consulta!$C:$C,0),'MM01'!DC$2),""))</f>
        <v/>
      </c>
      <c r="DD10" s="43" t="str">
        <f>IF(IFERROR(INDEX(Consulta!$A:$DS,MATCH('MM01'!$B10,Consulta!$C:$C,0),'MM01'!DD$2),"")=0,"",IFERROR(INDEX(Consulta!$A:$DS,MATCH('MM01'!$B10,Consulta!$C:$C,0),'MM01'!DD$2),""))</f>
        <v/>
      </c>
      <c r="DE10" s="43" t="str">
        <f>IF(IFERROR(INDEX(Consulta!$A:$DS,MATCH('MM01'!$B10,Consulta!$C:$C,0),'MM01'!DE$2),"")=0,"",IFERROR(INDEX(Consulta!$A:$DS,MATCH('MM01'!$B10,Consulta!$C:$C,0),'MM01'!DE$2),""))</f>
        <v/>
      </c>
      <c r="DF10" s="100">
        <v>3458</v>
      </c>
      <c r="DG10" s="45">
        <v>0</v>
      </c>
      <c r="DH10" s="45">
        <v>0</v>
      </c>
      <c r="DI10" s="43" t="str">
        <f t="shared" si="3"/>
        <v/>
      </c>
      <c r="DJ10" s="43" t="str">
        <f t="shared" si="25"/>
        <v/>
      </c>
      <c r="DK10" s="57"/>
      <c r="DL10" s="43" t="str">
        <f t="shared" ca="1" si="26"/>
        <v/>
      </c>
      <c r="DM10" s="43" t="str">
        <f t="shared" si="27"/>
        <v/>
      </c>
      <c r="DN10" s="43" t="str">
        <f t="shared" si="28"/>
        <v/>
      </c>
      <c r="DO10" s="57"/>
      <c r="DP10" s="43" t="str">
        <f t="shared" ca="1" si="29"/>
        <v/>
      </c>
      <c r="DQ10" s="43" t="str">
        <f t="shared" si="30"/>
        <v/>
      </c>
      <c r="DR10" s="43" t="str">
        <f t="shared" si="31"/>
        <v/>
      </c>
      <c r="DS10" s="57"/>
      <c r="DT10" s="43" t="str">
        <f t="shared" ca="1" si="32"/>
        <v/>
      </c>
      <c r="DU10" s="43" t="str">
        <f t="shared" si="33"/>
        <v/>
      </c>
      <c r="DV10" s="43" t="str">
        <f t="shared" si="34"/>
        <v/>
      </c>
      <c r="DW10" s="57"/>
      <c r="DX10" s="43" t="str">
        <f t="shared" ca="1" si="35"/>
        <v/>
      </c>
      <c r="DY10" s="43" t="str">
        <f t="shared" si="36"/>
        <v/>
      </c>
      <c r="EA10" s="44">
        <v>0</v>
      </c>
      <c r="EB10" s="44" t="s">
        <v>761</v>
      </c>
      <c r="EC10" s="44">
        <v>30</v>
      </c>
      <c r="ED10" s="43">
        <f t="shared" si="4"/>
        <v>0.01</v>
      </c>
      <c r="EE10" s="43" t="str">
        <f t="shared" si="5"/>
        <v>M</v>
      </c>
      <c r="EF10" s="43" t="str">
        <f>IF(IFERROR(INDEX(Consulta!$A:$DS,MATCH('MM01'!$B10,Consulta!$C:$C,0),'MM01'!EF$2),"")=0,"7925",IF(IFERROR(INDEX(Consulta!$A:$DS,MATCH('MM01'!$B10,Consulta!$C:$C,0),'MM01'!EF$2),"")="68","7910","7925"))</f>
        <v>7925</v>
      </c>
      <c r="EG10" s="44">
        <v>100</v>
      </c>
      <c r="EH10" s="62">
        <v>1</v>
      </c>
      <c r="EI10" s="43">
        <f t="shared" si="37"/>
        <v>100</v>
      </c>
      <c r="EJ10" s="44">
        <v>1</v>
      </c>
      <c r="EK10" s="44">
        <v>0</v>
      </c>
      <c r="EL10" s="44" t="s">
        <v>859</v>
      </c>
      <c r="EM10" s="45">
        <v>0</v>
      </c>
      <c r="EN10" s="43">
        <f t="shared" si="38"/>
        <v>5000</v>
      </c>
      <c r="EO10" s="69"/>
    </row>
    <row r="11" spans="1:145" x14ac:dyDescent="0.2">
      <c r="A11" s="7" t="str">
        <f t="shared" si="6"/>
        <v>Execução 7</v>
      </c>
      <c r="B11" s="42"/>
      <c r="C11" s="43" t="str">
        <f>IF(IFERROR(INDEX(Consulta!$A:$DS,MATCH('MM01'!$B11,Consulta!$C:$C,0),'MM01'!C$2),"")=0,"",IFERROR(INDEX(Consulta!$A:$DS,MATCH('MM01'!$B11,Consulta!$C:$C,0),'MM01'!C$2),""))</f>
        <v/>
      </c>
      <c r="D11" s="43" t="str">
        <f>IF(IFERROR(INDEX(Consulta!$A:$DS,MATCH('MM01'!$B11,Consulta!$C:$C,0),'MM01'!D$2),"")=0,"",IFERROR(INDEX(Consulta!$A:$DS,MATCH('MM01'!$B11,Consulta!$C:$C,0),'MM01'!D$2),""))</f>
        <v/>
      </c>
      <c r="E11" s="43" t="str">
        <f>IF(IFERROR(INDEX(Consulta!$A:$DS,MATCH('MM01'!$B11,Consulta!$C:$C,0),'MM01'!E$2),"")=0,"",IFERROR(INDEX(Consulta!$A:$DS,MATCH('MM01'!$B11,Consulta!$C:$C,0),'MM01'!E$2),""))</f>
        <v/>
      </c>
      <c r="F11" s="44" t="s">
        <v>100</v>
      </c>
      <c r="G11" s="49" t="str">
        <f>IF(IFERROR(INDEX(Consulta!$A:$DS,MATCH('MM01'!$B11,Consulta!$C:$C,0),'MM01'!G$2),"")=0,"",IFERROR(INDEX(Consulta!$A:$DS,MATCH('MM01'!$B11,Consulta!$C:$C,0),'MM01'!G$2),""))</f>
        <v/>
      </c>
      <c r="H11" s="49" t="str">
        <f>IF(IFERROR(INDEX(Consulta!$A:$DS,MATCH('MM01'!$B11,Consulta!$C:$C,0),'MM01'!H$2),"")=0,"",IFERROR(INDEX(Consulta!$A:$DS,MATCH('MM01'!$B11,Consulta!$C:$C,0),'MM01'!H$2),""))</f>
        <v/>
      </c>
      <c r="I11" s="49" t="str">
        <f t="shared" si="7"/>
        <v/>
      </c>
      <c r="J11" s="49" t="str">
        <f>IF(IFERROR(INDEX(Consulta!$A:$DS,MATCH('MM01'!$B11,Consulta!$C:$C,0),'MM01'!J$2),"")=0,"",IFERROR(INDEX(Consulta!$A:$DS,MATCH('MM01'!$B11,Consulta!$C:$C,0),'MM01'!J$2),""))</f>
        <v/>
      </c>
      <c r="K11" s="49" t="str">
        <f t="shared" si="8"/>
        <v/>
      </c>
      <c r="M11" s="45" t="s">
        <v>101</v>
      </c>
      <c r="N11" s="45" t="s">
        <v>102</v>
      </c>
      <c r="O11" s="45" t="s">
        <v>103</v>
      </c>
      <c r="P11" s="45" t="s">
        <v>104</v>
      </c>
      <c r="Q11" s="45" t="s">
        <v>105</v>
      </c>
      <c r="R11" s="45" t="s">
        <v>106</v>
      </c>
      <c r="S11" s="45" t="s">
        <v>107</v>
      </c>
      <c r="T11" s="45"/>
      <c r="U11" s="45"/>
      <c r="V11" s="45"/>
      <c r="W11" s="45"/>
      <c r="X11" s="45" t="s">
        <v>112</v>
      </c>
      <c r="Y11" s="45" t="s">
        <v>113</v>
      </c>
      <c r="Z11" s="45" t="s">
        <v>114</v>
      </c>
      <c r="AA11" s="45" t="s">
        <v>115</v>
      </c>
      <c r="AB11" s="45" t="s">
        <v>117</v>
      </c>
      <c r="AC11" s="45" t="s">
        <v>118</v>
      </c>
      <c r="AD11" s="45" t="s">
        <v>119</v>
      </c>
      <c r="AE11" s="45" t="s">
        <v>120</v>
      </c>
      <c r="AF11" s="45" t="s">
        <v>121</v>
      </c>
      <c r="AG11" s="45" t="s">
        <v>122</v>
      </c>
      <c r="AH11" s="45" t="s">
        <v>123</v>
      </c>
      <c r="AI11" s="45" t="s">
        <v>124</v>
      </c>
      <c r="AJ11" s="45" t="s">
        <v>125</v>
      </c>
      <c r="AK11" s="45" t="s">
        <v>126</v>
      </c>
      <c r="AL11" s="45"/>
      <c r="AM11" s="45"/>
      <c r="AO11" s="44" t="s">
        <v>100</v>
      </c>
      <c r="AP11" s="43" t="str">
        <f>IF(IFERROR(INDEX(Consulta!$A:$DS,MATCH('MM01'!$B11,Consulta!$C:$C,0),'MM01'!AP$2),"")=0,"",IFERROR(INDEX(Consulta!$A:$DS,MATCH('MM01'!$B11,Consulta!$C:$C,0),'MM01'!AP$2),""))</f>
        <v/>
      </c>
      <c r="AQ11" s="45"/>
      <c r="AR11" s="43" t="str">
        <f>IF(IFERROR(INDEX(Consulta!$A:$DS,MATCH('MM01'!$B11,Consulta!$C:$C,0),'MM01'!AR$2),"")=0,"",IFERROR(INDEX(Consulta!$A:$DS,MATCH('MM01'!$B11,Consulta!$C:$C,0),'MM01'!AR$2),""))</f>
        <v/>
      </c>
      <c r="AS11" s="43" t="str">
        <f>IF(IFERROR(INDEX(Consulta!$A:$DS,MATCH('MM01'!$B11,Consulta!$C:$C,0),'MM01'!AS$2),"")=0,"",IF(AR11="68",5102,IFERROR(INDEX(Consulta!$A:$DS,MATCH('MM01'!$B11,Consulta!$C:$C,0),'MM01'!AS$2),"")))</f>
        <v/>
      </c>
      <c r="AT11" s="45"/>
      <c r="AU11" s="46" t="str">
        <f t="shared" ca="1" si="9"/>
        <v/>
      </c>
      <c r="AV11" s="47" t="s">
        <v>783</v>
      </c>
      <c r="AW11" s="43" t="str">
        <f>IF(IFERROR(INDEX(Consulta!$A:$DS,MATCH('MM01'!$B11,Consulta!$C:$C,0),'MM01'!AW$2),"")=0,"",IFERROR(ROUND(INDEX(Consulta!$A:$DS,MATCH('MM01'!$B11,Consulta!$C:$C,0),'MM01'!AW$2),3),""))</f>
        <v/>
      </c>
      <c r="AX11" s="43" t="str">
        <f t="shared" si="10"/>
        <v/>
      </c>
      <c r="AY11" s="48" t="s">
        <v>299</v>
      </c>
      <c r="AZ11" s="48"/>
      <c r="BA11" s="43" t="str">
        <f>IF(IFERROR(INDEX(Consulta!$A:$DS,MATCH('MM01'!$B11,Consulta!$C:$C,0),'MM01'!BA$2),"")=0,"",IFERROR(INDEX(Consulta!$A:$DS,MATCH('MM01'!$B11,Consulta!$C:$C,0),'MM01'!BA$2),""))</f>
        <v/>
      </c>
      <c r="BB11" s="43" t="str">
        <f t="shared" si="11"/>
        <v/>
      </c>
      <c r="BC11" s="43" t="str">
        <f t="shared" si="12"/>
        <v/>
      </c>
      <c r="BD11" s="43" t="str">
        <f t="shared" si="13"/>
        <v/>
      </c>
      <c r="BE11" s="43" t="str">
        <f t="shared" si="14"/>
        <v>M</v>
      </c>
      <c r="BF11" s="43" t="str">
        <f t="shared" si="15"/>
        <v/>
      </c>
      <c r="BG11" s="43" t="str">
        <f t="shared" si="16"/>
        <v/>
      </c>
      <c r="BH11" s="43" t="str">
        <f t="shared" si="17"/>
        <v/>
      </c>
      <c r="BI11" s="43" t="str">
        <f t="shared" si="18"/>
        <v>M</v>
      </c>
      <c r="BK11" s="45" t="s">
        <v>789</v>
      </c>
      <c r="BL11" s="43" t="str">
        <f>IF(IFERROR(INDEX(Consulta!$A:$DS,MATCH('MM01'!$B11,Consulta!$C:$C,0),'MM01'!BL$2),"")=0,"",IFERROR(INDEX(Consulta!$A:$DS,MATCH('MM01'!$B11,Consulta!$C:$C,0),'MM01'!BL$2),""))</f>
        <v/>
      </c>
      <c r="BM11" s="45"/>
      <c r="BN11" s="46" t="str">
        <f t="shared" ca="1" si="19"/>
        <v/>
      </c>
      <c r="BO11" s="49" t="str">
        <f t="shared" si="20"/>
        <v/>
      </c>
      <c r="BP11" s="50">
        <v>1</v>
      </c>
      <c r="BQ11" s="50" t="s">
        <v>194</v>
      </c>
      <c r="BR11" s="50" t="s">
        <v>194</v>
      </c>
      <c r="BS11" s="50" t="s">
        <v>783</v>
      </c>
      <c r="BT11" s="44">
        <v>1</v>
      </c>
      <c r="BU11" s="44" t="s">
        <v>372</v>
      </c>
      <c r="BV11" s="50" t="s">
        <v>197</v>
      </c>
      <c r="BW11" s="50" t="s">
        <v>197</v>
      </c>
      <c r="BX11" s="43" t="str">
        <f>IF(IFERROR(INDEX(Consulta!$A:$DS,MATCH('MM01'!$B11,Consulta!$C:$C,0),'MM01'!BX$2),"")=0,"",IFERROR(INDEX(Consulta!$A:$DS,MATCH('MM01'!$B11,Consulta!$C:$C,0),'MM01'!BX$2),""))</f>
        <v/>
      </c>
      <c r="BY11" s="44" t="s">
        <v>392</v>
      </c>
      <c r="BZ11" s="50">
        <v>0</v>
      </c>
      <c r="CA11" s="45" t="s">
        <v>403</v>
      </c>
      <c r="CB11" s="45" t="s">
        <v>84</v>
      </c>
      <c r="CC11" s="43" t="str">
        <f t="shared" si="21"/>
        <v/>
      </c>
      <c r="CD11" s="45" t="s">
        <v>430</v>
      </c>
      <c r="CE11" s="45">
        <v>1</v>
      </c>
      <c r="CF11" s="45" t="s">
        <v>496</v>
      </c>
      <c r="CG11" s="45"/>
      <c r="CH11" s="44"/>
      <c r="CI11" s="49" t="str">
        <f t="shared" si="22"/>
        <v/>
      </c>
      <c r="CJ11" s="49" t="str">
        <f t="shared" si="23"/>
        <v/>
      </c>
      <c r="CK11" s="45"/>
      <c r="CL11" s="44">
        <v>5</v>
      </c>
      <c r="CM11" s="44">
        <v>1</v>
      </c>
      <c r="CN11" s="44">
        <v>1</v>
      </c>
      <c r="CO11" s="44">
        <v>1</v>
      </c>
      <c r="CP11" s="50" t="s">
        <v>515</v>
      </c>
      <c r="CQ11" s="44" t="s">
        <v>372</v>
      </c>
      <c r="CR11" s="44">
        <v>2</v>
      </c>
      <c r="CS11" s="44">
        <v>42</v>
      </c>
      <c r="CT11" s="44">
        <v>10</v>
      </c>
      <c r="CU11" s="43" t="str">
        <f t="shared" si="24"/>
        <v>K00_P_PURL_</v>
      </c>
      <c r="CV11" s="45">
        <v>5000</v>
      </c>
      <c r="CW11" s="43" t="str">
        <f t="shared" si="0"/>
        <v/>
      </c>
      <c r="CX11" s="43" t="str">
        <f t="shared" si="1"/>
        <v/>
      </c>
      <c r="CY11" s="43" t="str">
        <f>IF(IFERROR(INDEX(Consulta!$A:$DS,MATCH('MM01'!$B11,Consulta!$C:$C,0),'MM01'!CY$2),"")=0,"",IFERROR(INDEX(Consulta!$A:$DS,MATCH('MM01'!$B11,Consulta!$C:$C,0),'MM01'!CY$2),""))</f>
        <v/>
      </c>
      <c r="CZ11" s="43" t="str">
        <f t="shared" si="2"/>
        <v/>
      </c>
      <c r="DA11" s="43" t="str">
        <f>IF(IFERROR(INDEX(Consulta!$A:$DS,MATCH('MM01'!$B11,Consulta!$C:$C,0),'MM01'!DA$2),"")=0,"",IFERROR(INDEX(Consulta!$A:$DS,MATCH('MM01'!$B11,Consulta!$C:$C,0),'MM01'!DA$2),""))</f>
        <v/>
      </c>
      <c r="DB11" s="43" t="str">
        <f>IF(IFERROR(INDEX(Consulta!$A:$DS,MATCH('MM01'!$B11,Consulta!$C:$C,0),'MM01'!DB$2),"")=0,"",IFERROR(INDEX(Consulta!$A:$DS,MATCH('MM01'!$B11,Consulta!$C:$C,0),'MM01'!DB$2),""))</f>
        <v/>
      </c>
      <c r="DC11" s="43" t="str">
        <f>IF(IFERROR(INDEX(Consulta!$A:$DS,MATCH('MM01'!$B11,Consulta!$C:$C,0),'MM01'!DC$2),"")=0,"",IFERROR(INDEX(Consulta!$A:$DS,MATCH('MM01'!$B11,Consulta!$C:$C,0),'MM01'!DC$2),""))</f>
        <v/>
      </c>
      <c r="DD11" s="43" t="str">
        <f>IF(IFERROR(INDEX(Consulta!$A:$DS,MATCH('MM01'!$B11,Consulta!$C:$C,0),'MM01'!DD$2),"")=0,"",IFERROR(INDEX(Consulta!$A:$DS,MATCH('MM01'!$B11,Consulta!$C:$C,0),'MM01'!DD$2),""))</f>
        <v/>
      </c>
      <c r="DE11" s="43" t="str">
        <f>IF(IFERROR(INDEX(Consulta!$A:$DS,MATCH('MM01'!$B11,Consulta!$C:$C,0),'MM01'!DE$2),"")=0,"",IFERROR(INDEX(Consulta!$A:$DS,MATCH('MM01'!$B11,Consulta!$C:$C,0),'MM01'!DE$2),""))</f>
        <v/>
      </c>
      <c r="DF11" s="100">
        <v>3458</v>
      </c>
      <c r="DG11" s="45">
        <v>0</v>
      </c>
      <c r="DH11" s="45">
        <v>0</v>
      </c>
      <c r="DI11" s="43" t="str">
        <f t="shared" si="3"/>
        <v/>
      </c>
      <c r="DJ11" s="43" t="str">
        <f t="shared" si="25"/>
        <v/>
      </c>
      <c r="DK11" s="57"/>
      <c r="DL11" s="43" t="str">
        <f t="shared" ca="1" si="26"/>
        <v/>
      </c>
      <c r="DM11" s="43" t="str">
        <f t="shared" si="27"/>
        <v/>
      </c>
      <c r="DN11" s="43" t="str">
        <f t="shared" si="28"/>
        <v/>
      </c>
      <c r="DO11" s="57"/>
      <c r="DP11" s="43" t="str">
        <f t="shared" ca="1" si="29"/>
        <v/>
      </c>
      <c r="DQ11" s="43" t="str">
        <f t="shared" si="30"/>
        <v/>
      </c>
      <c r="DR11" s="43" t="str">
        <f t="shared" si="31"/>
        <v/>
      </c>
      <c r="DS11" s="57"/>
      <c r="DT11" s="43" t="str">
        <f t="shared" ca="1" si="32"/>
        <v/>
      </c>
      <c r="DU11" s="43" t="str">
        <f t="shared" si="33"/>
        <v/>
      </c>
      <c r="DV11" s="43" t="str">
        <f t="shared" si="34"/>
        <v/>
      </c>
      <c r="DW11" s="57"/>
      <c r="DX11" s="43" t="str">
        <f t="shared" ca="1" si="35"/>
        <v/>
      </c>
      <c r="DY11" s="43" t="str">
        <f t="shared" si="36"/>
        <v/>
      </c>
      <c r="EA11" s="44">
        <v>0</v>
      </c>
      <c r="EB11" s="44" t="s">
        <v>761</v>
      </c>
      <c r="EC11" s="44">
        <v>30</v>
      </c>
      <c r="ED11" s="43">
        <f t="shared" si="4"/>
        <v>0.01</v>
      </c>
      <c r="EE11" s="43" t="str">
        <f t="shared" si="5"/>
        <v>M</v>
      </c>
      <c r="EF11" s="43" t="str">
        <f>IF(IFERROR(INDEX(Consulta!$A:$DS,MATCH('MM01'!$B11,Consulta!$C:$C,0),'MM01'!EF$2),"")=0,"7925",IF(IFERROR(INDEX(Consulta!$A:$DS,MATCH('MM01'!$B11,Consulta!$C:$C,0),'MM01'!EF$2),"")="68","7910","7925"))</f>
        <v>7925</v>
      </c>
      <c r="EG11" s="44">
        <v>100</v>
      </c>
      <c r="EH11" s="62">
        <v>1</v>
      </c>
      <c r="EI11" s="43">
        <f t="shared" si="37"/>
        <v>100</v>
      </c>
      <c r="EJ11" s="44">
        <v>1</v>
      </c>
      <c r="EK11" s="44">
        <v>0</v>
      </c>
      <c r="EL11" s="44" t="s">
        <v>859</v>
      </c>
      <c r="EM11" s="45">
        <v>0</v>
      </c>
      <c r="EN11" s="43">
        <f t="shared" si="38"/>
        <v>5000</v>
      </c>
      <c r="EO11" s="69"/>
    </row>
    <row r="12" spans="1:145" x14ac:dyDescent="0.2">
      <c r="A12" s="7" t="str">
        <f t="shared" si="6"/>
        <v>Execução 8</v>
      </c>
      <c r="B12" s="42"/>
      <c r="C12" s="43" t="str">
        <f>IF(IFERROR(INDEX(Consulta!$A:$DS,MATCH('MM01'!$B12,Consulta!$C:$C,0),'MM01'!C$2),"")=0,"",IFERROR(INDEX(Consulta!$A:$DS,MATCH('MM01'!$B12,Consulta!$C:$C,0),'MM01'!C$2),""))</f>
        <v/>
      </c>
      <c r="D12" s="43" t="str">
        <f>IF(IFERROR(INDEX(Consulta!$A:$DS,MATCH('MM01'!$B12,Consulta!$C:$C,0),'MM01'!D$2),"")=0,"",IFERROR(INDEX(Consulta!$A:$DS,MATCH('MM01'!$B12,Consulta!$C:$C,0),'MM01'!D$2),""))</f>
        <v/>
      </c>
      <c r="E12" s="43" t="str">
        <f>IF(IFERROR(INDEX(Consulta!$A:$DS,MATCH('MM01'!$B12,Consulta!$C:$C,0),'MM01'!E$2),"")=0,"",IFERROR(INDEX(Consulta!$A:$DS,MATCH('MM01'!$B12,Consulta!$C:$C,0),'MM01'!E$2),""))</f>
        <v/>
      </c>
      <c r="F12" s="44" t="s">
        <v>100</v>
      </c>
      <c r="G12" s="49" t="str">
        <f>IF(IFERROR(INDEX(Consulta!$A:$DS,MATCH('MM01'!$B12,Consulta!$C:$C,0),'MM01'!G$2),"")=0,"",IFERROR(INDEX(Consulta!$A:$DS,MATCH('MM01'!$B12,Consulta!$C:$C,0),'MM01'!G$2),""))</f>
        <v/>
      </c>
      <c r="H12" s="49" t="str">
        <f>IF(IFERROR(INDEX(Consulta!$A:$DS,MATCH('MM01'!$B12,Consulta!$C:$C,0),'MM01'!H$2),"")=0,"",IFERROR(INDEX(Consulta!$A:$DS,MATCH('MM01'!$B12,Consulta!$C:$C,0),'MM01'!H$2),""))</f>
        <v/>
      </c>
      <c r="I12" s="49" t="str">
        <f t="shared" si="7"/>
        <v/>
      </c>
      <c r="J12" s="49" t="str">
        <f>IF(IFERROR(INDEX(Consulta!$A:$DS,MATCH('MM01'!$B12,Consulta!$C:$C,0),'MM01'!J$2),"")=0,"",IFERROR(INDEX(Consulta!$A:$DS,MATCH('MM01'!$B12,Consulta!$C:$C,0),'MM01'!J$2),""))</f>
        <v/>
      </c>
      <c r="K12" s="49" t="str">
        <f t="shared" si="8"/>
        <v/>
      </c>
      <c r="M12" s="45" t="s">
        <v>101</v>
      </c>
      <c r="N12" s="45" t="s">
        <v>102</v>
      </c>
      <c r="O12" s="45" t="s">
        <v>103</v>
      </c>
      <c r="P12" s="45" t="s">
        <v>104</v>
      </c>
      <c r="Q12" s="45" t="s">
        <v>105</v>
      </c>
      <c r="R12" s="45" t="s">
        <v>106</v>
      </c>
      <c r="S12" s="45" t="s">
        <v>107</v>
      </c>
      <c r="T12" s="45"/>
      <c r="U12" s="45"/>
      <c r="V12" s="45"/>
      <c r="W12" s="45"/>
      <c r="X12" s="45" t="s">
        <v>112</v>
      </c>
      <c r="Y12" s="45" t="s">
        <v>113</v>
      </c>
      <c r="Z12" s="45" t="s">
        <v>114</v>
      </c>
      <c r="AA12" s="45" t="s">
        <v>115</v>
      </c>
      <c r="AB12" s="45" t="s">
        <v>117</v>
      </c>
      <c r="AC12" s="45" t="s">
        <v>118</v>
      </c>
      <c r="AD12" s="45" t="s">
        <v>119</v>
      </c>
      <c r="AE12" s="45" t="s">
        <v>120</v>
      </c>
      <c r="AF12" s="45" t="s">
        <v>121</v>
      </c>
      <c r="AG12" s="45" t="s">
        <v>122</v>
      </c>
      <c r="AH12" s="45" t="s">
        <v>123</v>
      </c>
      <c r="AI12" s="45" t="s">
        <v>124</v>
      </c>
      <c r="AJ12" s="45" t="s">
        <v>125</v>
      </c>
      <c r="AK12" s="45" t="s">
        <v>126</v>
      </c>
      <c r="AL12" s="45"/>
      <c r="AM12" s="45"/>
      <c r="AO12" s="44" t="s">
        <v>100</v>
      </c>
      <c r="AP12" s="43" t="str">
        <f>IF(IFERROR(INDEX(Consulta!$A:$DS,MATCH('MM01'!$B12,Consulta!$C:$C,0),'MM01'!AP$2),"")=0,"",IFERROR(INDEX(Consulta!$A:$DS,MATCH('MM01'!$B12,Consulta!$C:$C,0),'MM01'!AP$2),""))</f>
        <v/>
      </c>
      <c r="AQ12" s="45"/>
      <c r="AR12" s="43" t="str">
        <f>IF(IFERROR(INDEX(Consulta!$A:$DS,MATCH('MM01'!$B12,Consulta!$C:$C,0),'MM01'!AR$2),"")=0,"",IFERROR(INDEX(Consulta!$A:$DS,MATCH('MM01'!$B12,Consulta!$C:$C,0),'MM01'!AR$2),""))</f>
        <v/>
      </c>
      <c r="AS12" s="43" t="str">
        <f>IF(IFERROR(INDEX(Consulta!$A:$DS,MATCH('MM01'!$B12,Consulta!$C:$C,0),'MM01'!AS$2),"")=0,"",IF(AR12="68",5102,IFERROR(INDEX(Consulta!$A:$DS,MATCH('MM01'!$B12,Consulta!$C:$C,0),'MM01'!AS$2),"")))</f>
        <v/>
      </c>
      <c r="AT12" s="45"/>
      <c r="AU12" s="46" t="str">
        <f t="shared" ca="1" si="9"/>
        <v/>
      </c>
      <c r="AV12" s="47" t="s">
        <v>783</v>
      </c>
      <c r="AW12" s="43" t="str">
        <f>IF(IFERROR(INDEX(Consulta!$A:$DS,MATCH('MM01'!$B12,Consulta!$C:$C,0),'MM01'!AW$2),"")=0,"",IFERROR(ROUND(INDEX(Consulta!$A:$DS,MATCH('MM01'!$B12,Consulta!$C:$C,0),'MM01'!AW$2),3),""))</f>
        <v/>
      </c>
      <c r="AX12" s="43" t="str">
        <f t="shared" si="10"/>
        <v/>
      </c>
      <c r="AY12" s="48" t="s">
        <v>299</v>
      </c>
      <c r="AZ12" s="48"/>
      <c r="BA12" s="43" t="str">
        <f>IF(IFERROR(INDEX(Consulta!$A:$DS,MATCH('MM01'!$B12,Consulta!$C:$C,0),'MM01'!BA$2),"")=0,"",IFERROR(INDEX(Consulta!$A:$DS,MATCH('MM01'!$B12,Consulta!$C:$C,0),'MM01'!BA$2),""))</f>
        <v/>
      </c>
      <c r="BB12" s="43" t="str">
        <f t="shared" si="11"/>
        <v/>
      </c>
      <c r="BC12" s="43" t="str">
        <f t="shared" si="12"/>
        <v/>
      </c>
      <c r="BD12" s="43" t="str">
        <f t="shared" si="13"/>
        <v/>
      </c>
      <c r="BE12" s="43" t="str">
        <f t="shared" si="14"/>
        <v>M</v>
      </c>
      <c r="BF12" s="43" t="str">
        <f t="shared" si="15"/>
        <v/>
      </c>
      <c r="BG12" s="43" t="str">
        <f t="shared" si="16"/>
        <v/>
      </c>
      <c r="BH12" s="43" t="str">
        <f t="shared" si="17"/>
        <v/>
      </c>
      <c r="BI12" s="43" t="str">
        <f t="shared" si="18"/>
        <v>M</v>
      </c>
      <c r="BK12" s="45" t="s">
        <v>789</v>
      </c>
      <c r="BL12" s="43" t="str">
        <f>IF(IFERROR(INDEX(Consulta!$A:$DS,MATCH('MM01'!$B12,Consulta!$C:$C,0),'MM01'!BL$2),"")=0,"",IFERROR(INDEX(Consulta!$A:$DS,MATCH('MM01'!$B12,Consulta!$C:$C,0),'MM01'!BL$2),""))</f>
        <v/>
      </c>
      <c r="BM12" s="45"/>
      <c r="BN12" s="46" t="str">
        <f t="shared" ca="1" si="19"/>
        <v/>
      </c>
      <c r="BO12" s="49" t="str">
        <f t="shared" si="20"/>
        <v/>
      </c>
      <c r="BP12" s="50">
        <v>1</v>
      </c>
      <c r="BQ12" s="50" t="s">
        <v>194</v>
      </c>
      <c r="BR12" s="50" t="s">
        <v>194</v>
      </c>
      <c r="BS12" s="50" t="s">
        <v>783</v>
      </c>
      <c r="BT12" s="44">
        <v>1</v>
      </c>
      <c r="BU12" s="44" t="s">
        <v>372</v>
      </c>
      <c r="BV12" s="50" t="s">
        <v>197</v>
      </c>
      <c r="BW12" s="50" t="s">
        <v>197</v>
      </c>
      <c r="BX12" s="43" t="str">
        <f>IF(IFERROR(INDEX(Consulta!$A:$DS,MATCH('MM01'!$B12,Consulta!$C:$C,0),'MM01'!BX$2),"")=0,"",IFERROR(INDEX(Consulta!$A:$DS,MATCH('MM01'!$B12,Consulta!$C:$C,0),'MM01'!BX$2),""))</f>
        <v/>
      </c>
      <c r="BY12" s="44" t="s">
        <v>392</v>
      </c>
      <c r="BZ12" s="50">
        <v>0</v>
      </c>
      <c r="CA12" s="45" t="s">
        <v>403</v>
      </c>
      <c r="CB12" s="45" t="s">
        <v>84</v>
      </c>
      <c r="CC12" s="43" t="str">
        <f t="shared" si="21"/>
        <v/>
      </c>
      <c r="CD12" s="45" t="s">
        <v>430</v>
      </c>
      <c r="CE12" s="45">
        <v>1</v>
      </c>
      <c r="CF12" s="45" t="s">
        <v>496</v>
      </c>
      <c r="CG12" s="45"/>
      <c r="CH12" s="44"/>
      <c r="CI12" s="49" t="str">
        <f t="shared" si="22"/>
        <v/>
      </c>
      <c r="CJ12" s="49" t="str">
        <f t="shared" si="23"/>
        <v/>
      </c>
      <c r="CK12" s="45"/>
      <c r="CL12" s="44">
        <v>5</v>
      </c>
      <c r="CM12" s="44">
        <v>1</v>
      </c>
      <c r="CN12" s="44">
        <v>1</v>
      </c>
      <c r="CO12" s="44">
        <v>1</v>
      </c>
      <c r="CP12" s="50" t="s">
        <v>515</v>
      </c>
      <c r="CQ12" s="44" t="s">
        <v>372</v>
      </c>
      <c r="CR12" s="44">
        <v>2</v>
      </c>
      <c r="CS12" s="44">
        <v>42</v>
      </c>
      <c r="CT12" s="44">
        <v>10</v>
      </c>
      <c r="CU12" s="43" t="str">
        <f t="shared" si="24"/>
        <v>K00_P_PURL_</v>
      </c>
      <c r="CV12" s="45">
        <v>5000</v>
      </c>
      <c r="CW12" s="43" t="str">
        <f t="shared" si="0"/>
        <v/>
      </c>
      <c r="CX12" s="43" t="str">
        <f t="shared" si="1"/>
        <v/>
      </c>
      <c r="CY12" s="43" t="str">
        <f>IF(IFERROR(INDEX(Consulta!$A:$DS,MATCH('MM01'!$B12,Consulta!$C:$C,0),'MM01'!CY$2),"")=0,"",IFERROR(INDEX(Consulta!$A:$DS,MATCH('MM01'!$B12,Consulta!$C:$C,0),'MM01'!CY$2),""))</f>
        <v/>
      </c>
      <c r="CZ12" s="43" t="str">
        <f t="shared" si="2"/>
        <v/>
      </c>
      <c r="DA12" s="43" t="str">
        <f>IF(IFERROR(INDEX(Consulta!$A:$DS,MATCH('MM01'!$B12,Consulta!$C:$C,0),'MM01'!DA$2),"")=0,"",IFERROR(INDEX(Consulta!$A:$DS,MATCH('MM01'!$B12,Consulta!$C:$C,0),'MM01'!DA$2),""))</f>
        <v/>
      </c>
      <c r="DB12" s="43" t="str">
        <f>IF(IFERROR(INDEX(Consulta!$A:$DS,MATCH('MM01'!$B12,Consulta!$C:$C,0),'MM01'!DB$2),"")=0,"",IFERROR(INDEX(Consulta!$A:$DS,MATCH('MM01'!$B12,Consulta!$C:$C,0),'MM01'!DB$2),""))</f>
        <v/>
      </c>
      <c r="DC12" s="43" t="str">
        <f>IF(IFERROR(INDEX(Consulta!$A:$DS,MATCH('MM01'!$B12,Consulta!$C:$C,0),'MM01'!DC$2),"")=0,"",IFERROR(INDEX(Consulta!$A:$DS,MATCH('MM01'!$B12,Consulta!$C:$C,0),'MM01'!DC$2),""))</f>
        <v/>
      </c>
      <c r="DD12" s="43" t="str">
        <f>IF(IFERROR(INDEX(Consulta!$A:$DS,MATCH('MM01'!$B12,Consulta!$C:$C,0),'MM01'!DD$2),"")=0,"",IFERROR(INDEX(Consulta!$A:$DS,MATCH('MM01'!$B12,Consulta!$C:$C,0),'MM01'!DD$2),""))</f>
        <v/>
      </c>
      <c r="DE12" s="43" t="str">
        <f>IF(IFERROR(INDEX(Consulta!$A:$DS,MATCH('MM01'!$B12,Consulta!$C:$C,0),'MM01'!DE$2),"")=0,"",IFERROR(INDEX(Consulta!$A:$DS,MATCH('MM01'!$B12,Consulta!$C:$C,0),'MM01'!DE$2),""))</f>
        <v/>
      </c>
      <c r="DF12" s="100">
        <v>3458</v>
      </c>
      <c r="DG12" s="45">
        <v>0</v>
      </c>
      <c r="DH12" s="45">
        <v>0</v>
      </c>
      <c r="DI12" s="43" t="str">
        <f t="shared" si="3"/>
        <v/>
      </c>
      <c r="DJ12" s="43" t="str">
        <f t="shared" si="25"/>
        <v/>
      </c>
      <c r="DK12" s="57"/>
      <c r="DL12" s="43" t="str">
        <f t="shared" ca="1" si="26"/>
        <v/>
      </c>
      <c r="DM12" s="43" t="str">
        <f t="shared" si="27"/>
        <v/>
      </c>
      <c r="DN12" s="43" t="str">
        <f t="shared" si="28"/>
        <v/>
      </c>
      <c r="DO12" s="57"/>
      <c r="DP12" s="43" t="str">
        <f t="shared" ca="1" si="29"/>
        <v/>
      </c>
      <c r="DQ12" s="43" t="str">
        <f t="shared" si="30"/>
        <v/>
      </c>
      <c r="DR12" s="43" t="str">
        <f t="shared" si="31"/>
        <v/>
      </c>
      <c r="DS12" s="57"/>
      <c r="DT12" s="43" t="str">
        <f t="shared" ca="1" si="32"/>
        <v/>
      </c>
      <c r="DU12" s="43" t="str">
        <f t="shared" si="33"/>
        <v/>
      </c>
      <c r="DV12" s="43" t="str">
        <f t="shared" si="34"/>
        <v/>
      </c>
      <c r="DW12" s="57"/>
      <c r="DX12" s="43" t="str">
        <f t="shared" ca="1" si="35"/>
        <v/>
      </c>
      <c r="DY12" s="43" t="str">
        <f t="shared" si="36"/>
        <v/>
      </c>
      <c r="EA12" s="44">
        <v>0</v>
      </c>
      <c r="EB12" s="44" t="s">
        <v>761</v>
      </c>
      <c r="EC12" s="44">
        <v>30</v>
      </c>
      <c r="ED12" s="43">
        <f t="shared" si="4"/>
        <v>0.01</v>
      </c>
      <c r="EE12" s="43" t="str">
        <f t="shared" si="5"/>
        <v>M</v>
      </c>
      <c r="EF12" s="43" t="str">
        <f>IF(IFERROR(INDEX(Consulta!$A:$DS,MATCH('MM01'!$B12,Consulta!$C:$C,0),'MM01'!EF$2),"")=0,"7925",IF(IFERROR(INDEX(Consulta!$A:$DS,MATCH('MM01'!$B12,Consulta!$C:$C,0),'MM01'!EF$2),"")="68","7910","7925"))</f>
        <v>7925</v>
      </c>
      <c r="EG12" s="44">
        <v>100</v>
      </c>
      <c r="EH12" s="62">
        <v>1</v>
      </c>
      <c r="EI12" s="43">
        <f t="shared" si="37"/>
        <v>100</v>
      </c>
      <c r="EJ12" s="44">
        <v>1</v>
      </c>
      <c r="EK12" s="44">
        <v>0</v>
      </c>
      <c r="EL12" s="44" t="s">
        <v>859</v>
      </c>
      <c r="EM12" s="45">
        <v>0</v>
      </c>
      <c r="EN12" s="43">
        <f t="shared" si="38"/>
        <v>5000</v>
      </c>
      <c r="EO12" s="69"/>
    </row>
    <row r="13" spans="1:145" x14ac:dyDescent="0.2">
      <c r="A13" s="7" t="str">
        <f t="shared" si="6"/>
        <v>Execução 9</v>
      </c>
      <c r="B13" s="42"/>
      <c r="C13" s="43" t="str">
        <f>IF(IFERROR(INDEX(Consulta!$A:$DS,MATCH('MM01'!$B13,Consulta!$C:$C,0),'MM01'!C$2),"")=0,"",IFERROR(INDEX(Consulta!$A:$DS,MATCH('MM01'!$B13,Consulta!$C:$C,0),'MM01'!C$2),""))</f>
        <v/>
      </c>
      <c r="D13" s="43" t="str">
        <f>IF(IFERROR(INDEX(Consulta!$A:$DS,MATCH('MM01'!$B13,Consulta!$C:$C,0),'MM01'!D$2),"")=0,"",IFERROR(INDEX(Consulta!$A:$DS,MATCH('MM01'!$B13,Consulta!$C:$C,0),'MM01'!D$2),""))</f>
        <v/>
      </c>
      <c r="E13" s="43" t="str">
        <f>IF(IFERROR(INDEX(Consulta!$A:$DS,MATCH('MM01'!$B13,Consulta!$C:$C,0),'MM01'!E$2),"")=0,"",IFERROR(INDEX(Consulta!$A:$DS,MATCH('MM01'!$B13,Consulta!$C:$C,0),'MM01'!E$2),""))</f>
        <v/>
      </c>
      <c r="F13" s="44" t="s">
        <v>100</v>
      </c>
      <c r="G13" s="49" t="str">
        <f>IF(IFERROR(INDEX(Consulta!$A:$DS,MATCH('MM01'!$B13,Consulta!$C:$C,0),'MM01'!G$2),"")=0,"",IFERROR(INDEX(Consulta!$A:$DS,MATCH('MM01'!$B13,Consulta!$C:$C,0),'MM01'!G$2),""))</f>
        <v/>
      </c>
      <c r="H13" s="49" t="str">
        <f>IF(IFERROR(INDEX(Consulta!$A:$DS,MATCH('MM01'!$B13,Consulta!$C:$C,0),'MM01'!H$2),"")=0,"",IFERROR(INDEX(Consulta!$A:$DS,MATCH('MM01'!$B13,Consulta!$C:$C,0),'MM01'!H$2),""))</f>
        <v/>
      </c>
      <c r="I13" s="49" t="str">
        <f t="shared" si="7"/>
        <v/>
      </c>
      <c r="J13" s="49" t="str">
        <f>IF(IFERROR(INDEX(Consulta!$A:$DS,MATCH('MM01'!$B13,Consulta!$C:$C,0),'MM01'!J$2),"")=0,"",IFERROR(INDEX(Consulta!$A:$DS,MATCH('MM01'!$B13,Consulta!$C:$C,0),'MM01'!J$2),""))</f>
        <v/>
      </c>
      <c r="K13" s="49" t="str">
        <f t="shared" si="8"/>
        <v/>
      </c>
      <c r="M13" s="45" t="s">
        <v>101</v>
      </c>
      <c r="N13" s="45" t="s">
        <v>102</v>
      </c>
      <c r="O13" s="45" t="s">
        <v>103</v>
      </c>
      <c r="P13" s="45" t="s">
        <v>104</v>
      </c>
      <c r="Q13" s="45" t="s">
        <v>105</v>
      </c>
      <c r="R13" s="45" t="s">
        <v>106</v>
      </c>
      <c r="S13" s="45" t="s">
        <v>107</v>
      </c>
      <c r="T13" s="45"/>
      <c r="U13" s="45"/>
      <c r="V13" s="45"/>
      <c r="W13" s="45"/>
      <c r="X13" s="45" t="s">
        <v>112</v>
      </c>
      <c r="Y13" s="45" t="s">
        <v>113</v>
      </c>
      <c r="Z13" s="45" t="s">
        <v>114</v>
      </c>
      <c r="AA13" s="45" t="s">
        <v>115</v>
      </c>
      <c r="AB13" s="45" t="s">
        <v>117</v>
      </c>
      <c r="AC13" s="45" t="s">
        <v>118</v>
      </c>
      <c r="AD13" s="45" t="s">
        <v>119</v>
      </c>
      <c r="AE13" s="45" t="s">
        <v>120</v>
      </c>
      <c r="AF13" s="45" t="s">
        <v>121</v>
      </c>
      <c r="AG13" s="45" t="s">
        <v>122</v>
      </c>
      <c r="AH13" s="45" t="s">
        <v>123</v>
      </c>
      <c r="AI13" s="45" t="s">
        <v>124</v>
      </c>
      <c r="AJ13" s="45" t="s">
        <v>125</v>
      </c>
      <c r="AK13" s="45" t="s">
        <v>126</v>
      </c>
      <c r="AL13" s="45"/>
      <c r="AM13" s="45"/>
      <c r="AO13" s="44" t="s">
        <v>100</v>
      </c>
      <c r="AP13" s="43" t="str">
        <f>IF(IFERROR(INDEX(Consulta!$A:$DS,MATCH('MM01'!$B13,Consulta!$C:$C,0),'MM01'!AP$2),"")=0,"",IFERROR(INDEX(Consulta!$A:$DS,MATCH('MM01'!$B13,Consulta!$C:$C,0),'MM01'!AP$2),""))</f>
        <v/>
      </c>
      <c r="AQ13" s="45"/>
      <c r="AR13" s="43" t="str">
        <f>IF(IFERROR(INDEX(Consulta!$A:$DS,MATCH('MM01'!$B13,Consulta!$C:$C,0),'MM01'!AR$2),"")=0,"",IFERROR(INDEX(Consulta!$A:$DS,MATCH('MM01'!$B13,Consulta!$C:$C,0),'MM01'!AR$2),""))</f>
        <v/>
      </c>
      <c r="AS13" s="43" t="str">
        <f>IF(IFERROR(INDEX(Consulta!$A:$DS,MATCH('MM01'!$B13,Consulta!$C:$C,0),'MM01'!AS$2),"")=0,"",IF(AR13="68",5102,IFERROR(INDEX(Consulta!$A:$DS,MATCH('MM01'!$B13,Consulta!$C:$C,0),'MM01'!AS$2),"")))</f>
        <v/>
      </c>
      <c r="AT13" s="45"/>
      <c r="AU13" s="46" t="str">
        <f t="shared" ca="1" si="9"/>
        <v/>
      </c>
      <c r="AV13" s="47" t="s">
        <v>783</v>
      </c>
      <c r="AW13" s="43" t="str">
        <f>IF(IFERROR(INDEX(Consulta!$A:$DS,MATCH('MM01'!$B13,Consulta!$C:$C,0),'MM01'!AW$2),"")=0,"",IFERROR(ROUND(INDEX(Consulta!$A:$DS,MATCH('MM01'!$B13,Consulta!$C:$C,0),'MM01'!AW$2),3),""))</f>
        <v/>
      </c>
      <c r="AX13" s="43" t="str">
        <f t="shared" si="10"/>
        <v/>
      </c>
      <c r="AY13" s="48" t="s">
        <v>299</v>
      </c>
      <c r="AZ13" s="48"/>
      <c r="BA13" s="43" t="str">
        <f>IF(IFERROR(INDEX(Consulta!$A:$DS,MATCH('MM01'!$B13,Consulta!$C:$C,0),'MM01'!BA$2),"")=0,"",IFERROR(INDEX(Consulta!$A:$DS,MATCH('MM01'!$B13,Consulta!$C:$C,0),'MM01'!BA$2),""))</f>
        <v/>
      </c>
      <c r="BB13" s="43" t="str">
        <f t="shared" si="11"/>
        <v/>
      </c>
      <c r="BC13" s="43" t="str">
        <f t="shared" si="12"/>
        <v/>
      </c>
      <c r="BD13" s="43" t="str">
        <f t="shared" si="13"/>
        <v/>
      </c>
      <c r="BE13" s="43" t="str">
        <f t="shared" si="14"/>
        <v>M</v>
      </c>
      <c r="BF13" s="43" t="str">
        <f t="shared" si="15"/>
        <v/>
      </c>
      <c r="BG13" s="43" t="str">
        <f t="shared" si="16"/>
        <v/>
      </c>
      <c r="BH13" s="43" t="str">
        <f t="shared" si="17"/>
        <v/>
      </c>
      <c r="BI13" s="43" t="str">
        <f t="shared" si="18"/>
        <v>M</v>
      </c>
      <c r="BK13" s="45" t="s">
        <v>789</v>
      </c>
      <c r="BL13" s="43" t="str">
        <f>IF(IFERROR(INDEX(Consulta!$A:$DS,MATCH('MM01'!$B13,Consulta!$C:$C,0),'MM01'!BL$2),"")=0,"",IFERROR(INDEX(Consulta!$A:$DS,MATCH('MM01'!$B13,Consulta!$C:$C,0),'MM01'!BL$2),""))</f>
        <v/>
      </c>
      <c r="BM13" s="45"/>
      <c r="BN13" s="46" t="str">
        <f t="shared" ca="1" si="19"/>
        <v/>
      </c>
      <c r="BO13" s="49" t="str">
        <f t="shared" si="20"/>
        <v/>
      </c>
      <c r="BP13" s="50">
        <v>1</v>
      </c>
      <c r="BQ13" s="50" t="s">
        <v>194</v>
      </c>
      <c r="BR13" s="50" t="s">
        <v>194</v>
      </c>
      <c r="BS13" s="50" t="s">
        <v>783</v>
      </c>
      <c r="BT13" s="44">
        <v>1</v>
      </c>
      <c r="BU13" s="44" t="s">
        <v>372</v>
      </c>
      <c r="BV13" s="50" t="s">
        <v>197</v>
      </c>
      <c r="BW13" s="50" t="s">
        <v>197</v>
      </c>
      <c r="BX13" s="43" t="str">
        <f>IF(IFERROR(INDEX(Consulta!$A:$DS,MATCH('MM01'!$B13,Consulta!$C:$C,0),'MM01'!BX$2),"")=0,"",IFERROR(INDEX(Consulta!$A:$DS,MATCH('MM01'!$B13,Consulta!$C:$C,0),'MM01'!BX$2),""))</f>
        <v/>
      </c>
      <c r="BY13" s="44" t="s">
        <v>392</v>
      </c>
      <c r="BZ13" s="50">
        <v>0</v>
      </c>
      <c r="CA13" s="45" t="s">
        <v>403</v>
      </c>
      <c r="CB13" s="45" t="s">
        <v>84</v>
      </c>
      <c r="CC13" s="43" t="str">
        <f t="shared" si="21"/>
        <v/>
      </c>
      <c r="CD13" s="45" t="s">
        <v>430</v>
      </c>
      <c r="CE13" s="45">
        <v>1</v>
      </c>
      <c r="CF13" s="45" t="s">
        <v>496</v>
      </c>
      <c r="CG13" s="45"/>
      <c r="CH13" s="44"/>
      <c r="CI13" s="49" t="str">
        <f t="shared" si="22"/>
        <v/>
      </c>
      <c r="CJ13" s="49" t="str">
        <f t="shared" si="23"/>
        <v/>
      </c>
      <c r="CK13" s="45"/>
      <c r="CL13" s="44">
        <v>5</v>
      </c>
      <c r="CM13" s="44">
        <v>1</v>
      </c>
      <c r="CN13" s="44">
        <v>1</v>
      </c>
      <c r="CO13" s="44">
        <v>1</v>
      </c>
      <c r="CP13" s="50" t="s">
        <v>515</v>
      </c>
      <c r="CQ13" s="44" t="s">
        <v>372</v>
      </c>
      <c r="CR13" s="44">
        <v>2</v>
      </c>
      <c r="CS13" s="44">
        <v>42</v>
      </c>
      <c r="CT13" s="44">
        <v>10</v>
      </c>
      <c r="CU13" s="43" t="str">
        <f t="shared" si="24"/>
        <v>K00_P_PURL_</v>
      </c>
      <c r="CV13" s="45">
        <v>5000</v>
      </c>
      <c r="CW13" s="43" t="str">
        <f t="shared" si="0"/>
        <v/>
      </c>
      <c r="CX13" s="43" t="str">
        <f t="shared" si="1"/>
        <v/>
      </c>
      <c r="CY13" s="43" t="str">
        <f>IF(IFERROR(INDEX(Consulta!$A:$DS,MATCH('MM01'!$B13,Consulta!$C:$C,0),'MM01'!CY$2),"")=0,"",IFERROR(INDEX(Consulta!$A:$DS,MATCH('MM01'!$B13,Consulta!$C:$C,0),'MM01'!CY$2),""))</f>
        <v/>
      </c>
      <c r="CZ13" s="43" t="str">
        <f t="shared" si="2"/>
        <v/>
      </c>
      <c r="DA13" s="43" t="str">
        <f>IF(IFERROR(INDEX(Consulta!$A:$DS,MATCH('MM01'!$B13,Consulta!$C:$C,0),'MM01'!DA$2),"")=0,"",IFERROR(INDEX(Consulta!$A:$DS,MATCH('MM01'!$B13,Consulta!$C:$C,0),'MM01'!DA$2),""))</f>
        <v/>
      </c>
      <c r="DB13" s="43" t="str">
        <f>IF(IFERROR(INDEX(Consulta!$A:$DS,MATCH('MM01'!$B13,Consulta!$C:$C,0),'MM01'!DB$2),"")=0,"",IFERROR(INDEX(Consulta!$A:$DS,MATCH('MM01'!$B13,Consulta!$C:$C,0),'MM01'!DB$2),""))</f>
        <v/>
      </c>
      <c r="DC13" s="43" t="str">
        <f>IF(IFERROR(INDEX(Consulta!$A:$DS,MATCH('MM01'!$B13,Consulta!$C:$C,0),'MM01'!DC$2),"")=0,"",IFERROR(INDEX(Consulta!$A:$DS,MATCH('MM01'!$B13,Consulta!$C:$C,0),'MM01'!DC$2),""))</f>
        <v/>
      </c>
      <c r="DD13" s="43" t="str">
        <f>IF(IFERROR(INDEX(Consulta!$A:$DS,MATCH('MM01'!$B13,Consulta!$C:$C,0),'MM01'!DD$2),"")=0,"",IFERROR(INDEX(Consulta!$A:$DS,MATCH('MM01'!$B13,Consulta!$C:$C,0),'MM01'!DD$2),""))</f>
        <v/>
      </c>
      <c r="DE13" s="43" t="str">
        <f>IF(IFERROR(INDEX(Consulta!$A:$DS,MATCH('MM01'!$B13,Consulta!$C:$C,0),'MM01'!DE$2),"")=0,"",IFERROR(INDEX(Consulta!$A:$DS,MATCH('MM01'!$B13,Consulta!$C:$C,0),'MM01'!DE$2),""))</f>
        <v/>
      </c>
      <c r="DF13" s="100">
        <v>3458</v>
      </c>
      <c r="DG13" s="45">
        <v>0</v>
      </c>
      <c r="DH13" s="45">
        <v>0</v>
      </c>
      <c r="DI13" s="43" t="str">
        <f t="shared" si="3"/>
        <v/>
      </c>
      <c r="DJ13" s="43" t="str">
        <f t="shared" si="25"/>
        <v/>
      </c>
      <c r="DK13" s="57"/>
      <c r="DL13" s="43" t="str">
        <f t="shared" ca="1" si="26"/>
        <v/>
      </c>
      <c r="DM13" s="43" t="str">
        <f t="shared" si="27"/>
        <v/>
      </c>
      <c r="DN13" s="43" t="str">
        <f t="shared" si="28"/>
        <v/>
      </c>
      <c r="DO13" s="57"/>
      <c r="DP13" s="43" t="str">
        <f t="shared" ca="1" si="29"/>
        <v/>
      </c>
      <c r="DQ13" s="43" t="str">
        <f t="shared" si="30"/>
        <v/>
      </c>
      <c r="DR13" s="43" t="str">
        <f t="shared" si="31"/>
        <v/>
      </c>
      <c r="DS13" s="57"/>
      <c r="DT13" s="43" t="str">
        <f t="shared" ca="1" si="32"/>
        <v/>
      </c>
      <c r="DU13" s="43" t="str">
        <f t="shared" si="33"/>
        <v/>
      </c>
      <c r="DV13" s="43" t="str">
        <f t="shared" si="34"/>
        <v/>
      </c>
      <c r="DW13" s="57"/>
      <c r="DX13" s="43" t="str">
        <f t="shared" ca="1" si="35"/>
        <v/>
      </c>
      <c r="DY13" s="43" t="str">
        <f t="shared" si="36"/>
        <v/>
      </c>
      <c r="EA13" s="44">
        <v>0</v>
      </c>
      <c r="EB13" s="44" t="s">
        <v>761</v>
      </c>
      <c r="EC13" s="44">
        <v>30</v>
      </c>
      <c r="ED13" s="43">
        <f t="shared" si="4"/>
        <v>0.01</v>
      </c>
      <c r="EE13" s="43" t="str">
        <f t="shared" si="5"/>
        <v>M</v>
      </c>
      <c r="EF13" s="43" t="str">
        <f>IF(IFERROR(INDEX(Consulta!$A:$DS,MATCH('MM01'!$B13,Consulta!$C:$C,0),'MM01'!EF$2),"")=0,"7925",IF(IFERROR(INDEX(Consulta!$A:$DS,MATCH('MM01'!$B13,Consulta!$C:$C,0),'MM01'!EF$2),"")="68","7910","7925"))</f>
        <v>7925</v>
      </c>
      <c r="EG13" s="44">
        <v>100</v>
      </c>
      <c r="EH13" s="62">
        <v>1</v>
      </c>
      <c r="EI13" s="43">
        <f t="shared" si="37"/>
        <v>100</v>
      </c>
      <c r="EJ13" s="44">
        <v>1</v>
      </c>
      <c r="EK13" s="44">
        <v>0</v>
      </c>
      <c r="EL13" s="44" t="s">
        <v>859</v>
      </c>
      <c r="EM13" s="45">
        <v>0</v>
      </c>
      <c r="EN13" s="43">
        <f t="shared" si="38"/>
        <v>5000</v>
      </c>
      <c r="EO13" s="69"/>
    </row>
    <row r="14" spans="1:145" x14ac:dyDescent="0.2">
      <c r="A14" s="7" t="str">
        <f t="shared" si="6"/>
        <v>Execução 10</v>
      </c>
      <c r="B14" s="42"/>
      <c r="C14" s="43" t="str">
        <f>IF(IFERROR(INDEX(Consulta!$A:$DS,MATCH('MM01'!$B14,Consulta!$C:$C,0),'MM01'!C$2),"")=0,"",IFERROR(INDEX(Consulta!$A:$DS,MATCH('MM01'!$B14,Consulta!$C:$C,0),'MM01'!C$2),""))</f>
        <v/>
      </c>
      <c r="D14" s="43" t="str">
        <f>IF(IFERROR(INDEX(Consulta!$A:$DS,MATCH('MM01'!$B14,Consulta!$C:$C,0),'MM01'!D$2),"")=0,"",IFERROR(INDEX(Consulta!$A:$DS,MATCH('MM01'!$B14,Consulta!$C:$C,0),'MM01'!D$2),""))</f>
        <v/>
      </c>
      <c r="E14" s="43" t="str">
        <f>IF(IFERROR(INDEX(Consulta!$A:$DS,MATCH('MM01'!$B14,Consulta!$C:$C,0),'MM01'!E$2),"")=0,"",IFERROR(INDEX(Consulta!$A:$DS,MATCH('MM01'!$B14,Consulta!$C:$C,0),'MM01'!E$2),""))</f>
        <v/>
      </c>
      <c r="F14" s="44" t="s">
        <v>100</v>
      </c>
      <c r="G14" s="49" t="str">
        <f>IF(IFERROR(INDEX(Consulta!$A:$DS,MATCH('MM01'!$B14,Consulta!$C:$C,0),'MM01'!G$2),"")=0,"",IFERROR(INDEX(Consulta!$A:$DS,MATCH('MM01'!$B14,Consulta!$C:$C,0),'MM01'!G$2),""))</f>
        <v/>
      </c>
      <c r="H14" s="49" t="str">
        <f>IF(IFERROR(INDEX(Consulta!$A:$DS,MATCH('MM01'!$B14,Consulta!$C:$C,0),'MM01'!H$2),"")=0,"",IFERROR(INDEX(Consulta!$A:$DS,MATCH('MM01'!$B14,Consulta!$C:$C,0),'MM01'!H$2),""))</f>
        <v/>
      </c>
      <c r="I14" s="49" t="str">
        <f t="shared" si="7"/>
        <v/>
      </c>
      <c r="J14" s="49" t="str">
        <f>IF(IFERROR(INDEX(Consulta!$A:$DS,MATCH('MM01'!$B14,Consulta!$C:$C,0),'MM01'!J$2),"")=0,"",IFERROR(INDEX(Consulta!$A:$DS,MATCH('MM01'!$B14,Consulta!$C:$C,0),'MM01'!J$2),""))</f>
        <v/>
      </c>
      <c r="K14" s="49" t="str">
        <f t="shared" si="8"/>
        <v/>
      </c>
      <c r="M14" s="45" t="s">
        <v>101</v>
      </c>
      <c r="N14" s="45" t="s">
        <v>102</v>
      </c>
      <c r="O14" s="45" t="s">
        <v>103</v>
      </c>
      <c r="P14" s="45" t="s">
        <v>104</v>
      </c>
      <c r="Q14" s="45" t="s">
        <v>105</v>
      </c>
      <c r="R14" s="45" t="s">
        <v>106</v>
      </c>
      <c r="S14" s="45" t="s">
        <v>107</v>
      </c>
      <c r="T14" s="45"/>
      <c r="U14" s="45"/>
      <c r="V14" s="45"/>
      <c r="W14" s="45"/>
      <c r="X14" s="45" t="s">
        <v>112</v>
      </c>
      <c r="Y14" s="45" t="s">
        <v>113</v>
      </c>
      <c r="Z14" s="45" t="s">
        <v>114</v>
      </c>
      <c r="AA14" s="45" t="s">
        <v>115</v>
      </c>
      <c r="AB14" s="45" t="s">
        <v>117</v>
      </c>
      <c r="AC14" s="45" t="s">
        <v>118</v>
      </c>
      <c r="AD14" s="45" t="s">
        <v>119</v>
      </c>
      <c r="AE14" s="45" t="s">
        <v>120</v>
      </c>
      <c r="AF14" s="45" t="s">
        <v>121</v>
      </c>
      <c r="AG14" s="45" t="s">
        <v>122</v>
      </c>
      <c r="AH14" s="45" t="s">
        <v>123</v>
      </c>
      <c r="AI14" s="45" t="s">
        <v>124</v>
      </c>
      <c r="AJ14" s="45" t="s">
        <v>125</v>
      </c>
      <c r="AK14" s="45" t="s">
        <v>126</v>
      </c>
      <c r="AL14" s="45"/>
      <c r="AM14" s="45"/>
      <c r="AO14" s="44" t="s">
        <v>100</v>
      </c>
      <c r="AP14" s="43" t="str">
        <f>IF(IFERROR(INDEX(Consulta!$A:$DS,MATCH('MM01'!$B14,Consulta!$C:$C,0),'MM01'!AP$2),"")=0,"",IFERROR(INDEX(Consulta!$A:$DS,MATCH('MM01'!$B14,Consulta!$C:$C,0),'MM01'!AP$2),""))</f>
        <v/>
      </c>
      <c r="AQ14" s="45"/>
      <c r="AR14" s="43" t="str">
        <f>IF(IFERROR(INDEX(Consulta!$A:$DS,MATCH('MM01'!$B14,Consulta!$C:$C,0),'MM01'!AR$2),"")=0,"",IFERROR(INDEX(Consulta!$A:$DS,MATCH('MM01'!$B14,Consulta!$C:$C,0),'MM01'!AR$2),""))</f>
        <v/>
      </c>
      <c r="AS14" s="43" t="str">
        <f>IF(IFERROR(INDEX(Consulta!$A:$DS,MATCH('MM01'!$B14,Consulta!$C:$C,0),'MM01'!AS$2),"")=0,"",IF(AR14="68",5102,IFERROR(INDEX(Consulta!$A:$DS,MATCH('MM01'!$B14,Consulta!$C:$C,0),'MM01'!AS$2),"")))</f>
        <v/>
      </c>
      <c r="AT14" s="45"/>
      <c r="AU14" s="46" t="str">
        <f t="shared" ca="1" si="9"/>
        <v/>
      </c>
      <c r="AV14" s="47" t="s">
        <v>783</v>
      </c>
      <c r="AW14" s="43" t="str">
        <f>IF(IFERROR(INDEX(Consulta!$A:$DS,MATCH('MM01'!$B14,Consulta!$C:$C,0),'MM01'!AW$2),"")=0,"",IFERROR(ROUND(INDEX(Consulta!$A:$DS,MATCH('MM01'!$B14,Consulta!$C:$C,0),'MM01'!AW$2),3),""))</f>
        <v/>
      </c>
      <c r="AX14" s="43" t="str">
        <f t="shared" si="10"/>
        <v/>
      </c>
      <c r="AY14" s="48" t="s">
        <v>299</v>
      </c>
      <c r="AZ14" s="48"/>
      <c r="BA14" s="43" t="str">
        <f>IF(IFERROR(INDEX(Consulta!$A:$DS,MATCH('MM01'!$B14,Consulta!$C:$C,0),'MM01'!BA$2),"")=0,"",IFERROR(INDEX(Consulta!$A:$DS,MATCH('MM01'!$B14,Consulta!$C:$C,0),'MM01'!BA$2),""))</f>
        <v/>
      </c>
      <c r="BB14" s="43" t="str">
        <f t="shared" si="11"/>
        <v/>
      </c>
      <c r="BC14" s="43" t="str">
        <f t="shared" si="12"/>
        <v/>
      </c>
      <c r="BD14" s="43" t="str">
        <f t="shared" si="13"/>
        <v/>
      </c>
      <c r="BE14" s="43" t="str">
        <f t="shared" si="14"/>
        <v>M</v>
      </c>
      <c r="BF14" s="43" t="str">
        <f t="shared" si="15"/>
        <v/>
      </c>
      <c r="BG14" s="43" t="str">
        <f t="shared" si="16"/>
        <v/>
      </c>
      <c r="BH14" s="43" t="str">
        <f t="shared" si="17"/>
        <v/>
      </c>
      <c r="BI14" s="43" t="str">
        <f t="shared" si="18"/>
        <v>M</v>
      </c>
      <c r="BK14" s="45" t="s">
        <v>789</v>
      </c>
      <c r="BL14" s="43" t="str">
        <f>IF(IFERROR(INDEX(Consulta!$A:$DS,MATCH('MM01'!$B14,Consulta!$C:$C,0),'MM01'!BL$2),"")=0,"",IFERROR(INDEX(Consulta!$A:$DS,MATCH('MM01'!$B14,Consulta!$C:$C,0),'MM01'!BL$2),""))</f>
        <v/>
      </c>
      <c r="BM14" s="45"/>
      <c r="BN14" s="46" t="str">
        <f t="shared" ca="1" si="19"/>
        <v/>
      </c>
      <c r="BO14" s="49" t="str">
        <f t="shared" si="20"/>
        <v/>
      </c>
      <c r="BP14" s="50">
        <v>1</v>
      </c>
      <c r="BQ14" s="50" t="s">
        <v>194</v>
      </c>
      <c r="BR14" s="50" t="s">
        <v>194</v>
      </c>
      <c r="BS14" s="50" t="s">
        <v>783</v>
      </c>
      <c r="BT14" s="44">
        <v>1</v>
      </c>
      <c r="BU14" s="44" t="s">
        <v>372</v>
      </c>
      <c r="BV14" s="50" t="s">
        <v>197</v>
      </c>
      <c r="BW14" s="50" t="s">
        <v>197</v>
      </c>
      <c r="BX14" s="43" t="str">
        <f>IF(IFERROR(INDEX(Consulta!$A:$DS,MATCH('MM01'!$B14,Consulta!$C:$C,0),'MM01'!BX$2),"")=0,"",IFERROR(INDEX(Consulta!$A:$DS,MATCH('MM01'!$B14,Consulta!$C:$C,0),'MM01'!BX$2),""))</f>
        <v/>
      </c>
      <c r="BY14" s="44" t="s">
        <v>392</v>
      </c>
      <c r="BZ14" s="50">
        <v>0</v>
      </c>
      <c r="CA14" s="45" t="s">
        <v>403</v>
      </c>
      <c r="CB14" s="45" t="s">
        <v>84</v>
      </c>
      <c r="CC14" s="43" t="str">
        <f t="shared" si="21"/>
        <v/>
      </c>
      <c r="CD14" s="45" t="s">
        <v>430</v>
      </c>
      <c r="CE14" s="45">
        <v>1</v>
      </c>
      <c r="CF14" s="45" t="s">
        <v>496</v>
      </c>
      <c r="CG14" s="45"/>
      <c r="CH14" s="44"/>
      <c r="CI14" s="49" t="str">
        <f t="shared" si="22"/>
        <v/>
      </c>
      <c r="CJ14" s="49" t="str">
        <f t="shared" si="23"/>
        <v/>
      </c>
      <c r="CK14" s="45"/>
      <c r="CL14" s="44">
        <v>5</v>
      </c>
      <c r="CM14" s="44">
        <v>1</v>
      </c>
      <c r="CN14" s="44">
        <v>1</v>
      </c>
      <c r="CO14" s="44">
        <v>1</v>
      </c>
      <c r="CP14" s="50" t="s">
        <v>515</v>
      </c>
      <c r="CQ14" s="44" t="s">
        <v>372</v>
      </c>
      <c r="CR14" s="44">
        <v>2</v>
      </c>
      <c r="CS14" s="44">
        <v>42</v>
      </c>
      <c r="CT14" s="44">
        <v>10</v>
      </c>
      <c r="CU14" s="43" t="str">
        <f t="shared" si="24"/>
        <v>K00_P_PURL_</v>
      </c>
      <c r="CV14" s="45">
        <v>5000</v>
      </c>
      <c r="CW14" s="43" t="str">
        <f t="shared" si="0"/>
        <v/>
      </c>
      <c r="CX14" s="43" t="str">
        <f t="shared" si="1"/>
        <v/>
      </c>
      <c r="CY14" s="43" t="str">
        <f>IF(IFERROR(INDEX(Consulta!$A:$DS,MATCH('MM01'!$B14,Consulta!$C:$C,0),'MM01'!CY$2),"")=0,"",IFERROR(INDEX(Consulta!$A:$DS,MATCH('MM01'!$B14,Consulta!$C:$C,0),'MM01'!CY$2),""))</f>
        <v/>
      </c>
      <c r="CZ14" s="43" t="str">
        <f t="shared" si="2"/>
        <v/>
      </c>
      <c r="DA14" s="43" t="str">
        <f>IF(IFERROR(INDEX(Consulta!$A:$DS,MATCH('MM01'!$B14,Consulta!$C:$C,0),'MM01'!DA$2),"")=0,"",IFERROR(INDEX(Consulta!$A:$DS,MATCH('MM01'!$B14,Consulta!$C:$C,0),'MM01'!DA$2),""))</f>
        <v/>
      </c>
      <c r="DB14" s="43" t="str">
        <f>IF(IFERROR(INDEX(Consulta!$A:$DS,MATCH('MM01'!$B14,Consulta!$C:$C,0),'MM01'!DB$2),"")=0,"",IFERROR(INDEX(Consulta!$A:$DS,MATCH('MM01'!$B14,Consulta!$C:$C,0),'MM01'!DB$2),""))</f>
        <v/>
      </c>
      <c r="DC14" s="43" t="str">
        <f>IF(IFERROR(INDEX(Consulta!$A:$DS,MATCH('MM01'!$B14,Consulta!$C:$C,0),'MM01'!DC$2),"")=0,"",IFERROR(INDEX(Consulta!$A:$DS,MATCH('MM01'!$B14,Consulta!$C:$C,0),'MM01'!DC$2),""))</f>
        <v/>
      </c>
      <c r="DD14" s="43" t="str">
        <f>IF(IFERROR(INDEX(Consulta!$A:$DS,MATCH('MM01'!$B14,Consulta!$C:$C,0),'MM01'!DD$2),"")=0,"",IFERROR(INDEX(Consulta!$A:$DS,MATCH('MM01'!$B14,Consulta!$C:$C,0),'MM01'!DD$2),""))</f>
        <v/>
      </c>
      <c r="DE14" s="43" t="str">
        <f>IF(IFERROR(INDEX(Consulta!$A:$DS,MATCH('MM01'!$B14,Consulta!$C:$C,0),'MM01'!DE$2),"")=0,"",IFERROR(INDEX(Consulta!$A:$DS,MATCH('MM01'!$B14,Consulta!$C:$C,0),'MM01'!DE$2),""))</f>
        <v/>
      </c>
      <c r="DF14" s="100">
        <v>3458</v>
      </c>
      <c r="DG14" s="45">
        <v>0</v>
      </c>
      <c r="DH14" s="45">
        <v>0</v>
      </c>
      <c r="DI14" s="43" t="str">
        <f t="shared" si="3"/>
        <v/>
      </c>
      <c r="DJ14" s="43" t="str">
        <f t="shared" si="25"/>
        <v/>
      </c>
      <c r="DK14" s="57"/>
      <c r="DL14" s="43" t="str">
        <f t="shared" ca="1" si="26"/>
        <v/>
      </c>
      <c r="DM14" s="43" t="str">
        <f t="shared" si="27"/>
        <v/>
      </c>
      <c r="DN14" s="43" t="str">
        <f t="shared" si="28"/>
        <v/>
      </c>
      <c r="DO14" s="57"/>
      <c r="DP14" s="43" t="str">
        <f t="shared" ca="1" si="29"/>
        <v/>
      </c>
      <c r="DQ14" s="43" t="str">
        <f t="shared" si="30"/>
        <v/>
      </c>
      <c r="DR14" s="43" t="str">
        <f t="shared" si="31"/>
        <v/>
      </c>
      <c r="DS14" s="57"/>
      <c r="DT14" s="43" t="str">
        <f t="shared" ca="1" si="32"/>
        <v/>
      </c>
      <c r="DU14" s="43" t="str">
        <f t="shared" si="33"/>
        <v/>
      </c>
      <c r="DV14" s="43" t="str">
        <f t="shared" si="34"/>
        <v/>
      </c>
      <c r="DW14" s="57"/>
      <c r="DX14" s="43" t="str">
        <f t="shared" ca="1" si="35"/>
        <v/>
      </c>
      <c r="DY14" s="43" t="str">
        <f t="shared" si="36"/>
        <v/>
      </c>
      <c r="EA14" s="44">
        <v>0</v>
      </c>
      <c r="EB14" s="44" t="s">
        <v>761</v>
      </c>
      <c r="EC14" s="44">
        <v>30</v>
      </c>
      <c r="ED14" s="43">
        <f t="shared" si="4"/>
        <v>0.01</v>
      </c>
      <c r="EE14" s="43" t="str">
        <f t="shared" si="5"/>
        <v>M</v>
      </c>
      <c r="EF14" s="43" t="str">
        <f>IF(IFERROR(INDEX(Consulta!$A:$DS,MATCH('MM01'!$B14,Consulta!$C:$C,0),'MM01'!EF$2),"")=0,"7925",IF(IFERROR(INDEX(Consulta!$A:$DS,MATCH('MM01'!$B14,Consulta!$C:$C,0),'MM01'!EF$2),"")="68","7910","7925"))</f>
        <v>7925</v>
      </c>
      <c r="EG14" s="44">
        <v>100</v>
      </c>
      <c r="EH14" s="62">
        <v>1</v>
      </c>
      <c r="EI14" s="43">
        <f t="shared" si="37"/>
        <v>100</v>
      </c>
      <c r="EJ14" s="44">
        <v>1</v>
      </c>
      <c r="EK14" s="44">
        <v>0</v>
      </c>
      <c r="EL14" s="44" t="s">
        <v>859</v>
      </c>
      <c r="EM14" s="45">
        <v>0</v>
      </c>
      <c r="EN14" s="43">
        <f t="shared" si="38"/>
        <v>5000</v>
      </c>
      <c r="EO14" s="69"/>
    </row>
    <row r="15" spans="1:145" x14ac:dyDescent="0.2">
      <c r="A15" s="7" t="str">
        <f t="shared" si="6"/>
        <v>Execução 11</v>
      </c>
      <c r="B15" s="42"/>
      <c r="C15" s="43" t="str">
        <f>IF(IFERROR(INDEX(Consulta!$A:$DS,MATCH('MM01'!$B15,Consulta!$C:$C,0),'MM01'!C$2),"")=0,"",IFERROR(INDEX(Consulta!$A:$DS,MATCH('MM01'!$B15,Consulta!$C:$C,0),'MM01'!C$2),""))</f>
        <v/>
      </c>
      <c r="D15" s="43" t="str">
        <f>IF(IFERROR(INDEX(Consulta!$A:$DS,MATCH('MM01'!$B15,Consulta!$C:$C,0),'MM01'!D$2),"")=0,"",IFERROR(INDEX(Consulta!$A:$DS,MATCH('MM01'!$B15,Consulta!$C:$C,0),'MM01'!D$2),""))</f>
        <v/>
      </c>
      <c r="E15" s="43" t="str">
        <f>IF(IFERROR(INDEX(Consulta!$A:$DS,MATCH('MM01'!$B15,Consulta!$C:$C,0),'MM01'!E$2),"")=0,"",IFERROR(INDEX(Consulta!$A:$DS,MATCH('MM01'!$B15,Consulta!$C:$C,0),'MM01'!E$2),""))</f>
        <v/>
      </c>
      <c r="F15" s="44" t="s">
        <v>100</v>
      </c>
      <c r="G15" s="49" t="str">
        <f>IF(IFERROR(INDEX(Consulta!$A:$DS,MATCH('MM01'!$B15,Consulta!$C:$C,0),'MM01'!G$2),"")=0,"",IFERROR(INDEX(Consulta!$A:$DS,MATCH('MM01'!$B15,Consulta!$C:$C,0),'MM01'!G$2),""))</f>
        <v/>
      </c>
      <c r="H15" s="49" t="str">
        <f>IF(IFERROR(INDEX(Consulta!$A:$DS,MATCH('MM01'!$B15,Consulta!$C:$C,0),'MM01'!H$2),"")=0,"",IFERROR(INDEX(Consulta!$A:$DS,MATCH('MM01'!$B15,Consulta!$C:$C,0),'MM01'!H$2),""))</f>
        <v/>
      </c>
      <c r="I15" s="49" t="str">
        <f t="shared" si="7"/>
        <v/>
      </c>
      <c r="J15" s="49" t="str">
        <f>IF(IFERROR(INDEX(Consulta!$A:$DS,MATCH('MM01'!$B15,Consulta!$C:$C,0),'MM01'!J$2),"")=0,"",IFERROR(INDEX(Consulta!$A:$DS,MATCH('MM01'!$B15,Consulta!$C:$C,0),'MM01'!J$2),""))</f>
        <v/>
      </c>
      <c r="K15" s="49" t="str">
        <f t="shared" si="8"/>
        <v/>
      </c>
      <c r="M15" s="45" t="s">
        <v>101</v>
      </c>
      <c r="N15" s="45" t="s">
        <v>102</v>
      </c>
      <c r="O15" s="45" t="s">
        <v>103</v>
      </c>
      <c r="P15" s="45" t="s">
        <v>104</v>
      </c>
      <c r="Q15" s="45" t="s">
        <v>105</v>
      </c>
      <c r="R15" s="45" t="s">
        <v>106</v>
      </c>
      <c r="S15" s="45" t="s">
        <v>107</v>
      </c>
      <c r="T15" s="45"/>
      <c r="U15" s="45"/>
      <c r="V15" s="45"/>
      <c r="W15" s="45"/>
      <c r="X15" s="45" t="s">
        <v>112</v>
      </c>
      <c r="Y15" s="45" t="s">
        <v>113</v>
      </c>
      <c r="Z15" s="45" t="s">
        <v>114</v>
      </c>
      <c r="AA15" s="45" t="s">
        <v>115</v>
      </c>
      <c r="AB15" s="45" t="s">
        <v>117</v>
      </c>
      <c r="AC15" s="45" t="s">
        <v>118</v>
      </c>
      <c r="AD15" s="45" t="s">
        <v>119</v>
      </c>
      <c r="AE15" s="45" t="s">
        <v>120</v>
      </c>
      <c r="AF15" s="45" t="s">
        <v>121</v>
      </c>
      <c r="AG15" s="45" t="s">
        <v>122</v>
      </c>
      <c r="AH15" s="45" t="s">
        <v>123</v>
      </c>
      <c r="AI15" s="45" t="s">
        <v>124</v>
      </c>
      <c r="AJ15" s="45" t="s">
        <v>125</v>
      </c>
      <c r="AK15" s="45" t="s">
        <v>126</v>
      </c>
      <c r="AL15" s="45"/>
      <c r="AM15" s="45"/>
      <c r="AO15" s="44" t="s">
        <v>100</v>
      </c>
      <c r="AP15" s="43" t="str">
        <f>IF(IFERROR(INDEX(Consulta!$A:$DS,MATCH('MM01'!$B15,Consulta!$C:$C,0),'MM01'!AP$2),"")=0,"",IFERROR(INDEX(Consulta!$A:$DS,MATCH('MM01'!$B15,Consulta!$C:$C,0),'MM01'!AP$2),""))</f>
        <v/>
      </c>
      <c r="AQ15" s="45"/>
      <c r="AR15" s="43" t="str">
        <f>IF(IFERROR(INDEX(Consulta!$A:$DS,MATCH('MM01'!$B15,Consulta!$C:$C,0),'MM01'!AR$2),"")=0,"",IFERROR(INDEX(Consulta!$A:$DS,MATCH('MM01'!$B15,Consulta!$C:$C,0),'MM01'!AR$2),""))</f>
        <v/>
      </c>
      <c r="AS15" s="43" t="str">
        <f>IF(IFERROR(INDEX(Consulta!$A:$DS,MATCH('MM01'!$B15,Consulta!$C:$C,0),'MM01'!AS$2),"")=0,"",IF(AR15="68",5102,IFERROR(INDEX(Consulta!$A:$DS,MATCH('MM01'!$B15,Consulta!$C:$C,0),'MM01'!AS$2),"")))</f>
        <v/>
      </c>
      <c r="AT15" s="45"/>
      <c r="AU15" s="46" t="str">
        <f t="shared" ca="1" si="9"/>
        <v/>
      </c>
      <c r="AV15" s="47" t="s">
        <v>783</v>
      </c>
      <c r="AW15" s="43" t="str">
        <f>IF(IFERROR(INDEX(Consulta!$A:$DS,MATCH('MM01'!$B15,Consulta!$C:$C,0),'MM01'!AW$2),"")=0,"",IFERROR(ROUND(INDEX(Consulta!$A:$DS,MATCH('MM01'!$B15,Consulta!$C:$C,0),'MM01'!AW$2),3),""))</f>
        <v/>
      </c>
      <c r="AX15" s="43" t="str">
        <f t="shared" si="10"/>
        <v/>
      </c>
      <c r="AY15" s="48" t="s">
        <v>299</v>
      </c>
      <c r="AZ15" s="48"/>
      <c r="BA15" s="43" t="str">
        <f>IF(IFERROR(INDEX(Consulta!$A:$DS,MATCH('MM01'!$B15,Consulta!$C:$C,0),'MM01'!BA$2),"")=0,"",IFERROR(INDEX(Consulta!$A:$DS,MATCH('MM01'!$B15,Consulta!$C:$C,0),'MM01'!BA$2),""))</f>
        <v/>
      </c>
      <c r="BB15" s="43" t="str">
        <f t="shared" si="11"/>
        <v/>
      </c>
      <c r="BC15" s="43" t="str">
        <f t="shared" si="12"/>
        <v/>
      </c>
      <c r="BD15" s="43" t="str">
        <f t="shared" si="13"/>
        <v/>
      </c>
      <c r="BE15" s="43" t="str">
        <f t="shared" si="14"/>
        <v>M</v>
      </c>
      <c r="BF15" s="43" t="str">
        <f t="shared" si="15"/>
        <v/>
      </c>
      <c r="BG15" s="43" t="str">
        <f t="shared" si="16"/>
        <v/>
      </c>
      <c r="BH15" s="43" t="str">
        <f t="shared" si="17"/>
        <v/>
      </c>
      <c r="BI15" s="43" t="str">
        <f t="shared" si="18"/>
        <v>M</v>
      </c>
      <c r="BK15" s="45" t="s">
        <v>789</v>
      </c>
      <c r="BL15" s="43" t="str">
        <f>IF(IFERROR(INDEX(Consulta!$A:$DS,MATCH('MM01'!$B15,Consulta!$C:$C,0),'MM01'!BL$2),"")=0,"",IFERROR(INDEX(Consulta!$A:$DS,MATCH('MM01'!$B15,Consulta!$C:$C,0),'MM01'!BL$2),""))</f>
        <v/>
      </c>
      <c r="BM15" s="45"/>
      <c r="BN15" s="46" t="str">
        <f t="shared" ca="1" si="19"/>
        <v/>
      </c>
      <c r="BO15" s="49" t="str">
        <f t="shared" si="20"/>
        <v/>
      </c>
      <c r="BP15" s="50">
        <v>1</v>
      </c>
      <c r="BQ15" s="50" t="s">
        <v>194</v>
      </c>
      <c r="BR15" s="50" t="s">
        <v>194</v>
      </c>
      <c r="BS15" s="50" t="s">
        <v>783</v>
      </c>
      <c r="BT15" s="44">
        <v>1</v>
      </c>
      <c r="BU15" s="44" t="s">
        <v>372</v>
      </c>
      <c r="BV15" s="50" t="s">
        <v>197</v>
      </c>
      <c r="BW15" s="50" t="s">
        <v>197</v>
      </c>
      <c r="BX15" s="43" t="str">
        <f>IF(IFERROR(INDEX(Consulta!$A:$DS,MATCH('MM01'!$B15,Consulta!$C:$C,0),'MM01'!BX$2),"")=0,"",IFERROR(INDEX(Consulta!$A:$DS,MATCH('MM01'!$B15,Consulta!$C:$C,0),'MM01'!BX$2),""))</f>
        <v/>
      </c>
      <c r="BY15" s="44" t="s">
        <v>392</v>
      </c>
      <c r="BZ15" s="50">
        <v>0</v>
      </c>
      <c r="CA15" s="45" t="s">
        <v>403</v>
      </c>
      <c r="CB15" s="45" t="s">
        <v>84</v>
      </c>
      <c r="CC15" s="43" t="str">
        <f t="shared" si="21"/>
        <v/>
      </c>
      <c r="CD15" s="45" t="s">
        <v>430</v>
      </c>
      <c r="CE15" s="45">
        <v>1</v>
      </c>
      <c r="CF15" s="45" t="s">
        <v>496</v>
      </c>
      <c r="CG15" s="45"/>
      <c r="CH15" s="44"/>
      <c r="CI15" s="49" t="str">
        <f t="shared" si="22"/>
        <v/>
      </c>
      <c r="CJ15" s="49" t="str">
        <f t="shared" si="23"/>
        <v/>
      </c>
      <c r="CK15" s="45"/>
      <c r="CL15" s="44">
        <v>5</v>
      </c>
      <c r="CM15" s="44">
        <v>1</v>
      </c>
      <c r="CN15" s="44">
        <v>1</v>
      </c>
      <c r="CO15" s="44">
        <v>1</v>
      </c>
      <c r="CP15" s="50" t="s">
        <v>515</v>
      </c>
      <c r="CQ15" s="44" t="s">
        <v>372</v>
      </c>
      <c r="CR15" s="44">
        <v>2</v>
      </c>
      <c r="CS15" s="44">
        <v>42</v>
      </c>
      <c r="CT15" s="44">
        <v>10</v>
      </c>
      <c r="CU15" s="43" t="str">
        <f t="shared" si="24"/>
        <v>K00_P_PURL_</v>
      </c>
      <c r="CV15" s="45">
        <v>5000</v>
      </c>
      <c r="CW15" s="43" t="str">
        <f t="shared" si="0"/>
        <v/>
      </c>
      <c r="CX15" s="43" t="str">
        <f t="shared" si="1"/>
        <v/>
      </c>
      <c r="CY15" s="43" t="str">
        <f>IF(IFERROR(INDEX(Consulta!$A:$DS,MATCH('MM01'!$B15,Consulta!$C:$C,0),'MM01'!CY$2),"")=0,"",IFERROR(INDEX(Consulta!$A:$DS,MATCH('MM01'!$B15,Consulta!$C:$C,0),'MM01'!CY$2),""))</f>
        <v/>
      </c>
      <c r="CZ15" s="43" t="str">
        <f t="shared" si="2"/>
        <v/>
      </c>
      <c r="DA15" s="43" t="str">
        <f>IF(IFERROR(INDEX(Consulta!$A:$DS,MATCH('MM01'!$B15,Consulta!$C:$C,0),'MM01'!DA$2),"")=0,"",IFERROR(INDEX(Consulta!$A:$DS,MATCH('MM01'!$B15,Consulta!$C:$C,0),'MM01'!DA$2),""))</f>
        <v/>
      </c>
      <c r="DB15" s="43" t="str">
        <f>IF(IFERROR(INDEX(Consulta!$A:$DS,MATCH('MM01'!$B15,Consulta!$C:$C,0),'MM01'!DB$2),"")=0,"",IFERROR(INDEX(Consulta!$A:$DS,MATCH('MM01'!$B15,Consulta!$C:$C,0),'MM01'!DB$2),""))</f>
        <v/>
      </c>
      <c r="DC15" s="43" t="str">
        <f>IF(IFERROR(INDEX(Consulta!$A:$DS,MATCH('MM01'!$B15,Consulta!$C:$C,0),'MM01'!DC$2),"")=0,"",IFERROR(INDEX(Consulta!$A:$DS,MATCH('MM01'!$B15,Consulta!$C:$C,0),'MM01'!DC$2),""))</f>
        <v/>
      </c>
      <c r="DD15" s="43" t="str">
        <f>IF(IFERROR(INDEX(Consulta!$A:$DS,MATCH('MM01'!$B15,Consulta!$C:$C,0),'MM01'!DD$2),"")=0,"",IFERROR(INDEX(Consulta!$A:$DS,MATCH('MM01'!$B15,Consulta!$C:$C,0),'MM01'!DD$2),""))</f>
        <v/>
      </c>
      <c r="DE15" s="43" t="str">
        <f>IF(IFERROR(INDEX(Consulta!$A:$DS,MATCH('MM01'!$B15,Consulta!$C:$C,0),'MM01'!DE$2),"")=0,"",IFERROR(INDEX(Consulta!$A:$DS,MATCH('MM01'!$B15,Consulta!$C:$C,0),'MM01'!DE$2),""))</f>
        <v/>
      </c>
      <c r="DF15" s="100">
        <v>3458</v>
      </c>
      <c r="DG15" s="45">
        <v>0</v>
      </c>
      <c r="DH15" s="45">
        <v>0</v>
      </c>
      <c r="DI15" s="43" t="str">
        <f t="shared" si="3"/>
        <v/>
      </c>
      <c r="DJ15" s="43" t="str">
        <f t="shared" si="25"/>
        <v/>
      </c>
      <c r="DK15" s="57"/>
      <c r="DL15" s="43" t="str">
        <f t="shared" ca="1" si="26"/>
        <v/>
      </c>
      <c r="DM15" s="43" t="str">
        <f t="shared" si="27"/>
        <v/>
      </c>
      <c r="DN15" s="43" t="str">
        <f t="shared" si="28"/>
        <v/>
      </c>
      <c r="DO15" s="57"/>
      <c r="DP15" s="43" t="str">
        <f t="shared" ca="1" si="29"/>
        <v/>
      </c>
      <c r="DQ15" s="43" t="str">
        <f t="shared" si="30"/>
        <v/>
      </c>
      <c r="DR15" s="43" t="str">
        <f t="shared" si="31"/>
        <v/>
      </c>
      <c r="DS15" s="57"/>
      <c r="DT15" s="43" t="str">
        <f t="shared" ca="1" si="32"/>
        <v/>
      </c>
      <c r="DU15" s="43" t="str">
        <f t="shared" si="33"/>
        <v/>
      </c>
      <c r="DV15" s="43" t="str">
        <f t="shared" si="34"/>
        <v/>
      </c>
      <c r="DW15" s="57"/>
      <c r="DX15" s="43" t="str">
        <f t="shared" ca="1" si="35"/>
        <v/>
      </c>
      <c r="DY15" s="43" t="str">
        <f t="shared" si="36"/>
        <v/>
      </c>
      <c r="EA15" s="44">
        <v>0</v>
      </c>
      <c r="EB15" s="44" t="s">
        <v>761</v>
      </c>
      <c r="EC15" s="44">
        <v>30</v>
      </c>
      <c r="ED15" s="43">
        <f t="shared" si="4"/>
        <v>0.01</v>
      </c>
      <c r="EE15" s="43" t="str">
        <f t="shared" si="5"/>
        <v>M</v>
      </c>
      <c r="EF15" s="43" t="str">
        <f>IF(IFERROR(INDEX(Consulta!$A:$DS,MATCH('MM01'!$B15,Consulta!$C:$C,0),'MM01'!EF$2),"")=0,"7925",IF(IFERROR(INDEX(Consulta!$A:$DS,MATCH('MM01'!$B15,Consulta!$C:$C,0),'MM01'!EF$2),"")="68","7910","7925"))</f>
        <v>7925</v>
      </c>
      <c r="EG15" s="44">
        <v>100</v>
      </c>
      <c r="EH15" s="62">
        <v>1</v>
      </c>
      <c r="EI15" s="43">
        <f t="shared" si="37"/>
        <v>100</v>
      </c>
      <c r="EJ15" s="44">
        <v>1</v>
      </c>
      <c r="EK15" s="44">
        <v>0</v>
      </c>
      <c r="EL15" s="44" t="s">
        <v>859</v>
      </c>
      <c r="EM15" s="45">
        <v>0</v>
      </c>
      <c r="EN15" s="43">
        <f t="shared" si="38"/>
        <v>5000</v>
      </c>
      <c r="EO15" s="69"/>
    </row>
    <row r="16" spans="1:145" x14ac:dyDescent="0.2">
      <c r="A16" s="7" t="str">
        <f t="shared" si="6"/>
        <v>Execução 12</v>
      </c>
      <c r="B16" s="42"/>
      <c r="C16" s="43" t="str">
        <f>IF(IFERROR(INDEX(Consulta!$A:$DS,MATCH('MM01'!$B16,Consulta!$C:$C,0),'MM01'!C$2),"")=0,"",IFERROR(INDEX(Consulta!$A:$DS,MATCH('MM01'!$B16,Consulta!$C:$C,0),'MM01'!C$2),""))</f>
        <v/>
      </c>
      <c r="D16" s="43" t="str">
        <f>IF(IFERROR(INDEX(Consulta!$A:$DS,MATCH('MM01'!$B16,Consulta!$C:$C,0),'MM01'!D$2),"")=0,"",IFERROR(INDEX(Consulta!$A:$DS,MATCH('MM01'!$B16,Consulta!$C:$C,0),'MM01'!D$2),""))</f>
        <v/>
      </c>
      <c r="E16" s="43" t="str">
        <f>IF(IFERROR(INDEX(Consulta!$A:$DS,MATCH('MM01'!$B16,Consulta!$C:$C,0),'MM01'!E$2),"")=0,"",IFERROR(INDEX(Consulta!$A:$DS,MATCH('MM01'!$B16,Consulta!$C:$C,0),'MM01'!E$2),""))</f>
        <v/>
      </c>
      <c r="F16" s="44" t="s">
        <v>100</v>
      </c>
      <c r="G16" s="49" t="str">
        <f>IF(IFERROR(INDEX(Consulta!$A:$DS,MATCH('MM01'!$B16,Consulta!$C:$C,0),'MM01'!G$2),"")=0,"",IFERROR(INDEX(Consulta!$A:$DS,MATCH('MM01'!$B16,Consulta!$C:$C,0),'MM01'!G$2),""))</f>
        <v/>
      </c>
      <c r="H16" s="49" t="str">
        <f>IF(IFERROR(INDEX(Consulta!$A:$DS,MATCH('MM01'!$B16,Consulta!$C:$C,0),'MM01'!H$2),"")=0,"",IFERROR(INDEX(Consulta!$A:$DS,MATCH('MM01'!$B16,Consulta!$C:$C,0),'MM01'!H$2),""))</f>
        <v/>
      </c>
      <c r="I16" s="49" t="str">
        <f t="shared" si="7"/>
        <v/>
      </c>
      <c r="J16" s="49" t="str">
        <f>IF(IFERROR(INDEX(Consulta!$A:$DS,MATCH('MM01'!$B16,Consulta!$C:$C,0),'MM01'!J$2),"")=0,"",IFERROR(INDEX(Consulta!$A:$DS,MATCH('MM01'!$B16,Consulta!$C:$C,0),'MM01'!J$2),""))</f>
        <v/>
      </c>
      <c r="K16" s="49" t="str">
        <f t="shared" si="8"/>
        <v/>
      </c>
      <c r="M16" s="45" t="s">
        <v>101</v>
      </c>
      <c r="N16" s="45" t="s">
        <v>102</v>
      </c>
      <c r="O16" s="45" t="s">
        <v>103</v>
      </c>
      <c r="P16" s="45" t="s">
        <v>104</v>
      </c>
      <c r="Q16" s="45" t="s">
        <v>105</v>
      </c>
      <c r="R16" s="45" t="s">
        <v>106</v>
      </c>
      <c r="S16" s="45" t="s">
        <v>107</v>
      </c>
      <c r="T16" s="45"/>
      <c r="U16" s="45"/>
      <c r="V16" s="45"/>
      <c r="W16" s="45"/>
      <c r="X16" s="45" t="s">
        <v>112</v>
      </c>
      <c r="Y16" s="45" t="s">
        <v>113</v>
      </c>
      <c r="Z16" s="45" t="s">
        <v>114</v>
      </c>
      <c r="AA16" s="45" t="s">
        <v>115</v>
      </c>
      <c r="AB16" s="45" t="s">
        <v>117</v>
      </c>
      <c r="AC16" s="45" t="s">
        <v>118</v>
      </c>
      <c r="AD16" s="45" t="s">
        <v>119</v>
      </c>
      <c r="AE16" s="45" t="s">
        <v>120</v>
      </c>
      <c r="AF16" s="45" t="s">
        <v>121</v>
      </c>
      <c r="AG16" s="45" t="s">
        <v>122</v>
      </c>
      <c r="AH16" s="45" t="s">
        <v>123</v>
      </c>
      <c r="AI16" s="45" t="s">
        <v>124</v>
      </c>
      <c r="AJ16" s="45" t="s">
        <v>125</v>
      </c>
      <c r="AK16" s="45" t="s">
        <v>126</v>
      </c>
      <c r="AL16" s="45"/>
      <c r="AM16" s="45"/>
      <c r="AO16" s="44" t="s">
        <v>100</v>
      </c>
      <c r="AP16" s="43" t="str">
        <f>IF(IFERROR(INDEX(Consulta!$A:$DS,MATCH('MM01'!$B16,Consulta!$C:$C,0),'MM01'!AP$2),"")=0,"",IFERROR(INDEX(Consulta!$A:$DS,MATCH('MM01'!$B16,Consulta!$C:$C,0),'MM01'!AP$2),""))</f>
        <v/>
      </c>
      <c r="AQ16" s="45"/>
      <c r="AR16" s="43" t="str">
        <f>IF(IFERROR(INDEX(Consulta!$A:$DS,MATCH('MM01'!$B16,Consulta!$C:$C,0),'MM01'!AR$2),"")=0,"",IFERROR(INDEX(Consulta!$A:$DS,MATCH('MM01'!$B16,Consulta!$C:$C,0),'MM01'!AR$2),""))</f>
        <v/>
      </c>
      <c r="AS16" s="43" t="str">
        <f>IF(IFERROR(INDEX(Consulta!$A:$DS,MATCH('MM01'!$B16,Consulta!$C:$C,0),'MM01'!AS$2),"")=0,"",IF(AR16="68",5102,IFERROR(INDEX(Consulta!$A:$DS,MATCH('MM01'!$B16,Consulta!$C:$C,0),'MM01'!AS$2),"")))</f>
        <v/>
      </c>
      <c r="AT16" s="45"/>
      <c r="AU16" s="46" t="str">
        <f t="shared" ca="1" si="9"/>
        <v/>
      </c>
      <c r="AV16" s="47" t="s">
        <v>783</v>
      </c>
      <c r="AW16" s="43" t="str">
        <f>IF(IFERROR(INDEX(Consulta!$A:$DS,MATCH('MM01'!$B16,Consulta!$C:$C,0),'MM01'!AW$2),"")=0,"",IFERROR(ROUND(INDEX(Consulta!$A:$DS,MATCH('MM01'!$B16,Consulta!$C:$C,0),'MM01'!AW$2),3),""))</f>
        <v/>
      </c>
      <c r="AX16" s="43" t="str">
        <f t="shared" si="10"/>
        <v/>
      </c>
      <c r="AY16" s="48" t="s">
        <v>299</v>
      </c>
      <c r="AZ16" s="48"/>
      <c r="BA16" s="43" t="str">
        <f>IF(IFERROR(INDEX(Consulta!$A:$DS,MATCH('MM01'!$B16,Consulta!$C:$C,0),'MM01'!BA$2),"")=0,"",IFERROR(INDEX(Consulta!$A:$DS,MATCH('MM01'!$B16,Consulta!$C:$C,0),'MM01'!BA$2),""))</f>
        <v/>
      </c>
      <c r="BB16" s="43" t="str">
        <f t="shared" si="11"/>
        <v/>
      </c>
      <c r="BC16" s="43" t="str">
        <f t="shared" si="12"/>
        <v/>
      </c>
      <c r="BD16" s="43" t="str">
        <f t="shared" si="13"/>
        <v/>
      </c>
      <c r="BE16" s="43" t="str">
        <f t="shared" si="14"/>
        <v>M</v>
      </c>
      <c r="BF16" s="43" t="str">
        <f t="shared" si="15"/>
        <v/>
      </c>
      <c r="BG16" s="43" t="str">
        <f t="shared" si="16"/>
        <v/>
      </c>
      <c r="BH16" s="43" t="str">
        <f t="shared" si="17"/>
        <v/>
      </c>
      <c r="BI16" s="43" t="str">
        <f t="shared" si="18"/>
        <v>M</v>
      </c>
      <c r="BK16" s="45" t="s">
        <v>789</v>
      </c>
      <c r="BL16" s="43" t="str">
        <f>IF(IFERROR(INDEX(Consulta!$A:$DS,MATCH('MM01'!$B16,Consulta!$C:$C,0),'MM01'!BL$2),"")=0,"",IFERROR(INDEX(Consulta!$A:$DS,MATCH('MM01'!$B16,Consulta!$C:$C,0),'MM01'!BL$2),""))</f>
        <v/>
      </c>
      <c r="BM16" s="45"/>
      <c r="BN16" s="46" t="str">
        <f t="shared" ca="1" si="19"/>
        <v/>
      </c>
      <c r="BO16" s="49" t="str">
        <f t="shared" si="20"/>
        <v/>
      </c>
      <c r="BP16" s="50">
        <v>1</v>
      </c>
      <c r="BQ16" s="50" t="s">
        <v>194</v>
      </c>
      <c r="BR16" s="50" t="s">
        <v>194</v>
      </c>
      <c r="BS16" s="50" t="s">
        <v>783</v>
      </c>
      <c r="BT16" s="44">
        <v>1</v>
      </c>
      <c r="BU16" s="44" t="s">
        <v>372</v>
      </c>
      <c r="BV16" s="50" t="s">
        <v>197</v>
      </c>
      <c r="BW16" s="50" t="s">
        <v>197</v>
      </c>
      <c r="BX16" s="43" t="str">
        <f>IF(IFERROR(INDEX(Consulta!$A:$DS,MATCH('MM01'!$B16,Consulta!$C:$C,0),'MM01'!BX$2),"")=0,"",IFERROR(INDEX(Consulta!$A:$DS,MATCH('MM01'!$B16,Consulta!$C:$C,0),'MM01'!BX$2),""))</f>
        <v/>
      </c>
      <c r="BY16" s="44" t="s">
        <v>392</v>
      </c>
      <c r="BZ16" s="50">
        <v>0</v>
      </c>
      <c r="CA16" s="45" t="s">
        <v>403</v>
      </c>
      <c r="CB16" s="45" t="s">
        <v>84</v>
      </c>
      <c r="CC16" s="43" t="str">
        <f t="shared" si="21"/>
        <v/>
      </c>
      <c r="CD16" s="45" t="s">
        <v>430</v>
      </c>
      <c r="CE16" s="45">
        <v>1</v>
      </c>
      <c r="CF16" s="45" t="s">
        <v>496</v>
      </c>
      <c r="CG16" s="45"/>
      <c r="CH16" s="44"/>
      <c r="CI16" s="49" t="str">
        <f t="shared" si="22"/>
        <v/>
      </c>
      <c r="CJ16" s="49" t="str">
        <f t="shared" si="23"/>
        <v/>
      </c>
      <c r="CK16" s="45"/>
      <c r="CL16" s="44">
        <v>5</v>
      </c>
      <c r="CM16" s="44">
        <v>1</v>
      </c>
      <c r="CN16" s="44">
        <v>1</v>
      </c>
      <c r="CO16" s="44">
        <v>1</v>
      </c>
      <c r="CP16" s="50" t="s">
        <v>515</v>
      </c>
      <c r="CQ16" s="44" t="s">
        <v>372</v>
      </c>
      <c r="CR16" s="44">
        <v>2</v>
      </c>
      <c r="CS16" s="44">
        <v>42</v>
      </c>
      <c r="CT16" s="44">
        <v>10</v>
      </c>
      <c r="CU16" s="43" t="str">
        <f t="shared" si="24"/>
        <v>K00_P_PURL_</v>
      </c>
      <c r="CV16" s="45">
        <v>5000</v>
      </c>
      <c r="CW16" s="43" t="str">
        <f t="shared" si="0"/>
        <v/>
      </c>
      <c r="CX16" s="43" t="str">
        <f t="shared" si="1"/>
        <v/>
      </c>
      <c r="CY16" s="43" t="str">
        <f>IF(IFERROR(INDEX(Consulta!$A:$DS,MATCH('MM01'!$B16,Consulta!$C:$C,0),'MM01'!CY$2),"")=0,"",IFERROR(INDEX(Consulta!$A:$DS,MATCH('MM01'!$B16,Consulta!$C:$C,0),'MM01'!CY$2),""))</f>
        <v/>
      </c>
      <c r="CZ16" s="43" t="str">
        <f t="shared" si="2"/>
        <v/>
      </c>
      <c r="DA16" s="43" t="str">
        <f>IF(IFERROR(INDEX(Consulta!$A:$DS,MATCH('MM01'!$B16,Consulta!$C:$C,0),'MM01'!DA$2),"")=0,"",IFERROR(INDEX(Consulta!$A:$DS,MATCH('MM01'!$B16,Consulta!$C:$C,0),'MM01'!DA$2),""))</f>
        <v/>
      </c>
      <c r="DB16" s="43" t="str">
        <f>IF(IFERROR(INDEX(Consulta!$A:$DS,MATCH('MM01'!$B16,Consulta!$C:$C,0),'MM01'!DB$2),"")=0,"",IFERROR(INDEX(Consulta!$A:$DS,MATCH('MM01'!$B16,Consulta!$C:$C,0),'MM01'!DB$2),""))</f>
        <v/>
      </c>
      <c r="DC16" s="43" t="str">
        <f>IF(IFERROR(INDEX(Consulta!$A:$DS,MATCH('MM01'!$B16,Consulta!$C:$C,0),'MM01'!DC$2),"")=0,"",IFERROR(INDEX(Consulta!$A:$DS,MATCH('MM01'!$B16,Consulta!$C:$C,0),'MM01'!DC$2),""))</f>
        <v/>
      </c>
      <c r="DD16" s="43" t="str">
        <f>IF(IFERROR(INDEX(Consulta!$A:$DS,MATCH('MM01'!$B16,Consulta!$C:$C,0),'MM01'!DD$2),"")=0,"",IFERROR(INDEX(Consulta!$A:$DS,MATCH('MM01'!$B16,Consulta!$C:$C,0),'MM01'!DD$2),""))</f>
        <v/>
      </c>
      <c r="DE16" s="43" t="str">
        <f>IF(IFERROR(INDEX(Consulta!$A:$DS,MATCH('MM01'!$B16,Consulta!$C:$C,0),'MM01'!DE$2),"")=0,"",IFERROR(INDEX(Consulta!$A:$DS,MATCH('MM01'!$B16,Consulta!$C:$C,0),'MM01'!DE$2),""))</f>
        <v/>
      </c>
      <c r="DF16" s="100">
        <v>3458</v>
      </c>
      <c r="DG16" s="45">
        <v>0</v>
      </c>
      <c r="DH16" s="45">
        <v>0</v>
      </c>
      <c r="DI16" s="43" t="str">
        <f t="shared" si="3"/>
        <v/>
      </c>
      <c r="DJ16" s="43" t="str">
        <f t="shared" si="25"/>
        <v/>
      </c>
      <c r="DK16" s="57"/>
      <c r="DL16" s="43" t="str">
        <f t="shared" ca="1" si="26"/>
        <v/>
      </c>
      <c r="DM16" s="43" t="str">
        <f t="shared" si="27"/>
        <v/>
      </c>
      <c r="DN16" s="43" t="str">
        <f t="shared" si="28"/>
        <v/>
      </c>
      <c r="DO16" s="57"/>
      <c r="DP16" s="43" t="str">
        <f t="shared" ca="1" si="29"/>
        <v/>
      </c>
      <c r="DQ16" s="43" t="str">
        <f t="shared" si="30"/>
        <v/>
      </c>
      <c r="DR16" s="43" t="str">
        <f t="shared" si="31"/>
        <v/>
      </c>
      <c r="DS16" s="57"/>
      <c r="DT16" s="43" t="str">
        <f t="shared" ca="1" si="32"/>
        <v/>
      </c>
      <c r="DU16" s="43" t="str">
        <f t="shared" si="33"/>
        <v/>
      </c>
      <c r="DV16" s="43" t="str">
        <f t="shared" si="34"/>
        <v/>
      </c>
      <c r="DW16" s="57"/>
      <c r="DX16" s="43" t="str">
        <f t="shared" ca="1" si="35"/>
        <v/>
      </c>
      <c r="DY16" s="43" t="str">
        <f t="shared" si="36"/>
        <v/>
      </c>
      <c r="EA16" s="44">
        <v>0</v>
      </c>
      <c r="EB16" s="44" t="s">
        <v>761</v>
      </c>
      <c r="EC16" s="44">
        <v>30</v>
      </c>
      <c r="ED16" s="43">
        <f t="shared" si="4"/>
        <v>0.01</v>
      </c>
      <c r="EE16" s="43" t="str">
        <f t="shared" si="5"/>
        <v>M</v>
      </c>
      <c r="EF16" s="43" t="str">
        <f>IF(IFERROR(INDEX(Consulta!$A:$DS,MATCH('MM01'!$B16,Consulta!$C:$C,0),'MM01'!EF$2),"")=0,"7925",IF(IFERROR(INDEX(Consulta!$A:$DS,MATCH('MM01'!$B16,Consulta!$C:$C,0),'MM01'!EF$2),"")="68","7910","7925"))</f>
        <v>7925</v>
      </c>
      <c r="EG16" s="44">
        <v>100</v>
      </c>
      <c r="EH16" s="62">
        <v>1</v>
      </c>
      <c r="EI16" s="43">
        <f t="shared" si="37"/>
        <v>100</v>
      </c>
      <c r="EJ16" s="44">
        <v>1</v>
      </c>
      <c r="EK16" s="44">
        <v>0</v>
      </c>
      <c r="EL16" s="44" t="s">
        <v>859</v>
      </c>
      <c r="EM16" s="45">
        <v>0</v>
      </c>
      <c r="EN16" s="43">
        <f t="shared" si="38"/>
        <v>5000</v>
      </c>
      <c r="EO16" s="69"/>
    </row>
    <row r="17" spans="1:145" x14ac:dyDescent="0.2">
      <c r="A17" s="7" t="str">
        <f t="shared" si="6"/>
        <v>Execução 13</v>
      </c>
      <c r="B17" s="42"/>
      <c r="C17" s="43" t="str">
        <f>IF(IFERROR(INDEX(Consulta!$A:$DS,MATCH('MM01'!$B17,Consulta!$C:$C,0),'MM01'!C$2),"")=0,"",IFERROR(INDEX(Consulta!$A:$DS,MATCH('MM01'!$B17,Consulta!$C:$C,0),'MM01'!C$2),""))</f>
        <v/>
      </c>
      <c r="D17" s="43" t="str">
        <f>IF(IFERROR(INDEX(Consulta!$A:$DS,MATCH('MM01'!$B17,Consulta!$C:$C,0),'MM01'!D$2),"")=0,"",IFERROR(INDEX(Consulta!$A:$DS,MATCH('MM01'!$B17,Consulta!$C:$C,0),'MM01'!D$2),""))</f>
        <v/>
      </c>
      <c r="E17" s="43" t="str">
        <f>IF(IFERROR(INDEX(Consulta!$A:$DS,MATCH('MM01'!$B17,Consulta!$C:$C,0),'MM01'!E$2),"")=0,"",IFERROR(INDEX(Consulta!$A:$DS,MATCH('MM01'!$B17,Consulta!$C:$C,0),'MM01'!E$2),""))</f>
        <v/>
      </c>
      <c r="F17" s="44" t="s">
        <v>100</v>
      </c>
      <c r="G17" s="49" t="str">
        <f>IF(IFERROR(INDEX(Consulta!$A:$DS,MATCH('MM01'!$B17,Consulta!$C:$C,0),'MM01'!G$2),"")=0,"",IFERROR(INDEX(Consulta!$A:$DS,MATCH('MM01'!$B17,Consulta!$C:$C,0),'MM01'!G$2),""))</f>
        <v/>
      </c>
      <c r="H17" s="49" t="str">
        <f>IF(IFERROR(INDEX(Consulta!$A:$DS,MATCH('MM01'!$B17,Consulta!$C:$C,0),'MM01'!H$2),"")=0,"",IFERROR(INDEX(Consulta!$A:$DS,MATCH('MM01'!$B17,Consulta!$C:$C,0),'MM01'!H$2),""))</f>
        <v/>
      </c>
      <c r="I17" s="49" t="str">
        <f t="shared" si="7"/>
        <v/>
      </c>
      <c r="J17" s="49" t="str">
        <f>IF(IFERROR(INDEX(Consulta!$A:$DS,MATCH('MM01'!$B17,Consulta!$C:$C,0),'MM01'!J$2),"")=0,"",IFERROR(INDEX(Consulta!$A:$DS,MATCH('MM01'!$B17,Consulta!$C:$C,0),'MM01'!J$2),""))</f>
        <v/>
      </c>
      <c r="K17" s="49" t="str">
        <f t="shared" si="8"/>
        <v/>
      </c>
      <c r="M17" s="45" t="s">
        <v>101</v>
      </c>
      <c r="N17" s="45" t="s">
        <v>102</v>
      </c>
      <c r="O17" s="45" t="s">
        <v>103</v>
      </c>
      <c r="P17" s="45" t="s">
        <v>104</v>
      </c>
      <c r="Q17" s="45" t="s">
        <v>105</v>
      </c>
      <c r="R17" s="45" t="s">
        <v>106</v>
      </c>
      <c r="S17" s="45" t="s">
        <v>107</v>
      </c>
      <c r="T17" s="45"/>
      <c r="U17" s="45"/>
      <c r="V17" s="45"/>
      <c r="W17" s="45"/>
      <c r="X17" s="45" t="s">
        <v>112</v>
      </c>
      <c r="Y17" s="45" t="s">
        <v>113</v>
      </c>
      <c r="Z17" s="45" t="s">
        <v>114</v>
      </c>
      <c r="AA17" s="45" t="s">
        <v>115</v>
      </c>
      <c r="AB17" s="45" t="s">
        <v>117</v>
      </c>
      <c r="AC17" s="45" t="s">
        <v>118</v>
      </c>
      <c r="AD17" s="45" t="s">
        <v>119</v>
      </c>
      <c r="AE17" s="45" t="s">
        <v>120</v>
      </c>
      <c r="AF17" s="45" t="s">
        <v>121</v>
      </c>
      <c r="AG17" s="45" t="s">
        <v>122</v>
      </c>
      <c r="AH17" s="45" t="s">
        <v>123</v>
      </c>
      <c r="AI17" s="45" t="s">
        <v>124</v>
      </c>
      <c r="AJ17" s="45" t="s">
        <v>125</v>
      </c>
      <c r="AK17" s="45" t="s">
        <v>126</v>
      </c>
      <c r="AL17" s="45"/>
      <c r="AM17" s="45"/>
      <c r="AO17" s="44" t="s">
        <v>100</v>
      </c>
      <c r="AP17" s="43" t="str">
        <f>IF(IFERROR(INDEX(Consulta!$A:$DS,MATCH('MM01'!$B17,Consulta!$C:$C,0),'MM01'!AP$2),"")=0,"",IFERROR(INDEX(Consulta!$A:$DS,MATCH('MM01'!$B17,Consulta!$C:$C,0),'MM01'!AP$2),""))</f>
        <v/>
      </c>
      <c r="AQ17" s="45"/>
      <c r="AR17" s="43" t="str">
        <f>IF(IFERROR(INDEX(Consulta!$A:$DS,MATCH('MM01'!$B17,Consulta!$C:$C,0),'MM01'!AR$2),"")=0,"",IFERROR(INDEX(Consulta!$A:$DS,MATCH('MM01'!$B17,Consulta!$C:$C,0),'MM01'!AR$2),""))</f>
        <v/>
      </c>
      <c r="AS17" s="43" t="str">
        <f>IF(IFERROR(INDEX(Consulta!$A:$DS,MATCH('MM01'!$B17,Consulta!$C:$C,0),'MM01'!AS$2),"")=0,"",IF(AR17="68",5102,IFERROR(INDEX(Consulta!$A:$DS,MATCH('MM01'!$B17,Consulta!$C:$C,0),'MM01'!AS$2),"")))</f>
        <v/>
      </c>
      <c r="AT17" s="45"/>
      <c r="AU17" s="46" t="str">
        <f t="shared" ca="1" si="9"/>
        <v/>
      </c>
      <c r="AV17" s="47" t="s">
        <v>783</v>
      </c>
      <c r="AW17" s="43" t="str">
        <f>IF(IFERROR(INDEX(Consulta!$A:$DS,MATCH('MM01'!$B17,Consulta!$C:$C,0),'MM01'!AW$2),"")=0,"",IFERROR(ROUND(INDEX(Consulta!$A:$DS,MATCH('MM01'!$B17,Consulta!$C:$C,0),'MM01'!AW$2),3),""))</f>
        <v/>
      </c>
      <c r="AX17" s="43" t="str">
        <f t="shared" si="10"/>
        <v/>
      </c>
      <c r="AY17" s="48" t="s">
        <v>299</v>
      </c>
      <c r="AZ17" s="48"/>
      <c r="BA17" s="43" t="str">
        <f>IF(IFERROR(INDEX(Consulta!$A:$DS,MATCH('MM01'!$B17,Consulta!$C:$C,0),'MM01'!BA$2),"")=0,"",IFERROR(INDEX(Consulta!$A:$DS,MATCH('MM01'!$B17,Consulta!$C:$C,0),'MM01'!BA$2),""))</f>
        <v/>
      </c>
      <c r="BB17" s="43" t="str">
        <f t="shared" si="11"/>
        <v/>
      </c>
      <c r="BC17" s="43" t="str">
        <f t="shared" si="12"/>
        <v/>
      </c>
      <c r="BD17" s="43" t="str">
        <f t="shared" si="13"/>
        <v/>
      </c>
      <c r="BE17" s="43" t="str">
        <f t="shared" si="14"/>
        <v>M</v>
      </c>
      <c r="BF17" s="43" t="str">
        <f t="shared" si="15"/>
        <v/>
      </c>
      <c r="BG17" s="43" t="str">
        <f t="shared" si="16"/>
        <v/>
      </c>
      <c r="BH17" s="43" t="str">
        <f t="shared" si="17"/>
        <v/>
      </c>
      <c r="BI17" s="43" t="str">
        <f t="shared" si="18"/>
        <v>M</v>
      </c>
      <c r="BK17" s="45" t="s">
        <v>789</v>
      </c>
      <c r="BL17" s="43" t="str">
        <f>IF(IFERROR(INDEX(Consulta!$A:$DS,MATCH('MM01'!$B17,Consulta!$C:$C,0),'MM01'!BL$2),"")=0,"",IFERROR(INDEX(Consulta!$A:$DS,MATCH('MM01'!$B17,Consulta!$C:$C,0),'MM01'!BL$2),""))</f>
        <v/>
      </c>
      <c r="BM17" s="45"/>
      <c r="BN17" s="46" t="str">
        <f t="shared" ca="1" si="19"/>
        <v/>
      </c>
      <c r="BO17" s="49" t="str">
        <f t="shared" si="20"/>
        <v/>
      </c>
      <c r="BP17" s="50">
        <v>1</v>
      </c>
      <c r="BQ17" s="50" t="s">
        <v>194</v>
      </c>
      <c r="BR17" s="50" t="s">
        <v>194</v>
      </c>
      <c r="BS17" s="50" t="s">
        <v>783</v>
      </c>
      <c r="BT17" s="44">
        <v>1</v>
      </c>
      <c r="BU17" s="44" t="s">
        <v>372</v>
      </c>
      <c r="BV17" s="50" t="s">
        <v>197</v>
      </c>
      <c r="BW17" s="50" t="s">
        <v>197</v>
      </c>
      <c r="BX17" s="43" t="str">
        <f>IF(IFERROR(INDEX(Consulta!$A:$DS,MATCH('MM01'!$B17,Consulta!$C:$C,0),'MM01'!BX$2),"")=0,"",IFERROR(INDEX(Consulta!$A:$DS,MATCH('MM01'!$B17,Consulta!$C:$C,0),'MM01'!BX$2),""))</f>
        <v/>
      </c>
      <c r="BY17" s="44" t="s">
        <v>392</v>
      </c>
      <c r="BZ17" s="50">
        <v>0</v>
      </c>
      <c r="CA17" s="45" t="s">
        <v>403</v>
      </c>
      <c r="CB17" s="45" t="s">
        <v>84</v>
      </c>
      <c r="CC17" s="43" t="str">
        <f t="shared" si="21"/>
        <v/>
      </c>
      <c r="CD17" s="45" t="s">
        <v>430</v>
      </c>
      <c r="CE17" s="45">
        <v>1</v>
      </c>
      <c r="CF17" s="45" t="s">
        <v>496</v>
      </c>
      <c r="CG17" s="45"/>
      <c r="CH17" s="44"/>
      <c r="CI17" s="49" t="str">
        <f t="shared" si="22"/>
        <v/>
      </c>
      <c r="CJ17" s="49" t="str">
        <f t="shared" si="23"/>
        <v/>
      </c>
      <c r="CK17" s="45"/>
      <c r="CL17" s="44">
        <v>5</v>
      </c>
      <c r="CM17" s="44">
        <v>1</v>
      </c>
      <c r="CN17" s="44">
        <v>1</v>
      </c>
      <c r="CO17" s="44">
        <v>1</v>
      </c>
      <c r="CP17" s="50" t="s">
        <v>515</v>
      </c>
      <c r="CQ17" s="44" t="s">
        <v>372</v>
      </c>
      <c r="CR17" s="44">
        <v>2</v>
      </c>
      <c r="CS17" s="44">
        <v>42</v>
      </c>
      <c r="CT17" s="44">
        <v>10</v>
      </c>
      <c r="CU17" s="43" t="str">
        <f t="shared" si="24"/>
        <v>K00_P_PURL_</v>
      </c>
      <c r="CV17" s="45">
        <v>5000</v>
      </c>
      <c r="CW17" s="43" t="str">
        <f t="shared" si="0"/>
        <v/>
      </c>
      <c r="CX17" s="43" t="str">
        <f t="shared" si="1"/>
        <v/>
      </c>
      <c r="CY17" s="43" t="str">
        <f>IF(IFERROR(INDEX(Consulta!$A:$DS,MATCH('MM01'!$B17,Consulta!$C:$C,0),'MM01'!CY$2),"")=0,"",IFERROR(INDEX(Consulta!$A:$DS,MATCH('MM01'!$B17,Consulta!$C:$C,0),'MM01'!CY$2),""))</f>
        <v/>
      </c>
      <c r="CZ17" s="43" t="str">
        <f t="shared" si="2"/>
        <v/>
      </c>
      <c r="DA17" s="43" t="str">
        <f>IF(IFERROR(INDEX(Consulta!$A:$DS,MATCH('MM01'!$B17,Consulta!$C:$C,0),'MM01'!DA$2),"")=0,"",IFERROR(INDEX(Consulta!$A:$DS,MATCH('MM01'!$B17,Consulta!$C:$C,0),'MM01'!DA$2),""))</f>
        <v/>
      </c>
      <c r="DB17" s="43" t="str">
        <f>IF(IFERROR(INDEX(Consulta!$A:$DS,MATCH('MM01'!$B17,Consulta!$C:$C,0),'MM01'!DB$2),"")=0,"",IFERROR(INDEX(Consulta!$A:$DS,MATCH('MM01'!$B17,Consulta!$C:$C,0),'MM01'!DB$2),""))</f>
        <v/>
      </c>
      <c r="DC17" s="43" t="str">
        <f>IF(IFERROR(INDEX(Consulta!$A:$DS,MATCH('MM01'!$B17,Consulta!$C:$C,0),'MM01'!DC$2),"")=0,"",IFERROR(INDEX(Consulta!$A:$DS,MATCH('MM01'!$B17,Consulta!$C:$C,0),'MM01'!DC$2),""))</f>
        <v/>
      </c>
      <c r="DD17" s="43" t="str">
        <f>IF(IFERROR(INDEX(Consulta!$A:$DS,MATCH('MM01'!$B17,Consulta!$C:$C,0),'MM01'!DD$2),"")=0,"",IFERROR(INDEX(Consulta!$A:$DS,MATCH('MM01'!$B17,Consulta!$C:$C,0),'MM01'!DD$2),""))</f>
        <v/>
      </c>
      <c r="DE17" s="43" t="str">
        <f>IF(IFERROR(INDEX(Consulta!$A:$DS,MATCH('MM01'!$B17,Consulta!$C:$C,0),'MM01'!DE$2),"")=0,"",IFERROR(INDEX(Consulta!$A:$DS,MATCH('MM01'!$B17,Consulta!$C:$C,0),'MM01'!DE$2),""))</f>
        <v/>
      </c>
      <c r="DF17" s="100">
        <v>3458</v>
      </c>
      <c r="DG17" s="45">
        <v>0</v>
      </c>
      <c r="DH17" s="45">
        <v>0</v>
      </c>
      <c r="DI17" s="43" t="str">
        <f t="shared" si="3"/>
        <v/>
      </c>
      <c r="DJ17" s="43" t="str">
        <f t="shared" si="25"/>
        <v/>
      </c>
      <c r="DK17" s="57"/>
      <c r="DL17" s="43" t="str">
        <f t="shared" ca="1" si="26"/>
        <v/>
      </c>
      <c r="DM17" s="43" t="str">
        <f t="shared" si="27"/>
        <v/>
      </c>
      <c r="DN17" s="43" t="str">
        <f t="shared" si="28"/>
        <v/>
      </c>
      <c r="DO17" s="57"/>
      <c r="DP17" s="43" t="str">
        <f t="shared" ca="1" si="29"/>
        <v/>
      </c>
      <c r="DQ17" s="43" t="str">
        <f t="shared" si="30"/>
        <v/>
      </c>
      <c r="DR17" s="43" t="str">
        <f t="shared" si="31"/>
        <v/>
      </c>
      <c r="DS17" s="57"/>
      <c r="DT17" s="43" t="str">
        <f t="shared" ca="1" si="32"/>
        <v/>
      </c>
      <c r="DU17" s="43" t="str">
        <f t="shared" si="33"/>
        <v/>
      </c>
      <c r="DV17" s="43" t="str">
        <f t="shared" si="34"/>
        <v/>
      </c>
      <c r="DW17" s="57"/>
      <c r="DX17" s="43" t="str">
        <f t="shared" ca="1" si="35"/>
        <v/>
      </c>
      <c r="DY17" s="43" t="str">
        <f t="shared" si="36"/>
        <v/>
      </c>
      <c r="EA17" s="44">
        <v>0</v>
      </c>
      <c r="EB17" s="44" t="s">
        <v>761</v>
      </c>
      <c r="EC17" s="44">
        <v>30</v>
      </c>
      <c r="ED17" s="43">
        <f t="shared" si="4"/>
        <v>0.01</v>
      </c>
      <c r="EE17" s="43" t="str">
        <f t="shared" si="5"/>
        <v>M</v>
      </c>
      <c r="EF17" s="43" t="str">
        <f>IF(IFERROR(INDEX(Consulta!$A:$DS,MATCH('MM01'!$B17,Consulta!$C:$C,0),'MM01'!EF$2),"")=0,"7925",IF(IFERROR(INDEX(Consulta!$A:$DS,MATCH('MM01'!$B17,Consulta!$C:$C,0),'MM01'!EF$2),"")="68","7910","7925"))</f>
        <v>7925</v>
      </c>
      <c r="EG17" s="44">
        <v>100</v>
      </c>
      <c r="EH17" s="62">
        <v>1</v>
      </c>
      <c r="EI17" s="43">
        <f t="shared" si="37"/>
        <v>100</v>
      </c>
      <c r="EJ17" s="44">
        <v>1</v>
      </c>
      <c r="EK17" s="44">
        <v>0</v>
      </c>
      <c r="EL17" s="44" t="s">
        <v>859</v>
      </c>
      <c r="EM17" s="45">
        <v>0</v>
      </c>
      <c r="EN17" s="43">
        <f t="shared" si="38"/>
        <v>5000</v>
      </c>
      <c r="EO17" s="69"/>
    </row>
    <row r="18" spans="1:145" x14ac:dyDescent="0.2">
      <c r="A18" s="7" t="str">
        <f t="shared" si="6"/>
        <v>Execução 14</v>
      </c>
      <c r="B18" s="42"/>
      <c r="C18" s="43" t="str">
        <f>IF(IFERROR(INDEX(Consulta!$A:$DS,MATCH('MM01'!$B18,Consulta!$C:$C,0),'MM01'!C$2),"")=0,"",IFERROR(INDEX(Consulta!$A:$DS,MATCH('MM01'!$B18,Consulta!$C:$C,0),'MM01'!C$2),""))</f>
        <v/>
      </c>
      <c r="D18" s="43" t="str">
        <f>IF(IFERROR(INDEX(Consulta!$A:$DS,MATCH('MM01'!$B18,Consulta!$C:$C,0),'MM01'!D$2),"")=0,"",IFERROR(INDEX(Consulta!$A:$DS,MATCH('MM01'!$B18,Consulta!$C:$C,0),'MM01'!D$2),""))</f>
        <v/>
      </c>
      <c r="E18" s="43" t="str">
        <f>IF(IFERROR(INDEX(Consulta!$A:$DS,MATCH('MM01'!$B18,Consulta!$C:$C,0),'MM01'!E$2),"")=0,"",IFERROR(INDEX(Consulta!$A:$DS,MATCH('MM01'!$B18,Consulta!$C:$C,0),'MM01'!E$2),""))</f>
        <v/>
      </c>
      <c r="F18" s="44" t="s">
        <v>100</v>
      </c>
      <c r="G18" s="49" t="str">
        <f>IF(IFERROR(INDEX(Consulta!$A:$DS,MATCH('MM01'!$B18,Consulta!$C:$C,0),'MM01'!G$2),"")=0,"",IFERROR(INDEX(Consulta!$A:$DS,MATCH('MM01'!$B18,Consulta!$C:$C,0),'MM01'!G$2),""))</f>
        <v/>
      </c>
      <c r="H18" s="49" t="str">
        <f>IF(IFERROR(INDEX(Consulta!$A:$DS,MATCH('MM01'!$B18,Consulta!$C:$C,0),'MM01'!H$2),"")=0,"",IFERROR(INDEX(Consulta!$A:$DS,MATCH('MM01'!$B18,Consulta!$C:$C,0),'MM01'!H$2),""))</f>
        <v/>
      </c>
      <c r="I18" s="49" t="str">
        <f t="shared" si="7"/>
        <v/>
      </c>
      <c r="J18" s="49" t="str">
        <f>IF(IFERROR(INDEX(Consulta!$A:$DS,MATCH('MM01'!$B18,Consulta!$C:$C,0),'MM01'!J$2),"")=0,"",IFERROR(INDEX(Consulta!$A:$DS,MATCH('MM01'!$B18,Consulta!$C:$C,0),'MM01'!J$2),""))</f>
        <v/>
      </c>
      <c r="K18" s="49" t="str">
        <f t="shared" si="8"/>
        <v/>
      </c>
      <c r="M18" s="45" t="s">
        <v>101</v>
      </c>
      <c r="N18" s="45" t="s">
        <v>102</v>
      </c>
      <c r="O18" s="45" t="s">
        <v>103</v>
      </c>
      <c r="P18" s="45" t="s">
        <v>104</v>
      </c>
      <c r="Q18" s="45" t="s">
        <v>105</v>
      </c>
      <c r="R18" s="45" t="s">
        <v>106</v>
      </c>
      <c r="S18" s="45" t="s">
        <v>107</v>
      </c>
      <c r="T18" s="45"/>
      <c r="U18" s="45"/>
      <c r="V18" s="45"/>
      <c r="W18" s="45"/>
      <c r="X18" s="45" t="s">
        <v>112</v>
      </c>
      <c r="Y18" s="45" t="s">
        <v>113</v>
      </c>
      <c r="Z18" s="45" t="s">
        <v>114</v>
      </c>
      <c r="AA18" s="45" t="s">
        <v>115</v>
      </c>
      <c r="AB18" s="45" t="s">
        <v>117</v>
      </c>
      <c r="AC18" s="45" t="s">
        <v>118</v>
      </c>
      <c r="AD18" s="45" t="s">
        <v>119</v>
      </c>
      <c r="AE18" s="45" t="s">
        <v>120</v>
      </c>
      <c r="AF18" s="45" t="s">
        <v>121</v>
      </c>
      <c r="AG18" s="45" t="s">
        <v>122</v>
      </c>
      <c r="AH18" s="45" t="s">
        <v>123</v>
      </c>
      <c r="AI18" s="45" t="s">
        <v>124</v>
      </c>
      <c r="AJ18" s="45" t="s">
        <v>125</v>
      </c>
      <c r="AK18" s="45" t="s">
        <v>126</v>
      </c>
      <c r="AL18" s="45"/>
      <c r="AM18" s="45"/>
      <c r="AO18" s="44" t="s">
        <v>100</v>
      </c>
      <c r="AP18" s="43" t="str">
        <f>IF(IFERROR(INDEX(Consulta!$A:$DS,MATCH('MM01'!$B18,Consulta!$C:$C,0),'MM01'!AP$2),"")=0,"",IFERROR(INDEX(Consulta!$A:$DS,MATCH('MM01'!$B18,Consulta!$C:$C,0),'MM01'!AP$2),""))</f>
        <v/>
      </c>
      <c r="AQ18" s="45"/>
      <c r="AR18" s="43" t="str">
        <f>IF(IFERROR(INDEX(Consulta!$A:$DS,MATCH('MM01'!$B18,Consulta!$C:$C,0),'MM01'!AR$2),"")=0,"",IFERROR(INDEX(Consulta!$A:$DS,MATCH('MM01'!$B18,Consulta!$C:$C,0),'MM01'!AR$2),""))</f>
        <v/>
      </c>
      <c r="AS18" s="43" t="str">
        <f>IF(IFERROR(INDEX(Consulta!$A:$DS,MATCH('MM01'!$B18,Consulta!$C:$C,0),'MM01'!AS$2),"")=0,"",IF(AR18="68",5102,IFERROR(INDEX(Consulta!$A:$DS,MATCH('MM01'!$B18,Consulta!$C:$C,0),'MM01'!AS$2),"")))</f>
        <v/>
      </c>
      <c r="AT18" s="45"/>
      <c r="AU18" s="46" t="str">
        <f t="shared" ca="1" si="9"/>
        <v/>
      </c>
      <c r="AV18" s="47" t="s">
        <v>783</v>
      </c>
      <c r="AW18" s="43" t="str">
        <f>IF(IFERROR(INDEX(Consulta!$A:$DS,MATCH('MM01'!$B18,Consulta!$C:$C,0),'MM01'!AW$2),"")=0,"",IFERROR(ROUND(INDEX(Consulta!$A:$DS,MATCH('MM01'!$B18,Consulta!$C:$C,0),'MM01'!AW$2),3),""))</f>
        <v/>
      </c>
      <c r="AX18" s="43" t="str">
        <f t="shared" si="10"/>
        <v/>
      </c>
      <c r="AY18" s="48" t="s">
        <v>299</v>
      </c>
      <c r="AZ18" s="48"/>
      <c r="BA18" s="43" t="str">
        <f>IF(IFERROR(INDEX(Consulta!$A:$DS,MATCH('MM01'!$B18,Consulta!$C:$C,0),'MM01'!BA$2),"")=0,"",IFERROR(INDEX(Consulta!$A:$DS,MATCH('MM01'!$B18,Consulta!$C:$C,0),'MM01'!BA$2),""))</f>
        <v/>
      </c>
      <c r="BB18" s="43" t="str">
        <f t="shared" si="11"/>
        <v/>
      </c>
      <c r="BC18" s="43" t="str">
        <f t="shared" si="12"/>
        <v/>
      </c>
      <c r="BD18" s="43" t="str">
        <f t="shared" si="13"/>
        <v/>
      </c>
      <c r="BE18" s="43" t="str">
        <f t="shared" si="14"/>
        <v>M</v>
      </c>
      <c r="BF18" s="43" t="str">
        <f t="shared" si="15"/>
        <v/>
      </c>
      <c r="BG18" s="43" t="str">
        <f t="shared" si="16"/>
        <v/>
      </c>
      <c r="BH18" s="43" t="str">
        <f t="shared" si="17"/>
        <v/>
      </c>
      <c r="BI18" s="43" t="str">
        <f t="shared" si="18"/>
        <v>M</v>
      </c>
      <c r="BK18" s="45" t="s">
        <v>789</v>
      </c>
      <c r="BL18" s="43" t="str">
        <f>IF(IFERROR(INDEX(Consulta!$A:$DS,MATCH('MM01'!$B18,Consulta!$C:$C,0),'MM01'!BL$2),"")=0,"",IFERROR(INDEX(Consulta!$A:$DS,MATCH('MM01'!$B18,Consulta!$C:$C,0),'MM01'!BL$2),""))</f>
        <v/>
      </c>
      <c r="BM18" s="45"/>
      <c r="BN18" s="46" t="str">
        <f t="shared" ca="1" si="19"/>
        <v/>
      </c>
      <c r="BO18" s="49" t="str">
        <f t="shared" si="20"/>
        <v/>
      </c>
      <c r="BP18" s="50">
        <v>1</v>
      </c>
      <c r="BQ18" s="50" t="s">
        <v>194</v>
      </c>
      <c r="BR18" s="50" t="s">
        <v>194</v>
      </c>
      <c r="BS18" s="50" t="s">
        <v>783</v>
      </c>
      <c r="BT18" s="44">
        <v>1</v>
      </c>
      <c r="BU18" s="44" t="s">
        <v>372</v>
      </c>
      <c r="BV18" s="50" t="s">
        <v>197</v>
      </c>
      <c r="BW18" s="50" t="s">
        <v>197</v>
      </c>
      <c r="BX18" s="43" t="str">
        <f>IF(IFERROR(INDEX(Consulta!$A:$DS,MATCH('MM01'!$B18,Consulta!$C:$C,0),'MM01'!BX$2),"")=0,"",IFERROR(INDEX(Consulta!$A:$DS,MATCH('MM01'!$B18,Consulta!$C:$C,0),'MM01'!BX$2),""))</f>
        <v/>
      </c>
      <c r="BY18" s="44" t="s">
        <v>392</v>
      </c>
      <c r="BZ18" s="50">
        <v>0</v>
      </c>
      <c r="CA18" s="45" t="s">
        <v>403</v>
      </c>
      <c r="CB18" s="45" t="s">
        <v>84</v>
      </c>
      <c r="CC18" s="43" t="str">
        <f t="shared" si="21"/>
        <v/>
      </c>
      <c r="CD18" s="45" t="s">
        <v>430</v>
      </c>
      <c r="CE18" s="45">
        <v>1</v>
      </c>
      <c r="CF18" s="45" t="s">
        <v>496</v>
      </c>
      <c r="CG18" s="45"/>
      <c r="CH18" s="44"/>
      <c r="CI18" s="49" t="str">
        <f t="shared" si="22"/>
        <v/>
      </c>
      <c r="CJ18" s="49" t="str">
        <f t="shared" si="23"/>
        <v/>
      </c>
      <c r="CK18" s="45"/>
      <c r="CL18" s="44">
        <v>5</v>
      </c>
      <c r="CM18" s="44">
        <v>1</v>
      </c>
      <c r="CN18" s="44">
        <v>1</v>
      </c>
      <c r="CO18" s="44">
        <v>1</v>
      </c>
      <c r="CP18" s="50" t="s">
        <v>515</v>
      </c>
      <c r="CQ18" s="44" t="s">
        <v>372</v>
      </c>
      <c r="CR18" s="44">
        <v>2</v>
      </c>
      <c r="CS18" s="44">
        <v>42</v>
      </c>
      <c r="CT18" s="44">
        <v>10</v>
      </c>
      <c r="CU18" s="43" t="str">
        <f t="shared" si="24"/>
        <v>K00_P_PURL_</v>
      </c>
      <c r="CV18" s="45">
        <v>5000</v>
      </c>
      <c r="CW18" s="43" t="str">
        <f t="shared" si="0"/>
        <v/>
      </c>
      <c r="CX18" s="43" t="str">
        <f t="shared" si="1"/>
        <v/>
      </c>
      <c r="CY18" s="43" t="str">
        <f>IF(IFERROR(INDEX(Consulta!$A:$DS,MATCH('MM01'!$B18,Consulta!$C:$C,0),'MM01'!CY$2),"")=0,"",IFERROR(INDEX(Consulta!$A:$DS,MATCH('MM01'!$B18,Consulta!$C:$C,0),'MM01'!CY$2),""))</f>
        <v/>
      </c>
      <c r="CZ18" s="43" t="str">
        <f t="shared" si="2"/>
        <v/>
      </c>
      <c r="DA18" s="43" t="str">
        <f>IF(IFERROR(INDEX(Consulta!$A:$DS,MATCH('MM01'!$B18,Consulta!$C:$C,0),'MM01'!DA$2),"")=0,"",IFERROR(INDEX(Consulta!$A:$DS,MATCH('MM01'!$B18,Consulta!$C:$C,0),'MM01'!DA$2),""))</f>
        <v/>
      </c>
      <c r="DB18" s="43" t="str">
        <f>IF(IFERROR(INDEX(Consulta!$A:$DS,MATCH('MM01'!$B18,Consulta!$C:$C,0),'MM01'!DB$2),"")=0,"",IFERROR(INDEX(Consulta!$A:$DS,MATCH('MM01'!$B18,Consulta!$C:$C,0),'MM01'!DB$2),""))</f>
        <v/>
      </c>
      <c r="DC18" s="43" t="str">
        <f>IF(IFERROR(INDEX(Consulta!$A:$DS,MATCH('MM01'!$B18,Consulta!$C:$C,0),'MM01'!DC$2),"")=0,"",IFERROR(INDEX(Consulta!$A:$DS,MATCH('MM01'!$B18,Consulta!$C:$C,0),'MM01'!DC$2),""))</f>
        <v/>
      </c>
      <c r="DD18" s="43" t="str">
        <f>IF(IFERROR(INDEX(Consulta!$A:$DS,MATCH('MM01'!$B18,Consulta!$C:$C,0),'MM01'!DD$2),"")=0,"",IFERROR(INDEX(Consulta!$A:$DS,MATCH('MM01'!$B18,Consulta!$C:$C,0),'MM01'!DD$2),""))</f>
        <v/>
      </c>
      <c r="DE18" s="43" t="str">
        <f>IF(IFERROR(INDEX(Consulta!$A:$DS,MATCH('MM01'!$B18,Consulta!$C:$C,0),'MM01'!DE$2),"")=0,"",IFERROR(INDEX(Consulta!$A:$DS,MATCH('MM01'!$B18,Consulta!$C:$C,0),'MM01'!DE$2),""))</f>
        <v/>
      </c>
      <c r="DF18" s="100">
        <v>3458</v>
      </c>
      <c r="DG18" s="45">
        <v>0</v>
      </c>
      <c r="DH18" s="45">
        <v>0</v>
      </c>
      <c r="DI18" s="43" t="str">
        <f t="shared" si="3"/>
        <v/>
      </c>
      <c r="DJ18" s="43" t="str">
        <f t="shared" si="25"/>
        <v/>
      </c>
      <c r="DK18" s="57"/>
      <c r="DL18" s="43" t="str">
        <f t="shared" ca="1" si="26"/>
        <v/>
      </c>
      <c r="DM18" s="43" t="str">
        <f t="shared" si="27"/>
        <v/>
      </c>
      <c r="DN18" s="43" t="str">
        <f t="shared" si="28"/>
        <v/>
      </c>
      <c r="DO18" s="57"/>
      <c r="DP18" s="43" t="str">
        <f t="shared" ca="1" si="29"/>
        <v/>
      </c>
      <c r="DQ18" s="43" t="str">
        <f t="shared" si="30"/>
        <v/>
      </c>
      <c r="DR18" s="43" t="str">
        <f t="shared" si="31"/>
        <v/>
      </c>
      <c r="DS18" s="57"/>
      <c r="DT18" s="43" t="str">
        <f t="shared" ca="1" si="32"/>
        <v/>
      </c>
      <c r="DU18" s="43" t="str">
        <f t="shared" si="33"/>
        <v/>
      </c>
      <c r="DV18" s="43" t="str">
        <f t="shared" si="34"/>
        <v/>
      </c>
      <c r="DW18" s="57"/>
      <c r="DX18" s="43" t="str">
        <f t="shared" ca="1" si="35"/>
        <v/>
      </c>
      <c r="DY18" s="43" t="str">
        <f t="shared" si="36"/>
        <v/>
      </c>
      <c r="EA18" s="44">
        <v>0</v>
      </c>
      <c r="EB18" s="44" t="s">
        <v>761</v>
      </c>
      <c r="EC18" s="44">
        <v>30</v>
      </c>
      <c r="ED18" s="43">
        <f t="shared" si="4"/>
        <v>0.01</v>
      </c>
      <c r="EE18" s="43" t="str">
        <f t="shared" si="5"/>
        <v>M</v>
      </c>
      <c r="EF18" s="43" t="str">
        <f>IF(IFERROR(INDEX(Consulta!$A:$DS,MATCH('MM01'!$B18,Consulta!$C:$C,0),'MM01'!EF$2),"")=0,"7925",IF(IFERROR(INDEX(Consulta!$A:$DS,MATCH('MM01'!$B18,Consulta!$C:$C,0),'MM01'!EF$2),"")="68","7910","7925"))</f>
        <v>7925</v>
      </c>
      <c r="EG18" s="44">
        <v>100</v>
      </c>
      <c r="EH18" s="62">
        <v>1</v>
      </c>
      <c r="EI18" s="43">
        <f t="shared" si="37"/>
        <v>100</v>
      </c>
      <c r="EJ18" s="44">
        <v>1</v>
      </c>
      <c r="EK18" s="44">
        <v>0</v>
      </c>
      <c r="EL18" s="44" t="s">
        <v>859</v>
      </c>
      <c r="EM18" s="45">
        <v>0</v>
      </c>
      <c r="EN18" s="43">
        <f t="shared" si="38"/>
        <v>5000</v>
      </c>
      <c r="EO18" s="69"/>
    </row>
    <row r="19" spans="1:145" x14ac:dyDescent="0.2">
      <c r="A19" s="7" t="str">
        <f t="shared" si="6"/>
        <v>Execução 15</v>
      </c>
      <c r="B19" s="42"/>
      <c r="C19" s="43" t="str">
        <f>IF(IFERROR(INDEX(Consulta!$A:$DS,MATCH('MM01'!$B19,Consulta!$C:$C,0),'MM01'!C$2),"")=0,"",IFERROR(INDEX(Consulta!$A:$DS,MATCH('MM01'!$B19,Consulta!$C:$C,0),'MM01'!C$2),""))</f>
        <v/>
      </c>
      <c r="D19" s="43" t="str">
        <f>IF(IFERROR(INDEX(Consulta!$A:$DS,MATCH('MM01'!$B19,Consulta!$C:$C,0),'MM01'!D$2),"")=0,"",IFERROR(INDEX(Consulta!$A:$DS,MATCH('MM01'!$B19,Consulta!$C:$C,0),'MM01'!D$2),""))</f>
        <v/>
      </c>
      <c r="E19" s="43" t="str">
        <f>IF(IFERROR(INDEX(Consulta!$A:$DS,MATCH('MM01'!$B19,Consulta!$C:$C,0),'MM01'!E$2),"")=0,"",IFERROR(INDEX(Consulta!$A:$DS,MATCH('MM01'!$B19,Consulta!$C:$C,0),'MM01'!E$2),""))</f>
        <v/>
      </c>
      <c r="F19" s="44" t="s">
        <v>100</v>
      </c>
      <c r="G19" s="49" t="str">
        <f>IF(IFERROR(INDEX(Consulta!$A:$DS,MATCH('MM01'!$B19,Consulta!$C:$C,0),'MM01'!G$2),"")=0,"",IFERROR(INDEX(Consulta!$A:$DS,MATCH('MM01'!$B19,Consulta!$C:$C,0),'MM01'!G$2),""))</f>
        <v/>
      </c>
      <c r="H19" s="49" t="str">
        <f>IF(IFERROR(INDEX(Consulta!$A:$DS,MATCH('MM01'!$B19,Consulta!$C:$C,0),'MM01'!H$2),"")=0,"",IFERROR(INDEX(Consulta!$A:$DS,MATCH('MM01'!$B19,Consulta!$C:$C,0),'MM01'!H$2),""))</f>
        <v/>
      </c>
      <c r="I19" s="49" t="str">
        <f t="shared" si="7"/>
        <v/>
      </c>
      <c r="J19" s="49" t="str">
        <f>IF(IFERROR(INDEX(Consulta!$A:$DS,MATCH('MM01'!$B19,Consulta!$C:$C,0),'MM01'!J$2),"")=0,"",IFERROR(INDEX(Consulta!$A:$DS,MATCH('MM01'!$B19,Consulta!$C:$C,0),'MM01'!J$2),""))</f>
        <v/>
      </c>
      <c r="K19" s="49" t="str">
        <f t="shared" si="8"/>
        <v/>
      </c>
      <c r="M19" s="45" t="s">
        <v>101</v>
      </c>
      <c r="N19" s="45" t="s">
        <v>102</v>
      </c>
      <c r="O19" s="45" t="s">
        <v>103</v>
      </c>
      <c r="P19" s="45" t="s">
        <v>104</v>
      </c>
      <c r="Q19" s="45" t="s">
        <v>105</v>
      </c>
      <c r="R19" s="45" t="s">
        <v>106</v>
      </c>
      <c r="S19" s="45" t="s">
        <v>107</v>
      </c>
      <c r="T19" s="45"/>
      <c r="U19" s="45"/>
      <c r="V19" s="45"/>
      <c r="W19" s="45"/>
      <c r="X19" s="45" t="s">
        <v>112</v>
      </c>
      <c r="Y19" s="45" t="s">
        <v>113</v>
      </c>
      <c r="Z19" s="45" t="s">
        <v>114</v>
      </c>
      <c r="AA19" s="45" t="s">
        <v>115</v>
      </c>
      <c r="AB19" s="45" t="s">
        <v>117</v>
      </c>
      <c r="AC19" s="45" t="s">
        <v>118</v>
      </c>
      <c r="AD19" s="45" t="s">
        <v>119</v>
      </c>
      <c r="AE19" s="45" t="s">
        <v>120</v>
      </c>
      <c r="AF19" s="45" t="s">
        <v>121</v>
      </c>
      <c r="AG19" s="45" t="s">
        <v>122</v>
      </c>
      <c r="AH19" s="45" t="s">
        <v>123</v>
      </c>
      <c r="AI19" s="45" t="s">
        <v>124</v>
      </c>
      <c r="AJ19" s="45" t="s">
        <v>125</v>
      </c>
      <c r="AK19" s="45" t="s">
        <v>126</v>
      </c>
      <c r="AL19" s="45"/>
      <c r="AM19" s="45"/>
      <c r="AO19" s="44" t="s">
        <v>100</v>
      </c>
      <c r="AP19" s="43" t="str">
        <f>IF(IFERROR(INDEX(Consulta!$A:$DS,MATCH('MM01'!$B19,Consulta!$C:$C,0),'MM01'!AP$2),"")=0,"",IFERROR(INDEX(Consulta!$A:$DS,MATCH('MM01'!$B19,Consulta!$C:$C,0),'MM01'!AP$2),""))</f>
        <v/>
      </c>
      <c r="AQ19" s="45"/>
      <c r="AR19" s="43" t="str">
        <f>IF(IFERROR(INDEX(Consulta!$A:$DS,MATCH('MM01'!$B19,Consulta!$C:$C,0),'MM01'!AR$2),"")=0,"",IFERROR(INDEX(Consulta!$A:$DS,MATCH('MM01'!$B19,Consulta!$C:$C,0),'MM01'!AR$2),""))</f>
        <v/>
      </c>
      <c r="AS19" s="43" t="str">
        <f>IF(IFERROR(INDEX(Consulta!$A:$DS,MATCH('MM01'!$B19,Consulta!$C:$C,0),'MM01'!AS$2),"")=0,"",IF(AR19="68",5102,IFERROR(INDEX(Consulta!$A:$DS,MATCH('MM01'!$B19,Consulta!$C:$C,0),'MM01'!AS$2),"")))</f>
        <v/>
      </c>
      <c r="AT19" s="45"/>
      <c r="AU19" s="46" t="str">
        <f t="shared" ca="1" si="9"/>
        <v/>
      </c>
      <c r="AV19" s="47" t="s">
        <v>783</v>
      </c>
      <c r="AW19" s="43" t="str">
        <f>IF(IFERROR(INDEX(Consulta!$A:$DS,MATCH('MM01'!$B19,Consulta!$C:$C,0),'MM01'!AW$2),"")=0,"",IFERROR(ROUND(INDEX(Consulta!$A:$DS,MATCH('MM01'!$B19,Consulta!$C:$C,0),'MM01'!AW$2),3),""))</f>
        <v/>
      </c>
      <c r="AX19" s="43" t="str">
        <f t="shared" si="10"/>
        <v/>
      </c>
      <c r="AY19" s="48" t="s">
        <v>299</v>
      </c>
      <c r="AZ19" s="48"/>
      <c r="BA19" s="43" t="str">
        <f>IF(IFERROR(INDEX(Consulta!$A:$DS,MATCH('MM01'!$B19,Consulta!$C:$C,0),'MM01'!BA$2),"")=0,"",IFERROR(INDEX(Consulta!$A:$DS,MATCH('MM01'!$B19,Consulta!$C:$C,0),'MM01'!BA$2),""))</f>
        <v/>
      </c>
      <c r="BB19" s="43" t="str">
        <f t="shared" si="11"/>
        <v/>
      </c>
      <c r="BC19" s="43" t="str">
        <f t="shared" si="12"/>
        <v/>
      </c>
      <c r="BD19" s="43" t="str">
        <f t="shared" si="13"/>
        <v/>
      </c>
      <c r="BE19" s="43" t="str">
        <f t="shared" si="14"/>
        <v>M</v>
      </c>
      <c r="BF19" s="43" t="str">
        <f t="shared" si="15"/>
        <v/>
      </c>
      <c r="BG19" s="43" t="str">
        <f t="shared" si="16"/>
        <v/>
      </c>
      <c r="BH19" s="43" t="str">
        <f t="shared" si="17"/>
        <v/>
      </c>
      <c r="BI19" s="43" t="str">
        <f t="shared" si="18"/>
        <v>M</v>
      </c>
      <c r="BK19" s="45" t="s">
        <v>789</v>
      </c>
      <c r="BL19" s="43" t="str">
        <f>IF(IFERROR(INDEX(Consulta!$A:$DS,MATCH('MM01'!$B19,Consulta!$C:$C,0),'MM01'!BL$2),"")=0,"",IFERROR(INDEX(Consulta!$A:$DS,MATCH('MM01'!$B19,Consulta!$C:$C,0),'MM01'!BL$2),""))</f>
        <v/>
      </c>
      <c r="BM19" s="45"/>
      <c r="BN19" s="46" t="str">
        <f t="shared" ca="1" si="19"/>
        <v/>
      </c>
      <c r="BO19" s="49" t="str">
        <f t="shared" si="20"/>
        <v/>
      </c>
      <c r="BP19" s="50">
        <v>1</v>
      </c>
      <c r="BQ19" s="50" t="s">
        <v>194</v>
      </c>
      <c r="BR19" s="50" t="s">
        <v>194</v>
      </c>
      <c r="BS19" s="50" t="s">
        <v>783</v>
      </c>
      <c r="BT19" s="44">
        <v>1</v>
      </c>
      <c r="BU19" s="44" t="s">
        <v>372</v>
      </c>
      <c r="BV19" s="50" t="s">
        <v>197</v>
      </c>
      <c r="BW19" s="50" t="s">
        <v>197</v>
      </c>
      <c r="BX19" s="43" t="str">
        <f>IF(IFERROR(INDEX(Consulta!$A:$DS,MATCH('MM01'!$B19,Consulta!$C:$C,0),'MM01'!BX$2),"")=0,"",IFERROR(INDEX(Consulta!$A:$DS,MATCH('MM01'!$B19,Consulta!$C:$C,0),'MM01'!BX$2),""))</f>
        <v/>
      </c>
      <c r="BY19" s="44" t="s">
        <v>392</v>
      </c>
      <c r="BZ19" s="50">
        <v>0</v>
      </c>
      <c r="CA19" s="45" t="s">
        <v>403</v>
      </c>
      <c r="CB19" s="45" t="s">
        <v>84</v>
      </c>
      <c r="CC19" s="43" t="str">
        <f t="shared" si="21"/>
        <v/>
      </c>
      <c r="CD19" s="45" t="s">
        <v>430</v>
      </c>
      <c r="CE19" s="45">
        <v>1</v>
      </c>
      <c r="CF19" s="45" t="s">
        <v>496</v>
      </c>
      <c r="CG19" s="45"/>
      <c r="CH19" s="44"/>
      <c r="CI19" s="49" t="str">
        <f t="shared" si="22"/>
        <v/>
      </c>
      <c r="CJ19" s="49" t="str">
        <f t="shared" si="23"/>
        <v/>
      </c>
      <c r="CK19" s="45"/>
      <c r="CL19" s="44">
        <v>5</v>
      </c>
      <c r="CM19" s="44">
        <v>1</v>
      </c>
      <c r="CN19" s="44">
        <v>1</v>
      </c>
      <c r="CO19" s="44">
        <v>1</v>
      </c>
      <c r="CP19" s="50" t="s">
        <v>515</v>
      </c>
      <c r="CQ19" s="44" t="s">
        <v>372</v>
      </c>
      <c r="CR19" s="44">
        <v>2</v>
      </c>
      <c r="CS19" s="44">
        <v>42</v>
      </c>
      <c r="CT19" s="44">
        <v>10</v>
      </c>
      <c r="CU19" s="43" t="str">
        <f t="shared" si="24"/>
        <v>K00_P_PURL_</v>
      </c>
      <c r="CV19" s="45">
        <v>5000</v>
      </c>
      <c r="CW19" s="43" t="str">
        <f t="shared" si="0"/>
        <v/>
      </c>
      <c r="CX19" s="43" t="str">
        <f t="shared" si="1"/>
        <v/>
      </c>
      <c r="CY19" s="43" t="str">
        <f>IF(IFERROR(INDEX(Consulta!$A:$DS,MATCH('MM01'!$B19,Consulta!$C:$C,0),'MM01'!CY$2),"")=0,"",IFERROR(INDEX(Consulta!$A:$DS,MATCH('MM01'!$B19,Consulta!$C:$C,0),'MM01'!CY$2),""))</f>
        <v/>
      </c>
      <c r="CZ19" s="43" t="str">
        <f t="shared" si="2"/>
        <v/>
      </c>
      <c r="DA19" s="43" t="str">
        <f>IF(IFERROR(INDEX(Consulta!$A:$DS,MATCH('MM01'!$B19,Consulta!$C:$C,0),'MM01'!DA$2),"")=0,"",IFERROR(INDEX(Consulta!$A:$DS,MATCH('MM01'!$B19,Consulta!$C:$C,0),'MM01'!DA$2),""))</f>
        <v/>
      </c>
      <c r="DB19" s="43" t="str">
        <f>IF(IFERROR(INDEX(Consulta!$A:$DS,MATCH('MM01'!$B19,Consulta!$C:$C,0),'MM01'!DB$2),"")=0,"",IFERROR(INDEX(Consulta!$A:$DS,MATCH('MM01'!$B19,Consulta!$C:$C,0),'MM01'!DB$2),""))</f>
        <v/>
      </c>
      <c r="DC19" s="43" t="str">
        <f>IF(IFERROR(INDEX(Consulta!$A:$DS,MATCH('MM01'!$B19,Consulta!$C:$C,0),'MM01'!DC$2),"")=0,"",IFERROR(INDEX(Consulta!$A:$DS,MATCH('MM01'!$B19,Consulta!$C:$C,0),'MM01'!DC$2),""))</f>
        <v/>
      </c>
      <c r="DD19" s="43" t="str">
        <f>IF(IFERROR(INDEX(Consulta!$A:$DS,MATCH('MM01'!$B19,Consulta!$C:$C,0),'MM01'!DD$2),"")=0,"",IFERROR(INDEX(Consulta!$A:$DS,MATCH('MM01'!$B19,Consulta!$C:$C,0),'MM01'!DD$2),""))</f>
        <v/>
      </c>
      <c r="DE19" s="43" t="str">
        <f>IF(IFERROR(INDEX(Consulta!$A:$DS,MATCH('MM01'!$B19,Consulta!$C:$C,0),'MM01'!DE$2),"")=0,"",IFERROR(INDEX(Consulta!$A:$DS,MATCH('MM01'!$B19,Consulta!$C:$C,0),'MM01'!DE$2),""))</f>
        <v/>
      </c>
      <c r="DF19" s="100">
        <v>3458</v>
      </c>
      <c r="DG19" s="45">
        <v>0</v>
      </c>
      <c r="DH19" s="45">
        <v>0</v>
      </c>
      <c r="DI19" s="43" t="str">
        <f t="shared" si="3"/>
        <v/>
      </c>
      <c r="DJ19" s="43" t="str">
        <f t="shared" si="25"/>
        <v/>
      </c>
      <c r="DK19" s="57"/>
      <c r="DL19" s="43" t="str">
        <f t="shared" ca="1" si="26"/>
        <v/>
      </c>
      <c r="DM19" s="43" t="str">
        <f t="shared" si="27"/>
        <v/>
      </c>
      <c r="DN19" s="43" t="str">
        <f t="shared" si="28"/>
        <v/>
      </c>
      <c r="DO19" s="57"/>
      <c r="DP19" s="43" t="str">
        <f t="shared" ca="1" si="29"/>
        <v/>
      </c>
      <c r="DQ19" s="43" t="str">
        <f t="shared" si="30"/>
        <v/>
      </c>
      <c r="DR19" s="43" t="str">
        <f t="shared" si="31"/>
        <v/>
      </c>
      <c r="DS19" s="57"/>
      <c r="DT19" s="43" t="str">
        <f t="shared" ca="1" si="32"/>
        <v/>
      </c>
      <c r="DU19" s="43" t="str">
        <f t="shared" si="33"/>
        <v/>
      </c>
      <c r="DV19" s="43" t="str">
        <f t="shared" si="34"/>
        <v/>
      </c>
      <c r="DW19" s="57"/>
      <c r="DX19" s="43" t="str">
        <f t="shared" ca="1" si="35"/>
        <v/>
      </c>
      <c r="DY19" s="43" t="str">
        <f t="shared" si="36"/>
        <v/>
      </c>
      <c r="EA19" s="44">
        <v>0</v>
      </c>
      <c r="EB19" s="44" t="s">
        <v>761</v>
      </c>
      <c r="EC19" s="44">
        <v>30</v>
      </c>
      <c r="ED19" s="43">
        <f t="shared" si="4"/>
        <v>0.01</v>
      </c>
      <c r="EE19" s="43" t="str">
        <f t="shared" si="5"/>
        <v>M</v>
      </c>
      <c r="EF19" s="43" t="str">
        <f>IF(IFERROR(INDEX(Consulta!$A:$DS,MATCH('MM01'!$B19,Consulta!$C:$C,0),'MM01'!EF$2),"")=0,"7925",IF(IFERROR(INDEX(Consulta!$A:$DS,MATCH('MM01'!$B19,Consulta!$C:$C,0),'MM01'!EF$2),"")="68","7910","7925"))</f>
        <v>7925</v>
      </c>
      <c r="EG19" s="44">
        <v>100</v>
      </c>
      <c r="EH19" s="62">
        <v>1</v>
      </c>
      <c r="EI19" s="43">
        <f t="shared" si="37"/>
        <v>100</v>
      </c>
      <c r="EJ19" s="44">
        <v>1</v>
      </c>
      <c r="EK19" s="44">
        <v>0</v>
      </c>
      <c r="EL19" s="44" t="s">
        <v>859</v>
      </c>
      <c r="EM19" s="45">
        <v>0</v>
      </c>
      <c r="EN19" s="43">
        <f t="shared" si="38"/>
        <v>5000</v>
      </c>
      <c r="EO19" s="69"/>
    </row>
    <row r="20" spans="1:145" x14ac:dyDescent="0.2">
      <c r="A20" s="7" t="str">
        <f t="shared" si="6"/>
        <v>Execução 16</v>
      </c>
      <c r="B20" s="42"/>
      <c r="C20" s="43" t="str">
        <f>IF(IFERROR(INDEX(Consulta!$A:$DS,MATCH('MM01'!$B20,Consulta!$C:$C,0),'MM01'!C$2),"")=0,"",IFERROR(INDEX(Consulta!$A:$DS,MATCH('MM01'!$B20,Consulta!$C:$C,0),'MM01'!C$2),""))</f>
        <v/>
      </c>
      <c r="D20" s="43" t="str">
        <f>IF(IFERROR(INDEX(Consulta!$A:$DS,MATCH('MM01'!$B20,Consulta!$C:$C,0),'MM01'!D$2),"")=0,"",IFERROR(INDEX(Consulta!$A:$DS,MATCH('MM01'!$B20,Consulta!$C:$C,0),'MM01'!D$2),""))</f>
        <v/>
      </c>
      <c r="E20" s="43" t="str">
        <f>IF(IFERROR(INDEX(Consulta!$A:$DS,MATCH('MM01'!$B20,Consulta!$C:$C,0),'MM01'!E$2),"")=0,"",IFERROR(INDEX(Consulta!$A:$DS,MATCH('MM01'!$B20,Consulta!$C:$C,0),'MM01'!E$2),""))</f>
        <v/>
      </c>
      <c r="F20" s="44" t="s">
        <v>100</v>
      </c>
      <c r="G20" s="49" t="str">
        <f>IF(IFERROR(INDEX(Consulta!$A:$DS,MATCH('MM01'!$B20,Consulta!$C:$C,0),'MM01'!G$2),"")=0,"",IFERROR(INDEX(Consulta!$A:$DS,MATCH('MM01'!$B20,Consulta!$C:$C,0),'MM01'!G$2),""))</f>
        <v/>
      </c>
      <c r="H20" s="49" t="str">
        <f>IF(IFERROR(INDEX(Consulta!$A:$DS,MATCH('MM01'!$B20,Consulta!$C:$C,0),'MM01'!H$2),"")=0,"",IFERROR(INDEX(Consulta!$A:$DS,MATCH('MM01'!$B20,Consulta!$C:$C,0),'MM01'!H$2),""))</f>
        <v/>
      </c>
      <c r="I20" s="49" t="str">
        <f t="shared" si="7"/>
        <v/>
      </c>
      <c r="J20" s="49" t="str">
        <f>IF(IFERROR(INDEX(Consulta!$A:$DS,MATCH('MM01'!$B20,Consulta!$C:$C,0),'MM01'!J$2),"")=0,"",IFERROR(INDEX(Consulta!$A:$DS,MATCH('MM01'!$B20,Consulta!$C:$C,0),'MM01'!J$2),""))</f>
        <v/>
      </c>
      <c r="K20" s="49" t="str">
        <f t="shared" si="8"/>
        <v/>
      </c>
      <c r="M20" s="45" t="s">
        <v>101</v>
      </c>
      <c r="N20" s="45" t="s">
        <v>102</v>
      </c>
      <c r="O20" s="45" t="s">
        <v>103</v>
      </c>
      <c r="P20" s="45" t="s">
        <v>104</v>
      </c>
      <c r="Q20" s="45" t="s">
        <v>105</v>
      </c>
      <c r="R20" s="45" t="s">
        <v>106</v>
      </c>
      <c r="S20" s="45" t="s">
        <v>107</v>
      </c>
      <c r="T20" s="45"/>
      <c r="U20" s="45"/>
      <c r="V20" s="45"/>
      <c r="W20" s="45"/>
      <c r="X20" s="45" t="s">
        <v>112</v>
      </c>
      <c r="Y20" s="45" t="s">
        <v>113</v>
      </c>
      <c r="Z20" s="45" t="s">
        <v>114</v>
      </c>
      <c r="AA20" s="45" t="s">
        <v>115</v>
      </c>
      <c r="AB20" s="45" t="s">
        <v>117</v>
      </c>
      <c r="AC20" s="45" t="s">
        <v>118</v>
      </c>
      <c r="AD20" s="45" t="s">
        <v>119</v>
      </c>
      <c r="AE20" s="45" t="s">
        <v>120</v>
      </c>
      <c r="AF20" s="45" t="s">
        <v>121</v>
      </c>
      <c r="AG20" s="45" t="s">
        <v>122</v>
      </c>
      <c r="AH20" s="45" t="s">
        <v>123</v>
      </c>
      <c r="AI20" s="45" t="s">
        <v>124</v>
      </c>
      <c r="AJ20" s="45" t="s">
        <v>125</v>
      </c>
      <c r="AK20" s="45" t="s">
        <v>126</v>
      </c>
      <c r="AL20" s="45"/>
      <c r="AM20" s="45"/>
      <c r="AO20" s="44" t="s">
        <v>100</v>
      </c>
      <c r="AP20" s="43" t="str">
        <f>IF(IFERROR(INDEX(Consulta!$A:$DS,MATCH('MM01'!$B20,Consulta!$C:$C,0),'MM01'!AP$2),"")=0,"",IFERROR(INDEX(Consulta!$A:$DS,MATCH('MM01'!$B20,Consulta!$C:$C,0),'MM01'!AP$2),""))</f>
        <v/>
      </c>
      <c r="AQ20" s="45"/>
      <c r="AR20" s="43" t="str">
        <f>IF(IFERROR(INDEX(Consulta!$A:$DS,MATCH('MM01'!$B20,Consulta!$C:$C,0),'MM01'!AR$2),"")=0,"",IFERROR(INDEX(Consulta!$A:$DS,MATCH('MM01'!$B20,Consulta!$C:$C,0),'MM01'!AR$2),""))</f>
        <v/>
      </c>
      <c r="AS20" s="43" t="str">
        <f>IF(IFERROR(INDEX(Consulta!$A:$DS,MATCH('MM01'!$B20,Consulta!$C:$C,0),'MM01'!AS$2),"")=0,"",IF(AR20="68",5102,IFERROR(INDEX(Consulta!$A:$DS,MATCH('MM01'!$B20,Consulta!$C:$C,0),'MM01'!AS$2),"")))</f>
        <v/>
      </c>
      <c r="AT20" s="45"/>
      <c r="AU20" s="46" t="str">
        <f t="shared" ca="1" si="9"/>
        <v/>
      </c>
      <c r="AV20" s="47" t="s">
        <v>783</v>
      </c>
      <c r="AW20" s="43" t="str">
        <f>IF(IFERROR(INDEX(Consulta!$A:$DS,MATCH('MM01'!$B20,Consulta!$C:$C,0),'MM01'!AW$2),"")=0,"",IFERROR(ROUND(INDEX(Consulta!$A:$DS,MATCH('MM01'!$B20,Consulta!$C:$C,0),'MM01'!AW$2),3),""))</f>
        <v/>
      </c>
      <c r="AX20" s="43" t="str">
        <f t="shared" si="10"/>
        <v/>
      </c>
      <c r="AY20" s="48" t="s">
        <v>299</v>
      </c>
      <c r="AZ20" s="48"/>
      <c r="BA20" s="43" t="str">
        <f>IF(IFERROR(INDEX(Consulta!$A:$DS,MATCH('MM01'!$B20,Consulta!$C:$C,0),'MM01'!BA$2),"")=0,"",IFERROR(INDEX(Consulta!$A:$DS,MATCH('MM01'!$B20,Consulta!$C:$C,0),'MM01'!BA$2),""))</f>
        <v/>
      </c>
      <c r="BB20" s="43" t="str">
        <f t="shared" si="11"/>
        <v/>
      </c>
      <c r="BC20" s="43" t="str">
        <f t="shared" si="12"/>
        <v/>
      </c>
      <c r="BD20" s="43" t="str">
        <f t="shared" si="13"/>
        <v/>
      </c>
      <c r="BE20" s="43" t="str">
        <f t="shared" si="14"/>
        <v>M</v>
      </c>
      <c r="BF20" s="43" t="str">
        <f t="shared" si="15"/>
        <v/>
      </c>
      <c r="BG20" s="43" t="str">
        <f t="shared" si="16"/>
        <v/>
      </c>
      <c r="BH20" s="43" t="str">
        <f t="shared" si="17"/>
        <v/>
      </c>
      <c r="BI20" s="43" t="str">
        <f t="shared" si="18"/>
        <v>M</v>
      </c>
      <c r="BK20" s="45" t="s">
        <v>789</v>
      </c>
      <c r="BL20" s="43" t="str">
        <f>IF(IFERROR(INDEX(Consulta!$A:$DS,MATCH('MM01'!$B20,Consulta!$C:$C,0),'MM01'!BL$2),"")=0,"",IFERROR(INDEX(Consulta!$A:$DS,MATCH('MM01'!$B20,Consulta!$C:$C,0),'MM01'!BL$2),""))</f>
        <v/>
      </c>
      <c r="BM20" s="45"/>
      <c r="BN20" s="46" t="str">
        <f t="shared" ca="1" si="19"/>
        <v/>
      </c>
      <c r="BO20" s="49" t="str">
        <f t="shared" si="20"/>
        <v/>
      </c>
      <c r="BP20" s="50">
        <v>1</v>
      </c>
      <c r="BQ20" s="50" t="s">
        <v>194</v>
      </c>
      <c r="BR20" s="50" t="s">
        <v>194</v>
      </c>
      <c r="BS20" s="50" t="s">
        <v>783</v>
      </c>
      <c r="BT20" s="44">
        <v>1</v>
      </c>
      <c r="BU20" s="44" t="s">
        <v>372</v>
      </c>
      <c r="BV20" s="50" t="s">
        <v>197</v>
      </c>
      <c r="BW20" s="50" t="s">
        <v>197</v>
      </c>
      <c r="BX20" s="43" t="str">
        <f>IF(IFERROR(INDEX(Consulta!$A:$DS,MATCH('MM01'!$B20,Consulta!$C:$C,0),'MM01'!BX$2),"")=0,"",IFERROR(INDEX(Consulta!$A:$DS,MATCH('MM01'!$B20,Consulta!$C:$C,0),'MM01'!BX$2),""))</f>
        <v/>
      </c>
      <c r="BY20" s="44" t="s">
        <v>392</v>
      </c>
      <c r="BZ20" s="50">
        <v>0</v>
      </c>
      <c r="CA20" s="45" t="s">
        <v>403</v>
      </c>
      <c r="CB20" s="45" t="s">
        <v>84</v>
      </c>
      <c r="CC20" s="43" t="str">
        <f t="shared" si="21"/>
        <v/>
      </c>
      <c r="CD20" s="45" t="s">
        <v>430</v>
      </c>
      <c r="CE20" s="45">
        <v>1</v>
      </c>
      <c r="CF20" s="45" t="s">
        <v>496</v>
      </c>
      <c r="CG20" s="45"/>
      <c r="CH20" s="44"/>
      <c r="CI20" s="49" t="str">
        <f t="shared" si="22"/>
        <v/>
      </c>
      <c r="CJ20" s="49" t="str">
        <f t="shared" si="23"/>
        <v/>
      </c>
      <c r="CK20" s="45"/>
      <c r="CL20" s="44">
        <v>5</v>
      </c>
      <c r="CM20" s="44">
        <v>1</v>
      </c>
      <c r="CN20" s="44">
        <v>1</v>
      </c>
      <c r="CO20" s="44">
        <v>1</v>
      </c>
      <c r="CP20" s="50" t="s">
        <v>515</v>
      </c>
      <c r="CQ20" s="44" t="s">
        <v>372</v>
      </c>
      <c r="CR20" s="44">
        <v>2</v>
      </c>
      <c r="CS20" s="44">
        <v>42</v>
      </c>
      <c r="CT20" s="44">
        <v>10</v>
      </c>
      <c r="CU20" s="43" t="str">
        <f t="shared" si="24"/>
        <v>K00_P_PURL_</v>
      </c>
      <c r="CV20" s="45">
        <v>5000</v>
      </c>
      <c r="CW20" s="43" t="str">
        <f t="shared" si="0"/>
        <v/>
      </c>
      <c r="CX20" s="43" t="str">
        <f t="shared" si="1"/>
        <v/>
      </c>
      <c r="CY20" s="43" t="str">
        <f>IF(IFERROR(INDEX(Consulta!$A:$DS,MATCH('MM01'!$B20,Consulta!$C:$C,0),'MM01'!CY$2),"")=0,"",IFERROR(INDEX(Consulta!$A:$DS,MATCH('MM01'!$B20,Consulta!$C:$C,0),'MM01'!CY$2),""))</f>
        <v/>
      </c>
      <c r="CZ20" s="43" t="str">
        <f t="shared" si="2"/>
        <v/>
      </c>
      <c r="DA20" s="43" t="str">
        <f>IF(IFERROR(INDEX(Consulta!$A:$DS,MATCH('MM01'!$B20,Consulta!$C:$C,0),'MM01'!DA$2),"")=0,"",IFERROR(INDEX(Consulta!$A:$DS,MATCH('MM01'!$B20,Consulta!$C:$C,0),'MM01'!DA$2),""))</f>
        <v/>
      </c>
      <c r="DB20" s="43" t="str">
        <f>IF(IFERROR(INDEX(Consulta!$A:$DS,MATCH('MM01'!$B20,Consulta!$C:$C,0),'MM01'!DB$2),"")=0,"",IFERROR(INDEX(Consulta!$A:$DS,MATCH('MM01'!$B20,Consulta!$C:$C,0),'MM01'!DB$2),""))</f>
        <v/>
      </c>
      <c r="DC20" s="43" t="str">
        <f>IF(IFERROR(INDEX(Consulta!$A:$DS,MATCH('MM01'!$B20,Consulta!$C:$C,0),'MM01'!DC$2),"")=0,"",IFERROR(INDEX(Consulta!$A:$DS,MATCH('MM01'!$B20,Consulta!$C:$C,0),'MM01'!DC$2),""))</f>
        <v/>
      </c>
      <c r="DD20" s="43" t="str">
        <f>IF(IFERROR(INDEX(Consulta!$A:$DS,MATCH('MM01'!$B20,Consulta!$C:$C,0),'MM01'!DD$2),"")=0,"",IFERROR(INDEX(Consulta!$A:$DS,MATCH('MM01'!$B20,Consulta!$C:$C,0),'MM01'!DD$2),""))</f>
        <v/>
      </c>
      <c r="DE20" s="43" t="str">
        <f>IF(IFERROR(INDEX(Consulta!$A:$DS,MATCH('MM01'!$B20,Consulta!$C:$C,0),'MM01'!DE$2),"")=0,"",IFERROR(INDEX(Consulta!$A:$DS,MATCH('MM01'!$B20,Consulta!$C:$C,0),'MM01'!DE$2),""))</f>
        <v/>
      </c>
      <c r="DF20" s="100">
        <v>3458</v>
      </c>
      <c r="DG20" s="45">
        <v>0</v>
      </c>
      <c r="DH20" s="45">
        <v>0</v>
      </c>
      <c r="DI20" s="43" t="str">
        <f t="shared" si="3"/>
        <v/>
      </c>
      <c r="DJ20" s="43" t="str">
        <f t="shared" si="25"/>
        <v/>
      </c>
      <c r="DK20" s="57"/>
      <c r="DL20" s="43" t="str">
        <f t="shared" ca="1" si="26"/>
        <v/>
      </c>
      <c r="DM20" s="43" t="str">
        <f t="shared" si="27"/>
        <v/>
      </c>
      <c r="DN20" s="43" t="str">
        <f t="shared" si="28"/>
        <v/>
      </c>
      <c r="DO20" s="57"/>
      <c r="DP20" s="43" t="str">
        <f t="shared" ca="1" si="29"/>
        <v/>
      </c>
      <c r="DQ20" s="43" t="str">
        <f t="shared" si="30"/>
        <v/>
      </c>
      <c r="DR20" s="43" t="str">
        <f t="shared" si="31"/>
        <v/>
      </c>
      <c r="DS20" s="57"/>
      <c r="DT20" s="43" t="str">
        <f t="shared" ca="1" si="32"/>
        <v/>
      </c>
      <c r="DU20" s="43" t="str">
        <f t="shared" si="33"/>
        <v/>
      </c>
      <c r="DV20" s="43" t="str">
        <f t="shared" si="34"/>
        <v/>
      </c>
      <c r="DW20" s="57"/>
      <c r="DX20" s="43" t="str">
        <f t="shared" ca="1" si="35"/>
        <v/>
      </c>
      <c r="DY20" s="43" t="str">
        <f t="shared" si="36"/>
        <v/>
      </c>
      <c r="EA20" s="44">
        <v>0</v>
      </c>
      <c r="EB20" s="44" t="s">
        <v>761</v>
      </c>
      <c r="EC20" s="44">
        <v>30</v>
      </c>
      <c r="ED20" s="43">
        <f t="shared" si="4"/>
        <v>0.01</v>
      </c>
      <c r="EE20" s="43" t="str">
        <f t="shared" si="5"/>
        <v>M</v>
      </c>
      <c r="EF20" s="43" t="str">
        <f>IF(IFERROR(INDEX(Consulta!$A:$DS,MATCH('MM01'!$B20,Consulta!$C:$C,0),'MM01'!EF$2),"")=0,"7925",IF(IFERROR(INDEX(Consulta!$A:$DS,MATCH('MM01'!$B20,Consulta!$C:$C,0),'MM01'!EF$2),"")="68","7910","7925"))</f>
        <v>7925</v>
      </c>
      <c r="EG20" s="44">
        <v>100</v>
      </c>
      <c r="EH20" s="62">
        <v>1</v>
      </c>
      <c r="EI20" s="43">
        <f t="shared" si="37"/>
        <v>100</v>
      </c>
      <c r="EJ20" s="44">
        <v>1</v>
      </c>
      <c r="EK20" s="44">
        <v>0</v>
      </c>
      <c r="EL20" s="44" t="s">
        <v>859</v>
      </c>
      <c r="EM20" s="45">
        <v>0</v>
      </c>
      <c r="EN20" s="43">
        <f t="shared" si="38"/>
        <v>5000</v>
      </c>
      <c r="EO20" s="69"/>
    </row>
    <row r="21" spans="1:145" x14ac:dyDescent="0.2">
      <c r="A21" s="7" t="str">
        <f t="shared" si="6"/>
        <v>Execução 17</v>
      </c>
      <c r="B21" s="42"/>
      <c r="C21" s="43" t="str">
        <f>IF(IFERROR(INDEX(Consulta!$A:$DS,MATCH('MM01'!$B21,Consulta!$C:$C,0),'MM01'!C$2),"")=0,"",IFERROR(INDEX(Consulta!$A:$DS,MATCH('MM01'!$B21,Consulta!$C:$C,0),'MM01'!C$2),""))</f>
        <v/>
      </c>
      <c r="D21" s="43" t="str">
        <f>IF(IFERROR(INDEX(Consulta!$A:$DS,MATCH('MM01'!$B21,Consulta!$C:$C,0),'MM01'!D$2),"")=0,"",IFERROR(INDEX(Consulta!$A:$DS,MATCH('MM01'!$B21,Consulta!$C:$C,0),'MM01'!D$2),""))</f>
        <v/>
      </c>
      <c r="E21" s="43" t="str">
        <f>IF(IFERROR(INDEX(Consulta!$A:$DS,MATCH('MM01'!$B21,Consulta!$C:$C,0),'MM01'!E$2),"")=0,"",IFERROR(INDEX(Consulta!$A:$DS,MATCH('MM01'!$B21,Consulta!$C:$C,0),'MM01'!E$2),""))</f>
        <v/>
      </c>
      <c r="F21" s="44" t="s">
        <v>100</v>
      </c>
      <c r="G21" s="49" t="str">
        <f>IF(IFERROR(INDEX(Consulta!$A:$DS,MATCH('MM01'!$B21,Consulta!$C:$C,0),'MM01'!G$2),"")=0,"",IFERROR(INDEX(Consulta!$A:$DS,MATCH('MM01'!$B21,Consulta!$C:$C,0),'MM01'!G$2),""))</f>
        <v/>
      </c>
      <c r="H21" s="49" t="str">
        <f>IF(IFERROR(INDEX(Consulta!$A:$DS,MATCH('MM01'!$B21,Consulta!$C:$C,0),'MM01'!H$2),"")=0,"",IFERROR(INDEX(Consulta!$A:$DS,MATCH('MM01'!$B21,Consulta!$C:$C,0),'MM01'!H$2),""))</f>
        <v/>
      </c>
      <c r="I21" s="49" t="str">
        <f t="shared" si="7"/>
        <v/>
      </c>
      <c r="J21" s="49" t="str">
        <f>IF(IFERROR(INDEX(Consulta!$A:$DS,MATCH('MM01'!$B21,Consulta!$C:$C,0),'MM01'!J$2),"")=0,"",IFERROR(INDEX(Consulta!$A:$DS,MATCH('MM01'!$B21,Consulta!$C:$C,0),'MM01'!J$2),""))</f>
        <v/>
      </c>
      <c r="K21" s="49" t="str">
        <f t="shared" si="8"/>
        <v/>
      </c>
      <c r="M21" s="45" t="s">
        <v>101</v>
      </c>
      <c r="N21" s="45" t="s">
        <v>102</v>
      </c>
      <c r="O21" s="45" t="s">
        <v>103</v>
      </c>
      <c r="P21" s="45" t="s">
        <v>104</v>
      </c>
      <c r="Q21" s="45" t="s">
        <v>105</v>
      </c>
      <c r="R21" s="45" t="s">
        <v>106</v>
      </c>
      <c r="S21" s="45" t="s">
        <v>107</v>
      </c>
      <c r="T21" s="45"/>
      <c r="U21" s="45"/>
      <c r="V21" s="45"/>
      <c r="W21" s="45"/>
      <c r="X21" s="45" t="s">
        <v>112</v>
      </c>
      <c r="Y21" s="45" t="s">
        <v>113</v>
      </c>
      <c r="Z21" s="45" t="s">
        <v>114</v>
      </c>
      <c r="AA21" s="45" t="s">
        <v>115</v>
      </c>
      <c r="AB21" s="45" t="s">
        <v>117</v>
      </c>
      <c r="AC21" s="45" t="s">
        <v>118</v>
      </c>
      <c r="AD21" s="45" t="s">
        <v>119</v>
      </c>
      <c r="AE21" s="45" t="s">
        <v>120</v>
      </c>
      <c r="AF21" s="45" t="s">
        <v>121</v>
      </c>
      <c r="AG21" s="45" t="s">
        <v>122</v>
      </c>
      <c r="AH21" s="45" t="s">
        <v>123</v>
      </c>
      <c r="AI21" s="45" t="s">
        <v>124</v>
      </c>
      <c r="AJ21" s="45" t="s">
        <v>125</v>
      </c>
      <c r="AK21" s="45" t="s">
        <v>126</v>
      </c>
      <c r="AL21" s="45"/>
      <c r="AM21" s="45"/>
      <c r="AO21" s="44" t="s">
        <v>100</v>
      </c>
      <c r="AP21" s="43" t="str">
        <f>IF(IFERROR(INDEX(Consulta!$A:$DS,MATCH('MM01'!$B21,Consulta!$C:$C,0),'MM01'!AP$2),"")=0,"",IFERROR(INDEX(Consulta!$A:$DS,MATCH('MM01'!$B21,Consulta!$C:$C,0),'MM01'!AP$2),""))</f>
        <v/>
      </c>
      <c r="AQ21" s="45"/>
      <c r="AR21" s="43" t="str">
        <f>IF(IFERROR(INDEX(Consulta!$A:$DS,MATCH('MM01'!$B21,Consulta!$C:$C,0),'MM01'!AR$2),"")=0,"",IFERROR(INDEX(Consulta!$A:$DS,MATCH('MM01'!$B21,Consulta!$C:$C,0),'MM01'!AR$2),""))</f>
        <v/>
      </c>
      <c r="AS21" s="43" t="str">
        <f>IF(IFERROR(INDEX(Consulta!$A:$DS,MATCH('MM01'!$B21,Consulta!$C:$C,0),'MM01'!AS$2),"")=0,"",IF(AR21="68",5102,IFERROR(INDEX(Consulta!$A:$DS,MATCH('MM01'!$B21,Consulta!$C:$C,0),'MM01'!AS$2),"")))</f>
        <v/>
      </c>
      <c r="AT21" s="45"/>
      <c r="AU21" s="46" t="str">
        <f t="shared" ca="1" si="9"/>
        <v/>
      </c>
      <c r="AV21" s="47" t="s">
        <v>783</v>
      </c>
      <c r="AW21" s="43" t="str">
        <f>IF(IFERROR(INDEX(Consulta!$A:$DS,MATCH('MM01'!$B21,Consulta!$C:$C,0),'MM01'!AW$2),"")=0,"",IFERROR(ROUND(INDEX(Consulta!$A:$DS,MATCH('MM01'!$B21,Consulta!$C:$C,0),'MM01'!AW$2),3),""))</f>
        <v/>
      </c>
      <c r="AX21" s="43" t="str">
        <f t="shared" si="10"/>
        <v/>
      </c>
      <c r="AY21" s="48" t="s">
        <v>299</v>
      </c>
      <c r="AZ21" s="48"/>
      <c r="BA21" s="43" t="str">
        <f>IF(IFERROR(INDEX(Consulta!$A:$DS,MATCH('MM01'!$B21,Consulta!$C:$C,0),'MM01'!BA$2),"")=0,"",IFERROR(INDEX(Consulta!$A:$DS,MATCH('MM01'!$B21,Consulta!$C:$C,0),'MM01'!BA$2),""))</f>
        <v/>
      </c>
      <c r="BB21" s="43" t="str">
        <f t="shared" si="11"/>
        <v/>
      </c>
      <c r="BC21" s="43" t="str">
        <f t="shared" si="12"/>
        <v/>
      </c>
      <c r="BD21" s="43" t="str">
        <f t="shared" si="13"/>
        <v/>
      </c>
      <c r="BE21" s="43" t="str">
        <f t="shared" si="14"/>
        <v>M</v>
      </c>
      <c r="BF21" s="43" t="str">
        <f t="shared" si="15"/>
        <v/>
      </c>
      <c r="BG21" s="43" t="str">
        <f t="shared" si="16"/>
        <v/>
      </c>
      <c r="BH21" s="43" t="str">
        <f t="shared" si="17"/>
        <v/>
      </c>
      <c r="BI21" s="43" t="str">
        <f t="shared" si="18"/>
        <v>M</v>
      </c>
      <c r="BK21" s="45" t="s">
        <v>789</v>
      </c>
      <c r="BL21" s="43" t="str">
        <f>IF(IFERROR(INDEX(Consulta!$A:$DS,MATCH('MM01'!$B21,Consulta!$C:$C,0),'MM01'!BL$2),"")=0,"",IFERROR(INDEX(Consulta!$A:$DS,MATCH('MM01'!$B21,Consulta!$C:$C,0),'MM01'!BL$2),""))</f>
        <v/>
      </c>
      <c r="BM21" s="45"/>
      <c r="BN21" s="46" t="str">
        <f t="shared" ca="1" si="19"/>
        <v/>
      </c>
      <c r="BO21" s="49" t="str">
        <f t="shared" si="20"/>
        <v/>
      </c>
      <c r="BP21" s="50">
        <v>1</v>
      </c>
      <c r="BQ21" s="50" t="s">
        <v>194</v>
      </c>
      <c r="BR21" s="50" t="s">
        <v>194</v>
      </c>
      <c r="BS21" s="50" t="s">
        <v>783</v>
      </c>
      <c r="BT21" s="44">
        <v>1</v>
      </c>
      <c r="BU21" s="44" t="s">
        <v>372</v>
      </c>
      <c r="BV21" s="50" t="s">
        <v>197</v>
      </c>
      <c r="BW21" s="50" t="s">
        <v>197</v>
      </c>
      <c r="BX21" s="43" t="str">
        <f>IF(IFERROR(INDEX(Consulta!$A:$DS,MATCH('MM01'!$B21,Consulta!$C:$C,0),'MM01'!BX$2),"")=0,"",IFERROR(INDEX(Consulta!$A:$DS,MATCH('MM01'!$B21,Consulta!$C:$C,0),'MM01'!BX$2),""))</f>
        <v/>
      </c>
      <c r="BY21" s="44" t="s">
        <v>392</v>
      </c>
      <c r="BZ21" s="50">
        <v>0</v>
      </c>
      <c r="CA21" s="45" t="s">
        <v>403</v>
      </c>
      <c r="CB21" s="45" t="s">
        <v>84</v>
      </c>
      <c r="CC21" s="43" t="str">
        <f t="shared" si="21"/>
        <v/>
      </c>
      <c r="CD21" s="45" t="s">
        <v>430</v>
      </c>
      <c r="CE21" s="45">
        <v>1</v>
      </c>
      <c r="CF21" s="45" t="s">
        <v>496</v>
      </c>
      <c r="CG21" s="45"/>
      <c r="CH21" s="44"/>
      <c r="CI21" s="49" t="str">
        <f t="shared" si="22"/>
        <v/>
      </c>
      <c r="CJ21" s="49" t="str">
        <f t="shared" si="23"/>
        <v/>
      </c>
      <c r="CK21" s="45"/>
      <c r="CL21" s="44">
        <v>5</v>
      </c>
      <c r="CM21" s="44">
        <v>1</v>
      </c>
      <c r="CN21" s="44">
        <v>1</v>
      </c>
      <c r="CO21" s="44">
        <v>1</v>
      </c>
      <c r="CP21" s="50" t="s">
        <v>515</v>
      </c>
      <c r="CQ21" s="44" t="s">
        <v>372</v>
      </c>
      <c r="CR21" s="44">
        <v>2</v>
      </c>
      <c r="CS21" s="44">
        <v>42</v>
      </c>
      <c r="CT21" s="44">
        <v>10</v>
      </c>
      <c r="CU21" s="43" t="str">
        <f t="shared" si="24"/>
        <v>K00_P_PURL_</v>
      </c>
      <c r="CV21" s="45">
        <v>5000</v>
      </c>
      <c r="CW21" s="43" t="str">
        <f t="shared" si="0"/>
        <v/>
      </c>
      <c r="CX21" s="43" t="str">
        <f t="shared" si="1"/>
        <v/>
      </c>
      <c r="CY21" s="43" t="str">
        <f>IF(IFERROR(INDEX(Consulta!$A:$DS,MATCH('MM01'!$B21,Consulta!$C:$C,0),'MM01'!CY$2),"")=0,"",IFERROR(INDEX(Consulta!$A:$DS,MATCH('MM01'!$B21,Consulta!$C:$C,0),'MM01'!CY$2),""))</f>
        <v/>
      </c>
      <c r="CZ21" s="43" t="str">
        <f t="shared" si="2"/>
        <v/>
      </c>
      <c r="DA21" s="43" t="str">
        <f>IF(IFERROR(INDEX(Consulta!$A:$DS,MATCH('MM01'!$B21,Consulta!$C:$C,0),'MM01'!DA$2),"")=0,"",IFERROR(INDEX(Consulta!$A:$DS,MATCH('MM01'!$B21,Consulta!$C:$C,0),'MM01'!DA$2),""))</f>
        <v/>
      </c>
      <c r="DB21" s="43" t="str">
        <f>IF(IFERROR(INDEX(Consulta!$A:$DS,MATCH('MM01'!$B21,Consulta!$C:$C,0),'MM01'!DB$2),"")=0,"",IFERROR(INDEX(Consulta!$A:$DS,MATCH('MM01'!$B21,Consulta!$C:$C,0),'MM01'!DB$2),""))</f>
        <v/>
      </c>
      <c r="DC21" s="43" t="str">
        <f>IF(IFERROR(INDEX(Consulta!$A:$DS,MATCH('MM01'!$B21,Consulta!$C:$C,0),'MM01'!DC$2),"")=0,"",IFERROR(INDEX(Consulta!$A:$DS,MATCH('MM01'!$B21,Consulta!$C:$C,0),'MM01'!DC$2),""))</f>
        <v/>
      </c>
      <c r="DD21" s="43" t="str">
        <f>IF(IFERROR(INDEX(Consulta!$A:$DS,MATCH('MM01'!$B21,Consulta!$C:$C,0),'MM01'!DD$2),"")=0,"",IFERROR(INDEX(Consulta!$A:$DS,MATCH('MM01'!$B21,Consulta!$C:$C,0),'MM01'!DD$2),""))</f>
        <v/>
      </c>
      <c r="DE21" s="43" t="str">
        <f>IF(IFERROR(INDEX(Consulta!$A:$DS,MATCH('MM01'!$B21,Consulta!$C:$C,0),'MM01'!DE$2),"")=0,"",IFERROR(INDEX(Consulta!$A:$DS,MATCH('MM01'!$B21,Consulta!$C:$C,0),'MM01'!DE$2),""))</f>
        <v/>
      </c>
      <c r="DF21" s="100">
        <v>3458</v>
      </c>
      <c r="DG21" s="45">
        <v>0</v>
      </c>
      <c r="DH21" s="45">
        <v>0</v>
      </c>
      <c r="DI21" s="43" t="str">
        <f t="shared" si="3"/>
        <v/>
      </c>
      <c r="DJ21" s="43" t="str">
        <f t="shared" si="25"/>
        <v/>
      </c>
      <c r="DK21" s="57"/>
      <c r="DL21" s="43" t="str">
        <f t="shared" ca="1" si="26"/>
        <v/>
      </c>
      <c r="DM21" s="43" t="str">
        <f t="shared" si="27"/>
        <v/>
      </c>
      <c r="DN21" s="43" t="str">
        <f t="shared" si="28"/>
        <v/>
      </c>
      <c r="DO21" s="57"/>
      <c r="DP21" s="43" t="str">
        <f t="shared" ca="1" si="29"/>
        <v/>
      </c>
      <c r="DQ21" s="43" t="str">
        <f t="shared" si="30"/>
        <v/>
      </c>
      <c r="DR21" s="43" t="str">
        <f t="shared" si="31"/>
        <v/>
      </c>
      <c r="DS21" s="57"/>
      <c r="DT21" s="43" t="str">
        <f t="shared" ca="1" si="32"/>
        <v/>
      </c>
      <c r="DU21" s="43" t="str">
        <f t="shared" si="33"/>
        <v/>
      </c>
      <c r="DV21" s="43" t="str">
        <f t="shared" si="34"/>
        <v/>
      </c>
      <c r="DW21" s="57"/>
      <c r="DX21" s="43" t="str">
        <f t="shared" ca="1" si="35"/>
        <v/>
      </c>
      <c r="DY21" s="43" t="str">
        <f t="shared" si="36"/>
        <v/>
      </c>
      <c r="EA21" s="44">
        <v>0</v>
      </c>
      <c r="EB21" s="44" t="s">
        <v>761</v>
      </c>
      <c r="EC21" s="44">
        <v>30</v>
      </c>
      <c r="ED21" s="43">
        <f t="shared" si="4"/>
        <v>0.01</v>
      </c>
      <c r="EE21" s="43" t="str">
        <f t="shared" si="5"/>
        <v>M</v>
      </c>
      <c r="EF21" s="43" t="str">
        <f>IF(IFERROR(INDEX(Consulta!$A:$DS,MATCH('MM01'!$B21,Consulta!$C:$C,0),'MM01'!EF$2),"")=0,"7925",IF(IFERROR(INDEX(Consulta!$A:$DS,MATCH('MM01'!$B21,Consulta!$C:$C,0),'MM01'!EF$2),"")="68","7910","7925"))</f>
        <v>7925</v>
      </c>
      <c r="EG21" s="44">
        <v>100</v>
      </c>
      <c r="EH21" s="62">
        <v>1</v>
      </c>
      <c r="EI21" s="43">
        <f t="shared" si="37"/>
        <v>100</v>
      </c>
      <c r="EJ21" s="44">
        <v>1</v>
      </c>
      <c r="EK21" s="44">
        <v>0</v>
      </c>
      <c r="EL21" s="44" t="s">
        <v>859</v>
      </c>
      <c r="EM21" s="45">
        <v>0</v>
      </c>
      <c r="EN21" s="43">
        <f t="shared" si="38"/>
        <v>5000</v>
      </c>
      <c r="EO21" s="69"/>
    </row>
    <row r="22" spans="1:145" x14ac:dyDescent="0.2">
      <c r="A22" s="7" t="str">
        <f t="shared" si="6"/>
        <v>Execução 18</v>
      </c>
      <c r="B22" s="42"/>
      <c r="C22" s="43" t="str">
        <f>IF(IFERROR(INDEX(Consulta!$A:$DS,MATCH('MM01'!$B22,Consulta!$C:$C,0),'MM01'!C$2),"")=0,"",IFERROR(INDEX(Consulta!$A:$DS,MATCH('MM01'!$B22,Consulta!$C:$C,0),'MM01'!C$2),""))</f>
        <v/>
      </c>
      <c r="D22" s="43" t="str">
        <f>IF(IFERROR(INDEX(Consulta!$A:$DS,MATCH('MM01'!$B22,Consulta!$C:$C,0),'MM01'!D$2),"")=0,"",IFERROR(INDEX(Consulta!$A:$DS,MATCH('MM01'!$B22,Consulta!$C:$C,0),'MM01'!D$2),""))</f>
        <v/>
      </c>
      <c r="E22" s="43" t="str">
        <f>IF(IFERROR(INDEX(Consulta!$A:$DS,MATCH('MM01'!$B22,Consulta!$C:$C,0),'MM01'!E$2),"")=0,"",IFERROR(INDEX(Consulta!$A:$DS,MATCH('MM01'!$B22,Consulta!$C:$C,0),'MM01'!E$2),""))</f>
        <v/>
      </c>
      <c r="F22" s="44" t="s">
        <v>100</v>
      </c>
      <c r="G22" s="49" t="str">
        <f>IF(IFERROR(INDEX(Consulta!$A:$DS,MATCH('MM01'!$B22,Consulta!$C:$C,0),'MM01'!G$2),"")=0,"",IFERROR(INDEX(Consulta!$A:$DS,MATCH('MM01'!$B22,Consulta!$C:$C,0),'MM01'!G$2),""))</f>
        <v/>
      </c>
      <c r="H22" s="49" t="str">
        <f>IF(IFERROR(INDEX(Consulta!$A:$DS,MATCH('MM01'!$B22,Consulta!$C:$C,0),'MM01'!H$2),"")=0,"",IFERROR(INDEX(Consulta!$A:$DS,MATCH('MM01'!$B22,Consulta!$C:$C,0),'MM01'!H$2),""))</f>
        <v/>
      </c>
      <c r="I22" s="49" t="str">
        <f t="shared" si="7"/>
        <v/>
      </c>
      <c r="J22" s="49" t="str">
        <f>IF(IFERROR(INDEX(Consulta!$A:$DS,MATCH('MM01'!$B22,Consulta!$C:$C,0),'MM01'!J$2),"")=0,"",IFERROR(INDEX(Consulta!$A:$DS,MATCH('MM01'!$B22,Consulta!$C:$C,0),'MM01'!J$2),""))</f>
        <v/>
      </c>
      <c r="K22" s="49" t="str">
        <f t="shared" si="8"/>
        <v/>
      </c>
      <c r="M22" s="45" t="s">
        <v>101</v>
      </c>
      <c r="N22" s="45" t="s">
        <v>102</v>
      </c>
      <c r="O22" s="45" t="s">
        <v>103</v>
      </c>
      <c r="P22" s="45" t="s">
        <v>104</v>
      </c>
      <c r="Q22" s="45" t="s">
        <v>105</v>
      </c>
      <c r="R22" s="45" t="s">
        <v>106</v>
      </c>
      <c r="S22" s="45" t="s">
        <v>107</v>
      </c>
      <c r="T22" s="45"/>
      <c r="U22" s="45"/>
      <c r="V22" s="45"/>
      <c r="W22" s="45"/>
      <c r="X22" s="45" t="s">
        <v>112</v>
      </c>
      <c r="Y22" s="45" t="s">
        <v>113</v>
      </c>
      <c r="Z22" s="45" t="s">
        <v>114</v>
      </c>
      <c r="AA22" s="45" t="s">
        <v>115</v>
      </c>
      <c r="AB22" s="45" t="s">
        <v>117</v>
      </c>
      <c r="AC22" s="45" t="s">
        <v>118</v>
      </c>
      <c r="AD22" s="45" t="s">
        <v>119</v>
      </c>
      <c r="AE22" s="45" t="s">
        <v>120</v>
      </c>
      <c r="AF22" s="45" t="s">
        <v>121</v>
      </c>
      <c r="AG22" s="45" t="s">
        <v>122</v>
      </c>
      <c r="AH22" s="45" t="s">
        <v>123</v>
      </c>
      <c r="AI22" s="45" t="s">
        <v>124</v>
      </c>
      <c r="AJ22" s="45" t="s">
        <v>125</v>
      </c>
      <c r="AK22" s="45" t="s">
        <v>126</v>
      </c>
      <c r="AL22" s="45"/>
      <c r="AM22" s="45"/>
      <c r="AO22" s="44" t="s">
        <v>100</v>
      </c>
      <c r="AP22" s="43" t="str">
        <f>IF(IFERROR(INDEX(Consulta!$A:$DS,MATCH('MM01'!$B22,Consulta!$C:$C,0),'MM01'!AP$2),"")=0,"",IFERROR(INDEX(Consulta!$A:$DS,MATCH('MM01'!$B22,Consulta!$C:$C,0),'MM01'!AP$2),""))</f>
        <v/>
      </c>
      <c r="AQ22" s="45"/>
      <c r="AR22" s="43" t="str">
        <f>IF(IFERROR(INDEX(Consulta!$A:$DS,MATCH('MM01'!$B22,Consulta!$C:$C,0),'MM01'!AR$2),"")=0,"",IFERROR(INDEX(Consulta!$A:$DS,MATCH('MM01'!$B22,Consulta!$C:$C,0),'MM01'!AR$2),""))</f>
        <v/>
      </c>
      <c r="AS22" s="43" t="str">
        <f>IF(IFERROR(INDEX(Consulta!$A:$DS,MATCH('MM01'!$B22,Consulta!$C:$C,0),'MM01'!AS$2),"")=0,"",IF(AR22="68",5102,IFERROR(INDEX(Consulta!$A:$DS,MATCH('MM01'!$B22,Consulta!$C:$C,0),'MM01'!AS$2),"")))</f>
        <v/>
      </c>
      <c r="AT22" s="45"/>
      <c r="AU22" s="46" t="str">
        <f t="shared" ca="1" si="9"/>
        <v/>
      </c>
      <c r="AV22" s="47" t="s">
        <v>783</v>
      </c>
      <c r="AW22" s="43" t="str">
        <f>IF(IFERROR(INDEX(Consulta!$A:$DS,MATCH('MM01'!$B22,Consulta!$C:$C,0),'MM01'!AW$2),"")=0,"",IFERROR(ROUND(INDEX(Consulta!$A:$DS,MATCH('MM01'!$B22,Consulta!$C:$C,0),'MM01'!AW$2),3),""))</f>
        <v/>
      </c>
      <c r="AX22" s="43" t="str">
        <f t="shared" si="10"/>
        <v/>
      </c>
      <c r="AY22" s="48" t="s">
        <v>299</v>
      </c>
      <c r="AZ22" s="48"/>
      <c r="BA22" s="43" t="str">
        <f>IF(IFERROR(INDEX(Consulta!$A:$DS,MATCH('MM01'!$B22,Consulta!$C:$C,0),'MM01'!BA$2),"")=0,"",IFERROR(INDEX(Consulta!$A:$DS,MATCH('MM01'!$B22,Consulta!$C:$C,0),'MM01'!BA$2),""))</f>
        <v/>
      </c>
      <c r="BB22" s="43" t="str">
        <f t="shared" si="11"/>
        <v/>
      </c>
      <c r="BC22" s="43" t="str">
        <f t="shared" si="12"/>
        <v/>
      </c>
      <c r="BD22" s="43" t="str">
        <f t="shared" si="13"/>
        <v/>
      </c>
      <c r="BE22" s="43" t="str">
        <f t="shared" si="14"/>
        <v>M</v>
      </c>
      <c r="BF22" s="43" t="str">
        <f t="shared" si="15"/>
        <v/>
      </c>
      <c r="BG22" s="43" t="str">
        <f t="shared" si="16"/>
        <v/>
      </c>
      <c r="BH22" s="43" t="str">
        <f t="shared" si="17"/>
        <v/>
      </c>
      <c r="BI22" s="43" t="str">
        <f t="shared" si="18"/>
        <v>M</v>
      </c>
      <c r="BK22" s="45" t="s">
        <v>789</v>
      </c>
      <c r="BL22" s="43" t="str">
        <f>IF(IFERROR(INDEX(Consulta!$A:$DS,MATCH('MM01'!$B22,Consulta!$C:$C,0),'MM01'!BL$2),"")=0,"",IFERROR(INDEX(Consulta!$A:$DS,MATCH('MM01'!$B22,Consulta!$C:$C,0),'MM01'!BL$2),""))</f>
        <v/>
      </c>
      <c r="BM22" s="45"/>
      <c r="BN22" s="46" t="str">
        <f t="shared" ca="1" si="19"/>
        <v/>
      </c>
      <c r="BO22" s="49" t="str">
        <f t="shared" si="20"/>
        <v/>
      </c>
      <c r="BP22" s="50">
        <v>1</v>
      </c>
      <c r="BQ22" s="50" t="s">
        <v>194</v>
      </c>
      <c r="BR22" s="50" t="s">
        <v>194</v>
      </c>
      <c r="BS22" s="50" t="s">
        <v>783</v>
      </c>
      <c r="BT22" s="44">
        <v>1</v>
      </c>
      <c r="BU22" s="44" t="s">
        <v>372</v>
      </c>
      <c r="BV22" s="50" t="s">
        <v>197</v>
      </c>
      <c r="BW22" s="50" t="s">
        <v>197</v>
      </c>
      <c r="BX22" s="43" t="str">
        <f>IF(IFERROR(INDEX(Consulta!$A:$DS,MATCH('MM01'!$B22,Consulta!$C:$C,0),'MM01'!BX$2),"")=0,"",IFERROR(INDEX(Consulta!$A:$DS,MATCH('MM01'!$B22,Consulta!$C:$C,0),'MM01'!BX$2),""))</f>
        <v/>
      </c>
      <c r="BY22" s="44" t="s">
        <v>392</v>
      </c>
      <c r="BZ22" s="50">
        <v>0</v>
      </c>
      <c r="CA22" s="45" t="s">
        <v>403</v>
      </c>
      <c r="CB22" s="45" t="s">
        <v>84</v>
      </c>
      <c r="CC22" s="43" t="str">
        <f t="shared" si="21"/>
        <v/>
      </c>
      <c r="CD22" s="45" t="s">
        <v>430</v>
      </c>
      <c r="CE22" s="45">
        <v>1</v>
      </c>
      <c r="CF22" s="45" t="s">
        <v>496</v>
      </c>
      <c r="CG22" s="45"/>
      <c r="CH22" s="44"/>
      <c r="CI22" s="49" t="str">
        <f t="shared" si="22"/>
        <v/>
      </c>
      <c r="CJ22" s="49" t="str">
        <f t="shared" si="23"/>
        <v/>
      </c>
      <c r="CK22" s="45"/>
      <c r="CL22" s="44">
        <v>5</v>
      </c>
      <c r="CM22" s="44">
        <v>1</v>
      </c>
      <c r="CN22" s="44">
        <v>1</v>
      </c>
      <c r="CO22" s="44">
        <v>1</v>
      </c>
      <c r="CP22" s="50" t="s">
        <v>515</v>
      </c>
      <c r="CQ22" s="44" t="s">
        <v>372</v>
      </c>
      <c r="CR22" s="44">
        <v>2</v>
      </c>
      <c r="CS22" s="44">
        <v>42</v>
      </c>
      <c r="CT22" s="44">
        <v>10</v>
      </c>
      <c r="CU22" s="43" t="str">
        <f t="shared" si="24"/>
        <v>K00_P_PURL_</v>
      </c>
      <c r="CV22" s="45">
        <v>5000</v>
      </c>
      <c r="CW22" s="43" t="str">
        <f t="shared" si="0"/>
        <v/>
      </c>
      <c r="CX22" s="43" t="str">
        <f t="shared" si="1"/>
        <v/>
      </c>
      <c r="CY22" s="43" t="str">
        <f>IF(IFERROR(INDEX(Consulta!$A:$DS,MATCH('MM01'!$B22,Consulta!$C:$C,0),'MM01'!CY$2),"")=0,"",IFERROR(INDEX(Consulta!$A:$DS,MATCH('MM01'!$B22,Consulta!$C:$C,0),'MM01'!CY$2),""))</f>
        <v/>
      </c>
      <c r="CZ22" s="43" t="str">
        <f t="shared" si="2"/>
        <v/>
      </c>
      <c r="DA22" s="43" t="str">
        <f>IF(IFERROR(INDEX(Consulta!$A:$DS,MATCH('MM01'!$B22,Consulta!$C:$C,0),'MM01'!DA$2),"")=0,"",IFERROR(INDEX(Consulta!$A:$DS,MATCH('MM01'!$B22,Consulta!$C:$C,0),'MM01'!DA$2),""))</f>
        <v/>
      </c>
      <c r="DB22" s="43" t="str">
        <f>IF(IFERROR(INDEX(Consulta!$A:$DS,MATCH('MM01'!$B22,Consulta!$C:$C,0),'MM01'!DB$2),"")=0,"",IFERROR(INDEX(Consulta!$A:$DS,MATCH('MM01'!$B22,Consulta!$C:$C,0),'MM01'!DB$2),""))</f>
        <v/>
      </c>
      <c r="DC22" s="43" t="str">
        <f>IF(IFERROR(INDEX(Consulta!$A:$DS,MATCH('MM01'!$B22,Consulta!$C:$C,0),'MM01'!DC$2),"")=0,"",IFERROR(INDEX(Consulta!$A:$DS,MATCH('MM01'!$B22,Consulta!$C:$C,0),'MM01'!DC$2),""))</f>
        <v/>
      </c>
      <c r="DD22" s="43" t="str">
        <f>IF(IFERROR(INDEX(Consulta!$A:$DS,MATCH('MM01'!$B22,Consulta!$C:$C,0),'MM01'!DD$2),"")=0,"",IFERROR(INDEX(Consulta!$A:$DS,MATCH('MM01'!$B22,Consulta!$C:$C,0),'MM01'!DD$2),""))</f>
        <v/>
      </c>
      <c r="DE22" s="43" t="str">
        <f>IF(IFERROR(INDEX(Consulta!$A:$DS,MATCH('MM01'!$B22,Consulta!$C:$C,0),'MM01'!DE$2),"")=0,"",IFERROR(INDEX(Consulta!$A:$DS,MATCH('MM01'!$B22,Consulta!$C:$C,0),'MM01'!DE$2),""))</f>
        <v/>
      </c>
      <c r="DF22" s="100">
        <v>3458</v>
      </c>
      <c r="DG22" s="45">
        <v>0</v>
      </c>
      <c r="DH22" s="45">
        <v>0</v>
      </c>
      <c r="DI22" s="43" t="str">
        <f t="shared" si="3"/>
        <v/>
      </c>
      <c r="DJ22" s="43" t="str">
        <f t="shared" si="25"/>
        <v/>
      </c>
      <c r="DK22" s="57"/>
      <c r="DL22" s="43" t="str">
        <f t="shared" ca="1" si="26"/>
        <v/>
      </c>
      <c r="DM22" s="43" t="str">
        <f t="shared" si="27"/>
        <v/>
      </c>
      <c r="DN22" s="43" t="str">
        <f t="shared" si="28"/>
        <v/>
      </c>
      <c r="DO22" s="57"/>
      <c r="DP22" s="43" t="str">
        <f t="shared" ca="1" si="29"/>
        <v/>
      </c>
      <c r="DQ22" s="43" t="str">
        <f t="shared" si="30"/>
        <v/>
      </c>
      <c r="DR22" s="43" t="str">
        <f t="shared" si="31"/>
        <v/>
      </c>
      <c r="DS22" s="57"/>
      <c r="DT22" s="43" t="str">
        <f t="shared" ca="1" si="32"/>
        <v/>
      </c>
      <c r="DU22" s="43" t="str">
        <f t="shared" si="33"/>
        <v/>
      </c>
      <c r="DV22" s="43" t="str">
        <f t="shared" si="34"/>
        <v/>
      </c>
      <c r="DW22" s="57"/>
      <c r="DX22" s="43" t="str">
        <f t="shared" ca="1" si="35"/>
        <v/>
      </c>
      <c r="DY22" s="43" t="str">
        <f t="shared" si="36"/>
        <v/>
      </c>
      <c r="EA22" s="44">
        <v>0</v>
      </c>
      <c r="EB22" s="44" t="s">
        <v>761</v>
      </c>
      <c r="EC22" s="44">
        <v>30</v>
      </c>
      <c r="ED22" s="43">
        <f t="shared" si="4"/>
        <v>0.01</v>
      </c>
      <c r="EE22" s="43" t="str">
        <f t="shared" si="5"/>
        <v>M</v>
      </c>
      <c r="EF22" s="43" t="str">
        <f>IF(IFERROR(INDEX(Consulta!$A:$DS,MATCH('MM01'!$B22,Consulta!$C:$C,0),'MM01'!EF$2),"")=0,"7925",IF(IFERROR(INDEX(Consulta!$A:$DS,MATCH('MM01'!$B22,Consulta!$C:$C,0),'MM01'!EF$2),"")="68","7910","7925"))</f>
        <v>7925</v>
      </c>
      <c r="EG22" s="44">
        <v>100</v>
      </c>
      <c r="EH22" s="62">
        <v>1</v>
      </c>
      <c r="EI22" s="43">
        <f t="shared" si="37"/>
        <v>100</v>
      </c>
      <c r="EJ22" s="44">
        <v>1</v>
      </c>
      <c r="EK22" s="44">
        <v>0</v>
      </c>
      <c r="EL22" s="44" t="s">
        <v>859</v>
      </c>
      <c r="EM22" s="45">
        <v>0</v>
      </c>
      <c r="EN22" s="43">
        <f t="shared" si="38"/>
        <v>5000</v>
      </c>
      <c r="EO22" s="69"/>
    </row>
    <row r="23" spans="1:145" x14ac:dyDescent="0.2">
      <c r="A23" s="7" t="str">
        <f t="shared" si="6"/>
        <v>Execução 19</v>
      </c>
      <c r="B23" s="42"/>
      <c r="C23" s="43" t="str">
        <f>IF(IFERROR(INDEX(Consulta!$A:$DS,MATCH('MM01'!$B23,Consulta!$C:$C,0),'MM01'!C$2),"")=0,"",IFERROR(INDEX(Consulta!$A:$DS,MATCH('MM01'!$B23,Consulta!$C:$C,0),'MM01'!C$2),""))</f>
        <v/>
      </c>
      <c r="D23" s="43" t="str">
        <f>IF(IFERROR(INDEX(Consulta!$A:$DS,MATCH('MM01'!$B23,Consulta!$C:$C,0),'MM01'!D$2),"")=0,"",IFERROR(INDEX(Consulta!$A:$DS,MATCH('MM01'!$B23,Consulta!$C:$C,0),'MM01'!D$2),""))</f>
        <v/>
      </c>
      <c r="E23" s="43" t="str">
        <f>IF(IFERROR(INDEX(Consulta!$A:$DS,MATCH('MM01'!$B23,Consulta!$C:$C,0),'MM01'!E$2),"")=0,"",IFERROR(INDEX(Consulta!$A:$DS,MATCH('MM01'!$B23,Consulta!$C:$C,0),'MM01'!E$2),""))</f>
        <v/>
      </c>
      <c r="F23" s="44" t="s">
        <v>100</v>
      </c>
      <c r="G23" s="49" t="str">
        <f>IF(IFERROR(INDEX(Consulta!$A:$DS,MATCH('MM01'!$B23,Consulta!$C:$C,0),'MM01'!G$2),"")=0,"",IFERROR(INDEX(Consulta!$A:$DS,MATCH('MM01'!$B23,Consulta!$C:$C,0),'MM01'!G$2),""))</f>
        <v/>
      </c>
      <c r="H23" s="49" t="str">
        <f>IF(IFERROR(INDEX(Consulta!$A:$DS,MATCH('MM01'!$B23,Consulta!$C:$C,0),'MM01'!H$2),"")=0,"",IFERROR(INDEX(Consulta!$A:$DS,MATCH('MM01'!$B23,Consulta!$C:$C,0),'MM01'!H$2),""))</f>
        <v/>
      </c>
      <c r="I23" s="49" t="str">
        <f t="shared" si="7"/>
        <v/>
      </c>
      <c r="J23" s="49" t="str">
        <f>IF(IFERROR(INDEX(Consulta!$A:$DS,MATCH('MM01'!$B23,Consulta!$C:$C,0),'MM01'!J$2),"")=0,"",IFERROR(INDEX(Consulta!$A:$DS,MATCH('MM01'!$B23,Consulta!$C:$C,0),'MM01'!J$2),""))</f>
        <v/>
      </c>
      <c r="K23" s="49" t="str">
        <f t="shared" si="8"/>
        <v/>
      </c>
      <c r="M23" s="45" t="s">
        <v>101</v>
      </c>
      <c r="N23" s="45" t="s">
        <v>102</v>
      </c>
      <c r="O23" s="45" t="s">
        <v>103</v>
      </c>
      <c r="P23" s="45" t="s">
        <v>104</v>
      </c>
      <c r="Q23" s="45" t="s">
        <v>105</v>
      </c>
      <c r="R23" s="45" t="s">
        <v>106</v>
      </c>
      <c r="S23" s="45" t="s">
        <v>107</v>
      </c>
      <c r="T23" s="45"/>
      <c r="U23" s="45"/>
      <c r="V23" s="45"/>
      <c r="W23" s="45"/>
      <c r="X23" s="45" t="s">
        <v>112</v>
      </c>
      <c r="Y23" s="45" t="s">
        <v>113</v>
      </c>
      <c r="Z23" s="45" t="s">
        <v>114</v>
      </c>
      <c r="AA23" s="45" t="s">
        <v>115</v>
      </c>
      <c r="AB23" s="45" t="s">
        <v>117</v>
      </c>
      <c r="AC23" s="45" t="s">
        <v>118</v>
      </c>
      <c r="AD23" s="45" t="s">
        <v>119</v>
      </c>
      <c r="AE23" s="45" t="s">
        <v>120</v>
      </c>
      <c r="AF23" s="45" t="s">
        <v>121</v>
      </c>
      <c r="AG23" s="45" t="s">
        <v>122</v>
      </c>
      <c r="AH23" s="45" t="s">
        <v>123</v>
      </c>
      <c r="AI23" s="45" t="s">
        <v>124</v>
      </c>
      <c r="AJ23" s="45" t="s">
        <v>125</v>
      </c>
      <c r="AK23" s="45" t="s">
        <v>126</v>
      </c>
      <c r="AL23" s="45"/>
      <c r="AM23" s="45"/>
      <c r="AO23" s="44" t="s">
        <v>100</v>
      </c>
      <c r="AP23" s="43" t="str">
        <f>IF(IFERROR(INDEX(Consulta!$A:$DS,MATCH('MM01'!$B23,Consulta!$C:$C,0),'MM01'!AP$2),"")=0,"",IFERROR(INDEX(Consulta!$A:$DS,MATCH('MM01'!$B23,Consulta!$C:$C,0),'MM01'!AP$2),""))</f>
        <v/>
      </c>
      <c r="AQ23" s="45"/>
      <c r="AR23" s="43" t="str">
        <f>IF(IFERROR(INDEX(Consulta!$A:$DS,MATCH('MM01'!$B23,Consulta!$C:$C,0),'MM01'!AR$2),"")=0,"",IFERROR(INDEX(Consulta!$A:$DS,MATCH('MM01'!$B23,Consulta!$C:$C,0),'MM01'!AR$2),""))</f>
        <v/>
      </c>
      <c r="AS23" s="43" t="str">
        <f>IF(IFERROR(INDEX(Consulta!$A:$DS,MATCH('MM01'!$B23,Consulta!$C:$C,0),'MM01'!AS$2),"")=0,"",IF(AR23="68",5102,IFERROR(INDEX(Consulta!$A:$DS,MATCH('MM01'!$B23,Consulta!$C:$C,0),'MM01'!AS$2),"")))</f>
        <v/>
      </c>
      <c r="AT23" s="45"/>
      <c r="AU23" s="46" t="str">
        <f t="shared" ca="1" si="9"/>
        <v/>
      </c>
      <c r="AV23" s="47" t="s">
        <v>783</v>
      </c>
      <c r="AW23" s="43" t="str">
        <f>IF(IFERROR(INDEX(Consulta!$A:$DS,MATCH('MM01'!$B23,Consulta!$C:$C,0),'MM01'!AW$2),"")=0,"",IFERROR(ROUND(INDEX(Consulta!$A:$DS,MATCH('MM01'!$B23,Consulta!$C:$C,0),'MM01'!AW$2),3),""))</f>
        <v/>
      </c>
      <c r="AX23" s="43" t="str">
        <f t="shared" si="10"/>
        <v/>
      </c>
      <c r="AY23" s="48" t="s">
        <v>299</v>
      </c>
      <c r="AZ23" s="48"/>
      <c r="BA23" s="43" t="str">
        <f>IF(IFERROR(INDEX(Consulta!$A:$DS,MATCH('MM01'!$B23,Consulta!$C:$C,0),'MM01'!BA$2),"")=0,"",IFERROR(INDEX(Consulta!$A:$DS,MATCH('MM01'!$B23,Consulta!$C:$C,0),'MM01'!BA$2),""))</f>
        <v/>
      </c>
      <c r="BB23" s="43" t="str">
        <f t="shared" si="11"/>
        <v/>
      </c>
      <c r="BC23" s="43" t="str">
        <f t="shared" si="12"/>
        <v/>
      </c>
      <c r="BD23" s="43" t="str">
        <f t="shared" si="13"/>
        <v/>
      </c>
      <c r="BE23" s="43" t="str">
        <f t="shared" si="14"/>
        <v>M</v>
      </c>
      <c r="BF23" s="43" t="str">
        <f t="shared" si="15"/>
        <v/>
      </c>
      <c r="BG23" s="43" t="str">
        <f t="shared" si="16"/>
        <v/>
      </c>
      <c r="BH23" s="43" t="str">
        <f t="shared" si="17"/>
        <v/>
      </c>
      <c r="BI23" s="43" t="str">
        <f t="shared" si="18"/>
        <v>M</v>
      </c>
      <c r="BK23" s="45" t="s">
        <v>789</v>
      </c>
      <c r="BL23" s="43" t="str">
        <f>IF(IFERROR(INDEX(Consulta!$A:$DS,MATCH('MM01'!$B23,Consulta!$C:$C,0),'MM01'!BL$2),"")=0,"",IFERROR(INDEX(Consulta!$A:$DS,MATCH('MM01'!$B23,Consulta!$C:$C,0),'MM01'!BL$2),""))</f>
        <v/>
      </c>
      <c r="BM23" s="45"/>
      <c r="BN23" s="46" t="str">
        <f t="shared" ca="1" si="19"/>
        <v/>
      </c>
      <c r="BO23" s="49" t="str">
        <f t="shared" si="20"/>
        <v/>
      </c>
      <c r="BP23" s="50">
        <v>1</v>
      </c>
      <c r="BQ23" s="50" t="s">
        <v>194</v>
      </c>
      <c r="BR23" s="50" t="s">
        <v>194</v>
      </c>
      <c r="BS23" s="50" t="s">
        <v>783</v>
      </c>
      <c r="BT23" s="44">
        <v>1</v>
      </c>
      <c r="BU23" s="44" t="s">
        <v>372</v>
      </c>
      <c r="BV23" s="50" t="s">
        <v>197</v>
      </c>
      <c r="BW23" s="50" t="s">
        <v>197</v>
      </c>
      <c r="BX23" s="43" t="str">
        <f>IF(IFERROR(INDEX(Consulta!$A:$DS,MATCH('MM01'!$B23,Consulta!$C:$C,0),'MM01'!BX$2),"")=0,"",IFERROR(INDEX(Consulta!$A:$DS,MATCH('MM01'!$B23,Consulta!$C:$C,0),'MM01'!BX$2),""))</f>
        <v/>
      </c>
      <c r="BY23" s="44" t="s">
        <v>392</v>
      </c>
      <c r="BZ23" s="50">
        <v>0</v>
      </c>
      <c r="CA23" s="45" t="s">
        <v>403</v>
      </c>
      <c r="CB23" s="45" t="s">
        <v>84</v>
      </c>
      <c r="CC23" s="43" t="str">
        <f t="shared" si="21"/>
        <v/>
      </c>
      <c r="CD23" s="45" t="s">
        <v>430</v>
      </c>
      <c r="CE23" s="45">
        <v>1</v>
      </c>
      <c r="CF23" s="45" t="s">
        <v>496</v>
      </c>
      <c r="CG23" s="45"/>
      <c r="CH23" s="44"/>
      <c r="CI23" s="49" t="str">
        <f t="shared" si="22"/>
        <v/>
      </c>
      <c r="CJ23" s="49" t="str">
        <f t="shared" si="23"/>
        <v/>
      </c>
      <c r="CK23" s="45"/>
      <c r="CL23" s="44">
        <v>5</v>
      </c>
      <c r="CM23" s="44">
        <v>1</v>
      </c>
      <c r="CN23" s="44">
        <v>1</v>
      </c>
      <c r="CO23" s="44">
        <v>1</v>
      </c>
      <c r="CP23" s="50" t="s">
        <v>515</v>
      </c>
      <c r="CQ23" s="44" t="s">
        <v>372</v>
      </c>
      <c r="CR23" s="44">
        <v>2</v>
      </c>
      <c r="CS23" s="44">
        <v>42</v>
      </c>
      <c r="CT23" s="44">
        <v>10</v>
      </c>
      <c r="CU23" s="43" t="str">
        <f t="shared" si="24"/>
        <v>K00_P_PURL_</v>
      </c>
      <c r="CV23" s="45">
        <v>5000</v>
      </c>
      <c r="CW23" s="43" t="str">
        <f t="shared" si="0"/>
        <v/>
      </c>
      <c r="CX23" s="43" t="str">
        <f t="shared" si="1"/>
        <v/>
      </c>
      <c r="CY23" s="43" t="str">
        <f>IF(IFERROR(INDEX(Consulta!$A:$DS,MATCH('MM01'!$B23,Consulta!$C:$C,0),'MM01'!CY$2),"")=0,"",IFERROR(INDEX(Consulta!$A:$DS,MATCH('MM01'!$B23,Consulta!$C:$C,0),'MM01'!CY$2),""))</f>
        <v/>
      </c>
      <c r="CZ23" s="43" t="str">
        <f t="shared" si="2"/>
        <v/>
      </c>
      <c r="DA23" s="43" t="str">
        <f>IF(IFERROR(INDEX(Consulta!$A:$DS,MATCH('MM01'!$B23,Consulta!$C:$C,0),'MM01'!DA$2),"")=0,"",IFERROR(INDEX(Consulta!$A:$DS,MATCH('MM01'!$B23,Consulta!$C:$C,0),'MM01'!DA$2),""))</f>
        <v/>
      </c>
      <c r="DB23" s="43" t="str">
        <f>IF(IFERROR(INDEX(Consulta!$A:$DS,MATCH('MM01'!$B23,Consulta!$C:$C,0),'MM01'!DB$2),"")=0,"",IFERROR(INDEX(Consulta!$A:$DS,MATCH('MM01'!$B23,Consulta!$C:$C,0),'MM01'!DB$2),""))</f>
        <v/>
      </c>
      <c r="DC23" s="43" t="str">
        <f>IF(IFERROR(INDEX(Consulta!$A:$DS,MATCH('MM01'!$B23,Consulta!$C:$C,0),'MM01'!DC$2),"")=0,"",IFERROR(INDEX(Consulta!$A:$DS,MATCH('MM01'!$B23,Consulta!$C:$C,0),'MM01'!DC$2),""))</f>
        <v/>
      </c>
      <c r="DD23" s="43" t="str">
        <f>IF(IFERROR(INDEX(Consulta!$A:$DS,MATCH('MM01'!$B23,Consulta!$C:$C,0),'MM01'!DD$2),"")=0,"",IFERROR(INDEX(Consulta!$A:$DS,MATCH('MM01'!$B23,Consulta!$C:$C,0),'MM01'!DD$2),""))</f>
        <v/>
      </c>
      <c r="DE23" s="43" t="str">
        <f>IF(IFERROR(INDEX(Consulta!$A:$DS,MATCH('MM01'!$B23,Consulta!$C:$C,0),'MM01'!DE$2),"")=0,"",IFERROR(INDEX(Consulta!$A:$DS,MATCH('MM01'!$B23,Consulta!$C:$C,0),'MM01'!DE$2),""))</f>
        <v/>
      </c>
      <c r="DF23" s="100">
        <v>3458</v>
      </c>
      <c r="DG23" s="45">
        <v>0</v>
      </c>
      <c r="DH23" s="45">
        <v>0</v>
      </c>
      <c r="DI23" s="43" t="str">
        <f t="shared" si="3"/>
        <v/>
      </c>
      <c r="DJ23" s="43" t="str">
        <f t="shared" si="25"/>
        <v/>
      </c>
      <c r="DK23" s="57"/>
      <c r="DL23" s="43" t="str">
        <f t="shared" ca="1" si="26"/>
        <v/>
      </c>
      <c r="DM23" s="43" t="str">
        <f t="shared" si="27"/>
        <v/>
      </c>
      <c r="DN23" s="43" t="str">
        <f t="shared" si="28"/>
        <v/>
      </c>
      <c r="DO23" s="57"/>
      <c r="DP23" s="43" t="str">
        <f t="shared" ca="1" si="29"/>
        <v/>
      </c>
      <c r="DQ23" s="43" t="str">
        <f t="shared" si="30"/>
        <v/>
      </c>
      <c r="DR23" s="43" t="str">
        <f t="shared" si="31"/>
        <v/>
      </c>
      <c r="DS23" s="57"/>
      <c r="DT23" s="43" t="str">
        <f t="shared" ca="1" si="32"/>
        <v/>
      </c>
      <c r="DU23" s="43" t="str">
        <f t="shared" si="33"/>
        <v/>
      </c>
      <c r="DV23" s="43" t="str">
        <f t="shared" si="34"/>
        <v/>
      </c>
      <c r="DW23" s="57"/>
      <c r="DX23" s="43" t="str">
        <f t="shared" ca="1" si="35"/>
        <v/>
      </c>
      <c r="DY23" s="43" t="str">
        <f t="shared" si="36"/>
        <v/>
      </c>
      <c r="EA23" s="44">
        <v>0</v>
      </c>
      <c r="EB23" s="44" t="s">
        <v>761</v>
      </c>
      <c r="EC23" s="44">
        <v>30</v>
      </c>
      <c r="ED23" s="43">
        <f t="shared" si="4"/>
        <v>0.01</v>
      </c>
      <c r="EE23" s="43" t="str">
        <f t="shared" si="5"/>
        <v>M</v>
      </c>
      <c r="EF23" s="43" t="str">
        <f>IF(IFERROR(INDEX(Consulta!$A:$DS,MATCH('MM01'!$B23,Consulta!$C:$C,0),'MM01'!EF$2),"")=0,"7925",IF(IFERROR(INDEX(Consulta!$A:$DS,MATCH('MM01'!$B23,Consulta!$C:$C,0),'MM01'!EF$2),"")="68","7910","7925"))</f>
        <v>7925</v>
      </c>
      <c r="EG23" s="44">
        <v>100</v>
      </c>
      <c r="EH23" s="62">
        <v>1</v>
      </c>
      <c r="EI23" s="43">
        <f t="shared" si="37"/>
        <v>100</v>
      </c>
      <c r="EJ23" s="44">
        <v>1</v>
      </c>
      <c r="EK23" s="44">
        <v>0</v>
      </c>
      <c r="EL23" s="44" t="s">
        <v>859</v>
      </c>
      <c r="EM23" s="45">
        <v>0</v>
      </c>
      <c r="EN23" s="43">
        <f t="shared" si="38"/>
        <v>5000</v>
      </c>
      <c r="EO23" s="69"/>
    </row>
    <row r="24" spans="1:145" x14ac:dyDescent="0.2">
      <c r="A24" s="7" t="str">
        <f t="shared" si="6"/>
        <v>Execução 20</v>
      </c>
      <c r="B24" s="42"/>
      <c r="C24" s="43" t="str">
        <f>IF(IFERROR(INDEX(Consulta!$A:$DS,MATCH('MM01'!$B24,Consulta!$C:$C,0),'MM01'!C$2),"")=0,"",IFERROR(INDEX(Consulta!$A:$DS,MATCH('MM01'!$B24,Consulta!$C:$C,0),'MM01'!C$2),""))</f>
        <v/>
      </c>
      <c r="D24" s="43" t="str">
        <f>IF(IFERROR(INDEX(Consulta!$A:$DS,MATCH('MM01'!$B24,Consulta!$C:$C,0),'MM01'!D$2),"")=0,"",IFERROR(INDEX(Consulta!$A:$DS,MATCH('MM01'!$B24,Consulta!$C:$C,0),'MM01'!D$2),""))</f>
        <v/>
      </c>
      <c r="E24" s="43" t="str">
        <f>IF(IFERROR(INDEX(Consulta!$A:$DS,MATCH('MM01'!$B24,Consulta!$C:$C,0),'MM01'!E$2),"")=0,"",IFERROR(INDEX(Consulta!$A:$DS,MATCH('MM01'!$B24,Consulta!$C:$C,0),'MM01'!E$2),""))</f>
        <v/>
      </c>
      <c r="F24" s="44" t="s">
        <v>100</v>
      </c>
      <c r="G24" s="49" t="str">
        <f>IF(IFERROR(INDEX(Consulta!$A:$DS,MATCH('MM01'!$B24,Consulta!$C:$C,0),'MM01'!G$2),"")=0,"",IFERROR(INDEX(Consulta!$A:$DS,MATCH('MM01'!$B24,Consulta!$C:$C,0),'MM01'!G$2),""))</f>
        <v/>
      </c>
      <c r="H24" s="49" t="str">
        <f>IF(IFERROR(INDEX(Consulta!$A:$DS,MATCH('MM01'!$B24,Consulta!$C:$C,0),'MM01'!H$2),"")=0,"",IFERROR(INDEX(Consulta!$A:$DS,MATCH('MM01'!$B24,Consulta!$C:$C,0),'MM01'!H$2),""))</f>
        <v/>
      </c>
      <c r="I24" s="49" t="str">
        <f t="shared" si="7"/>
        <v/>
      </c>
      <c r="J24" s="49" t="str">
        <f>IF(IFERROR(INDEX(Consulta!$A:$DS,MATCH('MM01'!$B24,Consulta!$C:$C,0),'MM01'!J$2),"")=0,"",IFERROR(INDEX(Consulta!$A:$DS,MATCH('MM01'!$B24,Consulta!$C:$C,0),'MM01'!J$2),""))</f>
        <v/>
      </c>
      <c r="K24" s="49" t="str">
        <f t="shared" si="8"/>
        <v/>
      </c>
      <c r="M24" s="45" t="s">
        <v>101</v>
      </c>
      <c r="N24" s="45" t="s">
        <v>102</v>
      </c>
      <c r="O24" s="45" t="s">
        <v>103</v>
      </c>
      <c r="P24" s="45" t="s">
        <v>104</v>
      </c>
      <c r="Q24" s="45" t="s">
        <v>105</v>
      </c>
      <c r="R24" s="45" t="s">
        <v>106</v>
      </c>
      <c r="S24" s="45" t="s">
        <v>107</v>
      </c>
      <c r="T24" s="45"/>
      <c r="U24" s="45"/>
      <c r="V24" s="45"/>
      <c r="W24" s="45"/>
      <c r="X24" s="45" t="s">
        <v>112</v>
      </c>
      <c r="Y24" s="45" t="s">
        <v>113</v>
      </c>
      <c r="Z24" s="45" t="s">
        <v>114</v>
      </c>
      <c r="AA24" s="45" t="s">
        <v>115</v>
      </c>
      <c r="AB24" s="45" t="s">
        <v>117</v>
      </c>
      <c r="AC24" s="45" t="s">
        <v>118</v>
      </c>
      <c r="AD24" s="45" t="s">
        <v>119</v>
      </c>
      <c r="AE24" s="45" t="s">
        <v>120</v>
      </c>
      <c r="AF24" s="45" t="s">
        <v>121</v>
      </c>
      <c r="AG24" s="45" t="s">
        <v>122</v>
      </c>
      <c r="AH24" s="45" t="s">
        <v>123</v>
      </c>
      <c r="AI24" s="45" t="s">
        <v>124</v>
      </c>
      <c r="AJ24" s="45" t="s">
        <v>125</v>
      </c>
      <c r="AK24" s="45" t="s">
        <v>126</v>
      </c>
      <c r="AL24" s="45"/>
      <c r="AM24" s="45"/>
      <c r="AO24" s="44" t="s">
        <v>100</v>
      </c>
      <c r="AP24" s="43" t="str">
        <f>IF(IFERROR(INDEX(Consulta!$A:$DS,MATCH('MM01'!$B24,Consulta!$C:$C,0),'MM01'!AP$2),"")=0,"",IFERROR(INDEX(Consulta!$A:$DS,MATCH('MM01'!$B24,Consulta!$C:$C,0),'MM01'!AP$2),""))</f>
        <v/>
      </c>
      <c r="AQ24" s="45"/>
      <c r="AR24" s="43" t="str">
        <f>IF(IFERROR(INDEX(Consulta!$A:$DS,MATCH('MM01'!$B24,Consulta!$C:$C,0),'MM01'!AR$2),"")=0,"",IFERROR(INDEX(Consulta!$A:$DS,MATCH('MM01'!$B24,Consulta!$C:$C,0),'MM01'!AR$2),""))</f>
        <v/>
      </c>
      <c r="AS24" s="43" t="str">
        <f>IF(IFERROR(INDEX(Consulta!$A:$DS,MATCH('MM01'!$B24,Consulta!$C:$C,0),'MM01'!AS$2),"")=0,"",IF(AR24="68",5102,IFERROR(INDEX(Consulta!$A:$DS,MATCH('MM01'!$B24,Consulta!$C:$C,0),'MM01'!AS$2),"")))</f>
        <v/>
      </c>
      <c r="AT24" s="45"/>
      <c r="AU24" s="46" t="str">
        <f t="shared" ca="1" si="9"/>
        <v/>
      </c>
      <c r="AV24" s="47" t="s">
        <v>783</v>
      </c>
      <c r="AW24" s="43" t="str">
        <f>IF(IFERROR(INDEX(Consulta!$A:$DS,MATCH('MM01'!$B24,Consulta!$C:$C,0),'MM01'!AW$2),"")=0,"",IFERROR(ROUND(INDEX(Consulta!$A:$DS,MATCH('MM01'!$B24,Consulta!$C:$C,0),'MM01'!AW$2),3),""))</f>
        <v/>
      </c>
      <c r="AX24" s="43" t="str">
        <f t="shared" si="10"/>
        <v/>
      </c>
      <c r="AY24" s="48" t="s">
        <v>299</v>
      </c>
      <c r="AZ24" s="48"/>
      <c r="BA24" s="43" t="str">
        <f>IF(IFERROR(INDEX(Consulta!$A:$DS,MATCH('MM01'!$B24,Consulta!$C:$C,0),'MM01'!BA$2),"")=0,"",IFERROR(INDEX(Consulta!$A:$DS,MATCH('MM01'!$B24,Consulta!$C:$C,0),'MM01'!BA$2),""))</f>
        <v/>
      </c>
      <c r="BB24" s="43" t="str">
        <f t="shared" si="11"/>
        <v/>
      </c>
      <c r="BC24" s="43" t="str">
        <f t="shared" si="12"/>
        <v/>
      </c>
      <c r="BD24" s="43" t="str">
        <f t="shared" si="13"/>
        <v/>
      </c>
      <c r="BE24" s="43" t="str">
        <f t="shared" si="14"/>
        <v>M</v>
      </c>
      <c r="BF24" s="43" t="str">
        <f t="shared" si="15"/>
        <v/>
      </c>
      <c r="BG24" s="43" t="str">
        <f t="shared" si="16"/>
        <v/>
      </c>
      <c r="BH24" s="43" t="str">
        <f t="shared" si="17"/>
        <v/>
      </c>
      <c r="BI24" s="43" t="str">
        <f t="shared" si="18"/>
        <v>M</v>
      </c>
      <c r="BK24" s="45" t="s">
        <v>789</v>
      </c>
      <c r="BL24" s="43" t="str">
        <f>IF(IFERROR(INDEX(Consulta!$A:$DS,MATCH('MM01'!$B24,Consulta!$C:$C,0),'MM01'!BL$2),"")=0,"",IFERROR(INDEX(Consulta!$A:$DS,MATCH('MM01'!$B24,Consulta!$C:$C,0),'MM01'!BL$2),""))</f>
        <v/>
      </c>
      <c r="BM24" s="45"/>
      <c r="BN24" s="46" t="str">
        <f t="shared" ca="1" si="19"/>
        <v/>
      </c>
      <c r="BO24" s="49" t="str">
        <f t="shared" si="20"/>
        <v/>
      </c>
      <c r="BP24" s="50">
        <v>1</v>
      </c>
      <c r="BQ24" s="50" t="s">
        <v>194</v>
      </c>
      <c r="BR24" s="50" t="s">
        <v>194</v>
      </c>
      <c r="BS24" s="50" t="s">
        <v>783</v>
      </c>
      <c r="BT24" s="44">
        <v>1</v>
      </c>
      <c r="BU24" s="44" t="s">
        <v>372</v>
      </c>
      <c r="BV24" s="50" t="s">
        <v>197</v>
      </c>
      <c r="BW24" s="50" t="s">
        <v>197</v>
      </c>
      <c r="BX24" s="43" t="str">
        <f>IF(IFERROR(INDEX(Consulta!$A:$DS,MATCH('MM01'!$B24,Consulta!$C:$C,0),'MM01'!BX$2),"")=0,"",IFERROR(INDEX(Consulta!$A:$DS,MATCH('MM01'!$B24,Consulta!$C:$C,0),'MM01'!BX$2),""))</f>
        <v/>
      </c>
      <c r="BY24" s="44" t="s">
        <v>392</v>
      </c>
      <c r="BZ24" s="50">
        <v>0</v>
      </c>
      <c r="CA24" s="45" t="s">
        <v>403</v>
      </c>
      <c r="CB24" s="45" t="s">
        <v>84</v>
      </c>
      <c r="CC24" s="43" t="str">
        <f t="shared" si="21"/>
        <v/>
      </c>
      <c r="CD24" s="45" t="s">
        <v>430</v>
      </c>
      <c r="CE24" s="45">
        <v>1</v>
      </c>
      <c r="CF24" s="45" t="s">
        <v>496</v>
      </c>
      <c r="CG24" s="45"/>
      <c r="CH24" s="44"/>
      <c r="CI24" s="49" t="str">
        <f t="shared" si="22"/>
        <v/>
      </c>
      <c r="CJ24" s="49" t="str">
        <f t="shared" si="23"/>
        <v/>
      </c>
      <c r="CK24" s="45"/>
      <c r="CL24" s="44">
        <v>5</v>
      </c>
      <c r="CM24" s="44">
        <v>1</v>
      </c>
      <c r="CN24" s="44">
        <v>1</v>
      </c>
      <c r="CO24" s="44">
        <v>1</v>
      </c>
      <c r="CP24" s="50" t="s">
        <v>515</v>
      </c>
      <c r="CQ24" s="44" t="s">
        <v>372</v>
      </c>
      <c r="CR24" s="44">
        <v>2</v>
      </c>
      <c r="CS24" s="44">
        <v>42</v>
      </c>
      <c r="CT24" s="44">
        <v>10</v>
      </c>
      <c r="CU24" s="43" t="str">
        <f t="shared" si="24"/>
        <v>K00_P_PURL_</v>
      </c>
      <c r="CV24" s="45">
        <v>5000</v>
      </c>
      <c r="CW24" s="43" t="str">
        <f t="shared" si="0"/>
        <v/>
      </c>
      <c r="CX24" s="43" t="str">
        <f t="shared" si="1"/>
        <v/>
      </c>
      <c r="CY24" s="43" t="str">
        <f>IF(IFERROR(INDEX(Consulta!$A:$DS,MATCH('MM01'!$B24,Consulta!$C:$C,0),'MM01'!CY$2),"")=0,"",IFERROR(INDEX(Consulta!$A:$DS,MATCH('MM01'!$B24,Consulta!$C:$C,0),'MM01'!CY$2),""))</f>
        <v/>
      </c>
      <c r="CZ24" s="43" t="str">
        <f t="shared" si="2"/>
        <v/>
      </c>
      <c r="DA24" s="43" t="str">
        <f>IF(IFERROR(INDEX(Consulta!$A:$DS,MATCH('MM01'!$B24,Consulta!$C:$C,0),'MM01'!DA$2),"")=0,"",IFERROR(INDEX(Consulta!$A:$DS,MATCH('MM01'!$B24,Consulta!$C:$C,0),'MM01'!DA$2),""))</f>
        <v/>
      </c>
      <c r="DB24" s="43" t="str">
        <f>IF(IFERROR(INDEX(Consulta!$A:$DS,MATCH('MM01'!$B24,Consulta!$C:$C,0),'MM01'!DB$2),"")=0,"",IFERROR(INDEX(Consulta!$A:$DS,MATCH('MM01'!$B24,Consulta!$C:$C,0),'MM01'!DB$2),""))</f>
        <v/>
      </c>
      <c r="DC24" s="43" t="str">
        <f>IF(IFERROR(INDEX(Consulta!$A:$DS,MATCH('MM01'!$B24,Consulta!$C:$C,0),'MM01'!DC$2),"")=0,"",IFERROR(INDEX(Consulta!$A:$DS,MATCH('MM01'!$B24,Consulta!$C:$C,0),'MM01'!DC$2),""))</f>
        <v/>
      </c>
      <c r="DD24" s="43" t="str">
        <f>IF(IFERROR(INDEX(Consulta!$A:$DS,MATCH('MM01'!$B24,Consulta!$C:$C,0),'MM01'!DD$2),"")=0,"",IFERROR(INDEX(Consulta!$A:$DS,MATCH('MM01'!$B24,Consulta!$C:$C,0),'MM01'!DD$2),""))</f>
        <v/>
      </c>
      <c r="DE24" s="43" t="str">
        <f>IF(IFERROR(INDEX(Consulta!$A:$DS,MATCH('MM01'!$B24,Consulta!$C:$C,0),'MM01'!DE$2),"")=0,"",IFERROR(INDEX(Consulta!$A:$DS,MATCH('MM01'!$B24,Consulta!$C:$C,0),'MM01'!DE$2),""))</f>
        <v/>
      </c>
      <c r="DF24" s="100">
        <v>3458</v>
      </c>
      <c r="DG24" s="45">
        <v>0</v>
      </c>
      <c r="DH24" s="45">
        <v>0</v>
      </c>
      <c r="DI24" s="43" t="str">
        <f t="shared" si="3"/>
        <v/>
      </c>
      <c r="DJ24" s="43" t="str">
        <f t="shared" si="25"/>
        <v/>
      </c>
      <c r="DK24" s="57"/>
      <c r="DL24" s="43" t="str">
        <f t="shared" ca="1" si="26"/>
        <v/>
      </c>
      <c r="DM24" s="43" t="str">
        <f t="shared" si="27"/>
        <v/>
      </c>
      <c r="DN24" s="43" t="str">
        <f t="shared" si="28"/>
        <v/>
      </c>
      <c r="DO24" s="57"/>
      <c r="DP24" s="43" t="str">
        <f t="shared" ca="1" si="29"/>
        <v/>
      </c>
      <c r="DQ24" s="43" t="str">
        <f t="shared" si="30"/>
        <v/>
      </c>
      <c r="DR24" s="43" t="str">
        <f t="shared" si="31"/>
        <v/>
      </c>
      <c r="DS24" s="57"/>
      <c r="DT24" s="43" t="str">
        <f t="shared" ca="1" si="32"/>
        <v/>
      </c>
      <c r="DU24" s="43" t="str">
        <f t="shared" si="33"/>
        <v/>
      </c>
      <c r="DV24" s="43" t="str">
        <f t="shared" si="34"/>
        <v/>
      </c>
      <c r="DW24" s="57"/>
      <c r="DX24" s="43" t="str">
        <f t="shared" ca="1" si="35"/>
        <v/>
      </c>
      <c r="DY24" s="43" t="str">
        <f t="shared" si="36"/>
        <v/>
      </c>
      <c r="EA24" s="44">
        <v>0</v>
      </c>
      <c r="EB24" s="44" t="s">
        <v>761</v>
      </c>
      <c r="EC24" s="44">
        <v>30</v>
      </c>
      <c r="ED24" s="43">
        <f t="shared" si="4"/>
        <v>0.01</v>
      </c>
      <c r="EE24" s="43" t="str">
        <f t="shared" si="5"/>
        <v>M</v>
      </c>
      <c r="EF24" s="43" t="str">
        <f>IF(IFERROR(INDEX(Consulta!$A:$DS,MATCH('MM01'!$B24,Consulta!$C:$C,0),'MM01'!EF$2),"")=0,"7925",IF(IFERROR(INDEX(Consulta!$A:$DS,MATCH('MM01'!$B24,Consulta!$C:$C,0),'MM01'!EF$2),"")="68","7910","7925"))</f>
        <v>7925</v>
      </c>
      <c r="EG24" s="44">
        <v>100</v>
      </c>
      <c r="EH24" s="62">
        <v>1</v>
      </c>
      <c r="EI24" s="43">
        <f t="shared" si="37"/>
        <v>100</v>
      </c>
      <c r="EJ24" s="44">
        <v>1</v>
      </c>
      <c r="EK24" s="44">
        <v>0</v>
      </c>
      <c r="EL24" s="44" t="s">
        <v>859</v>
      </c>
      <c r="EM24" s="45">
        <v>0</v>
      </c>
      <c r="EN24" s="43">
        <f t="shared" si="38"/>
        <v>5000</v>
      </c>
      <c r="EO24" s="69"/>
    </row>
    <row r="25" spans="1:145" x14ac:dyDescent="0.2">
      <c r="A25" s="7" t="str">
        <f t="shared" si="6"/>
        <v>Execução 21</v>
      </c>
      <c r="B25" s="42"/>
      <c r="C25" s="43" t="str">
        <f>IF(IFERROR(INDEX(Consulta!$A:$DS,MATCH('MM01'!$B25,Consulta!$C:$C,0),'MM01'!C$2),"")=0,"",IFERROR(INDEX(Consulta!$A:$DS,MATCH('MM01'!$B25,Consulta!$C:$C,0),'MM01'!C$2),""))</f>
        <v/>
      </c>
      <c r="D25" s="43" t="str">
        <f>IF(IFERROR(INDEX(Consulta!$A:$DS,MATCH('MM01'!$B25,Consulta!$C:$C,0),'MM01'!D$2),"")=0,"",IFERROR(INDEX(Consulta!$A:$DS,MATCH('MM01'!$B25,Consulta!$C:$C,0),'MM01'!D$2),""))</f>
        <v/>
      </c>
      <c r="E25" s="43" t="str">
        <f>IF(IFERROR(INDEX(Consulta!$A:$DS,MATCH('MM01'!$B25,Consulta!$C:$C,0),'MM01'!E$2),"")=0,"",IFERROR(INDEX(Consulta!$A:$DS,MATCH('MM01'!$B25,Consulta!$C:$C,0),'MM01'!E$2),""))</f>
        <v/>
      </c>
      <c r="F25" s="44" t="s">
        <v>100</v>
      </c>
      <c r="G25" s="49" t="str">
        <f>IF(IFERROR(INDEX(Consulta!$A:$DS,MATCH('MM01'!$B25,Consulta!$C:$C,0),'MM01'!G$2),"")=0,"",IFERROR(INDEX(Consulta!$A:$DS,MATCH('MM01'!$B25,Consulta!$C:$C,0),'MM01'!G$2),""))</f>
        <v/>
      </c>
      <c r="H25" s="49" t="str">
        <f>IF(IFERROR(INDEX(Consulta!$A:$DS,MATCH('MM01'!$B25,Consulta!$C:$C,0),'MM01'!H$2),"")=0,"",IFERROR(INDEX(Consulta!$A:$DS,MATCH('MM01'!$B25,Consulta!$C:$C,0),'MM01'!H$2),""))</f>
        <v/>
      </c>
      <c r="I25" s="49" t="str">
        <f t="shared" si="7"/>
        <v/>
      </c>
      <c r="J25" s="49" t="str">
        <f>IF(IFERROR(INDEX(Consulta!$A:$DS,MATCH('MM01'!$B25,Consulta!$C:$C,0),'MM01'!J$2),"")=0,"",IFERROR(INDEX(Consulta!$A:$DS,MATCH('MM01'!$B25,Consulta!$C:$C,0),'MM01'!J$2),""))</f>
        <v/>
      </c>
      <c r="K25" s="49" t="str">
        <f t="shared" si="8"/>
        <v/>
      </c>
      <c r="M25" s="45" t="s">
        <v>101</v>
      </c>
      <c r="N25" s="45" t="s">
        <v>102</v>
      </c>
      <c r="O25" s="45" t="s">
        <v>103</v>
      </c>
      <c r="P25" s="45" t="s">
        <v>104</v>
      </c>
      <c r="Q25" s="45" t="s">
        <v>105</v>
      </c>
      <c r="R25" s="45" t="s">
        <v>106</v>
      </c>
      <c r="S25" s="45" t="s">
        <v>107</v>
      </c>
      <c r="T25" s="45"/>
      <c r="U25" s="45"/>
      <c r="V25" s="45"/>
      <c r="W25" s="45"/>
      <c r="X25" s="45" t="s">
        <v>112</v>
      </c>
      <c r="Y25" s="45" t="s">
        <v>113</v>
      </c>
      <c r="Z25" s="45" t="s">
        <v>114</v>
      </c>
      <c r="AA25" s="45" t="s">
        <v>115</v>
      </c>
      <c r="AB25" s="45" t="s">
        <v>117</v>
      </c>
      <c r="AC25" s="45" t="s">
        <v>118</v>
      </c>
      <c r="AD25" s="45" t="s">
        <v>119</v>
      </c>
      <c r="AE25" s="45" t="s">
        <v>120</v>
      </c>
      <c r="AF25" s="45" t="s">
        <v>121</v>
      </c>
      <c r="AG25" s="45" t="s">
        <v>122</v>
      </c>
      <c r="AH25" s="45" t="s">
        <v>123</v>
      </c>
      <c r="AI25" s="45" t="s">
        <v>124</v>
      </c>
      <c r="AJ25" s="45" t="s">
        <v>125</v>
      </c>
      <c r="AK25" s="45" t="s">
        <v>126</v>
      </c>
      <c r="AL25" s="45"/>
      <c r="AM25" s="45"/>
      <c r="AO25" s="44" t="s">
        <v>100</v>
      </c>
      <c r="AP25" s="43" t="str">
        <f>IF(IFERROR(INDEX(Consulta!$A:$DS,MATCH('MM01'!$B25,Consulta!$C:$C,0),'MM01'!AP$2),"")=0,"",IFERROR(INDEX(Consulta!$A:$DS,MATCH('MM01'!$B25,Consulta!$C:$C,0),'MM01'!AP$2),""))</f>
        <v/>
      </c>
      <c r="AQ25" s="45"/>
      <c r="AR25" s="43" t="str">
        <f>IF(IFERROR(INDEX(Consulta!$A:$DS,MATCH('MM01'!$B25,Consulta!$C:$C,0),'MM01'!AR$2),"")=0,"",IFERROR(INDEX(Consulta!$A:$DS,MATCH('MM01'!$B25,Consulta!$C:$C,0),'MM01'!AR$2),""))</f>
        <v/>
      </c>
      <c r="AS25" s="43" t="str">
        <f>IF(IFERROR(INDEX(Consulta!$A:$DS,MATCH('MM01'!$B25,Consulta!$C:$C,0),'MM01'!AS$2),"")=0,"",IF(AR25="68",5102,IFERROR(INDEX(Consulta!$A:$DS,MATCH('MM01'!$B25,Consulta!$C:$C,0),'MM01'!AS$2),"")))</f>
        <v/>
      </c>
      <c r="AT25" s="45"/>
      <c r="AU25" s="46" t="str">
        <f t="shared" ca="1" si="9"/>
        <v/>
      </c>
      <c r="AV25" s="47" t="s">
        <v>783</v>
      </c>
      <c r="AW25" s="43" t="str">
        <f>IF(IFERROR(INDEX(Consulta!$A:$DS,MATCH('MM01'!$B25,Consulta!$C:$C,0),'MM01'!AW$2),"")=0,"",IFERROR(ROUND(INDEX(Consulta!$A:$DS,MATCH('MM01'!$B25,Consulta!$C:$C,0),'MM01'!AW$2),3),""))</f>
        <v/>
      </c>
      <c r="AX25" s="43" t="str">
        <f t="shared" si="10"/>
        <v/>
      </c>
      <c r="AY25" s="48" t="s">
        <v>299</v>
      </c>
      <c r="AZ25" s="48"/>
      <c r="BA25" s="43" t="str">
        <f>IF(IFERROR(INDEX(Consulta!$A:$DS,MATCH('MM01'!$B25,Consulta!$C:$C,0),'MM01'!BA$2),"")=0,"",IFERROR(INDEX(Consulta!$A:$DS,MATCH('MM01'!$B25,Consulta!$C:$C,0),'MM01'!BA$2),""))</f>
        <v/>
      </c>
      <c r="BB25" s="43" t="str">
        <f t="shared" si="11"/>
        <v/>
      </c>
      <c r="BC25" s="43" t="str">
        <f t="shared" si="12"/>
        <v/>
      </c>
      <c r="BD25" s="43" t="str">
        <f t="shared" si="13"/>
        <v/>
      </c>
      <c r="BE25" s="43" t="str">
        <f t="shared" si="14"/>
        <v>M</v>
      </c>
      <c r="BF25" s="43" t="str">
        <f t="shared" si="15"/>
        <v/>
      </c>
      <c r="BG25" s="43" t="str">
        <f t="shared" si="16"/>
        <v/>
      </c>
      <c r="BH25" s="43" t="str">
        <f t="shared" si="17"/>
        <v/>
      </c>
      <c r="BI25" s="43" t="str">
        <f t="shared" si="18"/>
        <v>M</v>
      </c>
      <c r="BK25" s="45" t="s">
        <v>789</v>
      </c>
      <c r="BL25" s="43" t="str">
        <f>IF(IFERROR(INDEX(Consulta!$A:$DS,MATCH('MM01'!$B25,Consulta!$C:$C,0),'MM01'!BL$2),"")=0,"",IFERROR(INDEX(Consulta!$A:$DS,MATCH('MM01'!$B25,Consulta!$C:$C,0),'MM01'!BL$2),""))</f>
        <v/>
      </c>
      <c r="BM25" s="45"/>
      <c r="BN25" s="46" t="str">
        <f t="shared" ca="1" si="19"/>
        <v/>
      </c>
      <c r="BO25" s="49" t="str">
        <f t="shared" si="20"/>
        <v/>
      </c>
      <c r="BP25" s="50">
        <v>1</v>
      </c>
      <c r="BQ25" s="50" t="s">
        <v>194</v>
      </c>
      <c r="BR25" s="50" t="s">
        <v>194</v>
      </c>
      <c r="BS25" s="50" t="s">
        <v>783</v>
      </c>
      <c r="BT25" s="44">
        <v>1</v>
      </c>
      <c r="BU25" s="44" t="s">
        <v>372</v>
      </c>
      <c r="BV25" s="50" t="s">
        <v>197</v>
      </c>
      <c r="BW25" s="50" t="s">
        <v>197</v>
      </c>
      <c r="BX25" s="43" t="str">
        <f>IF(IFERROR(INDEX(Consulta!$A:$DS,MATCH('MM01'!$B25,Consulta!$C:$C,0),'MM01'!BX$2),"")=0,"",IFERROR(INDEX(Consulta!$A:$DS,MATCH('MM01'!$B25,Consulta!$C:$C,0),'MM01'!BX$2),""))</f>
        <v/>
      </c>
      <c r="BY25" s="44" t="s">
        <v>392</v>
      </c>
      <c r="BZ25" s="50">
        <v>0</v>
      </c>
      <c r="CA25" s="45" t="s">
        <v>403</v>
      </c>
      <c r="CB25" s="45" t="s">
        <v>84</v>
      </c>
      <c r="CC25" s="43" t="str">
        <f t="shared" si="21"/>
        <v/>
      </c>
      <c r="CD25" s="45" t="s">
        <v>430</v>
      </c>
      <c r="CE25" s="45">
        <v>1</v>
      </c>
      <c r="CF25" s="45" t="s">
        <v>496</v>
      </c>
      <c r="CG25" s="45"/>
      <c r="CH25" s="44"/>
      <c r="CI25" s="49" t="str">
        <f t="shared" si="22"/>
        <v/>
      </c>
      <c r="CJ25" s="49" t="str">
        <f t="shared" si="23"/>
        <v/>
      </c>
      <c r="CK25" s="45"/>
      <c r="CL25" s="44">
        <v>5</v>
      </c>
      <c r="CM25" s="44">
        <v>1</v>
      </c>
      <c r="CN25" s="44">
        <v>1</v>
      </c>
      <c r="CO25" s="44">
        <v>1</v>
      </c>
      <c r="CP25" s="50" t="s">
        <v>515</v>
      </c>
      <c r="CQ25" s="44" t="s">
        <v>372</v>
      </c>
      <c r="CR25" s="44">
        <v>2</v>
      </c>
      <c r="CS25" s="44">
        <v>42</v>
      </c>
      <c r="CT25" s="44">
        <v>10</v>
      </c>
      <c r="CU25" s="43" t="str">
        <f t="shared" si="24"/>
        <v>K00_P_PURL_</v>
      </c>
      <c r="CV25" s="45">
        <v>5000</v>
      </c>
      <c r="CW25" s="43" t="str">
        <f t="shared" si="0"/>
        <v/>
      </c>
      <c r="CX25" s="43" t="str">
        <f t="shared" si="1"/>
        <v/>
      </c>
      <c r="CY25" s="43" t="str">
        <f>IF(IFERROR(INDEX(Consulta!$A:$DS,MATCH('MM01'!$B25,Consulta!$C:$C,0),'MM01'!CY$2),"")=0,"",IFERROR(INDEX(Consulta!$A:$DS,MATCH('MM01'!$B25,Consulta!$C:$C,0),'MM01'!CY$2),""))</f>
        <v/>
      </c>
      <c r="CZ25" s="43" t="str">
        <f t="shared" si="2"/>
        <v/>
      </c>
      <c r="DA25" s="43" t="str">
        <f>IF(IFERROR(INDEX(Consulta!$A:$DS,MATCH('MM01'!$B25,Consulta!$C:$C,0),'MM01'!DA$2),"")=0,"",IFERROR(INDEX(Consulta!$A:$DS,MATCH('MM01'!$B25,Consulta!$C:$C,0),'MM01'!DA$2),""))</f>
        <v/>
      </c>
      <c r="DB25" s="43" t="str">
        <f>IF(IFERROR(INDEX(Consulta!$A:$DS,MATCH('MM01'!$B25,Consulta!$C:$C,0),'MM01'!DB$2),"")=0,"",IFERROR(INDEX(Consulta!$A:$DS,MATCH('MM01'!$B25,Consulta!$C:$C,0),'MM01'!DB$2),""))</f>
        <v/>
      </c>
      <c r="DC25" s="43" t="str">
        <f>IF(IFERROR(INDEX(Consulta!$A:$DS,MATCH('MM01'!$B25,Consulta!$C:$C,0),'MM01'!DC$2),"")=0,"",IFERROR(INDEX(Consulta!$A:$DS,MATCH('MM01'!$B25,Consulta!$C:$C,0),'MM01'!DC$2),""))</f>
        <v/>
      </c>
      <c r="DD25" s="43" t="str">
        <f>IF(IFERROR(INDEX(Consulta!$A:$DS,MATCH('MM01'!$B25,Consulta!$C:$C,0),'MM01'!DD$2),"")=0,"",IFERROR(INDEX(Consulta!$A:$DS,MATCH('MM01'!$B25,Consulta!$C:$C,0),'MM01'!DD$2),""))</f>
        <v/>
      </c>
      <c r="DE25" s="43" t="str">
        <f>IF(IFERROR(INDEX(Consulta!$A:$DS,MATCH('MM01'!$B25,Consulta!$C:$C,0),'MM01'!DE$2),"")=0,"",IFERROR(INDEX(Consulta!$A:$DS,MATCH('MM01'!$B25,Consulta!$C:$C,0),'MM01'!DE$2),""))</f>
        <v/>
      </c>
      <c r="DF25" s="100">
        <v>3458</v>
      </c>
      <c r="DG25" s="45">
        <v>0</v>
      </c>
      <c r="DH25" s="45">
        <v>0</v>
      </c>
      <c r="DI25" s="43" t="str">
        <f t="shared" si="3"/>
        <v/>
      </c>
      <c r="DJ25" s="43" t="str">
        <f t="shared" si="25"/>
        <v/>
      </c>
      <c r="DK25" s="57"/>
      <c r="DL25" s="43" t="str">
        <f t="shared" ca="1" si="26"/>
        <v/>
      </c>
      <c r="DM25" s="43" t="str">
        <f t="shared" si="27"/>
        <v/>
      </c>
      <c r="DN25" s="43" t="str">
        <f t="shared" si="28"/>
        <v/>
      </c>
      <c r="DO25" s="57"/>
      <c r="DP25" s="43" t="str">
        <f t="shared" ca="1" si="29"/>
        <v/>
      </c>
      <c r="DQ25" s="43" t="str">
        <f t="shared" si="30"/>
        <v/>
      </c>
      <c r="DR25" s="43" t="str">
        <f t="shared" si="31"/>
        <v/>
      </c>
      <c r="DS25" s="57"/>
      <c r="DT25" s="43" t="str">
        <f t="shared" ca="1" si="32"/>
        <v/>
      </c>
      <c r="DU25" s="43" t="str">
        <f t="shared" si="33"/>
        <v/>
      </c>
      <c r="DV25" s="43" t="str">
        <f t="shared" si="34"/>
        <v/>
      </c>
      <c r="DW25" s="57"/>
      <c r="DX25" s="43" t="str">
        <f t="shared" ca="1" si="35"/>
        <v/>
      </c>
      <c r="DY25" s="43" t="str">
        <f t="shared" si="36"/>
        <v/>
      </c>
      <c r="EA25" s="44">
        <v>0</v>
      </c>
      <c r="EB25" s="44" t="s">
        <v>761</v>
      </c>
      <c r="EC25" s="44">
        <v>30</v>
      </c>
      <c r="ED25" s="43">
        <f t="shared" si="4"/>
        <v>0.01</v>
      </c>
      <c r="EE25" s="43" t="str">
        <f t="shared" si="5"/>
        <v>M</v>
      </c>
      <c r="EF25" s="43" t="str">
        <f>IF(IFERROR(INDEX(Consulta!$A:$DS,MATCH('MM01'!$B25,Consulta!$C:$C,0),'MM01'!EF$2),"")=0,"7925",IF(IFERROR(INDEX(Consulta!$A:$DS,MATCH('MM01'!$B25,Consulta!$C:$C,0),'MM01'!EF$2),"")="68","7910","7925"))</f>
        <v>7925</v>
      </c>
      <c r="EG25" s="44">
        <v>100</v>
      </c>
      <c r="EH25" s="62">
        <v>1</v>
      </c>
      <c r="EI25" s="43">
        <f t="shared" si="37"/>
        <v>100</v>
      </c>
      <c r="EJ25" s="44">
        <v>1</v>
      </c>
      <c r="EK25" s="44">
        <v>0</v>
      </c>
      <c r="EL25" s="44" t="s">
        <v>859</v>
      </c>
      <c r="EM25" s="45">
        <v>0</v>
      </c>
      <c r="EN25" s="43">
        <f t="shared" si="38"/>
        <v>5000</v>
      </c>
      <c r="EO25" s="69"/>
    </row>
    <row r="26" spans="1:145" x14ac:dyDescent="0.2">
      <c r="A26" s="7" t="str">
        <f t="shared" si="6"/>
        <v>Execução 22</v>
      </c>
      <c r="B26" s="42"/>
      <c r="C26" s="43" t="str">
        <f>IF(IFERROR(INDEX(Consulta!$A:$DS,MATCH('MM01'!$B26,Consulta!$C:$C,0),'MM01'!C$2),"")=0,"",IFERROR(INDEX(Consulta!$A:$DS,MATCH('MM01'!$B26,Consulta!$C:$C,0),'MM01'!C$2),""))</f>
        <v/>
      </c>
      <c r="D26" s="43" t="str">
        <f>IF(IFERROR(INDEX(Consulta!$A:$DS,MATCH('MM01'!$B26,Consulta!$C:$C,0),'MM01'!D$2),"")=0,"",IFERROR(INDEX(Consulta!$A:$DS,MATCH('MM01'!$B26,Consulta!$C:$C,0),'MM01'!D$2),""))</f>
        <v/>
      </c>
      <c r="E26" s="43" t="str">
        <f>IF(IFERROR(INDEX(Consulta!$A:$DS,MATCH('MM01'!$B26,Consulta!$C:$C,0),'MM01'!E$2),"")=0,"",IFERROR(INDEX(Consulta!$A:$DS,MATCH('MM01'!$B26,Consulta!$C:$C,0),'MM01'!E$2),""))</f>
        <v/>
      </c>
      <c r="F26" s="44" t="s">
        <v>100</v>
      </c>
      <c r="G26" s="49" t="str">
        <f>IF(IFERROR(INDEX(Consulta!$A:$DS,MATCH('MM01'!$B26,Consulta!$C:$C,0),'MM01'!G$2),"")=0,"",IFERROR(INDEX(Consulta!$A:$DS,MATCH('MM01'!$B26,Consulta!$C:$C,0),'MM01'!G$2),""))</f>
        <v/>
      </c>
      <c r="H26" s="49" t="str">
        <f>IF(IFERROR(INDEX(Consulta!$A:$DS,MATCH('MM01'!$B26,Consulta!$C:$C,0),'MM01'!H$2),"")=0,"",IFERROR(INDEX(Consulta!$A:$DS,MATCH('MM01'!$B26,Consulta!$C:$C,0),'MM01'!H$2),""))</f>
        <v/>
      </c>
      <c r="I26" s="49" t="str">
        <f t="shared" si="7"/>
        <v/>
      </c>
      <c r="J26" s="49" t="str">
        <f>IF(IFERROR(INDEX(Consulta!$A:$DS,MATCH('MM01'!$B26,Consulta!$C:$C,0),'MM01'!J$2),"")=0,"",IFERROR(INDEX(Consulta!$A:$DS,MATCH('MM01'!$B26,Consulta!$C:$C,0),'MM01'!J$2),""))</f>
        <v/>
      </c>
      <c r="K26" s="49" t="str">
        <f t="shared" si="8"/>
        <v/>
      </c>
      <c r="M26" s="45" t="s">
        <v>101</v>
      </c>
      <c r="N26" s="45" t="s">
        <v>102</v>
      </c>
      <c r="O26" s="45" t="s">
        <v>103</v>
      </c>
      <c r="P26" s="45" t="s">
        <v>104</v>
      </c>
      <c r="Q26" s="45" t="s">
        <v>105</v>
      </c>
      <c r="R26" s="45" t="s">
        <v>106</v>
      </c>
      <c r="S26" s="45" t="s">
        <v>107</v>
      </c>
      <c r="T26" s="45"/>
      <c r="U26" s="45"/>
      <c r="V26" s="45"/>
      <c r="W26" s="45"/>
      <c r="X26" s="45" t="s">
        <v>112</v>
      </c>
      <c r="Y26" s="45" t="s">
        <v>113</v>
      </c>
      <c r="Z26" s="45" t="s">
        <v>114</v>
      </c>
      <c r="AA26" s="45" t="s">
        <v>115</v>
      </c>
      <c r="AB26" s="45" t="s">
        <v>117</v>
      </c>
      <c r="AC26" s="45" t="s">
        <v>118</v>
      </c>
      <c r="AD26" s="45" t="s">
        <v>119</v>
      </c>
      <c r="AE26" s="45" t="s">
        <v>120</v>
      </c>
      <c r="AF26" s="45" t="s">
        <v>121</v>
      </c>
      <c r="AG26" s="45" t="s">
        <v>122</v>
      </c>
      <c r="AH26" s="45" t="s">
        <v>123</v>
      </c>
      <c r="AI26" s="45" t="s">
        <v>124</v>
      </c>
      <c r="AJ26" s="45" t="s">
        <v>125</v>
      </c>
      <c r="AK26" s="45" t="s">
        <v>126</v>
      </c>
      <c r="AL26" s="45"/>
      <c r="AM26" s="45"/>
      <c r="AO26" s="44" t="s">
        <v>100</v>
      </c>
      <c r="AP26" s="43" t="str">
        <f>IF(IFERROR(INDEX(Consulta!$A:$DS,MATCH('MM01'!$B26,Consulta!$C:$C,0),'MM01'!AP$2),"")=0,"",IFERROR(INDEX(Consulta!$A:$DS,MATCH('MM01'!$B26,Consulta!$C:$C,0),'MM01'!AP$2),""))</f>
        <v/>
      </c>
      <c r="AQ26" s="45"/>
      <c r="AR26" s="43" t="str">
        <f>IF(IFERROR(INDEX(Consulta!$A:$DS,MATCH('MM01'!$B26,Consulta!$C:$C,0),'MM01'!AR$2),"")=0,"",IFERROR(INDEX(Consulta!$A:$DS,MATCH('MM01'!$B26,Consulta!$C:$C,0),'MM01'!AR$2),""))</f>
        <v/>
      </c>
      <c r="AS26" s="43" t="str">
        <f>IF(IFERROR(INDEX(Consulta!$A:$DS,MATCH('MM01'!$B26,Consulta!$C:$C,0),'MM01'!AS$2),"")=0,"",IF(AR26="68",5102,IFERROR(INDEX(Consulta!$A:$DS,MATCH('MM01'!$B26,Consulta!$C:$C,0),'MM01'!AS$2),"")))</f>
        <v/>
      </c>
      <c r="AT26" s="45"/>
      <c r="AU26" s="46" t="str">
        <f t="shared" ca="1" si="9"/>
        <v/>
      </c>
      <c r="AV26" s="47" t="s">
        <v>783</v>
      </c>
      <c r="AW26" s="43" t="str">
        <f>IF(IFERROR(INDEX(Consulta!$A:$DS,MATCH('MM01'!$B26,Consulta!$C:$C,0),'MM01'!AW$2),"")=0,"",IFERROR(ROUND(INDEX(Consulta!$A:$DS,MATCH('MM01'!$B26,Consulta!$C:$C,0),'MM01'!AW$2),3),""))</f>
        <v/>
      </c>
      <c r="AX26" s="43" t="str">
        <f t="shared" si="10"/>
        <v/>
      </c>
      <c r="AY26" s="48" t="s">
        <v>299</v>
      </c>
      <c r="AZ26" s="48"/>
      <c r="BA26" s="43" t="str">
        <f>IF(IFERROR(INDEX(Consulta!$A:$DS,MATCH('MM01'!$B26,Consulta!$C:$C,0),'MM01'!BA$2),"")=0,"",IFERROR(INDEX(Consulta!$A:$DS,MATCH('MM01'!$B26,Consulta!$C:$C,0),'MM01'!BA$2),""))</f>
        <v/>
      </c>
      <c r="BB26" s="43" t="str">
        <f t="shared" si="11"/>
        <v/>
      </c>
      <c r="BC26" s="43" t="str">
        <f t="shared" si="12"/>
        <v/>
      </c>
      <c r="BD26" s="43" t="str">
        <f t="shared" si="13"/>
        <v/>
      </c>
      <c r="BE26" s="43" t="str">
        <f t="shared" si="14"/>
        <v>M</v>
      </c>
      <c r="BF26" s="43" t="str">
        <f t="shared" si="15"/>
        <v/>
      </c>
      <c r="BG26" s="43" t="str">
        <f t="shared" si="16"/>
        <v/>
      </c>
      <c r="BH26" s="43" t="str">
        <f t="shared" si="17"/>
        <v/>
      </c>
      <c r="BI26" s="43" t="str">
        <f t="shared" si="18"/>
        <v>M</v>
      </c>
      <c r="BK26" s="45" t="s">
        <v>789</v>
      </c>
      <c r="BL26" s="43" t="str">
        <f>IF(IFERROR(INDEX(Consulta!$A:$DS,MATCH('MM01'!$B26,Consulta!$C:$C,0),'MM01'!BL$2),"")=0,"",IFERROR(INDEX(Consulta!$A:$DS,MATCH('MM01'!$B26,Consulta!$C:$C,0),'MM01'!BL$2),""))</f>
        <v/>
      </c>
      <c r="BM26" s="45"/>
      <c r="BN26" s="46" t="str">
        <f t="shared" ca="1" si="19"/>
        <v/>
      </c>
      <c r="BO26" s="49" t="str">
        <f t="shared" si="20"/>
        <v/>
      </c>
      <c r="BP26" s="50">
        <v>1</v>
      </c>
      <c r="BQ26" s="50" t="s">
        <v>194</v>
      </c>
      <c r="BR26" s="50" t="s">
        <v>194</v>
      </c>
      <c r="BS26" s="50" t="s">
        <v>783</v>
      </c>
      <c r="BT26" s="44">
        <v>1</v>
      </c>
      <c r="BU26" s="44" t="s">
        <v>372</v>
      </c>
      <c r="BV26" s="50" t="s">
        <v>197</v>
      </c>
      <c r="BW26" s="50" t="s">
        <v>197</v>
      </c>
      <c r="BX26" s="43" t="str">
        <f>IF(IFERROR(INDEX(Consulta!$A:$DS,MATCH('MM01'!$B26,Consulta!$C:$C,0),'MM01'!BX$2),"")=0,"",IFERROR(INDEX(Consulta!$A:$DS,MATCH('MM01'!$B26,Consulta!$C:$C,0),'MM01'!BX$2),""))</f>
        <v/>
      </c>
      <c r="BY26" s="44" t="s">
        <v>392</v>
      </c>
      <c r="BZ26" s="50">
        <v>0</v>
      </c>
      <c r="CA26" s="45" t="s">
        <v>403</v>
      </c>
      <c r="CB26" s="45" t="s">
        <v>84</v>
      </c>
      <c r="CC26" s="43" t="str">
        <f t="shared" si="21"/>
        <v/>
      </c>
      <c r="CD26" s="45" t="s">
        <v>430</v>
      </c>
      <c r="CE26" s="45">
        <v>1</v>
      </c>
      <c r="CF26" s="45" t="s">
        <v>496</v>
      </c>
      <c r="CG26" s="45"/>
      <c r="CH26" s="44"/>
      <c r="CI26" s="49" t="str">
        <f t="shared" si="22"/>
        <v/>
      </c>
      <c r="CJ26" s="49" t="str">
        <f t="shared" si="23"/>
        <v/>
      </c>
      <c r="CK26" s="45"/>
      <c r="CL26" s="44">
        <v>5</v>
      </c>
      <c r="CM26" s="44">
        <v>1</v>
      </c>
      <c r="CN26" s="44">
        <v>1</v>
      </c>
      <c r="CO26" s="44">
        <v>1</v>
      </c>
      <c r="CP26" s="50" t="s">
        <v>515</v>
      </c>
      <c r="CQ26" s="44" t="s">
        <v>372</v>
      </c>
      <c r="CR26" s="44">
        <v>2</v>
      </c>
      <c r="CS26" s="44">
        <v>42</v>
      </c>
      <c r="CT26" s="44">
        <v>10</v>
      </c>
      <c r="CU26" s="43" t="str">
        <f t="shared" si="24"/>
        <v>K00_P_PURL_</v>
      </c>
      <c r="CV26" s="45">
        <v>5000</v>
      </c>
      <c r="CW26" s="43" t="str">
        <f t="shared" si="0"/>
        <v/>
      </c>
      <c r="CX26" s="43" t="str">
        <f t="shared" si="1"/>
        <v/>
      </c>
      <c r="CY26" s="43" t="str">
        <f>IF(IFERROR(INDEX(Consulta!$A:$DS,MATCH('MM01'!$B26,Consulta!$C:$C,0),'MM01'!CY$2),"")=0,"",IFERROR(INDEX(Consulta!$A:$DS,MATCH('MM01'!$B26,Consulta!$C:$C,0),'MM01'!CY$2),""))</f>
        <v/>
      </c>
      <c r="CZ26" s="43" t="str">
        <f t="shared" si="2"/>
        <v/>
      </c>
      <c r="DA26" s="43" t="str">
        <f>IF(IFERROR(INDEX(Consulta!$A:$DS,MATCH('MM01'!$B26,Consulta!$C:$C,0),'MM01'!DA$2),"")=0,"",IFERROR(INDEX(Consulta!$A:$DS,MATCH('MM01'!$B26,Consulta!$C:$C,0),'MM01'!DA$2),""))</f>
        <v/>
      </c>
      <c r="DB26" s="43" t="str">
        <f>IF(IFERROR(INDEX(Consulta!$A:$DS,MATCH('MM01'!$B26,Consulta!$C:$C,0),'MM01'!DB$2),"")=0,"",IFERROR(INDEX(Consulta!$A:$DS,MATCH('MM01'!$B26,Consulta!$C:$C,0),'MM01'!DB$2),""))</f>
        <v/>
      </c>
      <c r="DC26" s="43" t="str">
        <f>IF(IFERROR(INDEX(Consulta!$A:$DS,MATCH('MM01'!$B26,Consulta!$C:$C,0),'MM01'!DC$2),"")=0,"",IFERROR(INDEX(Consulta!$A:$DS,MATCH('MM01'!$B26,Consulta!$C:$C,0),'MM01'!DC$2),""))</f>
        <v/>
      </c>
      <c r="DD26" s="43" t="str">
        <f>IF(IFERROR(INDEX(Consulta!$A:$DS,MATCH('MM01'!$B26,Consulta!$C:$C,0),'MM01'!DD$2),"")=0,"",IFERROR(INDEX(Consulta!$A:$DS,MATCH('MM01'!$B26,Consulta!$C:$C,0),'MM01'!DD$2),""))</f>
        <v/>
      </c>
      <c r="DE26" s="43" t="str">
        <f>IF(IFERROR(INDEX(Consulta!$A:$DS,MATCH('MM01'!$B26,Consulta!$C:$C,0),'MM01'!DE$2),"")=0,"",IFERROR(INDEX(Consulta!$A:$DS,MATCH('MM01'!$B26,Consulta!$C:$C,0),'MM01'!DE$2),""))</f>
        <v/>
      </c>
      <c r="DF26" s="100">
        <v>3458</v>
      </c>
      <c r="DG26" s="45">
        <v>0</v>
      </c>
      <c r="DH26" s="45">
        <v>0</v>
      </c>
      <c r="DI26" s="43" t="str">
        <f t="shared" si="3"/>
        <v/>
      </c>
      <c r="DJ26" s="43" t="str">
        <f t="shared" si="25"/>
        <v/>
      </c>
      <c r="DK26" s="57"/>
      <c r="DL26" s="43" t="str">
        <f t="shared" ca="1" si="26"/>
        <v/>
      </c>
      <c r="DM26" s="43" t="str">
        <f t="shared" si="27"/>
        <v/>
      </c>
      <c r="DN26" s="43" t="str">
        <f t="shared" si="28"/>
        <v/>
      </c>
      <c r="DO26" s="57"/>
      <c r="DP26" s="43" t="str">
        <f t="shared" ca="1" si="29"/>
        <v/>
      </c>
      <c r="DQ26" s="43" t="str">
        <f t="shared" si="30"/>
        <v/>
      </c>
      <c r="DR26" s="43" t="str">
        <f t="shared" si="31"/>
        <v/>
      </c>
      <c r="DS26" s="57"/>
      <c r="DT26" s="43" t="str">
        <f t="shared" ca="1" si="32"/>
        <v/>
      </c>
      <c r="DU26" s="43" t="str">
        <f t="shared" si="33"/>
        <v/>
      </c>
      <c r="DV26" s="43" t="str">
        <f t="shared" si="34"/>
        <v/>
      </c>
      <c r="DW26" s="57"/>
      <c r="DX26" s="43" t="str">
        <f t="shared" ca="1" si="35"/>
        <v/>
      </c>
      <c r="DY26" s="43" t="str">
        <f t="shared" si="36"/>
        <v/>
      </c>
      <c r="EA26" s="44">
        <v>0</v>
      </c>
      <c r="EB26" s="44" t="s">
        <v>761</v>
      </c>
      <c r="EC26" s="44">
        <v>30</v>
      </c>
      <c r="ED26" s="43">
        <f t="shared" si="4"/>
        <v>0.01</v>
      </c>
      <c r="EE26" s="43" t="str">
        <f t="shared" si="5"/>
        <v>M</v>
      </c>
      <c r="EF26" s="43" t="str">
        <f>IF(IFERROR(INDEX(Consulta!$A:$DS,MATCH('MM01'!$B26,Consulta!$C:$C,0),'MM01'!EF$2),"")=0,"7925",IF(IFERROR(INDEX(Consulta!$A:$DS,MATCH('MM01'!$B26,Consulta!$C:$C,0),'MM01'!EF$2),"")="68","7910","7925"))</f>
        <v>7925</v>
      </c>
      <c r="EG26" s="44">
        <v>100</v>
      </c>
      <c r="EH26" s="62">
        <v>1</v>
      </c>
      <c r="EI26" s="43">
        <f t="shared" si="37"/>
        <v>100</v>
      </c>
      <c r="EJ26" s="44">
        <v>1</v>
      </c>
      <c r="EK26" s="44">
        <v>0</v>
      </c>
      <c r="EL26" s="44" t="s">
        <v>859</v>
      </c>
      <c r="EM26" s="45">
        <v>0</v>
      </c>
      <c r="EN26" s="43">
        <f t="shared" si="38"/>
        <v>5000</v>
      </c>
      <c r="EO26" s="69"/>
    </row>
    <row r="27" spans="1:145" x14ac:dyDescent="0.2">
      <c r="A27" s="7" t="str">
        <f t="shared" si="6"/>
        <v>Execução 23</v>
      </c>
      <c r="B27" s="42"/>
      <c r="C27" s="43" t="str">
        <f>IF(IFERROR(INDEX(Consulta!$A:$DS,MATCH('MM01'!$B27,Consulta!$C:$C,0),'MM01'!C$2),"")=0,"",IFERROR(INDEX(Consulta!$A:$DS,MATCH('MM01'!$B27,Consulta!$C:$C,0),'MM01'!C$2),""))</f>
        <v/>
      </c>
      <c r="D27" s="43" t="str">
        <f>IF(IFERROR(INDEX(Consulta!$A:$DS,MATCH('MM01'!$B27,Consulta!$C:$C,0),'MM01'!D$2),"")=0,"",IFERROR(INDEX(Consulta!$A:$DS,MATCH('MM01'!$B27,Consulta!$C:$C,0),'MM01'!D$2),""))</f>
        <v/>
      </c>
      <c r="E27" s="43" t="str">
        <f>IF(IFERROR(INDEX(Consulta!$A:$DS,MATCH('MM01'!$B27,Consulta!$C:$C,0),'MM01'!E$2),"")=0,"",IFERROR(INDEX(Consulta!$A:$DS,MATCH('MM01'!$B27,Consulta!$C:$C,0),'MM01'!E$2),""))</f>
        <v/>
      </c>
      <c r="F27" s="44" t="s">
        <v>100</v>
      </c>
      <c r="G27" s="49" t="str">
        <f>IF(IFERROR(INDEX(Consulta!$A:$DS,MATCH('MM01'!$B27,Consulta!$C:$C,0),'MM01'!G$2),"")=0,"",IFERROR(INDEX(Consulta!$A:$DS,MATCH('MM01'!$B27,Consulta!$C:$C,0),'MM01'!G$2),""))</f>
        <v/>
      </c>
      <c r="H27" s="49" t="str">
        <f>IF(IFERROR(INDEX(Consulta!$A:$DS,MATCH('MM01'!$B27,Consulta!$C:$C,0),'MM01'!H$2),"")=0,"",IFERROR(INDEX(Consulta!$A:$DS,MATCH('MM01'!$B27,Consulta!$C:$C,0),'MM01'!H$2),""))</f>
        <v/>
      </c>
      <c r="I27" s="49" t="str">
        <f t="shared" si="7"/>
        <v/>
      </c>
      <c r="J27" s="49" t="str">
        <f>IF(IFERROR(INDEX(Consulta!$A:$DS,MATCH('MM01'!$B27,Consulta!$C:$C,0),'MM01'!J$2),"")=0,"",IFERROR(INDEX(Consulta!$A:$DS,MATCH('MM01'!$B27,Consulta!$C:$C,0),'MM01'!J$2),""))</f>
        <v/>
      </c>
      <c r="K27" s="49" t="str">
        <f t="shared" si="8"/>
        <v/>
      </c>
      <c r="M27" s="45" t="s">
        <v>101</v>
      </c>
      <c r="N27" s="45" t="s">
        <v>102</v>
      </c>
      <c r="O27" s="45" t="s">
        <v>103</v>
      </c>
      <c r="P27" s="45" t="s">
        <v>104</v>
      </c>
      <c r="Q27" s="45" t="s">
        <v>105</v>
      </c>
      <c r="R27" s="45" t="s">
        <v>106</v>
      </c>
      <c r="S27" s="45" t="s">
        <v>107</v>
      </c>
      <c r="T27" s="45"/>
      <c r="U27" s="45"/>
      <c r="V27" s="45"/>
      <c r="W27" s="45"/>
      <c r="X27" s="45" t="s">
        <v>112</v>
      </c>
      <c r="Y27" s="45" t="s">
        <v>113</v>
      </c>
      <c r="Z27" s="45" t="s">
        <v>114</v>
      </c>
      <c r="AA27" s="45" t="s">
        <v>115</v>
      </c>
      <c r="AB27" s="45" t="s">
        <v>117</v>
      </c>
      <c r="AC27" s="45" t="s">
        <v>118</v>
      </c>
      <c r="AD27" s="45" t="s">
        <v>119</v>
      </c>
      <c r="AE27" s="45" t="s">
        <v>120</v>
      </c>
      <c r="AF27" s="45" t="s">
        <v>121</v>
      </c>
      <c r="AG27" s="45" t="s">
        <v>122</v>
      </c>
      <c r="AH27" s="45" t="s">
        <v>123</v>
      </c>
      <c r="AI27" s="45" t="s">
        <v>124</v>
      </c>
      <c r="AJ27" s="45" t="s">
        <v>125</v>
      </c>
      <c r="AK27" s="45" t="s">
        <v>126</v>
      </c>
      <c r="AL27" s="45"/>
      <c r="AM27" s="45"/>
      <c r="AO27" s="44" t="s">
        <v>100</v>
      </c>
      <c r="AP27" s="43" t="str">
        <f>IF(IFERROR(INDEX(Consulta!$A:$DS,MATCH('MM01'!$B27,Consulta!$C:$C,0),'MM01'!AP$2),"")=0,"",IFERROR(INDEX(Consulta!$A:$DS,MATCH('MM01'!$B27,Consulta!$C:$C,0),'MM01'!AP$2),""))</f>
        <v/>
      </c>
      <c r="AQ27" s="45"/>
      <c r="AR27" s="43" t="str">
        <f>IF(IFERROR(INDEX(Consulta!$A:$DS,MATCH('MM01'!$B27,Consulta!$C:$C,0),'MM01'!AR$2),"")=0,"",IFERROR(INDEX(Consulta!$A:$DS,MATCH('MM01'!$B27,Consulta!$C:$C,0),'MM01'!AR$2),""))</f>
        <v/>
      </c>
      <c r="AS27" s="43" t="str">
        <f>IF(IFERROR(INDEX(Consulta!$A:$DS,MATCH('MM01'!$B27,Consulta!$C:$C,0),'MM01'!AS$2),"")=0,"",IF(AR27="68",5102,IFERROR(INDEX(Consulta!$A:$DS,MATCH('MM01'!$B27,Consulta!$C:$C,0),'MM01'!AS$2),"")))</f>
        <v/>
      </c>
      <c r="AT27" s="45"/>
      <c r="AU27" s="46" t="str">
        <f t="shared" ca="1" si="9"/>
        <v/>
      </c>
      <c r="AV27" s="47" t="s">
        <v>783</v>
      </c>
      <c r="AW27" s="43" t="str">
        <f>IF(IFERROR(INDEX(Consulta!$A:$DS,MATCH('MM01'!$B27,Consulta!$C:$C,0),'MM01'!AW$2),"")=0,"",IFERROR(ROUND(INDEX(Consulta!$A:$DS,MATCH('MM01'!$B27,Consulta!$C:$C,0),'MM01'!AW$2),3),""))</f>
        <v/>
      </c>
      <c r="AX27" s="43" t="str">
        <f t="shared" si="10"/>
        <v/>
      </c>
      <c r="AY27" s="48" t="s">
        <v>299</v>
      </c>
      <c r="AZ27" s="48"/>
      <c r="BA27" s="43" t="str">
        <f>IF(IFERROR(INDEX(Consulta!$A:$DS,MATCH('MM01'!$B27,Consulta!$C:$C,0),'MM01'!BA$2),"")=0,"",IFERROR(INDEX(Consulta!$A:$DS,MATCH('MM01'!$B27,Consulta!$C:$C,0),'MM01'!BA$2),""))</f>
        <v/>
      </c>
      <c r="BB27" s="43" t="str">
        <f t="shared" si="11"/>
        <v/>
      </c>
      <c r="BC27" s="43" t="str">
        <f t="shared" si="12"/>
        <v/>
      </c>
      <c r="BD27" s="43" t="str">
        <f t="shared" si="13"/>
        <v/>
      </c>
      <c r="BE27" s="43" t="str">
        <f t="shared" si="14"/>
        <v>M</v>
      </c>
      <c r="BF27" s="43" t="str">
        <f t="shared" si="15"/>
        <v/>
      </c>
      <c r="BG27" s="43" t="str">
        <f t="shared" si="16"/>
        <v/>
      </c>
      <c r="BH27" s="43" t="str">
        <f t="shared" si="17"/>
        <v/>
      </c>
      <c r="BI27" s="43" t="str">
        <f t="shared" si="18"/>
        <v>M</v>
      </c>
      <c r="BK27" s="45" t="s">
        <v>789</v>
      </c>
      <c r="BL27" s="43" t="str">
        <f>IF(IFERROR(INDEX(Consulta!$A:$DS,MATCH('MM01'!$B27,Consulta!$C:$C,0),'MM01'!BL$2),"")=0,"",IFERROR(INDEX(Consulta!$A:$DS,MATCH('MM01'!$B27,Consulta!$C:$C,0),'MM01'!BL$2),""))</f>
        <v/>
      </c>
      <c r="BM27" s="45"/>
      <c r="BN27" s="46" t="str">
        <f t="shared" ca="1" si="19"/>
        <v/>
      </c>
      <c r="BO27" s="49" t="str">
        <f t="shared" si="20"/>
        <v/>
      </c>
      <c r="BP27" s="50">
        <v>1</v>
      </c>
      <c r="BQ27" s="50" t="s">
        <v>194</v>
      </c>
      <c r="BR27" s="50" t="s">
        <v>194</v>
      </c>
      <c r="BS27" s="50" t="s">
        <v>783</v>
      </c>
      <c r="BT27" s="44">
        <v>1</v>
      </c>
      <c r="BU27" s="44" t="s">
        <v>372</v>
      </c>
      <c r="BV27" s="50" t="s">
        <v>197</v>
      </c>
      <c r="BW27" s="50" t="s">
        <v>197</v>
      </c>
      <c r="BX27" s="43" t="str">
        <f>IF(IFERROR(INDEX(Consulta!$A:$DS,MATCH('MM01'!$B27,Consulta!$C:$C,0),'MM01'!BX$2),"")=0,"",IFERROR(INDEX(Consulta!$A:$DS,MATCH('MM01'!$B27,Consulta!$C:$C,0),'MM01'!BX$2),""))</f>
        <v/>
      </c>
      <c r="BY27" s="44" t="s">
        <v>392</v>
      </c>
      <c r="BZ27" s="50">
        <v>0</v>
      </c>
      <c r="CA27" s="45" t="s">
        <v>403</v>
      </c>
      <c r="CB27" s="45" t="s">
        <v>84</v>
      </c>
      <c r="CC27" s="43" t="str">
        <f t="shared" si="21"/>
        <v/>
      </c>
      <c r="CD27" s="45" t="s">
        <v>430</v>
      </c>
      <c r="CE27" s="45">
        <v>1</v>
      </c>
      <c r="CF27" s="45" t="s">
        <v>496</v>
      </c>
      <c r="CG27" s="45"/>
      <c r="CH27" s="44"/>
      <c r="CI27" s="49" t="str">
        <f t="shared" si="22"/>
        <v/>
      </c>
      <c r="CJ27" s="49" t="str">
        <f t="shared" si="23"/>
        <v/>
      </c>
      <c r="CK27" s="45"/>
      <c r="CL27" s="44">
        <v>5</v>
      </c>
      <c r="CM27" s="44">
        <v>1</v>
      </c>
      <c r="CN27" s="44">
        <v>1</v>
      </c>
      <c r="CO27" s="44">
        <v>1</v>
      </c>
      <c r="CP27" s="50" t="s">
        <v>515</v>
      </c>
      <c r="CQ27" s="44" t="s">
        <v>372</v>
      </c>
      <c r="CR27" s="44">
        <v>2</v>
      </c>
      <c r="CS27" s="44">
        <v>42</v>
      </c>
      <c r="CT27" s="44">
        <v>10</v>
      </c>
      <c r="CU27" s="43" t="str">
        <f t="shared" si="24"/>
        <v>K00_P_PURL_</v>
      </c>
      <c r="CV27" s="45">
        <v>5000</v>
      </c>
      <c r="CW27" s="43" t="str">
        <f t="shared" si="0"/>
        <v/>
      </c>
      <c r="CX27" s="43" t="str">
        <f t="shared" si="1"/>
        <v/>
      </c>
      <c r="CY27" s="43" t="str">
        <f>IF(IFERROR(INDEX(Consulta!$A:$DS,MATCH('MM01'!$B27,Consulta!$C:$C,0),'MM01'!CY$2),"")=0,"",IFERROR(INDEX(Consulta!$A:$DS,MATCH('MM01'!$B27,Consulta!$C:$C,0),'MM01'!CY$2),""))</f>
        <v/>
      </c>
      <c r="CZ27" s="43" t="str">
        <f t="shared" si="2"/>
        <v/>
      </c>
      <c r="DA27" s="43" t="str">
        <f>IF(IFERROR(INDEX(Consulta!$A:$DS,MATCH('MM01'!$B27,Consulta!$C:$C,0),'MM01'!DA$2),"")=0,"",IFERROR(INDEX(Consulta!$A:$DS,MATCH('MM01'!$B27,Consulta!$C:$C,0),'MM01'!DA$2),""))</f>
        <v/>
      </c>
      <c r="DB27" s="43" t="str">
        <f>IF(IFERROR(INDEX(Consulta!$A:$DS,MATCH('MM01'!$B27,Consulta!$C:$C,0),'MM01'!DB$2),"")=0,"",IFERROR(INDEX(Consulta!$A:$DS,MATCH('MM01'!$B27,Consulta!$C:$C,0),'MM01'!DB$2),""))</f>
        <v/>
      </c>
      <c r="DC27" s="43" t="str">
        <f>IF(IFERROR(INDEX(Consulta!$A:$DS,MATCH('MM01'!$B27,Consulta!$C:$C,0),'MM01'!DC$2),"")=0,"",IFERROR(INDEX(Consulta!$A:$DS,MATCH('MM01'!$B27,Consulta!$C:$C,0),'MM01'!DC$2),""))</f>
        <v/>
      </c>
      <c r="DD27" s="43" t="str">
        <f>IF(IFERROR(INDEX(Consulta!$A:$DS,MATCH('MM01'!$B27,Consulta!$C:$C,0),'MM01'!DD$2),"")=0,"",IFERROR(INDEX(Consulta!$A:$DS,MATCH('MM01'!$B27,Consulta!$C:$C,0),'MM01'!DD$2),""))</f>
        <v/>
      </c>
      <c r="DE27" s="43" t="str">
        <f>IF(IFERROR(INDEX(Consulta!$A:$DS,MATCH('MM01'!$B27,Consulta!$C:$C,0),'MM01'!DE$2),"")=0,"",IFERROR(INDEX(Consulta!$A:$DS,MATCH('MM01'!$B27,Consulta!$C:$C,0),'MM01'!DE$2),""))</f>
        <v/>
      </c>
      <c r="DF27" s="100">
        <v>3458</v>
      </c>
      <c r="DG27" s="45">
        <v>0</v>
      </c>
      <c r="DH27" s="45">
        <v>0</v>
      </c>
      <c r="DI27" s="43" t="str">
        <f t="shared" si="3"/>
        <v/>
      </c>
      <c r="DJ27" s="43" t="str">
        <f t="shared" si="25"/>
        <v/>
      </c>
      <c r="DK27" s="57"/>
      <c r="DL27" s="43" t="str">
        <f t="shared" ca="1" si="26"/>
        <v/>
      </c>
      <c r="DM27" s="43" t="str">
        <f t="shared" si="27"/>
        <v/>
      </c>
      <c r="DN27" s="43" t="str">
        <f t="shared" si="28"/>
        <v/>
      </c>
      <c r="DO27" s="57"/>
      <c r="DP27" s="43" t="str">
        <f t="shared" ca="1" si="29"/>
        <v/>
      </c>
      <c r="DQ27" s="43" t="str">
        <f t="shared" si="30"/>
        <v/>
      </c>
      <c r="DR27" s="43" t="str">
        <f t="shared" si="31"/>
        <v/>
      </c>
      <c r="DS27" s="57"/>
      <c r="DT27" s="43" t="str">
        <f t="shared" ca="1" si="32"/>
        <v/>
      </c>
      <c r="DU27" s="43" t="str">
        <f t="shared" si="33"/>
        <v/>
      </c>
      <c r="DV27" s="43" t="str">
        <f t="shared" si="34"/>
        <v/>
      </c>
      <c r="DW27" s="57"/>
      <c r="DX27" s="43" t="str">
        <f t="shared" ca="1" si="35"/>
        <v/>
      </c>
      <c r="DY27" s="43" t="str">
        <f t="shared" si="36"/>
        <v/>
      </c>
      <c r="EA27" s="44">
        <v>0</v>
      </c>
      <c r="EB27" s="44" t="s">
        <v>761</v>
      </c>
      <c r="EC27" s="44">
        <v>30</v>
      </c>
      <c r="ED27" s="43">
        <f t="shared" si="4"/>
        <v>0.01</v>
      </c>
      <c r="EE27" s="43" t="str">
        <f t="shared" si="5"/>
        <v>M</v>
      </c>
      <c r="EF27" s="43" t="str">
        <f>IF(IFERROR(INDEX(Consulta!$A:$DS,MATCH('MM01'!$B27,Consulta!$C:$C,0),'MM01'!EF$2),"")=0,"7925",IF(IFERROR(INDEX(Consulta!$A:$DS,MATCH('MM01'!$B27,Consulta!$C:$C,0),'MM01'!EF$2),"")="68","7910","7925"))</f>
        <v>7925</v>
      </c>
      <c r="EG27" s="44">
        <v>100</v>
      </c>
      <c r="EH27" s="62">
        <v>1</v>
      </c>
      <c r="EI27" s="43">
        <f t="shared" si="37"/>
        <v>100</v>
      </c>
      <c r="EJ27" s="44">
        <v>1</v>
      </c>
      <c r="EK27" s="44">
        <v>0</v>
      </c>
      <c r="EL27" s="44" t="s">
        <v>859</v>
      </c>
      <c r="EM27" s="45">
        <v>0</v>
      </c>
      <c r="EN27" s="43">
        <f t="shared" si="38"/>
        <v>5000</v>
      </c>
      <c r="EO27" s="69"/>
    </row>
    <row r="28" spans="1:145" x14ac:dyDescent="0.2">
      <c r="A28" s="7" t="str">
        <f t="shared" si="6"/>
        <v>Execução 24</v>
      </c>
      <c r="B28" s="42"/>
      <c r="C28" s="43" t="str">
        <f>IF(IFERROR(INDEX(Consulta!$A:$DS,MATCH('MM01'!$B28,Consulta!$C:$C,0),'MM01'!C$2),"")=0,"",IFERROR(INDEX(Consulta!$A:$DS,MATCH('MM01'!$B28,Consulta!$C:$C,0),'MM01'!C$2),""))</f>
        <v/>
      </c>
      <c r="D28" s="43" t="str">
        <f>IF(IFERROR(INDEX(Consulta!$A:$DS,MATCH('MM01'!$B28,Consulta!$C:$C,0),'MM01'!D$2),"")=0,"",IFERROR(INDEX(Consulta!$A:$DS,MATCH('MM01'!$B28,Consulta!$C:$C,0),'MM01'!D$2),""))</f>
        <v/>
      </c>
      <c r="E28" s="43" t="str">
        <f>IF(IFERROR(INDEX(Consulta!$A:$DS,MATCH('MM01'!$B28,Consulta!$C:$C,0),'MM01'!E$2),"")=0,"",IFERROR(INDEX(Consulta!$A:$DS,MATCH('MM01'!$B28,Consulta!$C:$C,0),'MM01'!E$2),""))</f>
        <v/>
      </c>
      <c r="F28" s="44" t="s">
        <v>100</v>
      </c>
      <c r="G28" s="49" t="str">
        <f>IF(IFERROR(INDEX(Consulta!$A:$DS,MATCH('MM01'!$B28,Consulta!$C:$C,0),'MM01'!G$2),"")=0,"",IFERROR(INDEX(Consulta!$A:$DS,MATCH('MM01'!$B28,Consulta!$C:$C,0),'MM01'!G$2),""))</f>
        <v/>
      </c>
      <c r="H28" s="49" t="str">
        <f>IF(IFERROR(INDEX(Consulta!$A:$DS,MATCH('MM01'!$B28,Consulta!$C:$C,0),'MM01'!H$2),"")=0,"",IFERROR(INDEX(Consulta!$A:$DS,MATCH('MM01'!$B28,Consulta!$C:$C,0),'MM01'!H$2),""))</f>
        <v/>
      </c>
      <c r="I28" s="49" t="str">
        <f t="shared" si="7"/>
        <v/>
      </c>
      <c r="J28" s="49" t="str">
        <f>IF(IFERROR(INDEX(Consulta!$A:$DS,MATCH('MM01'!$B28,Consulta!$C:$C,0),'MM01'!J$2),"")=0,"",IFERROR(INDEX(Consulta!$A:$DS,MATCH('MM01'!$B28,Consulta!$C:$C,0),'MM01'!J$2),""))</f>
        <v/>
      </c>
      <c r="K28" s="49" t="str">
        <f t="shared" si="8"/>
        <v/>
      </c>
      <c r="M28" s="45" t="s">
        <v>101</v>
      </c>
      <c r="N28" s="45" t="s">
        <v>102</v>
      </c>
      <c r="O28" s="45" t="s">
        <v>103</v>
      </c>
      <c r="P28" s="45" t="s">
        <v>104</v>
      </c>
      <c r="Q28" s="45" t="s">
        <v>105</v>
      </c>
      <c r="R28" s="45" t="s">
        <v>106</v>
      </c>
      <c r="S28" s="45" t="s">
        <v>107</v>
      </c>
      <c r="T28" s="45"/>
      <c r="U28" s="45"/>
      <c r="V28" s="45"/>
      <c r="W28" s="45"/>
      <c r="X28" s="45" t="s">
        <v>112</v>
      </c>
      <c r="Y28" s="45" t="s">
        <v>113</v>
      </c>
      <c r="Z28" s="45" t="s">
        <v>114</v>
      </c>
      <c r="AA28" s="45" t="s">
        <v>115</v>
      </c>
      <c r="AB28" s="45" t="s">
        <v>117</v>
      </c>
      <c r="AC28" s="45" t="s">
        <v>118</v>
      </c>
      <c r="AD28" s="45" t="s">
        <v>119</v>
      </c>
      <c r="AE28" s="45" t="s">
        <v>120</v>
      </c>
      <c r="AF28" s="45" t="s">
        <v>121</v>
      </c>
      <c r="AG28" s="45" t="s">
        <v>122</v>
      </c>
      <c r="AH28" s="45" t="s">
        <v>123</v>
      </c>
      <c r="AI28" s="45" t="s">
        <v>124</v>
      </c>
      <c r="AJ28" s="45" t="s">
        <v>125</v>
      </c>
      <c r="AK28" s="45" t="s">
        <v>126</v>
      </c>
      <c r="AL28" s="45"/>
      <c r="AM28" s="45"/>
      <c r="AO28" s="44" t="s">
        <v>100</v>
      </c>
      <c r="AP28" s="43" t="str">
        <f>IF(IFERROR(INDEX(Consulta!$A:$DS,MATCH('MM01'!$B28,Consulta!$C:$C,0),'MM01'!AP$2),"")=0,"",IFERROR(INDEX(Consulta!$A:$DS,MATCH('MM01'!$B28,Consulta!$C:$C,0),'MM01'!AP$2),""))</f>
        <v/>
      </c>
      <c r="AQ28" s="45"/>
      <c r="AR28" s="43" t="str">
        <f>IF(IFERROR(INDEX(Consulta!$A:$DS,MATCH('MM01'!$B28,Consulta!$C:$C,0),'MM01'!AR$2),"")=0,"",IFERROR(INDEX(Consulta!$A:$DS,MATCH('MM01'!$B28,Consulta!$C:$C,0),'MM01'!AR$2),""))</f>
        <v/>
      </c>
      <c r="AS28" s="43" t="str">
        <f>IF(IFERROR(INDEX(Consulta!$A:$DS,MATCH('MM01'!$B28,Consulta!$C:$C,0),'MM01'!AS$2),"")=0,"",IF(AR28="68",5102,IFERROR(INDEX(Consulta!$A:$DS,MATCH('MM01'!$B28,Consulta!$C:$C,0),'MM01'!AS$2),"")))</f>
        <v/>
      </c>
      <c r="AT28" s="45"/>
      <c r="AU28" s="46" t="str">
        <f t="shared" ca="1" si="9"/>
        <v/>
      </c>
      <c r="AV28" s="47" t="s">
        <v>783</v>
      </c>
      <c r="AW28" s="43" t="str">
        <f>IF(IFERROR(INDEX(Consulta!$A:$DS,MATCH('MM01'!$B28,Consulta!$C:$C,0),'MM01'!AW$2),"")=0,"",IFERROR(ROUND(INDEX(Consulta!$A:$DS,MATCH('MM01'!$B28,Consulta!$C:$C,0),'MM01'!AW$2),3),""))</f>
        <v/>
      </c>
      <c r="AX28" s="43" t="str">
        <f t="shared" si="10"/>
        <v/>
      </c>
      <c r="AY28" s="48" t="s">
        <v>299</v>
      </c>
      <c r="AZ28" s="48"/>
      <c r="BA28" s="43" t="str">
        <f>IF(IFERROR(INDEX(Consulta!$A:$DS,MATCH('MM01'!$B28,Consulta!$C:$C,0),'MM01'!BA$2),"")=0,"",IFERROR(INDEX(Consulta!$A:$DS,MATCH('MM01'!$B28,Consulta!$C:$C,0),'MM01'!BA$2),""))</f>
        <v/>
      </c>
      <c r="BB28" s="43" t="str">
        <f t="shared" si="11"/>
        <v/>
      </c>
      <c r="BC28" s="43" t="str">
        <f t="shared" si="12"/>
        <v/>
      </c>
      <c r="BD28" s="43" t="str">
        <f t="shared" si="13"/>
        <v/>
      </c>
      <c r="BE28" s="43" t="str">
        <f t="shared" si="14"/>
        <v>M</v>
      </c>
      <c r="BF28" s="43" t="str">
        <f t="shared" si="15"/>
        <v/>
      </c>
      <c r="BG28" s="43" t="str">
        <f t="shared" si="16"/>
        <v/>
      </c>
      <c r="BH28" s="43" t="str">
        <f t="shared" si="17"/>
        <v/>
      </c>
      <c r="BI28" s="43" t="str">
        <f t="shared" si="18"/>
        <v>M</v>
      </c>
      <c r="BK28" s="45" t="s">
        <v>789</v>
      </c>
      <c r="BL28" s="43" t="str">
        <f>IF(IFERROR(INDEX(Consulta!$A:$DS,MATCH('MM01'!$B28,Consulta!$C:$C,0),'MM01'!BL$2),"")=0,"",IFERROR(INDEX(Consulta!$A:$DS,MATCH('MM01'!$B28,Consulta!$C:$C,0),'MM01'!BL$2),""))</f>
        <v/>
      </c>
      <c r="BM28" s="45"/>
      <c r="BN28" s="46" t="str">
        <f t="shared" ca="1" si="19"/>
        <v/>
      </c>
      <c r="BO28" s="49" t="str">
        <f t="shared" si="20"/>
        <v/>
      </c>
      <c r="BP28" s="50">
        <v>1</v>
      </c>
      <c r="BQ28" s="50" t="s">
        <v>194</v>
      </c>
      <c r="BR28" s="50" t="s">
        <v>194</v>
      </c>
      <c r="BS28" s="50" t="s">
        <v>783</v>
      </c>
      <c r="BT28" s="44">
        <v>1</v>
      </c>
      <c r="BU28" s="44" t="s">
        <v>372</v>
      </c>
      <c r="BV28" s="50" t="s">
        <v>197</v>
      </c>
      <c r="BW28" s="50" t="s">
        <v>197</v>
      </c>
      <c r="BX28" s="43" t="str">
        <f>IF(IFERROR(INDEX(Consulta!$A:$DS,MATCH('MM01'!$B28,Consulta!$C:$C,0),'MM01'!BX$2),"")=0,"",IFERROR(INDEX(Consulta!$A:$DS,MATCH('MM01'!$B28,Consulta!$C:$C,0),'MM01'!BX$2),""))</f>
        <v/>
      </c>
      <c r="BY28" s="44" t="s">
        <v>392</v>
      </c>
      <c r="BZ28" s="50">
        <v>0</v>
      </c>
      <c r="CA28" s="45" t="s">
        <v>403</v>
      </c>
      <c r="CB28" s="45" t="s">
        <v>84</v>
      </c>
      <c r="CC28" s="43" t="str">
        <f t="shared" si="21"/>
        <v/>
      </c>
      <c r="CD28" s="45" t="s">
        <v>430</v>
      </c>
      <c r="CE28" s="45">
        <v>1</v>
      </c>
      <c r="CF28" s="45" t="s">
        <v>496</v>
      </c>
      <c r="CG28" s="45"/>
      <c r="CH28" s="44"/>
      <c r="CI28" s="49" t="str">
        <f t="shared" si="22"/>
        <v/>
      </c>
      <c r="CJ28" s="49" t="str">
        <f t="shared" si="23"/>
        <v/>
      </c>
      <c r="CK28" s="45"/>
      <c r="CL28" s="44">
        <v>5</v>
      </c>
      <c r="CM28" s="44">
        <v>1</v>
      </c>
      <c r="CN28" s="44">
        <v>1</v>
      </c>
      <c r="CO28" s="44">
        <v>1</v>
      </c>
      <c r="CP28" s="50" t="s">
        <v>515</v>
      </c>
      <c r="CQ28" s="44" t="s">
        <v>372</v>
      </c>
      <c r="CR28" s="44">
        <v>2</v>
      </c>
      <c r="CS28" s="44">
        <v>42</v>
      </c>
      <c r="CT28" s="44">
        <v>10</v>
      </c>
      <c r="CU28" s="43" t="str">
        <f t="shared" si="24"/>
        <v>K00_P_PURL_</v>
      </c>
      <c r="CV28" s="45">
        <v>5000</v>
      </c>
      <c r="CW28" s="43" t="str">
        <f t="shared" si="0"/>
        <v/>
      </c>
      <c r="CX28" s="43" t="str">
        <f t="shared" si="1"/>
        <v/>
      </c>
      <c r="CY28" s="43" t="str">
        <f>IF(IFERROR(INDEX(Consulta!$A:$DS,MATCH('MM01'!$B28,Consulta!$C:$C,0),'MM01'!CY$2),"")=0,"",IFERROR(INDEX(Consulta!$A:$DS,MATCH('MM01'!$B28,Consulta!$C:$C,0),'MM01'!CY$2),""))</f>
        <v/>
      </c>
      <c r="CZ28" s="43" t="str">
        <f t="shared" si="2"/>
        <v/>
      </c>
      <c r="DA28" s="43" t="str">
        <f>IF(IFERROR(INDEX(Consulta!$A:$DS,MATCH('MM01'!$B28,Consulta!$C:$C,0),'MM01'!DA$2),"")=0,"",IFERROR(INDEX(Consulta!$A:$DS,MATCH('MM01'!$B28,Consulta!$C:$C,0),'MM01'!DA$2),""))</f>
        <v/>
      </c>
      <c r="DB28" s="43" t="str">
        <f>IF(IFERROR(INDEX(Consulta!$A:$DS,MATCH('MM01'!$B28,Consulta!$C:$C,0),'MM01'!DB$2),"")=0,"",IFERROR(INDEX(Consulta!$A:$DS,MATCH('MM01'!$B28,Consulta!$C:$C,0),'MM01'!DB$2),""))</f>
        <v/>
      </c>
      <c r="DC28" s="43" t="str">
        <f>IF(IFERROR(INDEX(Consulta!$A:$DS,MATCH('MM01'!$B28,Consulta!$C:$C,0),'MM01'!DC$2),"")=0,"",IFERROR(INDEX(Consulta!$A:$DS,MATCH('MM01'!$B28,Consulta!$C:$C,0),'MM01'!DC$2),""))</f>
        <v/>
      </c>
      <c r="DD28" s="43" t="str">
        <f>IF(IFERROR(INDEX(Consulta!$A:$DS,MATCH('MM01'!$B28,Consulta!$C:$C,0),'MM01'!DD$2),"")=0,"",IFERROR(INDEX(Consulta!$A:$DS,MATCH('MM01'!$B28,Consulta!$C:$C,0),'MM01'!DD$2),""))</f>
        <v/>
      </c>
      <c r="DE28" s="43" t="str">
        <f>IF(IFERROR(INDEX(Consulta!$A:$DS,MATCH('MM01'!$B28,Consulta!$C:$C,0),'MM01'!DE$2),"")=0,"",IFERROR(INDEX(Consulta!$A:$DS,MATCH('MM01'!$B28,Consulta!$C:$C,0),'MM01'!DE$2),""))</f>
        <v/>
      </c>
      <c r="DF28" s="100">
        <v>3458</v>
      </c>
      <c r="DG28" s="45">
        <v>0</v>
      </c>
      <c r="DH28" s="45">
        <v>0</v>
      </c>
      <c r="DI28" s="43" t="str">
        <f t="shared" si="3"/>
        <v/>
      </c>
      <c r="DJ28" s="43" t="str">
        <f t="shared" si="25"/>
        <v/>
      </c>
      <c r="DK28" s="57"/>
      <c r="DL28" s="43" t="str">
        <f t="shared" ca="1" si="26"/>
        <v/>
      </c>
      <c r="DM28" s="43" t="str">
        <f t="shared" si="27"/>
        <v/>
      </c>
      <c r="DN28" s="43" t="str">
        <f t="shared" si="28"/>
        <v/>
      </c>
      <c r="DO28" s="57"/>
      <c r="DP28" s="43" t="str">
        <f t="shared" ca="1" si="29"/>
        <v/>
      </c>
      <c r="DQ28" s="43" t="str">
        <f t="shared" si="30"/>
        <v/>
      </c>
      <c r="DR28" s="43" t="str">
        <f t="shared" si="31"/>
        <v/>
      </c>
      <c r="DS28" s="57"/>
      <c r="DT28" s="43" t="str">
        <f t="shared" ca="1" si="32"/>
        <v/>
      </c>
      <c r="DU28" s="43" t="str">
        <f t="shared" si="33"/>
        <v/>
      </c>
      <c r="DV28" s="43" t="str">
        <f t="shared" si="34"/>
        <v/>
      </c>
      <c r="DW28" s="57"/>
      <c r="DX28" s="43" t="str">
        <f t="shared" ca="1" si="35"/>
        <v/>
      </c>
      <c r="DY28" s="43" t="str">
        <f t="shared" si="36"/>
        <v/>
      </c>
      <c r="EA28" s="44">
        <v>0</v>
      </c>
      <c r="EB28" s="44" t="s">
        <v>761</v>
      </c>
      <c r="EC28" s="44">
        <v>30</v>
      </c>
      <c r="ED28" s="43">
        <f t="shared" si="4"/>
        <v>0.01</v>
      </c>
      <c r="EE28" s="43" t="str">
        <f t="shared" si="5"/>
        <v>M</v>
      </c>
      <c r="EF28" s="43" t="str">
        <f>IF(IFERROR(INDEX(Consulta!$A:$DS,MATCH('MM01'!$B28,Consulta!$C:$C,0),'MM01'!EF$2),"")=0,"7925",IF(IFERROR(INDEX(Consulta!$A:$DS,MATCH('MM01'!$B28,Consulta!$C:$C,0),'MM01'!EF$2),"")="68","7910","7925"))</f>
        <v>7925</v>
      </c>
      <c r="EG28" s="44">
        <v>100</v>
      </c>
      <c r="EH28" s="62">
        <v>1</v>
      </c>
      <c r="EI28" s="43">
        <f t="shared" si="37"/>
        <v>100</v>
      </c>
      <c r="EJ28" s="44">
        <v>1</v>
      </c>
      <c r="EK28" s="44">
        <v>0</v>
      </c>
      <c r="EL28" s="44" t="s">
        <v>859</v>
      </c>
      <c r="EM28" s="45">
        <v>0</v>
      </c>
      <c r="EN28" s="43">
        <f t="shared" si="38"/>
        <v>5000</v>
      </c>
      <c r="EO28" s="69"/>
    </row>
    <row r="29" spans="1:145" x14ac:dyDescent="0.2">
      <c r="A29" s="7" t="str">
        <f t="shared" si="6"/>
        <v>Execução 25</v>
      </c>
      <c r="B29" s="42"/>
      <c r="C29" s="43" t="str">
        <f>IF(IFERROR(INDEX(Consulta!$A:$DS,MATCH('MM01'!$B29,Consulta!$C:$C,0),'MM01'!C$2),"")=0,"",IFERROR(INDEX(Consulta!$A:$DS,MATCH('MM01'!$B29,Consulta!$C:$C,0),'MM01'!C$2),""))</f>
        <v/>
      </c>
      <c r="D29" s="43" t="str">
        <f>IF(IFERROR(INDEX(Consulta!$A:$DS,MATCH('MM01'!$B29,Consulta!$C:$C,0),'MM01'!D$2),"")=0,"",IFERROR(INDEX(Consulta!$A:$DS,MATCH('MM01'!$B29,Consulta!$C:$C,0),'MM01'!D$2),""))</f>
        <v/>
      </c>
      <c r="E29" s="43" t="str">
        <f>IF(IFERROR(INDEX(Consulta!$A:$DS,MATCH('MM01'!$B29,Consulta!$C:$C,0),'MM01'!E$2),"")=0,"",IFERROR(INDEX(Consulta!$A:$DS,MATCH('MM01'!$B29,Consulta!$C:$C,0),'MM01'!E$2),""))</f>
        <v/>
      </c>
      <c r="F29" s="44" t="s">
        <v>100</v>
      </c>
      <c r="G29" s="49" t="str">
        <f>IF(IFERROR(INDEX(Consulta!$A:$DS,MATCH('MM01'!$B29,Consulta!$C:$C,0),'MM01'!G$2),"")=0,"",IFERROR(INDEX(Consulta!$A:$DS,MATCH('MM01'!$B29,Consulta!$C:$C,0),'MM01'!G$2),""))</f>
        <v/>
      </c>
      <c r="H29" s="49" t="str">
        <f>IF(IFERROR(INDEX(Consulta!$A:$DS,MATCH('MM01'!$B29,Consulta!$C:$C,0),'MM01'!H$2),"")=0,"",IFERROR(INDEX(Consulta!$A:$DS,MATCH('MM01'!$B29,Consulta!$C:$C,0),'MM01'!H$2),""))</f>
        <v/>
      </c>
      <c r="I29" s="49" t="str">
        <f t="shared" si="7"/>
        <v/>
      </c>
      <c r="J29" s="49" t="str">
        <f>IF(IFERROR(INDEX(Consulta!$A:$DS,MATCH('MM01'!$B29,Consulta!$C:$C,0),'MM01'!J$2),"")=0,"",IFERROR(INDEX(Consulta!$A:$DS,MATCH('MM01'!$B29,Consulta!$C:$C,0),'MM01'!J$2),""))</f>
        <v/>
      </c>
      <c r="K29" s="49" t="str">
        <f t="shared" si="8"/>
        <v/>
      </c>
      <c r="M29" s="45" t="s">
        <v>101</v>
      </c>
      <c r="N29" s="45" t="s">
        <v>102</v>
      </c>
      <c r="O29" s="45" t="s">
        <v>103</v>
      </c>
      <c r="P29" s="45" t="s">
        <v>104</v>
      </c>
      <c r="Q29" s="45" t="s">
        <v>105</v>
      </c>
      <c r="R29" s="45" t="s">
        <v>106</v>
      </c>
      <c r="S29" s="45" t="s">
        <v>107</v>
      </c>
      <c r="T29" s="45"/>
      <c r="U29" s="45"/>
      <c r="V29" s="45"/>
      <c r="W29" s="45"/>
      <c r="X29" s="45" t="s">
        <v>112</v>
      </c>
      <c r="Y29" s="45" t="s">
        <v>113</v>
      </c>
      <c r="Z29" s="45" t="s">
        <v>114</v>
      </c>
      <c r="AA29" s="45" t="s">
        <v>115</v>
      </c>
      <c r="AB29" s="45" t="s">
        <v>117</v>
      </c>
      <c r="AC29" s="45" t="s">
        <v>118</v>
      </c>
      <c r="AD29" s="45" t="s">
        <v>119</v>
      </c>
      <c r="AE29" s="45" t="s">
        <v>120</v>
      </c>
      <c r="AF29" s="45" t="s">
        <v>121</v>
      </c>
      <c r="AG29" s="45" t="s">
        <v>122</v>
      </c>
      <c r="AH29" s="45" t="s">
        <v>123</v>
      </c>
      <c r="AI29" s="45" t="s">
        <v>124</v>
      </c>
      <c r="AJ29" s="45" t="s">
        <v>125</v>
      </c>
      <c r="AK29" s="45" t="s">
        <v>126</v>
      </c>
      <c r="AL29" s="45"/>
      <c r="AM29" s="45"/>
      <c r="AO29" s="44" t="s">
        <v>100</v>
      </c>
      <c r="AP29" s="43" t="str">
        <f>IF(IFERROR(INDEX(Consulta!$A:$DS,MATCH('MM01'!$B29,Consulta!$C:$C,0),'MM01'!AP$2),"")=0,"",IFERROR(INDEX(Consulta!$A:$DS,MATCH('MM01'!$B29,Consulta!$C:$C,0),'MM01'!AP$2),""))</f>
        <v/>
      </c>
      <c r="AQ29" s="45"/>
      <c r="AR29" s="43" t="str">
        <f>IF(IFERROR(INDEX(Consulta!$A:$DS,MATCH('MM01'!$B29,Consulta!$C:$C,0),'MM01'!AR$2),"")=0,"",IFERROR(INDEX(Consulta!$A:$DS,MATCH('MM01'!$B29,Consulta!$C:$C,0),'MM01'!AR$2),""))</f>
        <v/>
      </c>
      <c r="AS29" s="43" t="str">
        <f>IF(IFERROR(INDEX(Consulta!$A:$DS,MATCH('MM01'!$B29,Consulta!$C:$C,0),'MM01'!AS$2),"")=0,"",IF(AR29="68",5102,IFERROR(INDEX(Consulta!$A:$DS,MATCH('MM01'!$B29,Consulta!$C:$C,0),'MM01'!AS$2),"")))</f>
        <v/>
      </c>
      <c r="AT29" s="45"/>
      <c r="AU29" s="46" t="str">
        <f t="shared" ca="1" si="9"/>
        <v/>
      </c>
      <c r="AV29" s="47" t="s">
        <v>783</v>
      </c>
      <c r="AW29" s="43" t="str">
        <f>IF(IFERROR(INDEX(Consulta!$A:$DS,MATCH('MM01'!$B29,Consulta!$C:$C,0),'MM01'!AW$2),"")=0,"",IFERROR(ROUND(INDEX(Consulta!$A:$DS,MATCH('MM01'!$B29,Consulta!$C:$C,0),'MM01'!AW$2),3),""))</f>
        <v/>
      </c>
      <c r="AX29" s="43" t="str">
        <f t="shared" si="10"/>
        <v/>
      </c>
      <c r="AY29" s="48" t="s">
        <v>299</v>
      </c>
      <c r="AZ29" s="48"/>
      <c r="BA29" s="43" t="str">
        <f>IF(IFERROR(INDEX(Consulta!$A:$DS,MATCH('MM01'!$B29,Consulta!$C:$C,0),'MM01'!BA$2),"")=0,"",IFERROR(INDEX(Consulta!$A:$DS,MATCH('MM01'!$B29,Consulta!$C:$C,0),'MM01'!BA$2),""))</f>
        <v/>
      </c>
      <c r="BB29" s="43" t="str">
        <f t="shared" si="11"/>
        <v/>
      </c>
      <c r="BC29" s="43" t="str">
        <f t="shared" si="12"/>
        <v/>
      </c>
      <c r="BD29" s="43" t="str">
        <f t="shared" si="13"/>
        <v/>
      </c>
      <c r="BE29" s="43" t="str">
        <f t="shared" si="14"/>
        <v>M</v>
      </c>
      <c r="BF29" s="43" t="str">
        <f t="shared" si="15"/>
        <v/>
      </c>
      <c r="BG29" s="43" t="str">
        <f t="shared" si="16"/>
        <v/>
      </c>
      <c r="BH29" s="43" t="str">
        <f t="shared" si="17"/>
        <v/>
      </c>
      <c r="BI29" s="43" t="str">
        <f t="shared" si="18"/>
        <v>M</v>
      </c>
      <c r="BK29" s="45" t="s">
        <v>789</v>
      </c>
      <c r="BL29" s="43" t="str">
        <f>IF(IFERROR(INDEX(Consulta!$A:$DS,MATCH('MM01'!$B29,Consulta!$C:$C,0),'MM01'!BL$2),"")=0,"",IFERROR(INDEX(Consulta!$A:$DS,MATCH('MM01'!$B29,Consulta!$C:$C,0),'MM01'!BL$2),""))</f>
        <v/>
      </c>
      <c r="BM29" s="45"/>
      <c r="BN29" s="46" t="str">
        <f t="shared" ca="1" si="19"/>
        <v/>
      </c>
      <c r="BO29" s="49" t="str">
        <f t="shared" si="20"/>
        <v/>
      </c>
      <c r="BP29" s="50">
        <v>1</v>
      </c>
      <c r="BQ29" s="50" t="s">
        <v>194</v>
      </c>
      <c r="BR29" s="50" t="s">
        <v>194</v>
      </c>
      <c r="BS29" s="50" t="s">
        <v>783</v>
      </c>
      <c r="BT29" s="44">
        <v>1</v>
      </c>
      <c r="BU29" s="44" t="s">
        <v>372</v>
      </c>
      <c r="BV29" s="50" t="s">
        <v>197</v>
      </c>
      <c r="BW29" s="50" t="s">
        <v>197</v>
      </c>
      <c r="BX29" s="43" t="str">
        <f>IF(IFERROR(INDEX(Consulta!$A:$DS,MATCH('MM01'!$B29,Consulta!$C:$C,0),'MM01'!BX$2),"")=0,"",IFERROR(INDEX(Consulta!$A:$DS,MATCH('MM01'!$B29,Consulta!$C:$C,0),'MM01'!BX$2),""))</f>
        <v/>
      </c>
      <c r="BY29" s="44" t="s">
        <v>392</v>
      </c>
      <c r="BZ29" s="50">
        <v>0</v>
      </c>
      <c r="CA29" s="45" t="s">
        <v>403</v>
      </c>
      <c r="CB29" s="45" t="s">
        <v>84</v>
      </c>
      <c r="CC29" s="43" t="str">
        <f t="shared" si="21"/>
        <v/>
      </c>
      <c r="CD29" s="45" t="s">
        <v>430</v>
      </c>
      <c r="CE29" s="45">
        <v>1</v>
      </c>
      <c r="CF29" s="45" t="s">
        <v>496</v>
      </c>
      <c r="CG29" s="45"/>
      <c r="CH29" s="44"/>
      <c r="CI29" s="49" t="str">
        <f t="shared" si="22"/>
        <v/>
      </c>
      <c r="CJ29" s="49" t="str">
        <f t="shared" si="23"/>
        <v/>
      </c>
      <c r="CK29" s="45"/>
      <c r="CL29" s="44">
        <v>5</v>
      </c>
      <c r="CM29" s="44">
        <v>1</v>
      </c>
      <c r="CN29" s="44">
        <v>1</v>
      </c>
      <c r="CO29" s="44">
        <v>1</v>
      </c>
      <c r="CP29" s="50" t="s">
        <v>515</v>
      </c>
      <c r="CQ29" s="44" t="s">
        <v>372</v>
      </c>
      <c r="CR29" s="44">
        <v>2</v>
      </c>
      <c r="CS29" s="44">
        <v>42</v>
      </c>
      <c r="CT29" s="44">
        <v>10</v>
      </c>
      <c r="CU29" s="43" t="str">
        <f t="shared" si="24"/>
        <v>K00_P_PURL_</v>
      </c>
      <c r="CV29" s="45">
        <v>5000</v>
      </c>
      <c r="CW29" s="43" t="str">
        <f t="shared" si="0"/>
        <v/>
      </c>
      <c r="CX29" s="43" t="str">
        <f t="shared" si="1"/>
        <v/>
      </c>
      <c r="CY29" s="43" t="str">
        <f>IF(IFERROR(INDEX(Consulta!$A:$DS,MATCH('MM01'!$B29,Consulta!$C:$C,0),'MM01'!CY$2),"")=0,"",IFERROR(INDEX(Consulta!$A:$DS,MATCH('MM01'!$B29,Consulta!$C:$C,0),'MM01'!CY$2),""))</f>
        <v/>
      </c>
      <c r="CZ29" s="43" t="str">
        <f t="shared" si="2"/>
        <v/>
      </c>
      <c r="DA29" s="43" t="str">
        <f>IF(IFERROR(INDEX(Consulta!$A:$DS,MATCH('MM01'!$B29,Consulta!$C:$C,0),'MM01'!DA$2),"")=0,"",IFERROR(INDEX(Consulta!$A:$DS,MATCH('MM01'!$B29,Consulta!$C:$C,0),'MM01'!DA$2),""))</f>
        <v/>
      </c>
      <c r="DB29" s="43" t="str">
        <f>IF(IFERROR(INDEX(Consulta!$A:$DS,MATCH('MM01'!$B29,Consulta!$C:$C,0),'MM01'!DB$2),"")=0,"",IFERROR(INDEX(Consulta!$A:$DS,MATCH('MM01'!$B29,Consulta!$C:$C,0),'MM01'!DB$2),""))</f>
        <v/>
      </c>
      <c r="DC29" s="43" t="str">
        <f>IF(IFERROR(INDEX(Consulta!$A:$DS,MATCH('MM01'!$B29,Consulta!$C:$C,0),'MM01'!DC$2),"")=0,"",IFERROR(INDEX(Consulta!$A:$DS,MATCH('MM01'!$B29,Consulta!$C:$C,0),'MM01'!DC$2),""))</f>
        <v/>
      </c>
      <c r="DD29" s="43" t="str">
        <f>IF(IFERROR(INDEX(Consulta!$A:$DS,MATCH('MM01'!$B29,Consulta!$C:$C,0),'MM01'!DD$2),"")=0,"",IFERROR(INDEX(Consulta!$A:$DS,MATCH('MM01'!$B29,Consulta!$C:$C,0),'MM01'!DD$2),""))</f>
        <v/>
      </c>
      <c r="DE29" s="43" t="str">
        <f>IF(IFERROR(INDEX(Consulta!$A:$DS,MATCH('MM01'!$B29,Consulta!$C:$C,0),'MM01'!DE$2),"")=0,"",IFERROR(INDEX(Consulta!$A:$DS,MATCH('MM01'!$B29,Consulta!$C:$C,0),'MM01'!DE$2),""))</f>
        <v/>
      </c>
      <c r="DF29" s="100">
        <v>3458</v>
      </c>
      <c r="DG29" s="45">
        <v>0</v>
      </c>
      <c r="DH29" s="45">
        <v>0</v>
      </c>
      <c r="DI29" s="43" t="str">
        <f t="shared" si="3"/>
        <v/>
      </c>
      <c r="DJ29" s="43" t="str">
        <f t="shared" si="25"/>
        <v/>
      </c>
      <c r="DK29" s="57"/>
      <c r="DL29" s="43" t="str">
        <f t="shared" ca="1" si="26"/>
        <v/>
      </c>
      <c r="DM29" s="43" t="str">
        <f t="shared" si="27"/>
        <v/>
      </c>
      <c r="DN29" s="43" t="str">
        <f t="shared" si="28"/>
        <v/>
      </c>
      <c r="DO29" s="57"/>
      <c r="DP29" s="43" t="str">
        <f t="shared" ca="1" si="29"/>
        <v/>
      </c>
      <c r="DQ29" s="43" t="str">
        <f t="shared" si="30"/>
        <v/>
      </c>
      <c r="DR29" s="43" t="str">
        <f t="shared" si="31"/>
        <v/>
      </c>
      <c r="DS29" s="57"/>
      <c r="DT29" s="43" t="str">
        <f t="shared" ca="1" si="32"/>
        <v/>
      </c>
      <c r="DU29" s="43" t="str">
        <f t="shared" si="33"/>
        <v/>
      </c>
      <c r="DV29" s="43" t="str">
        <f t="shared" si="34"/>
        <v/>
      </c>
      <c r="DW29" s="57"/>
      <c r="DX29" s="43" t="str">
        <f t="shared" ca="1" si="35"/>
        <v/>
      </c>
      <c r="DY29" s="43" t="str">
        <f t="shared" si="36"/>
        <v/>
      </c>
      <c r="EA29" s="44">
        <v>0</v>
      </c>
      <c r="EB29" s="44" t="s">
        <v>761</v>
      </c>
      <c r="EC29" s="44">
        <v>30</v>
      </c>
      <c r="ED29" s="43">
        <f t="shared" si="4"/>
        <v>0.01</v>
      </c>
      <c r="EE29" s="43" t="str">
        <f t="shared" si="5"/>
        <v>M</v>
      </c>
      <c r="EF29" s="43" t="str">
        <f>IF(IFERROR(INDEX(Consulta!$A:$DS,MATCH('MM01'!$B29,Consulta!$C:$C,0),'MM01'!EF$2),"")=0,"7925",IF(IFERROR(INDEX(Consulta!$A:$DS,MATCH('MM01'!$B29,Consulta!$C:$C,0),'MM01'!EF$2),"")="68","7910","7925"))</f>
        <v>7925</v>
      </c>
      <c r="EG29" s="44">
        <v>100</v>
      </c>
      <c r="EH29" s="62">
        <v>1</v>
      </c>
      <c r="EI29" s="43">
        <f t="shared" si="37"/>
        <v>100</v>
      </c>
      <c r="EJ29" s="44">
        <v>1</v>
      </c>
      <c r="EK29" s="44">
        <v>0</v>
      </c>
      <c r="EL29" s="44" t="s">
        <v>859</v>
      </c>
      <c r="EM29" s="45">
        <v>0</v>
      </c>
      <c r="EN29" s="43">
        <f t="shared" si="38"/>
        <v>5000</v>
      </c>
      <c r="EO29" s="69"/>
    </row>
    <row r="30" spans="1:145" x14ac:dyDescent="0.2">
      <c r="A30" s="7" t="str">
        <f t="shared" si="6"/>
        <v>Execução 26</v>
      </c>
      <c r="B30" s="42"/>
      <c r="C30" s="43" t="str">
        <f>IF(IFERROR(INDEX(Consulta!$A:$DS,MATCH('MM01'!$B30,Consulta!$C:$C,0),'MM01'!C$2),"")=0,"",IFERROR(INDEX(Consulta!$A:$DS,MATCH('MM01'!$B30,Consulta!$C:$C,0),'MM01'!C$2),""))</f>
        <v/>
      </c>
      <c r="D30" s="43" t="str">
        <f>IF(IFERROR(INDEX(Consulta!$A:$DS,MATCH('MM01'!$B30,Consulta!$C:$C,0),'MM01'!D$2),"")=0,"",IFERROR(INDEX(Consulta!$A:$DS,MATCH('MM01'!$B30,Consulta!$C:$C,0),'MM01'!D$2),""))</f>
        <v/>
      </c>
      <c r="E30" s="43" t="str">
        <f>IF(IFERROR(INDEX(Consulta!$A:$DS,MATCH('MM01'!$B30,Consulta!$C:$C,0),'MM01'!E$2),"")=0,"",IFERROR(INDEX(Consulta!$A:$DS,MATCH('MM01'!$B30,Consulta!$C:$C,0),'MM01'!E$2),""))</f>
        <v/>
      </c>
      <c r="F30" s="44" t="s">
        <v>100</v>
      </c>
      <c r="G30" s="49" t="str">
        <f>IF(IFERROR(INDEX(Consulta!$A:$DS,MATCH('MM01'!$B30,Consulta!$C:$C,0),'MM01'!G$2),"")=0,"",IFERROR(INDEX(Consulta!$A:$DS,MATCH('MM01'!$B30,Consulta!$C:$C,0),'MM01'!G$2),""))</f>
        <v/>
      </c>
      <c r="H30" s="49" t="str">
        <f>IF(IFERROR(INDEX(Consulta!$A:$DS,MATCH('MM01'!$B30,Consulta!$C:$C,0),'MM01'!H$2),"")=0,"",IFERROR(INDEX(Consulta!$A:$DS,MATCH('MM01'!$B30,Consulta!$C:$C,0),'MM01'!H$2),""))</f>
        <v/>
      </c>
      <c r="I30" s="49" t="str">
        <f t="shared" si="7"/>
        <v/>
      </c>
      <c r="J30" s="49" t="str">
        <f>IF(IFERROR(INDEX(Consulta!$A:$DS,MATCH('MM01'!$B30,Consulta!$C:$C,0),'MM01'!J$2),"")=0,"",IFERROR(INDEX(Consulta!$A:$DS,MATCH('MM01'!$B30,Consulta!$C:$C,0),'MM01'!J$2),""))</f>
        <v/>
      </c>
      <c r="K30" s="49" t="str">
        <f t="shared" si="8"/>
        <v/>
      </c>
      <c r="M30" s="45" t="s">
        <v>101</v>
      </c>
      <c r="N30" s="45" t="s">
        <v>102</v>
      </c>
      <c r="O30" s="45" t="s">
        <v>103</v>
      </c>
      <c r="P30" s="45" t="s">
        <v>104</v>
      </c>
      <c r="Q30" s="45" t="s">
        <v>105</v>
      </c>
      <c r="R30" s="45" t="s">
        <v>106</v>
      </c>
      <c r="S30" s="45" t="s">
        <v>107</v>
      </c>
      <c r="T30" s="45"/>
      <c r="U30" s="45"/>
      <c r="V30" s="45"/>
      <c r="W30" s="45"/>
      <c r="X30" s="45" t="s">
        <v>112</v>
      </c>
      <c r="Y30" s="45" t="s">
        <v>113</v>
      </c>
      <c r="Z30" s="45" t="s">
        <v>114</v>
      </c>
      <c r="AA30" s="45" t="s">
        <v>115</v>
      </c>
      <c r="AB30" s="45" t="s">
        <v>117</v>
      </c>
      <c r="AC30" s="45" t="s">
        <v>118</v>
      </c>
      <c r="AD30" s="45" t="s">
        <v>119</v>
      </c>
      <c r="AE30" s="45" t="s">
        <v>120</v>
      </c>
      <c r="AF30" s="45" t="s">
        <v>121</v>
      </c>
      <c r="AG30" s="45" t="s">
        <v>122</v>
      </c>
      <c r="AH30" s="45" t="s">
        <v>123</v>
      </c>
      <c r="AI30" s="45" t="s">
        <v>124</v>
      </c>
      <c r="AJ30" s="45" t="s">
        <v>125</v>
      </c>
      <c r="AK30" s="45" t="s">
        <v>126</v>
      </c>
      <c r="AL30" s="45"/>
      <c r="AM30" s="45"/>
      <c r="AO30" s="44" t="s">
        <v>100</v>
      </c>
      <c r="AP30" s="43" t="str">
        <f>IF(IFERROR(INDEX(Consulta!$A:$DS,MATCH('MM01'!$B30,Consulta!$C:$C,0),'MM01'!AP$2),"")=0,"",IFERROR(INDEX(Consulta!$A:$DS,MATCH('MM01'!$B30,Consulta!$C:$C,0),'MM01'!AP$2),""))</f>
        <v/>
      </c>
      <c r="AQ30" s="45"/>
      <c r="AR30" s="43" t="str">
        <f>IF(IFERROR(INDEX(Consulta!$A:$DS,MATCH('MM01'!$B30,Consulta!$C:$C,0),'MM01'!AR$2),"")=0,"",IFERROR(INDEX(Consulta!$A:$DS,MATCH('MM01'!$B30,Consulta!$C:$C,0),'MM01'!AR$2),""))</f>
        <v/>
      </c>
      <c r="AS30" s="43" t="str">
        <f>IF(IFERROR(INDEX(Consulta!$A:$DS,MATCH('MM01'!$B30,Consulta!$C:$C,0),'MM01'!AS$2),"")=0,"",IF(AR30="68",5102,IFERROR(INDEX(Consulta!$A:$DS,MATCH('MM01'!$B30,Consulta!$C:$C,0),'MM01'!AS$2),"")))</f>
        <v/>
      </c>
      <c r="AT30" s="45"/>
      <c r="AU30" s="46" t="str">
        <f t="shared" ca="1" si="9"/>
        <v/>
      </c>
      <c r="AV30" s="47" t="s">
        <v>783</v>
      </c>
      <c r="AW30" s="43" t="str">
        <f>IF(IFERROR(INDEX(Consulta!$A:$DS,MATCH('MM01'!$B30,Consulta!$C:$C,0),'MM01'!AW$2),"")=0,"",IFERROR(ROUND(INDEX(Consulta!$A:$DS,MATCH('MM01'!$B30,Consulta!$C:$C,0),'MM01'!AW$2),3),""))</f>
        <v/>
      </c>
      <c r="AX30" s="43" t="str">
        <f t="shared" si="10"/>
        <v/>
      </c>
      <c r="AY30" s="48" t="s">
        <v>299</v>
      </c>
      <c r="AZ30" s="48"/>
      <c r="BA30" s="43" t="str">
        <f>IF(IFERROR(INDEX(Consulta!$A:$DS,MATCH('MM01'!$B30,Consulta!$C:$C,0),'MM01'!BA$2),"")=0,"",IFERROR(INDEX(Consulta!$A:$DS,MATCH('MM01'!$B30,Consulta!$C:$C,0),'MM01'!BA$2),""))</f>
        <v/>
      </c>
      <c r="BB30" s="43" t="str">
        <f t="shared" si="11"/>
        <v/>
      </c>
      <c r="BC30" s="43" t="str">
        <f t="shared" si="12"/>
        <v/>
      </c>
      <c r="BD30" s="43" t="str">
        <f t="shared" si="13"/>
        <v/>
      </c>
      <c r="BE30" s="43" t="str">
        <f t="shared" si="14"/>
        <v>M</v>
      </c>
      <c r="BF30" s="43" t="str">
        <f t="shared" si="15"/>
        <v/>
      </c>
      <c r="BG30" s="43" t="str">
        <f t="shared" si="16"/>
        <v/>
      </c>
      <c r="BH30" s="43" t="str">
        <f t="shared" si="17"/>
        <v/>
      </c>
      <c r="BI30" s="43" t="str">
        <f t="shared" si="18"/>
        <v>M</v>
      </c>
      <c r="BK30" s="45" t="s">
        <v>789</v>
      </c>
      <c r="BL30" s="43" t="str">
        <f>IF(IFERROR(INDEX(Consulta!$A:$DS,MATCH('MM01'!$B30,Consulta!$C:$C,0),'MM01'!BL$2),"")=0,"",IFERROR(INDEX(Consulta!$A:$DS,MATCH('MM01'!$B30,Consulta!$C:$C,0),'MM01'!BL$2),""))</f>
        <v/>
      </c>
      <c r="BM30" s="45"/>
      <c r="BN30" s="46" t="str">
        <f t="shared" ca="1" si="19"/>
        <v/>
      </c>
      <c r="BO30" s="49" t="str">
        <f t="shared" si="20"/>
        <v/>
      </c>
      <c r="BP30" s="50">
        <v>1</v>
      </c>
      <c r="BQ30" s="50" t="s">
        <v>194</v>
      </c>
      <c r="BR30" s="50" t="s">
        <v>194</v>
      </c>
      <c r="BS30" s="50" t="s">
        <v>783</v>
      </c>
      <c r="BT30" s="44">
        <v>1</v>
      </c>
      <c r="BU30" s="44" t="s">
        <v>372</v>
      </c>
      <c r="BV30" s="50" t="s">
        <v>197</v>
      </c>
      <c r="BW30" s="50" t="s">
        <v>197</v>
      </c>
      <c r="BX30" s="43" t="str">
        <f>IF(IFERROR(INDEX(Consulta!$A:$DS,MATCH('MM01'!$B30,Consulta!$C:$C,0),'MM01'!BX$2),"")=0,"",IFERROR(INDEX(Consulta!$A:$DS,MATCH('MM01'!$B30,Consulta!$C:$C,0),'MM01'!BX$2),""))</f>
        <v/>
      </c>
      <c r="BY30" s="44" t="s">
        <v>392</v>
      </c>
      <c r="BZ30" s="50">
        <v>0</v>
      </c>
      <c r="CA30" s="45" t="s">
        <v>403</v>
      </c>
      <c r="CB30" s="45" t="s">
        <v>84</v>
      </c>
      <c r="CC30" s="43" t="str">
        <f t="shared" si="21"/>
        <v/>
      </c>
      <c r="CD30" s="45" t="s">
        <v>430</v>
      </c>
      <c r="CE30" s="45">
        <v>1</v>
      </c>
      <c r="CF30" s="45" t="s">
        <v>496</v>
      </c>
      <c r="CG30" s="45"/>
      <c r="CH30" s="44"/>
      <c r="CI30" s="49" t="str">
        <f t="shared" si="22"/>
        <v/>
      </c>
      <c r="CJ30" s="49" t="str">
        <f t="shared" si="23"/>
        <v/>
      </c>
      <c r="CK30" s="45"/>
      <c r="CL30" s="44">
        <v>5</v>
      </c>
      <c r="CM30" s="44">
        <v>1</v>
      </c>
      <c r="CN30" s="44">
        <v>1</v>
      </c>
      <c r="CO30" s="44">
        <v>1</v>
      </c>
      <c r="CP30" s="50" t="s">
        <v>515</v>
      </c>
      <c r="CQ30" s="44" t="s">
        <v>372</v>
      </c>
      <c r="CR30" s="44">
        <v>2</v>
      </c>
      <c r="CS30" s="44">
        <v>42</v>
      </c>
      <c r="CT30" s="44">
        <v>10</v>
      </c>
      <c r="CU30" s="43" t="str">
        <f t="shared" si="24"/>
        <v>K00_P_PURL_</v>
      </c>
      <c r="CV30" s="45">
        <v>5000</v>
      </c>
      <c r="CW30" s="43" t="str">
        <f t="shared" si="0"/>
        <v/>
      </c>
      <c r="CX30" s="43" t="str">
        <f t="shared" si="1"/>
        <v/>
      </c>
      <c r="CY30" s="43" t="str">
        <f>IF(IFERROR(INDEX(Consulta!$A:$DS,MATCH('MM01'!$B30,Consulta!$C:$C,0),'MM01'!CY$2),"")=0,"",IFERROR(INDEX(Consulta!$A:$DS,MATCH('MM01'!$B30,Consulta!$C:$C,0),'MM01'!CY$2),""))</f>
        <v/>
      </c>
      <c r="CZ30" s="43" t="str">
        <f t="shared" si="2"/>
        <v/>
      </c>
      <c r="DA30" s="43" t="str">
        <f>IF(IFERROR(INDEX(Consulta!$A:$DS,MATCH('MM01'!$B30,Consulta!$C:$C,0),'MM01'!DA$2),"")=0,"",IFERROR(INDEX(Consulta!$A:$DS,MATCH('MM01'!$B30,Consulta!$C:$C,0),'MM01'!DA$2),""))</f>
        <v/>
      </c>
      <c r="DB30" s="43" t="str">
        <f>IF(IFERROR(INDEX(Consulta!$A:$DS,MATCH('MM01'!$B30,Consulta!$C:$C,0),'MM01'!DB$2),"")=0,"",IFERROR(INDEX(Consulta!$A:$DS,MATCH('MM01'!$B30,Consulta!$C:$C,0),'MM01'!DB$2),""))</f>
        <v/>
      </c>
      <c r="DC30" s="43" t="str">
        <f>IF(IFERROR(INDEX(Consulta!$A:$DS,MATCH('MM01'!$B30,Consulta!$C:$C,0),'MM01'!DC$2),"")=0,"",IFERROR(INDEX(Consulta!$A:$DS,MATCH('MM01'!$B30,Consulta!$C:$C,0),'MM01'!DC$2),""))</f>
        <v/>
      </c>
      <c r="DD30" s="43" t="str">
        <f>IF(IFERROR(INDEX(Consulta!$A:$DS,MATCH('MM01'!$B30,Consulta!$C:$C,0),'MM01'!DD$2),"")=0,"",IFERROR(INDEX(Consulta!$A:$DS,MATCH('MM01'!$B30,Consulta!$C:$C,0),'MM01'!DD$2),""))</f>
        <v/>
      </c>
      <c r="DE30" s="43" t="str">
        <f>IF(IFERROR(INDEX(Consulta!$A:$DS,MATCH('MM01'!$B30,Consulta!$C:$C,0),'MM01'!DE$2),"")=0,"",IFERROR(INDEX(Consulta!$A:$DS,MATCH('MM01'!$B30,Consulta!$C:$C,0),'MM01'!DE$2),""))</f>
        <v/>
      </c>
      <c r="DF30" s="100">
        <v>3458</v>
      </c>
      <c r="DG30" s="45">
        <v>0</v>
      </c>
      <c r="DH30" s="45">
        <v>0</v>
      </c>
      <c r="DI30" s="43" t="str">
        <f t="shared" si="3"/>
        <v/>
      </c>
      <c r="DJ30" s="43" t="str">
        <f t="shared" si="25"/>
        <v/>
      </c>
      <c r="DK30" s="57"/>
      <c r="DL30" s="43" t="str">
        <f t="shared" ca="1" si="26"/>
        <v/>
      </c>
      <c r="DM30" s="43" t="str">
        <f t="shared" si="27"/>
        <v/>
      </c>
      <c r="DN30" s="43" t="str">
        <f t="shared" si="28"/>
        <v/>
      </c>
      <c r="DO30" s="57"/>
      <c r="DP30" s="43" t="str">
        <f t="shared" ca="1" si="29"/>
        <v/>
      </c>
      <c r="DQ30" s="43" t="str">
        <f t="shared" si="30"/>
        <v/>
      </c>
      <c r="DR30" s="43" t="str">
        <f t="shared" si="31"/>
        <v/>
      </c>
      <c r="DS30" s="57"/>
      <c r="DT30" s="43" t="str">
        <f t="shared" ca="1" si="32"/>
        <v/>
      </c>
      <c r="DU30" s="43" t="str">
        <f t="shared" si="33"/>
        <v/>
      </c>
      <c r="DV30" s="43" t="str">
        <f t="shared" si="34"/>
        <v/>
      </c>
      <c r="DW30" s="57"/>
      <c r="DX30" s="43" t="str">
        <f t="shared" ca="1" si="35"/>
        <v/>
      </c>
      <c r="DY30" s="43" t="str">
        <f t="shared" si="36"/>
        <v/>
      </c>
      <c r="EA30" s="44">
        <v>0</v>
      </c>
      <c r="EB30" s="44" t="s">
        <v>761</v>
      </c>
      <c r="EC30" s="44">
        <v>30</v>
      </c>
      <c r="ED30" s="43">
        <f t="shared" si="4"/>
        <v>0.01</v>
      </c>
      <c r="EE30" s="43" t="str">
        <f t="shared" si="5"/>
        <v>M</v>
      </c>
      <c r="EF30" s="43" t="str">
        <f>IF(IFERROR(INDEX(Consulta!$A:$DS,MATCH('MM01'!$B30,Consulta!$C:$C,0),'MM01'!EF$2),"")=0,"7925",IF(IFERROR(INDEX(Consulta!$A:$DS,MATCH('MM01'!$B30,Consulta!$C:$C,0),'MM01'!EF$2),"")="68","7910","7925"))</f>
        <v>7925</v>
      </c>
      <c r="EG30" s="44">
        <v>100</v>
      </c>
      <c r="EH30" s="62">
        <v>1</v>
      </c>
      <c r="EI30" s="43">
        <f t="shared" si="37"/>
        <v>100</v>
      </c>
      <c r="EJ30" s="44">
        <v>1</v>
      </c>
      <c r="EK30" s="44">
        <v>0</v>
      </c>
      <c r="EL30" s="44" t="s">
        <v>859</v>
      </c>
      <c r="EM30" s="45">
        <v>0</v>
      </c>
      <c r="EN30" s="43">
        <f t="shared" si="38"/>
        <v>5000</v>
      </c>
      <c r="EO30" s="69"/>
    </row>
    <row r="31" spans="1:145" x14ac:dyDescent="0.2">
      <c r="A31" s="7" t="str">
        <f t="shared" si="6"/>
        <v>Execução 27</v>
      </c>
      <c r="B31" s="42"/>
      <c r="C31" s="43" t="str">
        <f>IF(IFERROR(INDEX(Consulta!$A:$DS,MATCH('MM01'!$B31,Consulta!$C:$C,0),'MM01'!C$2),"")=0,"",IFERROR(INDEX(Consulta!$A:$DS,MATCH('MM01'!$B31,Consulta!$C:$C,0),'MM01'!C$2),""))</f>
        <v/>
      </c>
      <c r="D31" s="43" t="str">
        <f>IF(IFERROR(INDEX(Consulta!$A:$DS,MATCH('MM01'!$B31,Consulta!$C:$C,0),'MM01'!D$2),"")=0,"",IFERROR(INDEX(Consulta!$A:$DS,MATCH('MM01'!$B31,Consulta!$C:$C,0),'MM01'!D$2),""))</f>
        <v/>
      </c>
      <c r="E31" s="43" t="str">
        <f>IF(IFERROR(INDEX(Consulta!$A:$DS,MATCH('MM01'!$B31,Consulta!$C:$C,0),'MM01'!E$2),"")=0,"",IFERROR(INDEX(Consulta!$A:$DS,MATCH('MM01'!$B31,Consulta!$C:$C,0),'MM01'!E$2),""))</f>
        <v/>
      </c>
      <c r="F31" s="44" t="s">
        <v>100</v>
      </c>
      <c r="G31" s="49" t="str">
        <f>IF(IFERROR(INDEX(Consulta!$A:$DS,MATCH('MM01'!$B31,Consulta!$C:$C,0),'MM01'!G$2),"")=0,"",IFERROR(INDEX(Consulta!$A:$DS,MATCH('MM01'!$B31,Consulta!$C:$C,0),'MM01'!G$2),""))</f>
        <v/>
      </c>
      <c r="H31" s="49" t="str">
        <f>IF(IFERROR(INDEX(Consulta!$A:$DS,MATCH('MM01'!$B31,Consulta!$C:$C,0),'MM01'!H$2),"")=0,"",IFERROR(INDEX(Consulta!$A:$DS,MATCH('MM01'!$B31,Consulta!$C:$C,0),'MM01'!H$2),""))</f>
        <v/>
      </c>
      <c r="I31" s="49" t="str">
        <f t="shared" si="7"/>
        <v/>
      </c>
      <c r="J31" s="49" t="str">
        <f>IF(IFERROR(INDEX(Consulta!$A:$DS,MATCH('MM01'!$B31,Consulta!$C:$C,0),'MM01'!J$2),"")=0,"",IFERROR(INDEX(Consulta!$A:$DS,MATCH('MM01'!$B31,Consulta!$C:$C,0),'MM01'!J$2),""))</f>
        <v/>
      </c>
      <c r="K31" s="49" t="str">
        <f t="shared" si="8"/>
        <v/>
      </c>
      <c r="M31" s="45" t="s">
        <v>101</v>
      </c>
      <c r="N31" s="45" t="s">
        <v>102</v>
      </c>
      <c r="O31" s="45" t="s">
        <v>103</v>
      </c>
      <c r="P31" s="45" t="s">
        <v>104</v>
      </c>
      <c r="Q31" s="45" t="s">
        <v>105</v>
      </c>
      <c r="R31" s="45" t="s">
        <v>106</v>
      </c>
      <c r="S31" s="45" t="s">
        <v>107</v>
      </c>
      <c r="T31" s="45"/>
      <c r="U31" s="45"/>
      <c r="V31" s="45"/>
      <c r="W31" s="45"/>
      <c r="X31" s="45" t="s">
        <v>112</v>
      </c>
      <c r="Y31" s="45" t="s">
        <v>113</v>
      </c>
      <c r="Z31" s="45" t="s">
        <v>114</v>
      </c>
      <c r="AA31" s="45" t="s">
        <v>115</v>
      </c>
      <c r="AB31" s="45" t="s">
        <v>117</v>
      </c>
      <c r="AC31" s="45" t="s">
        <v>118</v>
      </c>
      <c r="AD31" s="45" t="s">
        <v>119</v>
      </c>
      <c r="AE31" s="45" t="s">
        <v>120</v>
      </c>
      <c r="AF31" s="45" t="s">
        <v>121</v>
      </c>
      <c r="AG31" s="45" t="s">
        <v>122</v>
      </c>
      <c r="AH31" s="45" t="s">
        <v>123</v>
      </c>
      <c r="AI31" s="45" t="s">
        <v>124</v>
      </c>
      <c r="AJ31" s="45" t="s">
        <v>125</v>
      </c>
      <c r="AK31" s="45" t="s">
        <v>126</v>
      </c>
      <c r="AL31" s="45"/>
      <c r="AM31" s="45"/>
      <c r="AO31" s="44" t="s">
        <v>100</v>
      </c>
      <c r="AP31" s="43" t="str">
        <f>IF(IFERROR(INDEX(Consulta!$A:$DS,MATCH('MM01'!$B31,Consulta!$C:$C,0),'MM01'!AP$2),"")=0,"",IFERROR(INDEX(Consulta!$A:$DS,MATCH('MM01'!$B31,Consulta!$C:$C,0),'MM01'!AP$2),""))</f>
        <v/>
      </c>
      <c r="AQ31" s="45"/>
      <c r="AR31" s="43" t="str">
        <f>IF(IFERROR(INDEX(Consulta!$A:$DS,MATCH('MM01'!$B31,Consulta!$C:$C,0),'MM01'!AR$2),"")=0,"",IFERROR(INDEX(Consulta!$A:$DS,MATCH('MM01'!$B31,Consulta!$C:$C,0),'MM01'!AR$2),""))</f>
        <v/>
      </c>
      <c r="AS31" s="43" t="str">
        <f>IF(IFERROR(INDEX(Consulta!$A:$DS,MATCH('MM01'!$B31,Consulta!$C:$C,0),'MM01'!AS$2),"")=0,"",IF(AR31="68",5102,IFERROR(INDEX(Consulta!$A:$DS,MATCH('MM01'!$B31,Consulta!$C:$C,0),'MM01'!AS$2),"")))</f>
        <v/>
      </c>
      <c r="AT31" s="45"/>
      <c r="AU31" s="46" t="str">
        <f t="shared" ca="1" si="9"/>
        <v/>
      </c>
      <c r="AV31" s="47" t="s">
        <v>783</v>
      </c>
      <c r="AW31" s="43" t="str">
        <f>IF(IFERROR(INDEX(Consulta!$A:$DS,MATCH('MM01'!$B31,Consulta!$C:$C,0),'MM01'!AW$2),"")=0,"",IFERROR(ROUND(INDEX(Consulta!$A:$DS,MATCH('MM01'!$B31,Consulta!$C:$C,0),'MM01'!AW$2),3),""))</f>
        <v/>
      </c>
      <c r="AX31" s="43" t="str">
        <f t="shared" si="10"/>
        <v/>
      </c>
      <c r="AY31" s="48" t="s">
        <v>299</v>
      </c>
      <c r="AZ31" s="48"/>
      <c r="BA31" s="43" t="str">
        <f>IF(IFERROR(INDEX(Consulta!$A:$DS,MATCH('MM01'!$B31,Consulta!$C:$C,0),'MM01'!BA$2),"")=0,"",IFERROR(INDEX(Consulta!$A:$DS,MATCH('MM01'!$B31,Consulta!$C:$C,0),'MM01'!BA$2),""))</f>
        <v/>
      </c>
      <c r="BB31" s="43" t="str">
        <f t="shared" si="11"/>
        <v/>
      </c>
      <c r="BC31" s="43" t="str">
        <f t="shared" si="12"/>
        <v/>
      </c>
      <c r="BD31" s="43" t="str">
        <f t="shared" si="13"/>
        <v/>
      </c>
      <c r="BE31" s="43" t="str">
        <f t="shared" si="14"/>
        <v>M</v>
      </c>
      <c r="BF31" s="43" t="str">
        <f t="shared" si="15"/>
        <v/>
      </c>
      <c r="BG31" s="43" t="str">
        <f t="shared" si="16"/>
        <v/>
      </c>
      <c r="BH31" s="43" t="str">
        <f t="shared" si="17"/>
        <v/>
      </c>
      <c r="BI31" s="43" t="str">
        <f t="shared" si="18"/>
        <v>M</v>
      </c>
      <c r="BK31" s="45" t="s">
        <v>789</v>
      </c>
      <c r="BL31" s="43" t="str">
        <f>IF(IFERROR(INDEX(Consulta!$A:$DS,MATCH('MM01'!$B31,Consulta!$C:$C,0),'MM01'!BL$2),"")=0,"",IFERROR(INDEX(Consulta!$A:$DS,MATCH('MM01'!$B31,Consulta!$C:$C,0),'MM01'!BL$2),""))</f>
        <v/>
      </c>
      <c r="BM31" s="45"/>
      <c r="BN31" s="46" t="str">
        <f t="shared" ca="1" si="19"/>
        <v/>
      </c>
      <c r="BO31" s="49" t="str">
        <f t="shared" si="20"/>
        <v/>
      </c>
      <c r="BP31" s="50">
        <v>1</v>
      </c>
      <c r="BQ31" s="50" t="s">
        <v>194</v>
      </c>
      <c r="BR31" s="50" t="s">
        <v>194</v>
      </c>
      <c r="BS31" s="50" t="s">
        <v>783</v>
      </c>
      <c r="BT31" s="44">
        <v>1</v>
      </c>
      <c r="BU31" s="44" t="s">
        <v>372</v>
      </c>
      <c r="BV31" s="50" t="s">
        <v>197</v>
      </c>
      <c r="BW31" s="50" t="s">
        <v>197</v>
      </c>
      <c r="BX31" s="43" t="str">
        <f>IF(IFERROR(INDEX(Consulta!$A:$DS,MATCH('MM01'!$B31,Consulta!$C:$C,0),'MM01'!BX$2),"")=0,"",IFERROR(INDEX(Consulta!$A:$DS,MATCH('MM01'!$B31,Consulta!$C:$C,0),'MM01'!BX$2),""))</f>
        <v/>
      </c>
      <c r="BY31" s="44" t="s">
        <v>392</v>
      </c>
      <c r="BZ31" s="50">
        <v>0</v>
      </c>
      <c r="CA31" s="45" t="s">
        <v>403</v>
      </c>
      <c r="CB31" s="45" t="s">
        <v>84</v>
      </c>
      <c r="CC31" s="43" t="str">
        <f t="shared" si="21"/>
        <v/>
      </c>
      <c r="CD31" s="45" t="s">
        <v>430</v>
      </c>
      <c r="CE31" s="45">
        <v>1</v>
      </c>
      <c r="CF31" s="45" t="s">
        <v>496</v>
      </c>
      <c r="CG31" s="45"/>
      <c r="CH31" s="44"/>
      <c r="CI31" s="49" t="str">
        <f t="shared" si="22"/>
        <v/>
      </c>
      <c r="CJ31" s="49" t="str">
        <f t="shared" si="23"/>
        <v/>
      </c>
      <c r="CK31" s="45"/>
      <c r="CL31" s="44">
        <v>5</v>
      </c>
      <c r="CM31" s="44">
        <v>1</v>
      </c>
      <c r="CN31" s="44">
        <v>1</v>
      </c>
      <c r="CO31" s="44">
        <v>1</v>
      </c>
      <c r="CP31" s="50" t="s">
        <v>515</v>
      </c>
      <c r="CQ31" s="44" t="s">
        <v>372</v>
      </c>
      <c r="CR31" s="44">
        <v>2</v>
      </c>
      <c r="CS31" s="44">
        <v>42</v>
      </c>
      <c r="CT31" s="44">
        <v>10</v>
      </c>
      <c r="CU31" s="43" t="str">
        <f t="shared" si="24"/>
        <v>K00_P_PURL_</v>
      </c>
      <c r="CV31" s="45">
        <v>5000</v>
      </c>
      <c r="CW31" s="43" t="str">
        <f t="shared" si="0"/>
        <v/>
      </c>
      <c r="CX31" s="43" t="str">
        <f t="shared" si="1"/>
        <v/>
      </c>
      <c r="CY31" s="43" t="str">
        <f>IF(IFERROR(INDEX(Consulta!$A:$DS,MATCH('MM01'!$B31,Consulta!$C:$C,0),'MM01'!CY$2),"")=0,"",IFERROR(INDEX(Consulta!$A:$DS,MATCH('MM01'!$B31,Consulta!$C:$C,0),'MM01'!CY$2),""))</f>
        <v/>
      </c>
      <c r="CZ31" s="43" t="str">
        <f t="shared" si="2"/>
        <v/>
      </c>
      <c r="DA31" s="43" t="str">
        <f>IF(IFERROR(INDEX(Consulta!$A:$DS,MATCH('MM01'!$B31,Consulta!$C:$C,0),'MM01'!DA$2),"")=0,"",IFERROR(INDEX(Consulta!$A:$DS,MATCH('MM01'!$B31,Consulta!$C:$C,0),'MM01'!DA$2),""))</f>
        <v/>
      </c>
      <c r="DB31" s="43" t="str">
        <f>IF(IFERROR(INDEX(Consulta!$A:$DS,MATCH('MM01'!$B31,Consulta!$C:$C,0),'MM01'!DB$2),"")=0,"",IFERROR(INDEX(Consulta!$A:$DS,MATCH('MM01'!$B31,Consulta!$C:$C,0),'MM01'!DB$2),""))</f>
        <v/>
      </c>
      <c r="DC31" s="43" t="str">
        <f>IF(IFERROR(INDEX(Consulta!$A:$DS,MATCH('MM01'!$B31,Consulta!$C:$C,0),'MM01'!DC$2),"")=0,"",IFERROR(INDEX(Consulta!$A:$DS,MATCH('MM01'!$B31,Consulta!$C:$C,0),'MM01'!DC$2),""))</f>
        <v/>
      </c>
      <c r="DD31" s="43" t="str">
        <f>IF(IFERROR(INDEX(Consulta!$A:$DS,MATCH('MM01'!$B31,Consulta!$C:$C,0),'MM01'!DD$2),"")=0,"",IFERROR(INDEX(Consulta!$A:$DS,MATCH('MM01'!$B31,Consulta!$C:$C,0),'MM01'!DD$2),""))</f>
        <v/>
      </c>
      <c r="DE31" s="43" t="str">
        <f>IF(IFERROR(INDEX(Consulta!$A:$DS,MATCH('MM01'!$B31,Consulta!$C:$C,0),'MM01'!DE$2),"")=0,"",IFERROR(INDEX(Consulta!$A:$DS,MATCH('MM01'!$B31,Consulta!$C:$C,0),'MM01'!DE$2),""))</f>
        <v/>
      </c>
      <c r="DF31" s="100">
        <v>3458</v>
      </c>
      <c r="DG31" s="45">
        <v>0</v>
      </c>
      <c r="DH31" s="45">
        <v>0</v>
      </c>
      <c r="DI31" s="43" t="str">
        <f t="shared" si="3"/>
        <v/>
      </c>
      <c r="DJ31" s="43" t="str">
        <f t="shared" si="25"/>
        <v/>
      </c>
      <c r="DK31" s="57"/>
      <c r="DL31" s="43" t="str">
        <f t="shared" ca="1" si="26"/>
        <v/>
      </c>
      <c r="DM31" s="43" t="str">
        <f t="shared" si="27"/>
        <v/>
      </c>
      <c r="DN31" s="43" t="str">
        <f t="shared" si="28"/>
        <v/>
      </c>
      <c r="DO31" s="57"/>
      <c r="DP31" s="43" t="str">
        <f t="shared" ca="1" si="29"/>
        <v/>
      </c>
      <c r="DQ31" s="43" t="str">
        <f t="shared" si="30"/>
        <v/>
      </c>
      <c r="DR31" s="43" t="str">
        <f t="shared" si="31"/>
        <v/>
      </c>
      <c r="DS31" s="57"/>
      <c r="DT31" s="43" t="str">
        <f t="shared" ca="1" si="32"/>
        <v/>
      </c>
      <c r="DU31" s="43" t="str">
        <f t="shared" si="33"/>
        <v/>
      </c>
      <c r="DV31" s="43" t="str">
        <f t="shared" si="34"/>
        <v/>
      </c>
      <c r="DW31" s="57"/>
      <c r="DX31" s="43" t="str">
        <f t="shared" ca="1" si="35"/>
        <v/>
      </c>
      <c r="DY31" s="43" t="str">
        <f t="shared" si="36"/>
        <v/>
      </c>
      <c r="EA31" s="44">
        <v>0</v>
      </c>
      <c r="EB31" s="44" t="s">
        <v>761</v>
      </c>
      <c r="EC31" s="44">
        <v>30</v>
      </c>
      <c r="ED31" s="43">
        <f t="shared" si="4"/>
        <v>0.01</v>
      </c>
      <c r="EE31" s="43" t="str">
        <f t="shared" si="5"/>
        <v>M</v>
      </c>
      <c r="EF31" s="43" t="str">
        <f>IF(IFERROR(INDEX(Consulta!$A:$DS,MATCH('MM01'!$B31,Consulta!$C:$C,0),'MM01'!EF$2),"")=0,"7925",IF(IFERROR(INDEX(Consulta!$A:$DS,MATCH('MM01'!$B31,Consulta!$C:$C,0),'MM01'!EF$2),"")="68","7910","7925"))</f>
        <v>7925</v>
      </c>
      <c r="EG31" s="44">
        <v>100</v>
      </c>
      <c r="EH31" s="62">
        <v>1</v>
      </c>
      <c r="EI31" s="43">
        <f t="shared" si="37"/>
        <v>100</v>
      </c>
      <c r="EJ31" s="44">
        <v>1</v>
      </c>
      <c r="EK31" s="44">
        <v>0</v>
      </c>
      <c r="EL31" s="44" t="s">
        <v>859</v>
      </c>
      <c r="EM31" s="45">
        <v>0</v>
      </c>
      <c r="EN31" s="43">
        <f t="shared" si="38"/>
        <v>5000</v>
      </c>
      <c r="EO31" s="69"/>
    </row>
    <row r="32" spans="1:145" x14ac:dyDescent="0.2">
      <c r="A32" s="7" t="str">
        <f t="shared" si="6"/>
        <v>Execução 28</v>
      </c>
      <c r="B32" s="42"/>
      <c r="C32" s="43" t="str">
        <f>IF(IFERROR(INDEX(Consulta!$A:$DS,MATCH('MM01'!$B32,Consulta!$C:$C,0),'MM01'!C$2),"")=0,"",IFERROR(INDEX(Consulta!$A:$DS,MATCH('MM01'!$B32,Consulta!$C:$C,0),'MM01'!C$2),""))</f>
        <v/>
      </c>
      <c r="D32" s="43" t="str">
        <f>IF(IFERROR(INDEX(Consulta!$A:$DS,MATCH('MM01'!$B32,Consulta!$C:$C,0),'MM01'!D$2),"")=0,"",IFERROR(INDEX(Consulta!$A:$DS,MATCH('MM01'!$B32,Consulta!$C:$C,0),'MM01'!D$2),""))</f>
        <v/>
      </c>
      <c r="E32" s="43" t="str">
        <f>IF(IFERROR(INDEX(Consulta!$A:$DS,MATCH('MM01'!$B32,Consulta!$C:$C,0),'MM01'!E$2),"")=0,"",IFERROR(INDEX(Consulta!$A:$DS,MATCH('MM01'!$B32,Consulta!$C:$C,0),'MM01'!E$2),""))</f>
        <v/>
      </c>
      <c r="F32" s="44" t="s">
        <v>100</v>
      </c>
      <c r="G32" s="49" t="str">
        <f>IF(IFERROR(INDEX(Consulta!$A:$DS,MATCH('MM01'!$B32,Consulta!$C:$C,0),'MM01'!G$2),"")=0,"",IFERROR(INDEX(Consulta!$A:$DS,MATCH('MM01'!$B32,Consulta!$C:$C,0),'MM01'!G$2),""))</f>
        <v/>
      </c>
      <c r="H32" s="49" t="str">
        <f>IF(IFERROR(INDEX(Consulta!$A:$DS,MATCH('MM01'!$B32,Consulta!$C:$C,0),'MM01'!H$2),"")=0,"",IFERROR(INDEX(Consulta!$A:$DS,MATCH('MM01'!$B32,Consulta!$C:$C,0),'MM01'!H$2),""))</f>
        <v/>
      </c>
      <c r="I32" s="49" t="str">
        <f t="shared" si="7"/>
        <v/>
      </c>
      <c r="J32" s="49" t="str">
        <f>IF(IFERROR(INDEX(Consulta!$A:$DS,MATCH('MM01'!$B32,Consulta!$C:$C,0),'MM01'!J$2),"")=0,"",IFERROR(INDEX(Consulta!$A:$DS,MATCH('MM01'!$B32,Consulta!$C:$C,0),'MM01'!J$2),""))</f>
        <v/>
      </c>
      <c r="K32" s="49" t="str">
        <f t="shared" si="8"/>
        <v/>
      </c>
      <c r="M32" s="45" t="s">
        <v>101</v>
      </c>
      <c r="N32" s="45" t="s">
        <v>102</v>
      </c>
      <c r="O32" s="45" t="s">
        <v>103</v>
      </c>
      <c r="P32" s="45" t="s">
        <v>104</v>
      </c>
      <c r="Q32" s="45" t="s">
        <v>105</v>
      </c>
      <c r="R32" s="45" t="s">
        <v>106</v>
      </c>
      <c r="S32" s="45" t="s">
        <v>107</v>
      </c>
      <c r="T32" s="45"/>
      <c r="U32" s="45"/>
      <c r="V32" s="45"/>
      <c r="W32" s="45"/>
      <c r="X32" s="45" t="s">
        <v>112</v>
      </c>
      <c r="Y32" s="45" t="s">
        <v>113</v>
      </c>
      <c r="Z32" s="45" t="s">
        <v>114</v>
      </c>
      <c r="AA32" s="45" t="s">
        <v>115</v>
      </c>
      <c r="AB32" s="45" t="s">
        <v>117</v>
      </c>
      <c r="AC32" s="45" t="s">
        <v>118</v>
      </c>
      <c r="AD32" s="45" t="s">
        <v>119</v>
      </c>
      <c r="AE32" s="45" t="s">
        <v>120</v>
      </c>
      <c r="AF32" s="45" t="s">
        <v>121</v>
      </c>
      <c r="AG32" s="45" t="s">
        <v>122</v>
      </c>
      <c r="AH32" s="45" t="s">
        <v>123</v>
      </c>
      <c r="AI32" s="45" t="s">
        <v>124</v>
      </c>
      <c r="AJ32" s="45" t="s">
        <v>125</v>
      </c>
      <c r="AK32" s="45" t="s">
        <v>126</v>
      </c>
      <c r="AL32" s="45"/>
      <c r="AM32" s="45"/>
      <c r="AO32" s="44" t="s">
        <v>100</v>
      </c>
      <c r="AP32" s="43" t="str">
        <f>IF(IFERROR(INDEX(Consulta!$A:$DS,MATCH('MM01'!$B32,Consulta!$C:$C,0),'MM01'!AP$2),"")=0,"",IFERROR(INDEX(Consulta!$A:$DS,MATCH('MM01'!$B32,Consulta!$C:$C,0),'MM01'!AP$2),""))</f>
        <v/>
      </c>
      <c r="AQ32" s="45"/>
      <c r="AR32" s="43" t="str">
        <f>IF(IFERROR(INDEX(Consulta!$A:$DS,MATCH('MM01'!$B32,Consulta!$C:$C,0),'MM01'!AR$2),"")=0,"",IFERROR(INDEX(Consulta!$A:$DS,MATCH('MM01'!$B32,Consulta!$C:$C,0),'MM01'!AR$2),""))</f>
        <v/>
      </c>
      <c r="AS32" s="43" t="str">
        <f>IF(IFERROR(INDEX(Consulta!$A:$DS,MATCH('MM01'!$B32,Consulta!$C:$C,0),'MM01'!AS$2),"")=0,"",IF(AR32="68",5102,IFERROR(INDEX(Consulta!$A:$DS,MATCH('MM01'!$B32,Consulta!$C:$C,0),'MM01'!AS$2),"")))</f>
        <v/>
      </c>
      <c r="AT32" s="45"/>
      <c r="AU32" s="46" t="str">
        <f t="shared" ca="1" si="9"/>
        <v/>
      </c>
      <c r="AV32" s="47" t="s">
        <v>783</v>
      </c>
      <c r="AW32" s="43" t="str">
        <f>IF(IFERROR(INDEX(Consulta!$A:$DS,MATCH('MM01'!$B32,Consulta!$C:$C,0),'MM01'!AW$2),"")=0,"",IFERROR(ROUND(INDEX(Consulta!$A:$DS,MATCH('MM01'!$B32,Consulta!$C:$C,0),'MM01'!AW$2),3),""))</f>
        <v/>
      </c>
      <c r="AX32" s="43" t="str">
        <f t="shared" si="10"/>
        <v/>
      </c>
      <c r="AY32" s="48" t="s">
        <v>299</v>
      </c>
      <c r="AZ32" s="48"/>
      <c r="BA32" s="43" t="str">
        <f>IF(IFERROR(INDEX(Consulta!$A:$DS,MATCH('MM01'!$B32,Consulta!$C:$C,0),'MM01'!BA$2),"")=0,"",IFERROR(INDEX(Consulta!$A:$DS,MATCH('MM01'!$B32,Consulta!$C:$C,0),'MM01'!BA$2),""))</f>
        <v/>
      </c>
      <c r="BB32" s="43" t="str">
        <f t="shared" si="11"/>
        <v/>
      </c>
      <c r="BC32" s="43" t="str">
        <f t="shared" si="12"/>
        <v/>
      </c>
      <c r="BD32" s="43" t="str">
        <f t="shared" si="13"/>
        <v/>
      </c>
      <c r="BE32" s="43" t="str">
        <f t="shared" si="14"/>
        <v>M</v>
      </c>
      <c r="BF32" s="43" t="str">
        <f t="shared" si="15"/>
        <v/>
      </c>
      <c r="BG32" s="43" t="str">
        <f t="shared" si="16"/>
        <v/>
      </c>
      <c r="BH32" s="43" t="str">
        <f t="shared" si="17"/>
        <v/>
      </c>
      <c r="BI32" s="43" t="str">
        <f t="shared" si="18"/>
        <v>M</v>
      </c>
      <c r="BK32" s="45" t="s">
        <v>789</v>
      </c>
      <c r="BL32" s="43" t="str">
        <f>IF(IFERROR(INDEX(Consulta!$A:$DS,MATCH('MM01'!$B32,Consulta!$C:$C,0),'MM01'!BL$2),"")=0,"",IFERROR(INDEX(Consulta!$A:$DS,MATCH('MM01'!$B32,Consulta!$C:$C,0),'MM01'!BL$2),""))</f>
        <v/>
      </c>
      <c r="BM32" s="45"/>
      <c r="BN32" s="46" t="str">
        <f t="shared" ca="1" si="19"/>
        <v/>
      </c>
      <c r="BO32" s="49" t="str">
        <f t="shared" si="20"/>
        <v/>
      </c>
      <c r="BP32" s="50">
        <v>1</v>
      </c>
      <c r="BQ32" s="50" t="s">
        <v>194</v>
      </c>
      <c r="BR32" s="50" t="s">
        <v>194</v>
      </c>
      <c r="BS32" s="50" t="s">
        <v>783</v>
      </c>
      <c r="BT32" s="44">
        <v>1</v>
      </c>
      <c r="BU32" s="44" t="s">
        <v>372</v>
      </c>
      <c r="BV32" s="50" t="s">
        <v>197</v>
      </c>
      <c r="BW32" s="50" t="s">
        <v>197</v>
      </c>
      <c r="BX32" s="43" t="str">
        <f>IF(IFERROR(INDEX(Consulta!$A:$DS,MATCH('MM01'!$B32,Consulta!$C:$C,0),'MM01'!BX$2),"")=0,"",IFERROR(INDEX(Consulta!$A:$DS,MATCH('MM01'!$B32,Consulta!$C:$C,0),'MM01'!BX$2),""))</f>
        <v/>
      </c>
      <c r="BY32" s="44" t="s">
        <v>392</v>
      </c>
      <c r="BZ32" s="50">
        <v>0</v>
      </c>
      <c r="CA32" s="45" t="s">
        <v>403</v>
      </c>
      <c r="CB32" s="45" t="s">
        <v>84</v>
      </c>
      <c r="CC32" s="43" t="str">
        <f t="shared" si="21"/>
        <v/>
      </c>
      <c r="CD32" s="45" t="s">
        <v>430</v>
      </c>
      <c r="CE32" s="45">
        <v>1</v>
      </c>
      <c r="CF32" s="45" t="s">
        <v>496</v>
      </c>
      <c r="CG32" s="45"/>
      <c r="CH32" s="44"/>
      <c r="CI32" s="49" t="str">
        <f t="shared" si="22"/>
        <v/>
      </c>
      <c r="CJ32" s="49" t="str">
        <f t="shared" si="23"/>
        <v/>
      </c>
      <c r="CK32" s="45"/>
      <c r="CL32" s="44">
        <v>5</v>
      </c>
      <c r="CM32" s="44">
        <v>1</v>
      </c>
      <c r="CN32" s="44">
        <v>1</v>
      </c>
      <c r="CO32" s="44">
        <v>1</v>
      </c>
      <c r="CP32" s="50" t="s">
        <v>515</v>
      </c>
      <c r="CQ32" s="44" t="s">
        <v>372</v>
      </c>
      <c r="CR32" s="44">
        <v>2</v>
      </c>
      <c r="CS32" s="44">
        <v>42</v>
      </c>
      <c r="CT32" s="44">
        <v>10</v>
      </c>
      <c r="CU32" s="43" t="str">
        <f t="shared" si="24"/>
        <v>K00_P_PURL_</v>
      </c>
      <c r="CV32" s="45">
        <v>5000</v>
      </c>
      <c r="CW32" s="43" t="str">
        <f t="shared" si="0"/>
        <v/>
      </c>
      <c r="CX32" s="43" t="str">
        <f t="shared" si="1"/>
        <v/>
      </c>
      <c r="CY32" s="43" t="str">
        <f>IF(IFERROR(INDEX(Consulta!$A:$DS,MATCH('MM01'!$B32,Consulta!$C:$C,0),'MM01'!CY$2),"")=0,"",IFERROR(INDEX(Consulta!$A:$DS,MATCH('MM01'!$B32,Consulta!$C:$C,0),'MM01'!CY$2),""))</f>
        <v/>
      </c>
      <c r="CZ32" s="43" t="str">
        <f t="shared" si="2"/>
        <v/>
      </c>
      <c r="DA32" s="43" t="str">
        <f>IF(IFERROR(INDEX(Consulta!$A:$DS,MATCH('MM01'!$B32,Consulta!$C:$C,0),'MM01'!DA$2),"")=0,"",IFERROR(INDEX(Consulta!$A:$DS,MATCH('MM01'!$B32,Consulta!$C:$C,0),'MM01'!DA$2),""))</f>
        <v/>
      </c>
      <c r="DB32" s="43" t="str">
        <f>IF(IFERROR(INDEX(Consulta!$A:$DS,MATCH('MM01'!$B32,Consulta!$C:$C,0),'MM01'!DB$2),"")=0,"",IFERROR(INDEX(Consulta!$A:$DS,MATCH('MM01'!$B32,Consulta!$C:$C,0),'MM01'!DB$2),""))</f>
        <v/>
      </c>
      <c r="DC32" s="43" t="str">
        <f>IF(IFERROR(INDEX(Consulta!$A:$DS,MATCH('MM01'!$B32,Consulta!$C:$C,0),'MM01'!DC$2),"")=0,"",IFERROR(INDEX(Consulta!$A:$DS,MATCH('MM01'!$B32,Consulta!$C:$C,0),'MM01'!DC$2),""))</f>
        <v/>
      </c>
      <c r="DD32" s="43" t="str">
        <f>IF(IFERROR(INDEX(Consulta!$A:$DS,MATCH('MM01'!$B32,Consulta!$C:$C,0),'MM01'!DD$2),"")=0,"",IFERROR(INDEX(Consulta!$A:$DS,MATCH('MM01'!$B32,Consulta!$C:$C,0),'MM01'!DD$2),""))</f>
        <v/>
      </c>
      <c r="DE32" s="43" t="str">
        <f>IF(IFERROR(INDEX(Consulta!$A:$DS,MATCH('MM01'!$B32,Consulta!$C:$C,0),'MM01'!DE$2),"")=0,"",IFERROR(INDEX(Consulta!$A:$DS,MATCH('MM01'!$B32,Consulta!$C:$C,0),'MM01'!DE$2),""))</f>
        <v/>
      </c>
      <c r="DF32" s="100">
        <v>3458</v>
      </c>
      <c r="DG32" s="45">
        <v>0</v>
      </c>
      <c r="DH32" s="45">
        <v>0</v>
      </c>
      <c r="DI32" s="43" t="str">
        <f t="shared" si="3"/>
        <v/>
      </c>
      <c r="DJ32" s="43" t="str">
        <f t="shared" si="25"/>
        <v/>
      </c>
      <c r="DK32" s="57"/>
      <c r="DL32" s="43" t="str">
        <f t="shared" ca="1" si="26"/>
        <v/>
      </c>
      <c r="DM32" s="43" t="str">
        <f t="shared" si="27"/>
        <v/>
      </c>
      <c r="DN32" s="43" t="str">
        <f t="shared" si="28"/>
        <v/>
      </c>
      <c r="DO32" s="57"/>
      <c r="DP32" s="43" t="str">
        <f t="shared" ca="1" si="29"/>
        <v/>
      </c>
      <c r="DQ32" s="43" t="str">
        <f t="shared" si="30"/>
        <v/>
      </c>
      <c r="DR32" s="43" t="str">
        <f t="shared" si="31"/>
        <v/>
      </c>
      <c r="DS32" s="57"/>
      <c r="DT32" s="43" t="str">
        <f t="shared" ca="1" si="32"/>
        <v/>
      </c>
      <c r="DU32" s="43" t="str">
        <f t="shared" si="33"/>
        <v/>
      </c>
      <c r="DV32" s="43" t="str">
        <f t="shared" si="34"/>
        <v/>
      </c>
      <c r="DW32" s="57"/>
      <c r="DX32" s="43" t="str">
        <f t="shared" ca="1" si="35"/>
        <v/>
      </c>
      <c r="DY32" s="43" t="str">
        <f t="shared" si="36"/>
        <v/>
      </c>
      <c r="EA32" s="44">
        <v>0</v>
      </c>
      <c r="EB32" s="44" t="s">
        <v>761</v>
      </c>
      <c r="EC32" s="44">
        <v>30</v>
      </c>
      <c r="ED32" s="43">
        <f t="shared" si="4"/>
        <v>0.01</v>
      </c>
      <c r="EE32" s="43" t="str">
        <f t="shared" si="5"/>
        <v>M</v>
      </c>
      <c r="EF32" s="43" t="str">
        <f>IF(IFERROR(INDEX(Consulta!$A:$DS,MATCH('MM01'!$B32,Consulta!$C:$C,0),'MM01'!EF$2),"")=0,"7925",IF(IFERROR(INDEX(Consulta!$A:$DS,MATCH('MM01'!$B32,Consulta!$C:$C,0),'MM01'!EF$2),"")="68","7910","7925"))</f>
        <v>7925</v>
      </c>
      <c r="EG32" s="44">
        <v>100</v>
      </c>
      <c r="EH32" s="62">
        <v>1</v>
      </c>
      <c r="EI32" s="43">
        <f t="shared" si="37"/>
        <v>100</v>
      </c>
      <c r="EJ32" s="44">
        <v>1</v>
      </c>
      <c r="EK32" s="44">
        <v>0</v>
      </c>
      <c r="EL32" s="44" t="s">
        <v>859</v>
      </c>
      <c r="EM32" s="45">
        <v>0</v>
      </c>
      <c r="EN32" s="43">
        <f t="shared" si="38"/>
        <v>5000</v>
      </c>
      <c r="EO32" s="69"/>
    </row>
    <row r="33" spans="1:145" x14ac:dyDescent="0.2">
      <c r="A33" s="7" t="str">
        <f t="shared" si="6"/>
        <v>Execução 29</v>
      </c>
      <c r="B33" s="42"/>
      <c r="C33" s="43" t="str">
        <f>IF(IFERROR(INDEX(Consulta!$A:$DS,MATCH('MM01'!$B33,Consulta!$C:$C,0),'MM01'!C$2),"")=0,"",IFERROR(INDEX(Consulta!$A:$DS,MATCH('MM01'!$B33,Consulta!$C:$C,0),'MM01'!C$2),""))</f>
        <v/>
      </c>
      <c r="D33" s="43" t="str">
        <f>IF(IFERROR(INDEX(Consulta!$A:$DS,MATCH('MM01'!$B33,Consulta!$C:$C,0),'MM01'!D$2),"")=0,"",IFERROR(INDEX(Consulta!$A:$DS,MATCH('MM01'!$B33,Consulta!$C:$C,0),'MM01'!D$2),""))</f>
        <v/>
      </c>
      <c r="E33" s="43" t="str">
        <f>IF(IFERROR(INDEX(Consulta!$A:$DS,MATCH('MM01'!$B33,Consulta!$C:$C,0),'MM01'!E$2),"")=0,"",IFERROR(INDEX(Consulta!$A:$DS,MATCH('MM01'!$B33,Consulta!$C:$C,0),'MM01'!E$2),""))</f>
        <v/>
      </c>
      <c r="F33" s="44" t="s">
        <v>100</v>
      </c>
      <c r="G33" s="49" t="str">
        <f>IF(IFERROR(INDEX(Consulta!$A:$DS,MATCH('MM01'!$B33,Consulta!$C:$C,0),'MM01'!G$2),"")=0,"",IFERROR(INDEX(Consulta!$A:$DS,MATCH('MM01'!$B33,Consulta!$C:$C,0),'MM01'!G$2),""))</f>
        <v/>
      </c>
      <c r="H33" s="49" t="str">
        <f>IF(IFERROR(INDEX(Consulta!$A:$DS,MATCH('MM01'!$B33,Consulta!$C:$C,0),'MM01'!H$2),"")=0,"",IFERROR(INDEX(Consulta!$A:$DS,MATCH('MM01'!$B33,Consulta!$C:$C,0),'MM01'!H$2),""))</f>
        <v/>
      </c>
      <c r="I33" s="49" t="str">
        <f t="shared" si="7"/>
        <v/>
      </c>
      <c r="J33" s="49" t="str">
        <f>IF(IFERROR(INDEX(Consulta!$A:$DS,MATCH('MM01'!$B33,Consulta!$C:$C,0),'MM01'!J$2),"")=0,"",IFERROR(INDEX(Consulta!$A:$DS,MATCH('MM01'!$B33,Consulta!$C:$C,0),'MM01'!J$2),""))</f>
        <v/>
      </c>
      <c r="K33" s="49" t="str">
        <f t="shared" si="8"/>
        <v/>
      </c>
      <c r="M33" s="45" t="s">
        <v>101</v>
      </c>
      <c r="N33" s="45" t="s">
        <v>102</v>
      </c>
      <c r="O33" s="45" t="s">
        <v>103</v>
      </c>
      <c r="P33" s="45" t="s">
        <v>104</v>
      </c>
      <c r="Q33" s="45" t="s">
        <v>105</v>
      </c>
      <c r="R33" s="45" t="s">
        <v>106</v>
      </c>
      <c r="S33" s="45" t="s">
        <v>107</v>
      </c>
      <c r="T33" s="45"/>
      <c r="U33" s="45"/>
      <c r="V33" s="45"/>
      <c r="W33" s="45"/>
      <c r="X33" s="45" t="s">
        <v>112</v>
      </c>
      <c r="Y33" s="45" t="s">
        <v>113</v>
      </c>
      <c r="Z33" s="45" t="s">
        <v>114</v>
      </c>
      <c r="AA33" s="45" t="s">
        <v>115</v>
      </c>
      <c r="AB33" s="45" t="s">
        <v>117</v>
      </c>
      <c r="AC33" s="45" t="s">
        <v>118</v>
      </c>
      <c r="AD33" s="45" t="s">
        <v>119</v>
      </c>
      <c r="AE33" s="45" t="s">
        <v>120</v>
      </c>
      <c r="AF33" s="45" t="s">
        <v>121</v>
      </c>
      <c r="AG33" s="45" t="s">
        <v>122</v>
      </c>
      <c r="AH33" s="45" t="s">
        <v>123</v>
      </c>
      <c r="AI33" s="45" t="s">
        <v>124</v>
      </c>
      <c r="AJ33" s="45" t="s">
        <v>125</v>
      </c>
      <c r="AK33" s="45" t="s">
        <v>126</v>
      </c>
      <c r="AL33" s="45"/>
      <c r="AM33" s="45"/>
      <c r="AO33" s="44" t="s">
        <v>100</v>
      </c>
      <c r="AP33" s="43" t="str">
        <f>IF(IFERROR(INDEX(Consulta!$A:$DS,MATCH('MM01'!$B33,Consulta!$C:$C,0),'MM01'!AP$2),"")=0,"",IFERROR(INDEX(Consulta!$A:$DS,MATCH('MM01'!$B33,Consulta!$C:$C,0),'MM01'!AP$2),""))</f>
        <v/>
      </c>
      <c r="AQ33" s="45"/>
      <c r="AR33" s="43" t="str">
        <f>IF(IFERROR(INDEX(Consulta!$A:$DS,MATCH('MM01'!$B33,Consulta!$C:$C,0),'MM01'!AR$2),"")=0,"",IFERROR(INDEX(Consulta!$A:$DS,MATCH('MM01'!$B33,Consulta!$C:$C,0),'MM01'!AR$2),""))</f>
        <v/>
      </c>
      <c r="AS33" s="43" t="str">
        <f>IF(IFERROR(INDEX(Consulta!$A:$DS,MATCH('MM01'!$B33,Consulta!$C:$C,0),'MM01'!AS$2),"")=0,"",IF(AR33="68",5102,IFERROR(INDEX(Consulta!$A:$DS,MATCH('MM01'!$B33,Consulta!$C:$C,0),'MM01'!AS$2),"")))</f>
        <v/>
      </c>
      <c r="AT33" s="45"/>
      <c r="AU33" s="46" t="str">
        <f t="shared" ca="1" si="9"/>
        <v/>
      </c>
      <c r="AV33" s="47" t="s">
        <v>783</v>
      </c>
      <c r="AW33" s="43" t="str">
        <f>IF(IFERROR(INDEX(Consulta!$A:$DS,MATCH('MM01'!$B33,Consulta!$C:$C,0),'MM01'!AW$2),"")=0,"",IFERROR(ROUND(INDEX(Consulta!$A:$DS,MATCH('MM01'!$B33,Consulta!$C:$C,0),'MM01'!AW$2),3),""))</f>
        <v/>
      </c>
      <c r="AX33" s="43" t="str">
        <f t="shared" si="10"/>
        <v/>
      </c>
      <c r="AY33" s="48" t="s">
        <v>299</v>
      </c>
      <c r="AZ33" s="48"/>
      <c r="BA33" s="43" t="str">
        <f>IF(IFERROR(INDEX(Consulta!$A:$DS,MATCH('MM01'!$B33,Consulta!$C:$C,0),'MM01'!BA$2),"")=0,"",IFERROR(INDEX(Consulta!$A:$DS,MATCH('MM01'!$B33,Consulta!$C:$C,0),'MM01'!BA$2),""))</f>
        <v/>
      </c>
      <c r="BB33" s="43" t="str">
        <f t="shared" si="11"/>
        <v/>
      </c>
      <c r="BC33" s="43" t="str">
        <f t="shared" si="12"/>
        <v/>
      </c>
      <c r="BD33" s="43" t="str">
        <f t="shared" si="13"/>
        <v/>
      </c>
      <c r="BE33" s="43" t="str">
        <f t="shared" si="14"/>
        <v>M</v>
      </c>
      <c r="BF33" s="43" t="str">
        <f t="shared" si="15"/>
        <v/>
      </c>
      <c r="BG33" s="43" t="str">
        <f t="shared" si="16"/>
        <v/>
      </c>
      <c r="BH33" s="43" t="str">
        <f t="shared" si="17"/>
        <v/>
      </c>
      <c r="BI33" s="43" t="str">
        <f t="shared" si="18"/>
        <v>M</v>
      </c>
      <c r="BK33" s="45" t="s">
        <v>789</v>
      </c>
      <c r="BL33" s="43" t="str">
        <f>IF(IFERROR(INDEX(Consulta!$A:$DS,MATCH('MM01'!$B33,Consulta!$C:$C,0),'MM01'!BL$2),"")=0,"",IFERROR(INDEX(Consulta!$A:$DS,MATCH('MM01'!$B33,Consulta!$C:$C,0),'MM01'!BL$2),""))</f>
        <v/>
      </c>
      <c r="BM33" s="45"/>
      <c r="BN33" s="46" t="str">
        <f t="shared" ca="1" si="19"/>
        <v/>
      </c>
      <c r="BO33" s="49" t="str">
        <f t="shared" si="20"/>
        <v/>
      </c>
      <c r="BP33" s="50">
        <v>1</v>
      </c>
      <c r="BQ33" s="50" t="s">
        <v>194</v>
      </c>
      <c r="BR33" s="50" t="s">
        <v>194</v>
      </c>
      <c r="BS33" s="50" t="s">
        <v>783</v>
      </c>
      <c r="BT33" s="44">
        <v>1</v>
      </c>
      <c r="BU33" s="44" t="s">
        <v>372</v>
      </c>
      <c r="BV33" s="50" t="s">
        <v>197</v>
      </c>
      <c r="BW33" s="50" t="s">
        <v>197</v>
      </c>
      <c r="BX33" s="43" t="str">
        <f>IF(IFERROR(INDEX(Consulta!$A:$DS,MATCH('MM01'!$B33,Consulta!$C:$C,0),'MM01'!BX$2),"")=0,"",IFERROR(INDEX(Consulta!$A:$DS,MATCH('MM01'!$B33,Consulta!$C:$C,0),'MM01'!BX$2),""))</f>
        <v/>
      </c>
      <c r="BY33" s="44" t="s">
        <v>392</v>
      </c>
      <c r="BZ33" s="50">
        <v>0</v>
      </c>
      <c r="CA33" s="45" t="s">
        <v>403</v>
      </c>
      <c r="CB33" s="45" t="s">
        <v>84</v>
      </c>
      <c r="CC33" s="43" t="str">
        <f t="shared" si="21"/>
        <v/>
      </c>
      <c r="CD33" s="45" t="s">
        <v>430</v>
      </c>
      <c r="CE33" s="45">
        <v>1</v>
      </c>
      <c r="CF33" s="45" t="s">
        <v>496</v>
      </c>
      <c r="CG33" s="45"/>
      <c r="CH33" s="44"/>
      <c r="CI33" s="49" t="str">
        <f t="shared" si="22"/>
        <v/>
      </c>
      <c r="CJ33" s="49" t="str">
        <f t="shared" si="23"/>
        <v/>
      </c>
      <c r="CK33" s="45"/>
      <c r="CL33" s="44">
        <v>5</v>
      </c>
      <c r="CM33" s="44">
        <v>1</v>
      </c>
      <c r="CN33" s="44">
        <v>1</v>
      </c>
      <c r="CO33" s="44">
        <v>1</v>
      </c>
      <c r="CP33" s="50" t="s">
        <v>515</v>
      </c>
      <c r="CQ33" s="44" t="s">
        <v>372</v>
      </c>
      <c r="CR33" s="44">
        <v>2</v>
      </c>
      <c r="CS33" s="44">
        <v>42</v>
      </c>
      <c r="CT33" s="44">
        <v>10</v>
      </c>
      <c r="CU33" s="43" t="str">
        <f t="shared" si="24"/>
        <v>K00_P_PURL_</v>
      </c>
      <c r="CV33" s="45">
        <v>5000</v>
      </c>
      <c r="CW33" s="43" t="str">
        <f t="shared" si="0"/>
        <v/>
      </c>
      <c r="CX33" s="43" t="str">
        <f t="shared" si="1"/>
        <v/>
      </c>
      <c r="CY33" s="43" t="str">
        <f>IF(IFERROR(INDEX(Consulta!$A:$DS,MATCH('MM01'!$B33,Consulta!$C:$C,0),'MM01'!CY$2),"")=0,"",IFERROR(INDEX(Consulta!$A:$DS,MATCH('MM01'!$B33,Consulta!$C:$C,0),'MM01'!CY$2),""))</f>
        <v/>
      </c>
      <c r="CZ33" s="43" t="str">
        <f t="shared" si="2"/>
        <v/>
      </c>
      <c r="DA33" s="43" t="str">
        <f>IF(IFERROR(INDEX(Consulta!$A:$DS,MATCH('MM01'!$B33,Consulta!$C:$C,0),'MM01'!DA$2),"")=0,"",IFERROR(INDEX(Consulta!$A:$DS,MATCH('MM01'!$B33,Consulta!$C:$C,0),'MM01'!DA$2),""))</f>
        <v/>
      </c>
      <c r="DB33" s="43" t="str">
        <f>IF(IFERROR(INDEX(Consulta!$A:$DS,MATCH('MM01'!$B33,Consulta!$C:$C,0),'MM01'!DB$2),"")=0,"",IFERROR(INDEX(Consulta!$A:$DS,MATCH('MM01'!$B33,Consulta!$C:$C,0),'MM01'!DB$2),""))</f>
        <v/>
      </c>
      <c r="DC33" s="43" t="str">
        <f>IF(IFERROR(INDEX(Consulta!$A:$DS,MATCH('MM01'!$B33,Consulta!$C:$C,0),'MM01'!DC$2),"")=0,"",IFERROR(INDEX(Consulta!$A:$DS,MATCH('MM01'!$B33,Consulta!$C:$C,0),'MM01'!DC$2),""))</f>
        <v/>
      </c>
      <c r="DD33" s="43" t="str">
        <f>IF(IFERROR(INDEX(Consulta!$A:$DS,MATCH('MM01'!$B33,Consulta!$C:$C,0),'MM01'!DD$2),"")=0,"",IFERROR(INDEX(Consulta!$A:$DS,MATCH('MM01'!$B33,Consulta!$C:$C,0),'MM01'!DD$2),""))</f>
        <v/>
      </c>
      <c r="DE33" s="43" t="str">
        <f>IF(IFERROR(INDEX(Consulta!$A:$DS,MATCH('MM01'!$B33,Consulta!$C:$C,0),'MM01'!DE$2),"")=0,"",IFERROR(INDEX(Consulta!$A:$DS,MATCH('MM01'!$B33,Consulta!$C:$C,0),'MM01'!DE$2),""))</f>
        <v/>
      </c>
      <c r="DF33" s="100">
        <v>3458</v>
      </c>
      <c r="DG33" s="45">
        <v>0</v>
      </c>
      <c r="DH33" s="45">
        <v>0</v>
      </c>
      <c r="DI33" s="43" t="str">
        <f t="shared" si="3"/>
        <v/>
      </c>
      <c r="DJ33" s="43" t="str">
        <f t="shared" si="25"/>
        <v/>
      </c>
      <c r="DK33" s="57"/>
      <c r="DL33" s="43" t="str">
        <f t="shared" ca="1" si="26"/>
        <v/>
      </c>
      <c r="DM33" s="43" t="str">
        <f t="shared" si="27"/>
        <v/>
      </c>
      <c r="DN33" s="43" t="str">
        <f t="shared" si="28"/>
        <v/>
      </c>
      <c r="DO33" s="57"/>
      <c r="DP33" s="43" t="str">
        <f t="shared" ca="1" si="29"/>
        <v/>
      </c>
      <c r="DQ33" s="43" t="str">
        <f t="shared" si="30"/>
        <v/>
      </c>
      <c r="DR33" s="43" t="str">
        <f t="shared" si="31"/>
        <v/>
      </c>
      <c r="DS33" s="57"/>
      <c r="DT33" s="43" t="str">
        <f t="shared" ca="1" si="32"/>
        <v/>
      </c>
      <c r="DU33" s="43" t="str">
        <f t="shared" si="33"/>
        <v/>
      </c>
      <c r="DV33" s="43" t="str">
        <f t="shared" si="34"/>
        <v/>
      </c>
      <c r="DW33" s="57"/>
      <c r="DX33" s="43" t="str">
        <f t="shared" ca="1" si="35"/>
        <v/>
      </c>
      <c r="DY33" s="43" t="str">
        <f t="shared" si="36"/>
        <v/>
      </c>
      <c r="EA33" s="44">
        <v>0</v>
      </c>
      <c r="EB33" s="44" t="s">
        <v>761</v>
      </c>
      <c r="EC33" s="44">
        <v>30</v>
      </c>
      <c r="ED33" s="43">
        <f t="shared" si="4"/>
        <v>0.01</v>
      </c>
      <c r="EE33" s="43" t="str">
        <f t="shared" si="5"/>
        <v>M</v>
      </c>
      <c r="EF33" s="43" t="str">
        <f>IF(IFERROR(INDEX(Consulta!$A:$DS,MATCH('MM01'!$B33,Consulta!$C:$C,0),'MM01'!EF$2),"")=0,"7925",IF(IFERROR(INDEX(Consulta!$A:$DS,MATCH('MM01'!$B33,Consulta!$C:$C,0),'MM01'!EF$2),"")="68","7910","7925"))</f>
        <v>7925</v>
      </c>
      <c r="EG33" s="44">
        <v>100</v>
      </c>
      <c r="EH33" s="62">
        <v>1</v>
      </c>
      <c r="EI33" s="43">
        <f t="shared" si="37"/>
        <v>100</v>
      </c>
      <c r="EJ33" s="44">
        <v>1</v>
      </c>
      <c r="EK33" s="44">
        <v>0</v>
      </c>
      <c r="EL33" s="44" t="s">
        <v>859</v>
      </c>
      <c r="EM33" s="45">
        <v>0</v>
      </c>
      <c r="EN33" s="43">
        <f t="shared" si="38"/>
        <v>5000</v>
      </c>
      <c r="EO33" s="69"/>
    </row>
    <row r="34" spans="1:145" x14ac:dyDescent="0.2">
      <c r="A34" s="7" t="str">
        <f t="shared" si="6"/>
        <v>Execução 30</v>
      </c>
      <c r="B34" s="42"/>
      <c r="C34" s="43" t="str">
        <f>IF(IFERROR(INDEX(Consulta!$A:$DS,MATCH('MM01'!$B34,Consulta!$C:$C,0),'MM01'!C$2),"")=0,"",IFERROR(INDEX(Consulta!$A:$DS,MATCH('MM01'!$B34,Consulta!$C:$C,0),'MM01'!C$2),""))</f>
        <v/>
      </c>
      <c r="D34" s="43" t="str">
        <f>IF(IFERROR(INDEX(Consulta!$A:$DS,MATCH('MM01'!$B34,Consulta!$C:$C,0),'MM01'!D$2),"")=0,"",IFERROR(INDEX(Consulta!$A:$DS,MATCH('MM01'!$B34,Consulta!$C:$C,0),'MM01'!D$2),""))</f>
        <v/>
      </c>
      <c r="E34" s="43" t="str">
        <f>IF(IFERROR(INDEX(Consulta!$A:$DS,MATCH('MM01'!$B34,Consulta!$C:$C,0),'MM01'!E$2),"")=0,"",IFERROR(INDEX(Consulta!$A:$DS,MATCH('MM01'!$B34,Consulta!$C:$C,0),'MM01'!E$2),""))</f>
        <v/>
      </c>
      <c r="F34" s="44" t="s">
        <v>100</v>
      </c>
      <c r="G34" s="49" t="str">
        <f>IF(IFERROR(INDEX(Consulta!$A:$DS,MATCH('MM01'!$B34,Consulta!$C:$C,0),'MM01'!G$2),"")=0,"",IFERROR(INDEX(Consulta!$A:$DS,MATCH('MM01'!$B34,Consulta!$C:$C,0),'MM01'!G$2),""))</f>
        <v/>
      </c>
      <c r="H34" s="49" t="str">
        <f>IF(IFERROR(INDEX(Consulta!$A:$DS,MATCH('MM01'!$B34,Consulta!$C:$C,0),'MM01'!H$2),"")=0,"",IFERROR(INDEX(Consulta!$A:$DS,MATCH('MM01'!$B34,Consulta!$C:$C,0),'MM01'!H$2),""))</f>
        <v/>
      </c>
      <c r="I34" s="49" t="str">
        <f t="shared" si="7"/>
        <v/>
      </c>
      <c r="J34" s="49" t="str">
        <f>IF(IFERROR(INDEX(Consulta!$A:$DS,MATCH('MM01'!$B34,Consulta!$C:$C,0),'MM01'!J$2),"")=0,"",IFERROR(INDEX(Consulta!$A:$DS,MATCH('MM01'!$B34,Consulta!$C:$C,0),'MM01'!J$2),""))</f>
        <v/>
      </c>
      <c r="K34" s="49" t="str">
        <f t="shared" si="8"/>
        <v/>
      </c>
      <c r="M34" s="45" t="s">
        <v>101</v>
      </c>
      <c r="N34" s="45" t="s">
        <v>102</v>
      </c>
      <c r="O34" s="45" t="s">
        <v>103</v>
      </c>
      <c r="P34" s="45" t="s">
        <v>104</v>
      </c>
      <c r="Q34" s="45" t="s">
        <v>105</v>
      </c>
      <c r="R34" s="45" t="s">
        <v>106</v>
      </c>
      <c r="S34" s="45" t="s">
        <v>107</v>
      </c>
      <c r="T34" s="45"/>
      <c r="U34" s="45"/>
      <c r="V34" s="45"/>
      <c r="W34" s="45"/>
      <c r="X34" s="45" t="s">
        <v>112</v>
      </c>
      <c r="Y34" s="45" t="s">
        <v>113</v>
      </c>
      <c r="Z34" s="45" t="s">
        <v>114</v>
      </c>
      <c r="AA34" s="45" t="s">
        <v>115</v>
      </c>
      <c r="AB34" s="45" t="s">
        <v>117</v>
      </c>
      <c r="AC34" s="45" t="s">
        <v>118</v>
      </c>
      <c r="AD34" s="45" t="s">
        <v>119</v>
      </c>
      <c r="AE34" s="45" t="s">
        <v>120</v>
      </c>
      <c r="AF34" s="45" t="s">
        <v>121</v>
      </c>
      <c r="AG34" s="45" t="s">
        <v>122</v>
      </c>
      <c r="AH34" s="45" t="s">
        <v>123</v>
      </c>
      <c r="AI34" s="45" t="s">
        <v>124</v>
      </c>
      <c r="AJ34" s="45" t="s">
        <v>125</v>
      </c>
      <c r="AK34" s="45" t="s">
        <v>126</v>
      </c>
      <c r="AL34" s="45"/>
      <c r="AM34" s="45"/>
      <c r="AO34" s="44" t="s">
        <v>100</v>
      </c>
      <c r="AP34" s="43" t="str">
        <f>IF(IFERROR(INDEX(Consulta!$A:$DS,MATCH('MM01'!$B34,Consulta!$C:$C,0),'MM01'!AP$2),"")=0,"",IFERROR(INDEX(Consulta!$A:$DS,MATCH('MM01'!$B34,Consulta!$C:$C,0),'MM01'!AP$2),""))</f>
        <v/>
      </c>
      <c r="AQ34" s="45"/>
      <c r="AR34" s="43" t="str">
        <f>IF(IFERROR(INDEX(Consulta!$A:$DS,MATCH('MM01'!$B34,Consulta!$C:$C,0),'MM01'!AR$2),"")=0,"",IFERROR(INDEX(Consulta!$A:$DS,MATCH('MM01'!$B34,Consulta!$C:$C,0),'MM01'!AR$2),""))</f>
        <v/>
      </c>
      <c r="AS34" s="43" t="str">
        <f>IF(IFERROR(INDEX(Consulta!$A:$DS,MATCH('MM01'!$B34,Consulta!$C:$C,0),'MM01'!AS$2),"")=0,"",IF(AR34="68",5102,IFERROR(INDEX(Consulta!$A:$DS,MATCH('MM01'!$B34,Consulta!$C:$C,0),'MM01'!AS$2),"")))</f>
        <v/>
      </c>
      <c r="AT34" s="45"/>
      <c r="AU34" s="46" t="str">
        <f t="shared" ca="1" si="9"/>
        <v/>
      </c>
      <c r="AV34" s="47" t="s">
        <v>783</v>
      </c>
      <c r="AW34" s="43" t="str">
        <f>IF(IFERROR(INDEX(Consulta!$A:$DS,MATCH('MM01'!$B34,Consulta!$C:$C,0),'MM01'!AW$2),"")=0,"",IFERROR(ROUND(INDEX(Consulta!$A:$DS,MATCH('MM01'!$B34,Consulta!$C:$C,0),'MM01'!AW$2),3),""))</f>
        <v/>
      </c>
      <c r="AX34" s="43" t="str">
        <f t="shared" si="10"/>
        <v/>
      </c>
      <c r="AY34" s="48" t="s">
        <v>299</v>
      </c>
      <c r="AZ34" s="48"/>
      <c r="BA34" s="43" t="str">
        <f>IF(IFERROR(INDEX(Consulta!$A:$DS,MATCH('MM01'!$B34,Consulta!$C:$C,0),'MM01'!BA$2),"")=0,"",IFERROR(INDEX(Consulta!$A:$DS,MATCH('MM01'!$B34,Consulta!$C:$C,0),'MM01'!BA$2),""))</f>
        <v/>
      </c>
      <c r="BB34" s="43" t="str">
        <f t="shared" si="11"/>
        <v/>
      </c>
      <c r="BC34" s="43" t="str">
        <f t="shared" si="12"/>
        <v/>
      </c>
      <c r="BD34" s="43" t="str">
        <f t="shared" si="13"/>
        <v/>
      </c>
      <c r="BE34" s="43" t="str">
        <f t="shared" si="14"/>
        <v>M</v>
      </c>
      <c r="BF34" s="43" t="str">
        <f t="shared" si="15"/>
        <v/>
      </c>
      <c r="BG34" s="43" t="str">
        <f t="shared" si="16"/>
        <v/>
      </c>
      <c r="BH34" s="43" t="str">
        <f t="shared" si="17"/>
        <v/>
      </c>
      <c r="BI34" s="43" t="str">
        <f t="shared" si="18"/>
        <v>M</v>
      </c>
      <c r="BK34" s="45" t="s">
        <v>789</v>
      </c>
      <c r="BL34" s="43" t="str">
        <f>IF(IFERROR(INDEX(Consulta!$A:$DS,MATCH('MM01'!$B34,Consulta!$C:$C,0),'MM01'!BL$2),"")=0,"",IFERROR(INDEX(Consulta!$A:$DS,MATCH('MM01'!$B34,Consulta!$C:$C,0),'MM01'!BL$2),""))</f>
        <v/>
      </c>
      <c r="BM34" s="45"/>
      <c r="BN34" s="46" t="str">
        <f t="shared" ca="1" si="19"/>
        <v/>
      </c>
      <c r="BO34" s="49" t="str">
        <f t="shared" si="20"/>
        <v/>
      </c>
      <c r="BP34" s="50">
        <v>1</v>
      </c>
      <c r="BQ34" s="50" t="s">
        <v>194</v>
      </c>
      <c r="BR34" s="50" t="s">
        <v>194</v>
      </c>
      <c r="BS34" s="50" t="s">
        <v>783</v>
      </c>
      <c r="BT34" s="44">
        <v>1</v>
      </c>
      <c r="BU34" s="44" t="s">
        <v>372</v>
      </c>
      <c r="BV34" s="50" t="s">
        <v>197</v>
      </c>
      <c r="BW34" s="50" t="s">
        <v>197</v>
      </c>
      <c r="BX34" s="43" t="str">
        <f>IF(IFERROR(INDEX(Consulta!$A:$DS,MATCH('MM01'!$B34,Consulta!$C:$C,0),'MM01'!BX$2),"")=0,"",IFERROR(INDEX(Consulta!$A:$DS,MATCH('MM01'!$B34,Consulta!$C:$C,0),'MM01'!BX$2),""))</f>
        <v/>
      </c>
      <c r="BY34" s="44" t="s">
        <v>392</v>
      </c>
      <c r="BZ34" s="50">
        <v>0</v>
      </c>
      <c r="CA34" s="45" t="s">
        <v>403</v>
      </c>
      <c r="CB34" s="45" t="s">
        <v>84</v>
      </c>
      <c r="CC34" s="43" t="str">
        <f t="shared" si="21"/>
        <v/>
      </c>
      <c r="CD34" s="45" t="s">
        <v>430</v>
      </c>
      <c r="CE34" s="45">
        <v>1</v>
      </c>
      <c r="CF34" s="45" t="s">
        <v>496</v>
      </c>
      <c r="CG34" s="45"/>
      <c r="CH34" s="44"/>
      <c r="CI34" s="49" t="str">
        <f t="shared" si="22"/>
        <v/>
      </c>
      <c r="CJ34" s="49" t="str">
        <f t="shared" si="23"/>
        <v/>
      </c>
      <c r="CK34" s="45"/>
      <c r="CL34" s="44">
        <v>5</v>
      </c>
      <c r="CM34" s="44">
        <v>1</v>
      </c>
      <c r="CN34" s="44">
        <v>1</v>
      </c>
      <c r="CO34" s="44">
        <v>1</v>
      </c>
      <c r="CP34" s="50" t="s">
        <v>515</v>
      </c>
      <c r="CQ34" s="44" t="s">
        <v>372</v>
      </c>
      <c r="CR34" s="44">
        <v>2</v>
      </c>
      <c r="CS34" s="44">
        <v>42</v>
      </c>
      <c r="CT34" s="44">
        <v>10</v>
      </c>
      <c r="CU34" s="43" t="str">
        <f t="shared" si="24"/>
        <v>K00_P_PURL_</v>
      </c>
      <c r="CV34" s="45">
        <v>5000</v>
      </c>
      <c r="CW34" s="43" t="str">
        <f t="shared" si="0"/>
        <v/>
      </c>
      <c r="CX34" s="43" t="str">
        <f t="shared" si="1"/>
        <v/>
      </c>
      <c r="CY34" s="43" t="str">
        <f>IF(IFERROR(INDEX(Consulta!$A:$DS,MATCH('MM01'!$B34,Consulta!$C:$C,0),'MM01'!CY$2),"")=0,"",IFERROR(INDEX(Consulta!$A:$DS,MATCH('MM01'!$B34,Consulta!$C:$C,0),'MM01'!CY$2),""))</f>
        <v/>
      </c>
      <c r="CZ34" s="43" t="str">
        <f t="shared" si="2"/>
        <v/>
      </c>
      <c r="DA34" s="43" t="str">
        <f>IF(IFERROR(INDEX(Consulta!$A:$DS,MATCH('MM01'!$B34,Consulta!$C:$C,0),'MM01'!DA$2),"")=0,"",IFERROR(INDEX(Consulta!$A:$DS,MATCH('MM01'!$B34,Consulta!$C:$C,0),'MM01'!DA$2),""))</f>
        <v/>
      </c>
      <c r="DB34" s="43" t="str">
        <f>IF(IFERROR(INDEX(Consulta!$A:$DS,MATCH('MM01'!$B34,Consulta!$C:$C,0),'MM01'!DB$2),"")=0,"",IFERROR(INDEX(Consulta!$A:$DS,MATCH('MM01'!$B34,Consulta!$C:$C,0),'MM01'!DB$2),""))</f>
        <v/>
      </c>
      <c r="DC34" s="43" t="str">
        <f>IF(IFERROR(INDEX(Consulta!$A:$DS,MATCH('MM01'!$B34,Consulta!$C:$C,0),'MM01'!DC$2),"")=0,"",IFERROR(INDEX(Consulta!$A:$DS,MATCH('MM01'!$B34,Consulta!$C:$C,0),'MM01'!DC$2),""))</f>
        <v/>
      </c>
      <c r="DD34" s="43" t="str">
        <f>IF(IFERROR(INDEX(Consulta!$A:$DS,MATCH('MM01'!$B34,Consulta!$C:$C,0),'MM01'!DD$2),"")=0,"",IFERROR(INDEX(Consulta!$A:$DS,MATCH('MM01'!$B34,Consulta!$C:$C,0),'MM01'!DD$2),""))</f>
        <v/>
      </c>
      <c r="DE34" s="43" t="str">
        <f>IF(IFERROR(INDEX(Consulta!$A:$DS,MATCH('MM01'!$B34,Consulta!$C:$C,0),'MM01'!DE$2),"")=0,"",IFERROR(INDEX(Consulta!$A:$DS,MATCH('MM01'!$B34,Consulta!$C:$C,0),'MM01'!DE$2),""))</f>
        <v/>
      </c>
      <c r="DF34" s="100">
        <v>3458</v>
      </c>
      <c r="DG34" s="45">
        <v>0</v>
      </c>
      <c r="DH34" s="45">
        <v>0</v>
      </c>
      <c r="DI34" s="43" t="str">
        <f t="shared" si="3"/>
        <v/>
      </c>
      <c r="DJ34" s="43" t="str">
        <f t="shared" si="25"/>
        <v/>
      </c>
      <c r="DK34" s="57"/>
      <c r="DL34" s="43" t="str">
        <f t="shared" ca="1" si="26"/>
        <v/>
      </c>
      <c r="DM34" s="43" t="str">
        <f t="shared" si="27"/>
        <v/>
      </c>
      <c r="DN34" s="43" t="str">
        <f t="shared" si="28"/>
        <v/>
      </c>
      <c r="DO34" s="57"/>
      <c r="DP34" s="43" t="str">
        <f t="shared" ca="1" si="29"/>
        <v/>
      </c>
      <c r="DQ34" s="43" t="str">
        <f t="shared" si="30"/>
        <v/>
      </c>
      <c r="DR34" s="43" t="str">
        <f t="shared" si="31"/>
        <v/>
      </c>
      <c r="DS34" s="57"/>
      <c r="DT34" s="43" t="str">
        <f t="shared" ca="1" si="32"/>
        <v/>
      </c>
      <c r="DU34" s="43" t="str">
        <f t="shared" si="33"/>
        <v/>
      </c>
      <c r="DV34" s="43" t="str">
        <f t="shared" si="34"/>
        <v/>
      </c>
      <c r="DW34" s="57"/>
      <c r="DX34" s="43" t="str">
        <f t="shared" ca="1" si="35"/>
        <v/>
      </c>
      <c r="DY34" s="43" t="str">
        <f t="shared" si="36"/>
        <v/>
      </c>
      <c r="EA34" s="44">
        <v>0</v>
      </c>
      <c r="EB34" s="44" t="s">
        <v>761</v>
      </c>
      <c r="EC34" s="44">
        <v>30</v>
      </c>
      <c r="ED34" s="43">
        <f t="shared" si="4"/>
        <v>0.01</v>
      </c>
      <c r="EE34" s="43" t="str">
        <f t="shared" si="5"/>
        <v>M</v>
      </c>
      <c r="EF34" s="43" t="str">
        <f>IF(IFERROR(INDEX(Consulta!$A:$DS,MATCH('MM01'!$B34,Consulta!$C:$C,0),'MM01'!EF$2),"")=0,"7925",IF(IFERROR(INDEX(Consulta!$A:$DS,MATCH('MM01'!$B34,Consulta!$C:$C,0),'MM01'!EF$2),"")="68","7910","7925"))</f>
        <v>7925</v>
      </c>
      <c r="EG34" s="44">
        <v>100</v>
      </c>
      <c r="EH34" s="62">
        <v>1</v>
      </c>
      <c r="EI34" s="43">
        <f t="shared" si="37"/>
        <v>100</v>
      </c>
      <c r="EJ34" s="44">
        <v>1</v>
      </c>
      <c r="EK34" s="44">
        <v>0</v>
      </c>
      <c r="EL34" s="44" t="s">
        <v>859</v>
      </c>
      <c r="EM34" s="45">
        <v>0</v>
      </c>
      <c r="EN34" s="43">
        <f t="shared" si="38"/>
        <v>5000</v>
      </c>
      <c r="EO34" s="69"/>
    </row>
    <row r="35" spans="1:145" x14ac:dyDescent="0.2">
      <c r="A35" s="7" t="str">
        <f t="shared" si="6"/>
        <v>Execução 31</v>
      </c>
      <c r="B35" s="42"/>
      <c r="C35" s="43" t="str">
        <f>IF(IFERROR(INDEX(Consulta!$A:$DS,MATCH('MM01'!$B35,Consulta!$C:$C,0),'MM01'!C$2),"")=0,"",IFERROR(INDEX(Consulta!$A:$DS,MATCH('MM01'!$B35,Consulta!$C:$C,0),'MM01'!C$2),""))</f>
        <v/>
      </c>
      <c r="D35" s="43" t="str">
        <f>IF(IFERROR(INDEX(Consulta!$A:$DS,MATCH('MM01'!$B35,Consulta!$C:$C,0),'MM01'!D$2),"")=0,"",IFERROR(INDEX(Consulta!$A:$DS,MATCH('MM01'!$B35,Consulta!$C:$C,0),'MM01'!D$2),""))</f>
        <v/>
      </c>
      <c r="E35" s="43" t="str">
        <f>IF(IFERROR(INDEX(Consulta!$A:$DS,MATCH('MM01'!$B35,Consulta!$C:$C,0),'MM01'!E$2),"")=0,"",IFERROR(INDEX(Consulta!$A:$DS,MATCH('MM01'!$B35,Consulta!$C:$C,0),'MM01'!E$2),""))</f>
        <v/>
      </c>
      <c r="F35" s="44" t="s">
        <v>100</v>
      </c>
      <c r="G35" s="49" t="str">
        <f>IF(IFERROR(INDEX(Consulta!$A:$DS,MATCH('MM01'!$B35,Consulta!$C:$C,0),'MM01'!G$2),"")=0,"",IFERROR(INDEX(Consulta!$A:$DS,MATCH('MM01'!$B35,Consulta!$C:$C,0),'MM01'!G$2),""))</f>
        <v/>
      </c>
      <c r="H35" s="49" t="str">
        <f>IF(IFERROR(INDEX(Consulta!$A:$DS,MATCH('MM01'!$B35,Consulta!$C:$C,0),'MM01'!H$2),"")=0,"",IFERROR(INDEX(Consulta!$A:$DS,MATCH('MM01'!$B35,Consulta!$C:$C,0),'MM01'!H$2),""))</f>
        <v/>
      </c>
      <c r="I35" s="49" t="str">
        <f t="shared" si="7"/>
        <v/>
      </c>
      <c r="J35" s="49" t="str">
        <f>IF(IFERROR(INDEX(Consulta!$A:$DS,MATCH('MM01'!$B35,Consulta!$C:$C,0),'MM01'!J$2),"")=0,"",IFERROR(INDEX(Consulta!$A:$DS,MATCH('MM01'!$B35,Consulta!$C:$C,0),'MM01'!J$2),""))</f>
        <v/>
      </c>
      <c r="K35" s="49" t="str">
        <f t="shared" si="8"/>
        <v/>
      </c>
      <c r="M35" s="45" t="s">
        <v>101</v>
      </c>
      <c r="N35" s="45" t="s">
        <v>102</v>
      </c>
      <c r="O35" s="45" t="s">
        <v>103</v>
      </c>
      <c r="P35" s="45" t="s">
        <v>104</v>
      </c>
      <c r="Q35" s="45" t="s">
        <v>105</v>
      </c>
      <c r="R35" s="45" t="s">
        <v>106</v>
      </c>
      <c r="S35" s="45" t="s">
        <v>107</v>
      </c>
      <c r="T35" s="45"/>
      <c r="U35" s="45"/>
      <c r="V35" s="45"/>
      <c r="W35" s="45"/>
      <c r="X35" s="45" t="s">
        <v>112</v>
      </c>
      <c r="Y35" s="45" t="s">
        <v>113</v>
      </c>
      <c r="Z35" s="45" t="s">
        <v>114</v>
      </c>
      <c r="AA35" s="45" t="s">
        <v>115</v>
      </c>
      <c r="AB35" s="45" t="s">
        <v>117</v>
      </c>
      <c r="AC35" s="45" t="s">
        <v>118</v>
      </c>
      <c r="AD35" s="45" t="s">
        <v>119</v>
      </c>
      <c r="AE35" s="45" t="s">
        <v>120</v>
      </c>
      <c r="AF35" s="45" t="s">
        <v>121</v>
      </c>
      <c r="AG35" s="45" t="s">
        <v>122</v>
      </c>
      <c r="AH35" s="45" t="s">
        <v>123</v>
      </c>
      <c r="AI35" s="45" t="s">
        <v>124</v>
      </c>
      <c r="AJ35" s="45" t="s">
        <v>125</v>
      </c>
      <c r="AK35" s="45" t="s">
        <v>126</v>
      </c>
      <c r="AL35" s="45"/>
      <c r="AM35" s="45"/>
      <c r="AO35" s="44" t="s">
        <v>100</v>
      </c>
      <c r="AP35" s="43" t="str">
        <f>IF(IFERROR(INDEX(Consulta!$A:$DS,MATCH('MM01'!$B35,Consulta!$C:$C,0),'MM01'!AP$2),"")=0,"",IFERROR(INDEX(Consulta!$A:$DS,MATCH('MM01'!$B35,Consulta!$C:$C,0),'MM01'!AP$2),""))</f>
        <v/>
      </c>
      <c r="AQ35" s="45"/>
      <c r="AR35" s="43" t="str">
        <f>IF(IFERROR(INDEX(Consulta!$A:$DS,MATCH('MM01'!$B35,Consulta!$C:$C,0),'MM01'!AR$2),"")=0,"",IFERROR(INDEX(Consulta!$A:$DS,MATCH('MM01'!$B35,Consulta!$C:$C,0),'MM01'!AR$2),""))</f>
        <v/>
      </c>
      <c r="AS35" s="43" t="str">
        <f>IF(IFERROR(INDEX(Consulta!$A:$DS,MATCH('MM01'!$B35,Consulta!$C:$C,0),'MM01'!AS$2),"")=0,"",IF(AR35="68",5102,IFERROR(INDEX(Consulta!$A:$DS,MATCH('MM01'!$B35,Consulta!$C:$C,0),'MM01'!AS$2),"")))</f>
        <v/>
      </c>
      <c r="AT35" s="45"/>
      <c r="AU35" s="46" t="str">
        <f t="shared" ca="1" si="9"/>
        <v/>
      </c>
      <c r="AV35" s="47" t="s">
        <v>783</v>
      </c>
      <c r="AW35" s="43" t="str">
        <f>IF(IFERROR(INDEX(Consulta!$A:$DS,MATCH('MM01'!$B35,Consulta!$C:$C,0),'MM01'!AW$2),"")=0,"",IFERROR(ROUND(INDEX(Consulta!$A:$DS,MATCH('MM01'!$B35,Consulta!$C:$C,0),'MM01'!AW$2),3),""))</f>
        <v/>
      </c>
      <c r="AX35" s="43" t="str">
        <f t="shared" si="10"/>
        <v/>
      </c>
      <c r="AY35" s="48" t="s">
        <v>299</v>
      </c>
      <c r="AZ35" s="48"/>
      <c r="BA35" s="43" t="str">
        <f>IF(IFERROR(INDEX(Consulta!$A:$DS,MATCH('MM01'!$B35,Consulta!$C:$C,0),'MM01'!BA$2),"")=0,"",IFERROR(INDEX(Consulta!$A:$DS,MATCH('MM01'!$B35,Consulta!$C:$C,0),'MM01'!BA$2),""))</f>
        <v/>
      </c>
      <c r="BB35" s="43" t="str">
        <f t="shared" si="11"/>
        <v/>
      </c>
      <c r="BC35" s="43" t="str">
        <f t="shared" si="12"/>
        <v/>
      </c>
      <c r="BD35" s="43" t="str">
        <f t="shared" si="13"/>
        <v/>
      </c>
      <c r="BE35" s="43" t="str">
        <f t="shared" si="14"/>
        <v>M</v>
      </c>
      <c r="BF35" s="43" t="str">
        <f t="shared" si="15"/>
        <v/>
      </c>
      <c r="BG35" s="43" t="str">
        <f t="shared" si="16"/>
        <v/>
      </c>
      <c r="BH35" s="43" t="str">
        <f t="shared" si="17"/>
        <v/>
      </c>
      <c r="BI35" s="43" t="str">
        <f t="shared" si="18"/>
        <v>M</v>
      </c>
      <c r="BK35" s="45" t="s">
        <v>789</v>
      </c>
      <c r="BL35" s="43" t="str">
        <f>IF(IFERROR(INDEX(Consulta!$A:$DS,MATCH('MM01'!$B35,Consulta!$C:$C,0),'MM01'!BL$2),"")=0,"",IFERROR(INDEX(Consulta!$A:$DS,MATCH('MM01'!$B35,Consulta!$C:$C,0),'MM01'!BL$2),""))</f>
        <v/>
      </c>
      <c r="BM35" s="45"/>
      <c r="BN35" s="46" t="str">
        <f t="shared" ca="1" si="19"/>
        <v/>
      </c>
      <c r="BO35" s="49" t="str">
        <f t="shared" si="20"/>
        <v/>
      </c>
      <c r="BP35" s="50">
        <v>1</v>
      </c>
      <c r="BQ35" s="50" t="s">
        <v>194</v>
      </c>
      <c r="BR35" s="50" t="s">
        <v>194</v>
      </c>
      <c r="BS35" s="50" t="s">
        <v>783</v>
      </c>
      <c r="BT35" s="44">
        <v>1</v>
      </c>
      <c r="BU35" s="44" t="s">
        <v>372</v>
      </c>
      <c r="BV35" s="50" t="s">
        <v>197</v>
      </c>
      <c r="BW35" s="50" t="s">
        <v>197</v>
      </c>
      <c r="BX35" s="43" t="str">
        <f>IF(IFERROR(INDEX(Consulta!$A:$DS,MATCH('MM01'!$B35,Consulta!$C:$C,0),'MM01'!BX$2),"")=0,"",IFERROR(INDEX(Consulta!$A:$DS,MATCH('MM01'!$B35,Consulta!$C:$C,0),'MM01'!BX$2),""))</f>
        <v/>
      </c>
      <c r="BY35" s="44" t="s">
        <v>392</v>
      </c>
      <c r="BZ35" s="50">
        <v>0</v>
      </c>
      <c r="CA35" s="45" t="s">
        <v>403</v>
      </c>
      <c r="CB35" s="45" t="s">
        <v>84</v>
      </c>
      <c r="CC35" s="43" t="str">
        <f t="shared" si="21"/>
        <v/>
      </c>
      <c r="CD35" s="45" t="s">
        <v>430</v>
      </c>
      <c r="CE35" s="45">
        <v>1</v>
      </c>
      <c r="CF35" s="45" t="s">
        <v>496</v>
      </c>
      <c r="CG35" s="45"/>
      <c r="CH35" s="44"/>
      <c r="CI35" s="49" t="str">
        <f t="shared" si="22"/>
        <v/>
      </c>
      <c r="CJ35" s="49" t="str">
        <f t="shared" si="23"/>
        <v/>
      </c>
      <c r="CK35" s="45"/>
      <c r="CL35" s="44">
        <v>5</v>
      </c>
      <c r="CM35" s="44">
        <v>1</v>
      </c>
      <c r="CN35" s="44">
        <v>1</v>
      </c>
      <c r="CO35" s="44">
        <v>1</v>
      </c>
      <c r="CP35" s="50" t="s">
        <v>515</v>
      </c>
      <c r="CQ35" s="44" t="s">
        <v>372</v>
      </c>
      <c r="CR35" s="44">
        <v>2</v>
      </c>
      <c r="CS35" s="44">
        <v>42</v>
      </c>
      <c r="CT35" s="44">
        <v>10</v>
      </c>
      <c r="CU35" s="43" t="str">
        <f t="shared" si="24"/>
        <v>K00_P_PURL_</v>
      </c>
      <c r="CV35" s="45">
        <v>5000</v>
      </c>
      <c r="CW35" s="43" t="str">
        <f t="shared" si="0"/>
        <v/>
      </c>
      <c r="CX35" s="43" t="str">
        <f t="shared" si="1"/>
        <v/>
      </c>
      <c r="CY35" s="43" t="str">
        <f>IF(IFERROR(INDEX(Consulta!$A:$DS,MATCH('MM01'!$B35,Consulta!$C:$C,0),'MM01'!CY$2),"")=0,"",IFERROR(INDEX(Consulta!$A:$DS,MATCH('MM01'!$B35,Consulta!$C:$C,0),'MM01'!CY$2),""))</f>
        <v/>
      </c>
      <c r="CZ35" s="43" t="str">
        <f t="shared" si="2"/>
        <v/>
      </c>
      <c r="DA35" s="43" t="str">
        <f>IF(IFERROR(INDEX(Consulta!$A:$DS,MATCH('MM01'!$B35,Consulta!$C:$C,0),'MM01'!DA$2),"")=0,"",IFERROR(INDEX(Consulta!$A:$DS,MATCH('MM01'!$B35,Consulta!$C:$C,0),'MM01'!DA$2),""))</f>
        <v/>
      </c>
      <c r="DB35" s="43" t="str">
        <f>IF(IFERROR(INDEX(Consulta!$A:$DS,MATCH('MM01'!$B35,Consulta!$C:$C,0),'MM01'!DB$2),"")=0,"",IFERROR(INDEX(Consulta!$A:$DS,MATCH('MM01'!$B35,Consulta!$C:$C,0),'MM01'!DB$2),""))</f>
        <v/>
      </c>
      <c r="DC35" s="43" t="str">
        <f>IF(IFERROR(INDEX(Consulta!$A:$DS,MATCH('MM01'!$B35,Consulta!$C:$C,0),'MM01'!DC$2),"")=0,"",IFERROR(INDEX(Consulta!$A:$DS,MATCH('MM01'!$B35,Consulta!$C:$C,0),'MM01'!DC$2),""))</f>
        <v/>
      </c>
      <c r="DD35" s="43" t="str">
        <f>IF(IFERROR(INDEX(Consulta!$A:$DS,MATCH('MM01'!$B35,Consulta!$C:$C,0),'MM01'!DD$2),"")=0,"",IFERROR(INDEX(Consulta!$A:$DS,MATCH('MM01'!$B35,Consulta!$C:$C,0),'MM01'!DD$2),""))</f>
        <v/>
      </c>
      <c r="DE35" s="43" t="str">
        <f>IF(IFERROR(INDEX(Consulta!$A:$DS,MATCH('MM01'!$B35,Consulta!$C:$C,0),'MM01'!DE$2),"")=0,"",IFERROR(INDEX(Consulta!$A:$DS,MATCH('MM01'!$B35,Consulta!$C:$C,0),'MM01'!DE$2),""))</f>
        <v/>
      </c>
      <c r="DF35" s="100">
        <v>3458</v>
      </c>
      <c r="DG35" s="45">
        <v>0</v>
      </c>
      <c r="DH35" s="45">
        <v>0</v>
      </c>
      <c r="DI35" s="43" t="str">
        <f t="shared" si="3"/>
        <v/>
      </c>
      <c r="DJ35" s="43" t="str">
        <f t="shared" si="25"/>
        <v/>
      </c>
      <c r="DK35" s="57"/>
      <c r="DL35" s="43" t="str">
        <f t="shared" ca="1" si="26"/>
        <v/>
      </c>
      <c r="DM35" s="43" t="str">
        <f t="shared" si="27"/>
        <v/>
      </c>
      <c r="DN35" s="43" t="str">
        <f t="shared" si="28"/>
        <v/>
      </c>
      <c r="DO35" s="57"/>
      <c r="DP35" s="43" t="str">
        <f t="shared" ca="1" si="29"/>
        <v/>
      </c>
      <c r="DQ35" s="43" t="str">
        <f t="shared" si="30"/>
        <v/>
      </c>
      <c r="DR35" s="43" t="str">
        <f t="shared" si="31"/>
        <v/>
      </c>
      <c r="DS35" s="57"/>
      <c r="DT35" s="43" t="str">
        <f t="shared" ca="1" si="32"/>
        <v/>
      </c>
      <c r="DU35" s="43" t="str">
        <f t="shared" si="33"/>
        <v/>
      </c>
      <c r="DV35" s="43" t="str">
        <f t="shared" si="34"/>
        <v/>
      </c>
      <c r="DW35" s="57"/>
      <c r="DX35" s="43" t="str">
        <f t="shared" ca="1" si="35"/>
        <v/>
      </c>
      <c r="DY35" s="43" t="str">
        <f t="shared" si="36"/>
        <v/>
      </c>
      <c r="EA35" s="44">
        <v>0</v>
      </c>
      <c r="EB35" s="44" t="s">
        <v>761</v>
      </c>
      <c r="EC35" s="44">
        <v>30</v>
      </c>
      <c r="ED35" s="43">
        <f t="shared" si="4"/>
        <v>0.01</v>
      </c>
      <c r="EE35" s="43" t="str">
        <f t="shared" si="5"/>
        <v>M</v>
      </c>
      <c r="EF35" s="43" t="str">
        <f>IF(IFERROR(INDEX(Consulta!$A:$DS,MATCH('MM01'!$B35,Consulta!$C:$C,0),'MM01'!EF$2),"")=0,"7925",IF(IFERROR(INDEX(Consulta!$A:$DS,MATCH('MM01'!$B35,Consulta!$C:$C,0),'MM01'!EF$2),"")="68","7910","7925"))</f>
        <v>7925</v>
      </c>
      <c r="EG35" s="44">
        <v>100</v>
      </c>
      <c r="EH35" s="62">
        <v>1</v>
      </c>
      <c r="EI35" s="43">
        <f t="shared" si="37"/>
        <v>100</v>
      </c>
      <c r="EJ35" s="44">
        <v>1</v>
      </c>
      <c r="EK35" s="44">
        <v>0</v>
      </c>
      <c r="EL35" s="44" t="s">
        <v>859</v>
      </c>
      <c r="EM35" s="45">
        <v>0</v>
      </c>
      <c r="EN35" s="43">
        <f t="shared" si="38"/>
        <v>5000</v>
      </c>
      <c r="EO35" s="69"/>
    </row>
    <row r="36" spans="1:145" x14ac:dyDescent="0.2">
      <c r="A36" s="7" t="str">
        <f t="shared" si="6"/>
        <v>Execução 32</v>
      </c>
      <c r="B36" s="42"/>
      <c r="C36" s="43" t="str">
        <f>IF(IFERROR(INDEX(Consulta!$A:$DS,MATCH('MM01'!$B36,Consulta!$C:$C,0),'MM01'!C$2),"")=0,"",IFERROR(INDEX(Consulta!$A:$DS,MATCH('MM01'!$B36,Consulta!$C:$C,0),'MM01'!C$2),""))</f>
        <v/>
      </c>
      <c r="D36" s="43" t="str">
        <f>IF(IFERROR(INDEX(Consulta!$A:$DS,MATCH('MM01'!$B36,Consulta!$C:$C,0),'MM01'!D$2),"")=0,"",IFERROR(INDEX(Consulta!$A:$DS,MATCH('MM01'!$B36,Consulta!$C:$C,0),'MM01'!D$2),""))</f>
        <v/>
      </c>
      <c r="E36" s="43" t="str">
        <f>IF(IFERROR(INDEX(Consulta!$A:$DS,MATCH('MM01'!$B36,Consulta!$C:$C,0),'MM01'!E$2),"")=0,"",IFERROR(INDEX(Consulta!$A:$DS,MATCH('MM01'!$B36,Consulta!$C:$C,0),'MM01'!E$2),""))</f>
        <v/>
      </c>
      <c r="F36" s="44" t="s">
        <v>100</v>
      </c>
      <c r="G36" s="49" t="str">
        <f>IF(IFERROR(INDEX(Consulta!$A:$DS,MATCH('MM01'!$B36,Consulta!$C:$C,0),'MM01'!G$2),"")=0,"",IFERROR(INDEX(Consulta!$A:$DS,MATCH('MM01'!$B36,Consulta!$C:$C,0),'MM01'!G$2),""))</f>
        <v/>
      </c>
      <c r="H36" s="49" t="str">
        <f>IF(IFERROR(INDEX(Consulta!$A:$DS,MATCH('MM01'!$B36,Consulta!$C:$C,0),'MM01'!H$2),"")=0,"",IFERROR(INDEX(Consulta!$A:$DS,MATCH('MM01'!$B36,Consulta!$C:$C,0),'MM01'!H$2),""))</f>
        <v/>
      </c>
      <c r="I36" s="49" t="str">
        <f t="shared" si="7"/>
        <v/>
      </c>
      <c r="J36" s="49" t="str">
        <f>IF(IFERROR(INDEX(Consulta!$A:$DS,MATCH('MM01'!$B36,Consulta!$C:$C,0),'MM01'!J$2),"")=0,"",IFERROR(INDEX(Consulta!$A:$DS,MATCH('MM01'!$B36,Consulta!$C:$C,0),'MM01'!J$2),""))</f>
        <v/>
      </c>
      <c r="K36" s="49" t="str">
        <f t="shared" si="8"/>
        <v/>
      </c>
      <c r="M36" s="45" t="s">
        <v>101</v>
      </c>
      <c r="N36" s="45" t="s">
        <v>102</v>
      </c>
      <c r="O36" s="45" t="s">
        <v>103</v>
      </c>
      <c r="P36" s="45" t="s">
        <v>104</v>
      </c>
      <c r="Q36" s="45" t="s">
        <v>105</v>
      </c>
      <c r="R36" s="45" t="s">
        <v>106</v>
      </c>
      <c r="S36" s="45" t="s">
        <v>107</v>
      </c>
      <c r="T36" s="45"/>
      <c r="U36" s="45"/>
      <c r="V36" s="45"/>
      <c r="W36" s="45"/>
      <c r="X36" s="45" t="s">
        <v>112</v>
      </c>
      <c r="Y36" s="45" t="s">
        <v>113</v>
      </c>
      <c r="Z36" s="45" t="s">
        <v>114</v>
      </c>
      <c r="AA36" s="45" t="s">
        <v>115</v>
      </c>
      <c r="AB36" s="45" t="s">
        <v>117</v>
      </c>
      <c r="AC36" s="45" t="s">
        <v>118</v>
      </c>
      <c r="AD36" s="45" t="s">
        <v>119</v>
      </c>
      <c r="AE36" s="45" t="s">
        <v>120</v>
      </c>
      <c r="AF36" s="45" t="s">
        <v>121</v>
      </c>
      <c r="AG36" s="45" t="s">
        <v>122</v>
      </c>
      <c r="AH36" s="45" t="s">
        <v>123</v>
      </c>
      <c r="AI36" s="45" t="s">
        <v>124</v>
      </c>
      <c r="AJ36" s="45" t="s">
        <v>125</v>
      </c>
      <c r="AK36" s="45" t="s">
        <v>126</v>
      </c>
      <c r="AL36" s="45"/>
      <c r="AM36" s="45"/>
      <c r="AO36" s="44" t="s">
        <v>100</v>
      </c>
      <c r="AP36" s="43" t="str">
        <f>IF(IFERROR(INDEX(Consulta!$A:$DS,MATCH('MM01'!$B36,Consulta!$C:$C,0),'MM01'!AP$2),"")=0,"",IFERROR(INDEX(Consulta!$A:$DS,MATCH('MM01'!$B36,Consulta!$C:$C,0),'MM01'!AP$2),""))</f>
        <v/>
      </c>
      <c r="AQ36" s="45"/>
      <c r="AR36" s="43" t="str">
        <f>IF(IFERROR(INDEX(Consulta!$A:$DS,MATCH('MM01'!$B36,Consulta!$C:$C,0),'MM01'!AR$2),"")=0,"",IFERROR(INDEX(Consulta!$A:$DS,MATCH('MM01'!$B36,Consulta!$C:$C,0),'MM01'!AR$2),""))</f>
        <v/>
      </c>
      <c r="AS36" s="43" t="str">
        <f>IF(IFERROR(INDEX(Consulta!$A:$DS,MATCH('MM01'!$B36,Consulta!$C:$C,0),'MM01'!AS$2),"")=0,"",IF(AR36="68",5102,IFERROR(INDEX(Consulta!$A:$DS,MATCH('MM01'!$B36,Consulta!$C:$C,0),'MM01'!AS$2),"")))</f>
        <v/>
      </c>
      <c r="AT36" s="45"/>
      <c r="AU36" s="46" t="str">
        <f t="shared" ca="1" si="9"/>
        <v/>
      </c>
      <c r="AV36" s="47" t="s">
        <v>783</v>
      </c>
      <c r="AW36" s="43" t="str">
        <f>IF(IFERROR(INDEX(Consulta!$A:$DS,MATCH('MM01'!$B36,Consulta!$C:$C,0),'MM01'!AW$2),"")=0,"",IFERROR(ROUND(INDEX(Consulta!$A:$DS,MATCH('MM01'!$B36,Consulta!$C:$C,0),'MM01'!AW$2),3),""))</f>
        <v/>
      </c>
      <c r="AX36" s="43" t="str">
        <f t="shared" si="10"/>
        <v/>
      </c>
      <c r="AY36" s="48" t="s">
        <v>299</v>
      </c>
      <c r="AZ36" s="48"/>
      <c r="BA36" s="43" t="str">
        <f>IF(IFERROR(INDEX(Consulta!$A:$DS,MATCH('MM01'!$B36,Consulta!$C:$C,0),'MM01'!BA$2),"")=0,"",IFERROR(INDEX(Consulta!$A:$DS,MATCH('MM01'!$B36,Consulta!$C:$C,0),'MM01'!BA$2),""))</f>
        <v/>
      </c>
      <c r="BB36" s="43" t="str">
        <f t="shared" si="11"/>
        <v/>
      </c>
      <c r="BC36" s="43" t="str">
        <f t="shared" si="12"/>
        <v/>
      </c>
      <c r="BD36" s="43" t="str">
        <f t="shared" si="13"/>
        <v/>
      </c>
      <c r="BE36" s="43" t="str">
        <f t="shared" si="14"/>
        <v>M</v>
      </c>
      <c r="BF36" s="43" t="str">
        <f t="shared" si="15"/>
        <v/>
      </c>
      <c r="BG36" s="43" t="str">
        <f t="shared" si="16"/>
        <v/>
      </c>
      <c r="BH36" s="43" t="str">
        <f t="shared" si="17"/>
        <v/>
      </c>
      <c r="BI36" s="43" t="str">
        <f t="shared" si="18"/>
        <v>M</v>
      </c>
      <c r="BK36" s="45" t="s">
        <v>789</v>
      </c>
      <c r="BL36" s="43" t="str">
        <f>IF(IFERROR(INDEX(Consulta!$A:$DS,MATCH('MM01'!$B36,Consulta!$C:$C,0),'MM01'!BL$2),"")=0,"",IFERROR(INDEX(Consulta!$A:$DS,MATCH('MM01'!$B36,Consulta!$C:$C,0),'MM01'!BL$2),""))</f>
        <v/>
      </c>
      <c r="BM36" s="45"/>
      <c r="BN36" s="46" t="str">
        <f t="shared" ca="1" si="19"/>
        <v/>
      </c>
      <c r="BO36" s="49" t="str">
        <f t="shared" si="20"/>
        <v/>
      </c>
      <c r="BP36" s="50">
        <v>1</v>
      </c>
      <c r="BQ36" s="50" t="s">
        <v>194</v>
      </c>
      <c r="BR36" s="50" t="s">
        <v>194</v>
      </c>
      <c r="BS36" s="50" t="s">
        <v>783</v>
      </c>
      <c r="BT36" s="44">
        <v>1</v>
      </c>
      <c r="BU36" s="44" t="s">
        <v>372</v>
      </c>
      <c r="BV36" s="50" t="s">
        <v>197</v>
      </c>
      <c r="BW36" s="50" t="s">
        <v>197</v>
      </c>
      <c r="BX36" s="43" t="str">
        <f>IF(IFERROR(INDEX(Consulta!$A:$DS,MATCH('MM01'!$B36,Consulta!$C:$C,0),'MM01'!BX$2),"")=0,"",IFERROR(INDEX(Consulta!$A:$DS,MATCH('MM01'!$B36,Consulta!$C:$C,0),'MM01'!BX$2),""))</f>
        <v/>
      </c>
      <c r="BY36" s="44" t="s">
        <v>392</v>
      </c>
      <c r="BZ36" s="50">
        <v>0</v>
      </c>
      <c r="CA36" s="45" t="s">
        <v>403</v>
      </c>
      <c r="CB36" s="45" t="s">
        <v>84</v>
      </c>
      <c r="CC36" s="43" t="str">
        <f t="shared" si="21"/>
        <v/>
      </c>
      <c r="CD36" s="45" t="s">
        <v>430</v>
      </c>
      <c r="CE36" s="45">
        <v>1</v>
      </c>
      <c r="CF36" s="45" t="s">
        <v>496</v>
      </c>
      <c r="CG36" s="45"/>
      <c r="CH36" s="44"/>
      <c r="CI36" s="49" t="str">
        <f t="shared" si="22"/>
        <v/>
      </c>
      <c r="CJ36" s="49" t="str">
        <f t="shared" si="23"/>
        <v/>
      </c>
      <c r="CK36" s="45"/>
      <c r="CL36" s="44">
        <v>5</v>
      </c>
      <c r="CM36" s="44">
        <v>1</v>
      </c>
      <c r="CN36" s="44">
        <v>1</v>
      </c>
      <c r="CO36" s="44">
        <v>1</v>
      </c>
      <c r="CP36" s="50" t="s">
        <v>515</v>
      </c>
      <c r="CQ36" s="44" t="s">
        <v>372</v>
      </c>
      <c r="CR36" s="44">
        <v>2</v>
      </c>
      <c r="CS36" s="44">
        <v>42</v>
      </c>
      <c r="CT36" s="44">
        <v>10</v>
      </c>
      <c r="CU36" s="43" t="str">
        <f t="shared" si="24"/>
        <v>K00_P_PURL_</v>
      </c>
      <c r="CV36" s="45">
        <v>5000</v>
      </c>
      <c r="CW36" s="43" t="str">
        <f t="shared" si="0"/>
        <v/>
      </c>
      <c r="CX36" s="43" t="str">
        <f t="shared" si="1"/>
        <v/>
      </c>
      <c r="CY36" s="43" t="str">
        <f>IF(IFERROR(INDEX(Consulta!$A:$DS,MATCH('MM01'!$B36,Consulta!$C:$C,0),'MM01'!CY$2),"")=0,"",IFERROR(INDEX(Consulta!$A:$DS,MATCH('MM01'!$B36,Consulta!$C:$C,0),'MM01'!CY$2),""))</f>
        <v/>
      </c>
      <c r="CZ36" s="43" t="str">
        <f t="shared" si="2"/>
        <v/>
      </c>
      <c r="DA36" s="43" t="str">
        <f>IF(IFERROR(INDEX(Consulta!$A:$DS,MATCH('MM01'!$B36,Consulta!$C:$C,0),'MM01'!DA$2),"")=0,"",IFERROR(INDEX(Consulta!$A:$DS,MATCH('MM01'!$B36,Consulta!$C:$C,0),'MM01'!DA$2),""))</f>
        <v/>
      </c>
      <c r="DB36" s="43" t="str">
        <f>IF(IFERROR(INDEX(Consulta!$A:$DS,MATCH('MM01'!$B36,Consulta!$C:$C,0),'MM01'!DB$2),"")=0,"",IFERROR(INDEX(Consulta!$A:$DS,MATCH('MM01'!$B36,Consulta!$C:$C,0),'MM01'!DB$2),""))</f>
        <v/>
      </c>
      <c r="DC36" s="43" t="str">
        <f>IF(IFERROR(INDEX(Consulta!$A:$DS,MATCH('MM01'!$B36,Consulta!$C:$C,0),'MM01'!DC$2),"")=0,"",IFERROR(INDEX(Consulta!$A:$DS,MATCH('MM01'!$B36,Consulta!$C:$C,0),'MM01'!DC$2),""))</f>
        <v/>
      </c>
      <c r="DD36" s="43" t="str">
        <f>IF(IFERROR(INDEX(Consulta!$A:$DS,MATCH('MM01'!$B36,Consulta!$C:$C,0),'MM01'!DD$2),"")=0,"",IFERROR(INDEX(Consulta!$A:$DS,MATCH('MM01'!$B36,Consulta!$C:$C,0),'MM01'!DD$2),""))</f>
        <v/>
      </c>
      <c r="DE36" s="43" t="str">
        <f>IF(IFERROR(INDEX(Consulta!$A:$DS,MATCH('MM01'!$B36,Consulta!$C:$C,0),'MM01'!DE$2),"")=0,"",IFERROR(INDEX(Consulta!$A:$DS,MATCH('MM01'!$B36,Consulta!$C:$C,0),'MM01'!DE$2),""))</f>
        <v/>
      </c>
      <c r="DF36" s="100">
        <v>3458</v>
      </c>
      <c r="DG36" s="45">
        <v>0</v>
      </c>
      <c r="DH36" s="45">
        <v>0</v>
      </c>
      <c r="DI36" s="43" t="str">
        <f t="shared" si="3"/>
        <v/>
      </c>
      <c r="DJ36" s="43" t="str">
        <f t="shared" si="25"/>
        <v/>
      </c>
      <c r="DK36" s="57"/>
      <c r="DL36" s="43" t="str">
        <f t="shared" ca="1" si="26"/>
        <v/>
      </c>
      <c r="DM36" s="43" t="str">
        <f t="shared" si="27"/>
        <v/>
      </c>
      <c r="DN36" s="43" t="str">
        <f t="shared" si="28"/>
        <v/>
      </c>
      <c r="DO36" s="57"/>
      <c r="DP36" s="43" t="str">
        <f t="shared" ca="1" si="29"/>
        <v/>
      </c>
      <c r="DQ36" s="43" t="str">
        <f t="shared" si="30"/>
        <v/>
      </c>
      <c r="DR36" s="43" t="str">
        <f t="shared" si="31"/>
        <v/>
      </c>
      <c r="DS36" s="57"/>
      <c r="DT36" s="43" t="str">
        <f t="shared" ca="1" si="32"/>
        <v/>
      </c>
      <c r="DU36" s="43" t="str">
        <f t="shared" si="33"/>
        <v/>
      </c>
      <c r="DV36" s="43" t="str">
        <f t="shared" si="34"/>
        <v/>
      </c>
      <c r="DW36" s="57"/>
      <c r="DX36" s="43" t="str">
        <f t="shared" ca="1" si="35"/>
        <v/>
      </c>
      <c r="DY36" s="43" t="str">
        <f t="shared" si="36"/>
        <v/>
      </c>
      <c r="EA36" s="44">
        <v>0</v>
      </c>
      <c r="EB36" s="44" t="s">
        <v>761</v>
      </c>
      <c r="EC36" s="44">
        <v>30</v>
      </c>
      <c r="ED36" s="43">
        <f t="shared" si="4"/>
        <v>0.01</v>
      </c>
      <c r="EE36" s="43" t="str">
        <f t="shared" si="5"/>
        <v>M</v>
      </c>
      <c r="EF36" s="43" t="str">
        <f>IF(IFERROR(INDEX(Consulta!$A:$DS,MATCH('MM01'!$B36,Consulta!$C:$C,0),'MM01'!EF$2),"")=0,"7925",IF(IFERROR(INDEX(Consulta!$A:$DS,MATCH('MM01'!$B36,Consulta!$C:$C,0),'MM01'!EF$2),"")="68","7910","7925"))</f>
        <v>7925</v>
      </c>
      <c r="EG36" s="44">
        <v>100</v>
      </c>
      <c r="EH36" s="62">
        <v>1</v>
      </c>
      <c r="EI36" s="43">
        <f t="shared" si="37"/>
        <v>100</v>
      </c>
      <c r="EJ36" s="44">
        <v>1</v>
      </c>
      <c r="EK36" s="44">
        <v>0</v>
      </c>
      <c r="EL36" s="44" t="s">
        <v>859</v>
      </c>
      <c r="EM36" s="45">
        <v>0</v>
      </c>
      <c r="EN36" s="43">
        <f t="shared" si="38"/>
        <v>5000</v>
      </c>
      <c r="EO36" s="69"/>
    </row>
    <row r="37" spans="1:145" x14ac:dyDescent="0.2">
      <c r="A37" s="7" t="str">
        <f t="shared" si="6"/>
        <v>Execução 33</v>
      </c>
      <c r="B37" s="42"/>
      <c r="C37" s="43" t="str">
        <f>IF(IFERROR(INDEX(Consulta!$A:$DS,MATCH('MM01'!$B37,Consulta!$C:$C,0),'MM01'!C$2),"")=0,"",IFERROR(INDEX(Consulta!$A:$DS,MATCH('MM01'!$B37,Consulta!$C:$C,0),'MM01'!C$2),""))</f>
        <v/>
      </c>
      <c r="D37" s="43" t="str">
        <f>IF(IFERROR(INDEX(Consulta!$A:$DS,MATCH('MM01'!$B37,Consulta!$C:$C,0),'MM01'!D$2),"")=0,"",IFERROR(INDEX(Consulta!$A:$DS,MATCH('MM01'!$B37,Consulta!$C:$C,0),'MM01'!D$2),""))</f>
        <v/>
      </c>
      <c r="E37" s="43" t="str">
        <f>IF(IFERROR(INDEX(Consulta!$A:$DS,MATCH('MM01'!$B37,Consulta!$C:$C,0),'MM01'!E$2),"")=0,"",IFERROR(INDEX(Consulta!$A:$DS,MATCH('MM01'!$B37,Consulta!$C:$C,0),'MM01'!E$2),""))</f>
        <v/>
      </c>
      <c r="F37" s="44" t="s">
        <v>100</v>
      </c>
      <c r="G37" s="49" t="str">
        <f>IF(IFERROR(INDEX(Consulta!$A:$DS,MATCH('MM01'!$B37,Consulta!$C:$C,0),'MM01'!G$2),"")=0,"",IFERROR(INDEX(Consulta!$A:$DS,MATCH('MM01'!$B37,Consulta!$C:$C,0),'MM01'!G$2),""))</f>
        <v/>
      </c>
      <c r="H37" s="49" t="str">
        <f>IF(IFERROR(INDEX(Consulta!$A:$DS,MATCH('MM01'!$B37,Consulta!$C:$C,0),'MM01'!H$2),"")=0,"",IFERROR(INDEX(Consulta!$A:$DS,MATCH('MM01'!$B37,Consulta!$C:$C,0),'MM01'!H$2),""))</f>
        <v/>
      </c>
      <c r="I37" s="49" t="str">
        <f t="shared" si="7"/>
        <v/>
      </c>
      <c r="J37" s="49" t="str">
        <f>IF(IFERROR(INDEX(Consulta!$A:$DS,MATCH('MM01'!$B37,Consulta!$C:$C,0),'MM01'!J$2),"")=0,"",IFERROR(INDEX(Consulta!$A:$DS,MATCH('MM01'!$B37,Consulta!$C:$C,0),'MM01'!J$2),""))</f>
        <v/>
      </c>
      <c r="K37" s="49" t="str">
        <f t="shared" si="8"/>
        <v/>
      </c>
      <c r="M37" s="45" t="s">
        <v>101</v>
      </c>
      <c r="N37" s="45" t="s">
        <v>102</v>
      </c>
      <c r="O37" s="45" t="s">
        <v>103</v>
      </c>
      <c r="P37" s="45" t="s">
        <v>104</v>
      </c>
      <c r="Q37" s="45" t="s">
        <v>105</v>
      </c>
      <c r="R37" s="45" t="s">
        <v>106</v>
      </c>
      <c r="S37" s="45" t="s">
        <v>107</v>
      </c>
      <c r="T37" s="45"/>
      <c r="U37" s="45"/>
      <c r="V37" s="45"/>
      <c r="W37" s="45"/>
      <c r="X37" s="45" t="s">
        <v>112</v>
      </c>
      <c r="Y37" s="45" t="s">
        <v>113</v>
      </c>
      <c r="Z37" s="45" t="s">
        <v>114</v>
      </c>
      <c r="AA37" s="45" t="s">
        <v>115</v>
      </c>
      <c r="AB37" s="45" t="s">
        <v>117</v>
      </c>
      <c r="AC37" s="45" t="s">
        <v>118</v>
      </c>
      <c r="AD37" s="45" t="s">
        <v>119</v>
      </c>
      <c r="AE37" s="45" t="s">
        <v>120</v>
      </c>
      <c r="AF37" s="45" t="s">
        <v>121</v>
      </c>
      <c r="AG37" s="45" t="s">
        <v>122</v>
      </c>
      <c r="AH37" s="45" t="s">
        <v>123</v>
      </c>
      <c r="AI37" s="45" t="s">
        <v>124</v>
      </c>
      <c r="AJ37" s="45" t="s">
        <v>125</v>
      </c>
      <c r="AK37" s="45" t="s">
        <v>126</v>
      </c>
      <c r="AL37" s="45"/>
      <c r="AM37" s="45"/>
      <c r="AO37" s="44" t="s">
        <v>100</v>
      </c>
      <c r="AP37" s="43" t="str">
        <f>IF(IFERROR(INDEX(Consulta!$A:$DS,MATCH('MM01'!$B37,Consulta!$C:$C,0),'MM01'!AP$2),"")=0,"",IFERROR(INDEX(Consulta!$A:$DS,MATCH('MM01'!$B37,Consulta!$C:$C,0),'MM01'!AP$2),""))</f>
        <v/>
      </c>
      <c r="AQ37" s="45"/>
      <c r="AR37" s="43" t="str">
        <f>IF(IFERROR(INDEX(Consulta!$A:$DS,MATCH('MM01'!$B37,Consulta!$C:$C,0),'MM01'!AR$2),"")=0,"",IFERROR(INDEX(Consulta!$A:$DS,MATCH('MM01'!$B37,Consulta!$C:$C,0),'MM01'!AR$2),""))</f>
        <v/>
      </c>
      <c r="AS37" s="43" t="str">
        <f>IF(IFERROR(INDEX(Consulta!$A:$DS,MATCH('MM01'!$B37,Consulta!$C:$C,0),'MM01'!AS$2),"")=0,"",IF(AR37="68",5102,IFERROR(INDEX(Consulta!$A:$DS,MATCH('MM01'!$B37,Consulta!$C:$C,0),'MM01'!AS$2),"")))</f>
        <v/>
      </c>
      <c r="AT37" s="45"/>
      <c r="AU37" s="46" t="str">
        <f t="shared" ca="1" si="9"/>
        <v/>
      </c>
      <c r="AV37" s="47" t="s">
        <v>783</v>
      </c>
      <c r="AW37" s="43" t="str">
        <f>IF(IFERROR(INDEX(Consulta!$A:$DS,MATCH('MM01'!$B37,Consulta!$C:$C,0),'MM01'!AW$2),"")=0,"",IFERROR(ROUND(INDEX(Consulta!$A:$DS,MATCH('MM01'!$B37,Consulta!$C:$C,0),'MM01'!AW$2),3),""))</f>
        <v/>
      </c>
      <c r="AX37" s="43" t="str">
        <f t="shared" si="10"/>
        <v/>
      </c>
      <c r="AY37" s="48" t="s">
        <v>299</v>
      </c>
      <c r="AZ37" s="48"/>
      <c r="BA37" s="43" t="str">
        <f>IF(IFERROR(INDEX(Consulta!$A:$DS,MATCH('MM01'!$B37,Consulta!$C:$C,0),'MM01'!BA$2),"")=0,"",IFERROR(INDEX(Consulta!$A:$DS,MATCH('MM01'!$B37,Consulta!$C:$C,0),'MM01'!BA$2),""))</f>
        <v/>
      </c>
      <c r="BB37" s="43" t="str">
        <f t="shared" si="11"/>
        <v/>
      </c>
      <c r="BC37" s="43" t="str">
        <f t="shared" si="12"/>
        <v/>
      </c>
      <c r="BD37" s="43" t="str">
        <f t="shared" si="13"/>
        <v/>
      </c>
      <c r="BE37" s="43" t="str">
        <f t="shared" si="14"/>
        <v>M</v>
      </c>
      <c r="BF37" s="43" t="str">
        <f t="shared" si="15"/>
        <v/>
      </c>
      <c r="BG37" s="43" t="str">
        <f t="shared" si="16"/>
        <v/>
      </c>
      <c r="BH37" s="43" t="str">
        <f t="shared" si="17"/>
        <v/>
      </c>
      <c r="BI37" s="43" t="str">
        <f t="shared" si="18"/>
        <v>M</v>
      </c>
      <c r="BK37" s="45" t="s">
        <v>789</v>
      </c>
      <c r="BL37" s="43" t="str">
        <f>IF(IFERROR(INDEX(Consulta!$A:$DS,MATCH('MM01'!$B37,Consulta!$C:$C,0),'MM01'!BL$2),"")=0,"",IFERROR(INDEX(Consulta!$A:$DS,MATCH('MM01'!$B37,Consulta!$C:$C,0),'MM01'!BL$2),""))</f>
        <v/>
      </c>
      <c r="BM37" s="45"/>
      <c r="BN37" s="46" t="str">
        <f t="shared" ca="1" si="19"/>
        <v/>
      </c>
      <c r="BO37" s="49" t="str">
        <f t="shared" si="20"/>
        <v/>
      </c>
      <c r="BP37" s="50">
        <v>1</v>
      </c>
      <c r="BQ37" s="50" t="s">
        <v>194</v>
      </c>
      <c r="BR37" s="50" t="s">
        <v>194</v>
      </c>
      <c r="BS37" s="50" t="s">
        <v>783</v>
      </c>
      <c r="BT37" s="44">
        <v>1</v>
      </c>
      <c r="BU37" s="44" t="s">
        <v>372</v>
      </c>
      <c r="BV37" s="50" t="s">
        <v>197</v>
      </c>
      <c r="BW37" s="50" t="s">
        <v>197</v>
      </c>
      <c r="BX37" s="43" t="str">
        <f>IF(IFERROR(INDEX(Consulta!$A:$DS,MATCH('MM01'!$B37,Consulta!$C:$C,0),'MM01'!BX$2),"")=0,"",IFERROR(INDEX(Consulta!$A:$DS,MATCH('MM01'!$B37,Consulta!$C:$C,0),'MM01'!BX$2),""))</f>
        <v/>
      </c>
      <c r="BY37" s="44" t="s">
        <v>392</v>
      </c>
      <c r="BZ37" s="50">
        <v>0</v>
      </c>
      <c r="CA37" s="45" t="s">
        <v>403</v>
      </c>
      <c r="CB37" s="45" t="s">
        <v>84</v>
      </c>
      <c r="CC37" s="43" t="str">
        <f t="shared" si="21"/>
        <v/>
      </c>
      <c r="CD37" s="45" t="s">
        <v>430</v>
      </c>
      <c r="CE37" s="45">
        <v>1</v>
      </c>
      <c r="CF37" s="45" t="s">
        <v>496</v>
      </c>
      <c r="CG37" s="45"/>
      <c r="CH37" s="44"/>
      <c r="CI37" s="49" t="str">
        <f t="shared" si="22"/>
        <v/>
      </c>
      <c r="CJ37" s="49" t="str">
        <f t="shared" si="23"/>
        <v/>
      </c>
      <c r="CK37" s="45"/>
      <c r="CL37" s="44">
        <v>5</v>
      </c>
      <c r="CM37" s="44">
        <v>1</v>
      </c>
      <c r="CN37" s="44">
        <v>1</v>
      </c>
      <c r="CO37" s="44">
        <v>1</v>
      </c>
      <c r="CP37" s="50" t="s">
        <v>515</v>
      </c>
      <c r="CQ37" s="44" t="s">
        <v>372</v>
      </c>
      <c r="CR37" s="44">
        <v>2</v>
      </c>
      <c r="CS37" s="44">
        <v>42</v>
      </c>
      <c r="CT37" s="44">
        <v>10</v>
      </c>
      <c r="CU37" s="43" t="str">
        <f t="shared" si="24"/>
        <v>K00_P_PURL_</v>
      </c>
      <c r="CV37" s="45">
        <v>5000</v>
      </c>
      <c r="CW37" s="43" t="str">
        <f t="shared" ref="CW37:CW54" si="39">IF(OR(D37="MFER",D37="KMAT"),"INITIAL",IF(OR(D37="FERT",D37="HAWZ"),"0000999999",""))</f>
        <v/>
      </c>
      <c r="CX37" s="43" t="str">
        <f t="shared" ref="CX37:CX54" si="40">IF(OR(D37="MFER",D37="KMAT"),"INIT",IF(OR(D37="FERT",D37="HAWZ"),"999999",""))</f>
        <v/>
      </c>
      <c r="CY37" s="43" t="str">
        <f>IF(IFERROR(INDEX(Consulta!$A:$DS,MATCH('MM01'!$B37,Consulta!$C:$C,0),'MM01'!CY$2),"")=0,"",IFERROR(INDEX(Consulta!$A:$DS,MATCH('MM01'!$B37,Consulta!$C:$C,0),'MM01'!CY$2),""))</f>
        <v/>
      </c>
      <c r="CZ37" s="43" t="str">
        <f t="shared" ref="CZ37:CZ54" si="41">IF(E37=0,"",E37)</f>
        <v/>
      </c>
      <c r="DA37" s="43" t="str">
        <f>IF(IFERROR(INDEX(Consulta!$A:$DS,MATCH('MM01'!$B37,Consulta!$C:$C,0),'MM01'!DA$2),"")=0,"",IFERROR(INDEX(Consulta!$A:$DS,MATCH('MM01'!$B37,Consulta!$C:$C,0),'MM01'!DA$2),""))</f>
        <v/>
      </c>
      <c r="DB37" s="43" t="str">
        <f>IF(IFERROR(INDEX(Consulta!$A:$DS,MATCH('MM01'!$B37,Consulta!$C:$C,0),'MM01'!DB$2),"")=0,"",IFERROR(INDEX(Consulta!$A:$DS,MATCH('MM01'!$B37,Consulta!$C:$C,0),'MM01'!DB$2),""))</f>
        <v/>
      </c>
      <c r="DC37" s="43" t="str">
        <f>IF(IFERROR(INDEX(Consulta!$A:$DS,MATCH('MM01'!$B37,Consulta!$C:$C,0),'MM01'!DC$2),"")=0,"",IFERROR(INDEX(Consulta!$A:$DS,MATCH('MM01'!$B37,Consulta!$C:$C,0),'MM01'!DC$2),""))</f>
        <v/>
      </c>
      <c r="DD37" s="43" t="str">
        <f>IF(IFERROR(INDEX(Consulta!$A:$DS,MATCH('MM01'!$B37,Consulta!$C:$C,0),'MM01'!DD$2),"")=0,"",IFERROR(INDEX(Consulta!$A:$DS,MATCH('MM01'!$B37,Consulta!$C:$C,0),'MM01'!DD$2),""))</f>
        <v/>
      </c>
      <c r="DE37" s="43" t="str">
        <f>IF(IFERROR(INDEX(Consulta!$A:$DS,MATCH('MM01'!$B37,Consulta!$C:$C,0),'MM01'!DE$2),"")=0,"",IFERROR(INDEX(Consulta!$A:$DS,MATCH('MM01'!$B37,Consulta!$C:$C,0),'MM01'!DE$2),""))</f>
        <v/>
      </c>
      <c r="DF37" s="100">
        <v>3458</v>
      </c>
      <c r="DG37" s="45">
        <v>0</v>
      </c>
      <c r="DH37" s="45">
        <v>0</v>
      </c>
      <c r="DI37" s="43" t="str">
        <f t="shared" ref="DI37:DI54" si="42">IFERROR(ROUND(AW37,2),"")</f>
        <v/>
      </c>
      <c r="DJ37" s="43" t="str">
        <f t="shared" si="25"/>
        <v/>
      </c>
      <c r="DK37" s="57"/>
      <c r="DL37" s="43" t="str">
        <f t="shared" ca="1" si="26"/>
        <v/>
      </c>
      <c r="DM37" s="43" t="str">
        <f t="shared" si="27"/>
        <v/>
      </c>
      <c r="DN37" s="43" t="str">
        <f t="shared" si="28"/>
        <v/>
      </c>
      <c r="DO37" s="57"/>
      <c r="DP37" s="43" t="str">
        <f t="shared" ca="1" si="29"/>
        <v/>
      </c>
      <c r="DQ37" s="43" t="str">
        <f t="shared" si="30"/>
        <v/>
      </c>
      <c r="DR37" s="43" t="str">
        <f t="shared" si="31"/>
        <v/>
      </c>
      <c r="DS37" s="57"/>
      <c r="DT37" s="43" t="str">
        <f t="shared" ca="1" si="32"/>
        <v/>
      </c>
      <c r="DU37" s="43" t="str">
        <f t="shared" si="33"/>
        <v/>
      </c>
      <c r="DV37" s="43" t="str">
        <f t="shared" si="34"/>
        <v/>
      </c>
      <c r="DW37" s="57"/>
      <c r="DX37" s="43" t="str">
        <f t="shared" ca="1" si="35"/>
        <v/>
      </c>
      <c r="DY37" s="43" t="str">
        <f t="shared" si="36"/>
        <v/>
      </c>
      <c r="EA37" s="44">
        <v>0</v>
      </c>
      <c r="EB37" s="44" t="s">
        <v>761</v>
      </c>
      <c r="EC37" s="44">
        <v>30</v>
      </c>
      <c r="ED37" s="43">
        <f t="shared" ref="ED37:ED54" si="43">IF(OR(AO37="M",AO37="KG"),0.01,1)</f>
        <v>0.01</v>
      </c>
      <c r="EE37" s="43" t="str">
        <f t="shared" ref="EE37:EE54" si="44">AO37</f>
        <v>M</v>
      </c>
      <c r="EF37" s="43" t="str">
        <f>IF(IFERROR(INDEX(Consulta!$A:$DS,MATCH('MM01'!$B37,Consulta!$C:$C,0),'MM01'!EF$2),"")=0,"7925",IF(IFERROR(INDEX(Consulta!$A:$DS,MATCH('MM01'!$B37,Consulta!$C:$C,0),'MM01'!EF$2),"")="68","7910","7925"))</f>
        <v>7925</v>
      </c>
      <c r="EG37" s="44">
        <v>100</v>
      </c>
      <c r="EH37" s="62">
        <v>1</v>
      </c>
      <c r="EI37" s="43">
        <f t="shared" si="37"/>
        <v>100</v>
      </c>
      <c r="EJ37" s="44">
        <v>1</v>
      </c>
      <c r="EK37" s="44">
        <v>0</v>
      </c>
      <c r="EL37" s="44" t="s">
        <v>859</v>
      </c>
      <c r="EM37" s="45">
        <v>0</v>
      </c>
      <c r="EN37" s="43">
        <f t="shared" si="38"/>
        <v>5000</v>
      </c>
      <c r="EO37" s="69"/>
    </row>
    <row r="38" spans="1:145" x14ac:dyDescent="0.2">
      <c r="A38" s="7" t="str">
        <f t="shared" si="6"/>
        <v>Execução 34</v>
      </c>
      <c r="B38" s="42"/>
      <c r="C38" s="43" t="str">
        <f>IF(IFERROR(INDEX(Consulta!$A:$DS,MATCH('MM01'!$B38,Consulta!$C:$C,0),'MM01'!C$2),"")=0,"",IFERROR(INDEX(Consulta!$A:$DS,MATCH('MM01'!$B38,Consulta!$C:$C,0),'MM01'!C$2),""))</f>
        <v/>
      </c>
      <c r="D38" s="43" t="str">
        <f>IF(IFERROR(INDEX(Consulta!$A:$DS,MATCH('MM01'!$B38,Consulta!$C:$C,0),'MM01'!D$2),"")=0,"",IFERROR(INDEX(Consulta!$A:$DS,MATCH('MM01'!$B38,Consulta!$C:$C,0),'MM01'!D$2),""))</f>
        <v/>
      </c>
      <c r="E38" s="43" t="str">
        <f>IF(IFERROR(INDEX(Consulta!$A:$DS,MATCH('MM01'!$B38,Consulta!$C:$C,0),'MM01'!E$2),"")=0,"",IFERROR(INDEX(Consulta!$A:$DS,MATCH('MM01'!$B38,Consulta!$C:$C,0),'MM01'!E$2),""))</f>
        <v/>
      </c>
      <c r="F38" s="44" t="s">
        <v>100</v>
      </c>
      <c r="G38" s="49" t="str">
        <f>IF(IFERROR(INDEX(Consulta!$A:$DS,MATCH('MM01'!$B38,Consulta!$C:$C,0),'MM01'!G$2),"")=0,"",IFERROR(INDEX(Consulta!$A:$DS,MATCH('MM01'!$B38,Consulta!$C:$C,0),'MM01'!G$2),""))</f>
        <v/>
      </c>
      <c r="H38" s="49" t="str">
        <f>IF(IFERROR(INDEX(Consulta!$A:$DS,MATCH('MM01'!$B38,Consulta!$C:$C,0),'MM01'!H$2),"")=0,"",IFERROR(INDEX(Consulta!$A:$DS,MATCH('MM01'!$B38,Consulta!$C:$C,0),'MM01'!H$2),""))</f>
        <v/>
      </c>
      <c r="I38" s="49" t="str">
        <f t="shared" si="7"/>
        <v/>
      </c>
      <c r="J38" s="49" t="str">
        <f>IF(IFERROR(INDEX(Consulta!$A:$DS,MATCH('MM01'!$B38,Consulta!$C:$C,0),'MM01'!J$2),"")=0,"",IFERROR(INDEX(Consulta!$A:$DS,MATCH('MM01'!$B38,Consulta!$C:$C,0),'MM01'!J$2),""))</f>
        <v/>
      </c>
      <c r="K38" s="49" t="str">
        <f t="shared" si="8"/>
        <v/>
      </c>
      <c r="M38" s="45" t="s">
        <v>101</v>
      </c>
      <c r="N38" s="45" t="s">
        <v>102</v>
      </c>
      <c r="O38" s="45" t="s">
        <v>103</v>
      </c>
      <c r="P38" s="45" t="s">
        <v>104</v>
      </c>
      <c r="Q38" s="45" t="s">
        <v>105</v>
      </c>
      <c r="R38" s="45" t="s">
        <v>106</v>
      </c>
      <c r="S38" s="45" t="s">
        <v>107</v>
      </c>
      <c r="T38" s="45"/>
      <c r="U38" s="45"/>
      <c r="V38" s="45"/>
      <c r="W38" s="45"/>
      <c r="X38" s="45" t="s">
        <v>112</v>
      </c>
      <c r="Y38" s="45" t="s">
        <v>113</v>
      </c>
      <c r="Z38" s="45" t="s">
        <v>114</v>
      </c>
      <c r="AA38" s="45" t="s">
        <v>115</v>
      </c>
      <c r="AB38" s="45" t="s">
        <v>117</v>
      </c>
      <c r="AC38" s="45" t="s">
        <v>118</v>
      </c>
      <c r="AD38" s="45" t="s">
        <v>119</v>
      </c>
      <c r="AE38" s="45" t="s">
        <v>120</v>
      </c>
      <c r="AF38" s="45" t="s">
        <v>121</v>
      </c>
      <c r="AG38" s="45" t="s">
        <v>122</v>
      </c>
      <c r="AH38" s="45" t="s">
        <v>123</v>
      </c>
      <c r="AI38" s="45" t="s">
        <v>124</v>
      </c>
      <c r="AJ38" s="45" t="s">
        <v>125</v>
      </c>
      <c r="AK38" s="45" t="s">
        <v>126</v>
      </c>
      <c r="AL38" s="45"/>
      <c r="AM38" s="45"/>
      <c r="AO38" s="44" t="s">
        <v>100</v>
      </c>
      <c r="AP38" s="43" t="str">
        <f>IF(IFERROR(INDEX(Consulta!$A:$DS,MATCH('MM01'!$B38,Consulta!$C:$C,0),'MM01'!AP$2),"")=0,"",IFERROR(INDEX(Consulta!$A:$DS,MATCH('MM01'!$B38,Consulta!$C:$C,0),'MM01'!AP$2),""))</f>
        <v/>
      </c>
      <c r="AQ38" s="45"/>
      <c r="AR38" s="43" t="str">
        <f>IF(IFERROR(INDEX(Consulta!$A:$DS,MATCH('MM01'!$B38,Consulta!$C:$C,0),'MM01'!AR$2),"")=0,"",IFERROR(INDEX(Consulta!$A:$DS,MATCH('MM01'!$B38,Consulta!$C:$C,0),'MM01'!AR$2),""))</f>
        <v/>
      </c>
      <c r="AS38" s="43" t="str">
        <f>IF(IFERROR(INDEX(Consulta!$A:$DS,MATCH('MM01'!$B38,Consulta!$C:$C,0),'MM01'!AS$2),"")=0,"",IF(AR38="68",5102,IFERROR(INDEX(Consulta!$A:$DS,MATCH('MM01'!$B38,Consulta!$C:$C,0),'MM01'!AS$2),"")))</f>
        <v/>
      </c>
      <c r="AT38" s="45"/>
      <c r="AU38" s="46" t="str">
        <f t="shared" ca="1" si="9"/>
        <v/>
      </c>
      <c r="AV38" s="47" t="s">
        <v>783</v>
      </c>
      <c r="AW38" s="43" t="str">
        <f>IF(IFERROR(INDEX(Consulta!$A:$DS,MATCH('MM01'!$B38,Consulta!$C:$C,0),'MM01'!AW$2),"")=0,"",IFERROR(ROUND(INDEX(Consulta!$A:$DS,MATCH('MM01'!$B38,Consulta!$C:$C,0),'MM01'!AW$2),3),""))</f>
        <v/>
      </c>
      <c r="AX38" s="43" t="str">
        <f t="shared" si="10"/>
        <v/>
      </c>
      <c r="AY38" s="48" t="s">
        <v>299</v>
      </c>
      <c r="AZ38" s="48"/>
      <c r="BA38" s="43" t="str">
        <f>IF(IFERROR(INDEX(Consulta!$A:$DS,MATCH('MM01'!$B38,Consulta!$C:$C,0),'MM01'!BA$2),"")=0,"",IFERROR(INDEX(Consulta!$A:$DS,MATCH('MM01'!$B38,Consulta!$C:$C,0),'MM01'!BA$2),""))</f>
        <v/>
      </c>
      <c r="BB38" s="43" t="str">
        <f t="shared" si="11"/>
        <v/>
      </c>
      <c r="BC38" s="43" t="str">
        <f t="shared" si="12"/>
        <v/>
      </c>
      <c r="BD38" s="43" t="str">
        <f t="shared" si="13"/>
        <v/>
      </c>
      <c r="BE38" s="43" t="str">
        <f t="shared" si="14"/>
        <v>M</v>
      </c>
      <c r="BF38" s="43" t="str">
        <f t="shared" si="15"/>
        <v/>
      </c>
      <c r="BG38" s="43" t="str">
        <f t="shared" si="16"/>
        <v/>
      </c>
      <c r="BH38" s="43" t="str">
        <f t="shared" si="17"/>
        <v/>
      </c>
      <c r="BI38" s="43" t="str">
        <f t="shared" si="18"/>
        <v>M</v>
      </c>
      <c r="BK38" s="45" t="s">
        <v>789</v>
      </c>
      <c r="BL38" s="43" t="str">
        <f>IF(IFERROR(INDEX(Consulta!$A:$DS,MATCH('MM01'!$B38,Consulta!$C:$C,0),'MM01'!BL$2),"")=0,"",IFERROR(INDEX(Consulta!$A:$DS,MATCH('MM01'!$B38,Consulta!$C:$C,0),'MM01'!BL$2),""))</f>
        <v/>
      </c>
      <c r="BM38" s="45"/>
      <c r="BN38" s="46" t="str">
        <f t="shared" ca="1" si="19"/>
        <v/>
      </c>
      <c r="BO38" s="49" t="str">
        <f t="shared" si="20"/>
        <v/>
      </c>
      <c r="BP38" s="50">
        <v>1</v>
      </c>
      <c r="BQ38" s="50" t="s">
        <v>194</v>
      </c>
      <c r="BR38" s="50" t="s">
        <v>194</v>
      </c>
      <c r="BS38" s="50" t="s">
        <v>783</v>
      </c>
      <c r="BT38" s="44">
        <v>1</v>
      </c>
      <c r="BU38" s="44" t="s">
        <v>372</v>
      </c>
      <c r="BV38" s="50" t="s">
        <v>197</v>
      </c>
      <c r="BW38" s="50" t="s">
        <v>197</v>
      </c>
      <c r="BX38" s="43" t="str">
        <f>IF(IFERROR(INDEX(Consulta!$A:$DS,MATCH('MM01'!$B38,Consulta!$C:$C,0),'MM01'!BX$2),"")=0,"",IFERROR(INDEX(Consulta!$A:$DS,MATCH('MM01'!$B38,Consulta!$C:$C,0),'MM01'!BX$2),""))</f>
        <v/>
      </c>
      <c r="BY38" s="44" t="s">
        <v>392</v>
      </c>
      <c r="BZ38" s="50">
        <v>0</v>
      </c>
      <c r="CA38" s="45" t="s">
        <v>403</v>
      </c>
      <c r="CB38" s="45" t="s">
        <v>84</v>
      </c>
      <c r="CC38" s="43" t="str">
        <f t="shared" si="21"/>
        <v/>
      </c>
      <c r="CD38" s="45" t="s">
        <v>430</v>
      </c>
      <c r="CE38" s="45">
        <v>1</v>
      </c>
      <c r="CF38" s="45" t="s">
        <v>496</v>
      </c>
      <c r="CG38" s="45"/>
      <c r="CH38" s="44"/>
      <c r="CI38" s="49" t="str">
        <f t="shared" si="22"/>
        <v/>
      </c>
      <c r="CJ38" s="49" t="str">
        <f t="shared" si="23"/>
        <v/>
      </c>
      <c r="CK38" s="45"/>
      <c r="CL38" s="44">
        <v>5</v>
      </c>
      <c r="CM38" s="44">
        <v>1</v>
      </c>
      <c r="CN38" s="44">
        <v>1</v>
      </c>
      <c r="CO38" s="44">
        <v>1</v>
      </c>
      <c r="CP38" s="50" t="s">
        <v>515</v>
      </c>
      <c r="CQ38" s="44" t="s">
        <v>372</v>
      </c>
      <c r="CR38" s="44">
        <v>2</v>
      </c>
      <c r="CS38" s="44">
        <v>42</v>
      </c>
      <c r="CT38" s="44">
        <v>10</v>
      </c>
      <c r="CU38" s="43" t="str">
        <f t="shared" si="24"/>
        <v>K00_P_PURL_</v>
      </c>
      <c r="CV38" s="45">
        <v>5000</v>
      </c>
      <c r="CW38" s="43" t="str">
        <f t="shared" si="39"/>
        <v/>
      </c>
      <c r="CX38" s="43" t="str">
        <f t="shared" si="40"/>
        <v/>
      </c>
      <c r="CY38" s="43" t="str">
        <f>IF(IFERROR(INDEX(Consulta!$A:$DS,MATCH('MM01'!$B38,Consulta!$C:$C,0),'MM01'!CY$2),"")=0,"",IFERROR(INDEX(Consulta!$A:$DS,MATCH('MM01'!$B38,Consulta!$C:$C,0),'MM01'!CY$2),""))</f>
        <v/>
      </c>
      <c r="CZ38" s="43" t="str">
        <f t="shared" si="41"/>
        <v/>
      </c>
      <c r="DA38" s="43" t="str">
        <f>IF(IFERROR(INDEX(Consulta!$A:$DS,MATCH('MM01'!$B38,Consulta!$C:$C,0),'MM01'!DA$2),"")=0,"",IFERROR(INDEX(Consulta!$A:$DS,MATCH('MM01'!$B38,Consulta!$C:$C,0),'MM01'!DA$2),""))</f>
        <v/>
      </c>
      <c r="DB38" s="43" t="str">
        <f>IF(IFERROR(INDEX(Consulta!$A:$DS,MATCH('MM01'!$B38,Consulta!$C:$C,0),'MM01'!DB$2),"")=0,"",IFERROR(INDEX(Consulta!$A:$DS,MATCH('MM01'!$B38,Consulta!$C:$C,0),'MM01'!DB$2),""))</f>
        <v/>
      </c>
      <c r="DC38" s="43" t="str">
        <f>IF(IFERROR(INDEX(Consulta!$A:$DS,MATCH('MM01'!$B38,Consulta!$C:$C,0),'MM01'!DC$2),"")=0,"",IFERROR(INDEX(Consulta!$A:$DS,MATCH('MM01'!$B38,Consulta!$C:$C,0),'MM01'!DC$2),""))</f>
        <v/>
      </c>
      <c r="DD38" s="43" t="str">
        <f>IF(IFERROR(INDEX(Consulta!$A:$DS,MATCH('MM01'!$B38,Consulta!$C:$C,0),'MM01'!DD$2),"")=0,"",IFERROR(INDEX(Consulta!$A:$DS,MATCH('MM01'!$B38,Consulta!$C:$C,0),'MM01'!DD$2),""))</f>
        <v/>
      </c>
      <c r="DE38" s="43" t="str">
        <f>IF(IFERROR(INDEX(Consulta!$A:$DS,MATCH('MM01'!$B38,Consulta!$C:$C,0),'MM01'!DE$2),"")=0,"",IFERROR(INDEX(Consulta!$A:$DS,MATCH('MM01'!$B38,Consulta!$C:$C,0),'MM01'!DE$2),""))</f>
        <v/>
      </c>
      <c r="DF38" s="100">
        <v>3458</v>
      </c>
      <c r="DG38" s="45">
        <v>0</v>
      </c>
      <c r="DH38" s="45">
        <v>0</v>
      </c>
      <c r="DI38" s="43" t="str">
        <f t="shared" si="42"/>
        <v/>
      </c>
      <c r="DJ38" s="43" t="str">
        <f t="shared" si="25"/>
        <v/>
      </c>
      <c r="DK38" s="57"/>
      <c r="DL38" s="43" t="str">
        <f t="shared" ca="1" si="26"/>
        <v/>
      </c>
      <c r="DM38" s="43" t="str">
        <f t="shared" si="27"/>
        <v/>
      </c>
      <c r="DN38" s="43" t="str">
        <f t="shared" si="28"/>
        <v/>
      </c>
      <c r="DO38" s="57"/>
      <c r="DP38" s="43" t="str">
        <f t="shared" ca="1" si="29"/>
        <v/>
      </c>
      <c r="DQ38" s="43" t="str">
        <f t="shared" si="30"/>
        <v/>
      </c>
      <c r="DR38" s="43" t="str">
        <f t="shared" si="31"/>
        <v/>
      </c>
      <c r="DS38" s="57"/>
      <c r="DT38" s="43" t="str">
        <f t="shared" ca="1" si="32"/>
        <v/>
      </c>
      <c r="DU38" s="43" t="str">
        <f t="shared" si="33"/>
        <v/>
      </c>
      <c r="DV38" s="43" t="str">
        <f t="shared" si="34"/>
        <v/>
      </c>
      <c r="DW38" s="57"/>
      <c r="DX38" s="43" t="str">
        <f t="shared" ca="1" si="35"/>
        <v/>
      </c>
      <c r="DY38" s="43" t="str">
        <f t="shared" si="36"/>
        <v/>
      </c>
      <c r="EA38" s="44">
        <v>0</v>
      </c>
      <c r="EB38" s="44" t="s">
        <v>761</v>
      </c>
      <c r="EC38" s="44">
        <v>30</v>
      </c>
      <c r="ED38" s="43">
        <f t="shared" si="43"/>
        <v>0.01</v>
      </c>
      <c r="EE38" s="43" t="str">
        <f t="shared" si="44"/>
        <v>M</v>
      </c>
      <c r="EF38" s="43" t="str">
        <f>IF(IFERROR(INDEX(Consulta!$A:$DS,MATCH('MM01'!$B38,Consulta!$C:$C,0),'MM01'!EF$2),"")=0,"7925",IF(IFERROR(INDEX(Consulta!$A:$DS,MATCH('MM01'!$B38,Consulta!$C:$C,0),'MM01'!EF$2),"")="68","7910","7925"))</f>
        <v>7925</v>
      </c>
      <c r="EG38" s="44">
        <v>100</v>
      </c>
      <c r="EH38" s="62">
        <v>1</v>
      </c>
      <c r="EI38" s="43">
        <f t="shared" si="37"/>
        <v>100</v>
      </c>
      <c r="EJ38" s="44">
        <v>1</v>
      </c>
      <c r="EK38" s="44">
        <v>0</v>
      </c>
      <c r="EL38" s="44" t="s">
        <v>859</v>
      </c>
      <c r="EM38" s="45">
        <v>0</v>
      </c>
      <c r="EN38" s="43">
        <f t="shared" si="38"/>
        <v>5000</v>
      </c>
      <c r="EO38" s="69"/>
    </row>
    <row r="39" spans="1:145" x14ac:dyDescent="0.2">
      <c r="A39" s="7" t="str">
        <f t="shared" si="6"/>
        <v>Execução 35</v>
      </c>
      <c r="B39" s="42"/>
      <c r="C39" s="43" t="str">
        <f>IF(IFERROR(INDEX(Consulta!$A:$DS,MATCH('MM01'!$B39,Consulta!$C:$C,0),'MM01'!C$2),"")=0,"",IFERROR(INDEX(Consulta!$A:$DS,MATCH('MM01'!$B39,Consulta!$C:$C,0),'MM01'!C$2),""))</f>
        <v/>
      </c>
      <c r="D39" s="43" t="str">
        <f>IF(IFERROR(INDEX(Consulta!$A:$DS,MATCH('MM01'!$B39,Consulta!$C:$C,0),'MM01'!D$2),"")=0,"",IFERROR(INDEX(Consulta!$A:$DS,MATCH('MM01'!$B39,Consulta!$C:$C,0),'MM01'!D$2),""))</f>
        <v/>
      </c>
      <c r="E39" s="43" t="str">
        <f>IF(IFERROR(INDEX(Consulta!$A:$DS,MATCH('MM01'!$B39,Consulta!$C:$C,0),'MM01'!E$2),"")=0,"",IFERROR(INDEX(Consulta!$A:$DS,MATCH('MM01'!$B39,Consulta!$C:$C,0),'MM01'!E$2),""))</f>
        <v/>
      </c>
      <c r="F39" s="44" t="s">
        <v>100</v>
      </c>
      <c r="G39" s="49" t="str">
        <f>IF(IFERROR(INDEX(Consulta!$A:$DS,MATCH('MM01'!$B39,Consulta!$C:$C,0),'MM01'!G$2),"")=0,"",IFERROR(INDEX(Consulta!$A:$DS,MATCH('MM01'!$B39,Consulta!$C:$C,0),'MM01'!G$2),""))</f>
        <v/>
      </c>
      <c r="H39" s="49" t="str">
        <f>IF(IFERROR(INDEX(Consulta!$A:$DS,MATCH('MM01'!$B39,Consulta!$C:$C,0),'MM01'!H$2),"")=0,"",IFERROR(INDEX(Consulta!$A:$DS,MATCH('MM01'!$B39,Consulta!$C:$C,0),'MM01'!H$2),""))</f>
        <v/>
      </c>
      <c r="I39" s="49" t="str">
        <f t="shared" si="7"/>
        <v/>
      </c>
      <c r="J39" s="49" t="str">
        <f>IF(IFERROR(INDEX(Consulta!$A:$DS,MATCH('MM01'!$B39,Consulta!$C:$C,0),'MM01'!J$2),"")=0,"",IFERROR(INDEX(Consulta!$A:$DS,MATCH('MM01'!$B39,Consulta!$C:$C,0),'MM01'!J$2),""))</f>
        <v/>
      </c>
      <c r="K39" s="49" t="str">
        <f t="shared" si="8"/>
        <v/>
      </c>
      <c r="M39" s="45" t="s">
        <v>101</v>
      </c>
      <c r="N39" s="45" t="s">
        <v>102</v>
      </c>
      <c r="O39" s="45" t="s">
        <v>103</v>
      </c>
      <c r="P39" s="45" t="s">
        <v>104</v>
      </c>
      <c r="Q39" s="45" t="s">
        <v>105</v>
      </c>
      <c r="R39" s="45" t="s">
        <v>106</v>
      </c>
      <c r="S39" s="45" t="s">
        <v>107</v>
      </c>
      <c r="T39" s="45"/>
      <c r="U39" s="45"/>
      <c r="V39" s="45"/>
      <c r="W39" s="45"/>
      <c r="X39" s="45" t="s">
        <v>112</v>
      </c>
      <c r="Y39" s="45" t="s">
        <v>113</v>
      </c>
      <c r="Z39" s="45" t="s">
        <v>114</v>
      </c>
      <c r="AA39" s="45" t="s">
        <v>115</v>
      </c>
      <c r="AB39" s="45" t="s">
        <v>117</v>
      </c>
      <c r="AC39" s="45" t="s">
        <v>118</v>
      </c>
      <c r="AD39" s="45" t="s">
        <v>119</v>
      </c>
      <c r="AE39" s="45" t="s">
        <v>120</v>
      </c>
      <c r="AF39" s="45" t="s">
        <v>121</v>
      </c>
      <c r="AG39" s="45" t="s">
        <v>122</v>
      </c>
      <c r="AH39" s="45" t="s">
        <v>123</v>
      </c>
      <c r="AI39" s="45" t="s">
        <v>124</v>
      </c>
      <c r="AJ39" s="45" t="s">
        <v>125</v>
      </c>
      <c r="AK39" s="45" t="s">
        <v>126</v>
      </c>
      <c r="AL39" s="45"/>
      <c r="AM39" s="45"/>
      <c r="AO39" s="44" t="s">
        <v>100</v>
      </c>
      <c r="AP39" s="43" t="str">
        <f>IF(IFERROR(INDEX(Consulta!$A:$DS,MATCH('MM01'!$B39,Consulta!$C:$C,0),'MM01'!AP$2),"")=0,"",IFERROR(INDEX(Consulta!$A:$DS,MATCH('MM01'!$B39,Consulta!$C:$C,0),'MM01'!AP$2),""))</f>
        <v/>
      </c>
      <c r="AQ39" s="45"/>
      <c r="AR39" s="43" t="str">
        <f>IF(IFERROR(INDEX(Consulta!$A:$DS,MATCH('MM01'!$B39,Consulta!$C:$C,0),'MM01'!AR$2),"")=0,"",IFERROR(INDEX(Consulta!$A:$DS,MATCH('MM01'!$B39,Consulta!$C:$C,0),'MM01'!AR$2),""))</f>
        <v/>
      </c>
      <c r="AS39" s="43" t="str">
        <f>IF(IFERROR(INDEX(Consulta!$A:$DS,MATCH('MM01'!$B39,Consulta!$C:$C,0),'MM01'!AS$2),"")=0,"",IF(AR39="68",5102,IFERROR(INDEX(Consulta!$A:$DS,MATCH('MM01'!$B39,Consulta!$C:$C,0),'MM01'!AS$2),"")))</f>
        <v/>
      </c>
      <c r="AT39" s="45"/>
      <c r="AU39" s="46" t="str">
        <f t="shared" ca="1" si="9"/>
        <v/>
      </c>
      <c r="AV39" s="47" t="s">
        <v>783</v>
      </c>
      <c r="AW39" s="43" t="str">
        <f>IF(IFERROR(INDEX(Consulta!$A:$DS,MATCH('MM01'!$B39,Consulta!$C:$C,0),'MM01'!AW$2),"")=0,"",IFERROR(ROUND(INDEX(Consulta!$A:$DS,MATCH('MM01'!$B39,Consulta!$C:$C,0),'MM01'!AW$2),3),""))</f>
        <v/>
      </c>
      <c r="AX39" s="43" t="str">
        <f t="shared" si="10"/>
        <v/>
      </c>
      <c r="AY39" s="48" t="s">
        <v>299</v>
      </c>
      <c r="AZ39" s="48"/>
      <c r="BA39" s="43" t="str">
        <f>IF(IFERROR(INDEX(Consulta!$A:$DS,MATCH('MM01'!$B39,Consulta!$C:$C,0),'MM01'!BA$2),"")=0,"",IFERROR(INDEX(Consulta!$A:$DS,MATCH('MM01'!$B39,Consulta!$C:$C,0),'MM01'!BA$2),""))</f>
        <v/>
      </c>
      <c r="BB39" s="43" t="str">
        <f t="shared" si="11"/>
        <v/>
      </c>
      <c r="BC39" s="43" t="str">
        <f t="shared" si="12"/>
        <v/>
      </c>
      <c r="BD39" s="43" t="str">
        <f t="shared" si="13"/>
        <v/>
      </c>
      <c r="BE39" s="43" t="str">
        <f t="shared" si="14"/>
        <v>M</v>
      </c>
      <c r="BF39" s="43" t="str">
        <f t="shared" si="15"/>
        <v/>
      </c>
      <c r="BG39" s="43" t="str">
        <f t="shared" si="16"/>
        <v/>
      </c>
      <c r="BH39" s="43" t="str">
        <f t="shared" si="17"/>
        <v/>
      </c>
      <c r="BI39" s="43" t="str">
        <f t="shared" si="18"/>
        <v>M</v>
      </c>
      <c r="BK39" s="45" t="s">
        <v>789</v>
      </c>
      <c r="BL39" s="43" t="str">
        <f>IF(IFERROR(INDEX(Consulta!$A:$DS,MATCH('MM01'!$B39,Consulta!$C:$C,0),'MM01'!BL$2),"")=0,"",IFERROR(INDEX(Consulta!$A:$DS,MATCH('MM01'!$B39,Consulta!$C:$C,0),'MM01'!BL$2),""))</f>
        <v/>
      </c>
      <c r="BM39" s="45"/>
      <c r="BN39" s="46" t="str">
        <f t="shared" ca="1" si="19"/>
        <v/>
      </c>
      <c r="BO39" s="49" t="str">
        <f t="shared" si="20"/>
        <v/>
      </c>
      <c r="BP39" s="50">
        <v>1</v>
      </c>
      <c r="BQ39" s="50" t="s">
        <v>194</v>
      </c>
      <c r="BR39" s="50" t="s">
        <v>194</v>
      </c>
      <c r="BS39" s="50" t="s">
        <v>783</v>
      </c>
      <c r="BT39" s="44">
        <v>1</v>
      </c>
      <c r="BU39" s="44" t="s">
        <v>372</v>
      </c>
      <c r="BV39" s="50" t="s">
        <v>197</v>
      </c>
      <c r="BW39" s="50" t="s">
        <v>197</v>
      </c>
      <c r="BX39" s="43" t="str">
        <f>IF(IFERROR(INDEX(Consulta!$A:$DS,MATCH('MM01'!$B39,Consulta!$C:$C,0),'MM01'!BX$2),"")=0,"",IFERROR(INDEX(Consulta!$A:$DS,MATCH('MM01'!$B39,Consulta!$C:$C,0),'MM01'!BX$2),""))</f>
        <v/>
      </c>
      <c r="BY39" s="44" t="s">
        <v>392</v>
      </c>
      <c r="BZ39" s="50">
        <v>0</v>
      </c>
      <c r="CA39" s="45" t="s">
        <v>403</v>
      </c>
      <c r="CB39" s="45" t="s">
        <v>84</v>
      </c>
      <c r="CC39" s="43" t="str">
        <f t="shared" si="21"/>
        <v/>
      </c>
      <c r="CD39" s="45" t="s">
        <v>430</v>
      </c>
      <c r="CE39" s="45">
        <v>1</v>
      </c>
      <c r="CF39" s="45" t="s">
        <v>496</v>
      </c>
      <c r="CG39" s="45"/>
      <c r="CH39" s="44"/>
      <c r="CI39" s="49" t="str">
        <f t="shared" si="22"/>
        <v/>
      </c>
      <c r="CJ39" s="49" t="str">
        <f t="shared" si="23"/>
        <v/>
      </c>
      <c r="CK39" s="45"/>
      <c r="CL39" s="44">
        <v>5</v>
      </c>
      <c r="CM39" s="44">
        <v>1</v>
      </c>
      <c r="CN39" s="44">
        <v>1</v>
      </c>
      <c r="CO39" s="44">
        <v>1</v>
      </c>
      <c r="CP39" s="50" t="s">
        <v>515</v>
      </c>
      <c r="CQ39" s="44" t="s">
        <v>372</v>
      </c>
      <c r="CR39" s="44">
        <v>2</v>
      </c>
      <c r="CS39" s="44">
        <v>42</v>
      </c>
      <c r="CT39" s="44">
        <v>10</v>
      </c>
      <c r="CU39" s="43" t="str">
        <f t="shared" si="24"/>
        <v>K00_P_PURL_</v>
      </c>
      <c r="CV39" s="45">
        <v>5000</v>
      </c>
      <c r="CW39" s="43" t="str">
        <f t="shared" si="39"/>
        <v/>
      </c>
      <c r="CX39" s="43" t="str">
        <f t="shared" si="40"/>
        <v/>
      </c>
      <c r="CY39" s="43" t="str">
        <f>IF(IFERROR(INDEX(Consulta!$A:$DS,MATCH('MM01'!$B39,Consulta!$C:$C,0),'MM01'!CY$2),"")=0,"",IFERROR(INDEX(Consulta!$A:$DS,MATCH('MM01'!$B39,Consulta!$C:$C,0),'MM01'!CY$2),""))</f>
        <v/>
      </c>
      <c r="CZ39" s="43" t="str">
        <f t="shared" si="41"/>
        <v/>
      </c>
      <c r="DA39" s="43" t="str">
        <f>IF(IFERROR(INDEX(Consulta!$A:$DS,MATCH('MM01'!$B39,Consulta!$C:$C,0),'MM01'!DA$2),"")=0,"",IFERROR(INDEX(Consulta!$A:$DS,MATCH('MM01'!$B39,Consulta!$C:$C,0),'MM01'!DA$2),""))</f>
        <v/>
      </c>
      <c r="DB39" s="43" t="str">
        <f>IF(IFERROR(INDEX(Consulta!$A:$DS,MATCH('MM01'!$B39,Consulta!$C:$C,0),'MM01'!DB$2),"")=0,"",IFERROR(INDEX(Consulta!$A:$DS,MATCH('MM01'!$B39,Consulta!$C:$C,0),'MM01'!DB$2),""))</f>
        <v/>
      </c>
      <c r="DC39" s="43" t="str">
        <f>IF(IFERROR(INDEX(Consulta!$A:$DS,MATCH('MM01'!$B39,Consulta!$C:$C,0),'MM01'!DC$2),"")=0,"",IFERROR(INDEX(Consulta!$A:$DS,MATCH('MM01'!$B39,Consulta!$C:$C,0),'MM01'!DC$2),""))</f>
        <v/>
      </c>
      <c r="DD39" s="43" t="str">
        <f>IF(IFERROR(INDEX(Consulta!$A:$DS,MATCH('MM01'!$B39,Consulta!$C:$C,0),'MM01'!DD$2),"")=0,"",IFERROR(INDEX(Consulta!$A:$DS,MATCH('MM01'!$B39,Consulta!$C:$C,0),'MM01'!DD$2),""))</f>
        <v/>
      </c>
      <c r="DE39" s="43" t="str">
        <f>IF(IFERROR(INDEX(Consulta!$A:$DS,MATCH('MM01'!$B39,Consulta!$C:$C,0),'MM01'!DE$2),"")=0,"",IFERROR(INDEX(Consulta!$A:$DS,MATCH('MM01'!$B39,Consulta!$C:$C,0),'MM01'!DE$2),""))</f>
        <v/>
      </c>
      <c r="DF39" s="100">
        <v>3458</v>
      </c>
      <c r="DG39" s="45">
        <v>0</v>
      </c>
      <c r="DH39" s="45">
        <v>0</v>
      </c>
      <c r="DI39" s="43" t="str">
        <f t="shared" si="42"/>
        <v/>
      </c>
      <c r="DJ39" s="43" t="str">
        <f t="shared" si="25"/>
        <v/>
      </c>
      <c r="DK39" s="57"/>
      <c r="DL39" s="43" t="str">
        <f t="shared" ca="1" si="26"/>
        <v/>
      </c>
      <c r="DM39" s="43" t="str">
        <f t="shared" si="27"/>
        <v/>
      </c>
      <c r="DN39" s="43" t="str">
        <f t="shared" si="28"/>
        <v/>
      </c>
      <c r="DO39" s="57"/>
      <c r="DP39" s="43" t="str">
        <f t="shared" ca="1" si="29"/>
        <v/>
      </c>
      <c r="DQ39" s="43" t="str">
        <f t="shared" si="30"/>
        <v/>
      </c>
      <c r="DR39" s="43" t="str">
        <f t="shared" si="31"/>
        <v/>
      </c>
      <c r="DS39" s="57"/>
      <c r="DT39" s="43" t="str">
        <f t="shared" ca="1" si="32"/>
        <v/>
      </c>
      <c r="DU39" s="43" t="str">
        <f t="shared" si="33"/>
        <v/>
      </c>
      <c r="DV39" s="43" t="str">
        <f t="shared" si="34"/>
        <v/>
      </c>
      <c r="DW39" s="57"/>
      <c r="DX39" s="43" t="str">
        <f t="shared" ca="1" si="35"/>
        <v/>
      </c>
      <c r="DY39" s="43" t="str">
        <f t="shared" si="36"/>
        <v/>
      </c>
      <c r="EA39" s="44">
        <v>0</v>
      </c>
      <c r="EB39" s="44" t="s">
        <v>761</v>
      </c>
      <c r="EC39" s="44">
        <v>30</v>
      </c>
      <c r="ED39" s="43">
        <f t="shared" si="43"/>
        <v>0.01</v>
      </c>
      <c r="EE39" s="43" t="str">
        <f t="shared" si="44"/>
        <v>M</v>
      </c>
      <c r="EF39" s="43" t="str">
        <f>IF(IFERROR(INDEX(Consulta!$A:$DS,MATCH('MM01'!$B39,Consulta!$C:$C,0),'MM01'!EF$2),"")=0,"7925",IF(IFERROR(INDEX(Consulta!$A:$DS,MATCH('MM01'!$B39,Consulta!$C:$C,0),'MM01'!EF$2),"")="68","7910","7925"))</f>
        <v>7925</v>
      </c>
      <c r="EG39" s="44">
        <v>100</v>
      </c>
      <c r="EH39" s="62">
        <v>1</v>
      </c>
      <c r="EI39" s="43">
        <f t="shared" si="37"/>
        <v>100</v>
      </c>
      <c r="EJ39" s="44">
        <v>1</v>
      </c>
      <c r="EK39" s="44">
        <v>0</v>
      </c>
      <c r="EL39" s="44" t="s">
        <v>859</v>
      </c>
      <c r="EM39" s="45">
        <v>0</v>
      </c>
      <c r="EN39" s="43">
        <f t="shared" si="38"/>
        <v>5000</v>
      </c>
      <c r="EO39" s="69"/>
    </row>
    <row r="40" spans="1:145" x14ac:dyDescent="0.2">
      <c r="A40" s="7" t="str">
        <f t="shared" si="6"/>
        <v>Execução 36</v>
      </c>
      <c r="B40" s="42"/>
      <c r="C40" s="43" t="str">
        <f>IF(IFERROR(INDEX(Consulta!$A:$DS,MATCH('MM01'!$B40,Consulta!$C:$C,0),'MM01'!C$2),"")=0,"",IFERROR(INDEX(Consulta!$A:$DS,MATCH('MM01'!$B40,Consulta!$C:$C,0),'MM01'!C$2),""))</f>
        <v/>
      </c>
      <c r="D40" s="43" t="str">
        <f>IF(IFERROR(INDEX(Consulta!$A:$DS,MATCH('MM01'!$B40,Consulta!$C:$C,0),'MM01'!D$2),"")=0,"",IFERROR(INDEX(Consulta!$A:$DS,MATCH('MM01'!$B40,Consulta!$C:$C,0),'MM01'!D$2),""))</f>
        <v/>
      </c>
      <c r="E40" s="43" t="str">
        <f>IF(IFERROR(INDEX(Consulta!$A:$DS,MATCH('MM01'!$B40,Consulta!$C:$C,0),'MM01'!E$2),"")=0,"",IFERROR(INDEX(Consulta!$A:$DS,MATCH('MM01'!$B40,Consulta!$C:$C,0),'MM01'!E$2),""))</f>
        <v/>
      </c>
      <c r="F40" s="44" t="s">
        <v>100</v>
      </c>
      <c r="G40" s="49" t="str">
        <f>IF(IFERROR(INDEX(Consulta!$A:$DS,MATCH('MM01'!$B40,Consulta!$C:$C,0),'MM01'!G$2),"")=0,"",IFERROR(INDEX(Consulta!$A:$DS,MATCH('MM01'!$B40,Consulta!$C:$C,0),'MM01'!G$2),""))</f>
        <v/>
      </c>
      <c r="H40" s="49" t="str">
        <f>IF(IFERROR(INDEX(Consulta!$A:$DS,MATCH('MM01'!$B40,Consulta!$C:$C,0),'MM01'!H$2),"")=0,"",IFERROR(INDEX(Consulta!$A:$DS,MATCH('MM01'!$B40,Consulta!$C:$C,0),'MM01'!H$2),""))</f>
        <v/>
      </c>
      <c r="I40" s="49" t="str">
        <f t="shared" si="7"/>
        <v/>
      </c>
      <c r="J40" s="49" t="str">
        <f>IF(IFERROR(INDEX(Consulta!$A:$DS,MATCH('MM01'!$B40,Consulta!$C:$C,0),'MM01'!J$2),"")=0,"",IFERROR(INDEX(Consulta!$A:$DS,MATCH('MM01'!$B40,Consulta!$C:$C,0),'MM01'!J$2),""))</f>
        <v/>
      </c>
      <c r="K40" s="49" t="str">
        <f t="shared" si="8"/>
        <v/>
      </c>
      <c r="M40" s="45" t="s">
        <v>101</v>
      </c>
      <c r="N40" s="45" t="s">
        <v>102</v>
      </c>
      <c r="O40" s="45" t="s">
        <v>103</v>
      </c>
      <c r="P40" s="45" t="s">
        <v>104</v>
      </c>
      <c r="Q40" s="45" t="s">
        <v>105</v>
      </c>
      <c r="R40" s="45" t="s">
        <v>106</v>
      </c>
      <c r="S40" s="45" t="s">
        <v>107</v>
      </c>
      <c r="T40" s="45"/>
      <c r="U40" s="45"/>
      <c r="V40" s="45"/>
      <c r="W40" s="45"/>
      <c r="X40" s="45" t="s">
        <v>112</v>
      </c>
      <c r="Y40" s="45" t="s">
        <v>113</v>
      </c>
      <c r="Z40" s="45" t="s">
        <v>114</v>
      </c>
      <c r="AA40" s="45" t="s">
        <v>115</v>
      </c>
      <c r="AB40" s="45" t="s">
        <v>117</v>
      </c>
      <c r="AC40" s="45" t="s">
        <v>118</v>
      </c>
      <c r="AD40" s="45" t="s">
        <v>119</v>
      </c>
      <c r="AE40" s="45" t="s">
        <v>120</v>
      </c>
      <c r="AF40" s="45" t="s">
        <v>121</v>
      </c>
      <c r="AG40" s="45" t="s">
        <v>122</v>
      </c>
      <c r="AH40" s="45" t="s">
        <v>123</v>
      </c>
      <c r="AI40" s="45" t="s">
        <v>124</v>
      </c>
      <c r="AJ40" s="45" t="s">
        <v>125</v>
      </c>
      <c r="AK40" s="45" t="s">
        <v>126</v>
      </c>
      <c r="AL40" s="45"/>
      <c r="AM40" s="45"/>
      <c r="AO40" s="44" t="s">
        <v>100</v>
      </c>
      <c r="AP40" s="43" t="str">
        <f>IF(IFERROR(INDEX(Consulta!$A:$DS,MATCH('MM01'!$B40,Consulta!$C:$C,0),'MM01'!AP$2),"")=0,"",IFERROR(INDEX(Consulta!$A:$DS,MATCH('MM01'!$B40,Consulta!$C:$C,0),'MM01'!AP$2),""))</f>
        <v/>
      </c>
      <c r="AQ40" s="45"/>
      <c r="AR40" s="43" t="str">
        <f>IF(IFERROR(INDEX(Consulta!$A:$DS,MATCH('MM01'!$B40,Consulta!$C:$C,0),'MM01'!AR$2),"")=0,"",IFERROR(INDEX(Consulta!$A:$DS,MATCH('MM01'!$B40,Consulta!$C:$C,0),'MM01'!AR$2),""))</f>
        <v/>
      </c>
      <c r="AS40" s="43" t="str">
        <f>IF(IFERROR(INDEX(Consulta!$A:$DS,MATCH('MM01'!$B40,Consulta!$C:$C,0),'MM01'!AS$2),"")=0,"",IF(AR40="68",5102,IFERROR(INDEX(Consulta!$A:$DS,MATCH('MM01'!$B40,Consulta!$C:$C,0),'MM01'!AS$2),"")))</f>
        <v/>
      </c>
      <c r="AT40" s="45"/>
      <c r="AU40" s="46" t="str">
        <f t="shared" ca="1" si="9"/>
        <v/>
      </c>
      <c r="AV40" s="47" t="s">
        <v>783</v>
      </c>
      <c r="AW40" s="43" t="str">
        <f>IF(IFERROR(INDEX(Consulta!$A:$DS,MATCH('MM01'!$B40,Consulta!$C:$C,0),'MM01'!AW$2),"")=0,"",IFERROR(ROUND(INDEX(Consulta!$A:$DS,MATCH('MM01'!$B40,Consulta!$C:$C,0),'MM01'!AW$2),3),""))</f>
        <v/>
      </c>
      <c r="AX40" s="43" t="str">
        <f t="shared" si="10"/>
        <v/>
      </c>
      <c r="AY40" s="48" t="s">
        <v>299</v>
      </c>
      <c r="AZ40" s="48"/>
      <c r="BA40" s="43" t="str">
        <f>IF(IFERROR(INDEX(Consulta!$A:$DS,MATCH('MM01'!$B40,Consulta!$C:$C,0),'MM01'!BA$2),"")=0,"",IFERROR(INDEX(Consulta!$A:$DS,MATCH('MM01'!$B40,Consulta!$C:$C,0),'MM01'!BA$2),""))</f>
        <v/>
      </c>
      <c r="BB40" s="43" t="str">
        <f t="shared" si="11"/>
        <v/>
      </c>
      <c r="BC40" s="43" t="str">
        <f t="shared" si="12"/>
        <v/>
      </c>
      <c r="BD40" s="43" t="str">
        <f t="shared" si="13"/>
        <v/>
      </c>
      <c r="BE40" s="43" t="str">
        <f t="shared" si="14"/>
        <v>M</v>
      </c>
      <c r="BF40" s="43" t="str">
        <f t="shared" si="15"/>
        <v/>
      </c>
      <c r="BG40" s="43" t="str">
        <f t="shared" si="16"/>
        <v/>
      </c>
      <c r="BH40" s="43" t="str">
        <f t="shared" si="17"/>
        <v/>
      </c>
      <c r="BI40" s="43" t="str">
        <f t="shared" si="18"/>
        <v>M</v>
      </c>
      <c r="BK40" s="45" t="s">
        <v>789</v>
      </c>
      <c r="BL40" s="43" t="str">
        <f>IF(IFERROR(INDEX(Consulta!$A:$DS,MATCH('MM01'!$B40,Consulta!$C:$C,0),'MM01'!BL$2),"")=0,"",IFERROR(INDEX(Consulta!$A:$DS,MATCH('MM01'!$B40,Consulta!$C:$C,0),'MM01'!BL$2),""))</f>
        <v/>
      </c>
      <c r="BM40" s="45"/>
      <c r="BN40" s="46" t="str">
        <f t="shared" ca="1" si="19"/>
        <v/>
      </c>
      <c r="BO40" s="49" t="str">
        <f t="shared" si="20"/>
        <v/>
      </c>
      <c r="BP40" s="50">
        <v>1</v>
      </c>
      <c r="BQ40" s="50" t="s">
        <v>194</v>
      </c>
      <c r="BR40" s="50" t="s">
        <v>194</v>
      </c>
      <c r="BS40" s="50" t="s">
        <v>783</v>
      </c>
      <c r="BT40" s="44">
        <v>1</v>
      </c>
      <c r="BU40" s="44" t="s">
        <v>372</v>
      </c>
      <c r="BV40" s="50" t="s">
        <v>197</v>
      </c>
      <c r="BW40" s="50" t="s">
        <v>197</v>
      </c>
      <c r="BX40" s="43" t="str">
        <f>IF(IFERROR(INDEX(Consulta!$A:$DS,MATCH('MM01'!$B40,Consulta!$C:$C,0),'MM01'!BX$2),"")=0,"",IFERROR(INDEX(Consulta!$A:$DS,MATCH('MM01'!$B40,Consulta!$C:$C,0),'MM01'!BX$2),""))</f>
        <v/>
      </c>
      <c r="BY40" s="44" t="s">
        <v>392</v>
      </c>
      <c r="BZ40" s="50">
        <v>0</v>
      </c>
      <c r="CA40" s="45" t="s">
        <v>403</v>
      </c>
      <c r="CB40" s="45" t="s">
        <v>84</v>
      </c>
      <c r="CC40" s="43" t="str">
        <f t="shared" si="21"/>
        <v/>
      </c>
      <c r="CD40" s="45" t="s">
        <v>430</v>
      </c>
      <c r="CE40" s="45">
        <v>1</v>
      </c>
      <c r="CF40" s="45" t="s">
        <v>496</v>
      </c>
      <c r="CG40" s="45"/>
      <c r="CH40" s="44"/>
      <c r="CI40" s="49" t="str">
        <f t="shared" si="22"/>
        <v/>
      </c>
      <c r="CJ40" s="49" t="str">
        <f t="shared" si="23"/>
        <v/>
      </c>
      <c r="CK40" s="45"/>
      <c r="CL40" s="44">
        <v>5</v>
      </c>
      <c r="CM40" s="44">
        <v>1</v>
      </c>
      <c r="CN40" s="44">
        <v>1</v>
      </c>
      <c r="CO40" s="44">
        <v>1</v>
      </c>
      <c r="CP40" s="50" t="s">
        <v>515</v>
      </c>
      <c r="CQ40" s="44" t="s">
        <v>372</v>
      </c>
      <c r="CR40" s="44">
        <v>2</v>
      </c>
      <c r="CS40" s="44">
        <v>42</v>
      </c>
      <c r="CT40" s="44">
        <v>10</v>
      </c>
      <c r="CU40" s="43" t="str">
        <f t="shared" si="24"/>
        <v>K00_P_PURL_</v>
      </c>
      <c r="CV40" s="45">
        <v>5000</v>
      </c>
      <c r="CW40" s="43" t="str">
        <f t="shared" si="39"/>
        <v/>
      </c>
      <c r="CX40" s="43" t="str">
        <f t="shared" si="40"/>
        <v/>
      </c>
      <c r="CY40" s="43" t="str">
        <f>IF(IFERROR(INDEX(Consulta!$A:$DS,MATCH('MM01'!$B40,Consulta!$C:$C,0),'MM01'!CY$2),"")=0,"",IFERROR(INDEX(Consulta!$A:$DS,MATCH('MM01'!$B40,Consulta!$C:$C,0),'MM01'!CY$2),""))</f>
        <v/>
      </c>
      <c r="CZ40" s="43" t="str">
        <f t="shared" si="41"/>
        <v/>
      </c>
      <c r="DA40" s="43" t="str">
        <f>IF(IFERROR(INDEX(Consulta!$A:$DS,MATCH('MM01'!$B40,Consulta!$C:$C,0),'MM01'!DA$2),"")=0,"",IFERROR(INDEX(Consulta!$A:$DS,MATCH('MM01'!$B40,Consulta!$C:$C,0),'MM01'!DA$2),""))</f>
        <v/>
      </c>
      <c r="DB40" s="43" t="str">
        <f>IF(IFERROR(INDEX(Consulta!$A:$DS,MATCH('MM01'!$B40,Consulta!$C:$C,0),'MM01'!DB$2),"")=0,"",IFERROR(INDEX(Consulta!$A:$DS,MATCH('MM01'!$B40,Consulta!$C:$C,0),'MM01'!DB$2),""))</f>
        <v/>
      </c>
      <c r="DC40" s="43" t="str">
        <f>IF(IFERROR(INDEX(Consulta!$A:$DS,MATCH('MM01'!$B40,Consulta!$C:$C,0),'MM01'!DC$2),"")=0,"",IFERROR(INDEX(Consulta!$A:$DS,MATCH('MM01'!$B40,Consulta!$C:$C,0),'MM01'!DC$2),""))</f>
        <v/>
      </c>
      <c r="DD40" s="43" t="str">
        <f>IF(IFERROR(INDEX(Consulta!$A:$DS,MATCH('MM01'!$B40,Consulta!$C:$C,0),'MM01'!DD$2),"")=0,"",IFERROR(INDEX(Consulta!$A:$DS,MATCH('MM01'!$B40,Consulta!$C:$C,0),'MM01'!DD$2),""))</f>
        <v/>
      </c>
      <c r="DE40" s="43" t="str">
        <f>IF(IFERROR(INDEX(Consulta!$A:$DS,MATCH('MM01'!$B40,Consulta!$C:$C,0),'MM01'!DE$2),"")=0,"",IFERROR(INDEX(Consulta!$A:$DS,MATCH('MM01'!$B40,Consulta!$C:$C,0),'MM01'!DE$2),""))</f>
        <v/>
      </c>
      <c r="DF40" s="100">
        <v>3458</v>
      </c>
      <c r="DG40" s="45">
        <v>0</v>
      </c>
      <c r="DH40" s="45">
        <v>0</v>
      </c>
      <c r="DI40" s="43" t="str">
        <f t="shared" si="42"/>
        <v/>
      </c>
      <c r="DJ40" s="43" t="str">
        <f t="shared" si="25"/>
        <v/>
      </c>
      <c r="DK40" s="57"/>
      <c r="DL40" s="43" t="str">
        <f t="shared" ca="1" si="26"/>
        <v/>
      </c>
      <c r="DM40" s="43" t="str">
        <f t="shared" si="27"/>
        <v/>
      </c>
      <c r="DN40" s="43" t="str">
        <f t="shared" si="28"/>
        <v/>
      </c>
      <c r="DO40" s="57"/>
      <c r="DP40" s="43" t="str">
        <f t="shared" ca="1" si="29"/>
        <v/>
      </c>
      <c r="DQ40" s="43" t="str">
        <f t="shared" si="30"/>
        <v/>
      </c>
      <c r="DR40" s="43" t="str">
        <f t="shared" si="31"/>
        <v/>
      </c>
      <c r="DS40" s="57"/>
      <c r="DT40" s="43" t="str">
        <f t="shared" ca="1" si="32"/>
        <v/>
      </c>
      <c r="DU40" s="43" t="str">
        <f t="shared" si="33"/>
        <v/>
      </c>
      <c r="DV40" s="43" t="str">
        <f t="shared" si="34"/>
        <v/>
      </c>
      <c r="DW40" s="57"/>
      <c r="DX40" s="43" t="str">
        <f t="shared" ca="1" si="35"/>
        <v/>
      </c>
      <c r="DY40" s="43" t="str">
        <f t="shared" si="36"/>
        <v/>
      </c>
      <c r="EA40" s="44">
        <v>0</v>
      </c>
      <c r="EB40" s="44" t="s">
        <v>761</v>
      </c>
      <c r="EC40" s="44">
        <v>30</v>
      </c>
      <c r="ED40" s="43">
        <f t="shared" si="43"/>
        <v>0.01</v>
      </c>
      <c r="EE40" s="43" t="str">
        <f t="shared" si="44"/>
        <v>M</v>
      </c>
      <c r="EF40" s="43" t="str">
        <f>IF(IFERROR(INDEX(Consulta!$A:$DS,MATCH('MM01'!$B40,Consulta!$C:$C,0),'MM01'!EF$2),"")=0,"7925",IF(IFERROR(INDEX(Consulta!$A:$DS,MATCH('MM01'!$B40,Consulta!$C:$C,0),'MM01'!EF$2),"")="68","7910","7925"))</f>
        <v>7925</v>
      </c>
      <c r="EG40" s="44">
        <v>100</v>
      </c>
      <c r="EH40" s="62">
        <v>1</v>
      </c>
      <c r="EI40" s="43">
        <f t="shared" si="37"/>
        <v>100</v>
      </c>
      <c r="EJ40" s="44">
        <v>1</v>
      </c>
      <c r="EK40" s="44">
        <v>0</v>
      </c>
      <c r="EL40" s="44" t="s">
        <v>859</v>
      </c>
      <c r="EM40" s="45">
        <v>0</v>
      </c>
      <c r="EN40" s="43">
        <f t="shared" si="38"/>
        <v>5000</v>
      </c>
      <c r="EO40" s="69"/>
    </row>
    <row r="41" spans="1:145" x14ac:dyDescent="0.2">
      <c r="A41" s="7" t="str">
        <f t="shared" si="6"/>
        <v>Execução 37</v>
      </c>
      <c r="B41" s="42"/>
      <c r="C41" s="43" t="str">
        <f>IF(IFERROR(INDEX(Consulta!$A:$DS,MATCH('MM01'!$B41,Consulta!$C:$C,0),'MM01'!C$2),"")=0,"",IFERROR(INDEX(Consulta!$A:$DS,MATCH('MM01'!$B41,Consulta!$C:$C,0),'MM01'!C$2),""))</f>
        <v/>
      </c>
      <c r="D41" s="43" t="str">
        <f>IF(IFERROR(INDEX(Consulta!$A:$DS,MATCH('MM01'!$B41,Consulta!$C:$C,0),'MM01'!D$2),"")=0,"",IFERROR(INDEX(Consulta!$A:$DS,MATCH('MM01'!$B41,Consulta!$C:$C,0),'MM01'!D$2),""))</f>
        <v/>
      </c>
      <c r="E41" s="43" t="str">
        <f>IF(IFERROR(INDEX(Consulta!$A:$DS,MATCH('MM01'!$B41,Consulta!$C:$C,0),'MM01'!E$2),"")=0,"",IFERROR(INDEX(Consulta!$A:$DS,MATCH('MM01'!$B41,Consulta!$C:$C,0),'MM01'!E$2),""))</f>
        <v/>
      </c>
      <c r="F41" s="44" t="s">
        <v>100</v>
      </c>
      <c r="G41" s="49" t="str">
        <f>IF(IFERROR(INDEX(Consulta!$A:$DS,MATCH('MM01'!$B41,Consulta!$C:$C,0),'MM01'!G$2),"")=0,"",IFERROR(INDEX(Consulta!$A:$DS,MATCH('MM01'!$B41,Consulta!$C:$C,0),'MM01'!G$2),""))</f>
        <v/>
      </c>
      <c r="H41" s="49" t="str">
        <f>IF(IFERROR(INDEX(Consulta!$A:$DS,MATCH('MM01'!$B41,Consulta!$C:$C,0),'MM01'!H$2),"")=0,"",IFERROR(INDEX(Consulta!$A:$DS,MATCH('MM01'!$B41,Consulta!$C:$C,0),'MM01'!H$2),""))</f>
        <v/>
      </c>
      <c r="I41" s="49" t="str">
        <f t="shared" si="7"/>
        <v/>
      </c>
      <c r="J41" s="49" t="str">
        <f>IF(IFERROR(INDEX(Consulta!$A:$DS,MATCH('MM01'!$B41,Consulta!$C:$C,0),'MM01'!J$2),"")=0,"",IFERROR(INDEX(Consulta!$A:$DS,MATCH('MM01'!$B41,Consulta!$C:$C,0),'MM01'!J$2),""))</f>
        <v/>
      </c>
      <c r="K41" s="49" t="str">
        <f t="shared" si="8"/>
        <v/>
      </c>
      <c r="M41" s="45" t="s">
        <v>101</v>
      </c>
      <c r="N41" s="45" t="s">
        <v>102</v>
      </c>
      <c r="O41" s="45" t="s">
        <v>103</v>
      </c>
      <c r="P41" s="45" t="s">
        <v>104</v>
      </c>
      <c r="Q41" s="45" t="s">
        <v>105</v>
      </c>
      <c r="R41" s="45" t="s">
        <v>106</v>
      </c>
      <c r="S41" s="45" t="s">
        <v>107</v>
      </c>
      <c r="T41" s="45"/>
      <c r="U41" s="45"/>
      <c r="V41" s="45"/>
      <c r="W41" s="45"/>
      <c r="X41" s="45" t="s">
        <v>112</v>
      </c>
      <c r="Y41" s="45" t="s">
        <v>113</v>
      </c>
      <c r="Z41" s="45" t="s">
        <v>114</v>
      </c>
      <c r="AA41" s="45" t="s">
        <v>115</v>
      </c>
      <c r="AB41" s="45" t="s">
        <v>117</v>
      </c>
      <c r="AC41" s="45" t="s">
        <v>118</v>
      </c>
      <c r="AD41" s="45" t="s">
        <v>119</v>
      </c>
      <c r="AE41" s="45" t="s">
        <v>120</v>
      </c>
      <c r="AF41" s="45" t="s">
        <v>121</v>
      </c>
      <c r="AG41" s="45" t="s">
        <v>122</v>
      </c>
      <c r="AH41" s="45" t="s">
        <v>123</v>
      </c>
      <c r="AI41" s="45" t="s">
        <v>124</v>
      </c>
      <c r="AJ41" s="45" t="s">
        <v>125</v>
      </c>
      <c r="AK41" s="45" t="s">
        <v>126</v>
      </c>
      <c r="AL41" s="45"/>
      <c r="AM41" s="45"/>
      <c r="AO41" s="44" t="s">
        <v>100</v>
      </c>
      <c r="AP41" s="43" t="str">
        <f>IF(IFERROR(INDEX(Consulta!$A:$DS,MATCH('MM01'!$B41,Consulta!$C:$C,0),'MM01'!AP$2),"")=0,"",IFERROR(INDEX(Consulta!$A:$DS,MATCH('MM01'!$B41,Consulta!$C:$C,0),'MM01'!AP$2),""))</f>
        <v/>
      </c>
      <c r="AQ41" s="45"/>
      <c r="AR41" s="43" t="str">
        <f>IF(IFERROR(INDEX(Consulta!$A:$DS,MATCH('MM01'!$B41,Consulta!$C:$C,0),'MM01'!AR$2),"")=0,"",IFERROR(INDEX(Consulta!$A:$DS,MATCH('MM01'!$B41,Consulta!$C:$C,0),'MM01'!AR$2),""))</f>
        <v/>
      </c>
      <c r="AS41" s="43" t="str">
        <f>IF(IFERROR(INDEX(Consulta!$A:$DS,MATCH('MM01'!$B41,Consulta!$C:$C,0),'MM01'!AS$2),"")=0,"",IF(AR41="68",5102,IFERROR(INDEX(Consulta!$A:$DS,MATCH('MM01'!$B41,Consulta!$C:$C,0),'MM01'!AS$2),"")))</f>
        <v/>
      </c>
      <c r="AT41" s="45"/>
      <c r="AU41" s="46" t="str">
        <f t="shared" ca="1" si="9"/>
        <v/>
      </c>
      <c r="AV41" s="47" t="s">
        <v>783</v>
      </c>
      <c r="AW41" s="43" t="str">
        <f>IF(IFERROR(INDEX(Consulta!$A:$DS,MATCH('MM01'!$B41,Consulta!$C:$C,0),'MM01'!AW$2),"")=0,"",IFERROR(ROUND(INDEX(Consulta!$A:$DS,MATCH('MM01'!$B41,Consulta!$C:$C,0),'MM01'!AW$2),3),""))</f>
        <v/>
      </c>
      <c r="AX41" s="43" t="str">
        <f t="shared" si="10"/>
        <v/>
      </c>
      <c r="AY41" s="48" t="s">
        <v>299</v>
      </c>
      <c r="AZ41" s="48"/>
      <c r="BA41" s="43" t="str">
        <f>IF(IFERROR(INDEX(Consulta!$A:$DS,MATCH('MM01'!$B41,Consulta!$C:$C,0),'MM01'!BA$2),"")=0,"",IFERROR(INDEX(Consulta!$A:$DS,MATCH('MM01'!$B41,Consulta!$C:$C,0),'MM01'!BA$2),""))</f>
        <v/>
      </c>
      <c r="BB41" s="43" t="str">
        <f t="shared" si="11"/>
        <v/>
      </c>
      <c r="BC41" s="43" t="str">
        <f t="shared" si="12"/>
        <v/>
      </c>
      <c r="BD41" s="43" t="str">
        <f t="shared" si="13"/>
        <v/>
      </c>
      <c r="BE41" s="43" t="str">
        <f t="shared" si="14"/>
        <v>M</v>
      </c>
      <c r="BF41" s="43" t="str">
        <f t="shared" si="15"/>
        <v/>
      </c>
      <c r="BG41" s="43" t="str">
        <f t="shared" si="16"/>
        <v/>
      </c>
      <c r="BH41" s="43" t="str">
        <f t="shared" si="17"/>
        <v/>
      </c>
      <c r="BI41" s="43" t="str">
        <f t="shared" si="18"/>
        <v>M</v>
      </c>
      <c r="BK41" s="45" t="s">
        <v>789</v>
      </c>
      <c r="BL41" s="43" t="str">
        <f>IF(IFERROR(INDEX(Consulta!$A:$DS,MATCH('MM01'!$B41,Consulta!$C:$C,0),'MM01'!BL$2),"")=0,"",IFERROR(INDEX(Consulta!$A:$DS,MATCH('MM01'!$B41,Consulta!$C:$C,0),'MM01'!BL$2),""))</f>
        <v/>
      </c>
      <c r="BM41" s="45"/>
      <c r="BN41" s="46" t="str">
        <f t="shared" ca="1" si="19"/>
        <v/>
      </c>
      <c r="BO41" s="49" t="str">
        <f t="shared" si="20"/>
        <v/>
      </c>
      <c r="BP41" s="50">
        <v>1</v>
      </c>
      <c r="BQ41" s="50" t="s">
        <v>194</v>
      </c>
      <c r="BR41" s="50" t="s">
        <v>194</v>
      </c>
      <c r="BS41" s="50" t="s">
        <v>783</v>
      </c>
      <c r="BT41" s="44">
        <v>1</v>
      </c>
      <c r="BU41" s="44" t="s">
        <v>372</v>
      </c>
      <c r="BV41" s="50" t="s">
        <v>197</v>
      </c>
      <c r="BW41" s="50" t="s">
        <v>197</v>
      </c>
      <c r="BX41" s="43" t="str">
        <f>IF(IFERROR(INDEX(Consulta!$A:$DS,MATCH('MM01'!$B41,Consulta!$C:$C,0),'MM01'!BX$2),"")=0,"",IFERROR(INDEX(Consulta!$A:$DS,MATCH('MM01'!$B41,Consulta!$C:$C,0),'MM01'!BX$2),""))</f>
        <v/>
      </c>
      <c r="BY41" s="44" t="s">
        <v>392</v>
      </c>
      <c r="BZ41" s="50">
        <v>0</v>
      </c>
      <c r="CA41" s="45" t="s">
        <v>403</v>
      </c>
      <c r="CB41" s="45" t="s">
        <v>84</v>
      </c>
      <c r="CC41" s="43" t="str">
        <f t="shared" si="21"/>
        <v/>
      </c>
      <c r="CD41" s="45" t="s">
        <v>430</v>
      </c>
      <c r="CE41" s="45">
        <v>1</v>
      </c>
      <c r="CF41" s="45" t="s">
        <v>496</v>
      </c>
      <c r="CG41" s="45"/>
      <c r="CH41" s="44"/>
      <c r="CI41" s="49" t="str">
        <f t="shared" si="22"/>
        <v/>
      </c>
      <c r="CJ41" s="49" t="str">
        <f t="shared" si="23"/>
        <v/>
      </c>
      <c r="CK41" s="45"/>
      <c r="CL41" s="44">
        <v>5</v>
      </c>
      <c r="CM41" s="44">
        <v>1</v>
      </c>
      <c r="CN41" s="44">
        <v>1</v>
      </c>
      <c r="CO41" s="44">
        <v>1</v>
      </c>
      <c r="CP41" s="50" t="s">
        <v>515</v>
      </c>
      <c r="CQ41" s="44" t="s">
        <v>372</v>
      </c>
      <c r="CR41" s="44">
        <v>2</v>
      </c>
      <c r="CS41" s="44">
        <v>42</v>
      </c>
      <c r="CT41" s="44">
        <v>10</v>
      </c>
      <c r="CU41" s="43" t="str">
        <f t="shared" si="24"/>
        <v>K00_P_PURL_</v>
      </c>
      <c r="CV41" s="45">
        <v>5000</v>
      </c>
      <c r="CW41" s="43" t="str">
        <f t="shared" si="39"/>
        <v/>
      </c>
      <c r="CX41" s="43" t="str">
        <f t="shared" si="40"/>
        <v/>
      </c>
      <c r="CY41" s="43" t="str">
        <f>IF(IFERROR(INDEX(Consulta!$A:$DS,MATCH('MM01'!$B41,Consulta!$C:$C,0),'MM01'!CY$2),"")=0,"",IFERROR(INDEX(Consulta!$A:$DS,MATCH('MM01'!$B41,Consulta!$C:$C,0),'MM01'!CY$2),""))</f>
        <v/>
      </c>
      <c r="CZ41" s="43" t="str">
        <f t="shared" si="41"/>
        <v/>
      </c>
      <c r="DA41" s="43" t="str">
        <f>IF(IFERROR(INDEX(Consulta!$A:$DS,MATCH('MM01'!$B41,Consulta!$C:$C,0),'MM01'!DA$2),"")=0,"",IFERROR(INDEX(Consulta!$A:$DS,MATCH('MM01'!$B41,Consulta!$C:$C,0),'MM01'!DA$2),""))</f>
        <v/>
      </c>
      <c r="DB41" s="43" t="str">
        <f>IF(IFERROR(INDEX(Consulta!$A:$DS,MATCH('MM01'!$B41,Consulta!$C:$C,0),'MM01'!DB$2),"")=0,"",IFERROR(INDEX(Consulta!$A:$DS,MATCH('MM01'!$B41,Consulta!$C:$C,0),'MM01'!DB$2),""))</f>
        <v/>
      </c>
      <c r="DC41" s="43" t="str">
        <f>IF(IFERROR(INDEX(Consulta!$A:$DS,MATCH('MM01'!$B41,Consulta!$C:$C,0),'MM01'!DC$2),"")=0,"",IFERROR(INDEX(Consulta!$A:$DS,MATCH('MM01'!$B41,Consulta!$C:$C,0),'MM01'!DC$2),""))</f>
        <v/>
      </c>
      <c r="DD41" s="43" t="str">
        <f>IF(IFERROR(INDEX(Consulta!$A:$DS,MATCH('MM01'!$B41,Consulta!$C:$C,0),'MM01'!DD$2),"")=0,"",IFERROR(INDEX(Consulta!$A:$DS,MATCH('MM01'!$B41,Consulta!$C:$C,0),'MM01'!DD$2),""))</f>
        <v/>
      </c>
      <c r="DE41" s="43" t="str">
        <f>IF(IFERROR(INDEX(Consulta!$A:$DS,MATCH('MM01'!$B41,Consulta!$C:$C,0),'MM01'!DE$2),"")=0,"",IFERROR(INDEX(Consulta!$A:$DS,MATCH('MM01'!$B41,Consulta!$C:$C,0),'MM01'!DE$2),""))</f>
        <v/>
      </c>
      <c r="DF41" s="100">
        <v>3458</v>
      </c>
      <c r="DG41" s="45">
        <v>0</v>
      </c>
      <c r="DH41" s="45">
        <v>0</v>
      </c>
      <c r="DI41" s="43" t="str">
        <f t="shared" si="42"/>
        <v/>
      </c>
      <c r="DJ41" s="43" t="str">
        <f t="shared" si="25"/>
        <v/>
      </c>
      <c r="DK41" s="57"/>
      <c r="DL41" s="43" t="str">
        <f t="shared" ca="1" si="26"/>
        <v/>
      </c>
      <c r="DM41" s="43" t="str">
        <f t="shared" si="27"/>
        <v/>
      </c>
      <c r="DN41" s="43" t="str">
        <f t="shared" si="28"/>
        <v/>
      </c>
      <c r="DO41" s="57"/>
      <c r="DP41" s="43" t="str">
        <f t="shared" ca="1" si="29"/>
        <v/>
      </c>
      <c r="DQ41" s="43" t="str">
        <f t="shared" si="30"/>
        <v/>
      </c>
      <c r="DR41" s="43" t="str">
        <f t="shared" si="31"/>
        <v/>
      </c>
      <c r="DS41" s="57"/>
      <c r="DT41" s="43" t="str">
        <f t="shared" ca="1" si="32"/>
        <v/>
      </c>
      <c r="DU41" s="43" t="str">
        <f t="shared" si="33"/>
        <v/>
      </c>
      <c r="DV41" s="43" t="str">
        <f t="shared" si="34"/>
        <v/>
      </c>
      <c r="DW41" s="57"/>
      <c r="DX41" s="43" t="str">
        <f t="shared" ca="1" si="35"/>
        <v/>
      </c>
      <c r="DY41" s="43" t="str">
        <f t="shared" si="36"/>
        <v/>
      </c>
      <c r="EA41" s="44">
        <v>0</v>
      </c>
      <c r="EB41" s="44" t="s">
        <v>761</v>
      </c>
      <c r="EC41" s="44">
        <v>30</v>
      </c>
      <c r="ED41" s="43">
        <f t="shared" si="43"/>
        <v>0.01</v>
      </c>
      <c r="EE41" s="43" t="str">
        <f t="shared" si="44"/>
        <v>M</v>
      </c>
      <c r="EF41" s="43" t="str">
        <f>IF(IFERROR(INDEX(Consulta!$A:$DS,MATCH('MM01'!$B41,Consulta!$C:$C,0),'MM01'!EF$2),"")=0,"7925",IF(IFERROR(INDEX(Consulta!$A:$DS,MATCH('MM01'!$B41,Consulta!$C:$C,0),'MM01'!EF$2),"")="68","7910","7925"))</f>
        <v>7925</v>
      </c>
      <c r="EG41" s="44">
        <v>100</v>
      </c>
      <c r="EH41" s="62">
        <v>1</v>
      </c>
      <c r="EI41" s="43">
        <f t="shared" si="37"/>
        <v>100</v>
      </c>
      <c r="EJ41" s="44">
        <v>1</v>
      </c>
      <c r="EK41" s="44">
        <v>0</v>
      </c>
      <c r="EL41" s="44" t="s">
        <v>859</v>
      </c>
      <c r="EM41" s="45">
        <v>0</v>
      </c>
      <c r="EN41" s="43">
        <f t="shared" si="38"/>
        <v>5000</v>
      </c>
      <c r="EO41" s="69"/>
    </row>
    <row r="42" spans="1:145" x14ac:dyDescent="0.2">
      <c r="A42" s="7" t="str">
        <f t="shared" si="6"/>
        <v>Execução 38</v>
      </c>
      <c r="B42" s="42"/>
      <c r="C42" s="43" t="str">
        <f>IF(IFERROR(INDEX(Consulta!$A:$DS,MATCH('MM01'!$B42,Consulta!$C:$C,0),'MM01'!C$2),"")=0,"",IFERROR(INDEX(Consulta!$A:$DS,MATCH('MM01'!$B42,Consulta!$C:$C,0),'MM01'!C$2),""))</f>
        <v/>
      </c>
      <c r="D42" s="43" t="str">
        <f>IF(IFERROR(INDEX(Consulta!$A:$DS,MATCH('MM01'!$B42,Consulta!$C:$C,0),'MM01'!D$2),"")=0,"",IFERROR(INDEX(Consulta!$A:$DS,MATCH('MM01'!$B42,Consulta!$C:$C,0),'MM01'!D$2),""))</f>
        <v/>
      </c>
      <c r="E42" s="43" t="str">
        <f>IF(IFERROR(INDEX(Consulta!$A:$DS,MATCH('MM01'!$B42,Consulta!$C:$C,0),'MM01'!E$2),"")=0,"",IFERROR(INDEX(Consulta!$A:$DS,MATCH('MM01'!$B42,Consulta!$C:$C,0),'MM01'!E$2),""))</f>
        <v/>
      </c>
      <c r="F42" s="44" t="s">
        <v>100</v>
      </c>
      <c r="G42" s="49" t="str">
        <f>IF(IFERROR(INDEX(Consulta!$A:$DS,MATCH('MM01'!$B42,Consulta!$C:$C,0),'MM01'!G$2),"")=0,"",IFERROR(INDEX(Consulta!$A:$DS,MATCH('MM01'!$B42,Consulta!$C:$C,0),'MM01'!G$2),""))</f>
        <v/>
      </c>
      <c r="H42" s="49" t="str">
        <f>IF(IFERROR(INDEX(Consulta!$A:$DS,MATCH('MM01'!$B42,Consulta!$C:$C,0),'MM01'!H$2),"")=0,"",IFERROR(INDEX(Consulta!$A:$DS,MATCH('MM01'!$B42,Consulta!$C:$C,0),'MM01'!H$2),""))</f>
        <v/>
      </c>
      <c r="I42" s="49" t="str">
        <f t="shared" si="7"/>
        <v/>
      </c>
      <c r="J42" s="49" t="str">
        <f>IF(IFERROR(INDEX(Consulta!$A:$DS,MATCH('MM01'!$B42,Consulta!$C:$C,0),'MM01'!J$2),"")=0,"",IFERROR(INDEX(Consulta!$A:$DS,MATCH('MM01'!$B42,Consulta!$C:$C,0),'MM01'!J$2),""))</f>
        <v/>
      </c>
      <c r="K42" s="49" t="str">
        <f t="shared" si="8"/>
        <v/>
      </c>
      <c r="M42" s="45" t="s">
        <v>101</v>
      </c>
      <c r="N42" s="45" t="s">
        <v>102</v>
      </c>
      <c r="O42" s="45" t="s">
        <v>103</v>
      </c>
      <c r="P42" s="45" t="s">
        <v>104</v>
      </c>
      <c r="Q42" s="45" t="s">
        <v>105</v>
      </c>
      <c r="R42" s="45" t="s">
        <v>106</v>
      </c>
      <c r="S42" s="45" t="s">
        <v>107</v>
      </c>
      <c r="T42" s="45"/>
      <c r="U42" s="45"/>
      <c r="V42" s="45"/>
      <c r="W42" s="45"/>
      <c r="X42" s="45" t="s">
        <v>112</v>
      </c>
      <c r="Y42" s="45" t="s">
        <v>113</v>
      </c>
      <c r="Z42" s="45" t="s">
        <v>114</v>
      </c>
      <c r="AA42" s="45" t="s">
        <v>115</v>
      </c>
      <c r="AB42" s="45" t="s">
        <v>117</v>
      </c>
      <c r="AC42" s="45" t="s">
        <v>118</v>
      </c>
      <c r="AD42" s="45" t="s">
        <v>119</v>
      </c>
      <c r="AE42" s="45" t="s">
        <v>120</v>
      </c>
      <c r="AF42" s="45" t="s">
        <v>121</v>
      </c>
      <c r="AG42" s="45" t="s">
        <v>122</v>
      </c>
      <c r="AH42" s="45" t="s">
        <v>123</v>
      </c>
      <c r="AI42" s="45" t="s">
        <v>124</v>
      </c>
      <c r="AJ42" s="45" t="s">
        <v>125</v>
      </c>
      <c r="AK42" s="45" t="s">
        <v>126</v>
      </c>
      <c r="AL42" s="45"/>
      <c r="AM42" s="45"/>
      <c r="AO42" s="44" t="s">
        <v>100</v>
      </c>
      <c r="AP42" s="43" t="str">
        <f>IF(IFERROR(INDEX(Consulta!$A:$DS,MATCH('MM01'!$B42,Consulta!$C:$C,0),'MM01'!AP$2),"")=0,"",IFERROR(INDEX(Consulta!$A:$DS,MATCH('MM01'!$B42,Consulta!$C:$C,0),'MM01'!AP$2),""))</f>
        <v/>
      </c>
      <c r="AQ42" s="45"/>
      <c r="AR42" s="43" t="str">
        <f>IF(IFERROR(INDEX(Consulta!$A:$DS,MATCH('MM01'!$B42,Consulta!$C:$C,0),'MM01'!AR$2),"")=0,"",IFERROR(INDEX(Consulta!$A:$DS,MATCH('MM01'!$B42,Consulta!$C:$C,0),'MM01'!AR$2),""))</f>
        <v/>
      </c>
      <c r="AS42" s="43" t="str">
        <f>IF(IFERROR(INDEX(Consulta!$A:$DS,MATCH('MM01'!$B42,Consulta!$C:$C,0),'MM01'!AS$2),"")=0,"",IF(AR42="68",5102,IFERROR(INDEX(Consulta!$A:$DS,MATCH('MM01'!$B42,Consulta!$C:$C,0),'MM01'!AS$2),"")))</f>
        <v/>
      </c>
      <c r="AT42" s="45"/>
      <c r="AU42" s="46" t="str">
        <f t="shared" ca="1" si="9"/>
        <v/>
      </c>
      <c r="AV42" s="47" t="s">
        <v>783</v>
      </c>
      <c r="AW42" s="43" t="str">
        <f>IF(IFERROR(INDEX(Consulta!$A:$DS,MATCH('MM01'!$B42,Consulta!$C:$C,0),'MM01'!AW$2),"")=0,"",IFERROR(ROUND(INDEX(Consulta!$A:$DS,MATCH('MM01'!$B42,Consulta!$C:$C,0),'MM01'!AW$2),3),""))</f>
        <v/>
      </c>
      <c r="AX42" s="43" t="str">
        <f t="shared" si="10"/>
        <v/>
      </c>
      <c r="AY42" s="48" t="s">
        <v>299</v>
      </c>
      <c r="AZ42" s="48"/>
      <c r="BA42" s="43" t="str">
        <f>IF(IFERROR(INDEX(Consulta!$A:$DS,MATCH('MM01'!$B42,Consulta!$C:$C,0),'MM01'!BA$2),"")=0,"",IFERROR(INDEX(Consulta!$A:$DS,MATCH('MM01'!$B42,Consulta!$C:$C,0),'MM01'!BA$2),""))</f>
        <v/>
      </c>
      <c r="BB42" s="43" t="str">
        <f t="shared" si="11"/>
        <v/>
      </c>
      <c r="BC42" s="43" t="str">
        <f t="shared" si="12"/>
        <v/>
      </c>
      <c r="BD42" s="43" t="str">
        <f t="shared" si="13"/>
        <v/>
      </c>
      <c r="BE42" s="43" t="str">
        <f t="shared" si="14"/>
        <v>M</v>
      </c>
      <c r="BF42" s="43" t="str">
        <f t="shared" si="15"/>
        <v/>
      </c>
      <c r="BG42" s="43" t="str">
        <f t="shared" si="16"/>
        <v/>
      </c>
      <c r="BH42" s="43" t="str">
        <f t="shared" si="17"/>
        <v/>
      </c>
      <c r="BI42" s="43" t="str">
        <f t="shared" si="18"/>
        <v>M</v>
      </c>
      <c r="BK42" s="45" t="s">
        <v>789</v>
      </c>
      <c r="BL42" s="43" t="str">
        <f>IF(IFERROR(INDEX(Consulta!$A:$DS,MATCH('MM01'!$B42,Consulta!$C:$C,0),'MM01'!BL$2),"")=0,"",IFERROR(INDEX(Consulta!$A:$DS,MATCH('MM01'!$B42,Consulta!$C:$C,0),'MM01'!BL$2),""))</f>
        <v/>
      </c>
      <c r="BM42" s="45"/>
      <c r="BN42" s="46" t="str">
        <f t="shared" ca="1" si="19"/>
        <v/>
      </c>
      <c r="BO42" s="49" t="str">
        <f t="shared" si="20"/>
        <v/>
      </c>
      <c r="BP42" s="50">
        <v>1</v>
      </c>
      <c r="BQ42" s="50" t="s">
        <v>194</v>
      </c>
      <c r="BR42" s="50" t="s">
        <v>194</v>
      </c>
      <c r="BS42" s="50" t="s">
        <v>783</v>
      </c>
      <c r="BT42" s="44">
        <v>1</v>
      </c>
      <c r="BU42" s="44" t="s">
        <v>372</v>
      </c>
      <c r="BV42" s="50" t="s">
        <v>197</v>
      </c>
      <c r="BW42" s="50" t="s">
        <v>197</v>
      </c>
      <c r="BX42" s="43" t="str">
        <f>IF(IFERROR(INDEX(Consulta!$A:$DS,MATCH('MM01'!$B42,Consulta!$C:$C,0),'MM01'!BX$2),"")=0,"",IFERROR(INDEX(Consulta!$A:$DS,MATCH('MM01'!$B42,Consulta!$C:$C,0),'MM01'!BX$2),""))</f>
        <v/>
      </c>
      <c r="BY42" s="44" t="s">
        <v>392</v>
      </c>
      <c r="BZ42" s="50">
        <v>0</v>
      </c>
      <c r="CA42" s="45" t="s">
        <v>403</v>
      </c>
      <c r="CB42" s="45" t="s">
        <v>84</v>
      </c>
      <c r="CC42" s="43" t="str">
        <f t="shared" si="21"/>
        <v/>
      </c>
      <c r="CD42" s="45" t="s">
        <v>430</v>
      </c>
      <c r="CE42" s="45">
        <v>1</v>
      </c>
      <c r="CF42" s="45" t="s">
        <v>496</v>
      </c>
      <c r="CG42" s="45"/>
      <c r="CH42" s="44"/>
      <c r="CI42" s="49" t="str">
        <f t="shared" si="22"/>
        <v/>
      </c>
      <c r="CJ42" s="49" t="str">
        <f t="shared" si="23"/>
        <v/>
      </c>
      <c r="CK42" s="45"/>
      <c r="CL42" s="44">
        <v>5</v>
      </c>
      <c r="CM42" s="44">
        <v>1</v>
      </c>
      <c r="CN42" s="44">
        <v>1</v>
      </c>
      <c r="CO42" s="44">
        <v>1</v>
      </c>
      <c r="CP42" s="50" t="s">
        <v>515</v>
      </c>
      <c r="CQ42" s="44" t="s">
        <v>372</v>
      </c>
      <c r="CR42" s="44">
        <v>2</v>
      </c>
      <c r="CS42" s="44">
        <v>42</v>
      </c>
      <c r="CT42" s="44">
        <v>10</v>
      </c>
      <c r="CU42" s="43" t="str">
        <f t="shared" si="24"/>
        <v>K00_P_PURL_</v>
      </c>
      <c r="CV42" s="45">
        <v>5000</v>
      </c>
      <c r="CW42" s="43" t="str">
        <f t="shared" si="39"/>
        <v/>
      </c>
      <c r="CX42" s="43" t="str">
        <f t="shared" si="40"/>
        <v/>
      </c>
      <c r="CY42" s="43" t="str">
        <f>IF(IFERROR(INDEX(Consulta!$A:$DS,MATCH('MM01'!$B42,Consulta!$C:$C,0),'MM01'!CY$2),"")=0,"",IFERROR(INDEX(Consulta!$A:$DS,MATCH('MM01'!$B42,Consulta!$C:$C,0),'MM01'!CY$2),""))</f>
        <v/>
      </c>
      <c r="CZ42" s="43" t="str">
        <f t="shared" si="41"/>
        <v/>
      </c>
      <c r="DA42" s="43" t="str">
        <f>IF(IFERROR(INDEX(Consulta!$A:$DS,MATCH('MM01'!$B42,Consulta!$C:$C,0),'MM01'!DA$2),"")=0,"",IFERROR(INDEX(Consulta!$A:$DS,MATCH('MM01'!$B42,Consulta!$C:$C,0),'MM01'!DA$2),""))</f>
        <v/>
      </c>
      <c r="DB42" s="43" t="str">
        <f>IF(IFERROR(INDEX(Consulta!$A:$DS,MATCH('MM01'!$B42,Consulta!$C:$C,0),'MM01'!DB$2),"")=0,"",IFERROR(INDEX(Consulta!$A:$DS,MATCH('MM01'!$B42,Consulta!$C:$C,0),'MM01'!DB$2),""))</f>
        <v/>
      </c>
      <c r="DC42" s="43" t="str">
        <f>IF(IFERROR(INDEX(Consulta!$A:$DS,MATCH('MM01'!$B42,Consulta!$C:$C,0),'MM01'!DC$2),"")=0,"",IFERROR(INDEX(Consulta!$A:$DS,MATCH('MM01'!$B42,Consulta!$C:$C,0),'MM01'!DC$2),""))</f>
        <v/>
      </c>
      <c r="DD42" s="43" t="str">
        <f>IF(IFERROR(INDEX(Consulta!$A:$DS,MATCH('MM01'!$B42,Consulta!$C:$C,0),'MM01'!DD$2),"")=0,"",IFERROR(INDEX(Consulta!$A:$DS,MATCH('MM01'!$B42,Consulta!$C:$C,0),'MM01'!DD$2),""))</f>
        <v/>
      </c>
      <c r="DE42" s="43" t="str">
        <f>IF(IFERROR(INDEX(Consulta!$A:$DS,MATCH('MM01'!$B42,Consulta!$C:$C,0),'MM01'!DE$2),"")=0,"",IFERROR(INDEX(Consulta!$A:$DS,MATCH('MM01'!$B42,Consulta!$C:$C,0),'MM01'!DE$2),""))</f>
        <v/>
      </c>
      <c r="DF42" s="100">
        <v>3458</v>
      </c>
      <c r="DG42" s="45">
        <v>0</v>
      </c>
      <c r="DH42" s="45">
        <v>0</v>
      </c>
      <c r="DI42" s="43" t="str">
        <f t="shared" si="42"/>
        <v/>
      </c>
      <c r="DJ42" s="43" t="str">
        <f t="shared" si="25"/>
        <v/>
      </c>
      <c r="DK42" s="57"/>
      <c r="DL42" s="43" t="str">
        <f t="shared" ca="1" si="26"/>
        <v/>
      </c>
      <c r="DM42" s="43" t="str">
        <f t="shared" si="27"/>
        <v/>
      </c>
      <c r="DN42" s="43" t="str">
        <f t="shared" si="28"/>
        <v/>
      </c>
      <c r="DO42" s="57"/>
      <c r="DP42" s="43" t="str">
        <f t="shared" ca="1" si="29"/>
        <v/>
      </c>
      <c r="DQ42" s="43" t="str">
        <f t="shared" si="30"/>
        <v/>
      </c>
      <c r="DR42" s="43" t="str">
        <f t="shared" si="31"/>
        <v/>
      </c>
      <c r="DS42" s="57"/>
      <c r="DT42" s="43" t="str">
        <f t="shared" ca="1" si="32"/>
        <v/>
      </c>
      <c r="DU42" s="43" t="str">
        <f t="shared" si="33"/>
        <v/>
      </c>
      <c r="DV42" s="43" t="str">
        <f t="shared" si="34"/>
        <v/>
      </c>
      <c r="DW42" s="57"/>
      <c r="DX42" s="43" t="str">
        <f t="shared" ca="1" si="35"/>
        <v/>
      </c>
      <c r="DY42" s="43" t="str">
        <f t="shared" si="36"/>
        <v/>
      </c>
      <c r="EA42" s="44">
        <v>0</v>
      </c>
      <c r="EB42" s="44" t="s">
        <v>761</v>
      </c>
      <c r="EC42" s="44">
        <v>30</v>
      </c>
      <c r="ED42" s="43">
        <f t="shared" si="43"/>
        <v>0.01</v>
      </c>
      <c r="EE42" s="43" t="str">
        <f t="shared" si="44"/>
        <v>M</v>
      </c>
      <c r="EF42" s="43" t="str">
        <f>IF(IFERROR(INDEX(Consulta!$A:$DS,MATCH('MM01'!$B42,Consulta!$C:$C,0),'MM01'!EF$2),"")=0,"7925",IF(IFERROR(INDEX(Consulta!$A:$DS,MATCH('MM01'!$B42,Consulta!$C:$C,0),'MM01'!EF$2),"")="68","7910","7925"))</f>
        <v>7925</v>
      </c>
      <c r="EG42" s="44">
        <v>100</v>
      </c>
      <c r="EH42" s="62">
        <v>1</v>
      </c>
      <c r="EI42" s="43">
        <f t="shared" si="37"/>
        <v>100</v>
      </c>
      <c r="EJ42" s="44">
        <v>1</v>
      </c>
      <c r="EK42" s="44">
        <v>0</v>
      </c>
      <c r="EL42" s="44" t="s">
        <v>859</v>
      </c>
      <c r="EM42" s="45">
        <v>0</v>
      </c>
      <c r="EN42" s="43">
        <f t="shared" si="38"/>
        <v>5000</v>
      </c>
      <c r="EO42" s="69"/>
    </row>
    <row r="43" spans="1:145" x14ac:dyDescent="0.2">
      <c r="A43" s="7" t="str">
        <f t="shared" si="6"/>
        <v>Execução 39</v>
      </c>
      <c r="B43" s="42"/>
      <c r="C43" s="43" t="str">
        <f>IF(IFERROR(INDEX(Consulta!$A:$DS,MATCH('MM01'!$B43,Consulta!$C:$C,0),'MM01'!C$2),"")=0,"",IFERROR(INDEX(Consulta!$A:$DS,MATCH('MM01'!$B43,Consulta!$C:$C,0),'MM01'!C$2),""))</f>
        <v/>
      </c>
      <c r="D43" s="43" t="str">
        <f>IF(IFERROR(INDEX(Consulta!$A:$DS,MATCH('MM01'!$B43,Consulta!$C:$C,0),'MM01'!D$2),"")=0,"",IFERROR(INDEX(Consulta!$A:$DS,MATCH('MM01'!$B43,Consulta!$C:$C,0),'MM01'!D$2),""))</f>
        <v/>
      </c>
      <c r="E43" s="43" t="str">
        <f>IF(IFERROR(INDEX(Consulta!$A:$DS,MATCH('MM01'!$B43,Consulta!$C:$C,0),'MM01'!E$2),"")=0,"",IFERROR(INDEX(Consulta!$A:$DS,MATCH('MM01'!$B43,Consulta!$C:$C,0),'MM01'!E$2),""))</f>
        <v/>
      </c>
      <c r="F43" s="44" t="s">
        <v>100</v>
      </c>
      <c r="G43" s="49" t="str">
        <f>IF(IFERROR(INDEX(Consulta!$A:$DS,MATCH('MM01'!$B43,Consulta!$C:$C,0),'MM01'!G$2),"")=0,"",IFERROR(INDEX(Consulta!$A:$DS,MATCH('MM01'!$B43,Consulta!$C:$C,0),'MM01'!G$2),""))</f>
        <v/>
      </c>
      <c r="H43" s="49" t="str">
        <f>IF(IFERROR(INDEX(Consulta!$A:$DS,MATCH('MM01'!$B43,Consulta!$C:$C,0),'MM01'!H$2),"")=0,"",IFERROR(INDEX(Consulta!$A:$DS,MATCH('MM01'!$B43,Consulta!$C:$C,0),'MM01'!H$2),""))</f>
        <v/>
      </c>
      <c r="I43" s="49" t="str">
        <f t="shared" si="7"/>
        <v/>
      </c>
      <c r="J43" s="49" t="str">
        <f>IF(IFERROR(INDEX(Consulta!$A:$DS,MATCH('MM01'!$B43,Consulta!$C:$C,0),'MM01'!J$2),"")=0,"",IFERROR(INDEX(Consulta!$A:$DS,MATCH('MM01'!$B43,Consulta!$C:$C,0),'MM01'!J$2),""))</f>
        <v/>
      </c>
      <c r="K43" s="49" t="str">
        <f t="shared" si="8"/>
        <v/>
      </c>
      <c r="M43" s="45" t="s">
        <v>101</v>
      </c>
      <c r="N43" s="45" t="s">
        <v>102</v>
      </c>
      <c r="O43" s="45" t="s">
        <v>103</v>
      </c>
      <c r="P43" s="45" t="s">
        <v>104</v>
      </c>
      <c r="Q43" s="45" t="s">
        <v>105</v>
      </c>
      <c r="R43" s="45" t="s">
        <v>106</v>
      </c>
      <c r="S43" s="45" t="s">
        <v>107</v>
      </c>
      <c r="T43" s="45"/>
      <c r="U43" s="45"/>
      <c r="V43" s="45"/>
      <c r="W43" s="45"/>
      <c r="X43" s="45" t="s">
        <v>112</v>
      </c>
      <c r="Y43" s="45" t="s">
        <v>113</v>
      </c>
      <c r="Z43" s="45" t="s">
        <v>114</v>
      </c>
      <c r="AA43" s="45" t="s">
        <v>115</v>
      </c>
      <c r="AB43" s="45" t="s">
        <v>117</v>
      </c>
      <c r="AC43" s="45" t="s">
        <v>118</v>
      </c>
      <c r="AD43" s="45" t="s">
        <v>119</v>
      </c>
      <c r="AE43" s="45" t="s">
        <v>120</v>
      </c>
      <c r="AF43" s="45" t="s">
        <v>121</v>
      </c>
      <c r="AG43" s="45" t="s">
        <v>122</v>
      </c>
      <c r="AH43" s="45" t="s">
        <v>123</v>
      </c>
      <c r="AI43" s="45" t="s">
        <v>124</v>
      </c>
      <c r="AJ43" s="45" t="s">
        <v>125</v>
      </c>
      <c r="AK43" s="45" t="s">
        <v>126</v>
      </c>
      <c r="AL43" s="45"/>
      <c r="AM43" s="45"/>
      <c r="AO43" s="44" t="s">
        <v>100</v>
      </c>
      <c r="AP43" s="43" t="str">
        <f>IF(IFERROR(INDEX(Consulta!$A:$DS,MATCH('MM01'!$B43,Consulta!$C:$C,0),'MM01'!AP$2),"")=0,"",IFERROR(INDEX(Consulta!$A:$DS,MATCH('MM01'!$B43,Consulta!$C:$C,0),'MM01'!AP$2),""))</f>
        <v/>
      </c>
      <c r="AQ43" s="45"/>
      <c r="AR43" s="43" t="str">
        <f>IF(IFERROR(INDEX(Consulta!$A:$DS,MATCH('MM01'!$B43,Consulta!$C:$C,0),'MM01'!AR$2),"")=0,"",IFERROR(INDEX(Consulta!$A:$DS,MATCH('MM01'!$B43,Consulta!$C:$C,0),'MM01'!AR$2),""))</f>
        <v/>
      </c>
      <c r="AS43" s="43" t="str">
        <f>IF(IFERROR(INDEX(Consulta!$A:$DS,MATCH('MM01'!$B43,Consulta!$C:$C,0),'MM01'!AS$2),"")=0,"",IF(AR43="68",5102,IFERROR(INDEX(Consulta!$A:$DS,MATCH('MM01'!$B43,Consulta!$C:$C,0),'MM01'!AS$2),"")))</f>
        <v/>
      </c>
      <c r="AT43" s="45"/>
      <c r="AU43" s="46" t="str">
        <f t="shared" ca="1" si="9"/>
        <v/>
      </c>
      <c r="AV43" s="47" t="s">
        <v>783</v>
      </c>
      <c r="AW43" s="43" t="str">
        <f>IF(IFERROR(INDEX(Consulta!$A:$DS,MATCH('MM01'!$B43,Consulta!$C:$C,0),'MM01'!AW$2),"")=0,"",IFERROR(ROUND(INDEX(Consulta!$A:$DS,MATCH('MM01'!$B43,Consulta!$C:$C,0),'MM01'!AW$2),3),""))</f>
        <v/>
      </c>
      <c r="AX43" s="43" t="str">
        <f t="shared" si="10"/>
        <v/>
      </c>
      <c r="AY43" s="48" t="s">
        <v>299</v>
      </c>
      <c r="AZ43" s="48"/>
      <c r="BA43" s="43" t="str">
        <f>IF(IFERROR(INDEX(Consulta!$A:$DS,MATCH('MM01'!$B43,Consulta!$C:$C,0),'MM01'!BA$2),"")=0,"",IFERROR(INDEX(Consulta!$A:$DS,MATCH('MM01'!$B43,Consulta!$C:$C,0),'MM01'!BA$2),""))</f>
        <v/>
      </c>
      <c r="BB43" s="43" t="str">
        <f t="shared" si="11"/>
        <v/>
      </c>
      <c r="BC43" s="43" t="str">
        <f t="shared" si="12"/>
        <v/>
      </c>
      <c r="BD43" s="43" t="str">
        <f t="shared" si="13"/>
        <v/>
      </c>
      <c r="BE43" s="43" t="str">
        <f t="shared" si="14"/>
        <v>M</v>
      </c>
      <c r="BF43" s="43" t="str">
        <f t="shared" si="15"/>
        <v/>
      </c>
      <c r="BG43" s="43" t="str">
        <f t="shared" si="16"/>
        <v/>
      </c>
      <c r="BH43" s="43" t="str">
        <f t="shared" si="17"/>
        <v/>
      </c>
      <c r="BI43" s="43" t="str">
        <f t="shared" si="18"/>
        <v>M</v>
      </c>
      <c r="BK43" s="45" t="s">
        <v>789</v>
      </c>
      <c r="BL43" s="43" t="str">
        <f>IF(IFERROR(INDEX(Consulta!$A:$DS,MATCH('MM01'!$B43,Consulta!$C:$C,0),'MM01'!BL$2),"")=0,"",IFERROR(INDEX(Consulta!$A:$DS,MATCH('MM01'!$B43,Consulta!$C:$C,0),'MM01'!BL$2),""))</f>
        <v/>
      </c>
      <c r="BM43" s="45"/>
      <c r="BN43" s="46" t="str">
        <f t="shared" ca="1" si="19"/>
        <v/>
      </c>
      <c r="BO43" s="49" t="str">
        <f t="shared" si="20"/>
        <v/>
      </c>
      <c r="BP43" s="50">
        <v>1</v>
      </c>
      <c r="BQ43" s="50" t="s">
        <v>194</v>
      </c>
      <c r="BR43" s="50" t="s">
        <v>194</v>
      </c>
      <c r="BS43" s="50" t="s">
        <v>783</v>
      </c>
      <c r="BT43" s="44">
        <v>1</v>
      </c>
      <c r="BU43" s="44" t="s">
        <v>372</v>
      </c>
      <c r="BV43" s="50" t="s">
        <v>197</v>
      </c>
      <c r="BW43" s="50" t="s">
        <v>197</v>
      </c>
      <c r="BX43" s="43" t="str">
        <f>IF(IFERROR(INDEX(Consulta!$A:$DS,MATCH('MM01'!$B43,Consulta!$C:$C,0),'MM01'!BX$2),"")=0,"",IFERROR(INDEX(Consulta!$A:$DS,MATCH('MM01'!$B43,Consulta!$C:$C,0),'MM01'!BX$2),""))</f>
        <v/>
      </c>
      <c r="BY43" s="44" t="s">
        <v>392</v>
      </c>
      <c r="BZ43" s="50">
        <v>0</v>
      </c>
      <c r="CA43" s="45" t="s">
        <v>403</v>
      </c>
      <c r="CB43" s="45" t="s">
        <v>84</v>
      </c>
      <c r="CC43" s="43" t="str">
        <f t="shared" si="21"/>
        <v/>
      </c>
      <c r="CD43" s="45" t="s">
        <v>430</v>
      </c>
      <c r="CE43" s="45">
        <v>1</v>
      </c>
      <c r="CF43" s="45" t="s">
        <v>496</v>
      </c>
      <c r="CG43" s="45"/>
      <c r="CH43" s="44"/>
      <c r="CI43" s="49" t="str">
        <f t="shared" si="22"/>
        <v/>
      </c>
      <c r="CJ43" s="49" t="str">
        <f t="shared" si="23"/>
        <v/>
      </c>
      <c r="CK43" s="45"/>
      <c r="CL43" s="44">
        <v>5</v>
      </c>
      <c r="CM43" s="44">
        <v>1</v>
      </c>
      <c r="CN43" s="44">
        <v>1</v>
      </c>
      <c r="CO43" s="44">
        <v>1</v>
      </c>
      <c r="CP43" s="50" t="s">
        <v>515</v>
      </c>
      <c r="CQ43" s="44" t="s">
        <v>372</v>
      </c>
      <c r="CR43" s="44">
        <v>2</v>
      </c>
      <c r="CS43" s="44">
        <v>42</v>
      </c>
      <c r="CT43" s="44">
        <v>10</v>
      </c>
      <c r="CU43" s="43" t="str">
        <f t="shared" si="24"/>
        <v>K00_P_PURL_</v>
      </c>
      <c r="CV43" s="45">
        <v>5000</v>
      </c>
      <c r="CW43" s="43" t="str">
        <f t="shared" si="39"/>
        <v/>
      </c>
      <c r="CX43" s="43" t="str">
        <f t="shared" si="40"/>
        <v/>
      </c>
      <c r="CY43" s="43" t="str">
        <f>IF(IFERROR(INDEX(Consulta!$A:$DS,MATCH('MM01'!$B43,Consulta!$C:$C,0),'MM01'!CY$2),"")=0,"",IFERROR(INDEX(Consulta!$A:$DS,MATCH('MM01'!$B43,Consulta!$C:$C,0),'MM01'!CY$2),""))</f>
        <v/>
      </c>
      <c r="CZ43" s="43" t="str">
        <f t="shared" si="41"/>
        <v/>
      </c>
      <c r="DA43" s="43" t="str">
        <f>IF(IFERROR(INDEX(Consulta!$A:$DS,MATCH('MM01'!$B43,Consulta!$C:$C,0),'MM01'!DA$2),"")=0,"",IFERROR(INDEX(Consulta!$A:$DS,MATCH('MM01'!$B43,Consulta!$C:$C,0),'MM01'!DA$2),""))</f>
        <v/>
      </c>
      <c r="DB43" s="43" t="str">
        <f>IF(IFERROR(INDEX(Consulta!$A:$DS,MATCH('MM01'!$B43,Consulta!$C:$C,0),'MM01'!DB$2),"")=0,"",IFERROR(INDEX(Consulta!$A:$DS,MATCH('MM01'!$B43,Consulta!$C:$C,0),'MM01'!DB$2),""))</f>
        <v/>
      </c>
      <c r="DC43" s="43" t="str">
        <f>IF(IFERROR(INDEX(Consulta!$A:$DS,MATCH('MM01'!$B43,Consulta!$C:$C,0),'MM01'!DC$2),"")=0,"",IFERROR(INDEX(Consulta!$A:$DS,MATCH('MM01'!$B43,Consulta!$C:$C,0),'MM01'!DC$2),""))</f>
        <v/>
      </c>
      <c r="DD43" s="43" t="str">
        <f>IF(IFERROR(INDEX(Consulta!$A:$DS,MATCH('MM01'!$B43,Consulta!$C:$C,0),'MM01'!DD$2),"")=0,"",IFERROR(INDEX(Consulta!$A:$DS,MATCH('MM01'!$B43,Consulta!$C:$C,0),'MM01'!DD$2),""))</f>
        <v/>
      </c>
      <c r="DE43" s="43" t="str">
        <f>IF(IFERROR(INDEX(Consulta!$A:$DS,MATCH('MM01'!$B43,Consulta!$C:$C,0),'MM01'!DE$2),"")=0,"",IFERROR(INDEX(Consulta!$A:$DS,MATCH('MM01'!$B43,Consulta!$C:$C,0),'MM01'!DE$2),""))</f>
        <v/>
      </c>
      <c r="DF43" s="100">
        <v>3458</v>
      </c>
      <c r="DG43" s="45">
        <v>0</v>
      </c>
      <c r="DH43" s="45">
        <v>0</v>
      </c>
      <c r="DI43" s="43" t="str">
        <f t="shared" si="42"/>
        <v/>
      </c>
      <c r="DJ43" s="43" t="str">
        <f t="shared" si="25"/>
        <v/>
      </c>
      <c r="DK43" s="57"/>
      <c r="DL43" s="43" t="str">
        <f t="shared" ca="1" si="26"/>
        <v/>
      </c>
      <c r="DM43" s="43" t="str">
        <f t="shared" si="27"/>
        <v/>
      </c>
      <c r="DN43" s="43" t="str">
        <f t="shared" si="28"/>
        <v/>
      </c>
      <c r="DO43" s="57"/>
      <c r="DP43" s="43" t="str">
        <f t="shared" ca="1" si="29"/>
        <v/>
      </c>
      <c r="DQ43" s="43" t="str">
        <f t="shared" si="30"/>
        <v/>
      </c>
      <c r="DR43" s="43" t="str">
        <f t="shared" si="31"/>
        <v/>
      </c>
      <c r="DS43" s="57"/>
      <c r="DT43" s="43" t="str">
        <f t="shared" ca="1" si="32"/>
        <v/>
      </c>
      <c r="DU43" s="43" t="str">
        <f t="shared" si="33"/>
        <v/>
      </c>
      <c r="DV43" s="43" t="str">
        <f t="shared" si="34"/>
        <v/>
      </c>
      <c r="DW43" s="57"/>
      <c r="DX43" s="43" t="str">
        <f t="shared" ca="1" si="35"/>
        <v/>
      </c>
      <c r="DY43" s="43" t="str">
        <f t="shared" si="36"/>
        <v/>
      </c>
      <c r="EA43" s="44">
        <v>0</v>
      </c>
      <c r="EB43" s="44" t="s">
        <v>761</v>
      </c>
      <c r="EC43" s="44">
        <v>30</v>
      </c>
      <c r="ED43" s="43">
        <f t="shared" si="43"/>
        <v>0.01</v>
      </c>
      <c r="EE43" s="43" t="str">
        <f t="shared" si="44"/>
        <v>M</v>
      </c>
      <c r="EF43" s="43" t="str">
        <f>IF(IFERROR(INDEX(Consulta!$A:$DS,MATCH('MM01'!$B43,Consulta!$C:$C,0),'MM01'!EF$2),"")=0,"7925",IF(IFERROR(INDEX(Consulta!$A:$DS,MATCH('MM01'!$B43,Consulta!$C:$C,0),'MM01'!EF$2),"")="68","7910","7925"))</f>
        <v>7925</v>
      </c>
      <c r="EG43" s="44">
        <v>100</v>
      </c>
      <c r="EH43" s="62">
        <v>1</v>
      </c>
      <c r="EI43" s="43">
        <f t="shared" si="37"/>
        <v>100</v>
      </c>
      <c r="EJ43" s="44">
        <v>1</v>
      </c>
      <c r="EK43" s="44">
        <v>0</v>
      </c>
      <c r="EL43" s="44" t="s">
        <v>859</v>
      </c>
      <c r="EM43" s="45">
        <v>0</v>
      </c>
      <c r="EN43" s="43">
        <f t="shared" si="38"/>
        <v>5000</v>
      </c>
      <c r="EO43" s="69"/>
    </row>
    <row r="44" spans="1:145" x14ac:dyDescent="0.2">
      <c r="A44" s="7" t="str">
        <f t="shared" si="6"/>
        <v>Execução 40</v>
      </c>
      <c r="B44" s="42"/>
      <c r="C44" s="43" t="str">
        <f>IF(IFERROR(INDEX(Consulta!$A:$DS,MATCH('MM01'!$B44,Consulta!$C:$C,0),'MM01'!C$2),"")=0,"",IFERROR(INDEX(Consulta!$A:$DS,MATCH('MM01'!$B44,Consulta!$C:$C,0),'MM01'!C$2),""))</f>
        <v/>
      </c>
      <c r="D44" s="43" t="str">
        <f>IF(IFERROR(INDEX(Consulta!$A:$DS,MATCH('MM01'!$B44,Consulta!$C:$C,0),'MM01'!D$2),"")=0,"",IFERROR(INDEX(Consulta!$A:$DS,MATCH('MM01'!$B44,Consulta!$C:$C,0),'MM01'!D$2),""))</f>
        <v/>
      </c>
      <c r="E44" s="43" t="str">
        <f>IF(IFERROR(INDEX(Consulta!$A:$DS,MATCH('MM01'!$B44,Consulta!$C:$C,0),'MM01'!E$2),"")=0,"",IFERROR(INDEX(Consulta!$A:$DS,MATCH('MM01'!$B44,Consulta!$C:$C,0),'MM01'!E$2),""))</f>
        <v/>
      </c>
      <c r="F44" s="44" t="s">
        <v>100</v>
      </c>
      <c r="G44" s="49" t="str">
        <f>IF(IFERROR(INDEX(Consulta!$A:$DS,MATCH('MM01'!$B44,Consulta!$C:$C,0),'MM01'!G$2),"")=0,"",IFERROR(INDEX(Consulta!$A:$DS,MATCH('MM01'!$B44,Consulta!$C:$C,0),'MM01'!G$2),""))</f>
        <v/>
      </c>
      <c r="H44" s="49" t="str">
        <f>IF(IFERROR(INDEX(Consulta!$A:$DS,MATCH('MM01'!$B44,Consulta!$C:$C,0),'MM01'!H$2),"")=0,"",IFERROR(INDEX(Consulta!$A:$DS,MATCH('MM01'!$B44,Consulta!$C:$C,0),'MM01'!H$2),""))</f>
        <v/>
      </c>
      <c r="I44" s="49" t="str">
        <f t="shared" si="7"/>
        <v/>
      </c>
      <c r="J44" s="49" t="str">
        <f>IF(IFERROR(INDEX(Consulta!$A:$DS,MATCH('MM01'!$B44,Consulta!$C:$C,0),'MM01'!J$2),"")=0,"",IFERROR(INDEX(Consulta!$A:$DS,MATCH('MM01'!$B44,Consulta!$C:$C,0),'MM01'!J$2),""))</f>
        <v/>
      </c>
      <c r="K44" s="49" t="str">
        <f t="shared" si="8"/>
        <v/>
      </c>
      <c r="M44" s="45" t="s">
        <v>101</v>
      </c>
      <c r="N44" s="45" t="s">
        <v>102</v>
      </c>
      <c r="O44" s="45" t="s">
        <v>103</v>
      </c>
      <c r="P44" s="45" t="s">
        <v>104</v>
      </c>
      <c r="Q44" s="45" t="s">
        <v>105</v>
      </c>
      <c r="R44" s="45" t="s">
        <v>106</v>
      </c>
      <c r="S44" s="45" t="s">
        <v>107</v>
      </c>
      <c r="T44" s="45"/>
      <c r="U44" s="45"/>
      <c r="V44" s="45"/>
      <c r="W44" s="45"/>
      <c r="X44" s="45" t="s">
        <v>112</v>
      </c>
      <c r="Y44" s="45" t="s">
        <v>113</v>
      </c>
      <c r="Z44" s="45" t="s">
        <v>114</v>
      </c>
      <c r="AA44" s="45" t="s">
        <v>115</v>
      </c>
      <c r="AB44" s="45" t="s">
        <v>117</v>
      </c>
      <c r="AC44" s="45" t="s">
        <v>118</v>
      </c>
      <c r="AD44" s="45" t="s">
        <v>119</v>
      </c>
      <c r="AE44" s="45" t="s">
        <v>120</v>
      </c>
      <c r="AF44" s="45" t="s">
        <v>121</v>
      </c>
      <c r="AG44" s="45" t="s">
        <v>122</v>
      </c>
      <c r="AH44" s="45" t="s">
        <v>123</v>
      </c>
      <c r="AI44" s="45" t="s">
        <v>124</v>
      </c>
      <c r="AJ44" s="45" t="s">
        <v>125</v>
      </c>
      <c r="AK44" s="45" t="s">
        <v>126</v>
      </c>
      <c r="AL44" s="45"/>
      <c r="AM44" s="45"/>
      <c r="AO44" s="44" t="s">
        <v>100</v>
      </c>
      <c r="AP44" s="43" t="str">
        <f>IF(IFERROR(INDEX(Consulta!$A:$DS,MATCH('MM01'!$B44,Consulta!$C:$C,0),'MM01'!AP$2),"")=0,"",IFERROR(INDEX(Consulta!$A:$DS,MATCH('MM01'!$B44,Consulta!$C:$C,0),'MM01'!AP$2),""))</f>
        <v/>
      </c>
      <c r="AQ44" s="45"/>
      <c r="AR44" s="43" t="str">
        <f>IF(IFERROR(INDEX(Consulta!$A:$DS,MATCH('MM01'!$B44,Consulta!$C:$C,0),'MM01'!AR$2),"")=0,"",IFERROR(INDEX(Consulta!$A:$DS,MATCH('MM01'!$B44,Consulta!$C:$C,0),'MM01'!AR$2),""))</f>
        <v/>
      </c>
      <c r="AS44" s="43" t="str">
        <f>IF(IFERROR(INDEX(Consulta!$A:$DS,MATCH('MM01'!$B44,Consulta!$C:$C,0),'MM01'!AS$2),"")=0,"",IF(AR44="68",5102,IFERROR(INDEX(Consulta!$A:$DS,MATCH('MM01'!$B44,Consulta!$C:$C,0),'MM01'!AS$2),"")))</f>
        <v/>
      </c>
      <c r="AT44" s="45"/>
      <c r="AU44" s="46" t="str">
        <f t="shared" ca="1" si="9"/>
        <v/>
      </c>
      <c r="AV44" s="47" t="s">
        <v>783</v>
      </c>
      <c r="AW44" s="43" t="str">
        <f>IF(IFERROR(INDEX(Consulta!$A:$DS,MATCH('MM01'!$B44,Consulta!$C:$C,0),'MM01'!AW$2),"")=0,"",IFERROR(ROUND(INDEX(Consulta!$A:$DS,MATCH('MM01'!$B44,Consulta!$C:$C,0),'MM01'!AW$2),3),""))</f>
        <v/>
      </c>
      <c r="AX44" s="43" t="str">
        <f t="shared" si="10"/>
        <v/>
      </c>
      <c r="AY44" s="48" t="s">
        <v>299</v>
      </c>
      <c r="AZ44" s="48"/>
      <c r="BA44" s="43" t="str">
        <f>IF(IFERROR(INDEX(Consulta!$A:$DS,MATCH('MM01'!$B44,Consulta!$C:$C,0),'MM01'!BA$2),"")=0,"",IFERROR(INDEX(Consulta!$A:$DS,MATCH('MM01'!$B44,Consulta!$C:$C,0),'MM01'!BA$2),""))</f>
        <v/>
      </c>
      <c r="BB44" s="43" t="str">
        <f t="shared" si="11"/>
        <v/>
      </c>
      <c r="BC44" s="43" t="str">
        <f t="shared" si="12"/>
        <v/>
      </c>
      <c r="BD44" s="43" t="str">
        <f t="shared" si="13"/>
        <v/>
      </c>
      <c r="BE44" s="43" t="str">
        <f t="shared" si="14"/>
        <v>M</v>
      </c>
      <c r="BF44" s="43" t="str">
        <f t="shared" si="15"/>
        <v/>
      </c>
      <c r="BG44" s="43" t="str">
        <f t="shared" si="16"/>
        <v/>
      </c>
      <c r="BH44" s="43" t="str">
        <f t="shared" si="17"/>
        <v/>
      </c>
      <c r="BI44" s="43" t="str">
        <f t="shared" si="18"/>
        <v>M</v>
      </c>
      <c r="BK44" s="45" t="s">
        <v>789</v>
      </c>
      <c r="BL44" s="43" t="str">
        <f>IF(IFERROR(INDEX(Consulta!$A:$DS,MATCH('MM01'!$B44,Consulta!$C:$C,0),'MM01'!BL$2),"")=0,"",IFERROR(INDEX(Consulta!$A:$DS,MATCH('MM01'!$B44,Consulta!$C:$C,0),'MM01'!BL$2),""))</f>
        <v/>
      </c>
      <c r="BM44" s="45"/>
      <c r="BN44" s="46" t="str">
        <f t="shared" ca="1" si="19"/>
        <v/>
      </c>
      <c r="BO44" s="49" t="str">
        <f t="shared" si="20"/>
        <v/>
      </c>
      <c r="BP44" s="50">
        <v>1</v>
      </c>
      <c r="BQ44" s="50" t="s">
        <v>194</v>
      </c>
      <c r="BR44" s="50" t="s">
        <v>194</v>
      </c>
      <c r="BS44" s="50" t="s">
        <v>783</v>
      </c>
      <c r="BT44" s="44">
        <v>1</v>
      </c>
      <c r="BU44" s="44" t="s">
        <v>372</v>
      </c>
      <c r="BV44" s="50" t="s">
        <v>197</v>
      </c>
      <c r="BW44" s="50" t="s">
        <v>197</v>
      </c>
      <c r="BX44" s="43" t="str">
        <f>IF(IFERROR(INDEX(Consulta!$A:$DS,MATCH('MM01'!$B44,Consulta!$C:$C,0),'MM01'!BX$2),"")=0,"",IFERROR(INDEX(Consulta!$A:$DS,MATCH('MM01'!$B44,Consulta!$C:$C,0),'MM01'!BX$2),""))</f>
        <v/>
      </c>
      <c r="BY44" s="44" t="s">
        <v>392</v>
      </c>
      <c r="BZ44" s="50">
        <v>0</v>
      </c>
      <c r="CA44" s="45" t="s">
        <v>403</v>
      </c>
      <c r="CB44" s="45" t="s">
        <v>84</v>
      </c>
      <c r="CC44" s="43" t="str">
        <f t="shared" si="21"/>
        <v/>
      </c>
      <c r="CD44" s="45" t="s">
        <v>430</v>
      </c>
      <c r="CE44" s="45">
        <v>1</v>
      </c>
      <c r="CF44" s="45" t="s">
        <v>496</v>
      </c>
      <c r="CG44" s="45"/>
      <c r="CH44" s="44"/>
      <c r="CI44" s="49" t="str">
        <f t="shared" si="22"/>
        <v/>
      </c>
      <c r="CJ44" s="49" t="str">
        <f t="shared" si="23"/>
        <v/>
      </c>
      <c r="CK44" s="45"/>
      <c r="CL44" s="44">
        <v>5</v>
      </c>
      <c r="CM44" s="44">
        <v>1</v>
      </c>
      <c r="CN44" s="44">
        <v>1</v>
      </c>
      <c r="CO44" s="44">
        <v>1</v>
      </c>
      <c r="CP44" s="50" t="s">
        <v>515</v>
      </c>
      <c r="CQ44" s="44" t="s">
        <v>372</v>
      </c>
      <c r="CR44" s="44">
        <v>2</v>
      </c>
      <c r="CS44" s="44">
        <v>42</v>
      </c>
      <c r="CT44" s="44">
        <v>10</v>
      </c>
      <c r="CU44" s="43" t="str">
        <f t="shared" si="24"/>
        <v>K00_P_PURL_</v>
      </c>
      <c r="CV44" s="45">
        <v>5000</v>
      </c>
      <c r="CW44" s="43" t="str">
        <f t="shared" si="39"/>
        <v/>
      </c>
      <c r="CX44" s="43" t="str">
        <f t="shared" si="40"/>
        <v/>
      </c>
      <c r="CY44" s="43" t="str">
        <f>IF(IFERROR(INDEX(Consulta!$A:$DS,MATCH('MM01'!$B44,Consulta!$C:$C,0),'MM01'!CY$2),"")=0,"",IFERROR(INDEX(Consulta!$A:$DS,MATCH('MM01'!$B44,Consulta!$C:$C,0),'MM01'!CY$2),""))</f>
        <v/>
      </c>
      <c r="CZ44" s="43" t="str">
        <f t="shared" si="41"/>
        <v/>
      </c>
      <c r="DA44" s="43" t="str">
        <f>IF(IFERROR(INDEX(Consulta!$A:$DS,MATCH('MM01'!$B44,Consulta!$C:$C,0),'MM01'!DA$2),"")=0,"",IFERROR(INDEX(Consulta!$A:$DS,MATCH('MM01'!$B44,Consulta!$C:$C,0),'MM01'!DA$2),""))</f>
        <v/>
      </c>
      <c r="DB44" s="43" t="str">
        <f>IF(IFERROR(INDEX(Consulta!$A:$DS,MATCH('MM01'!$B44,Consulta!$C:$C,0),'MM01'!DB$2),"")=0,"",IFERROR(INDEX(Consulta!$A:$DS,MATCH('MM01'!$B44,Consulta!$C:$C,0),'MM01'!DB$2),""))</f>
        <v/>
      </c>
      <c r="DC44" s="43" t="str">
        <f>IF(IFERROR(INDEX(Consulta!$A:$DS,MATCH('MM01'!$B44,Consulta!$C:$C,0),'MM01'!DC$2),"")=0,"",IFERROR(INDEX(Consulta!$A:$DS,MATCH('MM01'!$B44,Consulta!$C:$C,0),'MM01'!DC$2),""))</f>
        <v/>
      </c>
      <c r="DD44" s="43" t="str">
        <f>IF(IFERROR(INDEX(Consulta!$A:$DS,MATCH('MM01'!$B44,Consulta!$C:$C,0),'MM01'!DD$2),"")=0,"",IFERROR(INDEX(Consulta!$A:$DS,MATCH('MM01'!$B44,Consulta!$C:$C,0),'MM01'!DD$2),""))</f>
        <v/>
      </c>
      <c r="DE44" s="43" t="str">
        <f>IF(IFERROR(INDEX(Consulta!$A:$DS,MATCH('MM01'!$B44,Consulta!$C:$C,0),'MM01'!DE$2),"")=0,"",IFERROR(INDEX(Consulta!$A:$DS,MATCH('MM01'!$B44,Consulta!$C:$C,0),'MM01'!DE$2),""))</f>
        <v/>
      </c>
      <c r="DF44" s="100">
        <v>3458</v>
      </c>
      <c r="DG44" s="45">
        <v>0</v>
      </c>
      <c r="DH44" s="45">
        <v>0</v>
      </c>
      <c r="DI44" s="43" t="str">
        <f t="shared" si="42"/>
        <v/>
      </c>
      <c r="DJ44" s="43" t="str">
        <f t="shared" si="25"/>
        <v/>
      </c>
      <c r="DK44" s="57"/>
      <c r="DL44" s="43" t="str">
        <f t="shared" ca="1" si="26"/>
        <v/>
      </c>
      <c r="DM44" s="43" t="str">
        <f t="shared" si="27"/>
        <v/>
      </c>
      <c r="DN44" s="43" t="str">
        <f t="shared" si="28"/>
        <v/>
      </c>
      <c r="DO44" s="57"/>
      <c r="DP44" s="43" t="str">
        <f t="shared" ca="1" si="29"/>
        <v/>
      </c>
      <c r="DQ44" s="43" t="str">
        <f t="shared" si="30"/>
        <v/>
      </c>
      <c r="DR44" s="43" t="str">
        <f t="shared" si="31"/>
        <v/>
      </c>
      <c r="DS44" s="57"/>
      <c r="DT44" s="43" t="str">
        <f t="shared" ca="1" si="32"/>
        <v/>
      </c>
      <c r="DU44" s="43" t="str">
        <f t="shared" si="33"/>
        <v/>
      </c>
      <c r="DV44" s="43" t="str">
        <f t="shared" si="34"/>
        <v/>
      </c>
      <c r="DW44" s="57"/>
      <c r="DX44" s="43" t="str">
        <f t="shared" ca="1" si="35"/>
        <v/>
      </c>
      <c r="DY44" s="43" t="str">
        <f t="shared" si="36"/>
        <v/>
      </c>
      <c r="EA44" s="44">
        <v>0</v>
      </c>
      <c r="EB44" s="44" t="s">
        <v>761</v>
      </c>
      <c r="EC44" s="44">
        <v>30</v>
      </c>
      <c r="ED44" s="43">
        <f t="shared" si="43"/>
        <v>0.01</v>
      </c>
      <c r="EE44" s="43" t="str">
        <f t="shared" si="44"/>
        <v>M</v>
      </c>
      <c r="EF44" s="43" t="str">
        <f>IF(IFERROR(INDEX(Consulta!$A:$DS,MATCH('MM01'!$B44,Consulta!$C:$C,0),'MM01'!EF$2),"")=0,"7925",IF(IFERROR(INDEX(Consulta!$A:$DS,MATCH('MM01'!$B44,Consulta!$C:$C,0),'MM01'!EF$2),"")="68","7910","7925"))</f>
        <v>7925</v>
      </c>
      <c r="EG44" s="44">
        <v>100</v>
      </c>
      <c r="EH44" s="62">
        <v>1</v>
      </c>
      <c r="EI44" s="43">
        <f t="shared" si="37"/>
        <v>100</v>
      </c>
      <c r="EJ44" s="44">
        <v>1</v>
      </c>
      <c r="EK44" s="44">
        <v>0</v>
      </c>
      <c r="EL44" s="44" t="s">
        <v>859</v>
      </c>
      <c r="EM44" s="45">
        <v>0</v>
      </c>
      <c r="EN44" s="43">
        <f t="shared" si="38"/>
        <v>5000</v>
      </c>
      <c r="EO44" s="69"/>
    </row>
    <row r="45" spans="1:145" x14ac:dyDescent="0.2">
      <c r="A45" s="7" t="str">
        <f t="shared" si="6"/>
        <v>Execução 41</v>
      </c>
      <c r="B45" s="42"/>
      <c r="C45" s="43" t="str">
        <f>IF(IFERROR(INDEX(Consulta!$A:$DS,MATCH('MM01'!$B45,Consulta!$C:$C,0),'MM01'!C$2),"")=0,"",IFERROR(INDEX(Consulta!$A:$DS,MATCH('MM01'!$B45,Consulta!$C:$C,0),'MM01'!C$2),""))</f>
        <v/>
      </c>
      <c r="D45" s="43" t="str">
        <f>IF(IFERROR(INDEX(Consulta!$A:$DS,MATCH('MM01'!$B45,Consulta!$C:$C,0),'MM01'!D$2),"")=0,"",IFERROR(INDEX(Consulta!$A:$DS,MATCH('MM01'!$B45,Consulta!$C:$C,0),'MM01'!D$2),""))</f>
        <v/>
      </c>
      <c r="E45" s="43" t="str">
        <f>IF(IFERROR(INDEX(Consulta!$A:$DS,MATCH('MM01'!$B45,Consulta!$C:$C,0),'MM01'!E$2),"")=0,"",IFERROR(INDEX(Consulta!$A:$DS,MATCH('MM01'!$B45,Consulta!$C:$C,0),'MM01'!E$2),""))</f>
        <v/>
      </c>
      <c r="F45" s="44" t="s">
        <v>100</v>
      </c>
      <c r="G45" s="49" t="str">
        <f>IF(IFERROR(INDEX(Consulta!$A:$DS,MATCH('MM01'!$B45,Consulta!$C:$C,0),'MM01'!G$2),"")=0,"",IFERROR(INDEX(Consulta!$A:$DS,MATCH('MM01'!$B45,Consulta!$C:$C,0),'MM01'!G$2),""))</f>
        <v/>
      </c>
      <c r="H45" s="49" t="str">
        <f>IF(IFERROR(INDEX(Consulta!$A:$DS,MATCH('MM01'!$B45,Consulta!$C:$C,0),'MM01'!H$2),"")=0,"",IFERROR(INDEX(Consulta!$A:$DS,MATCH('MM01'!$B45,Consulta!$C:$C,0),'MM01'!H$2),""))</f>
        <v/>
      </c>
      <c r="I45" s="49" t="str">
        <f t="shared" si="7"/>
        <v/>
      </c>
      <c r="J45" s="49" t="str">
        <f>IF(IFERROR(INDEX(Consulta!$A:$DS,MATCH('MM01'!$B45,Consulta!$C:$C,0),'MM01'!J$2),"")=0,"",IFERROR(INDEX(Consulta!$A:$DS,MATCH('MM01'!$B45,Consulta!$C:$C,0),'MM01'!J$2),""))</f>
        <v/>
      </c>
      <c r="K45" s="49" t="str">
        <f t="shared" si="8"/>
        <v/>
      </c>
      <c r="M45" s="45" t="s">
        <v>101</v>
      </c>
      <c r="N45" s="45" t="s">
        <v>102</v>
      </c>
      <c r="O45" s="45" t="s">
        <v>103</v>
      </c>
      <c r="P45" s="45" t="s">
        <v>104</v>
      </c>
      <c r="Q45" s="45" t="s">
        <v>105</v>
      </c>
      <c r="R45" s="45" t="s">
        <v>106</v>
      </c>
      <c r="S45" s="45" t="s">
        <v>107</v>
      </c>
      <c r="T45" s="45"/>
      <c r="U45" s="45"/>
      <c r="V45" s="45"/>
      <c r="W45" s="45"/>
      <c r="X45" s="45" t="s">
        <v>112</v>
      </c>
      <c r="Y45" s="45" t="s">
        <v>113</v>
      </c>
      <c r="Z45" s="45" t="s">
        <v>114</v>
      </c>
      <c r="AA45" s="45" t="s">
        <v>115</v>
      </c>
      <c r="AB45" s="45" t="s">
        <v>117</v>
      </c>
      <c r="AC45" s="45" t="s">
        <v>118</v>
      </c>
      <c r="AD45" s="45" t="s">
        <v>119</v>
      </c>
      <c r="AE45" s="45" t="s">
        <v>120</v>
      </c>
      <c r="AF45" s="45" t="s">
        <v>121</v>
      </c>
      <c r="AG45" s="45" t="s">
        <v>122</v>
      </c>
      <c r="AH45" s="45" t="s">
        <v>123</v>
      </c>
      <c r="AI45" s="45" t="s">
        <v>124</v>
      </c>
      <c r="AJ45" s="45" t="s">
        <v>125</v>
      </c>
      <c r="AK45" s="45" t="s">
        <v>126</v>
      </c>
      <c r="AL45" s="45"/>
      <c r="AM45" s="45"/>
      <c r="AO45" s="44" t="s">
        <v>100</v>
      </c>
      <c r="AP45" s="43" t="str">
        <f>IF(IFERROR(INDEX(Consulta!$A:$DS,MATCH('MM01'!$B45,Consulta!$C:$C,0),'MM01'!AP$2),"")=0,"",IFERROR(INDEX(Consulta!$A:$DS,MATCH('MM01'!$B45,Consulta!$C:$C,0),'MM01'!AP$2),""))</f>
        <v/>
      </c>
      <c r="AQ45" s="45"/>
      <c r="AR45" s="43" t="str">
        <f>IF(IFERROR(INDEX(Consulta!$A:$DS,MATCH('MM01'!$B45,Consulta!$C:$C,0),'MM01'!AR$2),"")=0,"",IFERROR(INDEX(Consulta!$A:$DS,MATCH('MM01'!$B45,Consulta!$C:$C,0),'MM01'!AR$2),""))</f>
        <v/>
      </c>
      <c r="AS45" s="43" t="str">
        <f>IF(IFERROR(INDEX(Consulta!$A:$DS,MATCH('MM01'!$B45,Consulta!$C:$C,0),'MM01'!AS$2),"")=0,"",IF(AR45="68",5102,IFERROR(INDEX(Consulta!$A:$DS,MATCH('MM01'!$B45,Consulta!$C:$C,0),'MM01'!AS$2),"")))</f>
        <v/>
      </c>
      <c r="AT45" s="45"/>
      <c r="AU45" s="46" t="str">
        <f t="shared" ca="1" si="9"/>
        <v/>
      </c>
      <c r="AV45" s="47" t="s">
        <v>783</v>
      </c>
      <c r="AW45" s="43" t="str">
        <f>IF(IFERROR(INDEX(Consulta!$A:$DS,MATCH('MM01'!$B45,Consulta!$C:$C,0),'MM01'!AW$2),"")=0,"",IFERROR(ROUND(INDEX(Consulta!$A:$DS,MATCH('MM01'!$B45,Consulta!$C:$C,0),'MM01'!AW$2),3),""))</f>
        <v/>
      </c>
      <c r="AX45" s="43" t="str">
        <f t="shared" si="10"/>
        <v/>
      </c>
      <c r="AY45" s="48" t="s">
        <v>299</v>
      </c>
      <c r="AZ45" s="48"/>
      <c r="BA45" s="43" t="str">
        <f>IF(IFERROR(INDEX(Consulta!$A:$DS,MATCH('MM01'!$B45,Consulta!$C:$C,0),'MM01'!BA$2),"")=0,"",IFERROR(INDEX(Consulta!$A:$DS,MATCH('MM01'!$B45,Consulta!$C:$C,0),'MM01'!BA$2),""))</f>
        <v/>
      </c>
      <c r="BB45" s="43" t="str">
        <f t="shared" si="11"/>
        <v/>
      </c>
      <c r="BC45" s="43" t="str">
        <f t="shared" si="12"/>
        <v/>
      </c>
      <c r="BD45" s="43" t="str">
        <f t="shared" si="13"/>
        <v/>
      </c>
      <c r="BE45" s="43" t="str">
        <f t="shared" si="14"/>
        <v>M</v>
      </c>
      <c r="BF45" s="43" t="str">
        <f t="shared" si="15"/>
        <v/>
      </c>
      <c r="BG45" s="43" t="str">
        <f t="shared" si="16"/>
        <v/>
      </c>
      <c r="BH45" s="43" t="str">
        <f t="shared" si="17"/>
        <v/>
      </c>
      <c r="BI45" s="43" t="str">
        <f t="shared" si="18"/>
        <v>M</v>
      </c>
      <c r="BK45" s="45" t="s">
        <v>789</v>
      </c>
      <c r="BL45" s="43" t="str">
        <f>IF(IFERROR(INDEX(Consulta!$A:$DS,MATCH('MM01'!$B45,Consulta!$C:$C,0),'MM01'!BL$2),"")=0,"",IFERROR(INDEX(Consulta!$A:$DS,MATCH('MM01'!$B45,Consulta!$C:$C,0),'MM01'!BL$2),""))</f>
        <v/>
      </c>
      <c r="BM45" s="45"/>
      <c r="BN45" s="46" t="str">
        <f t="shared" ca="1" si="19"/>
        <v/>
      </c>
      <c r="BO45" s="49" t="str">
        <f t="shared" si="20"/>
        <v/>
      </c>
      <c r="BP45" s="50">
        <v>1</v>
      </c>
      <c r="BQ45" s="50" t="s">
        <v>194</v>
      </c>
      <c r="BR45" s="50" t="s">
        <v>194</v>
      </c>
      <c r="BS45" s="50" t="s">
        <v>783</v>
      </c>
      <c r="BT45" s="44">
        <v>1</v>
      </c>
      <c r="BU45" s="44" t="s">
        <v>372</v>
      </c>
      <c r="BV45" s="50" t="s">
        <v>197</v>
      </c>
      <c r="BW45" s="50" t="s">
        <v>197</v>
      </c>
      <c r="BX45" s="43" t="str">
        <f>IF(IFERROR(INDEX(Consulta!$A:$DS,MATCH('MM01'!$B45,Consulta!$C:$C,0),'MM01'!BX$2),"")=0,"",IFERROR(INDEX(Consulta!$A:$DS,MATCH('MM01'!$B45,Consulta!$C:$C,0),'MM01'!BX$2),""))</f>
        <v/>
      </c>
      <c r="BY45" s="44" t="s">
        <v>392</v>
      </c>
      <c r="BZ45" s="50">
        <v>0</v>
      </c>
      <c r="CA45" s="45" t="s">
        <v>403</v>
      </c>
      <c r="CB45" s="45" t="s">
        <v>84</v>
      </c>
      <c r="CC45" s="43" t="str">
        <f t="shared" si="21"/>
        <v/>
      </c>
      <c r="CD45" s="45" t="s">
        <v>430</v>
      </c>
      <c r="CE45" s="45">
        <v>1</v>
      </c>
      <c r="CF45" s="45" t="s">
        <v>496</v>
      </c>
      <c r="CG45" s="45"/>
      <c r="CH45" s="44"/>
      <c r="CI45" s="49" t="str">
        <f t="shared" si="22"/>
        <v/>
      </c>
      <c r="CJ45" s="49" t="str">
        <f t="shared" si="23"/>
        <v/>
      </c>
      <c r="CK45" s="45"/>
      <c r="CL45" s="44">
        <v>5</v>
      </c>
      <c r="CM45" s="44">
        <v>1</v>
      </c>
      <c r="CN45" s="44">
        <v>1</v>
      </c>
      <c r="CO45" s="44">
        <v>1</v>
      </c>
      <c r="CP45" s="50" t="s">
        <v>515</v>
      </c>
      <c r="CQ45" s="44" t="s">
        <v>372</v>
      </c>
      <c r="CR45" s="44">
        <v>2</v>
      </c>
      <c r="CS45" s="44">
        <v>42</v>
      </c>
      <c r="CT45" s="44">
        <v>10</v>
      </c>
      <c r="CU45" s="43" t="str">
        <f t="shared" si="24"/>
        <v>K00_P_PURL_</v>
      </c>
      <c r="CV45" s="45">
        <v>5000</v>
      </c>
      <c r="CW45" s="43" t="str">
        <f t="shared" si="39"/>
        <v/>
      </c>
      <c r="CX45" s="43" t="str">
        <f t="shared" si="40"/>
        <v/>
      </c>
      <c r="CY45" s="43" t="str">
        <f>IF(IFERROR(INDEX(Consulta!$A:$DS,MATCH('MM01'!$B45,Consulta!$C:$C,0),'MM01'!CY$2),"")=0,"",IFERROR(INDEX(Consulta!$A:$DS,MATCH('MM01'!$B45,Consulta!$C:$C,0),'MM01'!CY$2),""))</f>
        <v/>
      </c>
      <c r="CZ45" s="43" t="str">
        <f t="shared" si="41"/>
        <v/>
      </c>
      <c r="DA45" s="43" t="str">
        <f>IF(IFERROR(INDEX(Consulta!$A:$DS,MATCH('MM01'!$B45,Consulta!$C:$C,0),'MM01'!DA$2),"")=0,"",IFERROR(INDEX(Consulta!$A:$DS,MATCH('MM01'!$B45,Consulta!$C:$C,0),'MM01'!DA$2),""))</f>
        <v/>
      </c>
      <c r="DB45" s="43" t="str">
        <f>IF(IFERROR(INDEX(Consulta!$A:$DS,MATCH('MM01'!$B45,Consulta!$C:$C,0),'MM01'!DB$2),"")=0,"",IFERROR(INDEX(Consulta!$A:$DS,MATCH('MM01'!$B45,Consulta!$C:$C,0),'MM01'!DB$2),""))</f>
        <v/>
      </c>
      <c r="DC45" s="43" t="str">
        <f>IF(IFERROR(INDEX(Consulta!$A:$DS,MATCH('MM01'!$B45,Consulta!$C:$C,0),'MM01'!DC$2),"")=0,"",IFERROR(INDEX(Consulta!$A:$DS,MATCH('MM01'!$B45,Consulta!$C:$C,0),'MM01'!DC$2),""))</f>
        <v/>
      </c>
      <c r="DD45" s="43" t="str">
        <f>IF(IFERROR(INDEX(Consulta!$A:$DS,MATCH('MM01'!$B45,Consulta!$C:$C,0),'MM01'!DD$2),"")=0,"",IFERROR(INDEX(Consulta!$A:$DS,MATCH('MM01'!$B45,Consulta!$C:$C,0),'MM01'!DD$2),""))</f>
        <v/>
      </c>
      <c r="DE45" s="43" t="str">
        <f>IF(IFERROR(INDEX(Consulta!$A:$DS,MATCH('MM01'!$B45,Consulta!$C:$C,0),'MM01'!DE$2),"")=0,"",IFERROR(INDEX(Consulta!$A:$DS,MATCH('MM01'!$B45,Consulta!$C:$C,0),'MM01'!DE$2),""))</f>
        <v/>
      </c>
      <c r="DF45" s="100">
        <v>3458</v>
      </c>
      <c r="DG45" s="45">
        <v>0</v>
      </c>
      <c r="DH45" s="45">
        <v>0</v>
      </c>
      <c r="DI45" s="43" t="str">
        <f t="shared" si="42"/>
        <v/>
      </c>
      <c r="DJ45" s="43" t="str">
        <f t="shared" si="25"/>
        <v/>
      </c>
      <c r="DK45" s="57"/>
      <c r="DL45" s="43" t="str">
        <f t="shared" ca="1" si="26"/>
        <v/>
      </c>
      <c r="DM45" s="43" t="str">
        <f t="shared" si="27"/>
        <v/>
      </c>
      <c r="DN45" s="43" t="str">
        <f t="shared" si="28"/>
        <v/>
      </c>
      <c r="DO45" s="57"/>
      <c r="DP45" s="43" t="str">
        <f t="shared" ca="1" si="29"/>
        <v/>
      </c>
      <c r="DQ45" s="43" t="str">
        <f t="shared" si="30"/>
        <v/>
      </c>
      <c r="DR45" s="43" t="str">
        <f t="shared" si="31"/>
        <v/>
      </c>
      <c r="DS45" s="57"/>
      <c r="DT45" s="43" t="str">
        <f t="shared" ca="1" si="32"/>
        <v/>
      </c>
      <c r="DU45" s="43" t="str">
        <f t="shared" si="33"/>
        <v/>
      </c>
      <c r="DV45" s="43" t="str">
        <f t="shared" si="34"/>
        <v/>
      </c>
      <c r="DW45" s="57"/>
      <c r="DX45" s="43" t="str">
        <f t="shared" ca="1" si="35"/>
        <v/>
      </c>
      <c r="DY45" s="43" t="str">
        <f t="shared" si="36"/>
        <v/>
      </c>
      <c r="EA45" s="44">
        <v>0</v>
      </c>
      <c r="EB45" s="44" t="s">
        <v>761</v>
      </c>
      <c r="EC45" s="44">
        <v>30</v>
      </c>
      <c r="ED45" s="43">
        <f t="shared" si="43"/>
        <v>0.01</v>
      </c>
      <c r="EE45" s="43" t="str">
        <f t="shared" si="44"/>
        <v>M</v>
      </c>
      <c r="EF45" s="43" t="str">
        <f>IF(IFERROR(INDEX(Consulta!$A:$DS,MATCH('MM01'!$B45,Consulta!$C:$C,0),'MM01'!EF$2),"")=0,"7925",IF(IFERROR(INDEX(Consulta!$A:$DS,MATCH('MM01'!$B45,Consulta!$C:$C,0),'MM01'!EF$2),"")="68","7910","7925"))</f>
        <v>7925</v>
      </c>
      <c r="EG45" s="44">
        <v>100</v>
      </c>
      <c r="EH45" s="62">
        <v>1</v>
      </c>
      <c r="EI45" s="43">
        <f t="shared" si="37"/>
        <v>100</v>
      </c>
      <c r="EJ45" s="44">
        <v>1</v>
      </c>
      <c r="EK45" s="44">
        <v>0</v>
      </c>
      <c r="EL45" s="44" t="s">
        <v>859</v>
      </c>
      <c r="EM45" s="45">
        <v>0</v>
      </c>
      <c r="EN45" s="43">
        <f t="shared" si="38"/>
        <v>5000</v>
      </c>
      <c r="EO45" s="69"/>
    </row>
    <row r="46" spans="1:145" x14ac:dyDescent="0.2">
      <c r="A46" s="7" t="str">
        <f t="shared" si="6"/>
        <v>Execução 42</v>
      </c>
      <c r="B46" s="42"/>
      <c r="C46" s="43" t="str">
        <f>IF(IFERROR(INDEX(Consulta!$A:$DS,MATCH('MM01'!$B46,Consulta!$C:$C,0),'MM01'!C$2),"")=0,"",IFERROR(INDEX(Consulta!$A:$DS,MATCH('MM01'!$B46,Consulta!$C:$C,0),'MM01'!C$2),""))</f>
        <v/>
      </c>
      <c r="D46" s="43" t="str">
        <f>IF(IFERROR(INDEX(Consulta!$A:$DS,MATCH('MM01'!$B46,Consulta!$C:$C,0),'MM01'!D$2),"")=0,"",IFERROR(INDEX(Consulta!$A:$DS,MATCH('MM01'!$B46,Consulta!$C:$C,0),'MM01'!D$2),""))</f>
        <v/>
      </c>
      <c r="E46" s="43" t="str">
        <f>IF(IFERROR(INDEX(Consulta!$A:$DS,MATCH('MM01'!$B46,Consulta!$C:$C,0),'MM01'!E$2),"")=0,"",IFERROR(INDEX(Consulta!$A:$DS,MATCH('MM01'!$B46,Consulta!$C:$C,0),'MM01'!E$2),""))</f>
        <v/>
      </c>
      <c r="F46" s="44" t="s">
        <v>100</v>
      </c>
      <c r="G46" s="49" t="str">
        <f>IF(IFERROR(INDEX(Consulta!$A:$DS,MATCH('MM01'!$B46,Consulta!$C:$C,0),'MM01'!G$2),"")=0,"",IFERROR(INDEX(Consulta!$A:$DS,MATCH('MM01'!$B46,Consulta!$C:$C,0),'MM01'!G$2),""))</f>
        <v/>
      </c>
      <c r="H46" s="49" t="str">
        <f>IF(IFERROR(INDEX(Consulta!$A:$DS,MATCH('MM01'!$B46,Consulta!$C:$C,0),'MM01'!H$2),"")=0,"",IFERROR(INDEX(Consulta!$A:$DS,MATCH('MM01'!$B46,Consulta!$C:$C,0),'MM01'!H$2),""))</f>
        <v/>
      </c>
      <c r="I46" s="49" t="str">
        <f t="shared" si="7"/>
        <v/>
      </c>
      <c r="J46" s="49" t="str">
        <f>IF(IFERROR(INDEX(Consulta!$A:$DS,MATCH('MM01'!$B46,Consulta!$C:$C,0),'MM01'!J$2),"")=0,"",IFERROR(INDEX(Consulta!$A:$DS,MATCH('MM01'!$B46,Consulta!$C:$C,0),'MM01'!J$2),""))</f>
        <v/>
      </c>
      <c r="K46" s="49" t="str">
        <f t="shared" si="8"/>
        <v/>
      </c>
      <c r="M46" s="45" t="s">
        <v>101</v>
      </c>
      <c r="N46" s="45" t="s">
        <v>102</v>
      </c>
      <c r="O46" s="45" t="s">
        <v>103</v>
      </c>
      <c r="P46" s="45" t="s">
        <v>104</v>
      </c>
      <c r="Q46" s="45" t="s">
        <v>105</v>
      </c>
      <c r="R46" s="45" t="s">
        <v>106</v>
      </c>
      <c r="S46" s="45" t="s">
        <v>107</v>
      </c>
      <c r="T46" s="45"/>
      <c r="U46" s="45"/>
      <c r="V46" s="45"/>
      <c r="W46" s="45"/>
      <c r="X46" s="45" t="s">
        <v>112</v>
      </c>
      <c r="Y46" s="45" t="s">
        <v>113</v>
      </c>
      <c r="Z46" s="45" t="s">
        <v>114</v>
      </c>
      <c r="AA46" s="45" t="s">
        <v>115</v>
      </c>
      <c r="AB46" s="45" t="s">
        <v>117</v>
      </c>
      <c r="AC46" s="45" t="s">
        <v>118</v>
      </c>
      <c r="AD46" s="45" t="s">
        <v>119</v>
      </c>
      <c r="AE46" s="45" t="s">
        <v>120</v>
      </c>
      <c r="AF46" s="45" t="s">
        <v>121</v>
      </c>
      <c r="AG46" s="45" t="s">
        <v>122</v>
      </c>
      <c r="AH46" s="45" t="s">
        <v>123</v>
      </c>
      <c r="AI46" s="45" t="s">
        <v>124</v>
      </c>
      <c r="AJ46" s="45" t="s">
        <v>125</v>
      </c>
      <c r="AK46" s="45" t="s">
        <v>126</v>
      </c>
      <c r="AL46" s="45"/>
      <c r="AM46" s="45"/>
      <c r="AO46" s="44" t="s">
        <v>100</v>
      </c>
      <c r="AP46" s="43" t="str">
        <f>IF(IFERROR(INDEX(Consulta!$A:$DS,MATCH('MM01'!$B46,Consulta!$C:$C,0),'MM01'!AP$2),"")=0,"",IFERROR(INDEX(Consulta!$A:$DS,MATCH('MM01'!$B46,Consulta!$C:$C,0),'MM01'!AP$2),""))</f>
        <v/>
      </c>
      <c r="AQ46" s="45"/>
      <c r="AR46" s="43" t="str">
        <f>IF(IFERROR(INDEX(Consulta!$A:$DS,MATCH('MM01'!$B46,Consulta!$C:$C,0),'MM01'!AR$2),"")=0,"",IFERROR(INDEX(Consulta!$A:$DS,MATCH('MM01'!$B46,Consulta!$C:$C,0),'MM01'!AR$2),""))</f>
        <v/>
      </c>
      <c r="AS46" s="43" t="str">
        <f>IF(IFERROR(INDEX(Consulta!$A:$DS,MATCH('MM01'!$B46,Consulta!$C:$C,0),'MM01'!AS$2),"")=0,"",IF(AR46="68",5102,IFERROR(INDEX(Consulta!$A:$DS,MATCH('MM01'!$B46,Consulta!$C:$C,0),'MM01'!AS$2),"")))</f>
        <v/>
      </c>
      <c r="AT46" s="45"/>
      <c r="AU46" s="46" t="str">
        <f t="shared" ca="1" si="9"/>
        <v/>
      </c>
      <c r="AV46" s="47" t="s">
        <v>783</v>
      </c>
      <c r="AW46" s="43" t="str">
        <f>IF(IFERROR(INDEX(Consulta!$A:$DS,MATCH('MM01'!$B46,Consulta!$C:$C,0),'MM01'!AW$2),"")=0,"",IFERROR(ROUND(INDEX(Consulta!$A:$DS,MATCH('MM01'!$B46,Consulta!$C:$C,0),'MM01'!AW$2),3),""))</f>
        <v/>
      </c>
      <c r="AX46" s="43" t="str">
        <f t="shared" si="10"/>
        <v/>
      </c>
      <c r="AY46" s="48" t="s">
        <v>299</v>
      </c>
      <c r="AZ46" s="48"/>
      <c r="BA46" s="43" t="str">
        <f>IF(IFERROR(INDEX(Consulta!$A:$DS,MATCH('MM01'!$B46,Consulta!$C:$C,0),'MM01'!BA$2),"")=0,"",IFERROR(INDEX(Consulta!$A:$DS,MATCH('MM01'!$B46,Consulta!$C:$C,0),'MM01'!BA$2),""))</f>
        <v/>
      </c>
      <c r="BB46" s="43" t="str">
        <f t="shared" si="11"/>
        <v/>
      </c>
      <c r="BC46" s="43" t="str">
        <f t="shared" si="12"/>
        <v/>
      </c>
      <c r="BD46" s="43" t="str">
        <f t="shared" si="13"/>
        <v/>
      </c>
      <c r="BE46" s="43" t="str">
        <f t="shared" si="14"/>
        <v>M</v>
      </c>
      <c r="BF46" s="43" t="str">
        <f t="shared" si="15"/>
        <v/>
      </c>
      <c r="BG46" s="43" t="str">
        <f t="shared" si="16"/>
        <v/>
      </c>
      <c r="BH46" s="43" t="str">
        <f t="shared" si="17"/>
        <v/>
      </c>
      <c r="BI46" s="43" t="str">
        <f t="shared" si="18"/>
        <v>M</v>
      </c>
      <c r="BK46" s="45" t="s">
        <v>789</v>
      </c>
      <c r="BL46" s="43" t="str">
        <f>IF(IFERROR(INDEX(Consulta!$A:$DS,MATCH('MM01'!$B46,Consulta!$C:$C,0),'MM01'!BL$2),"")=0,"",IFERROR(INDEX(Consulta!$A:$DS,MATCH('MM01'!$B46,Consulta!$C:$C,0),'MM01'!BL$2),""))</f>
        <v/>
      </c>
      <c r="BM46" s="45"/>
      <c r="BN46" s="46" t="str">
        <f t="shared" ca="1" si="19"/>
        <v/>
      </c>
      <c r="BO46" s="49" t="str">
        <f t="shared" si="20"/>
        <v/>
      </c>
      <c r="BP46" s="50">
        <v>1</v>
      </c>
      <c r="BQ46" s="50" t="s">
        <v>194</v>
      </c>
      <c r="BR46" s="50" t="s">
        <v>194</v>
      </c>
      <c r="BS46" s="50" t="s">
        <v>783</v>
      </c>
      <c r="BT46" s="44">
        <v>1</v>
      </c>
      <c r="BU46" s="44" t="s">
        <v>372</v>
      </c>
      <c r="BV46" s="50" t="s">
        <v>197</v>
      </c>
      <c r="BW46" s="50" t="s">
        <v>197</v>
      </c>
      <c r="BX46" s="43" t="str">
        <f>IF(IFERROR(INDEX(Consulta!$A:$DS,MATCH('MM01'!$B46,Consulta!$C:$C,0),'MM01'!BX$2),"")=0,"",IFERROR(INDEX(Consulta!$A:$DS,MATCH('MM01'!$B46,Consulta!$C:$C,0),'MM01'!BX$2),""))</f>
        <v/>
      </c>
      <c r="BY46" s="44" t="s">
        <v>392</v>
      </c>
      <c r="BZ46" s="50">
        <v>0</v>
      </c>
      <c r="CA46" s="45" t="s">
        <v>403</v>
      </c>
      <c r="CB46" s="45" t="s">
        <v>84</v>
      </c>
      <c r="CC46" s="43" t="str">
        <f t="shared" si="21"/>
        <v/>
      </c>
      <c r="CD46" s="45" t="s">
        <v>430</v>
      </c>
      <c r="CE46" s="45">
        <v>1</v>
      </c>
      <c r="CF46" s="45" t="s">
        <v>496</v>
      </c>
      <c r="CG46" s="45"/>
      <c r="CH46" s="44"/>
      <c r="CI46" s="49" t="str">
        <f t="shared" si="22"/>
        <v/>
      </c>
      <c r="CJ46" s="49" t="str">
        <f t="shared" si="23"/>
        <v/>
      </c>
      <c r="CK46" s="45"/>
      <c r="CL46" s="44">
        <v>5</v>
      </c>
      <c r="CM46" s="44">
        <v>1</v>
      </c>
      <c r="CN46" s="44">
        <v>1</v>
      </c>
      <c r="CO46" s="44">
        <v>1</v>
      </c>
      <c r="CP46" s="50" t="s">
        <v>515</v>
      </c>
      <c r="CQ46" s="44" t="s">
        <v>372</v>
      </c>
      <c r="CR46" s="44">
        <v>2</v>
      </c>
      <c r="CS46" s="44">
        <v>42</v>
      </c>
      <c r="CT46" s="44">
        <v>10</v>
      </c>
      <c r="CU46" s="43" t="str">
        <f t="shared" si="24"/>
        <v>K00_P_PURL_</v>
      </c>
      <c r="CV46" s="45">
        <v>5000</v>
      </c>
      <c r="CW46" s="43" t="str">
        <f t="shared" si="39"/>
        <v/>
      </c>
      <c r="CX46" s="43" t="str">
        <f t="shared" si="40"/>
        <v/>
      </c>
      <c r="CY46" s="43" t="str">
        <f>IF(IFERROR(INDEX(Consulta!$A:$DS,MATCH('MM01'!$B46,Consulta!$C:$C,0),'MM01'!CY$2),"")=0,"",IFERROR(INDEX(Consulta!$A:$DS,MATCH('MM01'!$B46,Consulta!$C:$C,0),'MM01'!CY$2),""))</f>
        <v/>
      </c>
      <c r="CZ46" s="43" t="str">
        <f t="shared" si="41"/>
        <v/>
      </c>
      <c r="DA46" s="43" t="str">
        <f>IF(IFERROR(INDEX(Consulta!$A:$DS,MATCH('MM01'!$B46,Consulta!$C:$C,0),'MM01'!DA$2),"")=0,"",IFERROR(INDEX(Consulta!$A:$DS,MATCH('MM01'!$B46,Consulta!$C:$C,0),'MM01'!DA$2),""))</f>
        <v/>
      </c>
      <c r="DB46" s="43" t="str">
        <f>IF(IFERROR(INDEX(Consulta!$A:$DS,MATCH('MM01'!$B46,Consulta!$C:$C,0),'MM01'!DB$2),"")=0,"",IFERROR(INDEX(Consulta!$A:$DS,MATCH('MM01'!$B46,Consulta!$C:$C,0),'MM01'!DB$2),""))</f>
        <v/>
      </c>
      <c r="DC46" s="43" t="str">
        <f>IF(IFERROR(INDEX(Consulta!$A:$DS,MATCH('MM01'!$B46,Consulta!$C:$C,0),'MM01'!DC$2),"")=0,"",IFERROR(INDEX(Consulta!$A:$DS,MATCH('MM01'!$B46,Consulta!$C:$C,0),'MM01'!DC$2),""))</f>
        <v/>
      </c>
      <c r="DD46" s="43" t="str">
        <f>IF(IFERROR(INDEX(Consulta!$A:$DS,MATCH('MM01'!$B46,Consulta!$C:$C,0),'MM01'!DD$2),"")=0,"",IFERROR(INDEX(Consulta!$A:$DS,MATCH('MM01'!$B46,Consulta!$C:$C,0),'MM01'!DD$2),""))</f>
        <v/>
      </c>
      <c r="DE46" s="43" t="str">
        <f>IF(IFERROR(INDEX(Consulta!$A:$DS,MATCH('MM01'!$B46,Consulta!$C:$C,0),'MM01'!DE$2),"")=0,"",IFERROR(INDEX(Consulta!$A:$DS,MATCH('MM01'!$B46,Consulta!$C:$C,0),'MM01'!DE$2),""))</f>
        <v/>
      </c>
      <c r="DF46" s="100">
        <v>3458</v>
      </c>
      <c r="DG46" s="45">
        <v>0</v>
      </c>
      <c r="DH46" s="45">
        <v>0</v>
      </c>
      <c r="DI46" s="43" t="str">
        <f t="shared" si="42"/>
        <v/>
      </c>
      <c r="DJ46" s="43" t="str">
        <f t="shared" si="25"/>
        <v/>
      </c>
      <c r="DK46" s="57"/>
      <c r="DL46" s="43" t="str">
        <f t="shared" ca="1" si="26"/>
        <v/>
      </c>
      <c r="DM46" s="43" t="str">
        <f t="shared" si="27"/>
        <v/>
      </c>
      <c r="DN46" s="43" t="str">
        <f t="shared" si="28"/>
        <v/>
      </c>
      <c r="DO46" s="57"/>
      <c r="DP46" s="43" t="str">
        <f t="shared" ca="1" si="29"/>
        <v/>
      </c>
      <c r="DQ46" s="43" t="str">
        <f t="shared" si="30"/>
        <v/>
      </c>
      <c r="DR46" s="43" t="str">
        <f t="shared" si="31"/>
        <v/>
      </c>
      <c r="DS46" s="57"/>
      <c r="DT46" s="43" t="str">
        <f t="shared" ca="1" si="32"/>
        <v/>
      </c>
      <c r="DU46" s="43" t="str">
        <f t="shared" si="33"/>
        <v/>
      </c>
      <c r="DV46" s="43" t="str">
        <f t="shared" si="34"/>
        <v/>
      </c>
      <c r="DW46" s="57"/>
      <c r="DX46" s="43" t="str">
        <f t="shared" ca="1" si="35"/>
        <v/>
      </c>
      <c r="DY46" s="43" t="str">
        <f t="shared" si="36"/>
        <v/>
      </c>
      <c r="EA46" s="44">
        <v>0</v>
      </c>
      <c r="EB46" s="44" t="s">
        <v>761</v>
      </c>
      <c r="EC46" s="44">
        <v>30</v>
      </c>
      <c r="ED46" s="43">
        <f t="shared" si="43"/>
        <v>0.01</v>
      </c>
      <c r="EE46" s="43" t="str">
        <f t="shared" si="44"/>
        <v>M</v>
      </c>
      <c r="EF46" s="43" t="str">
        <f>IF(IFERROR(INDEX(Consulta!$A:$DS,MATCH('MM01'!$B46,Consulta!$C:$C,0),'MM01'!EF$2),"")=0,"7925",IF(IFERROR(INDEX(Consulta!$A:$DS,MATCH('MM01'!$B46,Consulta!$C:$C,0),'MM01'!EF$2),"")="68","7910","7925"))</f>
        <v>7925</v>
      </c>
      <c r="EG46" s="44">
        <v>100</v>
      </c>
      <c r="EH46" s="62">
        <v>1</v>
      </c>
      <c r="EI46" s="43">
        <f t="shared" si="37"/>
        <v>100</v>
      </c>
      <c r="EJ46" s="44">
        <v>1</v>
      </c>
      <c r="EK46" s="44">
        <v>0</v>
      </c>
      <c r="EL46" s="44" t="s">
        <v>859</v>
      </c>
      <c r="EM46" s="45">
        <v>0</v>
      </c>
      <c r="EN46" s="43">
        <f t="shared" si="38"/>
        <v>5000</v>
      </c>
      <c r="EO46" s="69"/>
    </row>
    <row r="47" spans="1:145" x14ac:dyDescent="0.2">
      <c r="A47" s="7" t="str">
        <f t="shared" si="6"/>
        <v>Execução 43</v>
      </c>
      <c r="B47" s="42"/>
      <c r="C47" s="43" t="str">
        <f>IF(IFERROR(INDEX(Consulta!$A:$DS,MATCH('MM01'!$B47,Consulta!$C:$C,0),'MM01'!C$2),"")=0,"",IFERROR(INDEX(Consulta!$A:$DS,MATCH('MM01'!$B47,Consulta!$C:$C,0),'MM01'!C$2),""))</f>
        <v/>
      </c>
      <c r="D47" s="43" t="str">
        <f>IF(IFERROR(INDEX(Consulta!$A:$DS,MATCH('MM01'!$B47,Consulta!$C:$C,0),'MM01'!D$2),"")=0,"",IFERROR(INDEX(Consulta!$A:$DS,MATCH('MM01'!$B47,Consulta!$C:$C,0),'MM01'!D$2),""))</f>
        <v/>
      </c>
      <c r="E47" s="43" t="str">
        <f>IF(IFERROR(INDEX(Consulta!$A:$DS,MATCH('MM01'!$B47,Consulta!$C:$C,0),'MM01'!E$2),"")=0,"",IFERROR(INDEX(Consulta!$A:$DS,MATCH('MM01'!$B47,Consulta!$C:$C,0),'MM01'!E$2),""))</f>
        <v/>
      </c>
      <c r="F47" s="44" t="s">
        <v>100</v>
      </c>
      <c r="G47" s="49" t="str">
        <f>IF(IFERROR(INDEX(Consulta!$A:$DS,MATCH('MM01'!$B47,Consulta!$C:$C,0),'MM01'!G$2),"")=0,"",IFERROR(INDEX(Consulta!$A:$DS,MATCH('MM01'!$B47,Consulta!$C:$C,0),'MM01'!G$2),""))</f>
        <v/>
      </c>
      <c r="H47" s="49" t="str">
        <f>IF(IFERROR(INDEX(Consulta!$A:$DS,MATCH('MM01'!$B47,Consulta!$C:$C,0),'MM01'!H$2),"")=0,"",IFERROR(INDEX(Consulta!$A:$DS,MATCH('MM01'!$B47,Consulta!$C:$C,0),'MM01'!H$2),""))</f>
        <v/>
      </c>
      <c r="I47" s="49" t="str">
        <f t="shared" si="7"/>
        <v/>
      </c>
      <c r="J47" s="49" t="str">
        <f>IF(IFERROR(INDEX(Consulta!$A:$DS,MATCH('MM01'!$B47,Consulta!$C:$C,0),'MM01'!J$2),"")=0,"",IFERROR(INDEX(Consulta!$A:$DS,MATCH('MM01'!$B47,Consulta!$C:$C,0),'MM01'!J$2),""))</f>
        <v/>
      </c>
      <c r="K47" s="49" t="str">
        <f t="shared" si="8"/>
        <v/>
      </c>
      <c r="M47" s="45" t="s">
        <v>101</v>
      </c>
      <c r="N47" s="45" t="s">
        <v>102</v>
      </c>
      <c r="O47" s="45" t="s">
        <v>103</v>
      </c>
      <c r="P47" s="45" t="s">
        <v>104</v>
      </c>
      <c r="Q47" s="45" t="s">
        <v>105</v>
      </c>
      <c r="R47" s="45" t="s">
        <v>106</v>
      </c>
      <c r="S47" s="45" t="s">
        <v>107</v>
      </c>
      <c r="T47" s="45"/>
      <c r="U47" s="45"/>
      <c r="V47" s="45"/>
      <c r="W47" s="45"/>
      <c r="X47" s="45" t="s">
        <v>112</v>
      </c>
      <c r="Y47" s="45" t="s">
        <v>113</v>
      </c>
      <c r="Z47" s="45" t="s">
        <v>114</v>
      </c>
      <c r="AA47" s="45" t="s">
        <v>115</v>
      </c>
      <c r="AB47" s="45" t="s">
        <v>117</v>
      </c>
      <c r="AC47" s="45" t="s">
        <v>118</v>
      </c>
      <c r="AD47" s="45" t="s">
        <v>119</v>
      </c>
      <c r="AE47" s="45" t="s">
        <v>120</v>
      </c>
      <c r="AF47" s="45" t="s">
        <v>121</v>
      </c>
      <c r="AG47" s="45" t="s">
        <v>122</v>
      </c>
      <c r="AH47" s="45" t="s">
        <v>123</v>
      </c>
      <c r="AI47" s="45" t="s">
        <v>124</v>
      </c>
      <c r="AJ47" s="45" t="s">
        <v>125</v>
      </c>
      <c r="AK47" s="45" t="s">
        <v>126</v>
      </c>
      <c r="AL47" s="45"/>
      <c r="AM47" s="45"/>
      <c r="AO47" s="44" t="s">
        <v>100</v>
      </c>
      <c r="AP47" s="43" t="str">
        <f>IF(IFERROR(INDEX(Consulta!$A:$DS,MATCH('MM01'!$B47,Consulta!$C:$C,0),'MM01'!AP$2),"")=0,"",IFERROR(INDEX(Consulta!$A:$DS,MATCH('MM01'!$B47,Consulta!$C:$C,0),'MM01'!AP$2),""))</f>
        <v/>
      </c>
      <c r="AQ47" s="45"/>
      <c r="AR47" s="43" t="str">
        <f>IF(IFERROR(INDEX(Consulta!$A:$DS,MATCH('MM01'!$B47,Consulta!$C:$C,0),'MM01'!AR$2),"")=0,"",IFERROR(INDEX(Consulta!$A:$DS,MATCH('MM01'!$B47,Consulta!$C:$C,0),'MM01'!AR$2),""))</f>
        <v/>
      </c>
      <c r="AS47" s="43" t="str">
        <f>IF(IFERROR(INDEX(Consulta!$A:$DS,MATCH('MM01'!$B47,Consulta!$C:$C,0),'MM01'!AS$2),"")=0,"",IF(AR47="68",5102,IFERROR(INDEX(Consulta!$A:$DS,MATCH('MM01'!$B47,Consulta!$C:$C,0),'MM01'!AS$2),"")))</f>
        <v/>
      </c>
      <c r="AT47" s="45"/>
      <c r="AU47" s="46" t="str">
        <f t="shared" ca="1" si="9"/>
        <v/>
      </c>
      <c r="AV47" s="47" t="s">
        <v>783</v>
      </c>
      <c r="AW47" s="43" t="str">
        <f>IF(IFERROR(INDEX(Consulta!$A:$DS,MATCH('MM01'!$B47,Consulta!$C:$C,0),'MM01'!AW$2),"")=0,"",IFERROR(ROUND(INDEX(Consulta!$A:$DS,MATCH('MM01'!$B47,Consulta!$C:$C,0),'MM01'!AW$2),3),""))</f>
        <v/>
      </c>
      <c r="AX47" s="43" t="str">
        <f t="shared" si="10"/>
        <v/>
      </c>
      <c r="AY47" s="48" t="s">
        <v>299</v>
      </c>
      <c r="AZ47" s="48"/>
      <c r="BA47" s="43" t="str">
        <f>IF(IFERROR(INDEX(Consulta!$A:$DS,MATCH('MM01'!$B47,Consulta!$C:$C,0),'MM01'!BA$2),"")=0,"",IFERROR(INDEX(Consulta!$A:$DS,MATCH('MM01'!$B47,Consulta!$C:$C,0),'MM01'!BA$2),""))</f>
        <v/>
      </c>
      <c r="BB47" s="43" t="str">
        <f t="shared" si="11"/>
        <v/>
      </c>
      <c r="BC47" s="43" t="str">
        <f t="shared" si="12"/>
        <v/>
      </c>
      <c r="BD47" s="43" t="str">
        <f t="shared" si="13"/>
        <v/>
      </c>
      <c r="BE47" s="43" t="str">
        <f t="shared" si="14"/>
        <v>M</v>
      </c>
      <c r="BF47" s="43" t="str">
        <f t="shared" si="15"/>
        <v/>
      </c>
      <c r="BG47" s="43" t="str">
        <f t="shared" si="16"/>
        <v/>
      </c>
      <c r="BH47" s="43" t="str">
        <f t="shared" si="17"/>
        <v/>
      </c>
      <c r="BI47" s="43" t="str">
        <f t="shared" si="18"/>
        <v>M</v>
      </c>
      <c r="BK47" s="45" t="s">
        <v>789</v>
      </c>
      <c r="BL47" s="43" t="str">
        <f>IF(IFERROR(INDEX(Consulta!$A:$DS,MATCH('MM01'!$B47,Consulta!$C:$C,0),'MM01'!BL$2),"")=0,"",IFERROR(INDEX(Consulta!$A:$DS,MATCH('MM01'!$B47,Consulta!$C:$C,0),'MM01'!BL$2),""))</f>
        <v/>
      </c>
      <c r="BM47" s="45"/>
      <c r="BN47" s="46" t="str">
        <f t="shared" ca="1" si="19"/>
        <v/>
      </c>
      <c r="BO47" s="49" t="str">
        <f t="shared" si="20"/>
        <v/>
      </c>
      <c r="BP47" s="50">
        <v>1</v>
      </c>
      <c r="BQ47" s="50" t="s">
        <v>194</v>
      </c>
      <c r="BR47" s="50" t="s">
        <v>194</v>
      </c>
      <c r="BS47" s="50" t="s">
        <v>783</v>
      </c>
      <c r="BT47" s="44">
        <v>1</v>
      </c>
      <c r="BU47" s="44" t="s">
        <v>372</v>
      </c>
      <c r="BV47" s="50" t="s">
        <v>197</v>
      </c>
      <c r="BW47" s="50" t="s">
        <v>197</v>
      </c>
      <c r="BX47" s="43" t="str">
        <f>IF(IFERROR(INDEX(Consulta!$A:$DS,MATCH('MM01'!$B47,Consulta!$C:$C,0),'MM01'!BX$2),"")=0,"",IFERROR(INDEX(Consulta!$A:$DS,MATCH('MM01'!$B47,Consulta!$C:$C,0),'MM01'!BX$2),""))</f>
        <v/>
      </c>
      <c r="BY47" s="44" t="s">
        <v>392</v>
      </c>
      <c r="BZ47" s="50">
        <v>0</v>
      </c>
      <c r="CA47" s="45" t="s">
        <v>403</v>
      </c>
      <c r="CB47" s="45" t="s">
        <v>84</v>
      </c>
      <c r="CC47" s="43" t="str">
        <f t="shared" si="21"/>
        <v/>
      </c>
      <c r="CD47" s="45" t="s">
        <v>430</v>
      </c>
      <c r="CE47" s="45">
        <v>1</v>
      </c>
      <c r="CF47" s="45" t="s">
        <v>496</v>
      </c>
      <c r="CG47" s="45"/>
      <c r="CH47" s="44"/>
      <c r="CI47" s="49" t="str">
        <f t="shared" si="22"/>
        <v/>
      </c>
      <c r="CJ47" s="49" t="str">
        <f t="shared" si="23"/>
        <v/>
      </c>
      <c r="CK47" s="45"/>
      <c r="CL47" s="44">
        <v>5</v>
      </c>
      <c r="CM47" s="44">
        <v>1</v>
      </c>
      <c r="CN47" s="44">
        <v>1</v>
      </c>
      <c r="CO47" s="44">
        <v>1</v>
      </c>
      <c r="CP47" s="50" t="s">
        <v>515</v>
      </c>
      <c r="CQ47" s="44" t="s">
        <v>372</v>
      </c>
      <c r="CR47" s="44">
        <v>2</v>
      </c>
      <c r="CS47" s="44">
        <v>42</v>
      </c>
      <c r="CT47" s="44">
        <v>10</v>
      </c>
      <c r="CU47" s="43" t="str">
        <f t="shared" si="24"/>
        <v>K00_P_PURL_</v>
      </c>
      <c r="CV47" s="45">
        <v>5000</v>
      </c>
      <c r="CW47" s="43" t="str">
        <f t="shared" si="39"/>
        <v/>
      </c>
      <c r="CX47" s="43" t="str">
        <f t="shared" si="40"/>
        <v/>
      </c>
      <c r="CY47" s="43" t="str">
        <f>IF(IFERROR(INDEX(Consulta!$A:$DS,MATCH('MM01'!$B47,Consulta!$C:$C,0),'MM01'!CY$2),"")=0,"",IFERROR(INDEX(Consulta!$A:$DS,MATCH('MM01'!$B47,Consulta!$C:$C,0),'MM01'!CY$2),""))</f>
        <v/>
      </c>
      <c r="CZ47" s="43" t="str">
        <f t="shared" si="41"/>
        <v/>
      </c>
      <c r="DA47" s="43" t="str">
        <f>IF(IFERROR(INDEX(Consulta!$A:$DS,MATCH('MM01'!$B47,Consulta!$C:$C,0),'MM01'!DA$2),"")=0,"",IFERROR(INDEX(Consulta!$A:$DS,MATCH('MM01'!$B47,Consulta!$C:$C,0),'MM01'!DA$2),""))</f>
        <v/>
      </c>
      <c r="DB47" s="43" t="str">
        <f>IF(IFERROR(INDEX(Consulta!$A:$DS,MATCH('MM01'!$B47,Consulta!$C:$C,0),'MM01'!DB$2),"")=0,"",IFERROR(INDEX(Consulta!$A:$DS,MATCH('MM01'!$B47,Consulta!$C:$C,0),'MM01'!DB$2),""))</f>
        <v/>
      </c>
      <c r="DC47" s="43" t="str">
        <f>IF(IFERROR(INDEX(Consulta!$A:$DS,MATCH('MM01'!$B47,Consulta!$C:$C,0),'MM01'!DC$2),"")=0,"",IFERROR(INDEX(Consulta!$A:$DS,MATCH('MM01'!$B47,Consulta!$C:$C,0),'MM01'!DC$2),""))</f>
        <v/>
      </c>
      <c r="DD47" s="43" t="str">
        <f>IF(IFERROR(INDEX(Consulta!$A:$DS,MATCH('MM01'!$B47,Consulta!$C:$C,0),'MM01'!DD$2),"")=0,"",IFERROR(INDEX(Consulta!$A:$DS,MATCH('MM01'!$B47,Consulta!$C:$C,0),'MM01'!DD$2),""))</f>
        <v/>
      </c>
      <c r="DE47" s="43" t="str">
        <f>IF(IFERROR(INDEX(Consulta!$A:$DS,MATCH('MM01'!$B47,Consulta!$C:$C,0),'MM01'!DE$2),"")=0,"",IFERROR(INDEX(Consulta!$A:$DS,MATCH('MM01'!$B47,Consulta!$C:$C,0),'MM01'!DE$2),""))</f>
        <v/>
      </c>
      <c r="DF47" s="100">
        <v>3458</v>
      </c>
      <c r="DG47" s="45">
        <v>0</v>
      </c>
      <c r="DH47" s="45">
        <v>0</v>
      </c>
      <c r="DI47" s="43" t="str">
        <f t="shared" si="42"/>
        <v/>
      </c>
      <c r="DJ47" s="43" t="str">
        <f t="shared" si="25"/>
        <v/>
      </c>
      <c r="DK47" s="57"/>
      <c r="DL47" s="43" t="str">
        <f t="shared" ca="1" si="26"/>
        <v/>
      </c>
      <c r="DM47" s="43" t="str">
        <f t="shared" si="27"/>
        <v/>
      </c>
      <c r="DN47" s="43" t="str">
        <f t="shared" si="28"/>
        <v/>
      </c>
      <c r="DO47" s="57"/>
      <c r="DP47" s="43" t="str">
        <f t="shared" ca="1" si="29"/>
        <v/>
      </c>
      <c r="DQ47" s="43" t="str">
        <f t="shared" si="30"/>
        <v/>
      </c>
      <c r="DR47" s="43" t="str">
        <f t="shared" si="31"/>
        <v/>
      </c>
      <c r="DS47" s="57"/>
      <c r="DT47" s="43" t="str">
        <f t="shared" ca="1" si="32"/>
        <v/>
      </c>
      <c r="DU47" s="43" t="str">
        <f t="shared" si="33"/>
        <v/>
      </c>
      <c r="DV47" s="43" t="str">
        <f t="shared" si="34"/>
        <v/>
      </c>
      <c r="DW47" s="57"/>
      <c r="DX47" s="43" t="str">
        <f t="shared" ca="1" si="35"/>
        <v/>
      </c>
      <c r="DY47" s="43" t="str">
        <f t="shared" si="36"/>
        <v/>
      </c>
      <c r="EA47" s="44">
        <v>0</v>
      </c>
      <c r="EB47" s="44" t="s">
        <v>761</v>
      </c>
      <c r="EC47" s="44">
        <v>30</v>
      </c>
      <c r="ED47" s="43">
        <f t="shared" si="43"/>
        <v>0.01</v>
      </c>
      <c r="EE47" s="43" t="str">
        <f t="shared" si="44"/>
        <v>M</v>
      </c>
      <c r="EF47" s="43" t="str">
        <f>IF(IFERROR(INDEX(Consulta!$A:$DS,MATCH('MM01'!$B47,Consulta!$C:$C,0),'MM01'!EF$2),"")=0,"7925",IF(IFERROR(INDEX(Consulta!$A:$DS,MATCH('MM01'!$B47,Consulta!$C:$C,0),'MM01'!EF$2),"")="68","7910","7925"))</f>
        <v>7925</v>
      </c>
      <c r="EG47" s="44">
        <v>100</v>
      </c>
      <c r="EH47" s="62">
        <v>1</v>
      </c>
      <c r="EI47" s="43">
        <f t="shared" si="37"/>
        <v>100</v>
      </c>
      <c r="EJ47" s="44">
        <v>1</v>
      </c>
      <c r="EK47" s="44">
        <v>0</v>
      </c>
      <c r="EL47" s="44" t="s">
        <v>859</v>
      </c>
      <c r="EM47" s="45">
        <v>0</v>
      </c>
      <c r="EN47" s="43">
        <f t="shared" si="38"/>
        <v>5000</v>
      </c>
      <c r="EO47" s="69"/>
    </row>
    <row r="48" spans="1:145" x14ac:dyDescent="0.2">
      <c r="A48" s="7" t="str">
        <f t="shared" si="6"/>
        <v>Execução 44</v>
      </c>
      <c r="B48" s="42"/>
      <c r="C48" s="43" t="str">
        <f>IF(IFERROR(INDEX(Consulta!$A:$DS,MATCH('MM01'!$B48,Consulta!$C:$C,0),'MM01'!C$2),"")=0,"",IFERROR(INDEX(Consulta!$A:$DS,MATCH('MM01'!$B48,Consulta!$C:$C,0),'MM01'!C$2),""))</f>
        <v/>
      </c>
      <c r="D48" s="43" t="str">
        <f>IF(IFERROR(INDEX(Consulta!$A:$DS,MATCH('MM01'!$B48,Consulta!$C:$C,0),'MM01'!D$2),"")=0,"",IFERROR(INDEX(Consulta!$A:$DS,MATCH('MM01'!$B48,Consulta!$C:$C,0),'MM01'!D$2),""))</f>
        <v/>
      </c>
      <c r="E48" s="43" t="str">
        <f>IF(IFERROR(INDEX(Consulta!$A:$DS,MATCH('MM01'!$B48,Consulta!$C:$C,0),'MM01'!E$2),"")=0,"",IFERROR(INDEX(Consulta!$A:$DS,MATCH('MM01'!$B48,Consulta!$C:$C,0),'MM01'!E$2),""))</f>
        <v/>
      </c>
      <c r="F48" s="44" t="s">
        <v>100</v>
      </c>
      <c r="G48" s="49" t="str">
        <f>IF(IFERROR(INDEX(Consulta!$A:$DS,MATCH('MM01'!$B48,Consulta!$C:$C,0),'MM01'!G$2),"")=0,"",IFERROR(INDEX(Consulta!$A:$DS,MATCH('MM01'!$B48,Consulta!$C:$C,0),'MM01'!G$2),""))</f>
        <v/>
      </c>
      <c r="H48" s="49" t="str">
        <f>IF(IFERROR(INDEX(Consulta!$A:$DS,MATCH('MM01'!$B48,Consulta!$C:$C,0),'MM01'!H$2),"")=0,"",IFERROR(INDEX(Consulta!$A:$DS,MATCH('MM01'!$B48,Consulta!$C:$C,0),'MM01'!H$2),""))</f>
        <v/>
      </c>
      <c r="I48" s="49" t="str">
        <f t="shared" si="7"/>
        <v/>
      </c>
      <c r="J48" s="49" t="str">
        <f>IF(IFERROR(INDEX(Consulta!$A:$DS,MATCH('MM01'!$B48,Consulta!$C:$C,0),'MM01'!J$2),"")=0,"",IFERROR(INDEX(Consulta!$A:$DS,MATCH('MM01'!$B48,Consulta!$C:$C,0),'MM01'!J$2),""))</f>
        <v/>
      </c>
      <c r="K48" s="49" t="str">
        <f t="shared" si="8"/>
        <v/>
      </c>
      <c r="M48" s="45" t="s">
        <v>101</v>
      </c>
      <c r="N48" s="45" t="s">
        <v>102</v>
      </c>
      <c r="O48" s="45" t="s">
        <v>103</v>
      </c>
      <c r="P48" s="45" t="s">
        <v>104</v>
      </c>
      <c r="Q48" s="45" t="s">
        <v>105</v>
      </c>
      <c r="R48" s="45" t="s">
        <v>106</v>
      </c>
      <c r="S48" s="45" t="s">
        <v>107</v>
      </c>
      <c r="T48" s="45"/>
      <c r="U48" s="45"/>
      <c r="V48" s="45"/>
      <c r="W48" s="45"/>
      <c r="X48" s="45" t="s">
        <v>112</v>
      </c>
      <c r="Y48" s="45" t="s">
        <v>113</v>
      </c>
      <c r="Z48" s="45" t="s">
        <v>114</v>
      </c>
      <c r="AA48" s="45" t="s">
        <v>115</v>
      </c>
      <c r="AB48" s="45" t="s">
        <v>117</v>
      </c>
      <c r="AC48" s="45" t="s">
        <v>118</v>
      </c>
      <c r="AD48" s="45" t="s">
        <v>119</v>
      </c>
      <c r="AE48" s="45" t="s">
        <v>120</v>
      </c>
      <c r="AF48" s="45" t="s">
        <v>121</v>
      </c>
      <c r="AG48" s="45" t="s">
        <v>122</v>
      </c>
      <c r="AH48" s="45" t="s">
        <v>123</v>
      </c>
      <c r="AI48" s="45" t="s">
        <v>124</v>
      </c>
      <c r="AJ48" s="45" t="s">
        <v>125</v>
      </c>
      <c r="AK48" s="45" t="s">
        <v>126</v>
      </c>
      <c r="AL48" s="45"/>
      <c r="AM48" s="45"/>
      <c r="AO48" s="44" t="s">
        <v>100</v>
      </c>
      <c r="AP48" s="43" t="str">
        <f>IF(IFERROR(INDEX(Consulta!$A:$DS,MATCH('MM01'!$B48,Consulta!$C:$C,0),'MM01'!AP$2),"")=0,"",IFERROR(INDEX(Consulta!$A:$DS,MATCH('MM01'!$B48,Consulta!$C:$C,0),'MM01'!AP$2),""))</f>
        <v/>
      </c>
      <c r="AQ48" s="45"/>
      <c r="AR48" s="43" t="str">
        <f>IF(IFERROR(INDEX(Consulta!$A:$DS,MATCH('MM01'!$B48,Consulta!$C:$C,0),'MM01'!AR$2),"")=0,"",IFERROR(INDEX(Consulta!$A:$DS,MATCH('MM01'!$B48,Consulta!$C:$C,0),'MM01'!AR$2),""))</f>
        <v/>
      </c>
      <c r="AS48" s="43" t="str">
        <f>IF(IFERROR(INDEX(Consulta!$A:$DS,MATCH('MM01'!$B48,Consulta!$C:$C,0),'MM01'!AS$2),"")=0,"",IF(AR48="68",5102,IFERROR(INDEX(Consulta!$A:$DS,MATCH('MM01'!$B48,Consulta!$C:$C,0),'MM01'!AS$2),"")))</f>
        <v/>
      </c>
      <c r="AT48" s="45"/>
      <c r="AU48" s="46" t="str">
        <f t="shared" ca="1" si="9"/>
        <v/>
      </c>
      <c r="AV48" s="47" t="s">
        <v>783</v>
      </c>
      <c r="AW48" s="43" t="str">
        <f>IF(IFERROR(INDEX(Consulta!$A:$DS,MATCH('MM01'!$B48,Consulta!$C:$C,0),'MM01'!AW$2),"")=0,"",IFERROR(ROUND(INDEX(Consulta!$A:$DS,MATCH('MM01'!$B48,Consulta!$C:$C,0),'MM01'!AW$2),3),""))</f>
        <v/>
      </c>
      <c r="AX48" s="43" t="str">
        <f t="shared" si="10"/>
        <v/>
      </c>
      <c r="AY48" s="48" t="s">
        <v>299</v>
      </c>
      <c r="AZ48" s="48"/>
      <c r="BA48" s="43" t="str">
        <f>IF(IFERROR(INDEX(Consulta!$A:$DS,MATCH('MM01'!$B48,Consulta!$C:$C,0),'MM01'!BA$2),"")=0,"",IFERROR(INDEX(Consulta!$A:$DS,MATCH('MM01'!$B48,Consulta!$C:$C,0),'MM01'!BA$2),""))</f>
        <v/>
      </c>
      <c r="BB48" s="43" t="str">
        <f t="shared" si="11"/>
        <v/>
      </c>
      <c r="BC48" s="43" t="str">
        <f t="shared" si="12"/>
        <v/>
      </c>
      <c r="BD48" s="43" t="str">
        <f t="shared" si="13"/>
        <v/>
      </c>
      <c r="BE48" s="43" t="str">
        <f t="shared" si="14"/>
        <v>M</v>
      </c>
      <c r="BF48" s="43" t="str">
        <f t="shared" si="15"/>
        <v/>
      </c>
      <c r="BG48" s="43" t="str">
        <f t="shared" si="16"/>
        <v/>
      </c>
      <c r="BH48" s="43" t="str">
        <f t="shared" si="17"/>
        <v/>
      </c>
      <c r="BI48" s="43" t="str">
        <f t="shared" si="18"/>
        <v>M</v>
      </c>
      <c r="BK48" s="45" t="s">
        <v>789</v>
      </c>
      <c r="BL48" s="43" t="str">
        <f>IF(IFERROR(INDEX(Consulta!$A:$DS,MATCH('MM01'!$B48,Consulta!$C:$C,0),'MM01'!BL$2),"")=0,"",IFERROR(INDEX(Consulta!$A:$DS,MATCH('MM01'!$B48,Consulta!$C:$C,0),'MM01'!BL$2),""))</f>
        <v/>
      </c>
      <c r="BM48" s="45"/>
      <c r="BN48" s="46" t="str">
        <f t="shared" ca="1" si="19"/>
        <v/>
      </c>
      <c r="BO48" s="49" t="str">
        <f t="shared" si="20"/>
        <v/>
      </c>
      <c r="BP48" s="50">
        <v>1</v>
      </c>
      <c r="BQ48" s="50" t="s">
        <v>194</v>
      </c>
      <c r="BR48" s="50" t="s">
        <v>194</v>
      </c>
      <c r="BS48" s="50" t="s">
        <v>783</v>
      </c>
      <c r="BT48" s="44">
        <v>1</v>
      </c>
      <c r="BU48" s="44" t="s">
        <v>372</v>
      </c>
      <c r="BV48" s="50" t="s">
        <v>197</v>
      </c>
      <c r="BW48" s="50" t="s">
        <v>197</v>
      </c>
      <c r="BX48" s="43" t="str">
        <f>IF(IFERROR(INDEX(Consulta!$A:$DS,MATCH('MM01'!$B48,Consulta!$C:$C,0),'MM01'!BX$2),"")=0,"",IFERROR(INDEX(Consulta!$A:$DS,MATCH('MM01'!$B48,Consulta!$C:$C,0),'MM01'!BX$2),""))</f>
        <v/>
      </c>
      <c r="BY48" s="44" t="s">
        <v>392</v>
      </c>
      <c r="BZ48" s="50">
        <v>0</v>
      </c>
      <c r="CA48" s="45" t="s">
        <v>403</v>
      </c>
      <c r="CB48" s="45" t="s">
        <v>84</v>
      </c>
      <c r="CC48" s="43" t="str">
        <f t="shared" si="21"/>
        <v/>
      </c>
      <c r="CD48" s="45" t="s">
        <v>430</v>
      </c>
      <c r="CE48" s="45">
        <v>1</v>
      </c>
      <c r="CF48" s="45" t="s">
        <v>496</v>
      </c>
      <c r="CG48" s="45"/>
      <c r="CH48" s="44"/>
      <c r="CI48" s="49" t="str">
        <f t="shared" si="22"/>
        <v/>
      </c>
      <c r="CJ48" s="49" t="str">
        <f t="shared" si="23"/>
        <v/>
      </c>
      <c r="CK48" s="45"/>
      <c r="CL48" s="44">
        <v>5</v>
      </c>
      <c r="CM48" s="44">
        <v>1</v>
      </c>
      <c r="CN48" s="44">
        <v>1</v>
      </c>
      <c r="CO48" s="44">
        <v>1</v>
      </c>
      <c r="CP48" s="50" t="s">
        <v>515</v>
      </c>
      <c r="CQ48" s="44" t="s">
        <v>372</v>
      </c>
      <c r="CR48" s="44">
        <v>2</v>
      </c>
      <c r="CS48" s="44">
        <v>42</v>
      </c>
      <c r="CT48" s="44">
        <v>10</v>
      </c>
      <c r="CU48" s="43" t="str">
        <f t="shared" si="24"/>
        <v>K00_P_PURL_</v>
      </c>
      <c r="CV48" s="45">
        <v>5000</v>
      </c>
      <c r="CW48" s="43" t="str">
        <f t="shared" si="39"/>
        <v/>
      </c>
      <c r="CX48" s="43" t="str">
        <f t="shared" si="40"/>
        <v/>
      </c>
      <c r="CY48" s="43" t="str">
        <f>IF(IFERROR(INDEX(Consulta!$A:$DS,MATCH('MM01'!$B48,Consulta!$C:$C,0),'MM01'!CY$2),"")=0,"",IFERROR(INDEX(Consulta!$A:$DS,MATCH('MM01'!$B48,Consulta!$C:$C,0),'MM01'!CY$2),""))</f>
        <v/>
      </c>
      <c r="CZ48" s="43" t="str">
        <f t="shared" si="41"/>
        <v/>
      </c>
      <c r="DA48" s="43" t="str">
        <f>IF(IFERROR(INDEX(Consulta!$A:$DS,MATCH('MM01'!$B48,Consulta!$C:$C,0),'MM01'!DA$2),"")=0,"",IFERROR(INDEX(Consulta!$A:$DS,MATCH('MM01'!$B48,Consulta!$C:$C,0),'MM01'!DA$2),""))</f>
        <v/>
      </c>
      <c r="DB48" s="43" t="str">
        <f>IF(IFERROR(INDEX(Consulta!$A:$DS,MATCH('MM01'!$B48,Consulta!$C:$C,0),'MM01'!DB$2),"")=0,"",IFERROR(INDEX(Consulta!$A:$DS,MATCH('MM01'!$B48,Consulta!$C:$C,0),'MM01'!DB$2),""))</f>
        <v/>
      </c>
      <c r="DC48" s="43" t="str">
        <f>IF(IFERROR(INDEX(Consulta!$A:$DS,MATCH('MM01'!$B48,Consulta!$C:$C,0),'MM01'!DC$2),"")=0,"",IFERROR(INDEX(Consulta!$A:$DS,MATCH('MM01'!$B48,Consulta!$C:$C,0),'MM01'!DC$2),""))</f>
        <v/>
      </c>
      <c r="DD48" s="43" t="str">
        <f>IF(IFERROR(INDEX(Consulta!$A:$DS,MATCH('MM01'!$B48,Consulta!$C:$C,0),'MM01'!DD$2),"")=0,"",IFERROR(INDEX(Consulta!$A:$DS,MATCH('MM01'!$B48,Consulta!$C:$C,0),'MM01'!DD$2),""))</f>
        <v/>
      </c>
      <c r="DE48" s="43" t="str">
        <f>IF(IFERROR(INDEX(Consulta!$A:$DS,MATCH('MM01'!$B48,Consulta!$C:$C,0),'MM01'!DE$2),"")=0,"",IFERROR(INDEX(Consulta!$A:$DS,MATCH('MM01'!$B48,Consulta!$C:$C,0),'MM01'!DE$2),""))</f>
        <v/>
      </c>
      <c r="DF48" s="100">
        <v>3458</v>
      </c>
      <c r="DG48" s="45">
        <v>0</v>
      </c>
      <c r="DH48" s="45">
        <v>0</v>
      </c>
      <c r="DI48" s="43" t="str">
        <f t="shared" si="42"/>
        <v/>
      </c>
      <c r="DJ48" s="43" t="str">
        <f t="shared" si="25"/>
        <v/>
      </c>
      <c r="DK48" s="57"/>
      <c r="DL48" s="43" t="str">
        <f t="shared" ca="1" si="26"/>
        <v/>
      </c>
      <c r="DM48" s="43" t="str">
        <f t="shared" si="27"/>
        <v/>
      </c>
      <c r="DN48" s="43" t="str">
        <f t="shared" si="28"/>
        <v/>
      </c>
      <c r="DO48" s="57"/>
      <c r="DP48" s="43" t="str">
        <f t="shared" ca="1" si="29"/>
        <v/>
      </c>
      <c r="DQ48" s="43" t="str">
        <f t="shared" si="30"/>
        <v/>
      </c>
      <c r="DR48" s="43" t="str">
        <f t="shared" si="31"/>
        <v/>
      </c>
      <c r="DS48" s="57"/>
      <c r="DT48" s="43" t="str">
        <f t="shared" ca="1" si="32"/>
        <v/>
      </c>
      <c r="DU48" s="43" t="str">
        <f t="shared" si="33"/>
        <v/>
      </c>
      <c r="DV48" s="43" t="str">
        <f t="shared" si="34"/>
        <v/>
      </c>
      <c r="DW48" s="57"/>
      <c r="DX48" s="43" t="str">
        <f t="shared" ca="1" si="35"/>
        <v/>
      </c>
      <c r="DY48" s="43" t="str">
        <f t="shared" si="36"/>
        <v/>
      </c>
      <c r="EA48" s="44">
        <v>0</v>
      </c>
      <c r="EB48" s="44" t="s">
        <v>761</v>
      </c>
      <c r="EC48" s="44">
        <v>30</v>
      </c>
      <c r="ED48" s="43">
        <f t="shared" si="43"/>
        <v>0.01</v>
      </c>
      <c r="EE48" s="43" t="str">
        <f t="shared" si="44"/>
        <v>M</v>
      </c>
      <c r="EF48" s="43" t="str">
        <f>IF(IFERROR(INDEX(Consulta!$A:$DS,MATCH('MM01'!$B48,Consulta!$C:$C,0),'MM01'!EF$2),"")=0,"7925",IF(IFERROR(INDEX(Consulta!$A:$DS,MATCH('MM01'!$B48,Consulta!$C:$C,0),'MM01'!EF$2),"")="68","7910","7925"))</f>
        <v>7925</v>
      </c>
      <c r="EG48" s="44">
        <v>100</v>
      </c>
      <c r="EH48" s="62">
        <v>1</v>
      </c>
      <c r="EI48" s="43">
        <f t="shared" si="37"/>
        <v>100</v>
      </c>
      <c r="EJ48" s="44">
        <v>1</v>
      </c>
      <c r="EK48" s="44">
        <v>0</v>
      </c>
      <c r="EL48" s="44" t="s">
        <v>859</v>
      </c>
      <c r="EM48" s="45">
        <v>0</v>
      </c>
      <c r="EN48" s="43">
        <f t="shared" si="38"/>
        <v>5000</v>
      </c>
      <c r="EO48" s="69"/>
    </row>
    <row r="49" spans="1:145" x14ac:dyDescent="0.2">
      <c r="A49" s="7" t="str">
        <f t="shared" si="6"/>
        <v>Execução 45</v>
      </c>
      <c r="B49" s="42"/>
      <c r="C49" s="43" t="str">
        <f>IF(IFERROR(INDEX(Consulta!$A:$DS,MATCH('MM01'!$B49,Consulta!$C:$C,0),'MM01'!C$2),"")=0,"",IFERROR(INDEX(Consulta!$A:$DS,MATCH('MM01'!$B49,Consulta!$C:$C,0),'MM01'!C$2),""))</f>
        <v/>
      </c>
      <c r="D49" s="43" t="str">
        <f>IF(IFERROR(INDEX(Consulta!$A:$DS,MATCH('MM01'!$B49,Consulta!$C:$C,0),'MM01'!D$2),"")=0,"",IFERROR(INDEX(Consulta!$A:$DS,MATCH('MM01'!$B49,Consulta!$C:$C,0),'MM01'!D$2),""))</f>
        <v/>
      </c>
      <c r="E49" s="43" t="str">
        <f>IF(IFERROR(INDEX(Consulta!$A:$DS,MATCH('MM01'!$B49,Consulta!$C:$C,0),'MM01'!E$2),"")=0,"",IFERROR(INDEX(Consulta!$A:$DS,MATCH('MM01'!$B49,Consulta!$C:$C,0),'MM01'!E$2),""))</f>
        <v/>
      </c>
      <c r="F49" s="44" t="s">
        <v>100</v>
      </c>
      <c r="G49" s="49" t="str">
        <f>IF(IFERROR(INDEX(Consulta!$A:$DS,MATCH('MM01'!$B49,Consulta!$C:$C,0),'MM01'!G$2),"")=0,"",IFERROR(INDEX(Consulta!$A:$DS,MATCH('MM01'!$B49,Consulta!$C:$C,0),'MM01'!G$2),""))</f>
        <v/>
      </c>
      <c r="H49" s="49" t="str">
        <f>IF(IFERROR(INDEX(Consulta!$A:$DS,MATCH('MM01'!$B49,Consulta!$C:$C,0),'MM01'!H$2),"")=0,"",IFERROR(INDEX(Consulta!$A:$DS,MATCH('MM01'!$B49,Consulta!$C:$C,0),'MM01'!H$2),""))</f>
        <v/>
      </c>
      <c r="I49" s="49" t="str">
        <f t="shared" si="7"/>
        <v/>
      </c>
      <c r="J49" s="49" t="str">
        <f>IF(IFERROR(INDEX(Consulta!$A:$DS,MATCH('MM01'!$B49,Consulta!$C:$C,0),'MM01'!J$2),"")=0,"",IFERROR(INDEX(Consulta!$A:$DS,MATCH('MM01'!$B49,Consulta!$C:$C,0),'MM01'!J$2),""))</f>
        <v/>
      </c>
      <c r="K49" s="49" t="str">
        <f t="shared" si="8"/>
        <v/>
      </c>
      <c r="M49" s="45" t="s">
        <v>101</v>
      </c>
      <c r="N49" s="45" t="s">
        <v>102</v>
      </c>
      <c r="O49" s="45" t="s">
        <v>103</v>
      </c>
      <c r="P49" s="45" t="s">
        <v>104</v>
      </c>
      <c r="Q49" s="45" t="s">
        <v>105</v>
      </c>
      <c r="R49" s="45" t="s">
        <v>106</v>
      </c>
      <c r="S49" s="45" t="s">
        <v>107</v>
      </c>
      <c r="T49" s="45"/>
      <c r="U49" s="45"/>
      <c r="V49" s="45"/>
      <c r="W49" s="45"/>
      <c r="X49" s="45" t="s">
        <v>112</v>
      </c>
      <c r="Y49" s="45" t="s">
        <v>113</v>
      </c>
      <c r="Z49" s="45" t="s">
        <v>114</v>
      </c>
      <c r="AA49" s="45" t="s">
        <v>115</v>
      </c>
      <c r="AB49" s="45" t="s">
        <v>117</v>
      </c>
      <c r="AC49" s="45" t="s">
        <v>118</v>
      </c>
      <c r="AD49" s="45" t="s">
        <v>119</v>
      </c>
      <c r="AE49" s="45" t="s">
        <v>120</v>
      </c>
      <c r="AF49" s="45" t="s">
        <v>121</v>
      </c>
      <c r="AG49" s="45" t="s">
        <v>122</v>
      </c>
      <c r="AH49" s="45" t="s">
        <v>123</v>
      </c>
      <c r="AI49" s="45" t="s">
        <v>124</v>
      </c>
      <c r="AJ49" s="45" t="s">
        <v>125</v>
      </c>
      <c r="AK49" s="45" t="s">
        <v>126</v>
      </c>
      <c r="AL49" s="45"/>
      <c r="AM49" s="45"/>
      <c r="AO49" s="44" t="s">
        <v>100</v>
      </c>
      <c r="AP49" s="43" t="str">
        <f>IF(IFERROR(INDEX(Consulta!$A:$DS,MATCH('MM01'!$B49,Consulta!$C:$C,0),'MM01'!AP$2),"")=0,"",IFERROR(INDEX(Consulta!$A:$DS,MATCH('MM01'!$B49,Consulta!$C:$C,0),'MM01'!AP$2),""))</f>
        <v/>
      </c>
      <c r="AQ49" s="45"/>
      <c r="AR49" s="43" t="str">
        <f>IF(IFERROR(INDEX(Consulta!$A:$DS,MATCH('MM01'!$B49,Consulta!$C:$C,0),'MM01'!AR$2),"")=0,"",IFERROR(INDEX(Consulta!$A:$DS,MATCH('MM01'!$B49,Consulta!$C:$C,0),'MM01'!AR$2),""))</f>
        <v/>
      </c>
      <c r="AS49" s="43" t="str">
        <f>IF(IFERROR(INDEX(Consulta!$A:$DS,MATCH('MM01'!$B49,Consulta!$C:$C,0),'MM01'!AS$2),"")=0,"",IF(AR49="68",5102,IFERROR(INDEX(Consulta!$A:$DS,MATCH('MM01'!$B49,Consulta!$C:$C,0),'MM01'!AS$2),"")))</f>
        <v/>
      </c>
      <c r="AT49" s="45"/>
      <c r="AU49" s="46" t="str">
        <f t="shared" ca="1" si="9"/>
        <v/>
      </c>
      <c r="AV49" s="47" t="s">
        <v>783</v>
      </c>
      <c r="AW49" s="43" t="str">
        <f>IF(IFERROR(INDEX(Consulta!$A:$DS,MATCH('MM01'!$B49,Consulta!$C:$C,0),'MM01'!AW$2),"")=0,"",IFERROR(ROUND(INDEX(Consulta!$A:$DS,MATCH('MM01'!$B49,Consulta!$C:$C,0),'MM01'!AW$2),3),""))</f>
        <v/>
      </c>
      <c r="AX49" s="43" t="str">
        <f t="shared" si="10"/>
        <v/>
      </c>
      <c r="AY49" s="48" t="s">
        <v>299</v>
      </c>
      <c r="AZ49" s="48"/>
      <c r="BA49" s="43" t="str">
        <f>IF(IFERROR(INDEX(Consulta!$A:$DS,MATCH('MM01'!$B49,Consulta!$C:$C,0),'MM01'!BA$2),"")=0,"",IFERROR(INDEX(Consulta!$A:$DS,MATCH('MM01'!$B49,Consulta!$C:$C,0),'MM01'!BA$2),""))</f>
        <v/>
      </c>
      <c r="BB49" s="43" t="str">
        <f t="shared" si="11"/>
        <v/>
      </c>
      <c r="BC49" s="43" t="str">
        <f t="shared" si="12"/>
        <v/>
      </c>
      <c r="BD49" s="43" t="str">
        <f t="shared" si="13"/>
        <v/>
      </c>
      <c r="BE49" s="43" t="str">
        <f t="shared" si="14"/>
        <v>M</v>
      </c>
      <c r="BF49" s="43" t="str">
        <f t="shared" si="15"/>
        <v/>
      </c>
      <c r="BG49" s="43" t="str">
        <f t="shared" si="16"/>
        <v/>
      </c>
      <c r="BH49" s="43" t="str">
        <f t="shared" si="17"/>
        <v/>
      </c>
      <c r="BI49" s="43" t="str">
        <f t="shared" si="18"/>
        <v>M</v>
      </c>
      <c r="BK49" s="45" t="s">
        <v>789</v>
      </c>
      <c r="BL49" s="43" t="str">
        <f>IF(IFERROR(INDEX(Consulta!$A:$DS,MATCH('MM01'!$B49,Consulta!$C:$C,0),'MM01'!BL$2),"")=0,"",IFERROR(INDEX(Consulta!$A:$DS,MATCH('MM01'!$B49,Consulta!$C:$C,0),'MM01'!BL$2),""))</f>
        <v/>
      </c>
      <c r="BM49" s="45"/>
      <c r="BN49" s="46" t="str">
        <f t="shared" ca="1" si="19"/>
        <v/>
      </c>
      <c r="BO49" s="49" t="str">
        <f t="shared" si="20"/>
        <v/>
      </c>
      <c r="BP49" s="50">
        <v>1</v>
      </c>
      <c r="BQ49" s="50" t="s">
        <v>194</v>
      </c>
      <c r="BR49" s="50" t="s">
        <v>194</v>
      </c>
      <c r="BS49" s="50" t="s">
        <v>783</v>
      </c>
      <c r="BT49" s="44">
        <v>1</v>
      </c>
      <c r="BU49" s="44" t="s">
        <v>372</v>
      </c>
      <c r="BV49" s="50" t="s">
        <v>197</v>
      </c>
      <c r="BW49" s="50" t="s">
        <v>197</v>
      </c>
      <c r="BX49" s="43" t="str">
        <f>IF(IFERROR(INDEX(Consulta!$A:$DS,MATCH('MM01'!$B49,Consulta!$C:$C,0),'MM01'!BX$2),"")=0,"",IFERROR(INDEX(Consulta!$A:$DS,MATCH('MM01'!$B49,Consulta!$C:$C,0),'MM01'!BX$2),""))</f>
        <v/>
      </c>
      <c r="BY49" s="44" t="s">
        <v>392</v>
      </c>
      <c r="BZ49" s="50">
        <v>0</v>
      </c>
      <c r="CA49" s="45" t="s">
        <v>403</v>
      </c>
      <c r="CB49" s="45" t="s">
        <v>84</v>
      </c>
      <c r="CC49" s="43" t="str">
        <f t="shared" si="21"/>
        <v/>
      </c>
      <c r="CD49" s="45" t="s">
        <v>430</v>
      </c>
      <c r="CE49" s="45">
        <v>1</v>
      </c>
      <c r="CF49" s="45" t="s">
        <v>496</v>
      </c>
      <c r="CG49" s="45"/>
      <c r="CH49" s="44"/>
      <c r="CI49" s="49" t="str">
        <f t="shared" si="22"/>
        <v/>
      </c>
      <c r="CJ49" s="49" t="str">
        <f t="shared" si="23"/>
        <v/>
      </c>
      <c r="CK49" s="45"/>
      <c r="CL49" s="44">
        <v>5</v>
      </c>
      <c r="CM49" s="44">
        <v>1</v>
      </c>
      <c r="CN49" s="44">
        <v>1</v>
      </c>
      <c r="CO49" s="44">
        <v>1</v>
      </c>
      <c r="CP49" s="50" t="s">
        <v>515</v>
      </c>
      <c r="CQ49" s="44" t="s">
        <v>372</v>
      </c>
      <c r="CR49" s="44">
        <v>2</v>
      </c>
      <c r="CS49" s="44">
        <v>42</v>
      </c>
      <c r="CT49" s="44">
        <v>10</v>
      </c>
      <c r="CU49" s="43" t="str">
        <f t="shared" si="24"/>
        <v>K00_P_PURL_</v>
      </c>
      <c r="CV49" s="45">
        <v>5000</v>
      </c>
      <c r="CW49" s="43" t="str">
        <f t="shared" si="39"/>
        <v/>
      </c>
      <c r="CX49" s="43" t="str">
        <f t="shared" si="40"/>
        <v/>
      </c>
      <c r="CY49" s="43" t="str">
        <f>IF(IFERROR(INDEX(Consulta!$A:$DS,MATCH('MM01'!$B49,Consulta!$C:$C,0),'MM01'!CY$2),"")=0,"",IFERROR(INDEX(Consulta!$A:$DS,MATCH('MM01'!$B49,Consulta!$C:$C,0),'MM01'!CY$2),""))</f>
        <v/>
      </c>
      <c r="CZ49" s="43" t="str">
        <f t="shared" si="41"/>
        <v/>
      </c>
      <c r="DA49" s="43" t="str">
        <f>IF(IFERROR(INDEX(Consulta!$A:$DS,MATCH('MM01'!$B49,Consulta!$C:$C,0),'MM01'!DA$2),"")=0,"",IFERROR(INDEX(Consulta!$A:$DS,MATCH('MM01'!$B49,Consulta!$C:$C,0),'MM01'!DA$2),""))</f>
        <v/>
      </c>
      <c r="DB49" s="43" t="str">
        <f>IF(IFERROR(INDEX(Consulta!$A:$DS,MATCH('MM01'!$B49,Consulta!$C:$C,0),'MM01'!DB$2),"")=0,"",IFERROR(INDEX(Consulta!$A:$DS,MATCH('MM01'!$B49,Consulta!$C:$C,0),'MM01'!DB$2),""))</f>
        <v/>
      </c>
      <c r="DC49" s="43" t="str">
        <f>IF(IFERROR(INDEX(Consulta!$A:$DS,MATCH('MM01'!$B49,Consulta!$C:$C,0),'MM01'!DC$2),"")=0,"",IFERROR(INDEX(Consulta!$A:$DS,MATCH('MM01'!$B49,Consulta!$C:$C,0),'MM01'!DC$2),""))</f>
        <v/>
      </c>
      <c r="DD49" s="43" t="str">
        <f>IF(IFERROR(INDEX(Consulta!$A:$DS,MATCH('MM01'!$B49,Consulta!$C:$C,0),'MM01'!DD$2),"")=0,"",IFERROR(INDEX(Consulta!$A:$DS,MATCH('MM01'!$B49,Consulta!$C:$C,0),'MM01'!DD$2),""))</f>
        <v/>
      </c>
      <c r="DE49" s="43" t="str">
        <f>IF(IFERROR(INDEX(Consulta!$A:$DS,MATCH('MM01'!$B49,Consulta!$C:$C,0),'MM01'!DE$2),"")=0,"",IFERROR(INDEX(Consulta!$A:$DS,MATCH('MM01'!$B49,Consulta!$C:$C,0),'MM01'!DE$2),""))</f>
        <v/>
      </c>
      <c r="DF49" s="100">
        <v>3458</v>
      </c>
      <c r="DG49" s="45">
        <v>0</v>
      </c>
      <c r="DH49" s="45">
        <v>0</v>
      </c>
      <c r="DI49" s="43" t="str">
        <f t="shared" si="42"/>
        <v/>
      </c>
      <c r="DJ49" s="43" t="str">
        <f t="shared" si="25"/>
        <v/>
      </c>
      <c r="DK49" s="57"/>
      <c r="DL49" s="43" t="str">
        <f t="shared" ca="1" si="26"/>
        <v/>
      </c>
      <c r="DM49" s="43" t="str">
        <f t="shared" si="27"/>
        <v/>
      </c>
      <c r="DN49" s="43" t="str">
        <f t="shared" si="28"/>
        <v/>
      </c>
      <c r="DO49" s="57"/>
      <c r="DP49" s="43" t="str">
        <f t="shared" ca="1" si="29"/>
        <v/>
      </c>
      <c r="DQ49" s="43" t="str">
        <f t="shared" si="30"/>
        <v/>
      </c>
      <c r="DR49" s="43" t="str">
        <f t="shared" si="31"/>
        <v/>
      </c>
      <c r="DS49" s="57"/>
      <c r="DT49" s="43" t="str">
        <f t="shared" ca="1" si="32"/>
        <v/>
      </c>
      <c r="DU49" s="43" t="str">
        <f t="shared" si="33"/>
        <v/>
      </c>
      <c r="DV49" s="43" t="str">
        <f t="shared" si="34"/>
        <v/>
      </c>
      <c r="DW49" s="57"/>
      <c r="DX49" s="43" t="str">
        <f t="shared" ca="1" si="35"/>
        <v/>
      </c>
      <c r="DY49" s="43" t="str">
        <f t="shared" si="36"/>
        <v/>
      </c>
      <c r="EA49" s="44">
        <v>0</v>
      </c>
      <c r="EB49" s="44" t="s">
        <v>761</v>
      </c>
      <c r="EC49" s="44">
        <v>30</v>
      </c>
      <c r="ED49" s="43">
        <f t="shared" si="43"/>
        <v>0.01</v>
      </c>
      <c r="EE49" s="43" t="str">
        <f t="shared" si="44"/>
        <v>M</v>
      </c>
      <c r="EF49" s="43" t="str">
        <f>IF(IFERROR(INDEX(Consulta!$A:$DS,MATCH('MM01'!$B49,Consulta!$C:$C,0),'MM01'!EF$2),"")=0,"7925",IF(IFERROR(INDEX(Consulta!$A:$DS,MATCH('MM01'!$B49,Consulta!$C:$C,0),'MM01'!EF$2),"")="68","7910","7925"))</f>
        <v>7925</v>
      </c>
      <c r="EG49" s="44">
        <v>100</v>
      </c>
      <c r="EH49" s="62">
        <v>1</v>
      </c>
      <c r="EI49" s="43">
        <f t="shared" si="37"/>
        <v>100</v>
      </c>
      <c r="EJ49" s="44">
        <v>1</v>
      </c>
      <c r="EK49" s="44">
        <v>0</v>
      </c>
      <c r="EL49" s="44" t="s">
        <v>859</v>
      </c>
      <c r="EM49" s="45">
        <v>0</v>
      </c>
      <c r="EN49" s="43">
        <f t="shared" si="38"/>
        <v>5000</v>
      </c>
      <c r="EO49" s="69"/>
    </row>
    <row r="50" spans="1:145" x14ac:dyDescent="0.2">
      <c r="A50" s="7" t="str">
        <f t="shared" si="6"/>
        <v>Execução 46</v>
      </c>
      <c r="B50" s="42"/>
      <c r="C50" s="43" t="str">
        <f>IF(IFERROR(INDEX(Consulta!$A:$DS,MATCH('MM01'!$B50,Consulta!$C:$C,0),'MM01'!C$2),"")=0,"",IFERROR(INDEX(Consulta!$A:$DS,MATCH('MM01'!$B50,Consulta!$C:$C,0),'MM01'!C$2),""))</f>
        <v/>
      </c>
      <c r="D50" s="43" t="str">
        <f>IF(IFERROR(INDEX(Consulta!$A:$DS,MATCH('MM01'!$B50,Consulta!$C:$C,0),'MM01'!D$2),"")=0,"",IFERROR(INDEX(Consulta!$A:$DS,MATCH('MM01'!$B50,Consulta!$C:$C,0),'MM01'!D$2),""))</f>
        <v/>
      </c>
      <c r="E50" s="43" t="str">
        <f>IF(IFERROR(INDEX(Consulta!$A:$DS,MATCH('MM01'!$B50,Consulta!$C:$C,0),'MM01'!E$2),"")=0,"",IFERROR(INDEX(Consulta!$A:$DS,MATCH('MM01'!$B50,Consulta!$C:$C,0),'MM01'!E$2),""))</f>
        <v/>
      </c>
      <c r="F50" s="44" t="s">
        <v>100</v>
      </c>
      <c r="G50" s="49" t="str">
        <f>IF(IFERROR(INDEX(Consulta!$A:$DS,MATCH('MM01'!$B50,Consulta!$C:$C,0),'MM01'!G$2),"")=0,"",IFERROR(INDEX(Consulta!$A:$DS,MATCH('MM01'!$B50,Consulta!$C:$C,0),'MM01'!G$2),""))</f>
        <v/>
      </c>
      <c r="H50" s="49" t="str">
        <f>IF(IFERROR(INDEX(Consulta!$A:$DS,MATCH('MM01'!$B50,Consulta!$C:$C,0),'MM01'!H$2),"")=0,"",IFERROR(INDEX(Consulta!$A:$DS,MATCH('MM01'!$B50,Consulta!$C:$C,0),'MM01'!H$2),""))</f>
        <v/>
      </c>
      <c r="I50" s="49" t="str">
        <f t="shared" si="7"/>
        <v/>
      </c>
      <c r="J50" s="49" t="str">
        <f>IF(IFERROR(INDEX(Consulta!$A:$DS,MATCH('MM01'!$B50,Consulta!$C:$C,0),'MM01'!J$2),"")=0,"",IFERROR(INDEX(Consulta!$A:$DS,MATCH('MM01'!$B50,Consulta!$C:$C,0),'MM01'!J$2),""))</f>
        <v/>
      </c>
      <c r="K50" s="49" t="str">
        <f t="shared" si="8"/>
        <v/>
      </c>
      <c r="M50" s="45" t="s">
        <v>101</v>
      </c>
      <c r="N50" s="45" t="s">
        <v>102</v>
      </c>
      <c r="O50" s="45" t="s">
        <v>103</v>
      </c>
      <c r="P50" s="45" t="s">
        <v>104</v>
      </c>
      <c r="Q50" s="45" t="s">
        <v>105</v>
      </c>
      <c r="R50" s="45" t="s">
        <v>106</v>
      </c>
      <c r="S50" s="45" t="s">
        <v>107</v>
      </c>
      <c r="T50" s="45"/>
      <c r="U50" s="45"/>
      <c r="V50" s="45"/>
      <c r="W50" s="45"/>
      <c r="X50" s="45" t="s">
        <v>112</v>
      </c>
      <c r="Y50" s="45" t="s">
        <v>113</v>
      </c>
      <c r="Z50" s="45" t="s">
        <v>114</v>
      </c>
      <c r="AA50" s="45" t="s">
        <v>115</v>
      </c>
      <c r="AB50" s="45" t="s">
        <v>117</v>
      </c>
      <c r="AC50" s="45" t="s">
        <v>118</v>
      </c>
      <c r="AD50" s="45" t="s">
        <v>119</v>
      </c>
      <c r="AE50" s="45" t="s">
        <v>120</v>
      </c>
      <c r="AF50" s="45" t="s">
        <v>121</v>
      </c>
      <c r="AG50" s="45" t="s">
        <v>122</v>
      </c>
      <c r="AH50" s="45" t="s">
        <v>123</v>
      </c>
      <c r="AI50" s="45" t="s">
        <v>124</v>
      </c>
      <c r="AJ50" s="45" t="s">
        <v>125</v>
      </c>
      <c r="AK50" s="45" t="s">
        <v>126</v>
      </c>
      <c r="AL50" s="45"/>
      <c r="AM50" s="45"/>
      <c r="AO50" s="44" t="s">
        <v>100</v>
      </c>
      <c r="AP50" s="43" t="str">
        <f>IF(IFERROR(INDEX(Consulta!$A:$DS,MATCH('MM01'!$B50,Consulta!$C:$C,0),'MM01'!AP$2),"")=0,"",IFERROR(INDEX(Consulta!$A:$DS,MATCH('MM01'!$B50,Consulta!$C:$C,0),'MM01'!AP$2),""))</f>
        <v/>
      </c>
      <c r="AQ50" s="45"/>
      <c r="AR50" s="43" t="str">
        <f>IF(IFERROR(INDEX(Consulta!$A:$DS,MATCH('MM01'!$B50,Consulta!$C:$C,0),'MM01'!AR$2),"")=0,"",IFERROR(INDEX(Consulta!$A:$DS,MATCH('MM01'!$B50,Consulta!$C:$C,0),'MM01'!AR$2),""))</f>
        <v/>
      </c>
      <c r="AS50" s="43" t="str">
        <f>IF(IFERROR(INDEX(Consulta!$A:$DS,MATCH('MM01'!$B50,Consulta!$C:$C,0),'MM01'!AS$2),"")=0,"",IF(AR50="68",5102,IFERROR(INDEX(Consulta!$A:$DS,MATCH('MM01'!$B50,Consulta!$C:$C,0),'MM01'!AS$2),"")))</f>
        <v/>
      </c>
      <c r="AT50" s="45"/>
      <c r="AU50" s="46" t="str">
        <f t="shared" ca="1" si="9"/>
        <v/>
      </c>
      <c r="AV50" s="47" t="s">
        <v>783</v>
      </c>
      <c r="AW50" s="43" t="str">
        <f>IF(IFERROR(INDEX(Consulta!$A:$DS,MATCH('MM01'!$B50,Consulta!$C:$C,0),'MM01'!AW$2),"")=0,"",IFERROR(ROUND(INDEX(Consulta!$A:$DS,MATCH('MM01'!$B50,Consulta!$C:$C,0),'MM01'!AW$2),3),""))</f>
        <v/>
      </c>
      <c r="AX50" s="43" t="str">
        <f t="shared" si="10"/>
        <v/>
      </c>
      <c r="AY50" s="48" t="s">
        <v>299</v>
      </c>
      <c r="AZ50" s="48"/>
      <c r="BA50" s="43" t="str">
        <f>IF(IFERROR(INDEX(Consulta!$A:$DS,MATCH('MM01'!$B50,Consulta!$C:$C,0),'MM01'!BA$2),"")=0,"",IFERROR(INDEX(Consulta!$A:$DS,MATCH('MM01'!$B50,Consulta!$C:$C,0),'MM01'!BA$2),""))</f>
        <v/>
      </c>
      <c r="BB50" s="43" t="str">
        <f t="shared" si="11"/>
        <v/>
      </c>
      <c r="BC50" s="43" t="str">
        <f t="shared" si="12"/>
        <v/>
      </c>
      <c r="BD50" s="43" t="str">
        <f t="shared" si="13"/>
        <v/>
      </c>
      <c r="BE50" s="43" t="str">
        <f t="shared" si="14"/>
        <v>M</v>
      </c>
      <c r="BF50" s="43" t="str">
        <f t="shared" si="15"/>
        <v/>
      </c>
      <c r="BG50" s="43" t="str">
        <f t="shared" si="16"/>
        <v/>
      </c>
      <c r="BH50" s="43" t="str">
        <f t="shared" si="17"/>
        <v/>
      </c>
      <c r="BI50" s="43" t="str">
        <f t="shared" si="18"/>
        <v>M</v>
      </c>
      <c r="BK50" s="45" t="s">
        <v>789</v>
      </c>
      <c r="BL50" s="43" t="str">
        <f>IF(IFERROR(INDEX(Consulta!$A:$DS,MATCH('MM01'!$B50,Consulta!$C:$C,0),'MM01'!BL$2),"")=0,"",IFERROR(INDEX(Consulta!$A:$DS,MATCH('MM01'!$B50,Consulta!$C:$C,0),'MM01'!BL$2),""))</f>
        <v/>
      </c>
      <c r="BM50" s="45"/>
      <c r="BN50" s="46" t="str">
        <f t="shared" ca="1" si="19"/>
        <v/>
      </c>
      <c r="BO50" s="49" t="str">
        <f t="shared" si="20"/>
        <v/>
      </c>
      <c r="BP50" s="50">
        <v>1</v>
      </c>
      <c r="BQ50" s="50" t="s">
        <v>194</v>
      </c>
      <c r="BR50" s="50" t="s">
        <v>194</v>
      </c>
      <c r="BS50" s="50" t="s">
        <v>783</v>
      </c>
      <c r="BT50" s="44">
        <v>1</v>
      </c>
      <c r="BU50" s="44" t="s">
        <v>372</v>
      </c>
      <c r="BV50" s="50" t="s">
        <v>197</v>
      </c>
      <c r="BW50" s="50" t="s">
        <v>197</v>
      </c>
      <c r="BX50" s="43" t="str">
        <f>IF(IFERROR(INDEX(Consulta!$A:$DS,MATCH('MM01'!$B50,Consulta!$C:$C,0),'MM01'!BX$2),"")=0,"",IFERROR(INDEX(Consulta!$A:$DS,MATCH('MM01'!$B50,Consulta!$C:$C,0),'MM01'!BX$2),""))</f>
        <v/>
      </c>
      <c r="BY50" s="44" t="s">
        <v>392</v>
      </c>
      <c r="BZ50" s="50">
        <v>0</v>
      </c>
      <c r="CA50" s="45" t="s">
        <v>403</v>
      </c>
      <c r="CB50" s="45" t="s">
        <v>84</v>
      </c>
      <c r="CC50" s="43" t="str">
        <f t="shared" si="21"/>
        <v/>
      </c>
      <c r="CD50" s="45" t="s">
        <v>430</v>
      </c>
      <c r="CE50" s="45">
        <v>1</v>
      </c>
      <c r="CF50" s="45" t="s">
        <v>496</v>
      </c>
      <c r="CG50" s="45"/>
      <c r="CH50" s="44"/>
      <c r="CI50" s="49" t="str">
        <f t="shared" si="22"/>
        <v/>
      </c>
      <c r="CJ50" s="49" t="str">
        <f t="shared" si="23"/>
        <v/>
      </c>
      <c r="CK50" s="45"/>
      <c r="CL50" s="44">
        <v>5</v>
      </c>
      <c r="CM50" s="44">
        <v>1</v>
      </c>
      <c r="CN50" s="44">
        <v>1</v>
      </c>
      <c r="CO50" s="44">
        <v>1</v>
      </c>
      <c r="CP50" s="50" t="s">
        <v>515</v>
      </c>
      <c r="CQ50" s="44" t="s">
        <v>372</v>
      </c>
      <c r="CR50" s="44">
        <v>2</v>
      </c>
      <c r="CS50" s="44">
        <v>42</v>
      </c>
      <c r="CT50" s="44">
        <v>10</v>
      </c>
      <c r="CU50" s="43" t="str">
        <f t="shared" si="24"/>
        <v>K00_P_PURL_</v>
      </c>
      <c r="CV50" s="45">
        <v>5000</v>
      </c>
      <c r="CW50" s="43" t="str">
        <f t="shared" si="39"/>
        <v/>
      </c>
      <c r="CX50" s="43" t="str">
        <f t="shared" si="40"/>
        <v/>
      </c>
      <c r="CY50" s="43" t="str">
        <f>IF(IFERROR(INDEX(Consulta!$A:$DS,MATCH('MM01'!$B50,Consulta!$C:$C,0),'MM01'!CY$2),"")=0,"",IFERROR(INDEX(Consulta!$A:$DS,MATCH('MM01'!$B50,Consulta!$C:$C,0),'MM01'!CY$2),""))</f>
        <v/>
      </c>
      <c r="CZ50" s="43" t="str">
        <f t="shared" si="41"/>
        <v/>
      </c>
      <c r="DA50" s="43" t="str">
        <f>IF(IFERROR(INDEX(Consulta!$A:$DS,MATCH('MM01'!$B50,Consulta!$C:$C,0),'MM01'!DA$2),"")=0,"",IFERROR(INDEX(Consulta!$A:$DS,MATCH('MM01'!$B50,Consulta!$C:$C,0),'MM01'!DA$2),""))</f>
        <v/>
      </c>
      <c r="DB50" s="43" t="str">
        <f>IF(IFERROR(INDEX(Consulta!$A:$DS,MATCH('MM01'!$B50,Consulta!$C:$C,0),'MM01'!DB$2),"")=0,"",IFERROR(INDEX(Consulta!$A:$DS,MATCH('MM01'!$B50,Consulta!$C:$C,0),'MM01'!DB$2),""))</f>
        <v/>
      </c>
      <c r="DC50" s="43" t="str">
        <f>IF(IFERROR(INDEX(Consulta!$A:$DS,MATCH('MM01'!$B50,Consulta!$C:$C,0),'MM01'!DC$2),"")=0,"",IFERROR(INDEX(Consulta!$A:$DS,MATCH('MM01'!$B50,Consulta!$C:$C,0),'MM01'!DC$2),""))</f>
        <v/>
      </c>
      <c r="DD50" s="43" t="str">
        <f>IF(IFERROR(INDEX(Consulta!$A:$DS,MATCH('MM01'!$B50,Consulta!$C:$C,0),'MM01'!DD$2),"")=0,"",IFERROR(INDEX(Consulta!$A:$DS,MATCH('MM01'!$B50,Consulta!$C:$C,0),'MM01'!DD$2),""))</f>
        <v/>
      </c>
      <c r="DE50" s="43" t="str">
        <f>IF(IFERROR(INDEX(Consulta!$A:$DS,MATCH('MM01'!$B50,Consulta!$C:$C,0),'MM01'!DE$2),"")=0,"",IFERROR(INDEX(Consulta!$A:$DS,MATCH('MM01'!$B50,Consulta!$C:$C,0),'MM01'!DE$2),""))</f>
        <v/>
      </c>
      <c r="DF50" s="100">
        <v>3458</v>
      </c>
      <c r="DG50" s="45">
        <v>0</v>
      </c>
      <c r="DH50" s="45">
        <v>0</v>
      </c>
      <c r="DI50" s="43" t="str">
        <f t="shared" si="42"/>
        <v/>
      </c>
      <c r="DJ50" s="43" t="str">
        <f t="shared" si="25"/>
        <v/>
      </c>
      <c r="DK50" s="57"/>
      <c r="DL50" s="43" t="str">
        <f t="shared" ca="1" si="26"/>
        <v/>
      </c>
      <c r="DM50" s="43" t="str">
        <f t="shared" si="27"/>
        <v/>
      </c>
      <c r="DN50" s="43" t="str">
        <f t="shared" si="28"/>
        <v/>
      </c>
      <c r="DO50" s="57"/>
      <c r="DP50" s="43" t="str">
        <f t="shared" ca="1" si="29"/>
        <v/>
      </c>
      <c r="DQ50" s="43" t="str">
        <f t="shared" si="30"/>
        <v/>
      </c>
      <c r="DR50" s="43" t="str">
        <f t="shared" si="31"/>
        <v/>
      </c>
      <c r="DS50" s="57"/>
      <c r="DT50" s="43" t="str">
        <f t="shared" ca="1" si="32"/>
        <v/>
      </c>
      <c r="DU50" s="43" t="str">
        <f t="shared" si="33"/>
        <v/>
      </c>
      <c r="DV50" s="43" t="str">
        <f t="shared" si="34"/>
        <v/>
      </c>
      <c r="DW50" s="57"/>
      <c r="DX50" s="43" t="str">
        <f t="shared" ca="1" si="35"/>
        <v/>
      </c>
      <c r="DY50" s="43" t="str">
        <f t="shared" si="36"/>
        <v/>
      </c>
      <c r="EA50" s="44">
        <v>0</v>
      </c>
      <c r="EB50" s="44" t="s">
        <v>761</v>
      </c>
      <c r="EC50" s="44">
        <v>30</v>
      </c>
      <c r="ED50" s="43">
        <f t="shared" si="43"/>
        <v>0.01</v>
      </c>
      <c r="EE50" s="43" t="str">
        <f t="shared" si="44"/>
        <v>M</v>
      </c>
      <c r="EF50" s="43" t="str">
        <f>IF(IFERROR(INDEX(Consulta!$A:$DS,MATCH('MM01'!$B50,Consulta!$C:$C,0),'MM01'!EF$2),"")=0,"7925",IF(IFERROR(INDEX(Consulta!$A:$DS,MATCH('MM01'!$B50,Consulta!$C:$C,0),'MM01'!EF$2),"")="68","7910","7925"))</f>
        <v>7925</v>
      </c>
      <c r="EG50" s="44">
        <v>100</v>
      </c>
      <c r="EH50" s="62">
        <v>1</v>
      </c>
      <c r="EI50" s="43">
        <f t="shared" si="37"/>
        <v>100</v>
      </c>
      <c r="EJ50" s="44">
        <v>1</v>
      </c>
      <c r="EK50" s="44">
        <v>0</v>
      </c>
      <c r="EL50" s="44" t="s">
        <v>859</v>
      </c>
      <c r="EM50" s="45">
        <v>0</v>
      </c>
      <c r="EN50" s="43">
        <f t="shared" si="38"/>
        <v>5000</v>
      </c>
      <c r="EO50" s="69"/>
    </row>
    <row r="51" spans="1:145" x14ac:dyDescent="0.2">
      <c r="A51" s="7" t="str">
        <f t="shared" si="6"/>
        <v>Execução 47</v>
      </c>
      <c r="B51" s="42"/>
      <c r="C51" s="43" t="str">
        <f>IF(IFERROR(INDEX(Consulta!$A:$DS,MATCH('MM01'!$B51,Consulta!$C:$C,0),'MM01'!C$2),"")=0,"",IFERROR(INDEX(Consulta!$A:$DS,MATCH('MM01'!$B51,Consulta!$C:$C,0),'MM01'!C$2),""))</f>
        <v/>
      </c>
      <c r="D51" s="43" t="str">
        <f>IF(IFERROR(INDEX(Consulta!$A:$DS,MATCH('MM01'!$B51,Consulta!$C:$C,0),'MM01'!D$2),"")=0,"",IFERROR(INDEX(Consulta!$A:$DS,MATCH('MM01'!$B51,Consulta!$C:$C,0),'MM01'!D$2),""))</f>
        <v/>
      </c>
      <c r="E51" s="43" t="str">
        <f>IF(IFERROR(INDEX(Consulta!$A:$DS,MATCH('MM01'!$B51,Consulta!$C:$C,0),'MM01'!E$2),"")=0,"",IFERROR(INDEX(Consulta!$A:$DS,MATCH('MM01'!$B51,Consulta!$C:$C,0),'MM01'!E$2),""))</f>
        <v/>
      </c>
      <c r="F51" s="44" t="s">
        <v>100</v>
      </c>
      <c r="G51" s="49" t="str">
        <f>IF(IFERROR(INDEX(Consulta!$A:$DS,MATCH('MM01'!$B51,Consulta!$C:$C,0),'MM01'!G$2),"")=0,"",IFERROR(INDEX(Consulta!$A:$DS,MATCH('MM01'!$B51,Consulta!$C:$C,0),'MM01'!G$2),""))</f>
        <v/>
      </c>
      <c r="H51" s="49" t="str">
        <f>IF(IFERROR(INDEX(Consulta!$A:$DS,MATCH('MM01'!$B51,Consulta!$C:$C,0),'MM01'!H$2),"")=0,"",IFERROR(INDEX(Consulta!$A:$DS,MATCH('MM01'!$B51,Consulta!$C:$C,0),'MM01'!H$2),""))</f>
        <v/>
      </c>
      <c r="I51" s="49" t="str">
        <f t="shared" si="7"/>
        <v/>
      </c>
      <c r="J51" s="49" t="str">
        <f>IF(IFERROR(INDEX(Consulta!$A:$DS,MATCH('MM01'!$B51,Consulta!$C:$C,0),'MM01'!J$2),"")=0,"",IFERROR(INDEX(Consulta!$A:$DS,MATCH('MM01'!$B51,Consulta!$C:$C,0),'MM01'!J$2),""))</f>
        <v/>
      </c>
      <c r="K51" s="49" t="str">
        <f t="shared" si="8"/>
        <v/>
      </c>
      <c r="M51" s="45" t="s">
        <v>101</v>
      </c>
      <c r="N51" s="45" t="s">
        <v>102</v>
      </c>
      <c r="O51" s="45" t="s">
        <v>103</v>
      </c>
      <c r="P51" s="45" t="s">
        <v>104</v>
      </c>
      <c r="Q51" s="45" t="s">
        <v>105</v>
      </c>
      <c r="R51" s="45" t="s">
        <v>106</v>
      </c>
      <c r="S51" s="45" t="s">
        <v>107</v>
      </c>
      <c r="T51" s="45"/>
      <c r="U51" s="45"/>
      <c r="V51" s="45"/>
      <c r="W51" s="45"/>
      <c r="X51" s="45" t="s">
        <v>112</v>
      </c>
      <c r="Y51" s="45" t="s">
        <v>113</v>
      </c>
      <c r="Z51" s="45" t="s">
        <v>114</v>
      </c>
      <c r="AA51" s="45" t="s">
        <v>115</v>
      </c>
      <c r="AB51" s="45" t="s">
        <v>117</v>
      </c>
      <c r="AC51" s="45" t="s">
        <v>118</v>
      </c>
      <c r="AD51" s="45" t="s">
        <v>119</v>
      </c>
      <c r="AE51" s="45" t="s">
        <v>120</v>
      </c>
      <c r="AF51" s="45" t="s">
        <v>121</v>
      </c>
      <c r="AG51" s="45" t="s">
        <v>122</v>
      </c>
      <c r="AH51" s="45" t="s">
        <v>123</v>
      </c>
      <c r="AI51" s="45" t="s">
        <v>124</v>
      </c>
      <c r="AJ51" s="45" t="s">
        <v>125</v>
      </c>
      <c r="AK51" s="45" t="s">
        <v>126</v>
      </c>
      <c r="AL51" s="45"/>
      <c r="AM51" s="45"/>
      <c r="AO51" s="44" t="s">
        <v>100</v>
      </c>
      <c r="AP51" s="43" t="str">
        <f>IF(IFERROR(INDEX(Consulta!$A:$DS,MATCH('MM01'!$B51,Consulta!$C:$C,0),'MM01'!AP$2),"")=0,"",IFERROR(INDEX(Consulta!$A:$DS,MATCH('MM01'!$B51,Consulta!$C:$C,0),'MM01'!AP$2),""))</f>
        <v/>
      </c>
      <c r="AQ51" s="45"/>
      <c r="AR51" s="43" t="str">
        <f>IF(IFERROR(INDEX(Consulta!$A:$DS,MATCH('MM01'!$B51,Consulta!$C:$C,0),'MM01'!AR$2),"")=0,"",IFERROR(INDEX(Consulta!$A:$DS,MATCH('MM01'!$B51,Consulta!$C:$C,0),'MM01'!AR$2),""))</f>
        <v/>
      </c>
      <c r="AS51" s="43" t="str">
        <f>IF(IFERROR(INDEX(Consulta!$A:$DS,MATCH('MM01'!$B51,Consulta!$C:$C,0),'MM01'!AS$2),"")=0,"",IF(AR51="68",5102,IFERROR(INDEX(Consulta!$A:$DS,MATCH('MM01'!$B51,Consulta!$C:$C,0),'MM01'!AS$2),"")))</f>
        <v/>
      </c>
      <c r="AT51" s="45"/>
      <c r="AU51" s="46" t="str">
        <f t="shared" ca="1" si="9"/>
        <v/>
      </c>
      <c r="AV51" s="47" t="s">
        <v>783</v>
      </c>
      <c r="AW51" s="43" t="str">
        <f>IF(IFERROR(INDEX(Consulta!$A:$DS,MATCH('MM01'!$B51,Consulta!$C:$C,0),'MM01'!AW$2),"")=0,"",IFERROR(ROUND(INDEX(Consulta!$A:$DS,MATCH('MM01'!$B51,Consulta!$C:$C,0),'MM01'!AW$2),3),""))</f>
        <v/>
      </c>
      <c r="AX51" s="43" t="str">
        <f t="shared" si="10"/>
        <v/>
      </c>
      <c r="AY51" s="48" t="s">
        <v>299</v>
      </c>
      <c r="AZ51" s="48"/>
      <c r="BA51" s="43" t="str">
        <f>IF(IFERROR(INDEX(Consulta!$A:$DS,MATCH('MM01'!$B51,Consulta!$C:$C,0),'MM01'!BA$2),"")=0,"",IFERROR(INDEX(Consulta!$A:$DS,MATCH('MM01'!$B51,Consulta!$C:$C,0),'MM01'!BA$2),""))</f>
        <v/>
      </c>
      <c r="BB51" s="43" t="str">
        <f t="shared" si="11"/>
        <v/>
      </c>
      <c r="BC51" s="43" t="str">
        <f t="shared" si="12"/>
        <v/>
      </c>
      <c r="BD51" s="43" t="str">
        <f t="shared" si="13"/>
        <v/>
      </c>
      <c r="BE51" s="43" t="str">
        <f t="shared" si="14"/>
        <v>M</v>
      </c>
      <c r="BF51" s="43" t="str">
        <f t="shared" si="15"/>
        <v/>
      </c>
      <c r="BG51" s="43" t="str">
        <f t="shared" si="16"/>
        <v/>
      </c>
      <c r="BH51" s="43" t="str">
        <f t="shared" si="17"/>
        <v/>
      </c>
      <c r="BI51" s="43" t="str">
        <f t="shared" si="18"/>
        <v>M</v>
      </c>
      <c r="BK51" s="45" t="s">
        <v>789</v>
      </c>
      <c r="BL51" s="43" t="str">
        <f>IF(IFERROR(INDEX(Consulta!$A:$DS,MATCH('MM01'!$B51,Consulta!$C:$C,0),'MM01'!BL$2),"")=0,"",IFERROR(INDEX(Consulta!$A:$DS,MATCH('MM01'!$B51,Consulta!$C:$C,0),'MM01'!BL$2),""))</f>
        <v/>
      </c>
      <c r="BM51" s="45"/>
      <c r="BN51" s="46" t="str">
        <f t="shared" ca="1" si="19"/>
        <v/>
      </c>
      <c r="BO51" s="49" t="str">
        <f t="shared" si="20"/>
        <v/>
      </c>
      <c r="BP51" s="50">
        <v>1</v>
      </c>
      <c r="BQ51" s="50" t="s">
        <v>194</v>
      </c>
      <c r="BR51" s="50" t="s">
        <v>194</v>
      </c>
      <c r="BS51" s="50" t="s">
        <v>783</v>
      </c>
      <c r="BT51" s="44">
        <v>1</v>
      </c>
      <c r="BU51" s="44" t="s">
        <v>372</v>
      </c>
      <c r="BV51" s="50" t="s">
        <v>197</v>
      </c>
      <c r="BW51" s="50" t="s">
        <v>197</v>
      </c>
      <c r="BX51" s="43" t="str">
        <f>IF(IFERROR(INDEX(Consulta!$A:$DS,MATCH('MM01'!$B51,Consulta!$C:$C,0),'MM01'!BX$2),"")=0,"",IFERROR(INDEX(Consulta!$A:$DS,MATCH('MM01'!$B51,Consulta!$C:$C,0),'MM01'!BX$2),""))</f>
        <v/>
      </c>
      <c r="BY51" s="44" t="s">
        <v>392</v>
      </c>
      <c r="BZ51" s="50">
        <v>0</v>
      </c>
      <c r="CA51" s="45" t="s">
        <v>403</v>
      </c>
      <c r="CB51" s="45" t="s">
        <v>84</v>
      </c>
      <c r="CC51" s="43" t="str">
        <f t="shared" si="21"/>
        <v/>
      </c>
      <c r="CD51" s="45" t="s">
        <v>430</v>
      </c>
      <c r="CE51" s="45">
        <v>1</v>
      </c>
      <c r="CF51" s="45" t="s">
        <v>496</v>
      </c>
      <c r="CG51" s="45"/>
      <c r="CH51" s="44"/>
      <c r="CI51" s="49" t="str">
        <f t="shared" si="22"/>
        <v/>
      </c>
      <c r="CJ51" s="49" t="str">
        <f t="shared" si="23"/>
        <v/>
      </c>
      <c r="CK51" s="45"/>
      <c r="CL51" s="44">
        <v>5</v>
      </c>
      <c r="CM51" s="44">
        <v>1</v>
      </c>
      <c r="CN51" s="44">
        <v>1</v>
      </c>
      <c r="CO51" s="44">
        <v>1</v>
      </c>
      <c r="CP51" s="50" t="s">
        <v>515</v>
      </c>
      <c r="CQ51" s="44" t="s">
        <v>372</v>
      </c>
      <c r="CR51" s="44">
        <v>2</v>
      </c>
      <c r="CS51" s="44">
        <v>42</v>
      </c>
      <c r="CT51" s="44">
        <v>10</v>
      </c>
      <c r="CU51" s="43" t="str">
        <f t="shared" si="24"/>
        <v>K00_P_PURL_</v>
      </c>
      <c r="CV51" s="45">
        <v>5000</v>
      </c>
      <c r="CW51" s="43" t="str">
        <f t="shared" si="39"/>
        <v/>
      </c>
      <c r="CX51" s="43" t="str">
        <f t="shared" si="40"/>
        <v/>
      </c>
      <c r="CY51" s="43" t="str">
        <f>IF(IFERROR(INDEX(Consulta!$A:$DS,MATCH('MM01'!$B51,Consulta!$C:$C,0),'MM01'!CY$2),"")=0,"",IFERROR(INDEX(Consulta!$A:$DS,MATCH('MM01'!$B51,Consulta!$C:$C,0),'MM01'!CY$2),""))</f>
        <v/>
      </c>
      <c r="CZ51" s="43" t="str">
        <f t="shared" si="41"/>
        <v/>
      </c>
      <c r="DA51" s="43" t="str">
        <f>IF(IFERROR(INDEX(Consulta!$A:$DS,MATCH('MM01'!$B51,Consulta!$C:$C,0),'MM01'!DA$2),"")=0,"",IFERROR(INDEX(Consulta!$A:$DS,MATCH('MM01'!$B51,Consulta!$C:$C,0),'MM01'!DA$2),""))</f>
        <v/>
      </c>
      <c r="DB51" s="43" t="str">
        <f>IF(IFERROR(INDEX(Consulta!$A:$DS,MATCH('MM01'!$B51,Consulta!$C:$C,0),'MM01'!DB$2),"")=0,"",IFERROR(INDEX(Consulta!$A:$DS,MATCH('MM01'!$B51,Consulta!$C:$C,0),'MM01'!DB$2),""))</f>
        <v/>
      </c>
      <c r="DC51" s="43" t="str">
        <f>IF(IFERROR(INDEX(Consulta!$A:$DS,MATCH('MM01'!$B51,Consulta!$C:$C,0),'MM01'!DC$2),"")=0,"",IFERROR(INDEX(Consulta!$A:$DS,MATCH('MM01'!$B51,Consulta!$C:$C,0),'MM01'!DC$2),""))</f>
        <v/>
      </c>
      <c r="DD51" s="43" t="str">
        <f>IF(IFERROR(INDEX(Consulta!$A:$DS,MATCH('MM01'!$B51,Consulta!$C:$C,0),'MM01'!DD$2),"")=0,"",IFERROR(INDEX(Consulta!$A:$DS,MATCH('MM01'!$B51,Consulta!$C:$C,0),'MM01'!DD$2),""))</f>
        <v/>
      </c>
      <c r="DE51" s="43" t="str">
        <f>IF(IFERROR(INDEX(Consulta!$A:$DS,MATCH('MM01'!$B51,Consulta!$C:$C,0),'MM01'!DE$2),"")=0,"",IFERROR(INDEX(Consulta!$A:$DS,MATCH('MM01'!$B51,Consulta!$C:$C,0),'MM01'!DE$2),""))</f>
        <v/>
      </c>
      <c r="DF51" s="100">
        <v>3458</v>
      </c>
      <c r="DG51" s="45">
        <v>0</v>
      </c>
      <c r="DH51" s="45">
        <v>0</v>
      </c>
      <c r="DI51" s="43" t="str">
        <f t="shared" si="42"/>
        <v/>
      </c>
      <c r="DJ51" s="43" t="str">
        <f t="shared" si="25"/>
        <v/>
      </c>
      <c r="DK51" s="57"/>
      <c r="DL51" s="43" t="str">
        <f t="shared" ca="1" si="26"/>
        <v/>
      </c>
      <c r="DM51" s="43" t="str">
        <f t="shared" si="27"/>
        <v/>
      </c>
      <c r="DN51" s="43" t="str">
        <f t="shared" si="28"/>
        <v/>
      </c>
      <c r="DO51" s="57"/>
      <c r="DP51" s="43" t="str">
        <f t="shared" ca="1" si="29"/>
        <v/>
      </c>
      <c r="DQ51" s="43" t="str">
        <f t="shared" si="30"/>
        <v/>
      </c>
      <c r="DR51" s="43" t="str">
        <f t="shared" si="31"/>
        <v/>
      </c>
      <c r="DS51" s="57"/>
      <c r="DT51" s="43" t="str">
        <f t="shared" ca="1" si="32"/>
        <v/>
      </c>
      <c r="DU51" s="43" t="str">
        <f t="shared" si="33"/>
        <v/>
      </c>
      <c r="DV51" s="43" t="str">
        <f t="shared" si="34"/>
        <v/>
      </c>
      <c r="DW51" s="57"/>
      <c r="DX51" s="43" t="str">
        <f t="shared" ca="1" si="35"/>
        <v/>
      </c>
      <c r="DY51" s="43" t="str">
        <f t="shared" si="36"/>
        <v/>
      </c>
      <c r="EA51" s="44">
        <v>0</v>
      </c>
      <c r="EB51" s="44" t="s">
        <v>761</v>
      </c>
      <c r="EC51" s="44">
        <v>30</v>
      </c>
      <c r="ED51" s="43">
        <f t="shared" si="43"/>
        <v>0.01</v>
      </c>
      <c r="EE51" s="43" t="str">
        <f t="shared" si="44"/>
        <v>M</v>
      </c>
      <c r="EF51" s="43" t="str">
        <f>IF(IFERROR(INDEX(Consulta!$A:$DS,MATCH('MM01'!$B51,Consulta!$C:$C,0),'MM01'!EF$2),"")=0,"7925",IF(IFERROR(INDEX(Consulta!$A:$DS,MATCH('MM01'!$B51,Consulta!$C:$C,0),'MM01'!EF$2),"")="68","7910","7925"))</f>
        <v>7925</v>
      </c>
      <c r="EG51" s="44">
        <v>100</v>
      </c>
      <c r="EH51" s="62">
        <v>1</v>
      </c>
      <c r="EI51" s="43">
        <f t="shared" si="37"/>
        <v>100</v>
      </c>
      <c r="EJ51" s="44">
        <v>1</v>
      </c>
      <c r="EK51" s="44">
        <v>0</v>
      </c>
      <c r="EL51" s="44" t="s">
        <v>859</v>
      </c>
      <c r="EM51" s="45">
        <v>0</v>
      </c>
      <c r="EN51" s="43">
        <f t="shared" si="38"/>
        <v>5000</v>
      </c>
      <c r="EO51" s="69"/>
    </row>
    <row r="52" spans="1:145" x14ac:dyDescent="0.2">
      <c r="A52" s="7" t="str">
        <f t="shared" si="6"/>
        <v>Execução 48</v>
      </c>
      <c r="B52" s="42"/>
      <c r="C52" s="43" t="str">
        <f>IF(IFERROR(INDEX(Consulta!$A:$DS,MATCH('MM01'!$B52,Consulta!$C:$C,0),'MM01'!C$2),"")=0,"",IFERROR(INDEX(Consulta!$A:$DS,MATCH('MM01'!$B52,Consulta!$C:$C,0),'MM01'!C$2),""))</f>
        <v/>
      </c>
      <c r="D52" s="43" t="str">
        <f>IF(IFERROR(INDEX(Consulta!$A:$DS,MATCH('MM01'!$B52,Consulta!$C:$C,0),'MM01'!D$2),"")=0,"",IFERROR(INDEX(Consulta!$A:$DS,MATCH('MM01'!$B52,Consulta!$C:$C,0),'MM01'!D$2),""))</f>
        <v/>
      </c>
      <c r="E52" s="43" t="str">
        <f>IF(IFERROR(INDEX(Consulta!$A:$DS,MATCH('MM01'!$B52,Consulta!$C:$C,0),'MM01'!E$2),"")=0,"",IFERROR(INDEX(Consulta!$A:$DS,MATCH('MM01'!$B52,Consulta!$C:$C,0),'MM01'!E$2),""))</f>
        <v/>
      </c>
      <c r="F52" s="44" t="s">
        <v>100</v>
      </c>
      <c r="G52" s="49" t="str">
        <f>IF(IFERROR(INDEX(Consulta!$A:$DS,MATCH('MM01'!$B52,Consulta!$C:$C,0),'MM01'!G$2),"")=0,"",IFERROR(INDEX(Consulta!$A:$DS,MATCH('MM01'!$B52,Consulta!$C:$C,0),'MM01'!G$2),""))</f>
        <v/>
      </c>
      <c r="H52" s="49" t="str">
        <f>IF(IFERROR(INDEX(Consulta!$A:$DS,MATCH('MM01'!$B52,Consulta!$C:$C,0),'MM01'!H$2),"")=0,"",IFERROR(INDEX(Consulta!$A:$DS,MATCH('MM01'!$B52,Consulta!$C:$C,0),'MM01'!H$2),""))</f>
        <v/>
      </c>
      <c r="I52" s="49" t="str">
        <f t="shared" si="7"/>
        <v/>
      </c>
      <c r="J52" s="49" t="str">
        <f>IF(IFERROR(INDEX(Consulta!$A:$DS,MATCH('MM01'!$B52,Consulta!$C:$C,0),'MM01'!J$2),"")=0,"",IFERROR(INDEX(Consulta!$A:$DS,MATCH('MM01'!$B52,Consulta!$C:$C,0),'MM01'!J$2),""))</f>
        <v/>
      </c>
      <c r="K52" s="49" t="str">
        <f t="shared" si="8"/>
        <v/>
      </c>
      <c r="M52" s="45" t="s">
        <v>101</v>
      </c>
      <c r="N52" s="45" t="s">
        <v>102</v>
      </c>
      <c r="O52" s="45" t="s">
        <v>103</v>
      </c>
      <c r="P52" s="45" t="s">
        <v>104</v>
      </c>
      <c r="Q52" s="45" t="s">
        <v>105</v>
      </c>
      <c r="R52" s="45" t="s">
        <v>106</v>
      </c>
      <c r="S52" s="45" t="s">
        <v>107</v>
      </c>
      <c r="T52" s="45"/>
      <c r="U52" s="45"/>
      <c r="V52" s="45"/>
      <c r="W52" s="45"/>
      <c r="X52" s="45" t="s">
        <v>112</v>
      </c>
      <c r="Y52" s="45" t="s">
        <v>113</v>
      </c>
      <c r="Z52" s="45" t="s">
        <v>114</v>
      </c>
      <c r="AA52" s="45" t="s">
        <v>115</v>
      </c>
      <c r="AB52" s="45" t="s">
        <v>117</v>
      </c>
      <c r="AC52" s="45" t="s">
        <v>118</v>
      </c>
      <c r="AD52" s="45" t="s">
        <v>119</v>
      </c>
      <c r="AE52" s="45" t="s">
        <v>120</v>
      </c>
      <c r="AF52" s="45" t="s">
        <v>121</v>
      </c>
      <c r="AG52" s="45" t="s">
        <v>122</v>
      </c>
      <c r="AH52" s="45" t="s">
        <v>123</v>
      </c>
      <c r="AI52" s="45" t="s">
        <v>124</v>
      </c>
      <c r="AJ52" s="45" t="s">
        <v>125</v>
      </c>
      <c r="AK52" s="45" t="s">
        <v>126</v>
      </c>
      <c r="AL52" s="45"/>
      <c r="AM52" s="45"/>
      <c r="AO52" s="44" t="s">
        <v>100</v>
      </c>
      <c r="AP52" s="43" t="str">
        <f>IF(IFERROR(INDEX(Consulta!$A:$DS,MATCH('MM01'!$B52,Consulta!$C:$C,0),'MM01'!AP$2),"")=0,"",IFERROR(INDEX(Consulta!$A:$DS,MATCH('MM01'!$B52,Consulta!$C:$C,0),'MM01'!AP$2),""))</f>
        <v/>
      </c>
      <c r="AQ52" s="45"/>
      <c r="AR52" s="43" t="str">
        <f>IF(IFERROR(INDEX(Consulta!$A:$DS,MATCH('MM01'!$B52,Consulta!$C:$C,0),'MM01'!AR$2),"")=0,"",IFERROR(INDEX(Consulta!$A:$DS,MATCH('MM01'!$B52,Consulta!$C:$C,0),'MM01'!AR$2),""))</f>
        <v/>
      </c>
      <c r="AS52" s="43" t="str">
        <f>IF(IFERROR(INDEX(Consulta!$A:$DS,MATCH('MM01'!$B52,Consulta!$C:$C,0),'MM01'!AS$2),"")=0,"",IF(AR52="68",5102,IFERROR(INDEX(Consulta!$A:$DS,MATCH('MM01'!$B52,Consulta!$C:$C,0),'MM01'!AS$2),"")))</f>
        <v/>
      </c>
      <c r="AT52" s="45"/>
      <c r="AU52" s="46" t="str">
        <f t="shared" ca="1" si="9"/>
        <v/>
      </c>
      <c r="AV52" s="47" t="s">
        <v>783</v>
      </c>
      <c r="AW52" s="43" t="str">
        <f>IF(IFERROR(INDEX(Consulta!$A:$DS,MATCH('MM01'!$B52,Consulta!$C:$C,0),'MM01'!AW$2),"")=0,"",IFERROR(ROUND(INDEX(Consulta!$A:$DS,MATCH('MM01'!$B52,Consulta!$C:$C,0),'MM01'!AW$2),3),""))</f>
        <v/>
      </c>
      <c r="AX52" s="43" t="str">
        <f t="shared" si="10"/>
        <v/>
      </c>
      <c r="AY52" s="48" t="s">
        <v>299</v>
      </c>
      <c r="AZ52" s="48"/>
      <c r="BA52" s="43" t="str">
        <f>IF(IFERROR(INDEX(Consulta!$A:$DS,MATCH('MM01'!$B52,Consulta!$C:$C,0),'MM01'!BA$2),"")=0,"",IFERROR(INDEX(Consulta!$A:$DS,MATCH('MM01'!$B52,Consulta!$C:$C,0),'MM01'!BA$2),""))</f>
        <v/>
      </c>
      <c r="BB52" s="43" t="str">
        <f t="shared" si="11"/>
        <v/>
      </c>
      <c r="BC52" s="43" t="str">
        <f t="shared" si="12"/>
        <v/>
      </c>
      <c r="BD52" s="43" t="str">
        <f t="shared" si="13"/>
        <v/>
      </c>
      <c r="BE52" s="43" t="str">
        <f t="shared" si="14"/>
        <v>M</v>
      </c>
      <c r="BF52" s="43" t="str">
        <f t="shared" si="15"/>
        <v/>
      </c>
      <c r="BG52" s="43" t="str">
        <f t="shared" si="16"/>
        <v/>
      </c>
      <c r="BH52" s="43" t="str">
        <f t="shared" si="17"/>
        <v/>
      </c>
      <c r="BI52" s="43" t="str">
        <f t="shared" si="18"/>
        <v>M</v>
      </c>
      <c r="BK52" s="45" t="s">
        <v>789</v>
      </c>
      <c r="BL52" s="43" t="str">
        <f>IF(IFERROR(INDEX(Consulta!$A:$DS,MATCH('MM01'!$B52,Consulta!$C:$C,0),'MM01'!BL$2),"")=0,"",IFERROR(INDEX(Consulta!$A:$DS,MATCH('MM01'!$B52,Consulta!$C:$C,0),'MM01'!BL$2),""))</f>
        <v/>
      </c>
      <c r="BM52" s="45"/>
      <c r="BN52" s="46" t="str">
        <f t="shared" ca="1" si="19"/>
        <v/>
      </c>
      <c r="BO52" s="49" t="str">
        <f t="shared" si="20"/>
        <v/>
      </c>
      <c r="BP52" s="50">
        <v>1</v>
      </c>
      <c r="BQ52" s="50" t="s">
        <v>194</v>
      </c>
      <c r="BR52" s="50" t="s">
        <v>194</v>
      </c>
      <c r="BS52" s="50" t="s">
        <v>783</v>
      </c>
      <c r="BT52" s="44">
        <v>1</v>
      </c>
      <c r="BU52" s="44" t="s">
        <v>372</v>
      </c>
      <c r="BV52" s="50" t="s">
        <v>197</v>
      </c>
      <c r="BW52" s="50" t="s">
        <v>197</v>
      </c>
      <c r="BX52" s="43" t="str">
        <f>IF(IFERROR(INDEX(Consulta!$A:$DS,MATCH('MM01'!$B52,Consulta!$C:$C,0),'MM01'!BX$2),"")=0,"",IFERROR(INDEX(Consulta!$A:$DS,MATCH('MM01'!$B52,Consulta!$C:$C,0),'MM01'!BX$2),""))</f>
        <v/>
      </c>
      <c r="BY52" s="44" t="s">
        <v>392</v>
      </c>
      <c r="BZ52" s="50">
        <v>0</v>
      </c>
      <c r="CA52" s="45" t="s">
        <v>403</v>
      </c>
      <c r="CB52" s="45" t="s">
        <v>84</v>
      </c>
      <c r="CC52" s="43" t="str">
        <f t="shared" si="21"/>
        <v/>
      </c>
      <c r="CD52" s="45" t="s">
        <v>430</v>
      </c>
      <c r="CE52" s="45">
        <v>1</v>
      </c>
      <c r="CF52" s="45" t="s">
        <v>496</v>
      </c>
      <c r="CG52" s="45"/>
      <c r="CH52" s="44"/>
      <c r="CI52" s="49" t="str">
        <f t="shared" si="22"/>
        <v/>
      </c>
      <c r="CJ52" s="49" t="str">
        <f t="shared" si="23"/>
        <v/>
      </c>
      <c r="CK52" s="45"/>
      <c r="CL52" s="44">
        <v>5</v>
      </c>
      <c r="CM52" s="44">
        <v>1</v>
      </c>
      <c r="CN52" s="44">
        <v>1</v>
      </c>
      <c r="CO52" s="44">
        <v>1</v>
      </c>
      <c r="CP52" s="50" t="s">
        <v>515</v>
      </c>
      <c r="CQ52" s="44" t="s">
        <v>372</v>
      </c>
      <c r="CR52" s="44">
        <v>2</v>
      </c>
      <c r="CS52" s="44">
        <v>42</v>
      </c>
      <c r="CT52" s="44">
        <v>10</v>
      </c>
      <c r="CU52" s="43" t="str">
        <f t="shared" si="24"/>
        <v>K00_P_PURL_</v>
      </c>
      <c r="CV52" s="45">
        <v>5000</v>
      </c>
      <c r="CW52" s="43" t="str">
        <f t="shared" si="39"/>
        <v/>
      </c>
      <c r="CX52" s="43" t="str">
        <f t="shared" si="40"/>
        <v/>
      </c>
      <c r="CY52" s="43" t="str">
        <f>IF(IFERROR(INDEX(Consulta!$A:$DS,MATCH('MM01'!$B52,Consulta!$C:$C,0),'MM01'!CY$2),"")=0,"",IFERROR(INDEX(Consulta!$A:$DS,MATCH('MM01'!$B52,Consulta!$C:$C,0),'MM01'!CY$2),""))</f>
        <v/>
      </c>
      <c r="CZ52" s="43" t="str">
        <f t="shared" si="41"/>
        <v/>
      </c>
      <c r="DA52" s="43" t="str">
        <f>IF(IFERROR(INDEX(Consulta!$A:$DS,MATCH('MM01'!$B52,Consulta!$C:$C,0),'MM01'!DA$2),"")=0,"",IFERROR(INDEX(Consulta!$A:$DS,MATCH('MM01'!$B52,Consulta!$C:$C,0),'MM01'!DA$2),""))</f>
        <v/>
      </c>
      <c r="DB52" s="43" t="str">
        <f>IF(IFERROR(INDEX(Consulta!$A:$DS,MATCH('MM01'!$B52,Consulta!$C:$C,0),'MM01'!DB$2),"")=0,"",IFERROR(INDEX(Consulta!$A:$DS,MATCH('MM01'!$B52,Consulta!$C:$C,0),'MM01'!DB$2),""))</f>
        <v/>
      </c>
      <c r="DC52" s="43" t="str">
        <f>IF(IFERROR(INDEX(Consulta!$A:$DS,MATCH('MM01'!$B52,Consulta!$C:$C,0),'MM01'!DC$2),"")=0,"",IFERROR(INDEX(Consulta!$A:$DS,MATCH('MM01'!$B52,Consulta!$C:$C,0),'MM01'!DC$2),""))</f>
        <v/>
      </c>
      <c r="DD52" s="43" t="str">
        <f>IF(IFERROR(INDEX(Consulta!$A:$DS,MATCH('MM01'!$B52,Consulta!$C:$C,0),'MM01'!DD$2),"")=0,"",IFERROR(INDEX(Consulta!$A:$DS,MATCH('MM01'!$B52,Consulta!$C:$C,0),'MM01'!DD$2),""))</f>
        <v/>
      </c>
      <c r="DE52" s="43" t="str">
        <f>IF(IFERROR(INDEX(Consulta!$A:$DS,MATCH('MM01'!$B52,Consulta!$C:$C,0),'MM01'!DE$2),"")=0,"",IFERROR(INDEX(Consulta!$A:$DS,MATCH('MM01'!$B52,Consulta!$C:$C,0),'MM01'!DE$2),""))</f>
        <v/>
      </c>
      <c r="DF52" s="100">
        <v>3458</v>
      </c>
      <c r="DG52" s="45">
        <v>0</v>
      </c>
      <c r="DH52" s="45">
        <v>0</v>
      </c>
      <c r="DI52" s="43" t="str">
        <f t="shared" si="42"/>
        <v/>
      </c>
      <c r="DJ52" s="43" t="str">
        <f t="shared" si="25"/>
        <v/>
      </c>
      <c r="DK52" s="57"/>
      <c r="DL52" s="43" t="str">
        <f t="shared" ca="1" si="26"/>
        <v/>
      </c>
      <c r="DM52" s="43" t="str">
        <f t="shared" si="27"/>
        <v/>
      </c>
      <c r="DN52" s="43" t="str">
        <f t="shared" si="28"/>
        <v/>
      </c>
      <c r="DO52" s="57"/>
      <c r="DP52" s="43" t="str">
        <f t="shared" ca="1" si="29"/>
        <v/>
      </c>
      <c r="DQ52" s="43" t="str">
        <f t="shared" si="30"/>
        <v/>
      </c>
      <c r="DR52" s="43" t="str">
        <f t="shared" si="31"/>
        <v/>
      </c>
      <c r="DS52" s="57"/>
      <c r="DT52" s="43" t="str">
        <f t="shared" ca="1" si="32"/>
        <v/>
      </c>
      <c r="DU52" s="43" t="str">
        <f t="shared" si="33"/>
        <v/>
      </c>
      <c r="DV52" s="43" t="str">
        <f t="shared" si="34"/>
        <v/>
      </c>
      <c r="DW52" s="57"/>
      <c r="DX52" s="43" t="str">
        <f t="shared" ca="1" si="35"/>
        <v/>
      </c>
      <c r="DY52" s="43" t="str">
        <f t="shared" si="36"/>
        <v/>
      </c>
      <c r="EA52" s="44">
        <v>0</v>
      </c>
      <c r="EB52" s="44" t="s">
        <v>761</v>
      </c>
      <c r="EC52" s="44">
        <v>30</v>
      </c>
      <c r="ED52" s="43">
        <f t="shared" si="43"/>
        <v>0.01</v>
      </c>
      <c r="EE52" s="43" t="str">
        <f t="shared" si="44"/>
        <v>M</v>
      </c>
      <c r="EF52" s="43" t="str">
        <f>IF(IFERROR(INDEX(Consulta!$A:$DS,MATCH('MM01'!$B52,Consulta!$C:$C,0),'MM01'!EF$2),"")=0,"7925",IF(IFERROR(INDEX(Consulta!$A:$DS,MATCH('MM01'!$B52,Consulta!$C:$C,0),'MM01'!EF$2),"")="68","7910","7925"))</f>
        <v>7925</v>
      </c>
      <c r="EG52" s="44">
        <v>100</v>
      </c>
      <c r="EH52" s="62">
        <v>1</v>
      </c>
      <c r="EI52" s="43">
        <f t="shared" si="37"/>
        <v>100</v>
      </c>
      <c r="EJ52" s="44">
        <v>1</v>
      </c>
      <c r="EK52" s="44">
        <v>0</v>
      </c>
      <c r="EL52" s="44" t="s">
        <v>859</v>
      </c>
      <c r="EM52" s="45">
        <v>0</v>
      </c>
      <c r="EN52" s="43">
        <f t="shared" si="38"/>
        <v>5000</v>
      </c>
      <c r="EO52" s="69"/>
    </row>
    <row r="53" spans="1:145" x14ac:dyDescent="0.2">
      <c r="A53" s="7" t="str">
        <f t="shared" si="6"/>
        <v>Execução 49</v>
      </c>
      <c r="B53" s="42"/>
      <c r="C53" s="43" t="str">
        <f>IF(IFERROR(INDEX(Consulta!$A:$DS,MATCH('MM01'!$B53,Consulta!$C:$C,0),'MM01'!C$2),"")=0,"",IFERROR(INDEX(Consulta!$A:$DS,MATCH('MM01'!$B53,Consulta!$C:$C,0),'MM01'!C$2),""))</f>
        <v/>
      </c>
      <c r="D53" s="43" t="str">
        <f>IF(IFERROR(INDEX(Consulta!$A:$DS,MATCH('MM01'!$B53,Consulta!$C:$C,0),'MM01'!D$2),"")=0,"",IFERROR(INDEX(Consulta!$A:$DS,MATCH('MM01'!$B53,Consulta!$C:$C,0),'MM01'!D$2),""))</f>
        <v/>
      </c>
      <c r="E53" s="43" t="str">
        <f>IF(IFERROR(INDEX(Consulta!$A:$DS,MATCH('MM01'!$B53,Consulta!$C:$C,0),'MM01'!E$2),"")=0,"",IFERROR(INDEX(Consulta!$A:$DS,MATCH('MM01'!$B53,Consulta!$C:$C,0),'MM01'!E$2),""))</f>
        <v/>
      </c>
      <c r="F53" s="44" t="s">
        <v>100</v>
      </c>
      <c r="G53" s="49" t="str">
        <f>IF(IFERROR(INDEX(Consulta!$A:$DS,MATCH('MM01'!$B53,Consulta!$C:$C,0),'MM01'!G$2),"")=0,"",IFERROR(INDEX(Consulta!$A:$DS,MATCH('MM01'!$B53,Consulta!$C:$C,0),'MM01'!G$2),""))</f>
        <v/>
      </c>
      <c r="H53" s="49" t="str">
        <f>IF(IFERROR(INDEX(Consulta!$A:$DS,MATCH('MM01'!$B53,Consulta!$C:$C,0),'MM01'!H$2),"")=0,"",IFERROR(INDEX(Consulta!$A:$DS,MATCH('MM01'!$B53,Consulta!$C:$C,0),'MM01'!H$2),""))</f>
        <v/>
      </c>
      <c r="I53" s="49" t="str">
        <f t="shared" si="7"/>
        <v/>
      </c>
      <c r="J53" s="49" t="str">
        <f>IF(IFERROR(INDEX(Consulta!$A:$DS,MATCH('MM01'!$B53,Consulta!$C:$C,0),'MM01'!J$2),"")=0,"",IFERROR(INDEX(Consulta!$A:$DS,MATCH('MM01'!$B53,Consulta!$C:$C,0),'MM01'!J$2),""))</f>
        <v/>
      </c>
      <c r="K53" s="49" t="str">
        <f t="shared" si="8"/>
        <v/>
      </c>
      <c r="M53" s="45" t="s">
        <v>101</v>
      </c>
      <c r="N53" s="45" t="s">
        <v>102</v>
      </c>
      <c r="O53" s="45" t="s">
        <v>103</v>
      </c>
      <c r="P53" s="45" t="s">
        <v>104</v>
      </c>
      <c r="Q53" s="45" t="s">
        <v>105</v>
      </c>
      <c r="R53" s="45" t="s">
        <v>106</v>
      </c>
      <c r="S53" s="45" t="s">
        <v>107</v>
      </c>
      <c r="T53" s="45"/>
      <c r="U53" s="45"/>
      <c r="V53" s="45"/>
      <c r="W53" s="45"/>
      <c r="X53" s="45" t="s">
        <v>112</v>
      </c>
      <c r="Y53" s="45" t="s">
        <v>113</v>
      </c>
      <c r="Z53" s="45" t="s">
        <v>114</v>
      </c>
      <c r="AA53" s="45" t="s">
        <v>115</v>
      </c>
      <c r="AB53" s="45" t="s">
        <v>117</v>
      </c>
      <c r="AC53" s="45" t="s">
        <v>118</v>
      </c>
      <c r="AD53" s="45" t="s">
        <v>119</v>
      </c>
      <c r="AE53" s="45" t="s">
        <v>120</v>
      </c>
      <c r="AF53" s="45" t="s">
        <v>121</v>
      </c>
      <c r="AG53" s="45" t="s">
        <v>122</v>
      </c>
      <c r="AH53" s="45" t="s">
        <v>123</v>
      </c>
      <c r="AI53" s="45" t="s">
        <v>124</v>
      </c>
      <c r="AJ53" s="45" t="s">
        <v>125</v>
      </c>
      <c r="AK53" s="45" t="s">
        <v>126</v>
      </c>
      <c r="AL53" s="45"/>
      <c r="AM53" s="45"/>
      <c r="AO53" s="44" t="s">
        <v>100</v>
      </c>
      <c r="AP53" s="43" t="str">
        <f>IF(IFERROR(INDEX(Consulta!$A:$DS,MATCH('MM01'!$B53,Consulta!$C:$C,0),'MM01'!AP$2),"")=0,"",IFERROR(INDEX(Consulta!$A:$DS,MATCH('MM01'!$B53,Consulta!$C:$C,0),'MM01'!AP$2),""))</f>
        <v/>
      </c>
      <c r="AQ53" s="45"/>
      <c r="AR53" s="43" t="str">
        <f>IF(IFERROR(INDEX(Consulta!$A:$DS,MATCH('MM01'!$B53,Consulta!$C:$C,0),'MM01'!AR$2),"")=0,"",IFERROR(INDEX(Consulta!$A:$DS,MATCH('MM01'!$B53,Consulta!$C:$C,0),'MM01'!AR$2),""))</f>
        <v/>
      </c>
      <c r="AS53" s="43" t="str">
        <f>IF(IFERROR(INDEX(Consulta!$A:$DS,MATCH('MM01'!$B53,Consulta!$C:$C,0),'MM01'!AS$2),"")=0,"",IF(AR53="68",5102,IFERROR(INDEX(Consulta!$A:$DS,MATCH('MM01'!$B53,Consulta!$C:$C,0),'MM01'!AS$2),"")))</f>
        <v/>
      </c>
      <c r="AT53" s="45"/>
      <c r="AU53" s="46" t="str">
        <f t="shared" ca="1" si="9"/>
        <v/>
      </c>
      <c r="AV53" s="47" t="s">
        <v>783</v>
      </c>
      <c r="AW53" s="43" t="str">
        <f>IF(IFERROR(INDEX(Consulta!$A:$DS,MATCH('MM01'!$B53,Consulta!$C:$C,0),'MM01'!AW$2),"")=0,"",IFERROR(ROUND(INDEX(Consulta!$A:$DS,MATCH('MM01'!$B53,Consulta!$C:$C,0),'MM01'!AW$2),3),""))</f>
        <v/>
      </c>
      <c r="AX53" s="43" t="str">
        <f t="shared" si="10"/>
        <v/>
      </c>
      <c r="AY53" s="48" t="s">
        <v>299</v>
      </c>
      <c r="AZ53" s="48"/>
      <c r="BA53" s="43" t="str">
        <f>IF(IFERROR(INDEX(Consulta!$A:$DS,MATCH('MM01'!$B53,Consulta!$C:$C,0),'MM01'!BA$2),"")=0,"",IFERROR(INDEX(Consulta!$A:$DS,MATCH('MM01'!$B53,Consulta!$C:$C,0),'MM01'!BA$2),""))</f>
        <v/>
      </c>
      <c r="BB53" s="43" t="str">
        <f t="shared" si="11"/>
        <v/>
      </c>
      <c r="BC53" s="43" t="str">
        <f t="shared" si="12"/>
        <v/>
      </c>
      <c r="BD53" s="43" t="str">
        <f t="shared" si="13"/>
        <v/>
      </c>
      <c r="BE53" s="43" t="str">
        <f t="shared" si="14"/>
        <v>M</v>
      </c>
      <c r="BF53" s="43" t="str">
        <f t="shared" si="15"/>
        <v/>
      </c>
      <c r="BG53" s="43" t="str">
        <f t="shared" si="16"/>
        <v/>
      </c>
      <c r="BH53" s="43" t="str">
        <f t="shared" si="17"/>
        <v/>
      </c>
      <c r="BI53" s="43" t="str">
        <f t="shared" si="18"/>
        <v>M</v>
      </c>
      <c r="BK53" s="45" t="s">
        <v>789</v>
      </c>
      <c r="BL53" s="43" t="str">
        <f>IF(IFERROR(INDEX(Consulta!$A:$DS,MATCH('MM01'!$B53,Consulta!$C:$C,0),'MM01'!BL$2),"")=0,"",IFERROR(INDEX(Consulta!$A:$DS,MATCH('MM01'!$B53,Consulta!$C:$C,0),'MM01'!BL$2),""))</f>
        <v/>
      </c>
      <c r="BM53" s="45"/>
      <c r="BN53" s="46" t="str">
        <f t="shared" ca="1" si="19"/>
        <v/>
      </c>
      <c r="BO53" s="49" t="str">
        <f t="shared" si="20"/>
        <v/>
      </c>
      <c r="BP53" s="50">
        <v>1</v>
      </c>
      <c r="BQ53" s="50" t="s">
        <v>194</v>
      </c>
      <c r="BR53" s="50" t="s">
        <v>194</v>
      </c>
      <c r="BS53" s="50" t="s">
        <v>783</v>
      </c>
      <c r="BT53" s="44">
        <v>1</v>
      </c>
      <c r="BU53" s="44" t="s">
        <v>372</v>
      </c>
      <c r="BV53" s="50" t="s">
        <v>197</v>
      </c>
      <c r="BW53" s="50" t="s">
        <v>197</v>
      </c>
      <c r="BX53" s="43" t="str">
        <f>IF(IFERROR(INDEX(Consulta!$A:$DS,MATCH('MM01'!$B53,Consulta!$C:$C,0),'MM01'!BX$2),"")=0,"",IFERROR(INDEX(Consulta!$A:$DS,MATCH('MM01'!$B53,Consulta!$C:$C,0),'MM01'!BX$2),""))</f>
        <v/>
      </c>
      <c r="BY53" s="44" t="s">
        <v>392</v>
      </c>
      <c r="BZ53" s="50">
        <v>0</v>
      </c>
      <c r="CA53" s="45" t="s">
        <v>403</v>
      </c>
      <c r="CB53" s="45" t="s">
        <v>84</v>
      </c>
      <c r="CC53" s="43" t="str">
        <f t="shared" si="21"/>
        <v/>
      </c>
      <c r="CD53" s="45" t="s">
        <v>430</v>
      </c>
      <c r="CE53" s="45">
        <v>1</v>
      </c>
      <c r="CF53" s="45" t="s">
        <v>496</v>
      </c>
      <c r="CG53" s="45"/>
      <c r="CH53" s="44"/>
      <c r="CI53" s="49" t="str">
        <f t="shared" si="22"/>
        <v/>
      </c>
      <c r="CJ53" s="49" t="str">
        <f t="shared" si="23"/>
        <v/>
      </c>
      <c r="CK53" s="45"/>
      <c r="CL53" s="44">
        <v>5</v>
      </c>
      <c r="CM53" s="44">
        <v>1</v>
      </c>
      <c r="CN53" s="44">
        <v>1</v>
      </c>
      <c r="CO53" s="44">
        <v>1</v>
      </c>
      <c r="CP53" s="50" t="s">
        <v>515</v>
      </c>
      <c r="CQ53" s="44" t="s">
        <v>372</v>
      </c>
      <c r="CR53" s="44">
        <v>2</v>
      </c>
      <c r="CS53" s="44">
        <v>42</v>
      </c>
      <c r="CT53" s="44">
        <v>10</v>
      </c>
      <c r="CU53" s="43" t="str">
        <f t="shared" si="24"/>
        <v>K00_P_PURL_</v>
      </c>
      <c r="CV53" s="45">
        <v>5000</v>
      </c>
      <c r="CW53" s="43" t="str">
        <f t="shared" si="39"/>
        <v/>
      </c>
      <c r="CX53" s="43" t="str">
        <f t="shared" si="40"/>
        <v/>
      </c>
      <c r="CY53" s="43" t="str">
        <f>IF(IFERROR(INDEX(Consulta!$A:$DS,MATCH('MM01'!$B53,Consulta!$C:$C,0),'MM01'!CY$2),"")=0,"",IFERROR(INDEX(Consulta!$A:$DS,MATCH('MM01'!$B53,Consulta!$C:$C,0),'MM01'!CY$2),""))</f>
        <v/>
      </c>
      <c r="CZ53" s="43" t="str">
        <f t="shared" si="41"/>
        <v/>
      </c>
      <c r="DA53" s="43" t="str">
        <f>IF(IFERROR(INDEX(Consulta!$A:$DS,MATCH('MM01'!$B53,Consulta!$C:$C,0),'MM01'!DA$2),"")=0,"",IFERROR(INDEX(Consulta!$A:$DS,MATCH('MM01'!$B53,Consulta!$C:$C,0),'MM01'!DA$2),""))</f>
        <v/>
      </c>
      <c r="DB53" s="43" t="str">
        <f>IF(IFERROR(INDEX(Consulta!$A:$DS,MATCH('MM01'!$B53,Consulta!$C:$C,0),'MM01'!DB$2),"")=0,"",IFERROR(INDEX(Consulta!$A:$DS,MATCH('MM01'!$B53,Consulta!$C:$C,0),'MM01'!DB$2),""))</f>
        <v/>
      </c>
      <c r="DC53" s="43" t="str">
        <f>IF(IFERROR(INDEX(Consulta!$A:$DS,MATCH('MM01'!$B53,Consulta!$C:$C,0),'MM01'!DC$2),"")=0,"",IFERROR(INDEX(Consulta!$A:$DS,MATCH('MM01'!$B53,Consulta!$C:$C,0),'MM01'!DC$2),""))</f>
        <v/>
      </c>
      <c r="DD53" s="43" t="str">
        <f>IF(IFERROR(INDEX(Consulta!$A:$DS,MATCH('MM01'!$B53,Consulta!$C:$C,0),'MM01'!DD$2),"")=0,"",IFERROR(INDEX(Consulta!$A:$DS,MATCH('MM01'!$B53,Consulta!$C:$C,0),'MM01'!DD$2),""))</f>
        <v/>
      </c>
      <c r="DE53" s="43" t="str">
        <f>IF(IFERROR(INDEX(Consulta!$A:$DS,MATCH('MM01'!$B53,Consulta!$C:$C,0),'MM01'!DE$2),"")=0,"",IFERROR(INDEX(Consulta!$A:$DS,MATCH('MM01'!$B53,Consulta!$C:$C,0),'MM01'!DE$2),""))</f>
        <v/>
      </c>
      <c r="DF53" s="100">
        <v>3458</v>
      </c>
      <c r="DG53" s="45">
        <v>0</v>
      </c>
      <c r="DH53" s="45">
        <v>0</v>
      </c>
      <c r="DI53" s="43" t="str">
        <f t="shared" si="42"/>
        <v/>
      </c>
      <c r="DJ53" s="43" t="str">
        <f t="shared" si="25"/>
        <v/>
      </c>
      <c r="DK53" s="57"/>
      <c r="DL53" s="43" t="str">
        <f t="shared" ca="1" si="26"/>
        <v/>
      </c>
      <c r="DM53" s="43" t="str">
        <f t="shared" si="27"/>
        <v/>
      </c>
      <c r="DN53" s="43" t="str">
        <f t="shared" si="28"/>
        <v/>
      </c>
      <c r="DO53" s="57"/>
      <c r="DP53" s="43" t="str">
        <f t="shared" ca="1" si="29"/>
        <v/>
      </c>
      <c r="DQ53" s="43" t="str">
        <f t="shared" si="30"/>
        <v/>
      </c>
      <c r="DR53" s="43" t="str">
        <f t="shared" si="31"/>
        <v/>
      </c>
      <c r="DS53" s="57"/>
      <c r="DT53" s="43" t="str">
        <f t="shared" ca="1" si="32"/>
        <v/>
      </c>
      <c r="DU53" s="43" t="str">
        <f t="shared" si="33"/>
        <v/>
      </c>
      <c r="DV53" s="43" t="str">
        <f t="shared" si="34"/>
        <v/>
      </c>
      <c r="DW53" s="57"/>
      <c r="DX53" s="43" t="str">
        <f t="shared" ca="1" si="35"/>
        <v/>
      </c>
      <c r="DY53" s="43" t="str">
        <f t="shared" si="36"/>
        <v/>
      </c>
      <c r="EA53" s="44">
        <v>0</v>
      </c>
      <c r="EB53" s="44" t="s">
        <v>761</v>
      </c>
      <c r="EC53" s="44">
        <v>30</v>
      </c>
      <c r="ED53" s="43">
        <f t="shared" si="43"/>
        <v>0.01</v>
      </c>
      <c r="EE53" s="43" t="str">
        <f t="shared" si="44"/>
        <v>M</v>
      </c>
      <c r="EF53" s="43" t="str">
        <f>IF(IFERROR(INDEX(Consulta!$A:$DS,MATCH('MM01'!$B53,Consulta!$C:$C,0),'MM01'!EF$2),"")=0,"7925",IF(IFERROR(INDEX(Consulta!$A:$DS,MATCH('MM01'!$B53,Consulta!$C:$C,0),'MM01'!EF$2),"")="68","7910","7925"))</f>
        <v>7925</v>
      </c>
      <c r="EG53" s="44">
        <v>100</v>
      </c>
      <c r="EH53" s="62">
        <v>1</v>
      </c>
      <c r="EI53" s="43">
        <f t="shared" si="37"/>
        <v>100</v>
      </c>
      <c r="EJ53" s="44">
        <v>1</v>
      </c>
      <c r="EK53" s="44">
        <v>0</v>
      </c>
      <c r="EL53" s="44" t="s">
        <v>859</v>
      </c>
      <c r="EM53" s="45">
        <v>0</v>
      </c>
      <c r="EN53" s="43">
        <f t="shared" si="38"/>
        <v>5000</v>
      </c>
      <c r="EO53" s="69"/>
    </row>
    <row r="54" spans="1:145" x14ac:dyDescent="0.2">
      <c r="A54" s="7" t="str">
        <f t="shared" si="6"/>
        <v>Execução 50</v>
      </c>
      <c r="B54" s="42"/>
      <c r="C54" s="43" t="str">
        <f>IF(IFERROR(INDEX(Consulta!$A:$DS,MATCH('MM01'!$B54,Consulta!$C:$C,0),'MM01'!C$2),"")=0,"",IFERROR(INDEX(Consulta!$A:$DS,MATCH('MM01'!$B54,Consulta!$C:$C,0),'MM01'!C$2),""))</f>
        <v/>
      </c>
      <c r="D54" s="43" t="str">
        <f>IF(IFERROR(INDEX(Consulta!$A:$DS,MATCH('MM01'!$B54,Consulta!$C:$C,0),'MM01'!D$2),"")=0,"",IFERROR(INDEX(Consulta!$A:$DS,MATCH('MM01'!$B54,Consulta!$C:$C,0),'MM01'!D$2),""))</f>
        <v/>
      </c>
      <c r="E54" s="43" t="str">
        <f>IF(IFERROR(INDEX(Consulta!$A:$DS,MATCH('MM01'!$B54,Consulta!$C:$C,0),'MM01'!E$2),"")=0,"",IFERROR(INDEX(Consulta!$A:$DS,MATCH('MM01'!$B54,Consulta!$C:$C,0),'MM01'!E$2),""))</f>
        <v/>
      </c>
      <c r="F54" s="44" t="s">
        <v>100</v>
      </c>
      <c r="G54" s="49" t="str">
        <f>IF(IFERROR(INDEX(Consulta!$A:$DS,MATCH('MM01'!$B54,Consulta!$C:$C,0),'MM01'!G$2),"")=0,"",IFERROR(INDEX(Consulta!$A:$DS,MATCH('MM01'!$B54,Consulta!$C:$C,0),'MM01'!G$2),""))</f>
        <v/>
      </c>
      <c r="H54" s="49" t="str">
        <f>IF(IFERROR(INDEX(Consulta!$A:$DS,MATCH('MM01'!$B54,Consulta!$C:$C,0),'MM01'!H$2),"")=0,"",IFERROR(INDEX(Consulta!$A:$DS,MATCH('MM01'!$B54,Consulta!$C:$C,0),'MM01'!H$2),""))</f>
        <v/>
      </c>
      <c r="I54" s="49" t="str">
        <f t="shared" si="7"/>
        <v/>
      </c>
      <c r="J54" s="49" t="str">
        <f>IF(IFERROR(INDEX(Consulta!$A:$DS,MATCH('MM01'!$B54,Consulta!$C:$C,0),'MM01'!J$2),"")=0,"",IFERROR(INDEX(Consulta!$A:$DS,MATCH('MM01'!$B54,Consulta!$C:$C,0),'MM01'!J$2),""))</f>
        <v/>
      </c>
      <c r="K54" s="49" t="str">
        <f t="shared" si="8"/>
        <v/>
      </c>
      <c r="M54" s="45" t="s">
        <v>101</v>
      </c>
      <c r="N54" s="45" t="s">
        <v>102</v>
      </c>
      <c r="O54" s="45" t="s">
        <v>103</v>
      </c>
      <c r="P54" s="45" t="s">
        <v>104</v>
      </c>
      <c r="Q54" s="45" t="s">
        <v>105</v>
      </c>
      <c r="R54" s="45" t="s">
        <v>106</v>
      </c>
      <c r="S54" s="45" t="s">
        <v>107</v>
      </c>
      <c r="T54" s="45"/>
      <c r="U54" s="45"/>
      <c r="V54" s="45"/>
      <c r="W54" s="45"/>
      <c r="X54" s="45" t="s">
        <v>112</v>
      </c>
      <c r="Y54" s="45" t="s">
        <v>113</v>
      </c>
      <c r="Z54" s="45" t="s">
        <v>114</v>
      </c>
      <c r="AA54" s="45" t="s">
        <v>115</v>
      </c>
      <c r="AB54" s="45" t="s">
        <v>117</v>
      </c>
      <c r="AC54" s="45" t="s">
        <v>118</v>
      </c>
      <c r="AD54" s="45" t="s">
        <v>119</v>
      </c>
      <c r="AE54" s="45" t="s">
        <v>120</v>
      </c>
      <c r="AF54" s="45" t="s">
        <v>121</v>
      </c>
      <c r="AG54" s="45" t="s">
        <v>122</v>
      </c>
      <c r="AH54" s="45" t="s">
        <v>123</v>
      </c>
      <c r="AI54" s="45" t="s">
        <v>124</v>
      </c>
      <c r="AJ54" s="45" t="s">
        <v>125</v>
      </c>
      <c r="AK54" s="45" t="s">
        <v>126</v>
      </c>
      <c r="AL54" s="45"/>
      <c r="AM54" s="45"/>
      <c r="AO54" s="44" t="s">
        <v>100</v>
      </c>
      <c r="AP54" s="43" t="str">
        <f>IF(IFERROR(INDEX(Consulta!$A:$DS,MATCH('MM01'!$B54,Consulta!$C:$C,0),'MM01'!AP$2),"")=0,"",IFERROR(INDEX(Consulta!$A:$DS,MATCH('MM01'!$B54,Consulta!$C:$C,0),'MM01'!AP$2),""))</f>
        <v/>
      </c>
      <c r="AQ54" s="45"/>
      <c r="AR54" s="43" t="str">
        <f>IF(IFERROR(INDEX(Consulta!$A:$DS,MATCH('MM01'!$B54,Consulta!$C:$C,0),'MM01'!AR$2),"")=0,"",IFERROR(INDEX(Consulta!$A:$DS,MATCH('MM01'!$B54,Consulta!$C:$C,0),'MM01'!AR$2),""))</f>
        <v/>
      </c>
      <c r="AS54" s="43" t="str">
        <f>IF(IFERROR(INDEX(Consulta!$A:$DS,MATCH('MM01'!$B54,Consulta!$C:$C,0),'MM01'!AS$2),"")=0,"",IF(AR54="68",5102,IFERROR(INDEX(Consulta!$A:$DS,MATCH('MM01'!$B54,Consulta!$C:$C,0),'MM01'!AS$2),"")))</f>
        <v/>
      </c>
      <c r="AT54" s="45"/>
      <c r="AU54" s="46" t="str">
        <f t="shared" ca="1" si="9"/>
        <v/>
      </c>
      <c r="AV54" s="47" t="s">
        <v>783</v>
      </c>
      <c r="AW54" s="43" t="str">
        <f>IF(IFERROR(INDEX(Consulta!$A:$DS,MATCH('MM01'!$B54,Consulta!$C:$C,0),'MM01'!AW$2),"")=0,"",IFERROR(ROUND(INDEX(Consulta!$A:$DS,MATCH('MM01'!$B54,Consulta!$C:$C,0),'MM01'!AW$2),3),""))</f>
        <v/>
      </c>
      <c r="AX54" s="43" t="str">
        <f t="shared" si="10"/>
        <v/>
      </c>
      <c r="AY54" s="48" t="s">
        <v>299</v>
      </c>
      <c r="AZ54" s="48"/>
      <c r="BA54" s="43" t="str">
        <f>IF(IFERROR(INDEX(Consulta!$A:$DS,MATCH('MM01'!$B54,Consulta!$C:$C,0),'MM01'!BA$2),"")=0,"",IFERROR(INDEX(Consulta!$A:$DS,MATCH('MM01'!$B54,Consulta!$C:$C,0),'MM01'!BA$2),""))</f>
        <v/>
      </c>
      <c r="BB54" s="43" t="str">
        <f t="shared" si="11"/>
        <v/>
      </c>
      <c r="BC54" s="43" t="str">
        <f t="shared" si="12"/>
        <v/>
      </c>
      <c r="BD54" s="43" t="str">
        <f t="shared" si="13"/>
        <v/>
      </c>
      <c r="BE54" s="43" t="str">
        <f t="shared" si="14"/>
        <v>M</v>
      </c>
      <c r="BF54" s="43" t="str">
        <f t="shared" si="15"/>
        <v/>
      </c>
      <c r="BG54" s="43" t="str">
        <f t="shared" si="16"/>
        <v/>
      </c>
      <c r="BH54" s="43" t="str">
        <f t="shared" si="17"/>
        <v/>
      </c>
      <c r="BI54" s="43" t="str">
        <f t="shared" si="18"/>
        <v>M</v>
      </c>
      <c r="BK54" s="45" t="s">
        <v>789</v>
      </c>
      <c r="BL54" s="43" t="str">
        <f>IF(IFERROR(INDEX(Consulta!$A:$DS,MATCH('MM01'!$B54,Consulta!$C:$C,0),'MM01'!BL$2),"")=0,"",IFERROR(INDEX(Consulta!$A:$DS,MATCH('MM01'!$B54,Consulta!$C:$C,0),'MM01'!BL$2),""))</f>
        <v/>
      </c>
      <c r="BM54" s="45"/>
      <c r="BN54" s="46" t="str">
        <f t="shared" ca="1" si="19"/>
        <v/>
      </c>
      <c r="BO54" s="49" t="str">
        <f t="shared" si="20"/>
        <v/>
      </c>
      <c r="BP54" s="50">
        <v>1</v>
      </c>
      <c r="BQ54" s="50" t="s">
        <v>194</v>
      </c>
      <c r="BR54" s="50" t="s">
        <v>194</v>
      </c>
      <c r="BS54" s="50" t="s">
        <v>783</v>
      </c>
      <c r="BT54" s="44">
        <v>1</v>
      </c>
      <c r="BU54" s="44" t="s">
        <v>372</v>
      </c>
      <c r="BV54" s="50" t="s">
        <v>197</v>
      </c>
      <c r="BW54" s="50" t="s">
        <v>197</v>
      </c>
      <c r="BX54" s="43" t="str">
        <f>IF(IFERROR(INDEX(Consulta!$A:$DS,MATCH('MM01'!$B54,Consulta!$C:$C,0),'MM01'!BX$2),"")=0,"",IFERROR(INDEX(Consulta!$A:$DS,MATCH('MM01'!$B54,Consulta!$C:$C,0),'MM01'!BX$2),""))</f>
        <v/>
      </c>
      <c r="BY54" s="44" t="s">
        <v>392</v>
      </c>
      <c r="BZ54" s="50">
        <v>0</v>
      </c>
      <c r="CA54" s="45" t="s">
        <v>403</v>
      </c>
      <c r="CB54" s="45" t="s">
        <v>84</v>
      </c>
      <c r="CC54" s="43" t="str">
        <f t="shared" si="21"/>
        <v/>
      </c>
      <c r="CD54" s="45" t="s">
        <v>430</v>
      </c>
      <c r="CE54" s="45">
        <v>1</v>
      </c>
      <c r="CF54" s="45" t="s">
        <v>496</v>
      </c>
      <c r="CG54" s="45"/>
      <c r="CH54" s="44"/>
      <c r="CI54" s="49" t="str">
        <f t="shared" si="22"/>
        <v/>
      </c>
      <c r="CJ54" s="49" t="str">
        <f t="shared" si="23"/>
        <v/>
      </c>
      <c r="CK54" s="45"/>
      <c r="CL54" s="44">
        <v>5</v>
      </c>
      <c r="CM54" s="44">
        <v>1</v>
      </c>
      <c r="CN54" s="44">
        <v>1</v>
      </c>
      <c r="CO54" s="44">
        <v>1</v>
      </c>
      <c r="CP54" s="50" t="s">
        <v>515</v>
      </c>
      <c r="CQ54" s="44" t="s">
        <v>372</v>
      </c>
      <c r="CR54" s="44">
        <v>2</v>
      </c>
      <c r="CS54" s="44">
        <v>42</v>
      </c>
      <c r="CT54" s="44">
        <v>10</v>
      </c>
      <c r="CU54" s="43" t="str">
        <f t="shared" si="24"/>
        <v>K00_P_PURL_</v>
      </c>
      <c r="CV54" s="45">
        <v>5000</v>
      </c>
      <c r="CW54" s="43" t="str">
        <f t="shared" si="39"/>
        <v/>
      </c>
      <c r="CX54" s="43" t="str">
        <f t="shared" si="40"/>
        <v/>
      </c>
      <c r="CY54" s="43" t="str">
        <f>IF(IFERROR(INDEX(Consulta!$A:$DS,MATCH('MM01'!$B54,Consulta!$C:$C,0),'MM01'!CY$2),"")=0,"",IFERROR(INDEX(Consulta!$A:$DS,MATCH('MM01'!$B54,Consulta!$C:$C,0),'MM01'!CY$2),""))</f>
        <v/>
      </c>
      <c r="CZ54" s="43" t="str">
        <f t="shared" si="41"/>
        <v/>
      </c>
      <c r="DA54" s="43" t="str">
        <f>IF(IFERROR(INDEX(Consulta!$A:$DS,MATCH('MM01'!$B54,Consulta!$C:$C,0),'MM01'!DA$2),"")=0,"",IFERROR(INDEX(Consulta!$A:$DS,MATCH('MM01'!$B54,Consulta!$C:$C,0),'MM01'!DA$2),""))</f>
        <v/>
      </c>
      <c r="DB54" s="43" t="str">
        <f>IF(IFERROR(INDEX(Consulta!$A:$DS,MATCH('MM01'!$B54,Consulta!$C:$C,0),'MM01'!DB$2),"")=0,"",IFERROR(INDEX(Consulta!$A:$DS,MATCH('MM01'!$B54,Consulta!$C:$C,0),'MM01'!DB$2),""))</f>
        <v/>
      </c>
      <c r="DC54" s="43" t="str">
        <f>IF(IFERROR(INDEX(Consulta!$A:$DS,MATCH('MM01'!$B54,Consulta!$C:$C,0),'MM01'!DC$2),"")=0,"",IFERROR(INDEX(Consulta!$A:$DS,MATCH('MM01'!$B54,Consulta!$C:$C,0),'MM01'!DC$2),""))</f>
        <v/>
      </c>
      <c r="DD54" s="43" t="str">
        <f>IF(IFERROR(INDEX(Consulta!$A:$DS,MATCH('MM01'!$B54,Consulta!$C:$C,0),'MM01'!DD$2),"")=0,"",IFERROR(INDEX(Consulta!$A:$DS,MATCH('MM01'!$B54,Consulta!$C:$C,0),'MM01'!DD$2),""))</f>
        <v/>
      </c>
      <c r="DE54" s="43" t="str">
        <f>IF(IFERROR(INDEX(Consulta!$A:$DS,MATCH('MM01'!$B54,Consulta!$C:$C,0),'MM01'!DE$2),"")=0,"",IFERROR(INDEX(Consulta!$A:$DS,MATCH('MM01'!$B54,Consulta!$C:$C,0),'MM01'!DE$2),""))</f>
        <v/>
      </c>
      <c r="DF54" s="100">
        <v>3458</v>
      </c>
      <c r="DG54" s="45">
        <v>0</v>
      </c>
      <c r="DH54" s="45">
        <v>0</v>
      </c>
      <c r="DI54" s="43" t="str">
        <f t="shared" si="42"/>
        <v/>
      </c>
      <c r="DJ54" s="43" t="str">
        <f t="shared" si="25"/>
        <v/>
      </c>
      <c r="DK54" s="57"/>
      <c r="DL54" s="43" t="str">
        <f t="shared" ca="1" si="26"/>
        <v/>
      </c>
      <c r="DM54" s="43" t="str">
        <f t="shared" si="27"/>
        <v/>
      </c>
      <c r="DN54" s="43" t="str">
        <f t="shared" si="28"/>
        <v/>
      </c>
      <c r="DO54" s="57"/>
      <c r="DP54" s="43" t="str">
        <f t="shared" ca="1" si="29"/>
        <v/>
      </c>
      <c r="DQ54" s="43" t="str">
        <f t="shared" si="30"/>
        <v/>
      </c>
      <c r="DR54" s="43" t="str">
        <f t="shared" si="31"/>
        <v/>
      </c>
      <c r="DS54" s="57"/>
      <c r="DT54" s="43" t="str">
        <f t="shared" ca="1" si="32"/>
        <v/>
      </c>
      <c r="DU54" s="43" t="str">
        <f t="shared" si="33"/>
        <v/>
      </c>
      <c r="DV54" s="43" t="str">
        <f t="shared" si="34"/>
        <v/>
      </c>
      <c r="DW54" s="57"/>
      <c r="DX54" s="43" t="str">
        <f t="shared" ca="1" si="35"/>
        <v/>
      </c>
      <c r="DY54" s="43" t="str">
        <f t="shared" si="36"/>
        <v/>
      </c>
      <c r="EA54" s="44">
        <v>0</v>
      </c>
      <c r="EB54" s="44" t="s">
        <v>761</v>
      </c>
      <c r="EC54" s="44">
        <v>30</v>
      </c>
      <c r="ED54" s="43">
        <f t="shared" si="43"/>
        <v>0.01</v>
      </c>
      <c r="EE54" s="43" t="str">
        <f t="shared" si="44"/>
        <v>M</v>
      </c>
      <c r="EF54" s="43" t="str">
        <f>IF(IFERROR(INDEX(Consulta!$A:$DS,MATCH('MM01'!$B54,Consulta!$C:$C,0),'MM01'!EF$2),"")=0,"7925",IF(IFERROR(INDEX(Consulta!$A:$DS,MATCH('MM01'!$B54,Consulta!$C:$C,0),'MM01'!EF$2),"")="68","7910","7925"))</f>
        <v>7925</v>
      </c>
      <c r="EG54" s="44">
        <v>100</v>
      </c>
      <c r="EH54" s="62">
        <v>1</v>
      </c>
      <c r="EI54" s="43">
        <f t="shared" si="37"/>
        <v>100</v>
      </c>
      <c r="EJ54" s="44">
        <v>1</v>
      </c>
      <c r="EK54" s="44">
        <v>0</v>
      </c>
      <c r="EL54" s="44" t="s">
        <v>859</v>
      </c>
      <c r="EM54" s="45">
        <v>0</v>
      </c>
      <c r="EN54" s="43">
        <f t="shared" si="38"/>
        <v>5000</v>
      </c>
      <c r="EO54" s="70"/>
    </row>
  </sheetData>
  <sortState ref="B5:B61">
    <sortCondition ref="B5"/>
  </sortState>
  <mergeCells count="6">
    <mergeCell ref="DZ1:DZ2"/>
    <mergeCell ref="BK1:BK2"/>
    <mergeCell ref="M3:AM3"/>
    <mergeCell ref="AN1:AN2"/>
    <mergeCell ref="L1:L2"/>
    <mergeCell ref="BJ1:BJ2"/>
  </mergeCells>
  <conditionalFormatting sqref="B5:C5">
    <cfRule type="beginsWith" dxfId="102" priority="98" operator="beginsWith" text="L">
      <formula>LEFT(B5,LEN("L"))="L"</formula>
    </cfRule>
  </conditionalFormatting>
  <conditionalFormatting sqref="D5">
    <cfRule type="beginsWith" dxfId="101" priority="67" operator="beginsWith" text="L">
      <formula>LEFT(D5,LEN("L"))="L"</formula>
    </cfRule>
  </conditionalFormatting>
  <conditionalFormatting sqref="E5:E54">
    <cfRule type="beginsWith" dxfId="100" priority="66" operator="beginsWith" text="L">
      <formula>LEFT(E5,LEN("L"))="L"</formula>
    </cfRule>
  </conditionalFormatting>
  <conditionalFormatting sqref="AP5">
    <cfRule type="beginsWith" dxfId="99" priority="65" operator="beginsWith" text="L">
      <formula>LEFT(AP5,LEN("L"))="L"</formula>
    </cfRule>
  </conditionalFormatting>
  <conditionalFormatting sqref="AS5:AS54">
    <cfRule type="beginsWith" dxfId="98" priority="64" operator="beginsWith" text="L">
      <formula>LEFT(AS5,LEN("L"))="L"</formula>
    </cfRule>
  </conditionalFormatting>
  <conditionalFormatting sqref="AW5">
    <cfRule type="beginsWith" dxfId="97" priority="63" operator="beginsWith" text="L">
      <formula>LEFT(AW5,LEN("L"))="L"</formula>
    </cfRule>
  </conditionalFormatting>
  <conditionalFormatting sqref="BA5">
    <cfRule type="beginsWith" dxfId="96" priority="62" operator="beginsWith" text="L">
      <formula>LEFT(BA5,LEN("L"))="L"</formula>
    </cfRule>
  </conditionalFormatting>
  <conditionalFormatting sqref="BL5">
    <cfRule type="beginsWith" dxfId="95" priority="61" operator="beginsWith" text="L">
      <formula>LEFT(BL5,LEN("L"))="L"</formula>
    </cfRule>
  </conditionalFormatting>
  <conditionalFormatting sqref="BX5">
    <cfRule type="beginsWith" dxfId="94" priority="60" operator="beginsWith" text="L">
      <formula>LEFT(BX5,LEN("L"))="L"</formula>
    </cfRule>
  </conditionalFormatting>
  <conditionalFormatting sqref="DE5">
    <cfRule type="beginsWith" dxfId="93" priority="55" operator="beginsWith" text="L">
      <formula>LEFT(DE5,LEN("L"))="L"</formula>
    </cfRule>
  </conditionalFormatting>
  <conditionalFormatting sqref="B6:C54">
    <cfRule type="beginsWith" dxfId="92" priority="36" operator="beginsWith" text="L">
      <formula>LEFT(B6,LEN("L"))="L"</formula>
    </cfRule>
  </conditionalFormatting>
  <conditionalFormatting sqref="D6:D54">
    <cfRule type="beginsWith" dxfId="91" priority="35" operator="beginsWith" text="L">
      <formula>LEFT(D6,LEN("L"))="L"</formula>
    </cfRule>
  </conditionalFormatting>
  <conditionalFormatting sqref="AP6:AP54">
    <cfRule type="beginsWith" dxfId="90" priority="33" operator="beginsWith" text="L">
      <formula>LEFT(AP6,LEN("L"))="L"</formula>
    </cfRule>
  </conditionalFormatting>
  <conditionalFormatting sqref="BA6:BA54">
    <cfRule type="beginsWith" dxfId="89" priority="30" operator="beginsWith" text="L">
      <formula>LEFT(BA6,LEN("L"))="L"</formula>
    </cfRule>
  </conditionalFormatting>
  <conditionalFormatting sqref="BL6:BL54">
    <cfRule type="beginsWith" dxfId="88" priority="29" operator="beginsWith" text="L">
      <formula>LEFT(BL6,LEN("L"))="L"</formula>
    </cfRule>
  </conditionalFormatting>
  <conditionalFormatting sqref="BX6:BX54">
    <cfRule type="beginsWith" dxfId="87" priority="28" operator="beginsWith" text="L">
      <formula>LEFT(BX6,LEN("L"))="L"</formula>
    </cfRule>
  </conditionalFormatting>
  <conditionalFormatting sqref="DE6:DE54">
    <cfRule type="beginsWith" dxfId="86" priority="23" operator="beginsWith" text="L">
      <formula>LEFT(DE6,LEN("L"))="L"</formula>
    </cfRule>
  </conditionalFormatting>
  <conditionalFormatting sqref="AW6:AW54">
    <cfRule type="beginsWith" dxfId="85" priority="22" operator="beginsWith" text="L">
      <formula>LEFT(AW6,LEN("L"))="L"</formula>
    </cfRule>
  </conditionalFormatting>
  <conditionalFormatting sqref="EO1:EO1048576">
    <cfRule type="containsText" dxfId="84" priority="15" operator="containsText" text="criadas">
      <formula>NOT(ISERROR(SEARCH("criadas",EO1)))</formula>
    </cfRule>
    <cfRule type="containsText" dxfId="83" priority="17" operator="containsText" text="é gravado">
      <formula>NOT(ISERROR(SEARCH("é gravado",EO1)))</formula>
    </cfRule>
    <cfRule type="containsText" dxfId="82" priority="18" operator="containsText" text="é modificado">
      <formula>NOT(ISERROR(SEARCH("é modificado",EO1)))</formula>
    </cfRule>
    <cfRule type="containsText" dxfId="81" priority="19" operator="containsText" text="Error">
      <formula>NOT(ISERROR(SEARCH("Error",EO1)))</formula>
    </cfRule>
    <cfRule type="containsText" dxfId="80" priority="20" operator="containsText" text="é criado">
      <formula>NOT(ISERROR(SEARCH("é criado",EO1)))</formula>
    </cfRule>
  </conditionalFormatting>
  <conditionalFormatting sqref="CY5:CY54">
    <cfRule type="beginsWith" dxfId="79" priority="14" operator="beginsWith" text="L">
      <formula>LEFT(CY5,LEN("L"))="L"</formula>
    </cfRule>
  </conditionalFormatting>
  <conditionalFormatting sqref="EF5:EF54">
    <cfRule type="beginsWith" dxfId="78" priority="13" operator="beginsWith" text="L">
      <formula>LEFT(EF5,LEN("L"))="L"</formula>
    </cfRule>
  </conditionalFormatting>
  <conditionalFormatting sqref="G5:G54">
    <cfRule type="beginsWith" dxfId="77" priority="12" operator="beginsWith" text="L">
      <formula>LEFT(G5,LEN("L"))="L"</formula>
    </cfRule>
  </conditionalFormatting>
  <conditionalFormatting sqref="H5:H54">
    <cfRule type="beginsWith" dxfId="76" priority="11" operator="beginsWith" text="L">
      <formula>LEFT(H5,LEN("L"))="L"</formula>
    </cfRule>
  </conditionalFormatting>
  <conditionalFormatting sqref="J5:J54">
    <cfRule type="beginsWith" dxfId="75" priority="10" operator="beginsWith" text="L">
      <formula>LEFT(J5,LEN("L"))="L"</formula>
    </cfRule>
  </conditionalFormatting>
  <conditionalFormatting sqref="AR5:AR54">
    <cfRule type="beginsWith" dxfId="74" priority="9" operator="beginsWith" text="L">
      <formula>LEFT(AR5,LEN("L"))="L"</formula>
    </cfRule>
  </conditionalFormatting>
  <conditionalFormatting sqref="DA5">
    <cfRule type="beginsWith" dxfId="73" priority="8" operator="beginsWith" text="L">
      <formula>LEFT(DA5,LEN("L"))="L"</formula>
    </cfRule>
  </conditionalFormatting>
  <conditionalFormatting sqref="DA6:DA54">
    <cfRule type="beginsWith" dxfId="72" priority="7" operator="beginsWith" text="L">
      <formula>LEFT(DA6,LEN("L"))="L"</formula>
    </cfRule>
  </conditionalFormatting>
  <conditionalFormatting sqref="DB5">
    <cfRule type="beginsWith" dxfId="71" priority="6" operator="beginsWith" text="L">
      <formula>LEFT(DB5,LEN("L"))="L"</formula>
    </cfRule>
  </conditionalFormatting>
  <conditionalFormatting sqref="DB6:DB54">
    <cfRule type="beginsWith" dxfId="70" priority="5" operator="beginsWith" text="L">
      <formula>LEFT(DB6,LEN("L"))="L"</formula>
    </cfRule>
  </conditionalFormatting>
  <conditionalFormatting sqref="DC5">
    <cfRule type="beginsWith" dxfId="69" priority="4" operator="beginsWith" text="L">
      <formula>LEFT(DC5,LEN("L"))="L"</formula>
    </cfRule>
  </conditionalFormatting>
  <conditionalFormatting sqref="DC6:DC54">
    <cfRule type="beginsWith" dxfId="68" priority="3" operator="beginsWith" text="L">
      <formula>LEFT(DC6,LEN("L"))="L"</formula>
    </cfRule>
  </conditionalFormatting>
  <conditionalFormatting sqref="DD5">
    <cfRule type="beginsWith" dxfId="67" priority="2" operator="beginsWith" text="L">
      <formula>LEFT(DD5,LEN("L"))="L"</formula>
    </cfRule>
  </conditionalFormatting>
  <conditionalFormatting sqref="DD6:DD54">
    <cfRule type="beginsWith" dxfId="66" priority="1" operator="beginsWith" text="L">
      <formula>LEFT(DD6,LEN("L"))="L"</formula>
    </cfRule>
  </conditionalFormatting>
  <dataValidations count="4">
    <dataValidation type="list" allowBlank="1" showInputMessage="1" showErrorMessage="1" sqref="CE5:CE54 BT5:BT54">
      <formula1>"0,1"</formula1>
    </dataValidation>
    <dataValidation type="list" allowBlank="1" showInputMessage="1" showErrorMessage="1" sqref="EH5:EH54 EM5:EM54 EA5:EA54">
      <formula1>"1,0"</formula1>
    </dataValidation>
    <dataValidation type="list" allowBlank="1" showInputMessage="1" showErrorMessage="1" sqref="DO5:DO54 DW5:DW54 DK5:DK54">
      <formula1>$BF$4:$BF$32</formula1>
    </dataValidation>
    <dataValidation type="list" allowBlank="1" showInputMessage="1" showErrorMessage="1" errorTitle="N° de descimais exedido" error="SAP somente aceita até 3 casas decimais. Por favor inserir um número dentro do limite._x000a_" sqref="AW5:AW54">
      <formula1>MOD(AW5*1000,QUOTIENT(AW5*1000,1))=0</formula1>
    </dataValidation>
  </dataValidation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9">
        <x14:dataValidation type="list" allowBlank="1" showInputMessage="1" showErrorMessage="1">
          <x14:formula1>
            <xm:f>'Listas de Dados'!$J$4:$J$29</xm:f>
          </x14:formula1>
          <xm:sqref>M5:AM54</xm:sqref>
        </x14:dataValidation>
        <x14:dataValidation type="list" allowBlank="1" showInputMessage="1" showErrorMessage="1">
          <x14:formula1>
            <xm:f>'Listas de Dados'!$B$4:$B$5</xm:f>
          </x14:formula1>
          <xm:sqref>I5:I54</xm:sqref>
        </x14:dataValidation>
        <x14:dataValidation type="list" allowBlank="1" showInputMessage="1" showErrorMessage="1">
          <x14:formula1>
            <xm:f>'Listas de Dados'!$E$4:$E$5</xm:f>
          </x14:formula1>
          <xm:sqref>K5:K54</xm:sqref>
        </x14:dataValidation>
        <x14:dataValidation type="list" allowBlank="1" showInputMessage="1" showErrorMessage="1">
          <x14:formula1>
            <xm:f>'Listas de Dados'!$AA$4:$AA$5</xm:f>
          </x14:formula1>
          <xm:sqref>BM5:BM54 AT5:AT54</xm:sqref>
        </x14:dataValidation>
        <x14:dataValidation type="list" allowBlank="1" showInputMessage="1" showErrorMessage="1">
          <x14:formula1>
            <xm:f>'Listas de Dados'!$AI$4:$AI$11</xm:f>
          </x14:formula1>
          <xm:sqref>BU5:BU54</xm:sqref>
        </x14:dataValidation>
        <x14:dataValidation type="list" allowBlank="1" showInputMessage="1" showErrorMessage="1">
          <x14:formula1>
            <xm:f>'Listas de Dados'!$AL$4:$AL$10</xm:f>
          </x14:formula1>
          <xm:sqref>CA5:CA54</xm:sqref>
        </x14:dataValidation>
        <x14:dataValidation type="list" allowBlank="1" showInputMessage="1" showErrorMessage="1">
          <x14:formula1>
            <xm:f>'Listas de Dados'!$AO$4:$AO$32</xm:f>
          </x14:formula1>
          <xm:sqref>CB5:CB54</xm:sqref>
        </x14:dataValidation>
        <x14:dataValidation type="list" allowBlank="1" showInputMessage="1" showErrorMessage="1">
          <x14:formula1>
            <xm:f>'Listas de Dados'!$AU$4:$AU$35</xm:f>
          </x14:formula1>
          <xm:sqref>CD5:CD54</xm:sqref>
        </x14:dataValidation>
        <x14:dataValidation type="list" allowBlank="1" showInputMessage="1" showErrorMessage="1">
          <x14:formula1>
            <xm:f>'Listas de Dados'!$AX$4:$AX$5</xm:f>
          </x14:formula1>
          <xm:sqref>CF5:CF54</xm:sqref>
        </x14:dataValidation>
        <x14:dataValidation type="list" allowBlank="1" showInputMessage="1" showErrorMessage="1">
          <x14:formula1>
            <xm:f>'Listas de Dados'!$AX$6:$AX$8</xm:f>
          </x14:formula1>
          <xm:sqref>CG5:CG54</xm:sqref>
        </x14:dataValidation>
        <x14:dataValidation type="list" allowBlank="1" showInputMessage="1" showErrorMessage="1">
          <x14:formula1>
            <xm:f>'Listas de Dados'!$BF$4:$BF$87</xm:f>
          </x14:formula1>
          <xm:sqref>DS5:DS54</xm:sqref>
        </x14:dataValidation>
        <x14:dataValidation type="list" allowBlank="1" showInputMessage="1" showErrorMessage="1">
          <x14:formula1>
            <xm:f>'Listas de Dados'!$AD$4:$AD$16</xm:f>
          </x14:formula1>
          <xm:sqref>BK5:BK54</xm:sqref>
        </x14:dataValidation>
        <x14:dataValidation type="list" allowBlank="1" showInputMessage="1" showErrorMessage="1">
          <x14:formula1>
            <xm:f>'Listas de Dados'!$BM$4:$BM$9</xm:f>
          </x14:formula1>
          <xm:sqref>D5:D54</xm:sqref>
        </x14:dataValidation>
        <x14:dataValidation type="list" allowBlank="1" showInputMessage="1" showErrorMessage="1">
          <x14:formula1>
            <xm:f>'Listas de Dados'!$BO$4:$BO$34</xm:f>
          </x14:formula1>
          <xm:sqref>AP5:AP54</xm:sqref>
        </x14:dataValidation>
        <x14:dataValidation type="list" allowBlank="1" showInputMessage="1" showErrorMessage="1">
          <x14:formula1>
            <xm:f>'Listas de Dados'!$BR$4:$BR$6</xm:f>
          </x14:formula1>
          <xm:sqref>BL5:BL54</xm:sqref>
        </x14:dataValidation>
        <x14:dataValidation type="list" allowBlank="1" showInputMessage="1" showErrorMessage="1">
          <x14:formula1>
            <xm:f>'Listas de Dados'!$AR$4:$AR$11</xm:f>
          </x14:formula1>
          <xm:sqref>CC5:CC54</xm:sqref>
        </x14:dataValidation>
        <x14:dataValidation type="list" allowBlank="1" showInputMessage="1" showErrorMessage="1">
          <x14:formula1>
            <xm:f>'Listas de Dados'!$C$4:$C$18</xm:f>
          </x14:formula1>
          <xm:sqref>H5:H54</xm:sqref>
        </x14:dataValidation>
        <x14:dataValidation type="list" allowBlank="1" showInputMessage="1" showErrorMessage="1">
          <x14:formula1>
            <xm:f>'Listas de Dados'!$D$4:$D$8</xm:f>
          </x14:formula1>
          <xm:sqref>J5:J54</xm:sqref>
        </x14:dataValidation>
        <x14:dataValidation type="list" allowBlank="1" showInputMessage="1" showErrorMessage="1">
          <x14:formula1>
            <xm:f>'Listas de Dados'!$M$4:$M$15</xm:f>
          </x14:formula1>
          <xm:sqref>AR5:AR54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6">
    <tabColor theme="4" tint="0.79998168889431442"/>
  </sheetPr>
  <dimension ref="A1:E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17.28515625" style="6" customWidth="1"/>
    <col min="5" max="5" width="75.7109375" style="1" customWidth="1"/>
    <col min="6" max="6" width="22" style="1" customWidth="1"/>
    <col min="7" max="16384" width="9.140625" style="1"/>
  </cols>
  <sheetData>
    <row r="1" spans="1:5" s="37" customFormat="1" x14ac:dyDescent="0.2">
      <c r="A1" s="7" t="s">
        <v>28</v>
      </c>
      <c r="E1" s="63"/>
    </row>
    <row r="2" spans="1:5" s="41" customFormat="1" x14ac:dyDescent="0.2">
      <c r="A2" s="7"/>
      <c r="B2" s="40"/>
      <c r="C2" s="37"/>
      <c r="D2" s="37"/>
    </row>
    <row r="3" spans="1:5" s="37" customFormat="1" ht="15" customHeight="1" x14ac:dyDescent="0.2">
      <c r="A3" s="7" t="s">
        <v>29</v>
      </c>
      <c r="B3" s="4" t="s">
        <v>843</v>
      </c>
      <c r="C3" s="36" t="s">
        <v>844</v>
      </c>
      <c r="D3" s="36" t="s">
        <v>845</v>
      </c>
      <c r="E3" s="63" t="s">
        <v>32</v>
      </c>
    </row>
    <row r="4" spans="1:5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846</v>
      </c>
      <c r="E4" s="5" t="s">
        <v>940</v>
      </c>
    </row>
    <row r="5" spans="1:5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44">
        <v>1</v>
      </c>
      <c r="E5" s="68"/>
    </row>
    <row r="6" spans="1:5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44">
        <v>1</v>
      </c>
      <c r="E6" s="69"/>
    </row>
    <row r="7" spans="1:5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44">
        <v>1</v>
      </c>
      <c r="E7" s="69"/>
    </row>
    <row r="8" spans="1:5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44">
        <v>1</v>
      </c>
      <c r="E8" s="69"/>
    </row>
    <row r="9" spans="1:5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44">
        <v>1</v>
      </c>
      <c r="E9" s="69"/>
    </row>
    <row r="10" spans="1:5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44">
        <v>1</v>
      </c>
      <c r="E10" s="69"/>
    </row>
    <row r="11" spans="1:5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44">
        <v>1</v>
      </c>
      <c r="E11" s="69"/>
    </row>
    <row r="12" spans="1:5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44">
        <v>1</v>
      </c>
      <c r="E12" s="69"/>
    </row>
    <row r="13" spans="1:5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44">
        <v>1</v>
      </c>
      <c r="E13" s="69"/>
    </row>
    <row r="14" spans="1:5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44">
        <v>1</v>
      </c>
      <c r="E14" s="69"/>
    </row>
    <row r="15" spans="1:5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44">
        <v>1</v>
      </c>
      <c r="E15" s="69"/>
    </row>
    <row r="16" spans="1:5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44">
        <v>1</v>
      </c>
      <c r="E16" s="69"/>
    </row>
    <row r="17" spans="1:5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44">
        <v>1</v>
      </c>
      <c r="E17" s="69"/>
    </row>
    <row r="18" spans="1:5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44">
        <v>1</v>
      </c>
      <c r="E18" s="69"/>
    </row>
    <row r="19" spans="1:5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44">
        <v>1</v>
      </c>
      <c r="E19" s="69"/>
    </row>
    <row r="20" spans="1:5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44">
        <v>1</v>
      </c>
      <c r="E20" s="69"/>
    </row>
    <row r="21" spans="1:5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44">
        <v>1</v>
      </c>
      <c r="E21" s="69"/>
    </row>
    <row r="22" spans="1:5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44">
        <v>1</v>
      </c>
      <c r="E22" s="69"/>
    </row>
    <row r="23" spans="1:5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44">
        <v>1</v>
      </c>
      <c r="E23" s="69"/>
    </row>
    <row r="24" spans="1:5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44">
        <v>1</v>
      </c>
      <c r="E24" s="69"/>
    </row>
    <row r="25" spans="1:5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44">
        <v>1</v>
      </c>
      <c r="E25" s="69"/>
    </row>
    <row r="26" spans="1:5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44">
        <v>1</v>
      </c>
      <c r="E26" s="69"/>
    </row>
    <row r="27" spans="1:5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44">
        <v>1</v>
      </c>
      <c r="E27" s="69"/>
    </row>
    <row r="28" spans="1:5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44">
        <v>1</v>
      </c>
      <c r="E28" s="69"/>
    </row>
    <row r="29" spans="1:5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44">
        <v>1</v>
      </c>
      <c r="E29" s="69"/>
    </row>
    <row r="30" spans="1:5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44">
        <v>1</v>
      </c>
      <c r="E30" s="69"/>
    </row>
    <row r="31" spans="1:5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44">
        <v>1</v>
      </c>
      <c r="E31" s="69"/>
    </row>
    <row r="32" spans="1:5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44">
        <v>1</v>
      </c>
      <c r="E32" s="69"/>
    </row>
    <row r="33" spans="1:5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44">
        <v>1</v>
      </c>
      <c r="E33" s="69"/>
    </row>
    <row r="34" spans="1:5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44">
        <v>1</v>
      </c>
      <c r="E34" s="69"/>
    </row>
    <row r="35" spans="1:5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44">
        <v>1</v>
      </c>
      <c r="E35" s="69"/>
    </row>
    <row r="36" spans="1:5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44">
        <v>1</v>
      </c>
      <c r="E36" s="69"/>
    </row>
    <row r="37" spans="1:5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44">
        <v>1</v>
      </c>
      <c r="E37" s="69"/>
    </row>
    <row r="38" spans="1:5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44">
        <v>1</v>
      </c>
      <c r="E38" s="69"/>
    </row>
    <row r="39" spans="1:5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44">
        <v>1</v>
      </c>
      <c r="E39" s="69"/>
    </row>
    <row r="40" spans="1:5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44">
        <v>1</v>
      </c>
      <c r="E40" s="69"/>
    </row>
    <row r="41" spans="1:5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44">
        <v>1</v>
      </c>
      <c r="E41" s="69"/>
    </row>
    <row r="42" spans="1:5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44">
        <v>1</v>
      </c>
      <c r="E42" s="69"/>
    </row>
    <row r="43" spans="1:5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44">
        <v>1</v>
      </c>
      <c r="E43" s="69"/>
    </row>
    <row r="44" spans="1:5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44">
        <v>1</v>
      </c>
      <c r="E44" s="69"/>
    </row>
    <row r="45" spans="1:5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44">
        <v>1</v>
      </c>
      <c r="E45" s="69"/>
    </row>
    <row r="46" spans="1:5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44">
        <v>1</v>
      </c>
      <c r="E46" s="69"/>
    </row>
    <row r="47" spans="1:5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44">
        <v>1</v>
      </c>
      <c r="E47" s="69"/>
    </row>
    <row r="48" spans="1:5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44">
        <v>1</v>
      </c>
      <c r="E48" s="69"/>
    </row>
    <row r="49" spans="1:5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44">
        <v>1</v>
      </c>
      <c r="E49" s="69"/>
    </row>
    <row r="50" spans="1:5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44">
        <v>1</v>
      </c>
      <c r="E50" s="69"/>
    </row>
    <row r="51" spans="1:5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44">
        <v>1</v>
      </c>
      <c r="E51" s="69"/>
    </row>
    <row r="52" spans="1:5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44">
        <v>1</v>
      </c>
      <c r="E52" s="69"/>
    </row>
    <row r="53" spans="1:5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44">
        <v>1</v>
      </c>
      <c r="E53" s="69"/>
    </row>
    <row r="54" spans="1:5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44">
        <v>1</v>
      </c>
      <c r="E54" s="70"/>
    </row>
  </sheetData>
  <conditionalFormatting sqref="B5">
    <cfRule type="beginsWith" dxfId="65" priority="56" operator="beginsWith" text="L">
      <formula>LEFT(B5,LEN("L"))="L"</formula>
    </cfRule>
  </conditionalFormatting>
  <conditionalFormatting sqref="B6:B14">
    <cfRule type="beginsWith" dxfId="64" priority="40" operator="beginsWith" text="L">
      <formula>LEFT(B6,LEN("L"))="L"</formula>
    </cfRule>
  </conditionalFormatting>
  <conditionalFormatting sqref="B15:B54">
    <cfRule type="beginsWith" dxfId="63" priority="26" operator="beginsWith" text="L">
      <formula>LEFT(B15,LEN("L"))="L"</formula>
    </cfRule>
  </conditionalFormatting>
  <conditionalFormatting sqref="E1:E1048576">
    <cfRule type="containsText" dxfId="62" priority="1" operator="containsText" text="criadas">
      <formula>NOT(ISERROR(SEARCH("criadas",E1)))</formula>
    </cfRule>
    <cfRule type="containsText" dxfId="61" priority="2" operator="containsText" text="é gravado">
      <formula>NOT(ISERROR(SEARCH("é gravado",E1)))</formula>
    </cfRule>
    <cfRule type="containsText" dxfId="60" priority="3" operator="containsText" text="é modificado">
      <formula>NOT(ISERROR(SEARCH("é modificado",E1)))</formula>
    </cfRule>
    <cfRule type="containsText" dxfId="59" priority="4" operator="containsText" text="Error">
      <formula>NOT(ISERROR(SEARCH("Error",E1)))</formula>
    </cfRule>
    <cfRule type="containsText" dxfId="58" priority="5" operator="containsText" text="é criado">
      <formula>NOT(ISERROR(SEARCH("é criado",E1)))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2289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2293" r:id="rId5" name="Button 5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7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6.140625" style="6" customWidth="1"/>
    <col min="4" max="4" width="100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Dados'!BJ:BK,2,0)</f>
        <v>K00_P_PURL_0582</v>
      </c>
      <c r="D1" s="63"/>
    </row>
    <row r="2" spans="1:4" s="41" customFormat="1" x14ac:dyDescent="0.2">
      <c r="A2" s="7"/>
      <c r="B2" s="78" t="s">
        <v>9</v>
      </c>
      <c r="C2" s="37"/>
    </row>
    <row r="3" spans="1:4" s="37" customFormat="1" ht="15" customHeight="1" x14ac:dyDescent="0.2">
      <c r="A3" s="7" t="s">
        <v>29</v>
      </c>
      <c r="B3" s="4" t="s">
        <v>849</v>
      </c>
      <c r="C3" s="36" t="s">
        <v>850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57" priority="30" operator="beginsWith" text="L">
      <formula>LEFT(B5,LEN("L"))="L"</formula>
    </cfRule>
  </conditionalFormatting>
  <conditionalFormatting sqref="B6:B54">
    <cfRule type="beginsWith" dxfId="56" priority="27" operator="beginsWith" text="L">
      <formula>LEFT(B6,LEN("L"))="L"</formula>
    </cfRule>
  </conditionalFormatting>
  <conditionalFormatting sqref="D1:D3 D5:D1048576">
    <cfRule type="containsText" dxfId="55" priority="6" operator="containsText" text="criadas">
      <formula>NOT(ISERROR(SEARCH("criadas",D1)))</formula>
    </cfRule>
    <cfRule type="containsText" dxfId="54" priority="7" operator="containsText" text="é gravado">
      <formula>NOT(ISERROR(SEARCH("é gravado",D1)))</formula>
    </cfRule>
    <cfRule type="containsText" dxfId="53" priority="8" operator="containsText" text="é modificado">
      <formula>NOT(ISERROR(SEARCH("é modificado",D1)))</formula>
    </cfRule>
    <cfRule type="containsText" dxfId="52" priority="9" operator="containsText" text="Error">
      <formula>NOT(ISERROR(SEARCH("Error",D1)))</formula>
    </cfRule>
    <cfRule type="containsText" dxfId="51" priority="10" operator="containsText" text="é criado">
      <formula>NOT(ISERROR(SEARCH("é criado",D1)))</formula>
    </cfRule>
  </conditionalFormatting>
  <conditionalFormatting sqref="D4">
    <cfRule type="containsText" dxfId="50" priority="1" operator="containsText" text="criadas">
      <formula>NOT(ISERROR(SEARCH("criadas",D4)))</formula>
    </cfRule>
    <cfRule type="containsText" dxfId="49" priority="2" operator="containsText" text="é gravado">
      <formula>NOT(ISERROR(SEARCH("é gravado",D4)))</formula>
    </cfRule>
    <cfRule type="containsText" dxfId="48" priority="3" operator="containsText" text="é modificado">
      <formula>NOT(ISERROR(SEARCH("é modificado",D4)))</formula>
    </cfRule>
    <cfRule type="containsText" dxfId="47" priority="4" operator="containsText" text="Error">
      <formula>NOT(ISERROR(SEARCH("Error",D4)))</formula>
    </cfRule>
    <cfRule type="containsText" dxfId="46" priority="5" operator="containsText" text="é criado">
      <formula>NOT(ISERROR(SEARCH("é criado",D4)))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9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disablePrompts="1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8">
    <tabColor theme="4" tint="0.79998168889431442"/>
  </sheetPr>
  <dimension ref="A1:D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75.7109375" style="1" customWidth="1"/>
    <col min="5" max="5" width="22" style="1" customWidth="1"/>
    <col min="6" max="16384" width="9.140625" style="1"/>
  </cols>
  <sheetData>
    <row r="1" spans="1:4" s="37" customFormat="1" x14ac:dyDescent="0.2">
      <c r="A1" s="7" t="s">
        <v>28</v>
      </c>
      <c r="B1" s="31" t="str">
        <f>VLOOKUP(B2,'Listas de Dados'!$BJ$6:$BK$7,2,0)</f>
        <v>K00_P_TRIM_PU_0582</v>
      </c>
      <c r="D1" s="63"/>
    </row>
    <row r="2" spans="1:4" s="41" customFormat="1" x14ac:dyDescent="0.2">
      <c r="A2" s="7"/>
      <c r="B2" s="78" t="s">
        <v>9</v>
      </c>
      <c r="C2" s="37"/>
    </row>
    <row r="3" spans="1:4" s="37" customFormat="1" ht="15" customHeight="1" x14ac:dyDescent="0.2">
      <c r="A3" s="7" t="s">
        <v>29</v>
      </c>
      <c r="B3" s="4" t="s">
        <v>851</v>
      </c>
      <c r="C3" s="36" t="s">
        <v>156</v>
      </c>
      <c r="D3" s="63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45" priority="32" operator="beginsWith" text="L">
      <formula>LEFT(B5,LEN("L"))="L"</formula>
    </cfRule>
  </conditionalFormatting>
  <conditionalFormatting sqref="B6:B14">
    <cfRule type="beginsWith" dxfId="44" priority="29" operator="beginsWith" text="L">
      <formula>LEFT(B6,LEN("L"))="L"</formula>
    </cfRule>
  </conditionalFormatting>
  <conditionalFormatting sqref="B15:B54">
    <cfRule type="beginsWith" dxfId="43" priority="26" operator="beginsWith" text="L">
      <formula>LEFT(B15,LEN("L"))="L"</formula>
    </cfRule>
  </conditionalFormatting>
  <conditionalFormatting sqref="D1:D3 D5:D1048576">
    <cfRule type="containsText" dxfId="42" priority="6" operator="containsText" text="criadas">
      <formula>NOT(ISERROR(SEARCH("criadas",D1)))</formula>
    </cfRule>
    <cfRule type="containsText" dxfId="41" priority="7" operator="containsText" text="é gravado">
      <formula>NOT(ISERROR(SEARCH("é gravado",D1)))</formula>
    </cfRule>
    <cfRule type="containsText" dxfId="40" priority="8" operator="containsText" text="é modificado">
      <formula>NOT(ISERROR(SEARCH("é modificado",D1)))</formula>
    </cfRule>
    <cfRule type="containsText" dxfId="39" priority="9" operator="containsText" text="Error">
      <formula>NOT(ISERROR(SEARCH("Error",D1)))</formula>
    </cfRule>
    <cfRule type="containsText" dxfId="38" priority="10" operator="containsText" text="é criado">
      <formula>NOT(ISERROR(SEARCH("é criado",D1)))</formula>
    </cfRule>
  </conditionalFormatting>
  <conditionalFormatting sqref="D4">
    <cfRule type="containsText" dxfId="37" priority="1" operator="containsText" text="criadas">
      <formula>NOT(ISERROR(SEARCH("criadas",D4)))</formula>
    </cfRule>
    <cfRule type="containsText" dxfId="36" priority="2" operator="containsText" text="é gravado">
      <formula>NOT(ISERROR(SEARCH("é gravado",D4)))</formula>
    </cfRule>
    <cfRule type="containsText" dxfId="35" priority="3" operator="containsText" text="é modificado">
      <formula>NOT(ISERROR(SEARCH("é modificado",D4)))</formula>
    </cfRule>
    <cfRule type="containsText" dxfId="34" priority="4" operator="containsText" text="Error">
      <formula>NOT(ISERROR(SEARCH("Error",D4)))</formula>
    </cfRule>
    <cfRule type="containsText" dxfId="33" priority="5" operator="containsText" text="é criado">
      <formula>NOT(ISERROR(SEARCH("é criado",D4)))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3" r:id="rId5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B2</xm:sqref>
        </x14:dataValidation>
      </x14:dataValidations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9">
    <tabColor theme="4" tint="0.79998168889431442"/>
  </sheetPr>
  <dimension ref="A1:D54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7.5703125" style="6" customWidth="1"/>
    <col min="4" max="4" width="85.7109375" style="1" customWidth="1"/>
    <col min="5" max="5" width="22" style="1" customWidth="1"/>
    <col min="6" max="16384" width="9.140625" style="1"/>
  </cols>
  <sheetData>
    <row r="1" spans="1:4" s="51" customFormat="1" x14ac:dyDescent="0.2">
      <c r="A1" s="7" t="s">
        <v>28</v>
      </c>
      <c r="D1" s="64"/>
    </row>
    <row r="2" spans="1:4" s="41" customFormat="1" x14ac:dyDescent="0.2">
      <c r="A2" s="7"/>
      <c r="B2" s="40"/>
      <c r="C2" s="51"/>
    </row>
    <row r="3" spans="1:4" s="51" customFormat="1" ht="15" customHeight="1" x14ac:dyDescent="0.2">
      <c r="A3" s="7" t="s">
        <v>29</v>
      </c>
      <c r="B3" s="4" t="s">
        <v>856</v>
      </c>
      <c r="C3" s="52" t="s">
        <v>857</v>
      </c>
      <c r="D3" s="64" t="s">
        <v>32</v>
      </c>
    </row>
    <row r="4" spans="1:4" s="5" customFormat="1" ht="15" customHeight="1" x14ac:dyDescent="0.2">
      <c r="A4" s="8" t="s">
        <v>30</v>
      </c>
      <c r="B4" s="3" t="s">
        <v>95</v>
      </c>
      <c r="C4" s="14" t="s">
        <v>0</v>
      </c>
      <c r="D4" s="5" t="s">
        <v>940</v>
      </c>
    </row>
    <row r="5" spans="1:4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68"/>
    </row>
    <row r="6" spans="1:4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69"/>
    </row>
    <row r="7" spans="1:4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69"/>
    </row>
    <row r="8" spans="1:4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69"/>
    </row>
    <row r="9" spans="1:4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69"/>
    </row>
    <row r="10" spans="1:4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69"/>
    </row>
    <row r="11" spans="1:4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69"/>
    </row>
    <row r="12" spans="1:4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69"/>
    </row>
    <row r="13" spans="1:4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69"/>
    </row>
    <row r="14" spans="1:4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69"/>
    </row>
    <row r="15" spans="1:4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69"/>
    </row>
    <row r="16" spans="1:4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69"/>
    </row>
    <row r="17" spans="1:4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69"/>
    </row>
    <row r="18" spans="1:4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69"/>
    </row>
    <row r="19" spans="1:4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69"/>
    </row>
    <row r="20" spans="1:4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69"/>
    </row>
    <row r="21" spans="1:4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69"/>
    </row>
    <row r="22" spans="1:4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69"/>
    </row>
    <row r="23" spans="1:4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69"/>
    </row>
    <row r="24" spans="1:4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69"/>
    </row>
    <row r="25" spans="1:4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69"/>
    </row>
    <row r="26" spans="1:4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69"/>
    </row>
    <row r="27" spans="1:4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69"/>
    </row>
    <row r="28" spans="1:4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69"/>
    </row>
    <row r="29" spans="1:4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69"/>
    </row>
    <row r="30" spans="1:4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69"/>
    </row>
    <row r="31" spans="1:4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69"/>
    </row>
    <row r="32" spans="1:4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69"/>
    </row>
    <row r="33" spans="1:4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69"/>
    </row>
    <row r="34" spans="1:4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69"/>
    </row>
    <row r="35" spans="1:4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69"/>
    </row>
    <row r="36" spans="1:4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69"/>
    </row>
    <row r="37" spans="1:4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69"/>
    </row>
    <row r="38" spans="1:4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69"/>
    </row>
    <row r="39" spans="1:4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69"/>
    </row>
    <row r="40" spans="1:4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69"/>
    </row>
    <row r="41" spans="1:4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69"/>
    </row>
    <row r="42" spans="1:4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69"/>
    </row>
    <row r="43" spans="1:4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69"/>
    </row>
    <row r="44" spans="1:4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69"/>
    </row>
    <row r="45" spans="1:4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69"/>
    </row>
    <row r="46" spans="1:4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69"/>
    </row>
    <row r="47" spans="1:4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69"/>
    </row>
    <row r="48" spans="1:4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69"/>
    </row>
    <row r="49" spans="1:4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69"/>
    </row>
    <row r="50" spans="1:4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69"/>
    </row>
    <row r="51" spans="1:4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69"/>
    </row>
    <row r="52" spans="1:4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69"/>
    </row>
    <row r="53" spans="1:4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69"/>
    </row>
    <row r="54" spans="1:4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0"/>
    </row>
  </sheetData>
  <conditionalFormatting sqref="B5">
    <cfRule type="beginsWith" dxfId="32" priority="33" operator="beginsWith" text="L">
      <formula>LEFT(B5,LEN("L"))="L"</formula>
    </cfRule>
  </conditionalFormatting>
  <conditionalFormatting sqref="B6:B14">
    <cfRule type="beginsWith" dxfId="31" priority="30" operator="beginsWith" text="L">
      <formula>LEFT(B6,LEN("L"))="L"</formula>
    </cfRule>
  </conditionalFormatting>
  <conditionalFormatting sqref="B15:B54">
    <cfRule type="beginsWith" dxfId="30" priority="29" operator="beginsWith" text="L">
      <formula>LEFT(B15,LEN("L"))="L"</formula>
    </cfRule>
  </conditionalFormatting>
  <conditionalFormatting sqref="D1:D1048576">
    <cfRule type="containsText" dxfId="29" priority="1" operator="containsText" text="será criado">
      <formula>NOT(ISERROR(SEARCH("será criado",D1)))</formula>
    </cfRule>
    <cfRule type="containsText" dxfId="28" priority="2" operator="containsText" text="criadas">
      <formula>NOT(ISERROR(SEARCH("criadas",D1)))</formula>
    </cfRule>
    <cfRule type="containsText" dxfId="27" priority="3" operator="containsText" text="é gravado">
      <formula>NOT(ISERROR(SEARCH("é gravado",D1)))</formula>
    </cfRule>
    <cfRule type="containsText" dxfId="26" priority="4" operator="containsText" text="é modificado">
      <formula>NOT(ISERROR(SEARCH("é modificado",D1)))</formula>
    </cfRule>
    <cfRule type="containsText" dxfId="25" priority="5" operator="containsText" text="Error">
      <formula>NOT(ISERROR(SEARCH("Error",D1)))</formula>
    </cfRule>
    <cfRule type="containsText" dxfId="24" priority="6" operator="containsText" text="é criado">
      <formula>NOT(ISERROR(SEARCH("é criado",D1)))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0">
    <tabColor theme="4" tint="0.79998168889431442"/>
  </sheetPr>
  <dimension ref="A1:J54"/>
  <sheetViews>
    <sheetView showGridLines="0" showRowColHeaders="0" zoomScaleNormal="10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7" customWidth="1"/>
    <col min="2" max="2" width="18.5703125" style="6" customWidth="1"/>
    <col min="3" max="3" width="18.140625" style="6" customWidth="1"/>
    <col min="4" max="4" width="30.140625" style="6" customWidth="1"/>
    <col min="5" max="6" width="30.5703125" style="6" customWidth="1"/>
    <col min="7" max="7" width="29.28515625" style="6" customWidth="1"/>
    <col min="8" max="8" width="29.85546875" style="6" customWidth="1"/>
    <col min="9" max="9" width="30" style="6" customWidth="1"/>
    <col min="10" max="10" width="75.7109375" style="1" customWidth="1"/>
    <col min="11" max="11" width="22" style="1" customWidth="1"/>
    <col min="12" max="16384" width="9.140625" style="1"/>
  </cols>
  <sheetData>
    <row r="1" spans="1:10" s="73" customFormat="1" x14ac:dyDescent="0.2">
      <c r="A1" s="7" t="s">
        <v>28</v>
      </c>
    </row>
    <row r="2" spans="1:10" s="41" customFormat="1" x14ac:dyDescent="0.2">
      <c r="A2" s="7"/>
      <c r="B2" s="73"/>
      <c r="C2" s="73"/>
      <c r="D2" s="73"/>
      <c r="E2" s="73"/>
      <c r="F2" s="73"/>
      <c r="G2" s="73"/>
      <c r="H2" s="73"/>
      <c r="I2" s="73"/>
    </row>
    <row r="3" spans="1:10" s="73" customFormat="1" ht="15" customHeight="1" x14ac:dyDescent="0.2">
      <c r="A3" s="7" t="s">
        <v>29</v>
      </c>
      <c r="B3" s="4" t="s">
        <v>963</v>
      </c>
      <c r="C3" s="74" t="s">
        <v>958</v>
      </c>
      <c r="D3" s="74" t="s">
        <v>972</v>
      </c>
      <c r="E3" s="74" t="s">
        <v>964</v>
      </c>
      <c r="F3" s="74" t="s">
        <v>967</v>
      </c>
      <c r="G3" s="74" t="s">
        <v>968</v>
      </c>
      <c r="H3" s="74" t="s">
        <v>970</v>
      </c>
      <c r="I3" s="74" t="s">
        <v>974</v>
      </c>
      <c r="J3" s="73" t="s">
        <v>32</v>
      </c>
    </row>
    <row r="4" spans="1:10" s="5" customFormat="1" ht="15" customHeight="1" x14ac:dyDescent="0.2">
      <c r="A4" s="8" t="s">
        <v>30</v>
      </c>
      <c r="B4" s="3" t="s">
        <v>95</v>
      </c>
      <c r="C4" s="14" t="s">
        <v>0</v>
      </c>
      <c r="D4" s="14" t="s">
        <v>973</v>
      </c>
      <c r="E4" s="14" t="s">
        <v>966</v>
      </c>
      <c r="F4" s="14" t="s">
        <v>965</v>
      </c>
      <c r="G4" s="14" t="s">
        <v>969</v>
      </c>
      <c r="H4" s="14" t="s">
        <v>971</v>
      </c>
      <c r="I4" s="14" t="s">
        <v>975</v>
      </c>
      <c r="J4" s="5" t="s">
        <v>940</v>
      </c>
    </row>
    <row r="5" spans="1:10" x14ac:dyDescent="0.2">
      <c r="A5" s="7" t="str">
        <f>"Execução "&amp;ROW()-4</f>
        <v>Execução 1</v>
      </c>
      <c r="B5" s="42"/>
      <c r="C5" s="49" t="str">
        <f>IFERROR(VLOOKUP(B5,'MM01'!B:G,6,0),"")</f>
        <v/>
      </c>
      <c r="D5" s="75" t="str">
        <f>IF(C5&lt;&gt;"",VLOOKUP(C5,'Listas de Dados'!BT:BV,2,0),"")</f>
        <v/>
      </c>
      <c r="E5" s="75" t="str">
        <f ca="1">TEXT(TODAY(),"DD.MM.AAAA")</f>
        <v>18.02.2022</v>
      </c>
      <c r="F5" s="77" t="s">
        <v>976</v>
      </c>
      <c r="G5" s="76">
        <v>1</v>
      </c>
      <c r="H5" s="76">
        <v>1</v>
      </c>
      <c r="I5" s="62" t="s">
        <v>532</v>
      </c>
      <c r="J5" s="68"/>
    </row>
    <row r="6" spans="1:10" x14ac:dyDescent="0.2">
      <c r="A6" s="7" t="str">
        <f t="shared" ref="A6:A54" si="0">"Execução "&amp;ROW()-4</f>
        <v>Execução 2</v>
      </c>
      <c r="B6" s="42"/>
      <c r="C6" s="49" t="str">
        <f>IFERROR(VLOOKUP(B6,'MM01'!B:G,6,0),"")</f>
        <v/>
      </c>
      <c r="D6" s="75" t="str">
        <f>IF(C6&lt;&gt;"",VLOOKUP(C6,'Listas de Dados'!BT:BV,2,0),"")</f>
        <v/>
      </c>
      <c r="E6" s="75" t="str">
        <f t="shared" ref="E6:E54" ca="1" si="1">TEXT(TODAY(),"DD.MM.AAAA")</f>
        <v>18.02.2022</v>
      </c>
      <c r="F6" s="77" t="s">
        <v>976</v>
      </c>
      <c r="G6" s="76">
        <v>1</v>
      </c>
      <c r="H6" s="76">
        <v>1</v>
      </c>
      <c r="I6" s="62" t="s">
        <v>532</v>
      </c>
      <c r="J6" s="69"/>
    </row>
    <row r="7" spans="1:10" x14ac:dyDescent="0.2">
      <c r="A7" s="7" t="str">
        <f t="shared" si="0"/>
        <v>Execução 3</v>
      </c>
      <c r="B7" s="42"/>
      <c r="C7" s="49" t="str">
        <f>IFERROR(VLOOKUP(B7,'MM01'!B:G,6,0),"")</f>
        <v/>
      </c>
      <c r="D7" s="75" t="str">
        <f>IF(C7&lt;&gt;"",VLOOKUP(C7,'Listas de Dados'!BT:BV,2,0),"")</f>
        <v/>
      </c>
      <c r="E7" s="75" t="str">
        <f t="shared" ca="1" si="1"/>
        <v>18.02.2022</v>
      </c>
      <c r="F7" s="77" t="s">
        <v>976</v>
      </c>
      <c r="G7" s="76">
        <v>1</v>
      </c>
      <c r="H7" s="76">
        <v>1</v>
      </c>
      <c r="I7" s="62" t="s">
        <v>532</v>
      </c>
      <c r="J7" s="69"/>
    </row>
    <row r="8" spans="1:10" x14ac:dyDescent="0.2">
      <c r="A8" s="7" t="str">
        <f t="shared" si="0"/>
        <v>Execução 4</v>
      </c>
      <c r="B8" s="42"/>
      <c r="C8" s="49" t="str">
        <f>IFERROR(VLOOKUP(B8,'MM01'!B:G,6,0),"")</f>
        <v/>
      </c>
      <c r="D8" s="75" t="str">
        <f>IF(C8&lt;&gt;"",VLOOKUP(C8,'Listas de Dados'!BT:BV,2,0),"")</f>
        <v/>
      </c>
      <c r="E8" s="75" t="str">
        <f t="shared" ca="1" si="1"/>
        <v>18.02.2022</v>
      </c>
      <c r="F8" s="77" t="s">
        <v>976</v>
      </c>
      <c r="G8" s="76">
        <v>1</v>
      </c>
      <c r="H8" s="76">
        <v>1</v>
      </c>
      <c r="I8" s="62" t="s">
        <v>532</v>
      </c>
      <c r="J8" s="69"/>
    </row>
    <row r="9" spans="1:10" x14ac:dyDescent="0.2">
      <c r="A9" s="7" t="str">
        <f t="shared" si="0"/>
        <v>Execução 5</v>
      </c>
      <c r="B9" s="42"/>
      <c r="C9" s="49" t="str">
        <f>IFERROR(VLOOKUP(B9,'MM01'!B:G,6,0),"")</f>
        <v/>
      </c>
      <c r="D9" s="75" t="str">
        <f>IF(C9&lt;&gt;"",VLOOKUP(C9,'Listas de Dados'!BT:BV,2,0),"")</f>
        <v/>
      </c>
      <c r="E9" s="75" t="str">
        <f t="shared" ca="1" si="1"/>
        <v>18.02.2022</v>
      </c>
      <c r="F9" s="77" t="s">
        <v>976</v>
      </c>
      <c r="G9" s="76">
        <v>1</v>
      </c>
      <c r="H9" s="76">
        <v>1</v>
      </c>
      <c r="I9" s="62" t="s">
        <v>532</v>
      </c>
      <c r="J9" s="69"/>
    </row>
    <row r="10" spans="1:10" x14ac:dyDescent="0.2">
      <c r="A10" s="7" t="str">
        <f t="shared" si="0"/>
        <v>Execução 6</v>
      </c>
      <c r="B10" s="42"/>
      <c r="C10" s="49" t="str">
        <f>IFERROR(VLOOKUP(B10,'MM01'!B:G,6,0),"")</f>
        <v/>
      </c>
      <c r="D10" s="75" t="str">
        <f>IF(C10&lt;&gt;"",VLOOKUP(C10,'Listas de Dados'!BT:BV,2,0),"")</f>
        <v/>
      </c>
      <c r="E10" s="75" t="str">
        <f t="shared" ca="1" si="1"/>
        <v>18.02.2022</v>
      </c>
      <c r="F10" s="77" t="s">
        <v>976</v>
      </c>
      <c r="G10" s="76">
        <v>1</v>
      </c>
      <c r="H10" s="76">
        <v>1</v>
      </c>
      <c r="I10" s="62" t="s">
        <v>532</v>
      </c>
      <c r="J10" s="69"/>
    </row>
    <row r="11" spans="1:10" x14ac:dyDescent="0.2">
      <c r="A11" s="7" t="str">
        <f t="shared" si="0"/>
        <v>Execução 7</v>
      </c>
      <c r="B11" s="42"/>
      <c r="C11" s="49" t="str">
        <f>IFERROR(VLOOKUP(B11,'MM01'!B:G,6,0),"")</f>
        <v/>
      </c>
      <c r="D11" s="75" t="str">
        <f>IF(C11&lt;&gt;"",VLOOKUP(C11,'Listas de Dados'!BT:BV,2,0),"")</f>
        <v/>
      </c>
      <c r="E11" s="75" t="str">
        <f t="shared" ca="1" si="1"/>
        <v>18.02.2022</v>
      </c>
      <c r="F11" s="77" t="s">
        <v>976</v>
      </c>
      <c r="G11" s="76">
        <v>1</v>
      </c>
      <c r="H11" s="76">
        <v>1</v>
      </c>
      <c r="I11" s="62" t="s">
        <v>532</v>
      </c>
      <c r="J11" s="69"/>
    </row>
    <row r="12" spans="1:10" x14ac:dyDescent="0.2">
      <c r="A12" s="7" t="str">
        <f t="shared" si="0"/>
        <v>Execução 8</v>
      </c>
      <c r="B12" s="42"/>
      <c r="C12" s="49" t="str">
        <f>IFERROR(VLOOKUP(B12,'MM01'!B:G,6,0),"")</f>
        <v/>
      </c>
      <c r="D12" s="75" t="str">
        <f>IF(C12&lt;&gt;"",VLOOKUP(C12,'Listas de Dados'!BT:BV,2,0),"")</f>
        <v/>
      </c>
      <c r="E12" s="75" t="str">
        <f t="shared" ca="1" si="1"/>
        <v>18.02.2022</v>
      </c>
      <c r="F12" s="77" t="s">
        <v>976</v>
      </c>
      <c r="G12" s="76">
        <v>1</v>
      </c>
      <c r="H12" s="76">
        <v>1</v>
      </c>
      <c r="I12" s="62" t="s">
        <v>532</v>
      </c>
      <c r="J12" s="69"/>
    </row>
    <row r="13" spans="1:10" x14ac:dyDescent="0.2">
      <c r="A13" s="7" t="str">
        <f t="shared" si="0"/>
        <v>Execução 9</v>
      </c>
      <c r="B13" s="42"/>
      <c r="C13" s="49" t="str">
        <f>IFERROR(VLOOKUP(B13,'MM01'!B:G,6,0),"")</f>
        <v/>
      </c>
      <c r="D13" s="75" t="str">
        <f>IF(C13&lt;&gt;"",VLOOKUP(C13,'Listas de Dados'!BT:BV,2,0),"")</f>
        <v/>
      </c>
      <c r="E13" s="75" t="str">
        <f t="shared" ca="1" si="1"/>
        <v>18.02.2022</v>
      </c>
      <c r="F13" s="77" t="s">
        <v>976</v>
      </c>
      <c r="G13" s="76">
        <v>1</v>
      </c>
      <c r="H13" s="76">
        <v>1</v>
      </c>
      <c r="I13" s="62" t="s">
        <v>532</v>
      </c>
      <c r="J13" s="69"/>
    </row>
    <row r="14" spans="1:10" x14ac:dyDescent="0.2">
      <c r="A14" s="7" t="str">
        <f t="shared" si="0"/>
        <v>Execução 10</v>
      </c>
      <c r="B14" s="42"/>
      <c r="C14" s="49" t="str">
        <f>IFERROR(VLOOKUP(B14,'MM01'!B:G,6,0),"")</f>
        <v/>
      </c>
      <c r="D14" s="75" t="str">
        <f>IF(C14&lt;&gt;"",VLOOKUP(C14,'Listas de Dados'!BT:BV,2,0),"")</f>
        <v/>
      </c>
      <c r="E14" s="75" t="str">
        <f t="shared" ca="1" si="1"/>
        <v>18.02.2022</v>
      </c>
      <c r="F14" s="77" t="s">
        <v>976</v>
      </c>
      <c r="G14" s="76">
        <v>1</v>
      </c>
      <c r="H14" s="76">
        <v>1</v>
      </c>
      <c r="I14" s="62" t="s">
        <v>532</v>
      </c>
      <c r="J14" s="69"/>
    </row>
    <row r="15" spans="1:10" x14ac:dyDescent="0.2">
      <c r="A15" s="7" t="str">
        <f t="shared" si="0"/>
        <v>Execução 11</v>
      </c>
      <c r="B15" s="42"/>
      <c r="C15" s="49" t="str">
        <f>IFERROR(VLOOKUP(B15,'MM01'!B:G,6,0),"")</f>
        <v/>
      </c>
      <c r="D15" s="75" t="str">
        <f>IF(C15&lt;&gt;"",VLOOKUP(C15,'Listas de Dados'!BT:BV,2,0),"")</f>
        <v/>
      </c>
      <c r="E15" s="75" t="str">
        <f t="shared" ca="1" si="1"/>
        <v>18.02.2022</v>
      </c>
      <c r="F15" s="77" t="s">
        <v>976</v>
      </c>
      <c r="G15" s="76">
        <v>1</v>
      </c>
      <c r="H15" s="76">
        <v>1</v>
      </c>
      <c r="I15" s="62" t="s">
        <v>532</v>
      </c>
      <c r="J15" s="69"/>
    </row>
    <row r="16" spans="1:10" x14ac:dyDescent="0.2">
      <c r="A16" s="7" t="str">
        <f t="shared" si="0"/>
        <v>Execução 12</v>
      </c>
      <c r="B16" s="42"/>
      <c r="C16" s="49" t="str">
        <f>IFERROR(VLOOKUP(B16,'MM01'!B:G,6,0),"")</f>
        <v/>
      </c>
      <c r="D16" s="75" t="str">
        <f>IF(C16&lt;&gt;"",VLOOKUP(C16,'Listas de Dados'!BT:BV,2,0),"")</f>
        <v/>
      </c>
      <c r="E16" s="75" t="str">
        <f t="shared" ca="1" si="1"/>
        <v>18.02.2022</v>
      </c>
      <c r="F16" s="77" t="s">
        <v>976</v>
      </c>
      <c r="G16" s="76">
        <v>1</v>
      </c>
      <c r="H16" s="76">
        <v>1</v>
      </c>
      <c r="I16" s="62" t="s">
        <v>532</v>
      </c>
      <c r="J16" s="69"/>
    </row>
    <row r="17" spans="1:10" x14ac:dyDescent="0.2">
      <c r="A17" s="7" t="str">
        <f t="shared" si="0"/>
        <v>Execução 13</v>
      </c>
      <c r="B17" s="42"/>
      <c r="C17" s="49" t="str">
        <f>IFERROR(VLOOKUP(B17,'MM01'!B:G,6,0),"")</f>
        <v/>
      </c>
      <c r="D17" s="75" t="str">
        <f>IF(C17&lt;&gt;"",VLOOKUP(C17,'Listas de Dados'!BT:BV,2,0),"")</f>
        <v/>
      </c>
      <c r="E17" s="75" t="str">
        <f t="shared" ca="1" si="1"/>
        <v>18.02.2022</v>
      </c>
      <c r="F17" s="77" t="s">
        <v>976</v>
      </c>
      <c r="G17" s="76">
        <v>1</v>
      </c>
      <c r="H17" s="76">
        <v>1</v>
      </c>
      <c r="I17" s="62" t="s">
        <v>532</v>
      </c>
      <c r="J17" s="69"/>
    </row>
    <row r="18" spans="1:10" x14ac:dyDescent="0.2">
      <c r="A18" s="7" t="str">
        <f t="shared" si="0"/>
        <v>Execução 14</v>
      </c>
      <c r="B18" s="42"/>
      <c r="C18" s="49" t="str">
        <f>IFERROR(VLOOKUP(B18,'MM01'!B:G,6,0),"")</f>
        <v/>
      </c>
      <c r="D18" s="75" t="str">
        <f>IF(C18&lt;&gt;"",VLOOKUP(C18,'Listas de Dados'!BT:BV,2,0),"")</f>
        <v/>
      </c>
      <c r="E18" s="75" t="str">
        <f t="shared" ca="1" si="1"/>
        <v>18.02.2022</v>
      </c>
      <c r="F18" s="77" t="s">
        <v>976</v>
      </c>
      <c r="G18" s="76">
        <v>1</v>
      </c>
      <c r="H18" s="76">
        <v>1</v>
      </c>
      <c r="I18" s="62" t="s">
        <v>532</v>
      </c>
      <c r="J18" s="69"/>
    </row>
    <row r="19" spans="1:10" x14ac:dyDescent="0.2">
      <c r="A19" s="7" t="str">
        <f t="shared" si="0"/>
        <v>Execução 15</v>
      </c>
      <c r="B19" s="42"/>
      <c r="C19" s="49" t="str">
        <f>IFERROR(VLOOKUP(B19,'MM01'!B:G,6,0),"")</f>
        <v/>
      </c>
      <c r="D19" s="75" t="str">
        <f>IF(C19&lt;&gt;"",VLOOKUP(C19,'Listas de Dados'!BT:BV,2,0),"")</f>
        <v/>
      </c>
      <c r="E19" s="75" t="str">
        <f t="shared" ca="1" si="1"/>
        <v>18.02.2022</v>
      </c>
      <c r="F19" s="77" t="s">
        <v>976</v>
      </c>
      <c r="G19" s="76">
        <v>1</v>
      </c>
      <c r="H19" s="76">
        <v>1</v>
      </c>
      <c r="I19" s="62" t="s">
        <v>532</v>
      </c>
      <c r="J19" s="69"/>
    </row>
    <row r="20" spans="1:10" x14ac:dyDescent="0.2">
      <c r="A20" s="7" t="str">
        <f t="shared" si="0"/>
        <v>Execução 16</v>
      </c>
      <c r="B20" s="42"/>
      <c r="C20" s="49" t="str">
        <f>IFERROR(VLOOKUP(B20,'MM01'!B:G,6,0),"")</f>
        <v/>
      </c>
      <c r="D20" s="75" t="str">
        <f>IF(C20&lt;&gt;"",VLOOKUP(C20,'Listas de Dados'!BT:BV,2,0),"")</f>
        <v/>
      </c>
      <c r="E20" s="75" t="str">
        <f t="shared" ca="1" si="1"/>
        <v>18.02.2022</v>
      </c>
      <c r="F20" s="77" t="s">
        <v>976</v>
      </c>
      <c r="G20" s="76">
        <v>1</v>
      </c>
      <c r="H20" s="76">
        <v>1</v>
      </c>
      <c r="I20" s="62" t="s">
        <v>532</v>
      </c>
      <c r="J20" s="69"/>
    </row>
    <row r="21" spans="1:10" x14ac:dyDescent="0.2">
      <c r="A21" s="7" t="str">
        <f t="shared" si="0"/>
        <v>Execução 17</v>
      </c>
      <c r="B21" s="42"/>
      <c r="C21" s="49" t="str">
        <f>IFERROR(VLOOKUP(B21,'MM01'!B:G,6,0),"")</f>
        <v/>
      </c>
      <c r="D21" s="75" t="str">
        <f>IF(C21&lt;&gt;"",VLOOKUP(C21,'Listas de Dados'!BT:BV,2,0),"")</f>
        <v/>
      </c>
      <c r="E21" s="75" t="str">
        <f t="shared" ca="1" si="1"/>
        <v>18.02.2022</v>
      </c>
      <c r="F21" s="77" t="s">
        <v>976</v>
      </c>
      <c r="G21" s="76">
        <v>1</v>
      </c>
      <c r="H21" s="76">
        <v>1</v>
      </c>
      <c r="I21" s="62" t="s">
        <v>532</v>
      </c>
      <c r="J21" s="69"/>
    </row>
    <row r="22" spans="1:10" x14ac:dyDescent="0.2">
      <c r="A22" s="7" t="str">
        <f t="shared" si="0"/>
        <v>Execução 18</v>
      </c>
      <c r="B22" s="42"/>
      <c r="C22" s="49" t="str">
        <f>IFERROR(VLOOKUP(B22,'MM01'!B:G,6,0),"")</f>
        <v/>
      </c>
      <c r="D22" s="75" t="str">
        <f>IF(C22&lt;&gt;"",VLOOKUP(C22,'Listas de Dados'!BT:BV,2,0),"")</f>
        <v/>
      </c>
      <c r="E22" s="75" t="str">
        <f t="shared" ca="1" si="1"/>
        <v>18.02.2022</v>
      </c>
      <c r="F22" s="77" t="s">
        <v>976</v>
      </c>
      <c r="G22" s="76">
        <v>1</v>
      </c>
      <c r="H22" s="76">
        <v>1</v>
      </c>
      <c r="I22" s="62" t="s">
        <v>532</v>
      </c>
      <c r="J22" s="69"/>
    </row>
    <row r="23" spans="1:10" x14ac:dyDescent="0.2">
      <c r="A23" s="7" t="str">
        <f t="shared" si="0"/>
        <v>Execução 19</v>
      </c>
      <c r="B23" s="42"/>
      <c r="C23" s="49" t="str">
        <f>IFERROR(VLOOKUP(B23,'MM01'!B:G,6,0),"")</f>
        <v/>
      </c>
      <c r="D23" s="75" t="str">
        <f>IF(C23&lt;&gt;"",VLOOKUP(C23,'Listas de Dados'!BT:BV,2,0),"")</f>
        <v/>
      </c>
      <c r="E23" s="75" t="str">
        <f t="shared" ca="1" si="1"/>
        <v>18.02.2022</v>
      </c>
      <c r="F23" s="77" t="s">
        <v>976</v>
      </c>
      <c r="G23" s="76">
        <v>1</v>
      </c>
      <c r="H23" s="76">
        <v>1</v>
      </c>
      <c r="I23" s="62" t="s">
        <v>532</v>
      </c>
      <c r="J23" s="69"/>
    </row>
    <row r="24" spans="1:10" x14ac:dyDescent="0.2">
      <c r="A24" s="7" t="str">
        <f t="shared" si="0"/>
        <v>Execução 20</v>
      </c>
      <c r="B24" s="42"/>
      <c r="C24" s="49" t="str">
        <f>IFERROR(VLOOKUP(B24,'MM01'!B:G,6,0),"")</f>
        <v/>
      </c>
      <c r="D24" s="75" t="str">
        <f>IF(C24&lt;&gt;"",VLOOKUP(C24,'Listas de Dados'!BT:BV,2,0),"")</f>
        <v/>
      </c>
      <c r="E24" s="75" t="str">
        <f t="shared" ca="1" si="1"/>
        <v>18.02.2022</v>
      </c>
      <c r="F24" s="77" t="s">
        <v>976</v>
      </c>
      <c r="G24" s="76">
        <v>1</v>
      </c>
      <c r="H24" s="76">
        <v>1</v>
      </c>
      <c r="I24" s="62" t="s">
        <v>532</v>
      </c>
      <c r="J24" s="69"/>
    </row>
    <row r="25" spans="1:10" x14ac:dyDescent="0.2">
      <c r="A25" s="7" t="str">
        <f t="shared" si="0"/>
        <v>Execução 21</v>
      </c>
      <c r="B25" s="42"/>
      <c r="C25" s="49" t="str">
        <f>IFERROR(VLOOKUP(B25,'MM01'!B:G,6,0),"")</f>
        <v/>
      </c>
      <c r="D25" s="75" t="str">
        <f>IF(C25&lt;&gt;"",VLOOKUP(C25,'Listas de Dados'!BT:BV,2,0),"")</f>
        <v/>
      </c>
      <c r="E25" s="75" t="str">
        <f t="shared" ca="1" si="1"/>
        <v>18.02.2022</v>
      </c>
      <c r="F25" s="77" t="s">
        <v>976</v>
      </c>
      <c r="G25" s="76">
        <v>1</v>
      </c>
      <c r="H25" s="76">
        <v>1</v>
      </c>
      <c r="I25" s="62" t="s">
        <v>532</v>
      </c>
      <c r="J25" s="69"/>
    </row>
    <row r="26" spans="1:10" x14ac:dyDescent="0.2">
      <c r="A26" s="7" t="str">
        <f t="shared" si="0"/>
        <v>Execução 22</v>
      </c>
      <c r="B26" s="42"/>
      <c r="C26" s="49" t="str">
        <f>IFERROR(VLOOKUP(B26,'MM01'!B:G,6,0),"")</f>
        <v/>
      </c>
      <c r="D26" s="75" t="str">
        <f>IF(C26&lt;&gt;"",VLOOKUP(C26,'Listas de Dados'!BT:BV,2,0),"")</f>
        <v/>
      </c>
      <c r="E26" s="75" t="str">
        <f t="shared" ca="1" si="1"/>
        <v>18.02.2022</v>
      </c>
      <c r="F26" s="77" t="s">
        <v>976</v>
      </c>
      <c r="G26" s="76">
        <v>1</v>
      </c>
      <c r="H26" s="76">
        <v>1</v>
      </c>
      <c r="I26" s="62" t="s">
        <v>532</v>
      </c>
      <c r="J26" s="69"/>
    </row>
    <row r="27" spans="1:10" x14ac:dyDescent="0.2">
      <c r="A27" s="7" t="str">
        <f t="shared" si="0"/>
        <v>Execução 23</v>
      </c>
      <c r="B27" s="42"/>
      <c r="C27" s="49" t="str">
        <f>IFERROR(VLOOKUP(B27,'MM01'!B:G,6,0),"")</f>
        <v/>
      </c>
      <c r="D27" s="75" t="str">
        <f>IF(C27&lt;&gt;"",VLOOKUP(C27,'Listas de Dados'!BT:BV,2,0),"")</f>
        <v/>
      </c>
      <c r="E27" s="75" t="str">
        <f t="shared" ca="1" si="1"/>
        <v>18.02.2022</v>
      </c>
      <c r="F27" s="77" t="s">
        <v>976</v>
      </c>
      <c r="G27" s="76">
        <v>1</v>
      </c>
      <c r="H27" s="76">
        <v>1</v>
      </c>
      <c r="I27" s="62" t="s">
        <v>532</v>
      </c>
      <c r="J27" s="69"/>
    </row>
    <row r="28" spans="1:10" x14ac:dyDescent="0.2">
      <c r="A28" s="7" t="str">
        <f t="shared" si="0"/>
        <v>Execução 24</v>
      </c>
      <c r="B28" s="42"/>
      <c r="C28" s="49" t="str">
        <f>IFERROR(VLOOKUP(B28,'MM01'!B:G,6,0),"")</f>
        <v/>
      </c>
      <c r="D28" s="75" t="str">
        <f>IF(C28&lt;&gt;"",VLOOKUP(C28,'Listas de Dados'!BT:BV,2,0),"")</f>
        <v/>
      </c>
      <c r="E28" s="75" t="str">
        <f t="shared" ca="1" si="1"/>
        <v>18.02.2022</v>
      </c>
      <c r="F28" s="77" t="s">
        <v>976</v>
      </c>
      <c r="G28" s="76">
        <v>1</v>
      </c>
      <c r="H28" s="76">
        <v>1</v>
      </c>
      <c r="I28" s="62" t="s">
        <v>532</v>
      </c>
      <c r="J28" s="69"/>
    </row>
    <row r="29" spans="1:10" x14ac:dyDescent="0.2">
      <c r="A29" s="7" t="str">
        <f t="shared" si="0"/>
        <v>Execução 25</v>
      </c>
      <c r="B29" s="42"/>
      <c r="C29" s="49" t="str">
        <f>IFERROR(VLOOKUP(B29,'MM01'!B:G,6,0),"")</f>
        <v/>
      </c>
      <c r="D29" s="75" t="str">
        <f>IF(C29&lt;&gt;"",VLOOKUP(C29,'Listas de Dados'!BT:BV,2,0),"")</f>
        <v/>
      </c>
      <c r="E29" s="75" t="str">
        <f t="shared" ca="1" si="1"/>
        <v>18.02.2022</v>
      </c>
      <c r="F29" s="77" t="s">
        <v>976</v>
      </c>
      <c r="G29" s="76">
        <v>1</v>
      </c>
      <c r="H29" s="76">
        <v>1</v>
      </c>
      <c r="I29" s="62" t="s">
        <v>532</v>
      </c>
      <c r="J29" s="69"/>
    </row>
    <row r="30" spans="1:10" x14ac:dyDescent="0.2">
      <c r="A30" s="7" t="str">
        <f t="shared" si="0"/>
        <v>Execução 26</v>
      </c>
      <c r="B30" s="42"/>
      <c r="C30" s="49" t="str">
        <f>IFERROR(VLOOKUP(B30,'MM01'!B:G,6,0),"")</f>
        <v/>
      </c>
      <c r="D30" s="75" t="str">
        <f>IF(C30&lt;&gt;"",VLOOKUP(C30,'Listas de Dados'!BT:BV,2,0),"")</f>
        <v/>
      </c>
      <c r="E30" s="75" t="str">
        <f t="shared" ca="1" si="1"/>
        <v>18.02.2022</v>
      </c>
      <c r="F30" s="77" t="s">
        <v>976</v>
      </c>
      <c r="G30" s="76">
        <v>1</v>
      </c>
      <c r="H30" s="76">
        <v>1</v>
      </c>
      <c r="I30" s="62" t="s">
        <v>532</v>
      </c>
      <c r="J30" s="69"/>
    </row>
    <row r="31" spans="1:10" x14ac:dyDescent="0.2">
      <c r="A31" s="7" t="str">
        <f t="shared" si="0"/>
        <v>Execução 27</v>
      </c>
      <c r="B31" s="42"/>
      <c r="C31" s="49" t="str">
        <f>IFERROR(VLOOKUP(B31,'MM01'!B:G,6,0),"")</f>
        <v/>
      </c>
      <c r="D31" s="75" t="str">
        <f>IF(C31&lt;&gt;"",VLOOKUP(C31,'Listas de Dados'!BT:BV,2,0),"")</f>
        <v/>
      </c>
      <c r="E31" s="75" t="str">
        <f t="shared" ca="1" si="1"/>
        <v>18.02.2022</v>
      </c>
      <c r="F31" s="77" t="s">
        <v>976</v>
      </c>
      <c r="G31" s="76">
        <v>1</v>
      </c>
      <c r="H31" s="76">
        <v>1</v>
      </c>
      <c r="I31" s="62" t="s">
        <v>532</v>
      </c>
      <c r="J31" s="69"/>
    </row>
    <row r="32" spans="1:10" x14ac:dyDescent="0.2">
      <c r="A32" s="7" t="str">
        <f t="shared" si="0"/>
        <v>Execução 28</v>
      </c>
      <c r="B32" s="42"/>
      <c r="C32" s="49" t="str">
        <f>IFERROR(VLOOKUP(B32,'MM01'!B:G,6,0),"")</f>
        <v/>
      </c>
      <c r="D32" s="75" t="str">
        <f>IF(C32&lt;&gt;"",VLOOKUP(C32,'Listas de Dados'!BT:BV,2,0),"")</f>
        <v/>
      </c>
      <c r="E32" s="75" t="str">
        <f t="shared" ca="1" si="1"/>
        <v>18.02.2022</v>
      </c>
      <c r="F32" s="77" t="s">
        <v>976</v>
      </c>
      <c r="G32" s="76">
        <v>1</v>
      </c>
      <c r="H32" s="76">
        <v>1</v>
      </c>
      <c r="I32" s="62" t="s">
        <v>532</v>
      </c>
      <c r="J32" s="69"/>
    </row>
    <row r="33" spans="1:10" x14ac:dyDescent="0.2">
      <c r="A33" s="7" t="str">
        <f t="shared" si="0"/>
        <v>Execução 29</v>
      </c>
      <c r="B33" s="42"/>
      <c r="C33" s="49" t="str">
        <f>IFERROR(VLOOKUP(B33,'MM01'!B:G,6,0),"")</f>
        <v/>
      </c>
      <c r="D33" s="75" t="str">
        <f>IF(C33&lt;&gt;"",VLOOKUP(C33,'Listas de Dados'!BT:BV,2,0),"")</f>
        <v/>
      </c>
      <c r="E33" s="75" t="str">
        <f t="shared" ca="1" si="1"/>
        <v>18.02.2022</v>
      </c>
      <c r="F33" s="77" t="s">
        <v>976</v>
      </c>
      <c r="G33" s="76">
        <v>1</v>
      </c>
      <c r="H33" s="76">
        <v>1</v>
      </c>
      <c r="I33" s="62" t="s">
        <v>532</v>
      </c>
      <c r="J33" s="69"/>
    </row>
    <row r="34" spans="1:10" x14ac:dyDescent="0.2">
      <c r="A34" s="7" t="str">
        <f t="shared" si="0"/>
        <v>Execução 30</v>
      </c>
      <c r="B34" s="42"/>
      <c r="C34" s="49" t="str">
        <f>IFERROR(VLOOKUP(B34,'MM01'!B:G,6,0),"")</f>
        <v/>
      </c>
      <c r="D34" s="75" t="str">
        <f>IF(C34&lt;&gt;"",VLOOKUP(C34,'Listas de Dados'!BT:BV,2,0),"")</f>
        <v/>
      </c>
      <c r="E34" s="75" t="str">
        <f t="shared" ca="1" si="1"/>
        <v>18.02.2022</v>
      </c>
      <c r="F34" s="77" t="s">
        <v>976</v>
      </c>
      <c r="G34" s="76">
        <v>1</v>
      </c>
      <c r="H34" s="76">
        <v>1</v>
      </c>
      <c r="I34" s="62" t="s">
        <v>532</v>
      </c>
      <c r="J34" s="69"/>
    </row>
    <row r="35" spans="1:10" x14ac:dyDescent="0.2">
      <c r="A35" s="7" t="str">
        <f t="shared" si="0"/>
        <v>Execução 31</v>
      </c>
      <c r="B35" s="42"/>
      <c r="C35" s="49" t="str">
        <f>IFERROR(VLOOKUP(B35,'MM01'!B:G,6,0),"")</f>
        <v/>
      </c>
      <c r="D35" s="75" t="str">
        <f>IF(C35&lt;&gt;"",VLOOKUP(C35,'Listas de Dados'!BT:BV,2,0),"")</f>
        <v/>
      </c>
      <c r="E35" s="75" t="str">
        <f t="shared" ca="1" si="1"/>
        <v>18.02.2022</v>
      </c>
      <c r="F35" s="77" t="s">
        <v>976</v>
      </c>
      <c r="G35" s="76">
        <v>1</v>
      </c>
      <c r="H35" s="76">
        <v>1</v>
      </c>
      <c r="I35" s="62" t="s">
        <v>532</v>
      </c>
      <c r="J35" s="69"/>
    </row>
    <row r="36" spans="1:10" x14ac:dyDescent="0.2">
      <c r="A36" s="7" t="str">
        <f t="shared" si="0"/>
        <v>Execução 32</v>
      </c>
      <c r="B36" s="42"/>
      <c r="C36" s="49" t="str">
        <f>IFERROR(VLOOKUP(B36,'MM01'!B:G,6,0),"")</f>
        <v/>
      </c>
      <c r="D36" s="75" t="str">
        <f>IF(C36&lt;&gt;"",VLOOKUP(C36,'Listas de Dados'!BT:BV,2,0),"")</f>
        <v/>
      </c>
      <c r="E36" s="75" t="str">
        <f t="shared" ca="1" si="1"/>
        <v>18.02.2022</v>
      </c>
      <c r="F36" s="77" t="s">
        <v>976</v>
      </c>
      <c r="G36" s="76">
        <v>1</v>
      </c>
      <c r="H36" s="76">
        <v>1</v>
      </c>
      <c r="I36" s="62" t="s">
        <v>532</v>
      </c>
      <c r="J36" s="69"/>
    </row>
    <row r="37" spans="1:10" x14ac:dyDescent="0.2">
      <c r="A37" s="7" t="str">
        <f t="shared" si="0"/>
        <v>Execução 33</v>
      </c>
      <c r="B37" s="42"/>
      <c r="C37" s="49" t="str">
        <f>IFERROR(VLOOKUP(B37,'MM01'!B:G,6,0),"")</f>
        <v/>
      </c>
      <c r="D37" s="75" t="str">
        <f>IF(C37&lt;&gt;"",VLOOKUP(C37,'Listas de Dados'!BT:BV,2,0),"")</f>
        <v/>
      </c>
      <c r="E37" s="75" t="str">
        <f t="shared" ca="1" si="1"/>
        <v>18.02.2022</v>
      </c>
      <c r="F37" s="77" t="s">
        <v>976</v>
      </c>
      <c r="G37" s="76">
        <v>1</v>
      </c>
      <c r="H37" s="76">
        <v>1</v>
      </c>
      <c r="I37" s="62" t="s">
        <v>532</v>
      </c>
      <c r="J37" s="69"/>
    </row>
    <row r="38" spans="1:10" x14ac:dyDescent="0.2">
      <c r="A38" s="7" t="str">
        <f t="shared" si="0"/>
        <v>Execução 34</v>
      </c>
      <c r="B38" s="42"/>
      <c r="C38" s="49" t="str">
        <f>IFERROR(VLOOKUP(B38,'MM01'!B:G,6,0),"")</f>
        <v/>
      </c>
      <c r="D38" s="75" t="str">
        <f>IF(C38&lt;&gt;"",VLOOKUP(C38,'Listas de Dados'!BT:BV,2,0),"")</f>
        <v/>
      </c>
      <c r="E38" s="75" t="str">
        <f t="shared" ca="1" si="1"/>
        <v>18.02.2022</v>
      </c>
      <c r="F38" s="77" t="s">
        <v>976</v>
      </c>
      <c r="G38" s="76">
        <v>1</v>
      </c>
      <c r="H38" s="76">
        <v>1</v>
      </c>
      <c r="I38" s="62" t="s">
        <v>532</v>
      </c>
      <c r="J38" s="69"/>
    </row>
    <row r="39" spans="1:10" x14ac:dyDescent="0.2">
      <c r="A39" s="7" t="str">
        <f t="shared" si="0"/>
        <v>Execução 35</v>
      </c>
      <c r="B39" s="42"/>
      <c r="C39" s="49" t="str">
        <f>IFERROR(VLOOKUP(B39,'MM01'!B:G,6,0),"")</f>
        <v/>
      </c>
      <c r="D39" s="75" t="str">
        <f>IF(C39&lt;&gt;"",VLOOKUP(C39,'Listas de Dados'!BT:BV,2,0),"")</f>
        <v/>
      </c>
      <c r="E39" s="75" t="str">
        <f t="shared" ca="1" si="1"/>
        <v>18.02.2022</v>
      </c>
      <c r="F39" s="77" t="s">
        <v>976</v>
      </c>
      <c r="G39" s="76">
        <v>1</v>
      </c>
      <c r="H39" s="76">
        <v>1</v>
      </c>
      <c r="I39" s="62" t="s">
        <v>532</v>
      </c>
      <c r="J39" s="69"/>
    </row>
    <row r="40" spans="1:10" x14ac:dyDescent="0.2">
      <c r="A40" s="7" t="str">
        <f t="shared" si="0"/>
        <v>Execução 36</v>
      </c>
      <c r="B40" s="42"/>
      <c r="C40" s="49" t="str">
        <f>IFERROR(VLOOKUP(B40,'MM01'!B:G,6,0),"")</f>
        <v/>
      </c>
      <c r="D40" s="75" t="str">
        <f>IF(C40&lt;&gt;"",VLOOKUP(C40,'Listas de Dados'!BT:BV,2,0),"")</f>
        <v/>
      </c>
      <c r="E40" s="75" t="str">
        <f t="shared" ca="1" si="1"/>
        <v>18.02.2022</v>
      </c>
      <c r="F40" s="77" t="s">
        <v>976</v>
      </c>
      <c r="G40" s="76">
        <v>1</v>
      </c>
      <c r="H40" s="76">
        <v>1</v>
      </c>
      <c r="I40" s="62" t="s">
        <v>532</v>
      </c>
      <c r="J40" s="69"/>
    </row>
    <row r="41" spans="1:10" x14ac:dyDescent="0.2">
      <c r="A41" s="7" t="str">
        <f t="shared" si="0"/>
        <v>Execução 37</v>
      </c>
      <c r="B41" s="42"/>
      <c r="C41" s="49" t="str">
        <f>IFERROR(VLOOKUP(B41,'MM01'!B:G,6,0),"")</f>
        <v/>
      </c>
      <c r="D41" s="75" t="str">
        <f>IF(C41&lt;&gt;"",VLOOKUP(C41,'Listas de Dados'!BT:BV,2,0),"")</f>
        <v/>
      </c>
      <c r="E41" s="75" t="str">
        <f t="shared" ca="1" si="1"/>
        <v>18.02.2022</v>
      </c>
      <c r="F41" s="77" t="s">
        <v>976</v>
      </c>
      <c r="G41" s="76">
        <v>1</v>
      </c>
      <c r="H41" s="76">
        <v>1</v>
      </c>
      <c r="I41" s="62" t="s">
        <v>532</v>
      </c>
      <c r="J41" s="69"/>
    </row>
    <row r="42" spans="1:10" x14ac:dyDescent="0.2">
      <c r="A42" s="7" t="str">
        <f t="shared" si="0"/>
        <v>Execução 38</v>
      </c>
      <c r="B42" s="42"/>
      <c r="C42" s="49" t="str">
        <f>IFERROR(VLOOKUP(B42,'MM01'!B:G,6,0),"")</f>
        <v/>
      </c>
      <c r="D42" s="75" t="str">
        <f>IF(C42&lt;&gt;"",VLOOKUP(C42,'Listas de Dados'!BT:BV,2,0),"")</f>
        <v/>
      </c>
      <c r="E42" s="75" t="str">
        <f t="shared" ca="1" si="1"/>
        <v>18.02.2022</v>
      </c>
      <c r="F42" s="77" t="s">
        <v>976</v>
      </c>
      <c r="G42" s="76">
        <v>1</v>
      </c>
      <c r="H42" s="76">
        <v>1</v>
      </c>
      <c r="I42" s="62" t="s">
        <v>532</v>
      </c>
      <c r="J42" s="69"/>
    </row>
    <row r="43" spans="1:10" x14ac:dyDescent="0.2">
      <c r="A43" s="7" t="str">
        <f t="shared" si="0"/>
        <v>Execução 39</v>
      </c>
      <c r="B43" s="42"/>
      <c r="C43" s="49" t="str">
        <f>IFERROR(VLOOKUP(B43,'MM01'!B:G,6,0),"")</f>
        <v/>
      </c>
      <c r="D43" s="75" t="str">
        <f>IF(C43&lt;&gt;"",VLOOKUP(C43,'Listas de Dados'!BT:BV,2,0),"")</f>
        <v/>
      </c>
      <c r="E43" s="75" t="str">
        <f t="shared" ca="1" si="1"/>
        <v>18.02.2022</v>
      </c>
      <c r="F43" s="77" t="s">
        <v>976</v>
      </c>
      <c r="G43" s="76">
        <v>1</v>
      </c>
      <c r="H43" s="76">
        <v>1</v>
      </c>
      <c r="I43" s="62" t="s">
        <v>532</v>
      </c>
      <c r="J43" s="69"/>
    </row>
    <row r="44" spans="1:10" x14ac:dyDescent="0.2">
      <c r="A44" s="7" t="str">
        <f t="shared" si="0"/>
        <v>Execução 40</v>
      </c>
      <c r="B44" s="42"/>
      <c r="C44" s="49" t="str">
        <f>IFERROR(VLOOKUP(B44,'MM01'!B:G,6,0),"")</f>
        <v/>
      </c>
      <c r="D44" s="75" t="str">
        <f>IF(C44&lt;&gt;"",VLOOKUP(C44,'Listas de Dados'!BT:BV,2,0),"")</f>
        <v/>
      </c>
      <c r="E44" s="75" t="str">
        <f t="shared" ca="1" si="1"/>
        <v>18.02.2022</v>
      </c>
      <c r="F44" s="77" t="s">
        <v>976</v>
      </c>
      <c r="G44" s="76">
        <v>1</v>
      </c>
      <c r="H44" s="76">
        <v>1</v>
      </c>
      <c r="I44" s="62" t="s">
        <v>532</v>
      </c>
      <c r="J44" s="69"/>
    </row>
    <row r="45" spans="1:10" x14ac:dyDescent="0.2">
      <c r="A45" s="7" t="str">
        <f t="shared" si="0"/>
        <v>Execução 41</v>
      </c>
      <c r="B45" s="42"/>
      <c r="C45" s="49" t="str">
        <f>IFERROR(VLOOKUP(B45,'MM01'!B:G,6,0),"")</f>
        <v/>
      </c>
      <c r="D45" s="75" t="str">
        <f>IF(C45&lt;&gt;"",VLOOKUP(C45,'Listas de Dados'!BT:BV,2,0),"")</f>
        <v/>
      </c>
      <c r="E45" s="75" t="str">
        <f t="shared" ca="1" si="1"/>
        <v>18.02.2022</v>
      </c>
      <c r="F45" s="77" t="s">
        <v>976</v>
      </c>
      <c r="G45" s="76">
        <v>1</v>
      </c>
      <c r="H45" s="76">
        <v>1</v>
      </c>
      <c r="I45" s="62" t="s">
        <v>532</v>
      </c>
      <c r="J45" s="69"/>
    </row>
    <row r="46" spans="1:10" x14ac:dyDescent="0.2">
      <c r="A46" s="7" t="str">
        <f t="shared" si="0"/>
        <v>Execução 42</v>
      </c>
      <c r="B46" s="42"/>
      <c r="C46" s="49" t="str">
        <f>IFERROR(VLOOKUP(B46,'MM01'!B:G,6,0),"")</f>
        <v/>
      </c>
      <c r="D46" s="75" t="str">
        <f>IF(C46&lt;&gt;"",VLOOKUP(C46,'Listas de Dados'!BT:BV,2,0),"")</f>
        <v/>
      </c>
      <c r="E46" s="75" t="str">
        <f t="shared" ca="1" si="1"/>
        <v>18.02.2022</v>
      </c>
      <c r="F46" s="77" t="s">
        <v>976</v>
      </c>
      <c r="G46" s="76">
        <v>1</v>
      </c>
      <c r="H46" s="76">
        <v>1</v>
      </c>
      <c r="I46" s="62" t="s">
        <v>532</v>
      </c>
      <c r="J46" s="69"/>
    </row>
    <row r="47" spans="1:10" x14ac:dyDescent="0.2">
      <c r="A47" s="7" t="str">
        <f t="shared" si="0"/>
        <v>Execução 43</v>
      </c>
      <c r="B47" s="42"/>
      <c r="C47" s="49" t="str">
        <f>IFERROR(VLOOKUP(B47,'MM01'!B:G,6,0),"")</f>
        <v/>
      </c>
      <c r="D47" s="75" t="str">
        <f>IF(C47&lt;&gt;"",VLOOKUP(C47,'Listas de Dados'!BT:BV,2,0),"")</f>
        <v/>
      </c>
      <c r="E47" s="75" t="str">
        <f t="shared" ca="1" si="1"/>
        <v>18.02.2022</v>
      </c>
      <c r="F47" s="77" t="s">
        <v>976</v>
      </c>
      <c r="G47" s="76">
        <v>1</v>
      </c>
      <c r="H47" s="76">
        <v>1</v>
      </c>
      <c r="I47" s="62" t="s">
        <v>532</v>
      </c>
      <c r="J47" s="69"/>
    </row>
    <row r="48" spans="1:10" x14ac:dyDescent="0.2">
      <c r="A48" s="7" t="str">
        <f t="shared" si="0"/>
        <v>Execução 44</v>
      </c>
      <c r="B48" s="42"/>
      <c r="C48" s="49" t="str">
        <f>IFERROR(VLOOKUP(B48,'MM01'!B:G,6,0),"")</f>
        <v/>
      </c>
      <c r="D48" s="75" t="str">
        <f>IF(C48&lt;&gt;"",VLOOKUP(C48,'Listas de Dados'!BT:BV,2,0),"")</f>
        <v/>
      </c>
      <c r="E48" s="75" t="str">
        <f t="shared" ca="1" si="1"/>
        <v>18.02.2022</v>
      </c>
      <c r="F48" s="77" t="s">
        <v>976</v>
      </c>
      <c r="G48" s="76">
        <v>1</v>
      </c>
      <c r="H48" s="76">
        <v>1</v>
      </c>
      <c r="I48" s="62" t="s">
        <v>532</v>
      </c>
      <c r="J48" s="69"/>
    </row>
    <row r="49" spans="1:10" x14ac:dyDescent="0.2">
      <c r="A49" s="7" t="str">
        <f t="shared" si="0"/>
        <v>Execução 45</v>
      </c>
      <c r="B49" s="42"/>
      <c r="C49" s="49" t="str">
        <f>IFERROR(VLOOKUP(B49,'MM01'!B:G,6,0),"")</f>
        <v/>
      </c>
      <c r="D49" s="75" t="str">
        <f>IF(C49&lt;&gt;"",VLOOKUP(C49,'Listas de Dados'!BT:BV,2,0),"")</f>
        <v/>
      </c>
      <c r="E49" s="75" t="str">
        <f t="shared" ca="1" si="1"/>
        <v>18.02.2022</v>
      </c>
      <c r="F49" s="77" t="s">
        <v>976</v>
      </c>
      <c r="G49" s="76">
        <v>1</v>
      </c>
      <c r="H49" s="76">
        <v>1</v>
      </c>
      <c r="I49" s="62" t="s">
        <v>532</v>
      </c>
      <c r="J49" s="69"/>
    </row>
    <row r="50" spans="1:10" x14ac:dyDescent="0.2">
      <c r="A50" s="7" t="str">
        <f t="shared" si="0"/>
        <v>Execução 46</v>
      </c>
      <c r="B50" s="42"/>
      <c r="C50" s="49" t="str">
        <f>IFERROR(VLOOKUP(B50,'MM01'!B:G,6,0),"")</f>
        <v/>
      </c>
      <c r="D50" s="75" t="str">
        <f>IF(C50&lt;&gt;"",VLOOKUP(C50,'Listas de Dados'!BT:BV,2,0),"")</f>
        <v/>
      </c>
      <c r="E50" s="75" t="str">
        <f t="shared" ca="1" si="1"/>
        <v>18.02.2022</v>
      </c>
      <c r="F50" s="77" t="s">
        <v>976</v>
      </c>
      <c r="G50" s="76">
        <v>1</v>
      </c>
      <c r="H50" s="76">
        <v>1</v>
      </c>
      <c r="I50" s="62" t="s">
        <v>532</v>
      </c>
      <c r="J50" s="69"/>
    </row>
    <row r="51" spans="1:10" x14ac:dyDescent="0.2">
      <c r="A51" s="7" t="str">
        <f t="shared" si="0"/>
        <v>Execução 47</v>
      </c>
      <c r="B51" s="42"/>
      <c r="C51" s="49" t="str">
        <f>IFERROR(VLOOKUP(B51,'MM01'!B:G,6,0),"")</f>
        <v/>
      </c>
      <c r="D51" s="75" t="str">
        <f>IF(C51&lt;&gt;"",VLOOKUP(C51,'Listas de Dados'!BT:BV,2,0),"")</f>
        <v/>
      </c>
      <c r="E51" s="75" t="str">
        <f t="shared" ca="1" si="1"/>
        <v>18.02.2022</v>
      </c>
      <c r="F51" s="77" t="s">
        <v>976</v>
      </c>
      <c r="G51" s="76">
        <v>1</v>
      </c>
      <c r="H51" s="76">
        <v>1</v>
      </c>
      <c r="I51" s="62" t="s">
        <v>532</v>
      </c>
      <c r="J51" s="69"/>
    </row>
    <row r="52" spans="1:10" x14ac:dyDescent="0.2">
      <c r="A52" s="7" t="str">
        <f t="shared" si="0"/>
        <v>Execução 48</v>
      </c>
      <c r="B52" s="42"/>
      <c r="C52" s="49" t="str">
        <f>IFERROR(VLOOKUP(B52,'MM01'!B:G,6,0),"")</f>
        <v/>
      </c>
      <c r="D52" s="75" t="str">
        <f>IF(C52&lt;&gt;"",VLOOKUP(C52,'Listas de Dados'!BT:BV,2,0),"")</f>
        <v/>
      </c>
      <c r="E52" s="75" t="str">
        <f t="shared" ca="1" si="1"/>
        <v>18.02.2022</v>
      </c>
      <c r="F52" s="77" t="s">
        <v>976</v>
      </c>
      <c r="G52" s="76">
        <v>1</v>
      </c>
      <c r="H52" s="76">
        <v>1</v>
      </c>
      <c r="I52" s="62" t="s">
        <v>532</v>
      </c>
      <c r="J52" s="69"/>
    </row>
    <row r="53" spans="1:10" x14ac:dyDescent="0.2">
      <c r="A53" s="7" t="str">
        <f t="shared" si="0"/>
        <v>Execução 49</v>
      </c>
      <c r="B53" s="42"/>
      <c r="C53" s="49" t="str">
        <f>IFERROR(VLOOKUP(B53,'MM01'!B:G,6,0),"")</f>
        <v/>
      </c>
      <c r="D53" s="75" t="str">
        <f>IF(C53&lt;&gt;"",VLOOKUP(C53,'Listas de Dados'!BT:BV,2,0),"")</f>
        <v/>
      </c>
      <c r="E53" s="75" t="str">
        <f t="shared" ca="1" si="1"/>
        <v>18.02.2022</v>
      </c>
      <c r="F53" s="77" t="s">
        <v>976</v>
      </c>
      <c r="G53" s="76">
        <v>1</v>
      </c>
      <c r="H53" s="76">
        <v>1</v>
      </c>
      <c r="I53" s="62" t="s">
        <v>532</v>
      </c>
      <c r="J53" s="69"/>
    </row>
    <row r="54" spans="1:10" x14ac:dyDescent="0.2">
      <c r="A54" s="7" t="str">
        <f t="shared" si="0"/>
        <v>Execução 50</v>
      </c>
      <c r="B54" s="42"/>
      <c r="C54" s="49" t="str">
        <f>IFERROR(VLOOKUP(B54,'MM01'!B:G,6,0),"")</f>
        <v/>
      </c>
      <c r="D54" s="75" t="str">
        <f>IF(C54&lt;&gt;"",VLOOKUP(C54,'Listas de Dados'!BT:BV,2,0),"")</f>
        <v/>
      </c>
      <c r="E54" s="75" t="str">
        <f t="shared" ca="1" si="1"/>
        <v>18.02.2022</v>
      </c>
      <c r="F54" s="77" t="s">
        <v>976</v>
      </c>
      <c r="G54" s="76">
        <v>1</v>
      </c>
      <c r="H54" s="76">
        <v>1</v>
      </c>
      <c r="I54" s="62" t="s">
        <v>532</v>
      </c>
      <c r="J54" s="70"/>
    </row>
  </sheetData>
  <conditionalFormatting sqref="B5">
    <cfRule type="beginsWith" dxfId="23" priority="8" operator="beginsWith" text="L">
      <formula>LEFT(B5,LEN("L"))="L"</formula>
    </cfRule>
  </conditionalFormatting>
  <conditionalFormatting sqref="B6:B14">
    <cfRule type="beginsWith" dxfId="22" priority="7" operator="beginsWith" text="L">
      <formula>LEFT(B6,LEN("L"))="L"</formula>
    </cfRule>
  </conditionalFormatting>
  <conditionalFormatting sqref="B15:B54">
    <cfRule type="beginsWith" dxfId="21" priority="6" operator="beginsWith" text="L">
      <formula>LEFT(B15,LEN("L"))="L"</formula>
    </cfRule>
  </conditionalFormatting>
  <conditionalFormatting sqref="J1:J1048576">
    <cfRule type="containsText" dxfId="20" priority="1" operator="containsText" text="criadas">
      <formula>NOT(ISERROR(SEARCH("criadas",J1)))</formula>
    </cfRule>
    <cfRule type="containsText" dxfId="19" priority="2" operator="containsText" text="é gravado">
      <formula>NOT(ISERROR(SEARCH("é gravado",J1)))</formula>
    </cfRule>
    <cfRule type="containsText" dxfId="18" priority="3" operator="containsText" text="é modificado">
      <formula>NOT(ISERROR(SEARCH("é modificado",J1)))</formula>
    </cfRule>
    <cfRule type="containsText" dxfId="17" priority="4" operator="containsText" text="Error">
      <formula>NOT(ISERROR(SEARCH("Error",J1)))</formula>
    </cfRule>
    <cfRule type="containsText" dxfId="16" priority="5" operator="containsText" text="é criado">
      <formula>NOT(ISERROR(SEARCH("é criado",J1)))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4" name="Button 1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5" name="Button 2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'Listas de Dados'!$B$4:$B$5</xm:f>
          </x14:formula1>
          <xm:sqref>C5:C54</xm:sqref>
        </x14:dataValidation>
      </x14:dataValidations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12">
    <tabColor theme="4" tint="0.79998168889431442"/>
  </sheetPr>
  <dimension ref="A1:I30"/>
  <sheetViews>
    <sheetView showGridLines="0" showRowColHeaders="0" workbookViewId="0">
      <pane xSplit="2" ySplit="4" topLeftCell="C5" activePane="bottomRight" state="frozen"/>
      <selection pane="topRight" activeCell="D1" sqref="D1"/>
      <selection pane="bottomLeft" activeCell="A5" sqref="A5"/>
      <selection pane="bottomRight" activeCell="B5" sqref="B5"/>
    </sheetView>
  </sheetViews>
  <sheetFormatPr defaultRowHeight="12.75" x14ac:dyDescent="0.2"/>
  <cols>
    <col min="1" max="1" width="11.7109375" style="81" customWidth="1"/>
    <col min="2" max="2" width="18.5703125" style="94" customWidth="1"/>
    <col min="3" max="8" width="17.5703125" style="94" customWidth="1"/>
    <col min="9" max="9" width="85.7109375" style="93" customWidth="1"/>
    <col min="10" max="10" width="22" style="93" customWidth="1"/>
    <col min="11" max="16384" width="9.140625" style="93"/>
  </cols>
  <sheetData>
    <row r="1" spans="1:9" s="82" customFormat="1" x14ac:dyDescent="0.2">
      <c r="A1" s="81" t="s">
        <v>28</v>
      </c>
    </row>
    <row r="2" spans="1:9" s="84" customFormat="1" x14ac:dyDescent="0.2">
      <c r="A2" s="81"/>
      <c r="B2" s="83"/>
      <c r="C2" s="82">
        <v>70</v>
      </c>
      <c r="D2" s="82">
        <v>75</v>
      </c>
      <c r="E2" s="82">
        <v>76</v>
      </c>
      <c r="F2" s="82">
        <v>77</v>
      </c>
      <c r="G2" s="82">
        <v>78</v>
      </c>
      <c r="H2" s="82">
        <v>79</v>
      </c>
    </row>
    <row r="3" spans="1:9" s="82" customFormat="1" ht="15" customHeight="1" x14ac:dyDescent="0.2">
      <c r="A3" s="81" t="s">
        <v>29</v>
      </c>
      <c r="B3" s="85" t="s">
        <v>1023</v>
      </c>
      <c r="C3" s="86" t="s">
        <v>1024</v>
      </c>
      <c r="D3" s="86" t="s">
        <v>1025</v>
      </c>
      <c r="E3" s="86" t="s">
        <v>1026</v>
      </c>
      <c r="F3" s="86" t="s">
        <v>1027</v>
      </c>
      <c r="G3" s="86" t="s">
        <v>1028</v>
      </c>
      <c r="H3" s="86" t="s">
        <v>1029</v>
      </c>
      <c r="I3" s="82" t="s">
        <v>32</v>
      </c>
    </row>
    <row r="4" spans="1:9" s="90" customFormat="1" ht="15" customHeight="1" x14ac:dyDescent="0.2">
      <c r="A4" s="87" t="s">
        <v>30</v>
      </c>
      <c r="B4" s="88" t="s">
        <v>95</v>
      </c>
      <c r="C4" s="89" t="s">
        <v>93</v>
      </c>
      <c r="D4" s="89" t="s">
        <v>1030</v>
      </c>
      <c r="E4" s="89" t="s">
        <v>1031</v>
      </c>
      <c r="F4" s="89" t="s">
        <v>1032</v>
      </c>
      <c r="G4" s="89" t="s">
        <v>1033</v>
      </c>
      <c r="H4" s="89" t="s">
        <v>1034</v>
      </c>
      <c r="I4" s="90" t="s">
        <v>940</v>
      </c>
    </row>
    <row r="5" spans="1:9" x14ac:dyDescent="0.2">
      <c r="A5" s="81" t="str">
        <f>"Execução "&amp;ROW()-4</f>
        <v>Execução 1</v>
      </c>
      <c r="B5" s="91"/>
      <c r="C5" s="43" t="str">
        <f>IF(IFERROR(INDEX(Consulta!$A:$DS,MATCH(ZTMM_PURLINS!$B5,Consulta!$C:$C,0),ZTMM_PURLINS!C$2),"")=0,"",IFERROR(INDEX(Consulta!$A:$DS,MATCH(ZTMM_PURLINS!$B5,Consulta!$C:$C,0),ZTMM_PURLINS!C$2),""))</f>
        <v/>
      </c>
      <c r="D5" s="43" t="str">
        <f>IF(IFERROR(INDEX(Consulta!$A:$DS,MATCH(ZTMM_PURLINS!$B5,Consulta!$C:$C,0),ZTMM_PURLINS!D$2),"")=0,"",IFERROR(INDEX(Consulta!$A:$DS,MATCH(ZTMM_PURLINS!$B5,Consulta!$C:$C,0),ZTMM_PURLINS!D$2),""))</f>
        <v/>
      </c>
      <c r="E5" s="43" t="str">
        <f>IF(IFERROR(INDEX(Consulta!$A:$DS,MATCH(ZTMM_PURLINS!$B5,Consulta!$C:$C,0),ZTMM_PURLINS!E$2),"")=0,"",IFERROR(INDEX(Consulta!$A:$DS,MATCH(ZTMM_PURLINS!$B5,Consulta!$C:$C,0),ZTMM_PURLINS!E$2),""))</f>
        <v/>
      </c>
      <c r="F5" s="43" t="str">
        <f>IF(IFERROR(INDEX(Consulta!$A:$DS,MATCH(ZTMM_PURLINS!$B5,Consulta!$C:$C,0),ZTMM_PURLINS!F$2),"")=0,"",IFERROR(INDEX(Consulta!$A:$DS,MATCH(ZTMM_PURLINS!$B5,Consulta!$C:$C,0),ZTMM_PURLINS!F$2),""))</f>
        <v/>
      </c>
      <c r="G5" s="43" t="str">
        <f>IF(IFERROR(INDEX(Consulta!$A:$DS,MATCH(ZTMM_PURLINS!$B5,Consulta!$C:$C,0),ZTMM_PURLINS!G$2),"")=0,"",IFERROR(INDEX(Consulta!$A:$DS,MATCH(ZTMM_PURLINS!$B5,Consulta!$C:$C,0),ZTMM_PURLINS!G$2),""))</f>
        <v/>
      </c>
      <c r="H5" s="43" t="str">
        <f>IF(IFERROR(INDEX(Consulta!$A:$DS,MATCH(ZTMM_PURLINS!$B5,Consulta!$C:$C,0),ZTMM_PURLINS!H$2),"")=0,"",IFERROR(INDEX(Consulta!$A:$DS,MATCH(ZTMM_PURLINS!$B5,Consulta!$C:$C,0),ZTMM_PURLINS!H$2),""))</f>
        <v/>
      </c>
      <c r="I5" s="92"/>
    </row>
    <row r="6" spans="1:9" x14ac:dyDescent="0.2">
      <c r="A6" s="81" t="str">
        <f t="shared" ref="A6:A30" si="0">"Execução "&amp;ROW()-4</f>
        <v>Execução 2</v>
      </c>
      <c r="B6" s="91"/>
      <c r="C6" s="43" t="str">
        <f>IF(IFERROR(INDEX(Consulta!$A:$DS,MATCH(ZTMM_PURLINS!$B6,Consulta!$C:$C,0),ZTMM_PURLINS!C$2),"")=0,"",IFERROR(INDEX(Consulta!$A:$DS,MATCH(ZTMM_PURLINS!$B6,Consulta!$C:$C,0),ZTMM_PURLINS!C$2),""))</f>
        <v/>
      </c>
      <c r="D6" s="43" t="str">
        <f>IF(IFERROR(INDEX(Consulta!$A:$DS,MATCH(ZTMM_PURLINS!$B6,Consulta!$C:$C,0),ZTMM_PURLINS!D$2),"")=0,"",IFERROR(INDEX(Consulta!$A:$DS,MATCH(ZTMM_PURLINS!$B6,Consulta!$C:$C,0),ZTMM_PURLINS!D$2),""))</f>
        <v/>
      </c>
      <c r="E6" s="43" t="str">
        <f>IF(IFERROR(INDEX(Consulta!$A:$DS,MATCH(ZTMM_PURLINS!$B6,Consulta!$C:$C,0),ZTMM_PURLINS!E$2),"")=0,"",IFERROR(INDEX(Consulta!$A:$DS,MATCH(ZTMM_PURLINS!$B6,Consulta!$C:$C,0),ZTMM_PURLINS!E$2),""))</f>
        <v/>
      </c>
      <c r="F6" s="43" t="str">
        <f>IF(IFERROR(INDEX(Consulta!$A:$DS,MATCH(ZTMM_PURLINS!$B6,Consulta!$C:$C,0),ZTMM_PURLINS!F$2),"")=0,"",IFERROR(INDEX(Consulta!$A:$DS,MATCH(ZTMM_PURLINS!$B6,Consulta!$C:$C,0),ZTMM_PURLINS!F$2),""))</f>
        <v/>
      </c>
      <c r="G6" s="43" t="str">
        <f>IF(IFERROR(INDEX(Consulta!$A:$DS,MATCH(ZTMM_PURLINS!$B6,Consulta!$C:$C,0),ZTMM_PURLINS!G$2),"")=0,"",IFERROR(INDEX(Consulta!$A:$DS,MATCH(ZTMM_PURLINS!$B6,Consulta!$C:$C,0),ZTMM_PURLINS!G$2),""))</f>
        <v/>
      </c>
      <c r="H6" s="43" t="str">
        <f>IF(IFERROR(INDEX(Consulta!$A:$DS,MATCH(ZTMM_PURLINS!$B6,Consulta!$C:$C,0),ZTMM_PURLINS!H$2),"")=0,"",IFERROR(INDEX(Consulta!$A:$DS,MATCH(ZTMM_PURLINS!$B6,Consulta!$C:$C,0),ZTMM_PURLINS!H$2),""))</f>
        <v/>
      </c>
      <c r="I6" s="92"/>
    </row>
    <row r="7" spans="1:9" x14ac:dyDescent="0.2">
      <c r="A7" s="81" t="str">
        <f t="shared" si="0"/>
        <v>Execução 3</v>
      </c>
      <c r="B7" s="91"/>
      <c r="C7" s="43" t="str">
        <f>IF(IFERROR(INDEX(Consulta!$A:$DS,MATCH(ZTMM_PURLINS!$B7,Consulta!$C:$C,0),ZTMM_PURLINS!C$2),"")=0,"",IFERROR(INDEX(Consulta!$A:$DS,MATCH(ZTMM_PURLINS!$B7,Consulta!$C:$C,0),ZTMM_PURLINS!C$2),""))</f>
        <v/>
      </c>
      <c r="D7" s="43" t="str">
        <f>IF(IFERROR(INDEX(Consulta!$A:$DS,MATCH(ZTMM_PURLINS!$B7,Consulta!$C:$C,0),ZTMM_PURLINS!D$2),"")=0,"",IFERROR(INDEX(Consulta!$A:$DS,MATCH(ZTMM_PURLINS!$B7,Consulta!$C:$C,0),ZTMM_PURLINS!D$2),""))</f>
        <v/>
      </c>
      <c r="E7" s="43" t="str">
        <f>IF(IFERROR(INDEX(Consulta!$A:$DS,MATCH(ZTMM_PURLINS!$B7,Consulta!$C:$C,0),ZTMM_PURLINS!E$2),"")=0,"",IFERROR(INDEX(Consulta!$A:$DS,MATCH(ZTMM_PURLINS!$B7,Consulta!$C:$C,0),ZTMM_PURLINS!E$2),""))</f>
        <v/>
      </c>
      <c r="F7" s="43" t="str">
        <f>IF(IFERROR(INDEX(Consulta!$A:$DS,MATCH(ZTMM_PURLINS!$B7,Consulta!$C:$C,0),ZTMM_PURLINS!F$2),"")=0,"",IFERROR(INDEX(Consulta!$A:$DS,MATCH(ZTMM_PURLINS!$B7,Consulta!$C:$C,0),ZTMM_PURLINS!F$2),""))</f>
        <v/>
      </c>
      <c r="G7" s="43" t="str">
        <f>IF(IFERROR(INDEX(Consulta!$A:$DS,MATCH(ZTMM_PURLINS!$B7,Consulta!$C:$C,0),ZTMM_PURLINS!G$2),"")=0,"",IFERROR(INDEX(Consulta!$A:$DS,MATCH(ZTMM_PURLINS!$B7,Consulta!$C:$C,0),ZTMM_PURLINS!G$2),""))</f>
        <v/>
      </c>
      <c r="H7" s="43" t="str">
        <f>IF(IFERROR(INDEX(Consulta!$A:$DS,MATCH(ZTMM_PURLINS!$B7,Consulta!$C:$C,0),ZTMM_PURLINS!H$2),"")=0,"",IFERROR(INDEX(Consulta!$A:$DS,MATCH(ZTMM_PURLINS!$B7,Consulta!$C:$C,0),ZTMM_PURLINS!H$2),""))</f>
        <v/>
      </c>
      <c r="I7" s="92"/>
    </row>
    <row r="8" spans="1:9" x14ac:dyDescent="0.2">
      <c r="A8" s="81" t="str">
        <f t="shared" si="0"/>
        <v>Execução 4</v>
      </c>
      <c r="B8" s="91"/>
      <c r="C8" s="43" t="str">
        <f>IF(IFERROR(INDEX(Consulta!$A:$DS,MATCH(ZTMM_PURLINS!$B8,Consulta!$C:$C,0),ZTMM_PURLINS!C$2),"")=0,"",IFERROR(INDEX(Consulta!$A:$DS,MATCH(ZTMM_PURLINS!$B8,Consulta!$C:$C,0),ZTMM_PURLINS!C$2),""))</f>
        <v/>
      </c>
      <c r="D8" s="43" t="str">
        <f>IF(IFERROR(INDEX(Consulta!$A:$DS,MATCH(ZTMM_PURLINS!$B8,Consulta!$C:$C,0),ZTMM_PURLINS!D$2),"")=0,"",IFERROR(INDEX(Consulta!$A:$DS,MATCH(ZTMM_PURLINS!$B8,Consulta!$C:$C,0),ZTMM_PURLINS!D$2),""))</f>
        <v/>
      </c>
      <c r="E8" s="43" t="str">
        <f>IF(IFERROR(INDEX(Consulta!$A:$DS,MATCH(ZTMM_PURLINS!$B8,Consulta!$C:$C,0),ZTMM_PURLINS!E$2),"")=0,"",IFERROR(INDEX(Consulta!$A:$DS,MATCH(ZTMM_PURLINS!$B8,Consulta!$C:$C,0),ZTMM_PURLINS!E$2),""))</f>
        <v/>
      </c>
      <c r="F8" s="43" t="str">
        <f>IF(IFERROR(INDEX(Consulta!$A:$DS,MATCH(ZTMM_PURLINS!$B8,Consulta!$C:$C,0),ZTMM_PURLINS!F$2),"")=0,"",IFERROR(INDEX(Consulta!$A:$DS,MATCH(ZTMM_PURLINS!$B8,Consulta!$C:$C,0),ZTMM_PURLINS!F$2),""))</f>
        <v/>
      </c>
      <c r="G8" s="43" t="str">
        <f>IF(IFERROR(INDEX(Consulta!$A:$DS,MATCH(ZTMM_PURLINS!$B8,Consulta!$C:$C,0),ZTMM_PURLINS!G$2),"")=0,"",IFERROR(INDEX(Consulta!$A:$DS,MATCH(ZTMM_PURLINS!$B8,Consulta!$C:$C,0),ZTMM_PURLINS!G$2),""))</f>
        <v/>
      </c>
      <c r="H8" s="43" t="str">
        <f>IF(IFERROR(INDEX(Consulta!$A:$DS,MATCH(ZTMM_PURLINS!$B8,Consulta!$C:$C,0),ZTMM_PURLINS!H$2),"")=0,"",IFERROR(INDEX(Consulta!$A:$DS,MATCH(ZTMM_PURLINS!$B8,Consulta!$C:$C,0),ZTMM_PURLINS!H$2),""))</f>
        <v/>
      </c>
      <c r="I8" s="92"/>
    </row>
    <row r="9" spans="1:9" x14ac:dyDescent="0.2">
      <c r="A9" s="81" t="str">
        <f t="shared" si="0"/>
        <v>Execução 5</v>
      </c>
      <c r="B9" s="91"/>
      <c r="C9" s="43" t="str">
        <f>IF(IFERROR(INDEX(Consulta!$A:$DS,MATCH(ZTMM_PURLINS!$B9,Consulta!$C:$C,0),ZTMM_PURLINS!C$2),"")=0,"",IFERROR(INDEX(Consulta!$A:$DS,MATCH(ZTMM_PURLINS!$B9,Consulta!$C:$C,0),ZTMM_PURLINS!C$2),""))</f>
        <v/>
      </c>
      <c r="D9" s="43" t="str">
        <f>IF(IFERROR(INDEX(Consulta!$A:$DS,MATCH(ZTMM_PURLINS!$B9,Consulta!$C:$C,0),ZTMM_PURLINS!D$2),"")=0,"",IFERROR(INDEX(Consulta!$A:$DS,MATCH(ZTMM_PURLINS!$B9,Consulta!$C:$C,0),ZTMM_PURLINS!D$2),""))</f>
        <v/>
      </c>
      <c r="E9" s="43" t="str">
        <f>IF(IFERROR(INDEX(Consulta!$A:$DS,MATCH(ZTMM_PURLINS!$B9,Consulta!$C:$C,0),ZTMM_PURLINS!E$2),"")=0,"",IFERROR(INDEX(Consulta!$A:$DS,MATCH(ZTMM_PURLINS!$B9,Consulta!$C:$C,0),ZTMM_PURLINS!E$2),""))</f>
        <v/>
      </c>
      <c r="F9" s="43" t="str">
        <f>IF(IFERROR(INDEX(Consulta!$A:$DS,MATCH(ZTMM_PURLINS!$B9,Consulta!$C:$C,0),ZTMM_PURLINS!F$2),"")=0,"",IFERROR(INDEX(Consulta!$A:$DS,MATCH(ZTMM_PURLINS!$B9,Consulta!$C:$C,0),ZTMM_PURLINS!F$2),""))</f>
        <v/>
      </c>
      <c r="G9" s="43" t="str">
        <f>IF(IFERROR(INDEX(Consulta!$A:$DS,MATCH(ZTMM_PURLINS!$B9,Consulta!$C:$C,0),ZTMM_PURLINS!G$2),"")=0,"",IFERROR(INDEX(Consulta!$A:$DS,MATCH(ZTMM_PURLINS!$B9,Consulta!$C:$C,0),ZTMM_PURLINS!G$2),""))</f>
        <v/>
      </c>
      <c r="H9" s="43" t="str">
        <f>IF(IFERROR(INDEX(Consulta!$A:$DS,MATCH(ZTMM_PURLINS!$B9,Consulta!$C:$C,0),ZTMM_PURLINS!H$2),"")=0,"",IFERROR(INDEX(Consulta!$A:$DS,MATCH(ZTMM_PURLINS!$B9,Consulta!$C:$C,0),ZTMM_PURLINS!H$2),""))</f>
        <v/>
      </c>
      <c r="I9" s="92"/>
    </row>
    <row r="10" spans="1:9" x14ac:dyDescent="0.2">
      <c r="A10" s="81" t="str">
        <f t="shared" si="0"/>
        <v>Execução 6</v>
      </c>
      <c r="B10" s="91"/>
      <c r="C10" s="43" t="str">
        <f>IF(IFERROR(INDEX(Consulta!$A:$DS,MATCH(ZTMM_PURLINS!$B10,Consulta!$C:$C,0),ZTMM_PURLINS!C$2),"")=0,"",IFERROR(INDEX(Consulta!$A:$DS,MATCH(ZTMM_PURLINS!$B10,Consulta!$C:$C,0),ZTMM_PURLINS!C$2),""))</f>
        <v/>
      </c>
      <c r="D10" s="43" t="str">
        <f>IF(IFERROR(INDEX(Consulta!$A:$DS,MATCH(ZTMM_PURLINS!$B10,Consulta!$C:$C,0),ZTMM_PURLINS!D$2),"")=0,"",IFERROR(INDEX(Consulta!$A:$DS,MATCH(ZTMM_PURLINS!$B10,Consulta!$C:$C,0),ZTMM_PURLINS!D$2),""))</f>
        <v/>
      </c>
      <c r="E10" s="43" t="str">
        <f>IF(IFERROR(INDEX(Consulta!$A:$DS,MATCH(ZTMM_PURLINS!$B10,Consulta!$C:$C,0),ZTMM_PURLINS!E$2),"")=0,"",IFERROR(INDEX(Consulta!$A:$DS,MATCH(ZTMM_PURLINS!$B10,Consulta!$C:$C,0),ZTMM_PURLINS!E$2),""))</f>
        <v/>
      </c>
      <c r="F10" s="43" t="str">
        <f>IF(IFERROR(INDEX(Consulta!$A:$DS,MATCH(ZTMM_PURLINS!$B10,Consulta!$C:$C,0),ZTMM_PURLINS!F$2),"")=0,"",IFERROR(INDEX(Consulta!$A:$DS,MATCH(ZTMM_PURLINS!$B10,Consulta!$C:$C,0),ZTMM_PURLINS!F$2),""))</f>
        <v/>
      </c>
      <c r="G10" s="43" t="str">
        <f>IF(IFERROR(INDEX(Consulta!$A:$DS,MATCH(ZTMM_PURLINS!$B10,Consulta!$C:$C,0),ZTMM_PURLINS!G$2),"")=0,"",IFERROR(INDEX(Consulta!$A:$DS,MATCH(ZTMM_PURLINS!$B10,Consulta!$C:$C,0),ZTMM_PURLINS!G$2),""))</f>
        <v/>
      </c>
      <c r="H10" s="43" t="str">
        <f>IF(IFERROR(INDEX(Consulta!$A:$DS,MATCH(ZTMM_PURLINS!$B10,Consulta!$C:$C,0),ZTMM_PURLINS!H$2),"")=0,"",IFERROR(INDEX(Consulta!$A:$DS,MATCH(ZTMM_PURLINS!$B10,Consulta!$C:$C,0),ZTMM_PURLINS!H$2),""))</f>
        <v/>
      </c>
      <c r="I10" s="92"/>
    </row>
    <row r="11" spans="1:9" x14ac:dyDescent="0.2">
      <c r="A11" s="81" t="str">
        <f t="shared" si="0"/>
        <v>Execução 7</v>
      </c>
      <c r="B11" s="91"/>
      <c r="C11" s="43" t="str">
        <f>IF(IFERROR(INDEX(Consulta!$A:$DS,MATCH(ZTMM_PURLINS!$B11,Consulta!$C:$C,0),ZTMM_PURLINS!C$2),"")=0,"",IFERROR(INDEX(Consulta!$A:$DS,MATCH(ZTMM_PURLINS!$B11,Consulta!$C:$C,0),ZTMM_PURLINS!C$2),""))</f>
        <v/>
      </c>
      <c r="D11" s="43" t="str">
        <f>IF(IFERROR(INDEX(Consulta!$A:$DS,MATCH(ZTMM_PURLINS!$B11,Consulta!$C:$C,0),ZTMM_PURLINS!D$2),"")=0,"",IFERROR(INDEX(Consulta!$A:$DS,MATCH(ZTMM_PURLINS!$B11,Consulta!$C:$C,0),ZTMM_PURLINS!D$2),""))</f>
        <v/>
      </c>
      <c r="E11" s="43" t="str">
        <f>IF(IFERROR(INDEX(Consulta!$A:$DS,MATCH(ZTMM_PURLINS!$B11,Consulta!$C:$C,0),ZTMM_PURLINS!E$2),"")=0,"",IFERROR(INDEX(Consulta!$A:$DS,MATCH(ZTMM_PURLINS!$B11,Consulta!$C:$C,0),ZTMM_PURLINS!E$2),""))</f>
        <v/>
      </c>
      <c r="F11" s="43" t="str">
        <f>IF(IFERROR(INDEX(Consulta!$A:$DS,MATCH(ZTMM_PURLINS!$B11,Consulta!$C:$C,0),ZTMM_PURLINS!F$2),"")=0,"",IFERROR(INDEX(Consulta!$A:$DS,MATCH(ZTMM_PURLINS!$B11,Consulta!$C:$C,0),ZTMM_PURLINS!F$2),""))</f>
        <v/>
      </c>
      <c r="G11" s="43" t="str">
        <f>IF(IFERROR(INDEX(Consulta!$A:$DS,MATCH(ZTMM_PURLINS!$B11,Consulta!$C:$C,0),ZTMM_PURLINS!G$2),"")=0,"",IFERROR(INDEX(Consulta!$A:$DS,MATCH(ZTMM_PURLINS!$B11,Consulta!$C:$C,0),ZTMM_PURLINS!G$2),""))</f>
        <v/>
      </c>
      <c r="H11" s="43" t="str">
        <f>IF(IFERROR(INDEX(Consulta!$A:$DS,MATCH(ZTMM_PURLINS!$B11,Consulta!$C:$C,0),ZTMM_PURLINS!H$2),"")=0,"",IFERROR(INDEX(Consulta!$A:$DS,MATCH(ZTMM_PURLINS!$B11,Consulta!$C:$C,0),ZTMM_PURLINS!H$2),""))</f>
        <v/>
      </c>
      <c r="I11" s="92"/>
    </row>
    <row r="12" spans="1:9" x14ac:dyDescent="0.2">
      <c r="A12" s="81" t="str">
        <f t="shared" si="0"/>
        <v>Execução 8</v>
      </c>
      <c r="B12" s="91"/>
      <c r="C12" s="43" t="str">
        <f>IF(IFERROR(INDEX(Consulta!$A:$DS,MATCH(ZTMM_PURLINS!$B12,Consulta!$C:$C,0),ZTMM_PURLINS!C$2),"")=0,"",IFERROR(INDEX(Consulta!$A:$DS,MATCH(ZTMM_PURLINS!$B12,Consulta!$C:$C,0),ZTMM_PURLINS!C$2),""))</f>
        <v/>
      </c>
      <c r="D12" s="43" t="str">
        <f>IF(IFERROR(INDEX(Consulta!$A:$DS,MATCH(ZTMM_PURLINS!$B12,Consulta!$C:$C,0),ZTMM_PURLINS!D$2),"")=0,"",IFERROR(INDEX(Consulta!$A:$DS,MATCH(ZTMM_PURLINS!$B12,Consulta!$C:$C,0),ZTMM_PURLINS!D$2),""))</f>
        <v/>
      </c>
      <c r="E12" s="43" t="str">
        <f>IF(IFERROR(INDEX(Consulta!$A:$DS,MATCH(ZTMM_PURLINS!$B12,Consulta!$C:$C,0),ZTMM_PURLINS!E$2),"")=0,"",IFERROR(INDEX(Consulta!$A:$DS,MATCH(ZTMM_PURLINS!$B12,Consulta!$C:$C,0),ZTMM_PURLINS!E$2),""))</f>
        <v/>
      </c>
      <c r="F12" s="43" t="str">
        <f>IF(IFERROR(INDEX(Consulta!$A:$DS,MATCH(ZTMM_PURLINS!$B12,Consulta!$C:$C,0),ZTMM_PURLINS!F$2),"")=0,"",IFERROR(INDEX(Consulta!$A:$DS,MATCH(ZTMM_PURLINS!$B12,Consulta!$C:$C,0),ZTMM_PURLINS!F$2),""))</f>
        <v/>
      </c>
      <c r="G12" s="43" t="str">
        <f>IF(IFERROR(INDEX(Consulta!$A:$DS,MATCH(ZTMM_PURLINS!$B12,Consulta!$C:$C,0),ZTMM_PURLINS!G$2),"")=0,"",IFERROR(INDEX(Consulta!$A:$DS,MATCH(ZTMM_PURLINS!$B12,Consulta!$C:$C,0),ZTMM_PURLINS!G$2),""))</f>
        <v/>
      </c>
      <c r="H12" s="43" t="str">
        <f>IF(IFERROR(INDEX(Consulta!$A:$DS,MATCH(ZTMM_PURLINS!$B12,Consulta!$C:$C,0),ZTMM_PURLINS!H$2),"")=0,"",IFERROR(INDEX(Consulta!$A:$DS,MATCH(ZTMM_PURLINS!$B12,Consulta!$C:$C,0),ZTMM_PURLINS!H$2),""))</f>
        <v/>
      </c>
      <c r="I12" s="92"/>
    </row>
    <row r="13" spans="1:9" x14ac:dyDescent="0.2">
      <c r="A13" s="81" t="str">
        <f t="shared" si="0"/>
        <v>Execução 9</v>
      </c>
      <c r="B13" s="91"/>
      <c r="C13" s="43" t="str">
        <f>IF(IFERROR(INDEX(Consulta!$A:$DS,MATCH(ZTMM_PURLINS!$B13,Consulta!$C:$C,0),ZTMM_PURLINS!C$2),"")=0,"",IFERROR(INDEX(Consulta!$A:$DS,MATCH(ZTMM_PURLINS!$B13,Consulta!$C:$C,0),ZTMM_PURLINS!C$2),""))</f>
        <v/>
      </c>
      <c r="D13" s="43" t="str">
        <f>IF(IFERROR(INDEX(Consulta!$A:$DS,MATCH(ZTMM_PURLINS!$B13,Consulta!$C:$C,0),ZTMM_PURLINS!D$2),"")=0,"",IFERROR(INDEX(Consulta!$A:$DS,MATCH(ZTMM_PURLINS!$B13,Consulta!$C:$C,0),ZTMM_PURLINS!D$2),""))</f>
        <v/>
      </c>
      <c r="E13" s="43" t="str">
        <f>IF(IFERROR(INDEX(Consulta!$A:$DS,MATCH(ZTMM_PURLINS!$B13,Consulta!$C:$C,0),ZTMM_PURLINS!E$2),"")=0,"",IFERROR(INDEX(Consulta!$A:$DS,MATCH(ZTMM_PURLINS!$B13,Consulta!$C:$C,0),ZTMM_PURLINS!E$2),""))</f>
        <v/>
      </c>
      <c r="F13" s="43" t="str">
        <f>IF(IFERROR(INDEX(Consulta!$A:$DS,MATCH(ZTMM_PURLINS!$B13,Consulta!$C:$C,0),ZTMM_PURLINS!F$2),"")=0,"",IFERROR(INDEX(Consulta!$A:$DS,MATCH(ZTMM_PURLINS!$B13,Consulta!$C:$C,0),ZTMM_PURLINS!F$2),""))</f>
        <v/>
      </c>
      <c r="G13" s="43" t="str">
        <f>IF(IFERROR(INDEX(Consulta!$A:$DS,MATCH(ZTMM_PURLINS!$B13,Consulta!$C:$C,0),ZTMM_PURLINS!G$2),"")=0,"",IFERROR(INDEX(Consulta!$A:$DS,MATCH(ZTMM_PURLINS!$B13,Consulta!$C:$C,0),ZTMM_PURLINS!G$2),""))</f>
        <v/>
      </c>
      <c r="H13" s="43" t="str">
        <f>IF(IFERROR(INDEX(Consulta!$A:$DS,MATCH(ZTMM_PURLINS!$B13,Consulta!$C:$C,0),ZTMM_PURLINS!H$2),"")=0,"",IFERROR(INDEX(Consulta!$A:$DS,MATCH(ZTMM_PURLINS!$B13,Consulta!$C:$C,0),ZTMM_PURLINS!H$2),""))</f>
        <v/>
      </c>
      <c r="I13" s="92"/>
    </row>
    <row r="14" spans="1:9" x14ac:dyDescent="0.2">
      <c r="A14" s="81" t="str">
        <f t="shared" si="0"/>
        <v>Execução 10</v>
      </c>
      <c r="B14" s="91"/>
      <c r="C14" s="43" t="str">
        <f>IF(IFERROR(INDEX(Consulta!$A:$DS,MATCH(ZTMM_PURLINS!$B14,Consulta!$C:$C,0),ZTMM_PURLINS!C$2),"")=0,"",IFERROR(INDEX(Consulta!$A:$DS,MATCH(ZTMM_PURLINS!$B14,Consulta!$C:$C,0),ZTMM_PURLINS!C$2),""))</f>
        <v/>
      </c>
      <c r="D14" s="43" t="str">
        <f>IF(IFERROR(INDEX(Consulta!$A:$DS,MATCH(ZTMM_PURLINS!$B14,Consulta!$C:$C,0),ZTMM_PURLINS!D$2),"")=0,"",IFERROR(INDEX(Consulta!$A:$DS,MATCH(ZTMM_PURLINS!$B14,Consulta!$C:$C,0),ZTMM_PURLINS!D$2),""))</f>
        <v/>
      </c>
      <c r="E14" s="43" t="str">
        <f>IF(IFERROR(INDEX(Consulta!$A:$DS,MATCH(ZTMM_PURLINS!$B14,Consulta!$C:$C,0),ZTMM_PURLINS!E$2),"")=0,"",IFERROR(INDEX(Consulta!$A:$DS,MATCH(ZTMM_PURLINS!$B14,Consulta!$C:$C,0),ZTMM_PURLINS!E$2),""))</f>
        <v/>
      </c>
      <c r="F14" s="43" t="str">
        <f>IF(IFERROR(INDEX(Consulta!$A:$DS,MATCH(ZTMM_PURLINS!$B14,Consulta!$C:$C,0),ZTMM_PURLINS!F$2),"")=0,"",IFERROR(INDEX(Consulta!$A:$DS,MATCH(ZTMM_PURLINS!$B14,Consulta!$C:$C,0),ZTMM_PURLINS!F$2),""))</f>
        <v/>
      </c>
      <c r="G14" s="43" t="str">
        <f>IF(IFERROR(INDEX(Consulta!$A:$DS,MATCH(ZTMM_PURLINS!$B14,Consulta!$C:$C,0),ZTMM_PURLINS!G$2),"")=0,"",IFERROR(INDEX(Consulta!$A:$DS,MATCH(ZTMM_PURLINS!$B14,Consulta!$C:$C,0),ZTMM_PURLINS!G$2),""))</f>
        <v/>
      </c>
      <c r="H14" s="43" t="str">
        <f>IF(IFERROR(INDEX(Consulta!$A:$DS,MATCH(ZTMM_PURLINS!$B14,Consulta!$C:$C,0),ZTMM_PURLINS!H$2),"")=0,"",IFERROR(INDEX(Consulta!$A:$DS,MATCH(ZTMM_PURLINS!$B14,Consulta!$C:$C,0),ZTMM_PURLINS!H$2),""))</f>
        <v/>
      </c>
      <c r="I14" s="92"/>
    </row>
    <row r="15" spans="1:9" x14ac:dyDescent="0.2">
      <c r="A15" s="81" t="str">
        <f t="shared" si="0"/>
        <v>Execução 11</v>
      </c>
      <c r="B15" s="91"/>
      <c r="C15" s="43" t="str">
        <f>IF(IFERROR(INDEX(Consulta!$A:$DS,MATCH(ZTMM_PURLINS!$B15,Consulta!$C:$C,0),ZTMM_PURLINS!C$2),"")=0,"",IFERROR(INDEX(Consulta!$A:$DS,MATCH(ZTMM_PURLINS!$B15,Consulta!$C:$C,0),ZTMM_PURLINS!C$2),""))</f>
        <v/>
      </c>
      <c r="D15" s="43" t="str">
        <f>IF(IFERROR(INDEX(Consulta!$A:$DS,MATCH(ZTMM_PURLINS!$B15,Consulta!$C:$C,0),ZTMM_PURLINS!D$2),"")=0,"",IFERROR(INDEX(Consulta!$A:$DS,MATCH(ZTMM_PURLINS!$B15,Consulta!$C:$C,0),ZTMM_PURLINS!D$2),""))</f>
        <v/>
      </c>
      <c r="E15" s="43" t="str">
        <f>IF(IFERROR(INDEX(Consulta!$A:$DS,MATCH(ZTMM_PURLINS!$B15,Consulta!$C:$C,0),ZTMM_PURLINS!E$2),"")=0,"",IFERROR(INDEX(Consulta!$A:$DS,MATCH(ZTMM_PURLINS!$B15,Consulta!$C:$C,0),ZTMM_PURLINS!E$2),""))</f>
        <v/>
      </c>
      <c r="F15" s="43" t="str">
        <f>IF(IFERROR(INDEX(Consulta!$A:$DS,MATCH(ZTMM_PURLINS!$B15,Consulta!$C:$C,0),ZTMM_PURLINS!F$2),"")=0,"",IFERROR(INDEX(Consulta!$A:$DS,MATCH(ZTMM_PURLINS!$B15,Consulta!$C:$C,0),ZTMM_PURLINS!F$2),""))</f>
        <v/>
      </c>
      <c r="G15" s="43" t="str">
        <f>IF(IFERROR(INDEX(Consulta!$A:$DS,MATCH(ZTMM_PURLINS!$B15,Consulta!$C:$C,0),ZTMM_PURLINS!G$2),"")=0,"",IFERROR(INDEX(Consulta!$A:$DS,MATCH(ZTMM_PURLINS!$B15,Consulta!$C:$C,0),ZTMM_PURLINS!G$2),""))</f>
        <v/>
      </c>
      <c r="H15" s="43" t="str">
        <f>IF(IFERROR(INDEX(Consulta!$A:$DS,MATCH(ZTMM_PURLINS!$B15,Consulta!$C:$C,0),ZTMM_PURLINS!H$2),"")=0,"",IFERROR(INDEX(Consulta!$A:$DS,MATCH(ZTMM_PURLINS!$B15,Consulta!$C:$C,0),ZTMM_PURLINS!H$2),""))</f>
        <v/>
      </c>
      <c r="I15" s="92"/>
    </row>
    <row r="16" spans="1:9" x14ac:dyDescent="0.2">
      <c r="A16" s="81" t="str">
        <f t="shared" si="0"/>
        <v>Execução 12</v>
      </c>
      <c r="B16" s="91"/>
      <c r="C16" s="43" t="str">
        <f>IF(IFERROR(INDEX(Consulta!$A:$DS,MATCH(ZTMM_PURLINS!$B16,Consulta!$C:$C,0),ZTMM_PURLINS!C$2),"")=0,"",IFERROR(INDEX(Consulta!$A:$DS,MATCH(ZTMM_PURLINS!$B16,Consulta!$C:$C,0),ZTMM_PURLINS!C$2),""))</f>
        <v/>
      </c>
      <c r="D16" s="43" t="str">
        <f>IF(IFERROR(INDEX(Consulta!$A:$DS,MATCH(ZTMM_PURLINS!$B16,Consulta!$C:$C,0),ZTMM_PURLINS!D$2),"")=0,"",IFERROR(INDEX(Consulta!$A:$DS,MATCH(ZTMM_PURLINS!$B16,Consulta!$C:$C,0),ZTMM_PURLINS!D$2),""))</f>
        <v/>
      </c>
      <c r="E16" s="43" t="str">
        <f>IF(IFERROR(INDEX(Consulta!$A:$DS,MATCH(ZTMM_PURLINS!$B16,Consulta!$C:$C,0),ZTMM_PURLINS!E$2),"")=0,"",IFERROR(INDEX(Consulta!$A:$DS,MATCH(ZTMM_PURLINS!$B16,Consulta!$C:$C,0),ZTMM_PURLINS!E$2),""))</f>
        <v/>
      </c>
      <c r="F16" s="43" t="str">
        <f>IF(IFERROR(INDEX(Consulta!$A:$DS,MATCH(ZTMM_PURLINS!$B16,Consulta!$C:$C,0),ZTMM_PURLINS!F$2),"")=0,"",IFERROR(INDEX(Consulta!$A:$DS,MATCH(ZTMM_PURLINS!$B16,Consulta!$C:$C,0),ZTMM_PURLINS!F$2),""))</f>
        <v/>
      </c>
      <c r="G16" s="43" t="str">
        <f>IF(IFERROR(INDEX(Consulta!$A:$DS,MATCH(ZTMM_PURLINS!$B16,Consulta!$C:$C,0),ZTMM_PURLINS!G$2),"")=0,"",IFERROR(INDEX(Consulta!$A:$DS,MATCH(ZTMM_PURLINS!$B16,Consulta!$C:$C,0),ZTMM_PURLINS!G$2),""))</f>
        <v/>
      </c>
      <c r="H16" s="43" t="str">
        <f>IF(IFERROR(INDEX(Consulta!$A:$DS,MATCH(ZTMM_PURLINS!$B16,Consulta!$C:$C,0),ZTMM_PURLINS!H$2),"")=0,"",IFERROR(INDEX(Consulta!$A:$DS,MATCH(ZTMM_PURLINS!$B16,Consulta!$C:$C,0),ZTMM_PURLINS!H$2),""))</f>
        <v/>
      </c>
      <c r="I16" s="92"/>
    </row>
    <row r="17" spans="1:9" x14ac:dyDescent="0.2">
      <c r="A17" s="81" t="str">
        <f t="shared" si="0"/>
        <v>Execução 13</v>
      </c>
      <c r="B17" s="91"/>
      <c r="C17" s="43" t="str">
        <f>IF(IFERROR(INDEX(Consulta!$A:$DS,MATCH(ZTMM_PURLINS!$B17,Consulta!$C:$C,0),ZTMM_PURLINS!C$2),"")=0,"",IFERROR(INDEX(Consulta!$A:$DS,MATCH(ZTMM_PURLINS!$B17,Consulta!$C:$C,0),ZTMM_PURLINS!C$2),""))</f>
        <v/>
      </c>
      <c r="D17" s="43" t="str">
        <f>IF(IFERROR(INDEX(Consulta!$A:$DS,MATCH(ZTMM_PURLINS!$B17,Consulta!$C:$C,0),ZTMM_PURLINS!D$2),"")=0,"",IFERROR(INDEX(Consulta!$A:$DS,MATCH(ZTMM_PURLINS!$B17,Consulta!$C:$C,0),ZTMM_PURLINS!D$2),""))</f>
        <v/>
      </c>
      <c r="E17" s="43" t="str">
        <f>IF(IFERROR(INDEX(Consulta!$A:$DS,MATCH(ZTMM_PURLINS!$B17,Consulta!$C:$C,0),ZTMM_PURLINS!E$2),"")=0,"",IFERROR(INDEX(Consulta!$A:$DS,MATCH(ZTMM_PURLINS!$B17,Consulta!$C:$C,0),ZTMM_PURLINS!E$2),""))</f>
        <v/>
      </c>
      <c r="F17" s="43" t="str">
        <f>IF(IFERROR(INDEX(Consulta!$A:$DS,MATCH(ZTMM_PURLINS!$B17,Consulta!$C:$C,0),ZTMM_PURLINS!F$2),"")=0,"",IFERROR(INDEX(Consulta!$A:$DS,MATCH(ZTMM_PURLINS!$B17,Consulta!$C:$C,0),ZTMM_PURLINS!F$2),""))</f>
        <v/>
      </c>
      <c r="G17" s="43" t="str">
        <f>IF(IFERROR(INDEX(Consulta!$A:$DS,MATCH(ZTMM_PURLINS!$B17,Consulta!$C:$C,0),ZTMM_PURLINS!G$2),"")=0,"",IFERROR(INDEX(Consulta!$A:$DS,MATCH(ZTMM_PURLINS!$B17,Consulta!$C:$C,0),ZTMM_PURLINS!G$2),""))</f>
        <v/>
      </c>
      <c r="H17" s="43" t="str">
        <f>IF(IFERROR(INDEX(Consulta!$A:$DS,MATCH(ZTMM_PURLINS!$B17,Consulta!$C:$C,0),ZTMM_PURLINS!H$2),"")=0,"",IFERROR(INDEX(Consulta!$A:$DS,MATCH(ZTMM_PURLINS!$B17,Consulta!$C:$C,0),ZTMM_PURLINS!H$2),""))</f>
        <v/>
      </c>
      <c r="I17" s="92"/>
    </row>
    <row r="18" spans="1:9" x14ac:dyDescent="0.2">
      <c r="A18" s="81" t="str">
        <f t="shared" si="0"/>
        <v>Execução 14</v>
      </c>
      <c r="B18" s="91"/>
      <c r="C18" s="43" t="str">
        <f>IF(IFERROR(INDEX(Consulta!$A:$DS,MATCH(ZTMM_PURLINS!$B18,Consulta!$C:$C,0),ZTMM_PURLINS!C$2),"")=0,"",IFERROR(INDEX(Consulta!$A:$DS,MATCH(ZTMM_PURLINS!$B18,Consulta!$C:$C,0),ZTMM_PURLINS!C$2),""))</f>
        <v/>
      </c>
      <c r="D18" s="43" t="str">
        <f>IF(IFERROR(INDEX(Consulta!$A:$DS,MATCH(ZTMM_PURLINS!$B18,Consulta!$C:$C,0),ZTMM_PURLINS!D$2),"")=0,"",IFERROR(INDEX(Consulta!$A:$DS,MATCH(ZTMM_PURLINS!$B18,Consulta!$C:$C,0),ZTMM_PURLINS!D$2),""))</f>
        <v/>
      </c>
      <c r="E18" s="43" t="str">
        <f>IF(IFERROR(INDEX(Consulta!$A:$DS,MATCH(ZTMM_PURLINS!$B18,Consulta!$C:$C,0),ZTMM_PURLINS!E$2),"")=0,"",IFERROR(INDEX(Consulta!$A:$DS,MATCH(ZTMM_PURLINS!$B18,Consulta!$C:$C,0),ZTMM_PURLINS!E$2),""))</f>
        <v/>
      </c>
      <c r="F18" s="43" t="str">
        <f>IF(IFERROR(INDEX(Consulta!$A:$DS,MATCH(ZTMM_PURLINS!$B18,Consulta!$C:$C,0),ZTMM_PURLINS!F$2),"")=0,"",IFERROR(INDEX(Consulta!$A:$DS,MATCH(ZTMM_PURLINS!$B18,Consulta!$C:$C,0),ZTMM_PURLINS!F$2),""))</f>
        <v/>
      </c>
      <c r="G18" s="43" t="str">
        <f>IF(IFERROR(INDEX(Consulta!$A:$DS,MATCH(ZTMM_PURLINS!$B18,Consulta!$C:$C,0),ZTMM_PURLINS!G$2),"")=0,"",IFERROR(INDEX(Consulta!$A:$DS,MATCH(ZTMM_PURLINS!$B18,Consulta!$C:$C,0),ZTMM_PURLINS!G$2),""))</f>
        <v/>
      </c>
      <c r="H18" s="43" t="str">
        <f>IF(IFERROR(INDEX(Consulta!$A:$DS,MATCH(ZTMM_PURLINS!$B18,Consulta!$C:$C,0),ZTMM_PURLINS!H$2),"")=0,"",IFERROR(INDEX(Consulta!$A:$DS,MATCH(ZTMM_PURLINS!$B18,Consulta!$C:$C,0),ZTMM_PURLINS!H$2),""))</f>
        <v/>
      </c>
      <c r="I18" s="92"/>
    </row>
    <row r="19" spans="1:9" x14ac:dyDescent="0.2">
      <c r="A19" s="81" t="str">
        <f t="shared" si="0"/>
        <v>Execução 15</v>
      </c>
      <c r="B19" s="91"/>
      <c r="C19" s="43" t="str">
        <f>IF(IFERROR(INDEX(Consulta!$A:$DS,MATCH(ZTMM_PURLINS!$B19,Consulta!$C:$C,0),ZTMM_PURLINS!C$2),"")=0,"",IFERROR(INDEX(Consulta!$A:$DS,MATCH(ZTMM_PURLINS!$B19,Consulta!$C:$C,0),ZTMM_PURLINS!C$2),""))</f>
        <v/>
      </c>
      <c r="D19" s="43" t="str">
        <f>IF(IFERROR(INDEX(Consulta!$A:$DS,MATCH(ZTMM_PURLINS!$B19,Consulta!$C:$C,0),ZTMM_PURLINS!D$2),"")=0,"",IFERROR(INDEX(Consulta!$A:$DS,MATCH(ZTMM_PURLINS!$B19,Consulta!$C:$C,0),ZTMM_PURLINS!D$2),""))</f>
        <v/>
      </c>
      <c r="E19" s="43" t="str">
        <f>IF(IFERROR(INDEX(Consulta!$A:$DS,MATCH(ZTMM_PURLINS!$B19,Consulta!$C:$C,0),ZTMM_PURLINS!E$2),"")=0,"",IFERROR(INDEX(Consulta!$A:$DS,MATCH(ZTMM_PURLINS!$B19,Consulta!$C:$C,0),ZTMM_PURLINS!E$2),""))</f>
        <v/>
      </c>
      <c r="F19" s="43" t="str">
        <f>IF(IFERROR(INDEX(Consulta!$A:$DS,MATCH(ZTMM_PURLINS!$B19,Consulta!$C:$C,0),ZTMM_PURLINS!F$2),"")=0,"",IFERROR(INDEX(Consulta!$A:$DS,MATCH(ZTMM_PURLINS!$B19,Consulta!$C:$C,0),ZTMM_PURLINS!F$2),""))</f>
        <v/>
      </c>
      <c r="G19" s="43" t="str">
        <f>IF(IFERROR(INDEX(Consulta!$A:$DS,MATCH(ZTMM_PURLINS!$B19,Consulta!$C:$C,0),ZTMM_PURLINS!G$2),"")=0,"",IFERROR(INDEX(Consulta!$A:$DS,MATCH(ZTMM_PURLINS!$B19,Consulta!$C:$C,0),ZTMM_PURLINS!G$2),""))</f>
        <v/>
      </c>
      <c r="H19" s="43" t="str">
        <f>IF(IFERROR(INDEX(Consulta!$A:$DS,MATCH(ZTMM_PURLINS!$B19,Consulta!$C:$C,0),ZTMM_PURLINS!H$2),"")=0,"",IFERROR(INDEX(Consulta!$A:$DS,MATCH(ZTMM_PURLINS!$B19,Consulta!$C:$C,0),ZTMM_PURLINS!H$2),""))</f>
        <v/>
      </c>
      <c r="I19" s="92"/>
    </row>
    <row r="20" spans="1:9" x14ac:dyDescent="0.2">
      <c r="A20" s="81" t="str">
        <f t="shared" si="0"/>
        <v>Execução 16</v>
      </c>
      <c r="B20" s="91"/>
      <c r="C20" s="43" t="str">
        <f>IF(IFERROR(INDEX(Consulta!$A:$DS,MATCH(ZTMM_PURLINS!$B20,Consulta!$C:$C,0),ZTMM_PURLINS!C$2),"")=0,"",IFERROR(INDEX(Consulta!$A:$DS,MATCH(ZTMM_PURLINS!$B20,Consulta!$C:$C,0),ZTMM_PURLINS!C$2),""))</f>
        <v/>
      </c>
      <c r="D20" s="43" t="str">
        <f>IF(IFERROR(INDEX(Consulta!$A:$DS,MATCH(ZTMM_PURLINS!$B20,Consulta!$C:$C,0),ZTMM_PURLINS!D$2),"")=0,"",IFERROR(INDEX(Consulta!$A:$DS,MATCH(ZTMM_PURLINS!$B20,Consulta!$C:$C,0),ZTMM_PURLINS!D$2),""))</f>
        <v/>
      </c>
      <c r="E20" s="43" t="str">
        <f>IF(IFERROR(INDEX(Consulta!$A:$DS,MATCH(ZTMM_PURLINS!$B20,Consulta!$C:$C,0),ZTMM_PURLINS!E$2),"")=0,"",IFERROR(INDEX(Consulta!$A:$DS,MATCH(ZTMM_PURLINS!$B20,Consulta!$C:$C,0),ZTMM_PURLINS!E$2),""))</f>
        <v/>
      </c>
      <c r="F20" s="43" t="str">
        <f>IF(IFERROR(INDEX(Consulta!$A:$DS,MATCH(ZTMM_PURLINS!$B20,Consulta!$C:$C,0),ZTMM_PURLINS!F$2),"")=0,"",IFERROR(INDEX(Consulta!$A:$DS,MATCH(ZTMM_PURLINS!$B20,Consulta!$C:$C,0),ZTMM_PURLINS!F$2),""))</f>
        <v/>
      </c>
      <c r="G20" s="43" t="str">
        <f>IF(IFERROR(INDEX(Consulta!$A:$DS,MATCH(ZTMM_PURLINS!$B20,Consulta!$C:$C,0),ZTMM_PURLINS!G$2),"")=0,"",IFERROR(INDEX(Consulta!$A:$DS,MATCH(ZTMM_PURLINS!$B20,Consulta!$C:$C,0),ZTMM_PURLINS!G$2),""))</f>
        <v/>
      </c>
      <c r="H20" s="43" t="str">
        <f>IF(IFERROR(INDEX(Consulta!$A:$DS,MATCH(ZTMM_PURLINS!$B20,Consulta!$C:$C,0),ZTMM_PURLINS!H$2),"")=0,"",IFERROR(INDEX(Consulta!$A:$DS,MATCH(ZTMM_PURLINS!$B20,Consulta!$C:$C,0),ZTMM_PURLINS!H$2),""))</f>
        <v/>
      </c>
      <c r="I20" s="92"/>
    </row>
    <row r="21" spans="1:9" x14ac:dyDescent="0.2">
      <c r="A21" s="81" t="str">
        <f t="shared" si="0"/>
        <v>Execução 17</v>
      </c>
      <c r="B21" s="91"/>
      <c r="C21" s="43" t="str">
        <f>IF(IFERROR(INDEX(Consulta!$A:$DS,MATCH(ZTMM_PURLINS!$B21,Consulta!$C:$C,0),ZTMM_PURLINS!C$2),"")=0,"",IFERROR(INDEX(Consulta!$A:$DS,MATCH(ZTMM_PURLINS!$B21,Consulta!$C:$C,0),ZTMM_PURLINS!C$2),""))</f>
        <v/>
      </c>
      <c r="D21" s="43" t="str">
        <f>IF(IFERROR(INDEX(Consulta!$A:$DS,MATCH(ZTMM_PURLINS!$B21,Consulta!$C:$C,0),ZTMM_PURLINS!D$2),"")=0,"",IFERROR(INDEX(Consulta!$A:$DS,MATCH(ZTMM_PURLINS!$B21,Consulta!$C:$C,0),ZTMM_PURLINS!D$2),""))</f>
        <v/>
      </c>
      <c r="E21" s="43" t="str">
        <f>IF(IFERROR(INDEX(Consulta!$A:$DS,MATCH(ZTMM_PURLINS!$B21,Consulta!$C:$C,0),ZTMM_PURLINS!E$2),"")=0,"",IFERROR(INDEX(Consulta!$A:$DS,MATCH(ZTMM_PURLINS!$B21,Consulta!$C:$C,0),ZTMM_PURLINS!E$2),""))</f>
        <v/>
      </c>
      <c r="F21" s="43" t="str">
        <f>IF(IFERROR(INDEX(Consulta!$A:$DS,MATCH(ZTMM_PURLINS!$B21,Consulta!$C:$C,0),ZTMM_PURLINS!F$2),"")=0,"",IFERROR(INDEX(Consulta!$A:$DS,MATCH(ZTMM_PURLINS!$B21,Consulta!$C:$C,0),ZTMM_PURLINS!F$2),""))</f>
        <v/>
      </c>
      <c r="G21" s="43" t="str">
        <f>IF(IFERROR(INDEX(Consulta!$A:$DS,MATCH(ZTMM_PURLINS!$B21,Consulta!$C:$C,0),ZTMM_PURLINS!G$2),"")=0,"",IFERROR(INDEX(Consulta!$A:$DS,MATCH(ZTMM_PURLINS!$B21,Consulta!$C:$C,0),ZTMM_PURLINS!G$2),""))</f>
        <v/>
      </c>
      <c r="H21" s="43" t="str">
        <f>IF(IFERROR(INDEX(Consulta!$A:$DS,MATCH(ZTMM_PURLINS!$B21,Consulta!$C:$C,0),ZTMM_PURLINS!H$2),"")=0,"",IFERROR(INDEX(Consulta!$A:$DS,MATCH(ZTMM_PURLINS!$B21,Consulta!$C:$C,0),ZTMM_PURLINS!H$2),""))</f>
        <v/>
      </c>
      <c r="I21" s="92"/>
    </row>
    <row r="22" spans="1:9" x14ac:dyDescent="0.2">
      <c r="A22" s="81" t="str">
        <f t="shared" si="0"/>
        <v>Execução 18</v>
      </c>
      <c r="B22" s="91"/>
      <c r="C22" s="43" t="str">
        <f>IF(IFERROR(INDEX(Consulta!$A:$DS,MATCH(ZTMM_PURLINS!$B22,Consulta!$C:$C,0),ZTMM_PURLINS!C$2),"")=0,"",IFERROR(INDEX(Consulta!$A:$DS,MATCH(ZTMM_PURLINS!$B22,Consulta!$C:$C,0),ZTMM_PURLINS!C$2),""))</f>
        <v/>
      </c>
      <c r="D22" s="43" t="str">
        <f>IF(IFERROR(INDEX(Consulta!$A:$DS,MATCH(ZTMM_PURLINS!$B22,Consulta!$C:$C,0),ZTMM_PURLINS!D$2),"")=0,"",IFERROR(INDEX(Consulta!$A:$DS,MATCH(ZTMM_PURLINS!$B22,Consulta!$C:$C,0),ZTMM_PURLINS!D$2),""))</f>
        <v/>
      </c>
      <c r="E22" s="43" t="str">
        <f>IF(IFERROR(INDEX(Consulta!$A:$DS,MATCH(ZTMM_PURLINS!$B22,Consulta!$C:$C,0),ZTMM_PURLINS!E$2),"")=0,"",IFERROR(INDEX(Consulta!$A:$DS,MATCH(ZTMM_PURLINS!$B22,Consulta!$C:$C,0),ZTMM_PURLINS!E$2),""))</f>
        <v/>
      </c>
      <c r="F22" s="43" t="str">
        <f>IF(IFERROR(INDEX(Consulta!$A:$DS,MATCH(ZTMM_PURLINS!$B22,Consulta!$C:$C,0),ZTMM_PURLINS!F$2),"")=0,"",IFERROR(INDEX(Consulta!$A:$DS,MATCH(ZTMM_PURLINS!$B22,Consulta!$C:$C,0),ZTMM_PURLINS!F$2),""))</f>
        <v/>
      </c>
      <c r="G22" s="43" t="str">
        <f>IF(IFERROR(INDEX(Consulta!$A:$DS,MATCH(ZTMM_PURLINS!$B22,Consulta!$C:$C,0),ZTMM_PURLINS!G$2),"")=0,"",IFERROR(INDEX(Consulta!$A:$DS,MATCH(ZTMM_PURLINS!$B22,Consulta!$C:$C,0),ZTMM_PURLINS!G$2),""))</f>
        <v/>
      </c>
      <c r="H22" s="43" t="str">
        <f>IF(IFERROR(INDEX(Consulta!$A:$DS,MATCH(ZTMM_PURLINS!$B22,Consulta!$C:$C,0),ZTMM_PURLINS!H$2),"")=0,"",IFERROR(INDEX(Consulta!$A:$DS,MATCH(ZTMM_PURLINS!$B22,Consulta!$C:$C,0),ZTMM_PURLINS!H$2),""))</f>
        <v/>
      </c>
      <c r="I22" s="92"/>
    </row>
    <row r="23" spans="1:9" x14ac:dyDescent="0.2">
      <c r="A23" s="81" t="str">
        <f t="shared" si="0"/>
        <v>Execução 19</v>
      </c>
      <c r="B23" s="91"/>
      <c r="C23" s="43" t="str">
        <f>IF(IFERROR(INDEX(Consulta!$A:$DS,MATCH(ZTMM_PURLINS!$B23,Consulta!$C:$C,0),ZTMM_PURLINS!C$2),"")=0,"",IFERROR(INDEX(Consulta!$A:$DS,MATCH(ZTMM_PURLINS!$B23,Consulta!$C:$C,0),ZTMM_PURLINS!C$2),""))</f>
        <v/>
      </c>
      <c r="D23" s="43" t="str">
        <f>IF(IFERROR(INDEX(Consulta!$A:$DS,MATCH(ZTMM_PURLINS!$B23,Consulta!$C:$C,0),ZTMM_PURLINS!D$2),"")=0,"",IFERROR(INDEX(Consulta!$A:$DS,MATCH(ZTMM_PURLINS!$B23,Consulta!$C:$C,0),ZTMM_PURLINS!D$2),""))</f>
        <v/>
      </c>
      <c r="E23" s="43" t="str">
        <f>IF(IFERROR(INDEX(Consulta!$A:$DS,MATCH(ZTMM_PURLINS!$B23,Consulta!$C:$C,0),ZTMM_PURLINS!E$2),"")=0,"",IFERROR(INDEX(Consulta!$A:$DS,MATCH(ZTMM_PURLINS!$B23,Consulta!$C:$C,0),ZTMM_PURLINS!E$2),""))</f>
        <v/>
      </c>
      <c r="F23" s="43" t="str">
        <f>IF(IFERROR(INDEX(Consulta!$A:$DS,MATCH(ZTMM_PURLINS!$B23,Consulta!$C:$C,0),ZTMM_PURLINS!F$2),"")=0,"",IFERROR(INDEX(Consulta!$A:$DS,MATCH(ZTMM_PURLINS!$B23,Consulta!$C:$C,0),ZTMM_PURLINS!F$2),""))</f>
        <v/>
      </c>
      <c r="G23" s="43" t="str">
        <f>IF(IFERROR(INDEX(Consulta!$A:$DS,MATCH(ZTMM_PURLINS!$B23,Consulta!$C:$C,0),ZTMM_PURLINS!G$2),"")=0,"",IFERROR(INDEX(Consulta!$A:$DS,MATCH(ZTMM_PURLINS!$B23,Consulta!$C:$C,0),ZTMM_PURLINS!G$2),""))</f>
        <v/>
      </c>
      <c r="H23" s="43" t="str">
        <f>IF(IFERROR(INDEX(Consulta!$A:$DS,MATCH(ZTMM_PURLINS!$B23,Consulta!$C:$C,0),ZTMM_PURLINS!H$2),"")=0,"",IFERROR(INDEX(Consulta!$A:$DS,MATCH(ZTMM_PURLINS!$B23,Consulta!$C:$C,0),ZTMM_PURLINS!H$2),""))</f>
        <v/>
      </c>
      <c r="I23" s="92"/>
    </row>
    <row r="24" spans="1:9" x14ac:dyDescent="0.2">
      <c r="A24" s="81" t="str">
        <f t="shared" si="0"/>
        <v>Execução 20</v>
      </c>
      <c r="B24" s="91"/>
      <c r="C24" s="43" t="str">
        <f>IF(IFERROR(INDEX(Consulta!$A:$DS,MATCH(ZTMM_PURLINS!$B24,Consulta!$C:$C,0),ZTMM_PURLINS!C$2),"")=0,"",IFERROR(INDEX(Consulta!$A:$DS,MATCH(ZTMM_PURLINS!$B24,Consulta!$C:$C,0),ZTMM_PURLINS!C$2),""))</f>
        <v/>
      </c>
      <c r="D24" s="43" t="str">
        <f>IF(IFERROR(INDEX(Consulta!$A:$DS,MATCH(ZTMM_PURLINS!$B24,Consulta!$C:$C,0),ZTMM_PURLINS!D$2),"")=0,"",IFERROR(INDEX(Consulta!$A:$DS,MATCH(ZTMM_PURLINS!$B24,Consulta!$C:$C,0),ZTMM_PURLINS!D$2),""))</f>
        <v/>
      </c>
      <c r="E24" s="43" t="str">
        <f>IF(IFERROR(INDEX(Consulta!$A:$DS,MATCH(ZTMM_PURLINS!$B24,Consulta!$C:$C,0),ZTMM_PURLINS!E$2),"")=0,"",IFERROR(INDEX(Consulta!$A:$DS,MATCH(ZTMM_PURLINS!$B24,Consulta!$C:$C,0),ZTMM_PURLINS!E$2),""))</f>
        <v/>
      </c>
      <c r="F24" s="43" t="str">
        <f>IF(IFERROR(INDEX(Consulta!$A:$DS,MATCH(ZTMM_PURLINS!$B24,Consulta!$C:$C,0),ZTMM_PURLINS!F$2),"")=0,"",IFERROR(INDEX(Consulta!$A:$DS,MATCH(ZTMM_PURLINS!$B24,Consulta!$C:$C,0),ZTMM_PURLINS!F$2),""))</f>
        <v/>
      </c>
      <c r="G24" s="43" t="str">
        <f>IF(IFERROR(INDEX(Consulta!$A:$DS,MATCH(ZTMM_PURLINS!$B24,Consulta!$C:$C,0),ZTMM_PURLINS!G$2),"")=0,"",IFERROR(INDEX(Consulta!$A:$DS,MATCH(ZTMM_PURLINS!$B24,Consulta!$C:$C,0),ZTMM_PURLINS!G$2),""))</f>
        <v/>
      </c>
      <c r="H24" s="43" t="str">
        <f>IF(IFERROR(INDEX(Consulta!$A:$DS,MATCH(ZTMM_PURLINS!$B24,Consulta!$C:$C,0),ZTMM_PURLINS!H$2),"")=0,"",IFERROR(INDEX(Consulta!$A:$DS,MATCH(ZTMM_PURLINS!$B24,Consulta!$C:$C,0),ZTMM_PURLINS!H$2),""))</f>
        <v/>
      </c>
      <c r="I24" s="92"/>
    </row>
    <row r="25" spans="1:9" x14ac:dyDescent="0.2">
      <c r="A25" s="81" t="str">
        <f t="shared" si="0"/>
        <v>Execução 21</v>
      </c>
      <c r="B25" s="91"/>
      <c r="C25" s="43" t="str">
        <f>IF(IFERROR(INDEX(Consulta!$A:$DS,MATCH(ZTMM_PURLINS!$B25,Consulta!$C:$C,0),ZTMM_PURLINS!C$2),"")=0,"",IFERROR(INDEX(Consulta!$A:$DS,MATCH(ZTMM_PURLINS!$B25,Consulta!$C:$C,0),ZTMM_PURLINS!C$2),""))</f>
        <v/>
      </c>
      <c r="D25" s="43" t="str">
        <f>IF(IFERROR(INDEX(Consulta!$A:$DS,MATCH(ZTMM_PURLINS!$B25,Consulta!$C:$C,0),ZTMM_PURLINS!D$2),"")=0,"",IFERROR(INDEX(Consulta!$A:$DS,MATCH(ZTMM_PURLINS!$B25,Consulta!$C:$C,0),ZTMM_PURLINS!D$2),""))</f>
        <v/>
      </c>
      <c r="E25" s="43" t="str">
        <f>IF(IFERROR(INDEX(Consulta!$A:$DS,MATCH(ZTMM_PURLINS!$B25,Consulta!$C:$C,0),ZTMM_PURLINS!E$2),"")=0,"",IFERROR(INDEX(Consulta!$A:$DS,MATCH(ZTMM_PURLINS!$B25,Consulta!$C:$C,0),ZTMM_PURLINS!E$2),""))</f>
        <v/>
      </c>
      <c r="F25" s="43" t="str">
        <f>IF(IFERROR(INDEX(Consulta!$A:$DS,MATCH(ZTMM_PURLINS!$B25,Consulta!$C:$C,0),ZTMM_PURLINS!F$2),"")=0,"",IFERROR(INDEX(Consulta!$A:$DS,MATCH(ZTMM_PURLINS!$B25,Consulta!$C:$C,0),ZTMM_PURLINS!F$2),""))</f>
        <v/>
      </c>
      <c r="G25" s="43" t="str">
        <f>IF(IFERROR(INDEX(Consulta!$A:$DS,MATCH(ZTMM_PURLINS!$B25,Consulta!$C:$C,0),ZTMM_PURLINS!G$2),"")=0,"",IFERROR(INDEX(Consulta!$A:$DS,MATCH(ZTMM_PURLINS!$B25,Consulta!$C:$C,0),ZTMM_PURLINS!G$2),""))</f>
        <v/>
      </c>
      <c r="H25" s="43" t="str">
        <f>IF(IFERROR(INDEX(Consulta!$A:$DS,MATCH(ZTMM_PURLINS!$B25,Consulta!$C:$C,0),ZTMM_PURLINS!H$2),"")=0,"",IFERROR(INDEX(Consulta!$A:$DS,MATCH(ZTMM_PURLINS!$B25,Consulta!$C:$C,0),ZTMM_PURLINS!H$2),""))</f>
        <v/>
      </c>
      <c r="I25" s="92"/>
    </row>
    <row r="26" spans="1:9" x14ac:dyDescent="0.2">
      <c r="A26" s="81" t="str">
        <f t="shared" si="0"/>
        <v>Execução 22</v>
      </c>
      <c r="B26" s="91"/>
      <c r="C26" s="43" t="str">
        <f>IF(IFERROR(INDEX(Consulta!$A:$DS,MATCH(ZTMM_PURLINS!$B26,Consulta!$C:$C,0),ZTMM_PURLINS!C$2),"")=0,"",IFERROR(INDEX(Consulta!$A:$DS,MATCH(ZTMM_PURLINS!$B26,Consulta!$C:$C,0),ZTMM_PURLINS!C$2),""))</f>
        <v/>
      </c>
      <c r="D26" s="43" t="str">
        <f>IF(IFERROR(INDEX(Consulta!$A:$DS,MATCH(ZTMM_PURLINS!$B26,Consulta!$C:$C,0),ZTMM_PURLINS!D$2),"")=0,"",IFERROR(INDEX(Consulta!$A:$DS,MATCH(ZTMM_PURLINS!$B26,Consulta!$C:$C,0),ZTMM_PURLINS!D$2),""))</f>
        <v/>
      </c>
      <c r="E26" s="43" t="str">
        <f>IF(IFERROR(INDEX(Consulta!$A:$DS,MATCH(ZTMM_PURLINS!$B26,Consulta!$C:$C,0),ZTMM_PURLINS!E$2),"")=0,"",IFERROR(INDEX(Consulta!$A:$DS,MATCH(ZTMM_PURLINS!$B26,Consulta!$C:$C,0),ZTMM_PURLINS!E$2),""))</f>
        <v/>
      </c>
      <c r="F26" s="43" t="str">
        <f>IF(IFERROR(INDEX(Consulta!$A:$DS,MATCH(ZTMM_PURLINS!$B26,Consulta!$C:$C,0),ZTMM_PURLINS!F$2),"")=0,"",IFERROR(INDEX(Consulta!$A:$DS,MATCH(ZTMM_PURLINS!$B26,Consulta!$C:$C,0),ZTMM_PURLINS!F$2),""))</f>
        <v/>
      </c>
      <c r="G26" s="43" t="str">
        <f>IF(IFERROR(INDEX(Consulta!$A:$DS,MATCH(ZTMM_PURLINS!$B26,Consulta!$C:$C,0),ZTMM_PURLINS!G$2),"")=0,"",IFERROR(INDEX(Consulta!$A:$DS,MATCH(ZTMM_PURLINS!$B26,Consulta!$C:$C,0),ZTMM_PURLINS!G$2),""))</f>
        <v/>
      </c>
      <c r="H26" s="43" t="str">
        <f>IF(IFERROR(INDEX(Consulta!$A:$DS,MATCH(ZTMM_PURLINS!$B26,Consulta!$C:$C,0),ZTMM_PURLINS!H$2),"")=0,"",IFERROR(INDEX(Consulta!$A:$DS,MATCH(ZTMM_PURLINS!$B26,Consulta!$C:$C,0),ZTMM_PURLINS!H$2),""))</f>
        <v/>
      </c>
      <c r="I26" s="92"/>
    </row>
    <row r="27" spans="1:9" x14ac:dyDescent="0.2">
      <c r="A27" s="81" t="str">
        <f t="shared" si="0"/>
        <v>Execução 23</v>
      </c>
      <c r="B27" s="91"/>
      <c r="C27" s="43" t="str">
        <f>IF(IFERROR(INDEX(Consulta!$A:$DS,MATCH(ZTMM_PURLINS!$B27,Consulta!$C:$C,0),ZTMM_PURLINS!C$2),"")=0,"",IFERROR(INDEX(Consulta!$A:$DS,MATCH(ZTMM_PURLINS!$B27,Consulta!$C:$C,0),ZTMM_PURLINS!C$2),""))</f>
        <v/>
      </c>
      <c r="D27" s="43" t="str">
        <f>IF(IFERROR(INDEX(Consulta!$A:$DS,MATCH(ZTMM_PURLINS!$B27,Consulta!$C:$C,0),ZTMM_PURLINS!D$2),"")=0,"",IFERROR(INDEX(Consulta!$A:$DS,MATCH(ZTMM_PURLINS!$B27,Consulta!$C:$C,0),ZTMM_PURLINS!D$2),""))</f>
        <v/>
      </c>
      <c r="E27" s="43" t="str">
        <f>IF(IFERROR(INDEX(Consulta!$A:$DS,MATCH(ZTMM_PURLINS!$B27,Consulta!$C:$C,0),ZTMM_PURLINS!E$2),"")=0,"",IFERROR(INDEX(Consulta!$A:$DS,MATCH(ZTMM_PURLINS!$B27,Consulta!$C:$C,0),ZTMM_PURLINS!E$2),""))</f>
        <v/>
      </c>
      <c r="F27" s="43" t="str">
        <f>IF(IFERROR(INDEX(Consulta!$A:$DS,MATCH(ZTMM_PURLINS!$B27,Consulta!$C:$C,0),ZTMM_PURLINS!F$2),"")=0,"",IFERROR(INDEX(Consulta!$A:$DS,MATCH(ZTMM_PURLINS!$B27,Consulta!$C:$C,0),ZTMM_PURLINS!F$2),""))</f>
        <v/>
      </c>
      <c r="G27" s="43" t="str">
        <f>IF(IFERROR(INDEX(Consulta!$A:$DS,MATCH(ZTMM_PURLINS!$B27,Consulta!$C:$C,0),ZTMM_PURLINS!G$2),"")=0,"",IFERROR(INDEX(Consulta!$A:$DS,MATCH(ZTMM_PURLINS!$B27,Consulta!$C:$C,0),ZTMM_PURLINS!G$2),""))</f>
        <v/>
      </c>
      <c r="H27" s="43" t="str">
        <f>IF(IFERROR(INDEX(Consulta!$A:$DS,MATCH(ZTMM_PURLINS!$B27,Consulta!$C:$C,0),ZTMM_PURLINS!H$2),"")=0,"",IFERROR(INDEX(Consulta!$A:$DS,MATCH(ZTMM_PURLINS!$B27,Consulta!$C:$C,0),ZTMM_PURLINS!H$2),""))</f>
        <v/>
      </c>
      <c r="I27" s="92"/>
    </row>
    <row r="28" spans="1:9" x14ac:dyDescent="0.2">
      <c r="A28" s="81" t="str">
        <f t="shared" si="0"/>
        <v>Execução 24</v>
      </c>
      <c r="B28" s="91"/>
      <c r="C28" s="43" t="str">
        <f>IF(IFERROR(INDEX(Consulta!$A:$DS,MATCH(ZTMM_PURLINS!$B28,Consulta!$C:$C,0),ZTMM_PURLINS!C$2),"")=0,"",IFERROR(INDEX(Consulta!$A:$DS,MATCH(ZTMM_PURLINS!$B28,Consulta!$C:$C,0),ZTMM_PURLINS!C$2),""))</f>
        <v/>
      </c>
      <c r="D28" s="43" t="str">
        <f>IF(IFERROR(INDEX(Consulta!$A:$DS,MATCH(ZTMM_PURLINS!$B28,Consulta!$C:$C,0),ZTMM_PURLINS!D$2),"")=0,"",IFERROR(INDEX(Consulta!$A:$DS,MATCH(ZTMM_PURLINS!$B28,Consulta!$C:$C,0),ZTMM_PURLINS!D$2),""))</f>
        <v/>
      </c>
      <c r="E28" s="43" t="str">
        <f>IF(IFERROR(INDEX(Consulta!$A:$DS,MATCH(ZTMM_PURLINS!$B28,Consulta!$C:$C,0),ZTMM_PURLINS!E$2),"")=0,"",IFERROR(INDEX(Consulta!$A:$DS,MATCH(ZTMM_PURLINS!$B28,Consulta!$C:$C,0),ZTMM_PURLINS!E$2),""))</f>
        <v/>
      </c>
      <c r="F28" s="43" t="str">
        <f>IF(IFERROR(INDEX(Consulta!$A:$DS,MATCH(ZTMM_PURLINS!$B28,Consulta!$C:$C,0),ZTMM_PURLINS!F$2),"")=0,"",IFERROR(INDEX(Consulta!$A:$DS,MATCH(ZTMM_PURLINS!$B28,Consulta!$C:$C,0),ZTMM_PURLINS!F$2),""))</f>
        <v/>
      </c>
      <c r="G28" s="43" t="str">
        <f>IF(IFERROR(INDEX(Consulta!$A:$DS,MATCH(ZTMM_PURLINS!$B28,Consulta!$C:$C,0),ZTMM_PURLINS!G$2),"")=0,"",IFERROR(INDEX(Consulta!$A:$DS,MATCH(ZTMM_PURLINS!$B28,Consulta!$C:$C,0),ZTMM_PURLINS!G$2),""))</f>
        <v/>
      </c>
      <c r="H28" s="43" t="str">
        <f>IF(IFERROR(INDEX(Consulta!$A:$DS,MATCH(ZTMM_PURLINS!$B28,Consulta!$C:$C,0),ZTMM_PURLINS!H$2),"")=0,"",IFERROR(INDEX(Consulta!$A:$DS,MATCH(ZTMM_PURLINS!$B28,Consulta!$C:$C,0),ZTMM_PURLINS!H$2),""))</f>
        <v/>
      </c>
      <c r="I28" s="92"/>
    </row>
    <row r="29" spans="1:9" x14ac:dyDescent="0.2">
      <c r="A29" s="81" t="str">
        <f t="shared" si="0"/>
        <v>Execução 25</v>
      </c>
      <c r="B29" s="91"/>
      <c r="C29" s="43" t="str">
        <f>IF(IFERROR(INDEX(Consulta!$A:$DS,MATCH(ZTMM_PURLINS!$B29,Consulta!$C:$C,0),ZTMM_PURLINS!C$2),"")=0,"",IFERROR(INDEX(Consulta!$A:$DS,MATCH(ZTMM_PURLINS!$B29,Consulta!$C:$C,0),ZTMM_PURLINS!C$2),""))</f>
        <v/>
      </c>
      <c r="D29" s="43" t="str">
        <f>IF(IFERROR(INDEX(Consulta!$A:$DS,MATCH(ZTMM_PURLINS!$B29,Consulta!$C:$C,0),ZTMM_PURLINS!D$2),"")=0,"",IFERROR(INDEX(Consulta!$A:$DS,MATCH(ZTMM_PURLINS!$B29,Consulta!$C:$C,0),ZTMM_PURLINS!D$2),""))</f>
        <v/>
      </c>
      <c r="E29" s="43" t="str">
        <f>IF(IFERROR(INDEX(Consulta!$A:$DS,MATCH(ZTMM_PURLINS!$B29,Consulta!$C:$C,0),ZTMM_PURLINS!E$2),"")=0,"",IFERROR(INDEX(Consulta!$A:$DS,MATCH(ZTMM_PURLINS!$B29,Consulta!$C:$C,0),ZTMM_PURLINS!E$2),""))</f>
        <v/>
      </c>
      <c r="F29" s="43" t="str">
        <f>IF(IFERROR(INDEX(Consulta!$A:$DS,MATCH(ZTMM_PURLINS!$B29,Consulta!$C:$C,0),ZTMM_PURLINS!F$2),"")=0,"",IFERROR(INDEX(Consulta!$A:$DS,MATCH(ZTMM_PURLINS!$B29,Consulta!$C:$C,0),ZTMM_PURLINS!F$2),""))</f>
        <v/>
      </c>
      <c r="G29" s="43" t="str">
        <f>IF(IFERROR(INDEX(Consulta!$A:$DS,MATCH(ZTMM_PURLINS!$B29,Consulta!$C:$C,0),ZTMM_PURLINS!G$2),"")=0,"",IFERROR(INDEX(Consulta!$A:$DS,MATCH(ZTMM_PURLINS!$B29,Consulta!$C:$C,0),ZTMM_PURLINS!G$2),""))</f>
        <v/>
      </c>
      <c r="H29" s="43" t="str">
        <f>IF(IFERROR(INDEX(Consulta!$A:$DS,MATCH(ZTMM_PURLINS!$B29,Consulta!$C:$C,0),ZTMM_PURLINS!H$2),"")=0,"",IFERROR(INDEX(Consulta!$A:$DS,MATCH(ZTMM_PURLINS!$B29,Consulta!$C:$C,0),ZTMM_PURLINS!H$2),""))</f>
        <v/>
      </c>
      <c r="I29" s="92"/>
    </row>
    <row r="30" spans="1:9" x14ac:dyDescent="0.2">
      <c r="A30" s="81" t="str">
        <f t="shared" si="0"/>
        <v>Execução 26</v>
      </c>
      <c r="B30" s="91"/>
      <c r="C30" s="43" t="str">
        <f>IF(IFERROR(INDEX(Consulta!$A:$DS,MATCH(ZTMM_PURLINS!$B30,Consulta!$C:$C,0),ZTMM_PURLINS!C$2),"")=0,"",IFERROR(INDEX(Consulta!$A:$DS,MATCH(ZTMM_PURLINS!$B30,Consulta!$C:$C,0),ZTMM_PURLINS!C$2),""))</f>
        <v/>
      </c>
      <c r="D30" s="43" t="str">
        <f>IF(IFERROR(INDEX(Consulta!$A:$DS,MATCH(ZTMM_PURLINS!$B30,Consulta!$C:$C,0),ZTMM_PURLINS!D$2),"")=0,"",IFERROR(INDEX(Consulta!$A:$DS,MATCH(ZTMM_PURLINS!$B30,Consulta!$C:$C,0),ZTMM_PURLINS!D$2),""))</f>
        <v/>
      </c>
      <c r="E30" s="43" t="str">
        <f>IF(IFERROR(INDEX(Consulta!$A:$DS,MATCH(ZTMM_PURLINS!$B30,Consulta!$C:$C,0),ZTMM_PURLINS!E$2),"")=0,"",IFERROR(INDEX(Consulta!$A:$DS,MATCH(ZTMM_PURLINS!$B30,Consulta!$C:$C,0),ZTMM_PURLINS!E$2),""))</f>
        <v/>
      </c>
      <c r="F30" s="43" t="str">
        <f>IF(IFERROR(INDEX(Consulta!$A:$DS,MATCH(ZTMM_PURLINS!$B30,Consulta!$C:$C,0),ZTMM_PURLINS!F$2),"")=0,"",IFERROR(INDEX(Consulta!$A:$DS,MATCH(ZTMM_PURLINS!$B30,Consulta!$C:$C,0),ZTMM_PURLINS!F$2),""))</f>
        <v/>
      </c>
      <c r="G30" s="43" t="str">
        <f>IF(IFERROR(INDEX(Consulta!$A:$DS,MATCH(ZTMM_PURLINS!$B30,Consulta!$C:$C,0),ZTMM_PURLINS!G$2),"")=0,"",IFERROR(INDEX(Consulta!$A:$DS,MATCH(ZTMM_PURLINS!$B30,Consulta!$C:$C,0),ZTMM_PURLINS!G$2),""))</f>
        <v/>
      </c>
      <c r="H30" s="43" t="str">
        <f>IF(IFERROR(INDEX(Consulta!$A:$DS,MATCH(ZTMM_PURLINS!$B30,Consulta!$C:$C,0),ZTMM_PURLINS!H$2),"")=0,"",IFERROR(INDEX(Consulta!$A:$DS,MATCH(ZTMM_PURLINS!$B30,Consulta!$C:$C,0),ZTMM_PURLINS!H$2),""))</f>
        <v/>
      </c>
      <c r="I30" s="92"/>
    </row>
  </sheetData>
  <conditionalFormatting sqref="B5">
    <cfRule type="beginsWith" dxfId="15" priority="21" operator="beginsWith" text="L">
      <formula>LEFT(B5,LEN("L"))="L"</formula>
    </cfRule>
  </conditionalFormatting>
  <conditionalFormatting sqref="I1:I5 I31:I1048576">
    <cfRule type="containsText" dxfId="14" priority="15" operator="containsText" text="será criado">
      <formula>NOT(ISERROR(SEARCH("será criado",I1)))</formula>
    </cfRule>
    <cfRule type="containsText" dxfId="13" priority="16" operator="containsText" text="criadas">
      <formula>NOT(ISERROR(SEARCH("criadas",I1)))</formula>
    </cfRule>
    <cfRule type="containsText" dxfId="12" priority="17" operator="containsText" text="é gravado">
      <formula>NOT(ISERROR(SEARCH("é gravado",I1)))</formula>
    </cfRule>
    <cfRule type="containsText" dxfId="11" priority="18" operator="containsText" text="é modificado">
      <formula>NOT(ISERROR(SEARCH("é modificado",I1)))</formula>
    </cfRule>
    <cfRule type="containsText" dxfId="10" priority="19" operator="containsText" text="Error">
      <formula>NOT(ISERROR(SEARCH("Error",I1)))</formula>
    </cfRule>
    <cfRule type="containsText" dxfId="9" priority="20" operator="containsText" text="é criado">
      <formula>NOT(ISERROR(SEARCH("é criado",I1)))</formula>
    </cfRule>
  </conditionalFormatting>
  <conditionalFormatting sqref="B6:B30">
    <cfRule type="beginsWith" dxfId="8" priority="14" operator="beginsWith" text="L">
      <formula>LEFT(B6,LEN("L"))="L"</formula>
    </cfRule>
  </conditionalFormatting>
  <conditionalFormatting sqref="I6:I30">
    <cfRule type="containsText" dxfId="7" priority="8" operator="containsText" text="será criado">
      <formula>NOT(ISERROR(SEARCH("será criado",I6)))</formula>
    </cfRule>
    <cfRule type="containsText" dxfId="6" priority="9" operator="containsText" text="criadas">
      <formula>NOT(ISERROR(SEARCH("criadas",I6)))</formula>
    </cfRule>
    <cfRule type="containsText" dxfId="5" priority="10" operator="containsText" text="é gravado">
      <formula>NOT(ISERROR(SEARCH("é gravado",I6)))</formula>
    </cfRule>
    <cfRule type="containsText" dxfId="4" priority="11" operator="containsText" text="é modificado">
      <formula>NOT(ISERROR(SEARCH("é modificado",I6)))</formula>
    </cfRule>
    <cfRule type="containsText" dxfId="3" priority="12" operator="containsText" text="Error">
      <formula>NOT(ISERROR(SEARCH("Error",I6)))</formula>
    </cfRule>
    <cfRule type="containsText" dxfId="2" priority="13" operator="containsText" text="é criado">
      <formula>NOT(ISERROR(SEARCH("é criado",I6)))</formula>
    </cfRule>
  </conditionalFormatting>
  <conditionalFormatting sqref="C5:C30">
    <cfRule type="beginsWith" dxfId="1" priority="2" operator="beginsWith" text="L">
      <formula>LEFT(C5,LEN("L"))="L"</formula>
    </cfRule>
  </conditionalFormatting>
  <conditionalFormatting sqref="D5:H30">
    <cfRule type="beginsWith" dxfId="0" priority="1" operator="beginsWith" text="L">
      <formula>LEFT(D5,LEN("L"))="L"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4579" r:id="rId4" name="Button 3">
              <controlPr defaultSize="0" print="0" autoFill="0" autoPict="0" macro="[0]!LoadFromMM01">
                <anchor moveWithCells="1" sizeWithCells="1">
                  <from>
                    <xdr:col>1</xdr:col>
                    <xdr:colOff>0</xdr:colOff>
                    <xdr:row>2</xdr:row>
                    <xdr:rowOff>0</xdr:rowOff>
                  </from>
                  <to>
                    <xdr:col>2</xdr:col>
                    <xdr:colOff>9525</xdr:colOff>
                    <xdr:row>2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4581" r:id="rId5" name="Button 5">
              <controlPr defaultSize="0" print="0" autoFill="0" autoPict="0" macro="[0]!ShowUserForm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1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2">
    <tabColor theme="0"/>
  </sheetPr>
  <dimension ref="A1:DA456"/>
  <sheetViews>
    <sheetView showGridLines="0" showRowColHeaders="0" topLeftCell="BO1" workbookViewId="0">
      <selection sqref="A1:CE10"/>
    </sheetView>
  </sheetViews>
  <sheetFormatPr defaultColWidth="0" defaultRowHeight="12.75" zeroHeight="1" x14ac:dyDescent="0.2"/>
  <cols>
    <col min="1" max="1" width="6.28515625" customWidth="1"/>
    <col min="2" max="2" width="6.42578125" customWidth="1"/>
    <col min="3" max="3" width="12.5703125" customWidth="1"/>
    <col min="4" max="4" width="29.28515625" customWidth="1"/>
    <col min="5" max="5" width="9.140625" customWidth="1"/>
    <col min="6" max="6" width="20.5703125" customWidth="1"/>
    <col min="7" max="7" width="8.85546875" customWidth="1"/>
    <col min="8" max="8" width="14.5703125" customWidth="1"/>
    <col min="9" max="9" width="12.28515625" customWidth="1"/>
    <col min="10" max="10" width="8.7109375" customWidth="1"/>
    <col min="11" max="15" width="13.7109375" customWidth="1"/>
    <col min="16" max="16" width="16.85546875" customWidth="1"/>
    <col min="17" max="17" width="11" customWidth="1"/>
    <col min="18" max="18" width="18.85546875" customWidth="1"/>
    <col min="19" max="19" width="17.140625" customWidth="1"/>
    <col min="20" max="20" width="18.28515625" customWidth="1"/>
    <col min="21" max="21" width="10.42578125" customWidth="1"/>
    <col min="22" max="22" width="11.42578125" customWidth="1"/>
    <col min="23" max="23" width="19" customWidth="1"/>
    <col min="24" max="24" width="9" customWidth="1"/>
    <col min="25" max="25" width="11.5703125" customWidth="1"/>
    <col min="26" max="26" width="10.5703125" customWidth="1"/>
    <col min="27" max="27" width="22.5703125" customWidth="1"/>
    <col min="28" max="28" width="25.7109375" customWidth="1"/>
    <col min="29" max="29" width="64.7109375" customWidth="1"/>
    <col min="30" max="30" width="62.7109375" customWidth="1"/>
    <col min="31" max="31" width="61.5703125" customWidth="1"/>
    <col min="32" max="32" width="12" customWidth="1"/>
    <col min="33" max="33" width="13.42578125" customWidth="1"/>
    <col min="34" max="34" width="18.85546875" customWidth="1"/>
    <col min="35" max="35" width="12.28515625" customWidth="1"/>
    <col min="36" max="36" width="13.140625" customWidth="1"/>
    <col min="37" max="37" width="18.42578125" customWidth="1"/>
    <col min="38" max="38" width="19" customWidth="1"/>
    <col min="39" max="39" width="10.28515625" customWidth="1"/>
    <col min="40" max="40" width="25.5703125" customWidth="1"/>
    <col min="41" max="41" width="12.140625" customWidth="1"/>
    <col min="42" max="42" width="7.42578125" customWidth="1"/>
    <col min="43" max="43" width="24.140625" customWidth="1"/>
    <col min="44" max="44" width="12.42578125" customWidth="1"/>
    <col min="45" max="45" width="11.140625" customWidth="1"/>
    <col min="46" max="46" width="16" customWidth="1"/>
    <col min="47" max="47" width="14.85546875" customWidth="1"/>
    <col min="48" max="48" width="14.28515625" customWidth="1"/>
    <col min="49" max="49" width="12.140625" customWidth="1"/>
    <col min="50" max="50" width="24.28515625" customWidth="1"/>
    <col min="51" max="51" width="25.28515625" customWidth="1"/>
    <col min="52" max="52" width="12.7109375" customWidth="1"/>
    <col min="53" max="53" width="9.140625" customWidth="1"/>
    <col min="54" max="54" width="22.7109375" customWidth="1"/>
    <col min="55" max="55" width="19.85546875" customWidth="1"/>
    <col min="56" max="56" width="11.42578125" customWidth="1"/>
    <col min="57" max="57" width="21.5703125" customWidth="1"/>
    <col min="58" max="58" width="15.140625" customWidth="1"/>
    <col min="59" max="59" width="21.28515625" customWidth="1"/>
    <col min="60" max="60" width="11.42578125" customWidth="1"/>
    <col min="61" max="61" width="19" customWidth="1"/>
    <col min="62" max="62" width="11.42578125" customWidth="1"/>
    <col min="63" max="63" width="26.42578125" customWidth="1"/>
    <col min="64" max="64" width="22.28515625" customWidth="1"/>
    <col min="65" max="65" width="17.5703125" customWidth="1"/>
    <col min="66" max="66" width="17" customWidth="1"/>
    <col min="67" max="67" width="19.28515625" customWidth="1"/>
    <col min="68" max="68" width="13.85546875" customWidth="1"/>
    <col min="69" max="69" width="17" customWidth="1"/>
    <col min="70" max="70" width="15.7109375" customWidth="1"/>
    <col min="71" max="71" width="26" customWidth="1"/>
    <col min="72" max="72" width="25.28515625" customWidth="1"/>
    <col min="73" max="73" width="19.28515625" customWidth="1"/>
    <col min="74" max="74" width="18.5703125" customWidth="1"/>
    <col min="75" max="77" width="13.140625" customWidth="1"/>
    <col min="78" max="79" width="17.5703125" customWidth="1"/>
    <col min="80" max="80" width="16.7109375" customWidth="1"/>
    <col min="81" max="83" width="9.85546875" customWidth="1"/>
    <col min="84" max="84" width="11.42578125" customWidth="1"/>
    <col min="85" max="85" width="9.85546875" customWidth="1"/>
    <col min="86" max="86" width="11.42578125" customWidth="1"/>
    <col min="87" max="88" width="9.85546875" customWidth="1"/>
    <col min="89" max="104" width="9.85546875" hidden="1" customWidth="1"/>
    <col min="105" max="105" width="0" hidden="1" customWidth="1"/>
    <col min="106" max="16384" width="9.140625" hidden="1"/>
  </cols>
  <sheetData>
    <row r="1" spans="1:105" ht="38.25" x14ac:dyDescent="0.2">
      <c r="A1" s="38" t="s">
        <v>794</v>
      </c>
      <c r="B1" s="38" t="s">
        <v>795</v>
      </c>
      <c r="C1" s="38" t="s">
        <v>796</v>
      </c>
      <c r="D1" s="38" t="s">
        <v>797</v>
      </c>
      <c r="E1" s="38" t="s">
        <v>798</v>
      </c>
      <c r="F1" s="38" t="s">
        <v>799</v>
      </c>
      <c r="G1" s="38" t="s">
        <v>800</v>
      </c>
      <c r="H1" s="39" t="s">
        <v>801</v>
      </c>
      <c r="I1" s="38" t="s">
        <v>802</v>
      </c>
      <c r="J1" s="38" t="s">
        <v>803</v>
      </c>
      <c r="K1" s="39" t="s">
        <v>929</v>
      </c>
      <c r="L1" s="38" t="s">
        <v>930</v>
      </c>
      <c r="M1" s="38" t="s">
        <v>931</v>
      </c>
      <c r="N1" s="38" t="s">
        <v>932</v>
      </c>
      <c r="O1" s="38" t="s">
        <v>933</v>
      </c>
      <c r="P1" s="39" t="s">
        <v>934</v>
      </c>
      <c r="Q1" s="38" t="s">
        <v>804</v>
      </c>
      <c r="R1" s="39" t="s">
        <v>936</v>
      </c>
      <c r="S1" s="38" t="s">
        <v>935</v>
      </c>
      <c r="T1" s="38" t="s">
        <v>805</v>
      </c>
      <c r="U1" s="38" t="s">
        <v>389</v>
      </c>
      <c r="V1" s="39" t="s">
        <v>806</v>
      </c>
      <c r="W1" s="38" t="s">
        <v>807</v>
      </c>
      <c r="X1" s="39" t="s">
        <v>808</v>
      </c>
      <c r="Y1" s="39" t="s">
        <v>809</v>
      </c>
      <c r="Z1" s="39" t="s">
        <v>810</v>
      </c>
      <c r="AA1" s="39" t="s">
        <v>951</v>
      </c>
      <c r="AB1" s="38" t="s">
        <v>811</v>
      </c>
      <c r="AC1" s="38" t="s">
        <v>812</v>
      </c>
      <c r="AD1" s="38" t="s">
        <v>813</v>
      </c>
      <c r="AE1" s="38" t="s">
        <v>814</v>
      </c>
      <c r="AF1" s="38" t="s">
        <v>815</v>
      </c>
      <c r="AG1" s="38" t="s">
        <v>944</v>
      </c>
      <c r="AH1" s="39" t="s">
        <v>816</v>
      </c>
      <c r="AI1" s="38" t="s">
        <v>817</v>
      </c>
      <c r="AJ1" s="38" t="s">
        <v>818</v>
      </c>
      <c r="AK1" s="38" t="s">
        <v>819</v>
      </c>
      <c r="AL1" s="38" t="s">
        <v>820</v>
      </c>
      <c r="AM1" s="39" t="s">
        <v>821</v>
      </c>
      <c r="AN1" s="38" t="s">
        <v>822</v>
      </c>
      <c r="AO1" s="39" t="s">
        <v>823</v>
      </c>
      <c r="AP1" s="38" t="s">
        <v>824</v>
      </c>
      <c r="AQ1" s="38" t="s">
        <v>825</v>
      </c>
      <c r="AR1" s="38" t="s">
        <v>826</v>
      </c>
      <c r="AS1" s="39" t="s">
        <v>827</v>
      </c>
      <c r="AT1" s="38" t="s">
        <v>828</v>
      </c>
      <c r="AU1" s="39" t="s">
        <v>829</v>
      </c>
      <c r="AV1" s="39" t="s">
        <v>830</v>
      </c>
      <c r="AW1" s="39" t="s">
        <v>831</v>
      </c>
      <c r="AX1" s="38" t="s">
        <v>832</v>
      </c>
      <c r="AY1" s="38" t="s">
        <v>833</v>
      </c>
      <c r="AZ1" s="38" t="s">
        <v>834</v>
      </c>
      <c r="BA1" s="38" t="s">
        <v>835</v>
      </c>
      <c r="BB1" s="38" t="s">
        <v>836</v>
      </c>
      <c r="BC1" s="38" t="s">
        <v>945</v>
      </c>
      <c r="BD1" s="38" t="s">
        <v>952</v>
      </c>
      <c r="BE1" s="38" t="s">
        <v>946</v>
      </c>
      <c r="BF1" s="38" t="s">
        <v>953</v>
      </c>
      <c r="BG1" s="38" t="s">
        <v>947</v>
      </c>
      <c r="BH1" s="38" t="s">
        <v>954</v>
      </c>
      <c r="BI1" s="38" t="s">
        <v>948</v>
      </c>
      <c r="BJ1" s="38" t="s">
        <v>955</v>
      </c>
      <c r="BK1" s="38" t="s">
        <v>949</v>
      </c>
      <c r="BL1" s="38" t="s">
        <v>838</v>
      </c>
      <c r="BM1" s="38" t="s">
        <v>839</v>
      </c>
      <c r="BN1" s="38" t="s">
        <v>840</v>
      </c>
      <c r="BO1" s="38" t="s">
        <v>841</v>
      </c>
      <c r="BP1" s="38" t="s">
        <v>842</v>
      </c>
      <c r="BQ1" s="38" t="s">
        <v>937</v>
      </c>
      <c r="BR1" s="38" t="s">
        <v>977</v>
      </c>
      <c r="BS1" s="38" t="s">
        <v>978</v>
      </c>
      <c r="BT1" s="38" t="s">
        <v>979</v>
      </c>
      <c r="BU1" s="38" t="s">
        <v>980</v>
      </c>
      <c r="BV1" s="38" t="s">
        <v>981</v>
      </c>
      <c r="BW1" s="38" t="s">
        <v>982</v>
      </c>
      <c r="BX1" s="38" t="s">
        <v>983</v>
      </c>
      <c r="BY1" s="38" t="s">
        <v>984</v>
      </c>
      <c r="BZ1" s="38" t="s">
        <v>985</v>
      </c>
      <c r="CA1" s="38" t="s">
        <v>986</v>
      </c>
      <c r="CB1" s="38" t="s">
        <v>987</v>
      </c>
      <c r="CC1" s="38" t="s">
        <v>1052</v>
      </c>
      <c r="CD1" s="38" t="s">
        <v>1053</v>
      </c>
      <c r="CE1" s="38" t="s">
        <v>1054</v>
      </c>
      <c r="CQ1" s="38"/>
      <c r="CR1" s="38"/>
      <c r="CS1" s="38"/>
      <c r="CT1" s="38"/>
      <c r="CU1" s="38"/>
      <c r="CV1" s="38"/>
      <c r="CW1" s="38"/>
      <c r="CX1" s="38"/>
      <c r="CY1" s="38"/>
      <c r="CZ1" s="38"/>
    </row>
    <row r="2" spans="1:105" x14ac:dyDescent="0.2">
      <c r="A2" s="38"/>
      <c r="B2" s="38" t="s">
        <v>988</v>
      </c>
      <c r="C2" s="38" t="s">
        <v>1036</v>
      </c>
      <c r="D2" s="38" t="s">
        <v>1037</v>
      </c>
      <c r="E2" s="38"/>
      <c r="F2" s="38"/>
      <c r="G2" s="38" t="s">
        <v>9</v>
      </c>
      <c r="H2" s="38"/>
      <c r="I2" s="38">
        <v>5.6479999999999997</v>
      </c>
      <c r="J2" s="38" t="s">
        <v>989</v>
      </c>
      <c r="K2" s="38" t="s">
        <v>201</v>
      </c>
      <c r="L2" s="38" t="s">
        <v>195</v>
      </c>
      <c r="M2" s="38" t="s">
        <v>204</v>
      </c>
      <c r="N2" s="38" t="s">
        <v>219</v>
      </c>
      <c r="O2" s="38"/>
      <c r="P2" s="38" t="s">
        <v>990</v>
      </c>
      <c r="Q2" s="38" t="s">
        <v>867</v>
      </c>
      <c r="R2" s="38">
        <v>232</v>
      </c>
      <c r="S2" s="38" t="s">
        <v>1038</v>
      </c>
      <c r="T2" s="38"/>
      <c r="U2" s="38" t="s">
        <v>991</v>
      </c>
      <c r="V2" s="38">
        <v>40</v>
      </c>
      <c r="W2" s="38"/>
      <c r="X2" s="38"/>
      <c r="Y2" s="38"/>
      <c r="Z2" s="38"/>
      <c r="AA2" s="38"/>
      <c r="AB2" s="38"/>
      <c r="AC2" s="38"/>
      <c r="AD2" s="38"/>
      <c r="AE2" s="38"/>
      <c r="AF2" s="38"/>
      <c r="AG2" s="38" t="s">
        <v>1039</v>
      </c>
      <c r="AH2" s="38">
        <v>1.95</v>
      </c>
      <c r="AI2" s="38" t="s">
        <v>993</v>
      </c>
      <c r="AJ2" s="38"/>
      <c r="AK2" s="38" t="s">
        <v>1040</v>
      </c>
      <c r="AL2" s="38" t="s">
        <v>1041</v>
      </c>
      <c r="AM2" s="38" t="s">
        <v>738</v>
      </c>
      <c r="AN2" s="38" t="s">
        <v>989</v>
      </c>
      <c r="AO2" s="38"/>
      <c r="AP2" s="38" t="s">
        <v>989</v>
      </c>
      <c r="AQ2" s="38" t="s">
        <v>989</v>
      </c>
      <c r="AR2" s="38" t="s">
        <v>989</v>
      </c>
      <c r="AS2" s="38">
        <v>0.5</v>
      </c>
      <c r="AT2" s="38">
        <v>369</v>
      </c>
      <c r="AU2" s="38" t="s">
        <v>994</v>
      </c>
      <c r="AV2" s="38" t="s">
        <v>1042</v>
      </c>
      <c r="AW2" s="38" t="s">
        <v>989</v>
      </c>
      <c r="AX2" s="38" t="s">
        <v>989</v>
      </c>
      <c r="AY2" s="38" t="s">
        <v>989</v>
      </c>
      <c r="AZ2" s="38"/>
      <c r="BA2" s="38"/>
      <c r="BB2" s="67"/>
      <c r="BC2" s="38" t="s">
        <v>9</v>
      </c>
      <c r="BD2" s="67" t="s">
        <v>995</v>
      </c>
      <c r="BE2" s="38" t="s">
        <v>5</v>
      </c>
      <c r="BF2" s="67" t="s">
        <v>1043</v>
      </c>
      <c r="BG2" s="38" t="s">
        <v>6</v>
      </c>
      <c r="BH2" s="38" t="s">
        <v>996</v>
      </c>
      <c r="BI2" s="38"/>
      <c r="BJ2" s="38" t="s">
        <v>997</v>
      </c>
      <c r="BK2" s="38"/>
      <c r="BL2" s="38" t="s">
        <v>859</v>
      </c>
      <c r="BM2" s="38"/>
      <c r="BN2" s="38" t="s">
        <v>586</v>
      </c>
      <c r="BO2" s="38" t="s">
        <v>532</v>
      </c>
      <c r="BP2" s="38" t="s">
        <v>532</v>
      </c>
      <c r="BQ2" s="38"/>
      <c r="BR2" s="38" t="s">
        <v>1044</v>
      </c>
      <c r="BS2" s="38">
        <v>14</v>
      </c>
      <c r="BT2" s="38">
        <v>16</v>
      </c>
      <c r="BU2" s="38">
        <v>65</v>
      </c>
      <c r="BV2" s="38">
        <v>60</v>
      </c>
      <c r="BW2" s="38"/>
      <c r="BX2" s="38"/>
      <c r="BY2" s="38"/>
      <c r="BZ2" s="38"/>
      <c r="CA2" s="38"/>
      <c r="CB2" s="38"/>
      <c r="CC2" s="38"/>
      <c r="CD2" s="38"/>
      <c r="CE2" s="38"/>
      <c r="CQ2" s="38"/>
      <c r="CR2" s="38"/>
      <c r="CS2" s="38"/>
      <c r="CT2" s="38"/>
      <c r="CU2" s="38"/>
      <c r="CV2" s="38"/>
      <c r="CW2" s="38"/>
      <c r="CX2" s="38"/>
      <c r="CY2" s="38"/>
      <c r="CZ2" s="38"/>
      <c r="DA2" s="38"/>
    </row>
    <row r="3" spans="1:105" x14ac:dyDescent="0.2">
      <c r="A3" s="38"/>
      <c r="B3" s="38" t="s">
        <v>998</v>
      </c>
      <c r="C3" s="38" t="s">
        <v>1045</v>
      </c>
      <c r="D3" s="38" t="s">
        <v>1046</v>
      </c>
      <c r="E3" s="38"/>
      <c r="F3" s="38"/>
      <c r="G3" s="38"/>
      <c r="H3" s="38"/>
      <c r="I3" s="38"/>
      <c r="J3" s="38"/>
      <c r="K3" s="38"/>
      <c r="L3" s="38"/>
      <c r="M3" s="38"/>
      <c r="N3" s="38"/>
      <c r="O3" s="38"/>
      <c r="P3" s="38"/>
      <c r="Q3" s="38"/>
      <c r="R3" s="38"/>
      <c r="S3" s="38"/>
      <c r="T3" s="38"/>
      <c r="U3" s="38"/>
      <c r="V3" s="38"/>
      <c r="W3" s="38"/>
      <c r="X3" s="38"/>
      <c r="Y3" s="38"/>
      <c r="Z3" s="38"/>
      <c r="AA3" s="38"/>
      <c r="AB3" s="38"/>
      <c r="AC3" s="38"/>
      <c r="AD3" s="38"/>
      <c r="AE3" s="38"/>
      <c r="AF3" s="38"/>
      <c r="AG3" s="38"/>
      <c r="AH3" s="38"/>
      <c r="AI3" s="38"/>
      <c r="AJ3" s="38"/>
      <c r="AK3" s="38"/>
      <c r="AL3" s="38"/>
      <c r="AM3" s="38"/>
      <c r="AN3" s="38"/>
      <c r="AO3" s="38"/>
      <c r="AP3" s="38"/>
      <c r="AQ3" s="38"/>
      <c r="AR3" s="38"/>
      <c r="AS3" s="38"/>
      <c r="AT3" s="38"/>
      <c r="AU3" s="38"/>
      <c r="AV3" s="38"/>
      <c r="AW3" s="38"/>
      <c r="AX3" s="38"/>
      <c r="AY3" s="38"/>
      <c r="AZ3" s="38"/>
      <c r="BA3" s="38"/>
      <c r="BB3" s="67"/>
      <c r="BC3" s="38"/>
      <c r="BD3" s="67"/>
      <c r="BE3" s="38"/>
      <c r="BF3" s="67"/>
      <c r="BG3" s="38"/>
      <c r="BH3" s="38"/>
      <c r="BI3" s="38"/>
      <c r="BJ3" s="38"/>
      <c r="BK3" s="38"/>
      <c r="BL3" s="38"/>
      <c r="BM3" s="38"/>
      <c r="BN3" s="38"/>
      <c r="BO3" s="38"/>
      <c r="BP3" s="38"/>
      <c r="BQ3" s="38"/>
      <c r="BR3" s="38"/>
      <c r="BS3" s="38"/>
      <c r="BT3" s="38"/>
      <c r="BU3" s="38"/>
      <c r="BV3" s="38"/>
      <c r="BW3" s="38"/>
      <c r="BX3" s="38"/>
      <c r="BY3" s="38"/>
      <c r="BZ3" s="38"/>
      <c r="CA3" s="38"/>
      <c r="CB3" s="38"/>
      <c r="CC3" s="38"/>
      <c r="CD3" s="38"/>
      <c r="CE3" s="38"/>
      <c r="CQ3" s="38"/>
      <c r="CR3" s="38"/>
      <c r="CS3" s="38"/>
      <c r="CT3" s="38"/>
      <c r="CU3" s="38"/>
      <c r="CV3" s="38"/>
      <c r="CW3" s="38"/>
      <c r="CX3" s="38"/>
      <c r="CY3" s="38"/>
      <c r="CZ3" s="38"/>
      <c r="DA3" s="38"/>
    </row>
    <row r="4" spans="1:105" x14ac:dyDescent="0.2">
      <c r="A4" s="38"/>
      <c r="B4" s="38"/>
      <c r="C4" s="38"/>
      <c r="D4" s="38" t="s">
        <v>1047</v>
      </c>
      <c r="E4" s="38"/>
      <c r="F4" s="38"/>
      <c r="G4" s="38"/>
      <c r="H4" s="38"/>
      <c r="I4" s="38"/>
      <c r="J4" s="38" t="s">
        <v>989</v>
      </c>
      <c r="K4" s="38"/>
      <c r="L4" s="38"/>
      <c r="M4" s="38"/>
      <c r="N4" s="38"/>
      <c r="O4" s="38"/>
      <c r="P4" s="38" t="s">
        <v>989</v>
      </c>
      <c r="Q4" s="38"/>
      <c r="R4" s="38"/>
      <c r="S4" s="38" t="s">
        <v>989</v>
      </c>
      <c r="T4" s="38"/>
      <c r="U4" s="38"/>
      <c r="V4" s="38"/>
      <c r="W4" s="38"/>
      <c r="X4" s="38"/>
      <c r="Y4" s="38"/>
      <c r="Z4" s="38"/>
      <c r="AA4" s="38"/>
      <c r="AB4" s="38"/>
      <c r="AC4" s="38"/>
      <c r="AD4" s="38"/>
      <c r="AE4" s="38"/>
      <c r="AF4" s="38"/>
      <c r="AG4" s="38"/>
      <c r="AH4" s="38"/>
      <c r="AI4" s="38"/>
      <c r="AJ4" s="38"/>
      <c r="AK4" s="38" t="s">
        <v>989</v>
      </c>
      <c r="AL4" s="38" t="s">
        <v>989</v>
      </c>
      <c r="AM4" s="38"/>
      <c r="AN4" s="38" t="s">
        <v>989</v>
      </c>
      <c r="AO4" s="38"/>
      <c r="AP4" s="38" t="s">
        <v>989</v>
      </c>
      <c r="AQ4" s="38" t="s">
        <v>989</v>
      </c>
      <c r="AR4" s="38" t="s">
        <v>989</v>
      </c>
      <c r="AS4" s="38"/>
      <c r="AT4" s="38"/>
      <c r="AU4" s="38"/>
      <c r="AV4" s="38" t="s">
        <v>989</v>
      </c>
      <c r="AW4" s="38" t="s">
        <v>989</v>
      </c>
      <c r="AX4" s="38" t="s">
        <v>989</v>
      </c>
      <c r="AY4" s="38" t="s">
        <v>989</v>
      </c>
      <c r="AZ4" s="38"/>
      <c r="BA4" s="38"/>
      <c r="BB4" s="67"/>
      <c r="BC4" s="38" t="s">
        <v>989</v>
      </c>
      <c r="BD4" s="67" t="s">
        <v>989</v>
      </c>
      <c r="BE4" s="38"/>
      <c r="BF4" s="67" t="s">
        <v>989</v>
      </c>
      <c r="BG4" s="38"/>
      <c r="BH4" s="38" t="s">
        <v>989</v>
      </c>
      <c r="BI4" s="38"/>
      <c r="BJ4" s="38" t="s">
        <v>997</v>
      </c>
      <c r="BK4" s="38"/>
      <c r="BL4" s="38"/>
      <c r="BM4" s="38"/>
      <c r="BN4" s="38"/>
      <c r="BO4" s="38"/>
      <c r="BP4" s="38"/>
      <c r="BQ4" s="38"/>
      <c r="BR4" s="38"/>
      <c r="BS4" s="38"/>
      <c r="BT4" s="38"/>
      <c r="BU4" s="38"/>
      <c r="BV4" s="38"/>
      <c r="BW4" s="38"/>
      <c r="BX4" s="38"/>
      <c r="BY4" s="38"/>
      <c r="BZ4" s="38"/>
      <c r="CA4" s="38"/>
      <c r="CB4" s="38"/>
      <c r="CC4" s="38"/>
      <c r="CD4" s="38"/>
      <c r="CE4" s="38"/>
      <c r="CQ4" s="38"/>
      <c r="CR4" s="38"/>
      <c r="CS4" s="38"/>
      <c r="CT4" s="38"/>
      <c r="CU4" s="38"/>
      <c r="CV4" s="38"/>
      <c r="CW4" s="38"/>
      <c r="CX4" s="38"/>
      <c r="CY4" s="38"/>
      <c r="CZ4" s="38"/>
      <c r="DA4" s="38"/>
    </row>
    <row r="5" spans="1:105" x14ac:dyDescent="0.2">
      <c r="A5" s="38"/>
      <c r="B5" s="38"/>
      <c r="C5" s="38"/>
      <c r="D5" s="38" t="s">
        <v>1048</v>
      </c>
      <c r="E5" s="38"/>
      <c r="F5" s="38"/>
      <c r="G5" s="38"/>
      <c r="H5" s="38"/>
      <c r="I5" s="38"/>
      <c r="J5" s="38" t="s">
        <v>989</v>
      </c>
      <c r="K5" s="38"/>
      <c r="L5" s="38"/>
      <c r="M5" s="38"/>
      <c r="N5" s="38"/>
      <c r="O5" s="38"/>
      <c r="P5" s="38" t="s">
        <v>989</v>
      </c>
      <c r="Q5" s="38"/>
      <c r="R5" s="38"/>
      <c r="S5" s="38" t="s">
        <v>989</v>
      </c>
      <c r="T5" s="38"/>
      <c r="U5" s="38"/>
      <c r="V5" s="38"/>
      <c r="W5" s="38"/>
      <c r="X5" s="38"/>
      <c r="Y5" s="38"/>
      <c r="Z5" s="38"/>
      <c r="AA5" s="38" t="s">
        <v>989</v>
      </c>
      <c r="AB5" s="38" t="s">
        <v>989</v>
      </c>
      <c r="AC5" s="38" t="s">
        <v>992</v>
      </c>
      <c r="AD5" s="38" t="s">
        <v>992</v>
      </c>
      <c r="AE5" s="38" t="s">
        <v>989</v>
      </c>
      <c r="AF5" s="38"/>
      <c r="AG5" s="38"/>
      <c r="AH5" s="38"/>
      <c r="AI5" s="38"/>
      <c r="AJ5" s="38"/>
      <c r="AK5" s="38"/>
      <c r="AL5" s="38"/>
      <c r="AM5" s="38"/>
      <c r="AN5" s="38"/>
      <c r="AO5" s="38"/>
      <c r="AP5" s="38"/>
      <c r="AQ5" s="38"/>
      <c r="AR5" s="38"/>
      <c r="AS5" s="38"/>
      <c r="AT5" s="38"/>
      <c r="AU5" s="38"/>
      <c r="AV5" s="38"/>
      <c r="AW5" s="38"/>
      <c r="AX5" s="38"/>
      <c r="AY5" s="38"/>
      <c r="AZ5" s="38"/>
      <c r="BA5" s="38"/>
      <c r="BB5" s="67"/>
      <c r="BC5" s="38" t="s">
        <v>989</v>
      </c>
      <c r="BD5" s="67" t="s">
        <v>989</v>
      </c>
      <c r="BE5" s="38"/>
      <c r="BF5" s="67" t="s">
        <v>989</v>
      </c>
      <c r="BG5" s="38"/>
      <c r="BH5" s="38" t="s">
        <v>989</v>
      </c>
      <c r="BI5" s="38"/>
      <c r="BJ5" s="38" t="s">
        <v>997</v>
      </c>
      <c r="BK5" s="38"/>
      <c r="BL5" s="38"/>
      <c r="BM5" s="38"/>
      <c r="BN5" s="38"/>
      <c r="BO5" s="38"/>
      <c r="BP5" s="38"/>
      <c r="BQ5" s="38"/>
      <c r="BR5" s="38"/>
      <c r="BS5" s="38"/>
      <c r="BT5" s="38"/>
      <c r="BU5" s="38"/>
      <c r="BV5" s="38"/>
      <c r="BW5" s="38"/>
      <c r="BX5" s="38"/>
      <c r="BY5" s="38"/>
      <c r="BZ5" s="38"/>
      <c r="CA5" s="38"/>
      <c r="CB5" s="38"/>
      <c r="CC5" s="38"/>
      <c r="CD5" s="38"/>
      <c r="CE5" s="38"/>
      <c r="CQ5" s="38"/>
      <c r="CR5" s="38"/>
      <c r="CS5" s="38"/>
      <c r="CT5" s="38"/>
      <c r="CU5" s="38"/>
      <c r="CV5" s="38"/>
      <c r="CW5" s="38"/>
      <c r="CX5" s="38"/>
      <c r="CY5" s="38"/>
      <c r="CZ5" s="38"/>
      <c r="DA5" s="38"/>
    </row>
    <row r="6" spans="1:105" x14ac:dyDescent="0.2">
      <c r="A6" s="38"/>
      <c r="B6" s="38"/>
      <c r="C6" s="38"/>
      <c r="D6" s="38" t="s">
        <v>1049</v>
      </c>
      <c r="E6" s="38"/>
      <c r="F6" s="38"/>
      <c r="G6" s="38"/>
      <c r="H6" s="38"/>
      <c r="I6" s="38"/>
      <c r="J6" s="38" t="s">
        <v>989</v>
      </c>
      <c r="K6" s="38"/>
      <c r="L6" s="38"/>
      <c r="M6" s="38"/>
      <c r="N6" s="38"/>
      <c r="O6" s="38"/>
      <c r="P6" s="38" t="s">
        <v>989</v>
      </c>
      <c r="Q6" s="38"/>
      <c r="R6" s="38"/>
      <c r="S6" s="38" t="s">
        <v>989</v>
      </c>
      <c r="T6" s="38"/>
      <c r="U6" s="38"/>
      <c r="V6" s="38"/>
      <c r="W6" s="38"/>
      <c r="X6" s="38"/>
      <c r="Y6" s="38"/>
      <c r="Z6" s="38"/>
      <c r="AA6" s="38"/>
      <c r="AB6" s="38" t="s">
        <v>989</v>
      </c>
      <c r="AC6" s="38" t="s">
        <v>992</v>
      </c>
      <c r="AD6" s="38" t="s">
        <v>992</v>
      </c>
      <c r="AE6" s="38" t="s">
        <v>989</v>
      </c>
      <c r="AF6" s="38"/>
      <c r="AG6" s="38"/>
      <c r="AH6" s="38"/>
      <c r="AI6" s="38"/>
      <c r="AJ6" s="38"/>
      <c r="AK6" s="38"/>
      <c r="AL6" s="38"/>
      <c r="AM6" s="38"/>
      <c r="AN6" s="38"/>
      <c r="AO6" s="38"/>
      <c r="AP6" s="38"/>
      <c r="AQ6" s="38"/>
      <c r="AR6" s="38"/>
      <c r="AS6" s="38"/>
      <c r="AT6" s="38"/>
      <c r="AU6" s="38"/>
      <c r="AV6" s="38"/>
      <c r="AW6" s="38"/>
      <c r="AX6" s="38"/>
      <c r="AY6" s="38"/>
      <c r="AZ6" s="38"/>
      <c r="BA6" s="38"/>
      <c r="BB6" s="67"/>
      <c r="BC6" s="38" t="s">
        <v>989</v>
      </c>
      <c r="BD6" s="67" t="s">
        <v>989</v>
      </c>
      <c r="BE6" s="38"/>
      <c r="BF6" s="67" t="s">
        <v>989</v>
      </c>
      <c r="BG6" s="38"/>
      <c r="BH6" s="38" t="s">
        <v>989</v>
      </c>
      <c r="BI6" s="38"/>
      <c r="BJ6" s="38" t="s">
        <v>997</v>
      </c>
      <c r="BK6" s="38"/>
      <c r="BL6" s="38"/>
      <c r="BM6" s="38"/>
      <c r="BN6" s="38"/>
      <c r="BO6" s="38"/>
      <c r="BP6" s="38"/>
      <c r="BQ6" s="38"/>
      <c r="BR6" s="38"/>
      <c r="BS6" s="38"/>
      <c r="BT6" s="38"/>
      <c r="BU6" s="38"/>
      <c r="BV6" s="38"/>
      <c r="BW6" s="38"/>
      <c r="BX6" s="38"/>
      <c r="BY6" s="38"/>
      <c r="BZ6" s="38"/>
      <c r="CA6" s="38"/>
      <c r="CB6" s="38"/>
      <c r="CC6" s="38"/>
      <c r="CD6" s="38"/>
      <c r="CE6" s="38"/>
      <c r="CQ6" s="38"/>
      <c r="CR6" s="38"/>
      <c r="CS6" s="38"/>
      <c r="CT6" s="38"/>
      <c r="CU6" s="38"/>
      <c r="CV6" s="38"/>
      <c r="CW6" s="38"/>
      <c r="CX6" s="38"/>
      <c r="CY6" s="38"/>
      <c r="CZ6" s="38"/>
      <c r="DA6" s="38"/>
    </row>
    <row r="7" spans="1:105" x14ac:dyDescent="0.2">
      <c r="A7" s="38"/>
      <c r="B7" s="38"/>
      <c r="C7" s="38"/>
      <c r="D7" s="38" t="s">
        <v>1050</v>
      </c>
      <c r="E7" s="38"/>
      <c r="F7" s="38"/>
      <c r="G7" s="38"/>
      <c r="H7" s="38"/>
      <c r="I7" s="38"/>
      <c r="J7" s="38" t="s">
        <v>989</v>
      </c>
      <c r="K7" s="38"/>
      <c r="L7" s="38"/>
      <c r="M7" s="38"/>
      <c r="N7" s="38"/>
      <c r="O7" s="38"/>
      <c r="P7" s="38" t="s">
        <v>989</v>
      </c>
      <c r="Q7" s="38"/>
      <c r="R7" s="38"/>
      <c r="S7" s="38" t="s">
        <v>989</v>
      </c>
      <c r="T7" s="38"/>
      <c r="U7" s="38"/>
      <c r="V7" s="38"/>
      <c r="W7" s="38"/>
      <c r="X7" s="38"/>
      <c r="Y7" s="38"/>
      <c r="Z7" s="38"/>
      <c r="AA7" s="38"/>
      <c r="AB7" s="38"/>
      <c r="AC7" s="38"/>
      <c r="AD7" s="38"/>
      <c r="AE7" s="38"/>
      <c r="AF7" s="38"/>
      <c r="AG7" s="38"/>
      <c r="AH7" s="38"/>
      <c r="AI7" s="38"/>
      <c r="AJ7" s="38"/>
      <c r="AK7" s="38" t="s">
        <v>989</v>
      </c>
      <c r="AL7" s="38" t="s">
        <v>989</v>
      </c>
      <c r="AM7" s="38"/>
      <c r="AN7" s="38" t="s">
        <v>989</v>
      </c>
      <c r="AO7" s="38"/>
      <c r="AP7" s="38" t="s">
        <v>989</v>
      </c>
      <c r="AQ7" s="38" t="s">
        <v>989</v>
      </c>
      <c r="AR7" s="38" t="s">
        <v>989</v>
      </c>
      <c r="AS7" s="38"/>
      <c r="AT7" s="38"/>
      <c r="AU7" s="38"/>
      <c r="AV7" s="38" t="s">
        <v>989</v>
      </c>
      <c r="AW7" s="38" t="s">
        <v>989</v>
      </c>
      <c r="AX7" s="38" t="s">
        <v>989</v>
      </c>
      <c r="AY7" s="38" t="s">
        <v>989</v>
      </c>
      <c r="AZ7" s="38"/>
      <c r="BA7" s="38"/>
      <c r="BB7" s="67"/>
      <c r="BC7" s="38" t="s">
        <v>989</v>
      </c>
      <c r="BD7" s="67" t="s">
        <v>989</v>
      </c>
      <c r="BE7" s="38"/>
      <c r="BF7" s="67" t="s">
        <v>989</v>
      </c>
      <c r="BG7" s="38"/>
      <c r="BH7" s="38" t="s">
        <v>989</v>
      </c>
      <c r="BI7" s="38"/>
      <c r="BJ7" s="38" t="s">
        <v>997</v>
      </c>
      <c r="BK7" s="38"/>
      <c r="BL7" s="38"/>
      <c r="BM7" s="38"/>
      <c r="BN7" s="38"/>
      <c r="BO7" s="38"/>
      <c r="BP7" s="38"/>
      <c r="BQ7" s="38"/>
      <c r="BR7" s="38"/>
      <c r="BS7" s="38"/>
      <c r="BT7" s="38"/>
      <c r="BU7" s="38"/>
      <c r="BV7" s="38"/>
      <c r="BW7" s="38"/>
      <c r="BX7" s="38"/>
      <c r="BY7" s="38"/>
      <c r="BZ7" s="38"/>
      <c r="CA7" s="38"/>
      <c r="CB7" s="38"/>
      <c r="CC7" s="38"/>
      <c r="CD7" s="38"/>
      <c r="CE7" s="38"/>
      <c r="CQ7" s="38"/>
      <c r="CR7" s="38"/>
      <c r="CS7" s="38"/>
      <c r="CT7" s="38"/>
      <c r="CU7" s="38"/>
      <c r="CV7" s="38"/>
      <c r="CW7" s="38"/>
      <c r="CX7" s="38"/>
      <c r="CY7" s="38"/>
      <c r="CZ7" s="38"/>
      <c r="DA7" s="38"/>
    </row>
    <row r="8" spans="1:105" x14ac:dyDescent="0.2">
      <c r="A8" s="38"/>
      <c r="B8" s="38"/>
      <c r="C8" s="38"/>
      <c r="D8" s="38" t="s">
        <v>422</v>
      </c>
      <c r="E8" s="38"/>
      <c r="F8" s="38"/>
      <c r="G8" s="38"/>
      <c r="H8" s="38"/>
      <c r="I8" s="38"/>
      <c r="J8" s="38"/>
      <c r="K8" s="38"/>
      <c r="L8" s="38"/>
      <c r="M8" s="38"/>
      <c r="N8" s="38"/>
      <c r="O8" s="38"/>
      <c r="P8" s="38"/>
      <c r="Q8" s="38"/>
      <c r="R8" s="38"/>
      <c r="S8" s="38"/>
      <c r="T8" s="38"/>
      <c r="U8" s="38"/>
      <c r="V8" s="38"/>
      <c r="W8" s="38"/>
      <c r="X8" s="38"/>
      <c r="Y8" s="38"/>
      <c r="Z8" s="38"/>
      <c r="AA8" s="38"/>
      <c r="AB8" s="38"/>
      <c r="AC8" s="38"/>
      <c r="AD8" s="38"/>
      <c r="AE8" s="38"/>
      <c r="AF8" s="38"/>
      <c r="AG8" s="38"/>
      <c r="AH8" s="38"/>
      <c r="AI8" s="38"/>
      <c r="AJ8" s="38"/>
      <c r="AK8" s="38"/>
      <c r="AL8" s="38"/>
      <c r="AM8" s="38"/>
      <c r="AN8" s="38"/>
      <c r="AO8" s="38"/>
      <c r="AP8" s="38"/>
      <c r="AQ8" s="38"/>
      <c r="AR8" s="38"/>
      <c r="AS8" s="38"/>
      <c r="AT8" s="38"/>
      <c r="AU8" s="38"/>
      <c r="AV8" s="38"/>
      <c r="AW8" s="38"/>
      <c r="AX8" s="38"/>
      <c r="AY8" s="38"/>
      <c r="AZ8" s="38"/>
      <c r="BA8" s="38"/>
      <c r="BB8" s="67"/>
      <c r="BC8" s="38"/>
      <c r="BD8" s="67"/>
      <c r="BE8" s="38"/>
      <c r="BF8" s="67"/>
      <c r="BG8" s="38"/>
      <c r="BH8" s="38"/>
      <c r="BI8" s="38"/>
      <c r="BJ8" s="38"/>
      <c r="BK8" s="38"/>
      <c r="BL8" s="38"/>
      <c r="BM8" s="38"/>
      <c r="BN8" s="38"/>
      <c r="BO8" s="38"/>
      <c r="BP8" s="38"/>
      <c r="BQ8" s="38"/>
      <c r="BR8" s="38"/>
      <c r="BS8" s="38"/>
      <c r="BT8" s="38"/>
      <c r="BU8" s="38"/>
      <c r="BV8" s="38"/>
      <c r="BW8" s="38"/>
      <c r="BX8" s="38"/>
      <c r="BY8" s="38"/>
      <c r="BZ8" s="38"/>
      <c r="CA8" s="38"/>
      <c r="CB8" s="38"/>
      <c r="CC8" s="38"/>
      <c r="CD8" s="38"/>
      <c r="CE8" s="38"/>
      <c r="CQ8" s="38"/>
      <c r="CR8" s="38"/>
      <c r="CS8" s="38"/>
      <c r="CT8" s="38"/>
      <c r="CU8" s="38"/>
      <c r="CV8" s="38"/>
      <c r="CW8" s="38"/>
      <c r="CX8" s="38"/>
      <c r="CY8" s="38"/>
      <c r="CZ8" s="38"/>
      <c r="DA8" s="38"/>
    </row>
    <row r="9" spans="1:105" x14ac:dyDescent="0.2">
      <c r="A9" s="38"/>
      <c r="B9" s="38"/>
      <c r="C9" s="38"/>
      <c r="D9" s="38" t="s">
        <v>1051</v>
      </c>
      <c r="E9" s="38"/>
      <c r="F9" s="38"/>
      <c r="G9" s="38"/>
      <c r="H9" s="38"/>
      <c r="I9" s="38"/>
      <c r="J9" s="38"/>
      <c r="K9" s="38"/>
      <c r="L9" s="38"/>
      <c r="M9" s="38"/>
      <c r="N9" s="38"/>
      <c r="O9" s="38"/>
      <c r="P9" s="38"/>
      <c r="Q9" s="38"/>
      <c r="R9" s="38"/>
      <c r="S9" s="38"/>
      <c r="T9" s="38"/>
      <c r="U9" s="38"/>
      <c r="V9" s="38"/>
      <c r="W9" s="38"/>
      <c r="X9" s="38"/>
      <c r="Y9" s="38"/>
      <c r="Z9" s="38"/>
      <c r="AA9" s="38"/>
      <c r="AB9" s="38"/>
      <c r="AC9" s="38"/>
      <c r="AD9" s="38"/>
      <c r="AE9" s="38"/>
      <c r="AF9" s="38"/>
      <c r="AG9" s="38"/>
      <c r="AH9" s="38"/>
      <c r="AI9" s="38"/>
      <c r="AJ9" s="38"/>
      <c r="AK9" s="38"/>
      <c r="AL9" s="38"/>
      <c r="AM9" s="38"/>
      <c r="AN9" s="38"/>
      <c r="AO9" s="38"/>
      <c r="AP9" s="38"/>
      <c r="AQ9" s="38"/>
      <c r="AR9" s="38"/>
      <c r="AS9" s="38"/>
      <c r="AT9" s="38"/>
      <c r="AU9" s="38"/>
      <c r="AV9" s="38"/>
      <c r="AW9" s="38"/>
      <c r="AX9" s="38"/>
      <c r="AY9" s="38"/>
      <c r="AZ9" s="38"/>
      <c r="BA9" s="38"/>
      <c r="BB9" s="67"/>
      <c r="BC9" s="38" t="s">
        <v>989</v>
      </c>
      <c r="BD9" s="67" t="s">
        <v>989</v>
      </c>
      <c r="BE9" s="38"/>
      <c r="BF9" s="67" t="s">
        <v>989</v>
      </c>
      <c r="BG9" s="38"/>
      <c r="BH9" s="38" t="s">
        <v>989</v>
      </c>
      <c r="BI9" s="38"/>
      <c r="BJ9" s="38" t="s">
        <v>997</v>
      </c>
      <c r="BK9" s="38"/>
      <c r="BL9" s="38"/>
      <c r="BM9" s="38"/>
      <c r="BN9" s="38"/>
      <c r="BO9" s="38"/>
      <c r="BP9" s="38"/>
      <c r="BQ9" s="38"/>
      <c r="BR9" s="38"/>
      <c r="BS9" s="38"/>
      <c r="BT9" s="38"/>
      <c r="BU9" s="38"/>
      <c r="BV9" s="38"/>
      <c r="BW9" s="38"/>
      <c r="BX9" s="38"/>
      <c r="BY9" s="38"/>
      <c r="BZ9" s="38"/>
      <c r="CA9" s="38"/>
      <c r="CB9" s="38"/>
      <c r="CC9" s="38"/>
      <c r="CD9" s="38"/>
      <c r="CE9" s="38"/>
      <c r="CQ9" s="38"/>
      <c r="CR9" s="38"/>
      <c r="CS9" s="38"/>
      <c r="CT9" s="38"/>
      <c r="CU9" s="38"/>
      <c r="CV9" s="38"/>
      <c r="CW9" s="38"/>
      <c r="CX9" s="38"/>
      <c r="CY9" s="38"/>
      <c r="CZ9" s="38"/>
      <c r="DA9" s="38"/>
    </row>
    <row r="10" spans="1:105" hidden="1" x14ac:dyDescent="0.2">
      <c r="A10" s="38" t="s">
        <v>852</v>
      </c>
      <c r="B10" s="38"/>
      <c r="C10" s="38"/>
      <c r="D10" s="38"/>
      <c r="E10" s="38"/>
      <c r="F10" s="38"/>
      <c r="G10" s="38"/>
      <c r="H10" s="38"/>
      <c r="I10" s="38"/>
      <c r="J10" s="38"/>
      <c r="K10" s="38"/>
      <c r="L10" s="38"/>
      <c r="M10" s="38"/>
      <c r="N10" s="38"/>
      <c r="O10" s="38"/>
      <c r="P10" s="38"/>
      <c r="Q10" s="38"/>
      <c r="R10" s="38"/>
      <c r="S10" s="38"/>
      <c r="T10" s="38"/>
      <c r="U10" s="38"/>
      <c r="V10" s="38"/>
      <c r="W10" s="38"/>
      <c r="X10" s="38"/>
      <c r="Y10" s="38"/>
      <c r="Z10" s="38"/>
      <c r="AA10" s="38"/>
      <c r="AB10" s="38"/>
      <c r="AC10" s="38"/>
      <c r="AD10" s="38"/>
      <c r="AE10" s="38"/>
      <c r="AF10" s="38"/>
      <c r="AG10" s="38"/>
      <c r="AH10" s="38"/>
      <c r="AI10" s="38"/>
      <c r="AJ10" s="38"/>
      <c r="AK10" s="38"/>
      <c r="AL10" s="38"/>
      <c r="AM10" s="38"/>
      <c r="AN10" s="38"/>
      <c r="AO10" s="38"/>
      <c r="AP10" s="38"/>
      <c r="AQ10" s="38"/>
      <c r="AR10" s="38"/>
      <c r="AS10" s="38"/>
      <c r="AT10" s="38"/>
      <c r="AU10" s="38"/>
      <c r="AV10" s="38"/>
      <c r="AW10" s="38"/>
      <c r="AX10" s="38"/>
      <c r="AY10" s="38"/>
      <c r="AZ10" s="38"/>
      <c r="BA10" s="38"/>
      <c r="BB10" s="67"/>
      <c r="BC10" s="38"/>
      <c r="BD10" s="67"/>
      <c r="BE10" s="38"/>
      <c r="BF10" s="67"/>
      <c r="BG10" s="38"/>
      <c r="BH10" s="38"/>
      <c r="BI10" s="38"/>
      <c r="BJ10" s="38"/>
      <c r="BK10" s="38"/>
      <c r="BL10" s="38"/>
      <c r="BM10" s="38"/>
      <c r="BN10" s="38"/>
      <c r="BO10" s="38"/>
      <c r="BP10" s="38"/>
      <c r="BQ10" s="38"/>
      <c r="BR10" s="38"/>
      <c r="BS10" s="38"/>
      <c r="BT10" s="38"/>
      <c r="BU10" s="38"/>
      <c r="BV10" s="38"/>
      <c r="BW10" s="38"/>
      <c r="BX10" s="38"/>
      <c r="BY10" s="38"/>
      <c r="BZ10" s="38"/>
      <c r="CA10" s="38"/>
      <c r="CB10" s="38"/>
      <c r="CE10">
        <f>SUBTOTAL(103,Estrutura_P01[Coluna3])</f>
        <v>0</v>
      </c>
      <c r="CQ10" s="38"/>
      <c r="CR10" s="38"/>
      <c r="CS10" s="38"/>
      <c r="CT10" s="38"/>
      <c r="CU10" s="38"/>
      <c r="CV10" s="38"/>
      <c r="CW10" s="38"/>
      <c r="CX10" s="38"/>
      <c r="CY10" s="38"/>
      <c r="CZ10" s="38"/>
      <c r="DA10" s="38"/>
    </row>
    <row r="11" spans="1:105" hidden="1" x14ac:dyDescent="0.2">
      <c r="A11" t="s">
        <v>532</v>
      </c>
      <c r="CQ11" s="38"/>
      <c r="CR11" s="38"/>
      <c r="CS11" s="38"/>
      <c r="CT11" s="38"/>
      <c r="CU11" s="38"/>
      <c r="CV11" s="38"/>
      <c r="CW11" s="38"/>
      <c r="CX11" s="38"/>
      <c r="CY11" s="38"/>
      <c r="CZ11" s="38"/>
      <c r="DA11" s="38"/>
    </row>
    <row r="12" spans="1:105" hidden="1" x14ac:dyDescent="0.2">
      <c r="CQ12" s="38"/>
      <c r="CR12" s="38"/>
      <c r="CS12" s="38"/>
      <c r="CT12" s="38"/>
      <c r="CU12" s="38"/>
      <c r="CV12" s="38"/>
      <c r="CW12" s="38"/>
      <c r="CX12" s="38"/>
      <c r="CY12" s="38"/>
      <c r="CZ12" s="38"/>
      <c r="DA12" s="38"/>
    </row>
    <row r="13" spans="1:105" hidden="1" x14ac:dyDescent="0.2">
      <c r="CQ13" s="38"/>
      <c r="CR13" s="38"/>
      <c r="CS13" s="38"/>
      <c r="CT13" s="38"/>
      <c r="CU13" s="38"/>
      <c r="CV13" s="38"/>
      <c r="CW13" s="38"/>
      <c r="CX13" s="38"/>
      <c r="CY13" s="38"/>
      <c r="CZ13" s="38"/>
      <c r="DA13" s="38"/>
    </row>
    <row r="14" spans="1:105" hidden="1" x14ac:dyDescent="0.2">
      <c r="CQ14" s="38"/>
      <c r="CR14" s="38"/>
      <c r="CS14" s="38"/>
      <c r="CT14" s="38"/>
      <c r="CU14" s="38"/>
      <c r="CV14" s="38"/>
      <c r="CW14" s="38"/>
      <c r="CX14" s="38"/>
      <c r="CY14" s="38"/>
      <c r="CZ14" s="38"/>
      <c r="DA14" s="38"/>
    </row>
    <row r="15" spans="1:105" hidden="1" x14ac:dyDescent="0.2">
      <c r="CQ15" s="38"/>
      <c r="CR15" s="38"/>
      <c r="CS15" s="38"/>
      <c r="CT15" s="38"/>
      <c r="CU15" s="38"/>
      <c r="CV15" s="38"/>
      <c r="CW15" s="38"/>
      <c r="CX15" s="38"/>
      <c r="CY15" s="38"/>
      <c r="CZ15" s="38"/>
      <c r="DA15" s="38"/>
    </row>
    <row r="16" spans="1:105" hidden="1" x14ac:dyDescent="0.2">
      <c r="CQ16" s="38"/>
      <c r="CR16" s="38"/>
      <c r="CS16" s="38"/>
      <c r="CT16" s="38"/>
      <c r="CU16" s="38"/>
      <c r="CV16" s="38"/>
      <c r="CW16" s="38"/>
      <c r="CX16" s="38"/>
      <c r="CY16" s="38"/>
      <c r="CZ16" s="38"/>
      <c r="DA16" s="38"/>
    </row>
    <row r="17" spans="95:105" hidden="1" x14ac:dyDescent="0.2">
      <c r="CQ17" s="38"/>
      <c r="CR17" s="38"/>
      <c r="CS17" s="38"/>
      <c r="CT17" s="38"/>
      <c r="CU17" s="38"/>
      <c r="CV17" s="38"/>
      <c r="CW17" s="38"/>
      <c r="CX17" s="38"/>
      <c r="CY17" s="38"/>
      <c r="CZ17" s="38"/>
      <c r="DA17" s="38"/>
    </row>
    <row r="18" spans="95:105" hidden="1" x14ac:dyDescent="0.2">
      <c r="CQ18" s="38"/>
      <c r="CR18" s="38"/>
      <c r="CS18" s="38"/>
      <c r="CT18" s="38"/>
      <c r="CU18" s="38"/>
      <c r="CV18" s="38"/>
      <c r="CW18" s="38"/>
      <c r="CX18" s="38"/>
      <c r="CY18" s="38"/>
      <c r="CZ18" s="38"/>
      <c r="DA18" s="38"/>
    </row>
    <row r="19" spans="95:105" hidden="1" x14ac:dyDescent="0.2">
      <c r="CQ19" s="38"/>
      <c r="CR19" s="38"/>
      <c r="CS19" s="38"/>
      <c r="CT19" s="38"/>
      <c r="CU19" s="38"/>
      <c r="CV19" s="38"/>
      <c r="CW19" s="38"/>
      <c r="CX19" s="38"/>
      <c r="CY19" s="38"/>
      <c r="CZ19" s="38"/>
      <c r="DA19" s="38"/>
    </row>
    <row r="20" spans="95:105" hidden="1" x14ac:dyDescent="0.2">
      <c r="CQ20" s="38"/>
      <c r="CR20" s="38"/>
      <c r="CS20" s="38"/>
      <c r="CT20" s="38"/>
      <c r="CU20" s="38"/>
      <c r="CV20" s="38"/>
      <c r="CW20" s="38"/>
      <c r="CX20" s="38"/>
      <c r="CY20" s="38"/>
      <c r="CZ20" s="38"/>
      <c r="DA20" s="38"/>
    </row>
    <row r="21" spans="95:105" hidden="1" x14ac:dyDescent="0.2">
      <c r="CQ21" s="38"/>
      <c r="CR21" s="38"/>
      <c r="CS21" s="38"/>
      <c r="CT21" s="38"/>
      <c r="CU21" s="38"/>
      <c r="CV21" s="38"/>
      <c r="CW21" s="38"/>
      <c r="CX21" s="38"/>
      <c r="CY21" s="38"/>
      <c r="CZ21" s="38"/>
      <c r="DA21" s="38"/>
    </row>
    <row r="22" spans="95:105" hidden="1" x14ac:dyDescent="0.2">
      <c r="CQ22" s="38"/>
      <c r="CR22" s="38"/>
      <c r="CS22" s="38"/>
      <c r="CT22" s="38"/>
      <c r="CU22" s="38"/>
      <c r="CV22" s="38"/>
      <c r="CW22" s="38"/>
      <c r="CX22" s="38"/>
      <c r="CY22" s="38"/>
      <c r="CZ22" s="38"/>
      <c r="DA22" s="38"/>
    </row>
    <row r="23" spans="95:105" hidden="1" x14ac:dyDescent="0.2">
      <c r="CQ23" s="38"/>
      <c r="CR23" s="38"/>
      <c r="CS23" s="38"/>
      <c r="CT23" s="38"/>
      <c r="CU23" s="38"/>
      <c r="CV23" s="38"/>
      <c r="CW23" s="38"/>
      <c r="CX23" s="38"/>
      <c r="CY23" s="38"/>
      <c r="CZ23" s="38"/>
      <c r="DA23" s="38"/>
    </row>
    <row r="24" spans="95:105" hidden="1" x14ac:dyDescent="0.2">
      <c r="CQ24" s="38"/>
      <c r="CR24" s="38"/>
      <c r="CS24" s="38"/>
      <c r="CT24" s="38"/>
      <c r="CU24" s="38"/>
      <c r="CV24" s="38"/>
      <c r="CW24" s="38"/>
      <c r="CX24" s="38"/>
      <c r="CY24" s="38"/>
      <c r="CZ24" s="38"/>
      <c r="DA24" s="38"/>
    </row>
    <row r="25" spans="95:105" hidden="1" x14ac:dyDescent="0.2">
      <c r="CQ25" s="38"/>
      <c r="CR25" s="38"/>
      <c r="CS25" s="38"/>
      <c r="CT25" s="38"/>
      <c r="CU25" s="38"/>
      <c r="CV25" s="38"/>
      <c r="CW25" s="38"/>
      <c r="CX25" s="38"/>
      <c r="CY25" s="38"/>
      <c r="CZ25" s="38"/>
      <c r="DA25" s="38"/>
    </row>
    <row r="26" spans="95:105" hidden="1" x14ac:dyDescent="0.2">
      <c r="CQ26" s="38"/>
      <c r="CR26" s="38"/>
      <c r="CS26" s="38"/>
      <c r="CT26" s="38"/>
      <c r="CU26" s="38"/>
      <c r="CV26" s="38"/>
      <c r="CW26" s="38"/>
      <c r="CX26" s="38"/>
      <c r="CY26" s="38"/>
      <c r="CZ26" s="38"/>
      <c r="DA26" s="38"/>
    </row>
    <row r="27" spans="95:105" hidden="1" x14ac:dyDescent="0.2">
      <c r="CQ27" s="38"/>
      <c r="CR27" s="38"/>
      <c r="CS27" s="38"/>
      <c r="CT27" s="38"/>
      <c r="CU27" s="38"/>
      <c r="CV27" s="38"/>
      <c r="CW27" s="38"/>
      <c r="CX27" s="38"/>
      <c r="CY27" s="38"/>
      <c r="CZ27" s="38"/>
      <c r="DA27" s="38"/>
    </row>
    <row r="28" spans="95:105" hidden="1" x14ac:dyDescent="0.2">
      <c r="CQ28" s="38"/>
      <c r="CR28" s="38"/>
      <c r="CS28" s="38"/>
      <c r="CT28" s="38"/>
      <c r="CU28" s="38"/>
      <c r="CV28" s="38"/>
      <c r="CW28" s="38"/>
      <c r="CX28" s="38"/>
      <c r="CY28" s="38"/>
      <c r="CZ28" s="38"/>
      <c r="DA28" s="38"/>
    </row>
    <row r="29" spans="95:105" hidden="1" x14ac:dyDescent="0.2">
      <c r="CQ29" s="38"/>
      <c r="CR29" s="38"/>
      <c r="CS29" s="38"/>
      <c r="CT29" s="38"/>
      <c r="CU29" s="38"/>
      <c r="CV29" s="38"/>
      <c r="CW29" s="38"/>
      <c r="CX29" s="38"/>
      <c r="CY29" s="38"/>
      <c r="CZ29" s="38"/>
      <c r="DA29" s="38"/>
    </row>
    <row r="30" spans="95:105" hidden="1" x14ac:dyDescent="0.2">
      <c r="CQ30" s="38"/>
      <c r="CR30" s="38"/>
      <c r="CS30" s="38"/>
      <c r="CT30" s="38"/>
      <c r="CU30" s="38"/>
      <c r="CV30" s="38"/>
      <c r="CW30" s="38"/>
      <c r="CX30" s="38"/>
      <c r="CY30" s="38"/>
      <c r="CZ30" s="38"/>
      <c r="DA30" s="38"/>
    </row>
    <row r="31" spans="95:105" hidden="1" x14ac:dyDescent="0.2">
      <c r="CQ31" s="38"/>
      <c r="CR31" s="38"/>
      <c r="CS31" s="38"/>
      <c r="CT31" s="38"/>
      <c r="CU31" s="38"/>
      <c r="CV31" s="38"/>
      <c r="CW31" s="38"/>
      <c r="CX31" s="38"/>
      <c r="CY31" s="38"/>
      <c r="CZ31" s="38"/>
      <c r="DA31" s="38"/>
    </row>
    <row r="32" spans="95:105" hidden="1" x14ac:dyDescent="0.2">
      <c r="CW32" s="38"/>
      <c r="CX32" s="38"/>
      <c r="CY32" s="38"/>
      <c r="CZ32" s="38"/>
      <c r="DA32" s="38"/>
    </row>
    <row r="33" spans="101:105" hidden="1" x14ac:dyDescent="0.2">
      <c r="CW33" s="38"/>
      <c r="CX33" s="38"/>
      <c r="CY33" s="38"/>
      <c r="CZ33" s="38"/>
      <c r="DA33" s="38"/>
    </row>
    <row r="34" spans="101:105" hidden="1" x14ac:dyDescent="0.2">
      <c r="CW34" s="38"/>
      <c r="CX34" s="38"/>
      <c r="CY34" s="38"/>
      <c r="CZ34" s="38"/>
      <c r="DA34" s="38"/>
    </row>
    <row r="35" spans="101:105" hidden="1" x14ac:dyDescent="0.2">
      <c r="CW35" s="38"/>
      <c r="CX35" s="38"/>
      <c r="CY35" s="38"/>
      <c r="CZ35" s="38"/>
      <c r="DA35" s="38"/>
    </row>
    <row r="36" spans="101:105" hidden="1" x14ac:dyDescent="0.2">
      <c r="CW36" s="38"/>
      <c r="CX36" s="38"/>
      <c r="CY36" s="38"/>
      <c r="CZ36" s="38"/>
      <c r="DA36" s="38"/>
    </row>
    <row r="37" spans="101:105" hidden="1" x14ac:dyDescent="0.2">
      <c r="CW37" s="38"/>
      <c r="CX37" s="38"/>
      <c r="CY37" s="38"/>
      <c r="CZ37" s="38"/>
      <c r="DA37" s="38"/>
    </row>
    <row r="38" spans="101:105" hidden="1" x14ac:dyDescent="0.2"/>
    <row r="39" spans="101:105" hidden="1" x14ac:dyDescent="0.2"/>
    <row r="40" spans="101:105" hidden="1" x14ac:dyDescent="0.2"/>
    <row r="41" spans="101:105" hidden="1" x14ac:dyDescent="0.2"/>
    <row r="42" spans="101:105" hidden="1" x14ac:dyDescent="0.2"/>
    <row r="43" spans="101:105" hidden="1" x14ac:dyDescent="0.2"/>
    <row r="44" spans="101:105" hidden="1" x14ac:dyDescent="0.2"/>
    <row r="45" spans="101:105" hidden="1" x14ac:dyDescent="0.2"/>
    <row r="46" spans="101:105" hidden="1" x14ac:dyDescent="0.2"/>
    <row r="47" spans="101:105" hidden="1" x14ac:dyDescent="0.2"/>
    <row r="48" spans="101:105" hidden="1" x14ac:dyDescent="0.2"/>
    <row r="49" spans="104:104" hidden="1" x14ac:dyDescent="0.2"/>
    <row r="50" spans="104:104" hidden="1" x14ac:dyDescent="0.2"/>
    <row r="51" spans="104:104" hidden="1" x14ac:dyDescent="0.2"/>
    <row r="52" spans="104:104" hidden="1" x14ac:dyDescent="0.2"/>
    <row r="53" spans="104:104" hidden="1" x14ac:dyDescent="0.2">
      <c r="CZ53" t="e">
        <f>SUBTOTAL(103,#REF!)</f>
        <v>#REF!</v>
      </c>
    </row>
    <row r="54" spans="104:104" hidden="1" x14ac:dyDescent="0.2"/>
    <row r="55" spans="104:104" hidden="1" x14ac:dyDescent="0.2"/>
    <row r="56" spans="104:104" hidden="1" x14ac:dyDescent="0.2"/>
    <row r="57" spans="104:104" hidden="1" x14ac:dyDescent="0.2"/>
    <row r="58" spans="104:104" hidden="1" x14ac:dyDescent="0.2"/>
    <row r="59" spans="104:104" hidden="1" x14ac:dyDescent="0.2"/>
    <row r="60" spans="104:104" hidden="1" x14ac:dyDescent="0.2"/>
    <row r="61" spans="104:104" hidden="1" x14ac:dyDescent="0.2"/>
    <row r="62" spans="104:104" hidden="1" x14ac:dyDescent="0.2"/>
    <row r="63" spans="104:104" hidden="1" x14ac:dyDescent="0.2"/>
    <row r="64" spans="104:104" hidden="1" x14ac:dyDescent="0.2"/>
    <row r="65" hidden="1" x14ac:dyDescent="0.2"/>
    <row r="66" hidden="1" x14ac:dyDescent="0.2"/>
    <row r="67" hidden="1" x14ac:dyDescent="0.2"/>
    <row r="68" hidden="1" x14ac:dyDescent="0.2"/>
    <row r="69" hidden="1" x14ac:dyDescent="0.2"/>
    <row r="70" hidden="1" x14ac:dyDescent="0.2"/>
    <row r="71" hidden="1" x14ac:dyDescent="0.2"/>
    <row r="72" hidden="1" x14ac:dyDescent="0.2"/>
    <row r="73" hidden="1" x14ac:dyDescent="0.2"/>
    <row r="74" hidden="1" x14ac:dyDescent="0.2"/>
    <row r="75" hidden="1" x14ac:dyDescent="0.2"/>
    <row r="76" hidden="1" x14ac:dyDescent="0.2"/>
    <row r="77" hidden="1" x14ac:dyDescent="0.2"/>
    <row r="78" hidden="1" x14ac:dyDescent="0.2"/>
    <row r="79" hidden="1" x14ac:dyDescent="0.2"/>
    <row r="80" hidden="1" x14ac:dyDescent="0.2"/>
    <row r="81" hidden="1" x14ac:dyDescent="0.2"/>
    <row r="82" hidden="1" x14ac:dyDescent="0.2"/>
    <row r="83" hidden="1" x14ac:dyDescent="0.2"/>
    <row r="84" hidden="1" x14ac:dyDescent="0.2"/>
    <row r="85" hidden="1" x14ac:dyDescent="0.2"/>
    <row r="86" hidden="1" x14ac:dyDescent="0.2"/>
    <row r="87" hidden="1" x14ac:dyDescent="0.2"/>
    <row r="88" hidden="1" x14ac:dyDescent="0.2"/>
    <row r="89" hidden="1" x14ac:dyDescent="0.2"/>
    <row r="90" hidden="1" x14ac:dyDescent="0.2"/>
    <row r="91" hidden="1" x14ac:dyDescent="0.2"/>
    <row r="92" hidden="1" x14ac:dyDescent="0.2"/>
    <row r="93" hidden="1" x14ac:dyDescent="0.2"/>
    <row r="94" hidden="1" x14ac:dyDescent="0.2"/>
    <row r="95" hidden="1" x14ac:dyDescent="0.2"/>
    <row r="96" hidden="1" x14ac:dyDescent="0.2"/>
    <row r="97" hidden="1" x14ac:dyDescent="0.2"/>
    <row r="98" hidden="1" x14ac:dyDescent="0.2"/>
    <row r="99" hidden="1" x14ac:dyDescent="0.2"/>
    <row r="100" hidden="1" x14ac:dyDescent="0.2"/>
    <row r="101" hidden="1" x14ac:dyDescent="0.2"/>
    <row r="102" hidden="1" x14ac:dyDescent="0.2"/>
    <row r="103" hidden="1" x14ac:dyDescent="0.2"/>
    <row r="104" hidden="1" x14ac:dyDescent="0.2"/>
    <row r="105" hidden="1" x14ac:dyDescent="0.2"/>
    <row r="106" hidden="1" x14ac:dyDescent="0.2"/>
    <row r="107" hidden="1" x14ac:dyDescent="0.2"/>
    <row r="108" hidden="1" x14ac:dyDescent="0.2"/>
    <row r="109" hidden="1" x14ac:dyDescent="0.2"/>
    <row r="110" hidden="1" x14ac:dyDescent="0.2"/>
    <row r="111" hidden="1" x14ac:dyDescent="0.2"/>
    <row r="112" hidden="1" x14ac:dyDescent="0.2"/>
    <row r="113" hidden="1" x14ac:dyDescent="0.2"/>
    <row r="114" hidden="1" x14ac:dyDescent="0.2"/>
    <row r="115" hidden="1" x14ac:dyDescent="0.2"/>
    <row r="116" hidden="1" x14ac:dyDescent="0.2"/>
    <row r="117" hidden="1" x14ac:dyDescent="0.2"/>
    <row r="118" hidden="1" x14ac:dyDescent="0.2"/>
    <row r="119" hidden="1" x14ac:dyDescent="0.2"/>
    <row r="120" hidden="1" x14ac:dyDescent="0.2"/>
    <row r="121" hidden="1" x14ac:dyDescent="0.2"/>
    <row r="122" hidden="1" x14ac:dyDescent="0.2"/>
    <row r="123" hidden="1" x14ac:dyDescent="0.2"/>
    <row r="124" hidden="1" x14ac:dyDescent="0.2"/>
    <row r="125" hidden="1" x14ac:dyDescent="0.2"/>
    <row r="126" hidden="1" x14ac:dyDescent="0.2"/>
    <row r="127" hidden="1" x14ac:dyDescent="0.2"/>
    <row r="128" hidden="1" x14ac:dyDescent="0.2"/>
    <row r="129" hidden="1" x14ac:dyDescent="0.2"/>
    <row r="130" hidden="1" x14ac:dyDescent="0.2"/>
    <row r="131" hidden="1" x14ac:dyDescent="0.2"/>
    <row r="132" hidden="1" x14ac:dyDescent="0.2"/>
    <row r="133" hidden="1" x14ac:dyDescent="0.2"/>
    <row r="134" hidden="1" x14ac:dyDescent="0.2"/>
    <row r="135" hidden="1" x14ac:dyDescent="0.2"/>
    <row r="136" hidden="1" x14ac:dyDescent="0.2"/>
    <row r="137" hidden="1" x14ac:dyDescent="0.2"/>
    <row r="138" hidden="1" x14ac:dyDescent="0.2"/>
    <row r="139" hidden="1" x14ac:dyDescent="0.2"/>
    <row r="140" hidden="1" x14ac:dyDescent="0.2"/>
    <row r="141" hidden="1" x14ac:dyDescent="0.2"/>
    <row r="142" hidden="1" x14ac:dyDescent="0.2"/>
    <row r="143" hidden="1" x14ac:dyDescent="0.2"/>
    <row r="144" hidden="1" x14ac:dyDescent="0.2"/>
    <row r="145" hidden="1" x14ac:dyDescent="0.2"/>
    <row r="146" hidden="1" x14ac:dyDescent="0.2"/>
    <row r="147" hidden="1" x14ac:dyDescent="0.2"/>
    <row r="148" hidden="1" x14ac:dyDescent="0.2"/>
    <row r="149" hidden="1" x14ac:dyDescent="0.2"/>
    <row r="150" hidden="1" x14ac:dyDescent="0.2"/>
    <row r="151" hidden="1" x14ac:dyDescent="0.2"/>
    <row r="152" hidden="1" x14ac:dyDescent="0.2"/>
    <row r="153" hidden="1" x14ac:dyDescent="0.2"/>
    <row r="154" hidden="1" x14ac:dyDescent="0.2"/>
    <row r="155" hidden="1" x14ac:dyDescent="0.2"/>
    <row r="156" hidden="1" x14ac:dyDescent="0.2"/>
    <row r="157" hidden="1" x14ac:dyDescent="0.2"/>
    <row r="158" hidden="1" x14ac:dyDescent="0.2"/>
    <row r="159" hidden="1" x14ac:dyDescent="0.2"/>
    <row r="160" hidden="1" x14ac:dyDescent="0.2"/>
    <row r="161" hidden="1" x14ac:dyDescent="0.2"/>
    <row r="162" hidden="1" x14ac:dyDescent="0.2"/>
    <row r="163" hidden="1" x14ac:dyDescent="0.2"/>
    <row r="164" hidden="1" x14ac:dyDescent="0.2"/>
    <row r="165" hidden="1" x14ac:dyDescent="0.2"/>
    <row r="166" hidden="1" x14ac:dyDescent="0.2"/>
    <row r="167" hidden="1" x14ac:dyDescent="0.2"/>
    <row r="168" hidden="1" x14ac:dyDescent="0.2"/>
    <row r="169" hidden="1" x14ac:dyDescent="0.2"/>
    <row r="170" hidden="1" x14ac:dyDescent="0.2"/>
    <row r="171" hidden="1" x14ac:dyDescent="0.2"/>
    <row r="172" hidden="1" x14ac:dyDescent="0.2"/>
    <row r="173" hidden="1" x14ac:dyDescent="0.2"/>
    <row r="174" hidden="1" x14ac:dyDescent="0.2"/>
    <row r="175" hidden="1" x14ac:dyDescent="0.2"/>
    <row r="176" hidden="1" x14ac:dyDescent="0.2"/>
    <row r="177" hidden="1" x14ac:dyDescent="0.2"/>
    <row r="178" hidden="1" x14ac:dyDescent="0.2"/>
    <row r="179" hidden="1" x14ac:dyDescent="0.2"/>
    <row r="180" hidden="1" x14ac:dyDescent="0.2"/>
    <row r="181" hidden="1" x14ac:dyDescent="0.2"/>
    <row r="182" hidden="1" x14ac:dyDescent="0.2"/>
    <row r="183" hidden="1" x14ac:dyDescent="0.2"/>
    <row r="184" hidden="1" x14ac:dyDescent="0.2"/>
    <row r="185" hidden="1" x14ac:dyDescent="0.2"/>
    <row r="186" hidden="1" x14ac:dyDescent="0.2"/>
    <row r="187" hidden="1" x14ac:dyDescent="0.2"/>
    <row r="188" hidden="1" x14ac:dyDescent="0.2"/>
    <row r="189" hidden="1" x14ac:dyDescent="0.2"/>
    <row r="190" hidden="1" x14ac:dyDescent="0.2"/>
    <row r="191" hidden="1" x14ac:dyDescent="0.2"/>
    <row r="192" hidden="1" x14ac:dyDescent="0.2"/>
    <row r="193" hidden="1" x14ac:dyDescent="0.2"/>
    <row r="194" hidden="1" x14ac:dyDescent="0.2"/>
    <row r="195" hidden="1" x14ac:dyDescent="0.2"/>
    <row r="196" hidden="1" x14ac:dyDescent="0.2"/>
    <row r="197" hidden="1" x14ac:dyDescent="0.2"/>
    <row r="198" hidden="1" x14ac:dyDescent="0.2"/>
    <row r="199" hidden="1" x14ac:dyDescent="0.2"/>
    <row r="200" hidden="1" x14ac:dyDescent="0.2"/>
    <row r="201" hidden="1" x14ac:dyDescent="0.2"/>
    <row r="202" hidden="1" x14ac:dyDescent="0.2"/>
    <row r="203" hidden="1" x14ac:dyDescent="0.2"/>
    <row r="204" hidden="1" x14ac:dyDescent="0.2"/>
    <row r="205" hidden="1" x14ac:dyDescent="0.2"/>
    <row r="206" hidden="1" x14ac:dyDescent="0.2"/>
    <row r="207" hidden="1" x14ac:dyDescent="0.2"/>
    <row r="208" hidden="1" x14ac:dyDescent="0.2"/>
    <row r="209" hidden="1" x14ac:dyDescent="0.2"/>
    <row r="210" hidden="1" x14ac:dyDescent="0.2"/>
    <row r="211" hidden="1" x14ac:dyDescent="0.2"/>
    <row r="212" hidden="1" x14ac:dyDescent="0.2"/>
    <row r="213" hidden="1" x14ac:dyDescent="0.2"/>
    <row r="214" hidden="1" x14ac:dyDescent="0.2"/>
    <row r="215" hidden="1" x14ac:dyDescent="0.2"/>
    <row r="216" hidden="1" x14ac:dyDescent="0.2"/>
    <row r="217" hidden="1" x14ac:dyDescent="0.2"/>
    <row r="218" hidden="1" x14ac:dyDescent="0.2"/>
    <row r="219" hidden="1" x14ac:dyDescent="0.2"/>
    <row r="220" hidden="1" x14ac:dyDescent="0.2"/>
    <row r="221" hidden="1" x14ac:dyDescent="0.2"/>
    <row r="222" hidden="1" x14ac:dyDescent="0.2"/>
    <row r="223" hidden="1" x14ac:dyDescent="0.2"/>
    <row r="224" hidden="1" x14ac:dyDescent="0.2"/>
    <row r="225" hidden="1" x14ac:dyDescent="0.2"/>
    <row r="226" hidden="1" x14ac:dyDescent="0.2"/>
    <row r="227" hidden="1" x14ac:dyDescent="0.2"/>
    <row r="228" hidden="1" x14ac:dyDescent="0.2"/>
    <row r="229" hidden="1" x14ac:dyDescent="0.2"/>
    <row r="230" hidden="1" x14ac:dyDescent="0.2"/>
    <row r="231" hidden="1" x14ac:dyDescent="0.2"/>
    <row r="232" hidden="1" x14ac:dyDescent="0.2"/>
    <row r="233" hidden="1" x14ac:dyDescent="0.2"/>
    <row r="234" hidden="1" x14ac:dyDescent="0.2"/>
    <row r="235" hidden="1" x14ac:dyDescent="0.2"/>
    <row r="236" hidden="1" x14ac:dyDescent="0.2"/>
    <row r="237" hidden="1" x14ac:dyDescent="0.2"/>
    <row r="238" hidden="1" x14ac:dyDescent="0.2"/>
    <row r="239" hidden="1" x14ac:dyDescent="0.2"/>
    <row r="240" hidden="1" x14ac:dyDescent="0.2"/>
    <row r="241" hidden="1" x14ac:dyDescent="0.2"/>
    <row r="242" hidden="1" x14ac:dyDescent="0.2"/>
    <row r="243" hidden="1" x14ac:dyDescent="0.2"/>
    <row r="244" hidden="1" x14ac:dyDescent="0.2"/>
    <row r="245" hidden="1" x14ac:dyDescent="0.2"/>
    <row r="246" hidden="1" x14ac:dyDescent="0.2"/>
    <row r="247" hidden="1" x14ac:dyDescent="0.2"/>
    <row r="248" hidden="1" x14ac:dyDescent="0.2"/>
    <row r="249" hidden="1" x14ac:dyDescent="0.2"/>
    <row r="250" hidden="1" x14ac:dyDescent="0.2"/>
    <row r="251" hidden="1" x14ac:dyDescent="0.2"/>
    <row r="252" hidden="1" x14ac:dyDescent="0.2"/>
    <row r="253" hidden="1" x14ac:dyDescent="0.2"/>
    <row r="254" hidden="1" x14ac:dyDescent="0.2"/>
    <row r="255" hidden="1" x14ac:dyDescent="0.2"/>
    <row r="256" hidden="1" x14ac:dyDescent="0.2"/>
    <row r="257" hidden="1" x14ac:dyDescent="0.2"/>
    <row r="258" hidden="1" x14ac:dyDescent="0.2"/>
    <row r="259" hidden="1" x14ac:dyDescent="0.2"/>
    <row r="260" hidden="1" x14ac:dyDescent="0.2"/>
    <row r="261" hidden="1" x14ac:dyDescent="0.2"/>
    <row r="262" hidden="1" x14ac:dyDescent="0.2"/>
    <row r="263" hidden="1" x14ac:dyDescent="0.2"/>
    <row r="264" hidden="1" x14ac:dyDescent="0.2"/>
    <row r="265" hidden="1" x14ac:dyDescent="0.2"/>
    <row r="266" hidden="1" x14ac:dyDescent="0.2"/>
    <row r="267" hidden="1" x14ac:dyDescent="0.2"/>
    <row r="268" hidden="1" x14ac:dyDescent="0.2"/>
    <row r="269" hidden="1" x14ac:dyDescent="0.2"/>
    <row r="270" hidden="1" x14ac:dyDescent="0.2"/>
    <row r="271" hidden="1" x14ac:dyDescent="0.2"/>
    <row r="272" hidden="1" x14ac:dyDescent="0.2"/>
    <row r="273" hidden="1" x14ac:dyDescent="0.2"/>
    <row r="274" hidden="1" x14ac:dyDescent="0.2"/>
    <row r="275" hidden="1" x14ac:dyDescent="0.2"/>
    <row r="276" hidden="1" x14ac:dyDescent="0.2"/>
    <row r="277" hidden="1" x14ac:dyDescent="0.2"/>
    <row r="278" hidden="1" x14ac:dyDescent="0.2"/>
    <row r="279" hidden="1" x14ac:dyDescent="0.2"/>
    <row r="280" hidden="1" x14ac:dyDescent="0.2"/>
    <row r="281" hidden="1" x14ac:dyDescent="0.2"/>
    <row r="282" hidden="1" x14ac:dyDescent="0.2"/>
    <row r="283" hidden="1" x14ac:dyDescent="0.2"/>
    <row r="284" hidden="1" x14ac:dyDescent="0.2"/>
    <row r="285" hidden="1" x14ac:dyDescent="0.2"/>
    <row r="286" hidden="1" x14ac:dyDescent="0.2"/>
    <row r="287" hidden="1" x14ac:dyDescent="0.2"/>
    <row r="288" hidden="1" x14ac:dyDescent="0.2"/>
    <row r="289" hidden="1" x14ac:dyDescent="0.2"/>
    <row r="290" hidden="1" x14ac:dyDescent="0.2"/>
    <row r="291" hidden="1" x14ac:dyDescent="0.2"/>
    <row r="292" hidden="1" x14ac:dyDescent="0.2"/>
    <row r="293" hidden="1" x14ac:dyDescent="0.2"/>
    <row r="294" hidden="1" x14ac:dyDescent="0.2"/>
    <row r="295" hidden="1" x14ac:dyDescent="0.2"/>
    <row r="296" hidden="1" x14ac:dyDescent="0.2"/>
    <row r="297" hidden="1" x14ac:dyDescent="0.2"/>
    <row r="298" hidden="1" x14ac:dyDescent="0.2"/>
    <row r="299" hidden="1" x14ac:dyDescent="0.2"/>
    <row r="300" hidden="1" x14ac:dyDescent="0.2"/>
    <row r="301" hidden="1" x14ac:dyDescent="0.2"/>
    <row r="302" hidden="1" x14ac:dyDescent="0.2"/>
    <row r="303" hidden="1" x14ac:dyDescent="0.2"/>
    <row r="304" hidden="1" x14ac:dyDescent="0.2"/>
    <row r="305" hidden="1" x14ac:dyDescent="0.2"/>
    <row r="306" hidden="1" x14ac:dyDescent="0.2"/>
    <row r="307" hidden="1" x14ac:dyDescent="0.2"/>
    <row r="308" hidden="1" x14ac:dyDescent="0.2"/>
    <row r="309" hidden="1" x14ac:dyDescent="0.2"/>
    <row r="310" hidden="1" x14ac:dyDescent="0.2"/>
    <row r="311" hidden="1" x14ac:dyDescent="0.2"/>
    <row r="312" hidden="1" x14ac:dyDescent="0.2"/>
    <row r="313" hidden="1" x14ac:dyDescent="0.2"/>
    <row r="314" hidden="1" x14ac:dyDescent="0.2"/>
    <row r="315" hidden="1" x14ac:dyDescent="0.2"/>
    <row r="316" hidden="1" x14ac:dyDescent="0.2"/>
    <row r="317" hidden="1" x14ac:dyDescent="0.2"/>
    <row r="318" hidden="1" x14ac:dyDescent="0.2"/>
    <row r="319" hidden="1" x14ac:dyDescent="0.2"/>
    <row r="320" hidden="1" x14ac:dyDescent="0.2"/>
    <row r="321" hidden="1" x14ac:dyDescent="0.2"/>
    <row r="322" hidden="1" x14ac:dyDescent="0.2"/>
    <row r="323" hidden="1" x14ac:dyDescent="0.2"/>
    <row r="324" hidden="1" x14ac:dyDescent="0.2"/>
    <row r="325" hidden="1" x14ac:dyDescent="0.2"/>
    <row r="326" hidden="1" x14ac:dyDescent="0.2"/>
    <row r="327" hidden="1" x14ac:dyDescent="0.2"/>
    <row r="328" hidden="1" x14ac:dyDescent="0.2"/>
    <row r="329" hidden="1" x14ac:dyDescent="0.2"/>
    <row r="330" hidden="1" x14ac:dyDescent="0.2"/>
    <row r="331" hidden="1" x14ac:dyDescent="0.2"/>
    <row r="332" hidden="1" x14ac:dyDescent="0.2"/>
    <row r="333" hidden="1" x14ac:dyDescent="0.2"/>
    <row r="334" hidden="1" x14ac:dyDescent="0.2"/>
    <row r="335" hidden="1" x14ac:dyDescent="0.2"/>
    <row r="336" hidden="1" x14ac:dyDescent="0.2"/>
    <row r="337" hidden="1" x14ac:dyDescent="0.2"/>
    <row r="338" hidden="1" x14ac:dyDescent="0.2"/>
    <row r="339" hidden="1" x14ac:dyDescent="0.2"/>
    <row r="340" hidden="1" x14ac:dyDescent="0.2"/>
    <row r="341" hidden="1" x14ac:dyDescent="0.2"/>
    <row r="342" hidden="1" x14ac:dyDescent="0.2"/>
    <row r="343" hidden="1" x14ac:dyDescent="0.2"/>
    <row r="344" hidden="1" x14ac:dyDescent="0.2"/>
    <row r="345" hidden="1" x14ac:dyDescent="0.2"/>
    <row r="346" hidden="1" x14ac:dyDescent="0.2"/>
    <row r="347" hidden="1" x14ac:dyDescent="0.2"/>
    <row r="348" hidden="1" x14ac:dyDescent="0.2"/>
    <row r="349" hidden="1" x14ac:dyDescent="0.2"/>
    <row r="350" hidden="1" x14ac:dyDescent="0.2"/>
    <row r="351" hidden="1" x14ac:dyDescent="0.2"/>
    <row r="352" hidden="1" x14ac:dyDescent="0.2"/>
    <row r="353" hidden="1" x14ac:dyDescent="0.2"/>
    <row r="354" hidden="1" x14ac:dyDescent="0.2"/>
    <row r="355" hidden="1" x14ac:dyDescent="0.2"/>
    <row r="356" hidden="1" x14ac:dyDescent="0.2"/>
    <row r="357" hidden="1" x14ac:dyDescent="0.2"/>
    <row r="358" hidden="1" x14ac:dyDescent="0.2"/>
    <row r="359" hidden="1" x14ac:dyDescent="0.2"/>
    <row r="360" hidden="1" x14ac:dyDescent="0.2"/>
    <row r="361" hidden="1" x14ac:dyDescent="0.2"/>
    <row r="362" hidden="1" x14ac:dyDescent="0.2"/>
    <row r="363" hidden="1" x14ac:dyDescent="0.2"/>
    <row r="364" hidden="1" x14ac:dyDescent="0.2"/>
    <row r="365" hidden="1" x14ac:dyDescent="0.2"/>
    <row r="366" hidden="1" x14ac:dyDescent="0.2"/>
    <row r="367" hidden="1" x14ac:dyDescent="0.2"/>
    <row r="368" hidden="1" x14ac:dyDescent="0.2"/>
    <row r="369" hidden="1" x14ac:dyDescent="0.2"/>
    <row r="370" hidden="1" x14ac:dyDescent="0.2"/>
    <row r="371" hidden="1" x14ac:dyDescent="0.2"/>
    <row r="372" hidden="1" x14ac:dyDescent="0.2"/>
    <row r="373" hidden="1" x14ac:dyDescent="0.2"/>
    <row r="374" hidden="1" x14ac:dyDescent="0.2"/>
    <row r="375" hidden="1" x14ac:dyDescent="0.2"/>
    <row r="376" hidden="1" x14ac:dyDescent="0.2"/>
    <row r="377" hidden="1" x14ac:dyDescent="0.2"/>
    <row r="378" hidden="1" x14ac:dyDescent="0.2"/>
    <row r="379" hidden="1" x14ac:dyDescent="0.2"/>
    <row r="380" hidden="1" x14ac:dyDescent="0.2"/>
    <row r="381" hidden="1" x14ac:dyDescent="0.2"/>
    <row r="382" hidden="1" x14ac:dyDescent="0.2"/>
    <row r="383" hidden="1" x14ac:dyDescent="0.2"/>
    <row r="384" hidden="1" x14ac:dyDescent="0.2"/>
    <row r="385" hidden="1" x14ac:dyDescent="0.2"/>
    <row r="386" hidden="1" x14ac:dyDescent="0.2"/>
    <row r="387" hidden="1" x14ac:dyDescent="0.2"/>
    <row r="388" hidden="1" x14ac:dyDescent="0.2"/>
    <row r="389" hidden="1" x14ac:dyDescent="0.2"/>
    <row r="390" hidden="1" x14ac:dyDescent="0.2"/>
    <row r="391" hidden="1" x14ac:dyDescent="0.2"/>
    <row r="392" hidden="1" x14ac:dyDescent="0.2"/>
    <row r="393" hidden="1" x14ac:dyDescent="0.2"/>
    <row r="394" hidden="1" x14ac:dyDescent="0.2"/>
    <row r="395" hidden="1" x14ac:dyDescent="0.2"/>
    <row r="396" hidden="1" x14ac:dyDescent="0.2"/>
    <row r="397" hidden="1" x14ac:dyDescent="0.2"/>
    <row r="398" hidden="1" x14ac:dyDescent="0.2"/>
    <row r="399" hidden="1" x14ac:dyDescent="0.2"/>
    <row r="400" hidden="1" x14ac:dyDescent="0.2"/>
    <row r="401" hidden="1" x14ac:dyDescent="0.2"/>
    <row r="402" hidden="1" x14ac:dyDescent="0.2"/>
    <row r="403" hidden="1" x14ac:dyDescent="0.2"/>
    <row r="404" hidden="1" x14ac:dyDescent="0.2"/>
    <row r="405" hidden="1" x14ac:dyDescent="0.2"/>
    <row r="406" hidden="1" x14ac:dyDescent="0.2"/>
    <row r="407" hidden="1" x14ac:dyDescent="0.2"/>
    <row r="408" hidden="1" x14ac:dyDescent="0.2"/>
    <row r="409" hidden="1" x14ac:dyDescent="0.2"/>
    <row r="410" hidden="1" x14ac:dyDescent="0.2"/>
    <row r="411" hidden="1" x14ac:dyDescent="0.2"/>
    <row r="412" hidden="1" x14ac:dyDescent="0.2"/>
    <row r="413" hidden="1" x14ac:dyDescent="0.2"/>
    <row r="414" hidden="1" x14ac:dyDescent="0.2"/>
    <row r="415" hidden="1" x14ac:dyDescent="0.2"/>
    <row r="416" hidden="1" x14ac:dyDescent="0.2"/>
    <row r="417" hidden="1" x14ac:dyDescent="0.2"/>
    <row r="418" hidden="1" x14ac:dyDescent="0.2"/>
    <row r="419" hidden="1" x14ac:dyDescent="0.2"/>
    <row r="420" hidden="1" x14ac:dyDescent="0.2"/>
    <row r="421" hidden="1" x14ac:dyDescent="0.2"/>
    <row r="422" hidden="1" x14ac:dyDescent="0.2"/>
    <row r="423" hidden="1" x14ac:dyDescent="0.2"/>
    <row r="424" hidden="1" x14ac:dyDescent="0.2"/>
    <row r="425" hidden="1" x14ac:dyDescent="0.2"/>
    <row r="426" hidden="1" x14ac:dyDescent="0.2"/>
    <row r="427" hidden="1" x14ac:dyDescent="0.2"/>
    <row r="428" hidden="1" x14ac:dyDescent="0.2"/>
    <row r="429" hidden="1" x14ac:dyDescent="0.2"/>
    <row r="430" hidden="1" x14ac:dyDescent="0.2"/>
    <row r="431" hidden="1" x14ac:dyDescent="0.2"/>
    <row r="432" hidden="1" x14ac:dyDescent="0.2"/>
    <row r="433" hidden="1" x14ac:dyDescent="0.2"/>
    <row r="434" hidden="1" x14ac:dyDescent="0.2"/>
    <row r="435" hidden="1" x14ac:dyDescent="0.2"/>
    <row r="436" hidden="1" x14ac:dyDescent="0.2"/>
    <row r="437" hidden="1" x14ac:dyDescent="0.2"/>
    <row r="438" hidden="1" x14ac:dyDescent="0.2"/>
    <row r="439" hidden="1" x14ac:dyDescent="0.2"/>
    <row r="440" hidden="1" x14ac:dyDescent="0.2"/>
    <row r="441" hidden="1" x14ac:dyDescent="0.2"/>
    <row r="442" hidden="1" x14ac:dyDescent="0.2"/>
    <row r="443" hidden="1" x14ac:dyDescent="0.2"/>
    <row r="444" hidden="1" x14ac:dyDescent="0.2"/>
    <row r="445" hidden="1" x14ac:dyDescent="0.2"/>
    <row r="446" hidden="1" x14ac:dyDescent="0.2"/>
    <row r="447" hidden="1" x14ac:dyDescent="0.2"/>
    <row r="448" hidden="1" x14ac:dyDescent="0.2"/>
    <row r="449" hidden="1" x14ac:dyDescent="0.2"/>
    <row r="450" hidden="1" x14ac:dyDescent="0.2"/>
    <row r="451" hidden="1" x14ac:dyDescent="0.2"/>
    <row r="452" hidden="1" x14ac:dyDescent="0.2"/>
    <row r="453" hidden="1" x14ac:dyDescent="0.2"/>
    <row r="454" hidden="1" x14ac:dyDescent="0.2"/>
    <row r="455" hidden="1" x14ac:dyDescent="0.2"/>
    <row r="456" hidden="1" x14ac:dyDescent="0.2"/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2529" r:id="rId3" name="Button 1">
              <controlPr defaultSize="0" print="0" autoFill="0" autoPict="0" macro="[0]!Planilha2.AbrirSeleçãodeTransferencia">
                <anchor moveWithCells="1" sizeWithCells="1">
                  <from>
                    <xdr:col>0</xdr:col>
                    <xdr:colOff>0</xdr:colOff>
                    <xdr:row>0</xdr:row>
                    <xdr:rowOff>0</xdr:rowOff>
                  </from>
                  <to>
                    <xdr:col>3</xdr:col>
                    <xdr:colOff>352425</xdr:colOff>
                    <xdr:row>0</xdr:row>
                    <xdr:rowOff>295275</xdr:rowOff>
                  </to>
                </anchor>
              </controlPr>
            </control>
          </mc:Choice>
        </mc:AlternateContent>
      </controls>
    </mc:Choice>
  </mc:AlternateContent>
  <tableParts count="1">
    <tablePart r:id="rId4"/>
  </tableParts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ilha1">
    <tabColor theme="1"/>
  </sheetPr>
  <dimension ref="A1:BW87"/>
  <sheetViews>
    <sheetView showGridLines="0" showRowColHeaders="0" topLeftCell="BE1" workbookViewId="0">
      <selection activeCell="BU5" sqref="BU5"/>
    </sheetView>
  </sheetViews>
  <sheetFormatPr defaultRowHeight="12.75" x14ac:dyDescent="0.2"/>
  <cols>
    <col min="1" max="1" width="100.42578125" style="6" customWidth="1"/>
    <col min="2" max="2" width="8.42578125" style="6" customWidth="1"/>
    <col min="3" max="3" width="10.140625" style="6" customWidth="1"/>
    <col min="4" max="4" width="24" style="6" customWidth="1"/>
    <col min="5" max="5" width="12.5703125" style="6" customWidth="1"/>
    <col min="6" max="6" width="2.5703125" style="6" customWidth="1"/>
    <col min="7" max="7" width="12.85546875" style="6" customWidth="1"/>
    <col min="8" max="8" width="29.42578125" style="6" customWidth="1"/>
    <col min="9" max="9" width="2.5703125" style="6" customWidth="1"/>
    <col min="10" max="10" width="28.140625" style="6" customWidth="1"/>
    <col min="11" max="11" width="21.140625" style="6" customWidth="1"/>
    <col min="12" max="12" width="2.5703125" style="6" customWidth="1"/>
    <col min="13" max="13" width="12.85546875" style="6" customWidth="1"/>
    <col min="14" max="14" width="14.28515625" style="6" customWidth="1"/>
    <col min="15" max="15" width="2.5703125" style="6" customWidth="1"/>
    <col min="16" max="16" width="3.5703125" style="6" customWidth="1"/>
    <col min="17" max="17" width="11.5703125" style="6" customWidth="1"/>
    <col min="18" max="18" width="3.5703125" style="6" customWidth="1"/>
    <col min="19" max="19" width="11.5703125" style="6" customWidth="1"/>
    <col min="20" max="20" width="3.5703125" style="6" customWidth="1"/>
    <col min="21" max="21" width="11.5703125" style="6" customWidth="1"/>
    <col min="22" max="22" width="5.5703125" style="6" customWidth="1"/>
    <col min="23" max="23" width="23" style="6" customWidth="1"/>
    <col min="24" max="24" width="3.5703125" style="6" customWidth="1"/>
    <col min="25" max="25" width="41.42578125" style="6" customWidth="1"/>
    <col min="26" max="26" width="2.5703125" style="6" customWidth="1"/>
    <col min="27" max="27" width="12.85546875" style="6" customWidth="1"/>
    <col min="28" max="28" width="13.140625" style="6" customWidth="1"/>
    <col min="29" max="29" width="2.5703125" style="6" customWidth="1"/>
    <col min="30" max="30" width="12.85546875" style="6" customWidth="1"/>
    <col min="31" max="31" width="7.140625" style="6" customWidth="1"/>
    <col min="32" max="32" width="2.5703125" style="6" customWidth="1"/>
    <col min="33" max="33" width="23.5703125" style="6" customWidth="1"/>
    <col min="34" max="34" width="2.5703125" style="6" customWidth="1"/>
    <col min="35" max="35" width="12.85546875" style="6" customWidth="1"/>
    <col min="36" max="36" width="18.85546875" style="6" customWidth="1"/>
    <col min="37" max="37" width="2.5703125" style="6" customWidth="1"/>
    <col min="38" max="38" width="12.85546875" style="6" customWidth="1"/>
    <col min="39" max="39" width="16.5703125" style="6" customWidth="1"/>
    <col min="40" max="40" width="2.5703125" style="6" customWidth="1"/>
    <col min="41" max="41" width="12.85546875" style="6" customWidth="1"/>
    <col min="42" max="42" width="29.42578125" style="6" customWidth="1"/>
    <col min="43" max="43" width="2.5703125" style="6" customWidth="1"/>
    <col min="44" max="44" width="12.85546875" style="6" customWidth="1"/>
    <col min="45" max="45" width="18.85546875" style="6" customWidth="1"/>
    <col min="46" max="46" width="2.5703125" style="6" customWidth="1"/>
    <col min="47" max="47" width="12.85546875" style="6" customWidth="1"/>
    <col min="48" max="48" width="38.140625" style="6" customWidth="1"/>
    <col min="49" max="49" width="2.5703125" style="6" customWidth="1"/>
    <col min="50" max="50" width="12.85546875" style="6" customWidth="1"/>
    <col min="51" max="51" width="21.5703125" style="6" customWidth="1"/>
    <col min="52" max="52" width="2.5703125" style="6" customWidth="1"/>
    <col min="53" max="53" width="9.85546875" style="6" customWidth="1"/>
    <col min="54" max="54" width="10.7109375" style="6" customWidth="1"/>
    <col min="55" max="55" width="3.85546875" style="6" customWidth="1"/>
    <col min="56" max="56" width="14.140625" style="6" customWidth="1"/>
    <col min="57" max="57" width="2.5703125" style="6" customWidth="1"/>
    <col min="58" max="58" width="12.85546875" style="6" customWidth="1"/>
    <col min="59" max="59" width="31.28515625" style="6" customWidth="1"/>
    <col min="60" max="60" width="8.42578125" style="6" customWidth="1"/>
    <col min="61" max="61" width="2.5703125" style="6" customWidth="1"/>
    <col min="62" max="62" width="8.42578125" style="6" customWidth="1"/>
    <col min="63" max="63" width="21" style="6" customWidth="1"/>
    <col min="64" max="64" width="2.5703125" style="6" customWidth="1"/>
    <col min="65" max="65" width="17.5703125" style="6" customWidth="1"/>
    <col min="66" max="66" width="2.5703125" style="6" customWidth="1"/>
    <col min="67" max="67" width="11.85546875" style="6" customWidth="1"/>
    <col min="68" max="68" width="41.7109375" style="6" customWidth="1"/>
    <col min="69" max="69" width="2.5703125" style="6" customWidth="1"/>
    <col min="70" max="70" width="17.5703125" style="6" customWidth="1"/>
    <col min="71" max="71" width="2.5703125" style="6" customWidth="1"/>
    <col min="72" max="72" width="10.140625" style="6" customWidth="1"/>
    <col min="73" max="73" width="8.42578125" style="6" customWidth="1"/>
    <col min="74" max="74" width="29" style="6" customWidth="1"/>
    <col min="75" max="16384" width="9.140625" style="6"/>
  </cols>
  <sheetData>
    <row r="1" spans="1:75" s="2" customFormat="1" ht="17.100000000000001" customHeight="1" x14ac:dyDescent="0.2">
      <c r="A1" s="98" t="s">
        <v>31</v>
      </c>
      <c r="F1" s="15"/>
      <c r="I1" s="15"/>
      <c r="K1" s="22"/>
      <c r="L1" s="15"/>
      <c r="O1" s="15"/>
      <c r="Z1" s="34"/>
      <c r="AA1" s="34"/>
      <c r="AB1" s="34"/>
      <c r="AC1" s="15"/>
      <c r="AF1" s="19"/>
      <c r="AG1" s="19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5"/>
      <c r="BA1" s="25"/>
      <c r="BB1" s="25"/>
      <c r="BE1" s="28"/>
      <c r="BF1" s="28"/>
      <c r="BG1" s="28"/>
      <c r="BH1" s="28"/>
      <c r="BI1" s="37"/>
      <c r="BJ1" s="37"/>
      <c r="BK1" s="37"/>
      <c r="BL1" s="53"/>
      <c r="BM1" s="53"/>
      <c r="BN1" s="53"/>
      <c r="BO1" s="53"/>
      <c r="BP1" s="53"/>
      <c r="BQ1" s="53"/>
      <c r="BR1" s="53"/>
      <c r="BS1" s="73"/>
      <c r="BT1" s="73"/>
      <c r="BU1" s="73"/>
    </row>
    <row r="2" spans="1:75" s="2" customFormat="1" ht="17.100000000000001" customHeight="1" x14ac:dyDescent="0.2">
      <c r="A2" s="98"/>
      <c r="B2" s="98" t="s">
        <v>10</v>
      </c>
      <c r="C2" s="98"/>
      <c r="D2" s="98"/>
      <c r="E2" s="98"/>
      <c r="F2" s="15"/>
      <c r="G2" s="98" t="s">
        <v>33</v>
      </c>
      <c r="H2" s="98"/>
      <c r="I2" s="15"/>
      <c r="J2" s="98" t="s">
        <v>127</v>
      </c>
      <c r="K2" s="98"/>
      <c r="L2" s="15"/>
      <c r="M2" s="98" t="s">
        <v>172</v>
      </c>
      <c r="N2" s="98"/>
      <c r="O2" s="15"/>
      <c r="P2" s="98" t="s">
        <v>186</v>
      </c>
      <c r="Q2" s="98"/>
      <c r="R2" s="98"/>
      <c r="S2" s="98"/>
      <c r="T2" s="98"/>
      <c r="U2" s="98"/>
      <c r="V2" s="98"/>
      <c r="W2" s="98"/>
      <c r="X2" s="98"/>
      <c r="Y2" s="98"/>
      <c r="Z2" s="34"/>
      <c r="AA2" s="98" t="s">
        <v>292</v>
      </c>
      <c r="AB2" s="98"/>
      <c r="AC2" s="15"/>
      <c r="AD2" s="98" t="s">
        <v>323</v>
      </c>
      <c r="AE2" s="98"/>
      <c r="AF2" s="19"/>
      <c r="AG2" s="19" t="s">
        <v>323</v>
      </c>
      <c r="AH2" s="22"/>
      <c r="AI2" s="98" t="s">
        <v>373</v>
      </c>
      <c r="AJ2" s="98"/>
      <c r="AK2" s="22"/>
      <c r="AL2" s="98" t="s">
        <v>410</v>
      </c>
      <c r="AM2" s="98"/>
      <c r="AN2" s="22"/>
      <c r="AO2" s="98" t="s">
        <v>33</v>
      </c>
      <c r="AP2" s="98"/>
      <c r="AQ2" s="22"/>
      <c r="AR2" s="98" t="s">
        <v>413</v>
      </c>
      <c r="AS2" s="98"/>
      <c r="AT2" s="22"/>
      <c r="AU2" s="98" t="s">
        <v>428</v>
      </c>
      <c r="AV2" s="98"/>
      <c r="AW2" s="22"/>
      <c r="AX2" s="98" t="s">
        <v>493</v>
      </c>
      <c r="AY2" s="98"/>
      <c r="AZ2" s="25"/>
      <c r="BA2" s="98" t="s">
        <v>530</v>
      </c>
      <c r="BB2" s="98"/>
      <c r="BC2" s="98"/>
      <c r="BD2" s="98"/>
      <c r="BE2" s="28"/>
      <c r="BF2" s="98" t="s">
        <v>707</v>
      </c>
      <c r="BG2" s="98"/>
      <c r="BH2" s="98"/>
      <c r="BI2" s="37"/>
      <c r="BJ2" s="98" t="s">
        <v>848</v>
      </c>
      <c r="BK2" s="98"/>
      <c r="BL2" s="53"/>
      <c r="BM2" s="53" t="s">
        <v>99</v>
      </c>
      <c r="BN2" s="53"/>
      <c r="BO2" s="98" t="s">
        <v>923</v>
      </c>
      <c r="BP2" s="98"/>
      <c r="BQ2" s="53"/>
      <c r="BR2" s="53" t="s">
        <v>924</v>
      </c>
      <c r="BS2" s="73"/>
      <c r="BT2" s="98" t="s">
        <v>959</v>
      </c>
      <c r="BU2" s="98"/>
      <c r="BV2" s="98"/>
    </row>
    <row r="3" spans="1:75" s="2" customFormat="1" ht="17.100000000000001" customHeight="1" x14ac:dyDescent="0.2">
      <c r="A3" s="98"/>
      <c r="B3" s="2" t="s">
        <v>0</v>
      </c>
      <c r="C3" s="2" t="s">
        <v>1</v>
      </c>
      <c r="D3" s="2" t="s">
        <v>2</v>
      </c>
      <c r="E3" s="2" t="s">
        <v>3</v>
      </c>
      <c r="F3" s="15"/>
      <c r="G3" s="12" t="s">
        <v>92</v>
      </c>
      <c r="H3" s="12" t="s">
        <v>93</v>
      </c>
      <c r="I3" s="15"/>
      <c r="J3" s="15" t="s">
        <v>334</v>
      </c>
      <c r="K3" s="22" t="s">
        <v>335</v>
      </c>
      <c r="L3" s="15"/>
      <c r="M3" s="15" t="s">
        <v>92</v>
      </c>
      <c r="N3" s="15" t="s">
        <v>93</v>
      </c>
      <c r="O3" s="15"/>
      <c r="P3" s="2" t="s">
        <v>187</v>
      </c>
      <c r="Q3" s="2" t="s">
        <v>93</v>
      </c>
      <c r="R3" s="2" t="s">
        <v>188</v>
      </c>
      <c r="S3" s="22" t="s">
        <v>93</v>
      </c>
      <c r="T3" s="2" t="s">
        <v>189</v>
      </c>
      <c r="U3" s="22" t="s">
        <v>93</v>
      </c>
      <c r="V3" s="2" t="s">
        <v>190</v>
      </c>
      <c r="W3" s="22" t="s">
        <v>93</v>
      </c>
      <c r="X3" s="2" t="s">
        <v>191</v>
      </c>
      <c r="Y3" s="22" t="s">
        <v>93</v>
      </c>
      <c r="Z3" s="34"/>
      <c r="AA3" s="34" t="s">
        <v>92</v>
      </c>
      <c r="AB3" s="34" t="s">
        <v>93</v>
      </c>
      <c r="AC3" s="15"/>
      <c r="AD3" s="15" t="s">
        <v>92</v>
      </c>
      <c r="AE3" s="2" t="s">
        <v>787</v>
      </c>
      <c r="AF3" s="19"/>
      <c r="AG3" s="19" t="s">
        <v>93</v>
      </c>
      <c r="AH3" s="22"/>
      <c r="AI3" s="22" t="s">
        <v>92</v>
      </c>
      <c r="AJ3" s="22" t="s">
        <v>93</v>
      </c>
      <c r="AK3" s="22"/>
      <c r="AL3" s="22" t="s">
        <v>92</v>
      </c>
      <c r="AM3" s="22" t="s">
        <v>93</v>
      </c>
      <c r="AN3" s="22"/>
      <c r="AO3" s="22" t="s">
        <v>92</v>
      </c>
      <c r="AP3" s="22" t="s">
        <v>93</v>
      </c>
      <c r="AQ3" s="22"/>
      <c r="AR3" s="22" t="s">
        <v>92</v>
      </c>
      <c r="AS3" s="22" t="s">
        <v>93</v>
      </c>
      <c r="AT3" s="22"/>
      <c r="AU3" s="22" t="s">
        <v>92</v>
      </c>
      <c r="AV3" s="22" t="s">
        <v>93</v>
      </c>
      <c r="AW3" s="22"/>
      <c r="AX3" s="22" t="s">
        <v>92</v>
      </c>
      <c r="AY3" s="22" t="s">
        <v>93</v>
      </c>
      <c r="AZ3" s="25"/>
      <c r="BA3" s="25" t="s">
        <v>528</v>
      </c>
      <c r="BB3" s="25" t="s">
        <v>529</v>
      </c>
      <c r="BC3" s="2" t="s">
        <v>526</v>
      </c>
      <c r="BD3" s="2" t="s">
        <v>527</v>
      </c>
      <c r="BE3" s="28"/>
      <c r="BF3" s="28" t="s">
        <v>92</v>
      </c>
      <c r="BG3" s="28" t="s">
        <v>93</v>
      </c>
      <c r="BH3" s="28" t="s">
        <v>0</v>
      </c>
      <c r="BI3" s="37"/>
      <c r="BJ3" s="37" t="s">
        <v>0</v>
      </c>
      <c r="BK3" s="37" t="s">
        <v>847</v>
      </c>
      <c r="BL3" s="53"/>
      <c r="BM3" s="53" t="s">
        <v>847</v>
      </c>
      <c r="BN3" s="53"/>
      <c r="BO3" s="53" t="s">
        <v>847</v>
      </c>
      <c r="BP3" s="53" t="s">
        <v>93</v>
      </c>
      <c r="BQ3" s="53"/>
      <c r="BR3" s="53" t="s">
        <v>925</v>
      </c>
      <c r="BS3" s="73"/>
      <c r="BT3" s="73" t="s">
        <v>0</v>
      </c>
      <c r="BU3" s="73" t="s">
        <v>847</v>
      </c>
      <c r="BV3" s="2" t="s">
        <v>93</v>
      </c>
      <c r="BW3" s="73"/>
    </row>
    <row r="4" spans="1:75" x14ac:dyDescent="0.2">
      <c r="A4" s="55" t="s">
        <v>928</v>
      </c>
      <c r="B4" s="10" t="s">
        <v>4</v>
      </c>
      <c r="C4" s="17" t="s">
        <v>950</v>
      </c>
      <c r="D4" s="10" t="s">
        <v>6</v>
      </c>
      <c r="E4" s="10" t="s">
        <v>8</v>
      </c>
      <c r="G4" s="10" t="s">
        <v>34</v>
      </c>
      <c r="H4" s="20" t="s">
        <v>35</v>
      </c>
      <c r="J4" s="10" t="s">
        <v>101</v>
      </c>
      <c r="K4" s="10" t="s">
        <v>336</v>
      </c>
      <c r="M4" s="10">
        <v>62</v>
      </c>
      <c r="N4" s="20" t="s">
        <v>173</v>
      </c>
      <c r="P4" s="10" t="s">
        <v>192</v>
      </c>
      <c r="Q4" s="20" t="s">
        <v>193</v>
      </c>
      <c r="R4" s="10" t="s">
        <v>194</v>
      </c>
      <c r="S4" s="20" t="s">
        <v>195</v>
      </c>
      <c r="T4" s="10" t="s">
        <v>194</v>
      </c>
      <c r="U4" s="20" t="s">
        <v>196</v>
      </c>
      <c r="V4" s="10" t="s">
        <v>197</v>
      </c>
      <c r="W4" s="20" t="s">
        <v>198</v>
      </c>
      <c r="X4" s="10" t="s">
        <v>194</v>
      </c>
      <c r="Y4" s="20" t="s">
        <v>199</v>
      </c>
      <c r="AA4" s="10">
        <v>99</v>
      </c>
      <c r="AB4" s="20" t="s">
        <v>293</v>
      </c>
      <c r="AD4" s="10"/>
      <c r="AE4" s="20"/>
      <c r="AG4" s="20" t="s">
        <v>324</v>
      </c>
      <c r="AI4" s="10">
        <v>1</v>
      </c>
      <c r="AJ4" s="20" t="s">
        <v>374</v>
      </c>
      <c r="AL4" s="17" t="s">
        <v>397</v>
      </c>
      <c r="AM4" s="23" t="s">
        <v>398</v>
      </c>
      <c r="AO4" s="17" t="s">
        <v>34</v>
      </c>
      <c r="AP4" s="23" t="s">
        <v>35</v>
      </c>
      <c r="AR4" s="17" t="s">
        <v>414</v>
      </c>
      <c r="AS4" s="23" t="s">
        <v>415</v>
      </c>
      <c r="AU4" s="17" t="s">
        <v>429</v>
      </c>
      <c r="AV4" s="23" t="s">
        <v>458</v>
      </c>
      <c r="AX4" s="17" t="s">
        <v>496</v>
      </c>
      <c r="AY4" s="23" t="s">
        <v>497</v>
      </c>
      <c r="BA4" s="17" t="s">
        <v>531</v>
      </c>
      <c r="BB4" s="17" t="s">
        <v>14</v>
      </c>
      <c r="BC4" s="23" t="s">
        <v>532</v>
      </c>
      <c r="BD4" s="23" t="s">
        <v>532</v>
      </c>
      <c r="BF4" s="17" t="s">
        <v>677</v>
      </c>
      <c r="BG4" s="17" t="s">
        <v>678</v>
      </c>
      <c r="BH4" s="17" t="s">
        <v>4</v>
      </c>
      <c r="BJ4" s="17" t="s">
        <v>4</v>
      </c>
      <c r="BK4" s="17" t="s">
        <v>1019</v>
      </c>
      <c r="BM4" s="17" t="s">
        <v>858</v>
      </c>
      <c r="BO4" s="17" t="s">
        <v>863</v>
      </c>
      <c r="BP4" s="17" t="s">
        <v>864</v>
      </c>
      <c r="BR4" s="17" t="s">
        <v>299</v>
      </c>
      <c r="BT4" s="17" t="s">
        <v>4</v>
      </c>
      <c r="BU4" s="17" t="s">
        <v>960</v>
      </c>
      <c r="BV4" s="17" t="s">
        <v>961</v>
      </c>
    </row>
    <row r="5" spans="1:75" x14ac:dyDescent="0.2">
      <c r="B5" s="10" t="s">
        <v>9</v>
      </c>
      <c r="C5" s="17" t="s">
        <v>11</v>
      </c>
      <c r="D5" s="10" t="s">
        <v>24</v>
      </c>
      <c r="E5" s="10" t="s">
        <v>27</v>
      </c>
      <c r="G5" s="10" t="s">
        <v>36</v>
      </c>
      <c r="H5" s="20" t="s">
        <v>37</v>
      </c>
      <c r="J5" s="10" t="s">
        <v>102</v>
      </c>
      <c r="K5" s="10" t="s">
        <v>337</v>
      </c>
      <c r="M5" s="10">
        <v>63</v>
      </c>
      <c r="N5" s="20" t="s">
        <v>174</v>
      </c>
      <c r="P5" s="10" t="s">
        <v>200</v>
      </c>
      <c r="Q5" s="20" t="s">
        <v>201</v>
      </c>
      <c r="R5" s="10" t="s">
        <v>202</v>
      </c>
      <c r="S5" s="20" t="s">
        <v>203</v>
      </c>
      <c r="T5" s="10" t="s">
        <v>202</v>
      </c>
      <c r="U5" s="20" t="s">
        <v>204</v>
      </c>
      <c r="V5" s="10" t="s">
        <v>205</v>
      </c>
      <c r="W5" s="20" t="s">
        <v>206</v>
      </c>
      <c r="X5" s="10" t="s">
        <v>202</v>
      </c>
      <c r="Y5" s="20" t="s">
        <v>207</v>
      </c>
      <c r="AA5" s="10"/>
      <c r="AB5" s="20" t="s">
        <v>938</v>
      </c>
      <c r="AD5" s="10" t="s">
        <v>324</v>
      </c>
      <c r="AE5" s="20" t="s">
        <v>788</v>
      </c>
      <c r="AG5" s="20" t="s">
        <v>325</v>
      </c>
      <c r="AI5" s="10">
        <v>2</v>
      </c>
      <c r="AJ5" s="20" t="s">
        <v>375</v>
      </c>
      <c r="AL5" s="17" t="s">
        <v>399</v>
      </c>
      <c r="AM5" s="23" t="s">
        <v>400</v>
      </c>
      <c r="AO5" s="17" t="s">
        <v>36</v>
      </c>
      <c r="AP5" s="23" t="s">
        <v>37</v>
      </c>
      <c r="AR5" s="17" t="s">
        <v>416</v>
      </c>
      <c r="AS5" s="23" t="s">
        <v>417</v>
      </c>
      <c r="AU5" s="17" t="s">
        <v>430</v>
      </c>
      <c r="AV5" s="23" t="s">
        <v>459</v>
      </c>
      <c r="AX5" s="17" t="s">
        <v>498</v>
      </c>
      <c r="AY5" s="23" t="s">
        <v>499</v>
      </c>
      <c r="BA5" s="17" t="s">
        <v>533</v>
      </c>
      <c r="BB5" s="17" t="s">
        <v>563</v>
      </c>
      <c r="BC5" s="23" t="s">
        <v>534</v>
      </c>
      <c r="BD5" s="23" t="s">
        <v>535</v>
      </c>
      <c r="BF5" s="17" t="s">
        <v>679</v>
      </c>
      <c r="BG5" s="17" t="s">
        <v>680</v>
      </c>
      <c r="BH5" s="17" t="s">
        <v>4</v>
      </c>
      <c r="BJ5" s="17" t="s">
        <v>9</v>
      </c>
      <c r="BK5" s="17" t="s">
        <v>1020</v>
      </c>
      <c r="BM5" s="17" t="s">
        <v>837</v>
      </c>
      <c r="BO5" s="17" t="s">
        <v>865</v>
      </c>
      <c r="BP5" s="17" t="s">
        <v>866</v>
      </c>
      <c r="BR5" s="17" t="s">
        <v>854</v>
      </c>
      <c r="BT5" s="17" t="s">
        <v>9</v>
      </c>
      <c r="BU5" s="17" t="s">
        <v>1058</v>
      </c>
      <c r="BV5" s="17" t="s">
        <v>962</v>
      </c>
    </row>
    <row r="6" spans="1:75" x14ac:dyDescent="0.2">
      <c r="A6" s="53" t="s">
        <v>926</v>
      </c>
      <c r="C6" s="17" t="s">
        <v>12</v>
      </c>
      <c r="D6" s="10" t="s">
        <v>7</v>
      </c>
      <c r="G6" s="10" t="s">
        <v>38</v>
      </c>
      <c r="H6" s="20" t="s">
        <v>39</v>
      </c>
      <c r="J6" s="10" t="s">
        <v>103</v>
      </c>
      <c r="K6" s="10" t="s">
        <v>338</v>
      </c>
      <c r="M6" s="10">
        <v>64</v>
      </c>
      <c r="N6" s="20" t="s">
        <v>175</v>
      </c>
      <c r="P6" s="10" t="s">
        <v>208</v>
      </c>
      <c r="Q6" s="20" t="s">
        <v>209</v>
      </c>
      <c r="R6" s="10" t="s">
        <v>210</v>
      </c>
      <c r="S6" s="20" t="s">
        <v>211</v>
      </c>
      <c r="T6" s="10" t="s">
        <v>210</v>
      </c>
      <c r="U6" s="20" t="s">
        <v>178</v>
      </c>
      <c r="V6" s="10" t="s">
        <v>212</v>
      </c>
      <c r="W6" s="20" t="s">
        <v>213</v>
      </c>
      <c r="X6" s="10" t="s">
        <v>210</v>
      </c>
      <c r="Y6" s="20" t="s">
        <v>214</v>
      </c>
      <c r="AD6" s="10" t="s">
        <v>325</v>
      </c>
      <c r="AE6" s="20" t="s">
        <v>788</v>
      </c>
      <c r="AG6" s="20"/>
      <c r="AI6" s="10" t="s">
        <v>376</v>
      </c>
      <c r="AJ6" s="20" t="s">
        <v>377</v>
      </c>
      <c r="AL6" s="17" t="s">
        <v>401</v>
      </c>
      <c r="AM6" s="23" t="s">
        <v>402</v>
      </c>
      <c r="AO6" s="17" t="s">
        <v>38</v>
      </c>
      <c r="AP6" s="23" t="s">
        <v>39</v>
      </c>
      <c r="AR6" s="17" t="s">
        <v>8</v>
      </c>
      <c r="AS6" s="23" t="s">
        <v>418</v>
      </c>
      <c r="AU6" s="17" t="s">
        <v>431</v>
      </c>
      <c r="AV6" s="23" t="s">
        <v>460</v>
      </c>
      <c r="AX6" s="17" t="s">
        <v>278</v>
      </c>
      <c r="AY6" s="23" t="s">
        <v>502</v>
      </c>
      <c r="BA6" s="17" t="s">
        <v>536</v>
      </c>
      <c r="BB6" s="17" t="s">
        <v>564</v>
      </c>
      <c r="BC6" s="23"/>
      <c r="BD6" s="23"/>
      <c r="BF6" s="17" t="s">
        <v>681</v>
      </c>
      <c r="BG6" s="17" t="s">
        <v>682</v>
      </c>
      <c r="BH6" s="17" t="s">
        <v>4</v>
      </c>
      <c r="BJ6" s="17" t="s">
        <v>4</v>
      </c>
      <c r="BK6" s="17" t="s">
        <v>1021</v>
      </c>
      <c r="BM6" s="17" t="s">
        <v>859</v>
      </c>
      <c r="BO6" s="17" t="s">
        <v>867</v>
      </c>
      <c r="BP6" s="17" t="s">
        <v>868</v>
      </c>
      <c r="BR6" s="17" t="s">
        <v>100</v>
      </c>
      <c r="BT6" s="17"/>
      <c r="BU6" s="17"/>
      <c r="BV6" s="17"/>
    </row>
    <row r="7" spans="1:75" x14ac:dyDescent="0.2">
      <c r="A7" s="54" t="s">
        <v>1035</v>
      </c>
      <c r="C7" s="17" t="s">
        <v>13</v>
      </c>
      <c r="D7" s="10" t="s">
        <v>25</v>
      </c>
      <c r="G7" s="10" t="s">
        <v>40</v>
      </c>
      <c r="H7" s="20" t="s">
        <v>41</v>
      </c>
      <c r="J7" s="10" t="s">
        <v>104</v>
      </c>
      <c r="K7" s="10" t="s">
        <v>339</v>
      </c>
      <c r="M7" s="10">
        <v>65</v>
      </c>
      <c r="N7" s="20" t="s">
        <v>176</v>
      </c>
      <c r="P7" s="10" t="s">
        <v>215</v>
      </c>
      <c r="Q7" s="20" t="s">
        <v>216</v>
      </c>
      <c r="T7" s="10" t="s">
        <v>217</v>
      </c>
      <c r="U7" s="20" t="s">
        <v>180</v>
      </c>
      <c r="V7" s="10" t="s">
        <v>218</v>
      </c>
      <c r="W7" s="20" t="s">
        <v>219</v>
      </c>
      <c r="X7" s="10" t="s">
        <v>217</v>
      </c>
      <c r="Y7" s="20" t="s">
        <v>220</v>
      </c>
      <c r="AD7" s="10" t="s">
        <v>789</v>
      </c>
      <c r="AE7" s="20" t="s">
        <v>790</v>
      </c>
      <c r="AG7" s="20"/>
      <c r="AI7" s="10" t="s">
        <v>378</v>
      </c>
      <c r="AJ7" s="20"/>
      <c r="AL7" s="17" t="s">
        <v>403</v>
      </c>
      <c r="AM7" s="23"/>
      <c r="AO7" s="17" t="s">
        <v>40</v>
      </c>
      <c r="AP7" s="23" t="s">
        <v>41</v>
      </c>
      <c r="AR7" s="17" t="s">
        <v>27</v>
      </c>
      <c r="AS7" s="23" t="s">
        <v>927</v>
      </c>
      <c r="AU7" s="17" t="s">
        <v>432</v>
      </c>
      <c r="AV7" s="23" t="s">
        <v>461</v>
      </c>
      <c r="AX7" s="17" t="s">
        <v>90</v>
      </c>
      <c r="AY7" s="23" t="s">
        <v>503</v>
      </c>
      <c r="BA7" s="17" t="s">
        <v>537</v>
      </c>
      <c r="BB7" s="17" t="s">
        <v>565</v>
      </c>
      <c r="BC7" s="23"/>
      <c r="BD7" s="23"/>
      <c r="BF7" s="17" t="s">
        <v>683</v>
      </c>
      <c r="BG7" s="17" t="s">
        <v>684</v>
      </c>
      <c r="BH7" s="17" t="s">
        <v>4</v>
      </c>
      <c r="BJ7" s="17" t="s">
        <v>9</v>
      </c>
      <c r="BK7" s="17" t="s">
        <v>1022</v>
      </c>
      <c r="BM7" s="17" t="s">
        <v>860</v>
      </c>
      <c r="BO7" s="17" t="s">
        <v>869</v>
      </c>
      <c r="BP7" s="17" t="s">
        <v>870</v>
      </c>
      <c r="BR7" s="17"/>
      <c r="BT7"/>
      <c r="BU7"/>
      <c r="BV7"/>
    </row>
    <row r="8" spans="1:75" x14ac:dyDescent="0.2">
      <c r="A8"/>
      <c r="C8" s="17" t="s">
        <v>14</v>
      </c>
      <c r="D8" s="10" t="s">
        <v>26</v>
      </c>
      <c r="G8" s="10" t="s">
        <v>42</v>
      </c>
      <c r="H8" s="20" t="s">
        <v>43</v>
      </c>
      <c r="J8" s="10" t="s">
        <v>105</v>
      </c>
      <c r="K8" s="10" t="s">
        <v>340</v>
      </c>
      <c r="M8" s="10">
        <v>66</v>
      </c>
      <c r="N8" s="20" t="s">
        <v>177</v>
      </c>
      <c r="P8" s="10" t="s">
        <v>221</v>
      </c>
      <c r="Q8" s="20" t="s">
        <v>222</v>
      </c>
      <c r="T8" s="10" t="s">
        <v>223</v>
      </c>
      <c r="U8" s="20" t="s">
        <v>224</v>
      </c>
      <c r="V8" s="10" t="s">
        <v>225</v>
      </c>
      <c r="W8" s="20" t="s">
        <v>226</v>
      </c>
      <c r="X8" s="10" t="s">
        <v>223</v>
      </c>
      <c r="Y8" s="20" t="s">
        <v>227</v>
      </c>
      <c r="AD8" s="10" t="s">
        <v>791</v>
      </c>
      <c r="AE8" s="20" t="s">
        <v>788</v>
      </c>
      <c r="AG8" s="20"/>
      <c r="AI8" s="10" t="s">
        <v>379</v>
      </c>
      <c r="AJ8" s="20" t="s">
        <v>380</v>
      </c>
      <c r="AL8" s="17" t="s">
        <v>404</v>
      </c>
      <c r="AM8" s="23" t="s">
        <v>405</v>
      </c>
      <c r="AO8" s="17" t="s">
        <v>42</v>
      </c>
      <c r="AP8" s="23" t="s">
        <v>43</v>
      </c>
      <c r="AR8" s="17" t="s">
        <v>420</v>
      </c>
      <c r="AS8" s="23" t="s">
        <v>419</v>
      </c>
      <c r="AU8" s="17" t="s">
        <v>433</v>
      </c>
      <c r="AV8" s="23" t="s">
        <v>462</v>
      </c>
      <c r="AX8" s="17"/>
      <c r="AY8" s="23" t="s">
        <v>504</v>
      </c>
      <c r="BA8" s="17" t="s">
        <v>538</v>
      </c>
      <c r="BB8" s="17" t="s">
        <v>566</v>
      </c>
      <c r="BC8" s="23"/>
      <c r="BD8" s="23"/>
      <c r="BF8" s="17" t="s">
        <v>685</v>
      </c>
      <c r="BG8" s="17" t="s">
        <v>686</v>
      </c>
      <c r="BH8" s="17" t="s">
        <v>4</v>
      </c>
      <c r="BJ8" s="17" t="s">
        <v>4</v>
      </c>
      <c r="BK8" s="17" t="s">
        <v>956</v>
      </c>
      <c r="BM8" s="17" t="s">
        <v>861</v>
      </c>
      <c r="BO8" s="17" t="s">
        <v>871</v>
      </c>
      <c r="BP8" s="17" t="s">
        <v>872</v>
      </c>
      <c r="BR8" s="17"/>
      <c r="BT8"/>
      <c r="BU8"/>
      <c r="BV8"/>
    </row>
    <row r="9" spans="1:75" x14ac:dyDescent="0.2">
      <c r="A9" s="59" t="s">
        <v>939</v>
      </c>
      <c r="C9" s="17" t="s">
        <v>15</v>
      </c>
      <c r="G9" s="10" t="s">
        <v>44</v>
      </c>
      <c r="H9" s="20" t="s">
        <v>45</v>
      </c>
      <c r="J9" s="10" t="s">
        <v>106</v>
      </c>
      <c r="K9" s="10" t="s">
        <v>341</v>
      </c>
      <c r="M9" s="10">
        <v>67</v>
      </c>
      <c r="N9" s="20" t="s">
        <v>178</v>
      </c>
      <c r="P9" s="10" t="s">
        <v>228</v>
      </c>
      <c r="Q9" s="20" t="s">
        <v>229</v>
      </c>
      <c r="V9" s="10" t="s">
        <v>230</v>
      </c>
      <c r="W9" s="20" t="s">
        <v>231</v>
      </c>
      <c r="X9" s="10" t="s">
        <v>6</v>
      </c>
      <c r="Y9" s="20" t="s">
        <v>232</v>
      </c>
      <c r="AD9" s="10" t="s">
        <v>792</v>
      </c>
      <c r="AE9" s="20" t="s">
        <v>788</v>
      </c>
      <c r="AI9" s="10" t="s">
        <v>381</v>
      </c>
      <c r="AJ9" s="20" t="s">
        <v>382</v>
      </c>
      <c r="AL9" s="17" t="s">
        <v>406</v>
      </c>
      <c r="AM9" s="23" t="s">
        <v>407</v>
      </c>
      <c r="AO9" s="17" t="s">
        <v>44</v>
      </c>
      <c r="AP9" s="23" t="s">
        <v>45</v>
      </c>
      <c r="AR9" s="17" t="s">
        <v>421</v>
      </c>
      <c r="AS9" s="23" t="s">
        <v>422</v>
      </c>
      <c r="AU9" s="17" t="s">
        <v>434</v>
      </c>
      <c r="AV9" s="23" t="s">
        <v>463</v>
      </c>
      <c r="BA9" s="17" t="s">
        <v>539</v>
      </c>
      <c r="BB9" s="17" t="s">
        <v>567</v>
      </c>
      <c r="BC9" s="23"/>
      <c r="BD9" s="23"/>
      <c r="BF9" s="17" t="s">
        <v>687</v>
      </c>
      <c r="BG9" s="17" t="s">
        <v>688</v>
      </c>
      <c r="BH9" s="17" t="s">
        <v>4</v>
      </c>
      <c r="BJ9" s="17" t="s">
        <v>9</v>
      </c>
      <c r="BK9" s="17" t="s">
        <v>957</v>
      </c>
      <c r="BM9" s="17" t="s">
        <v>862</v>
      </c>
      <c r="BO9" s="17" t="s">
        <v>873</v>
      </c>
      <c r="BP9" s="17" t="s">
        <v>874</v>
      </c>
      <c r="BR9" s="17"/>
      <c r="BT9"/>
      <c r="BU9"/>
      <c r="BV9"/>
    </row>
    <row r="10" spans="1:75" x14ac:dyDescent="0.2">
      <c r="A10" s="55" t="s">
        <v>943</v>
      </c>
      <c r="C10" s="17" t="s">
        <v>16</v>
      </c>
      <c r="G10" s="10" t="s">
        <v>46</v>
      </c>
      <c r="H10" s="20" t="s">
        <v>47</v>
      </c>
      <c r="J10" s="10" t="s">
        <v>107</v>
      </c>
      <c r="K10" s="10" t="s">
        <v>342</v>
      </c>
      <c r="M10" s="10">
        <v>68</v>
      </c>
      <c r="N10" s="20" t="s">
        <v>179</v>
      </c>
      <c r="P10" s="10" t="s">
        <v>233</v>
      </c>
      <c r="Q10" s="20" t="s">
        <v>234</v>
      </c>
      <c r="X10" s="10" t="s">
        <v>24</v>
      </c>
      <c r="Y10" s="20" t="s">
        <v>235</v>
      </c>
      <c r="AD10" s="10" t="s">
        <v>793</v>
      </c>
      <c r="AE10" s="20" t="s">
        <v>788</v>
      </c>
      <c r="AI10" s="10" t="s">
        <v>372</v>
      </c>
      <c r="AJ10" s="20" t="s">
        <v>382</v>
      </c>
      <c r="AL10" s="17" t="s">
        <v>408</v>
      </c>
      <c r="AM10" s="23" t="s">
        <v>409</v>
      </c>
      <c r="AO10" s="17" t="s">
        <v>46</v>
      </c>
      <c r="AP10" s="23" t="s">
        <v>47</v>
      </c>
      <c r="AR10" s="17" t="s">
        <v>423</v>
      </c>
      <c r="AS10" s="23" t="s">
        <v>424</v>
      </c>
      <c r="AU10" s="17" t="s">
        <v>38</v>
      </c>
      <c r="AV10" s="23" t="s">
        <v>464</v>
      </c>
      <c r="BA10" s="17" t="s">
        <v>540</v>
      </c>
      <c r="BB10" s="17" t="s">
        <v>568</v>
      </c>
      <c r="BC10" s="23"/>
      <c r="BD10" s="23"/>
      <c r="BF10" s="17" t="s">
        <v>689</v>
      </c>
      <c r="BG10" s="17" t="s">
        <v>690</v>
      </c>
      <c r="BH10" s="17" t="s">
        <v>4</v>
      </c>
      <c r="BJ10"/>
      <c r="BK10"/>
      <c r="BM10"/>
      <c r="BO10" s="17" t="s">
        <v>875</v>
      </c>
      <c r="BP10" s="17" t="s">
        <v>876</v>
      </c>
      <c r="BR10"/>
      <c r="BT10"/>
      <c r="BU10"/>
      <c r="BV10"/>
    </row>
    <row r="11" spans="1:75" x14ac:dyDescent="0.2">
      <c r="C11" s="17" t="s">
        <v>17</v>
      </c>
      <c r="G11" s="10" t="s">
        <v>48</v>
      </c>
      <c r="H11" s="20" t="s">
        <v>49</v>
      </c>
      <c r="J11" s="10" t="s">
        <v>108</v>
      </c>
      <c r="K11" s="10" t="s">
        <v>343</v>
      </c>
      <c r="M11" s="10">
        <v>69</v>
      </c>
      <c r="N11" s="20" t="s">
        <v>180</v>
      </c>
      <c r="P11" s="10" t="s">
        <v>236</v>
      </c>
      <c r="Q11" s="20" t="s">
        <v>180</v>
      </c>
      <c r="X11" s="10" t="s">
        <v>7</v>
      </c>
      <c r="Y11" s="20" t="s">
        <v>237</v>
      </c>
      <c r="AI11" s="10" t="s">
        <v>383</v>
      </c>
      <c r="AJ11" s="20" t="s">
        <v>382</v>
      </c>
      <c r="AO11" s="17" t="s">
        <v>48</v>
      </c>
      <c r="AP11" s="23" t="s">
        <v>49</v>
      </c>
      <c r="AR11" s="17" t="s">
        <v>425</v>
      </c>
      <c r="AS11" s="23" t="s">
        <v>426</v>
      </c>
      <c r="AU11" s="17" t="s">
        <v>40</v>
      </c>
      <c r="AV11" s="23" t="s">
        <v>465</v>
      </c>
      <c r="BA11" s="17" t="s">
        <v>541</v>
      </c>
      <c r="BB11" s="17" t="s">
        <v>569</v>
      </c>
      <c r="BC11" s="23"/>
      <c r="BD11" s="23"/>
      <c r="BF11" s="17" t="s">
        <v>691</v>
      </c>
      <c r="BG11" s="17" t="s">
        <v>692</v>
      </c>
      <c r="BH11" s="17" t="s">
        <v>4</v>
      </c>
      <c r="BJ11"/>
      <c r="BK11"/>
      <c r="BM11"/>
      <c r="BO11" s="17" t="s">
        <v>877</v>
      </c>
      <c r="BP11" s="17" t="s">
        <v>878</v>
      </c>
      <c r="BR11"/>
      <c r="BT11"/>
      <c r="BU11"/>
      <c r="BV11"/>
    </row>
    <row r="12" spans="1:75" x14ac:dyDescent="0.2">
      <c r="C12" s="17" t="s">
        <v>18</v>
      </c>
      <c r="G12" s="10" t="s">
        <v>50</v>
      </c>
      <c r="H12" s="20" t="s">
        <v>51</v>
      </c>
      <c r="J12" s="10" t="s">
        <v>109</v>
      </c>
      <c r="K12" s="10" t="s">
        <v>344</v>
      </c>
      <c r="M12" s="10">
        <v>70</v>
      </c>
      <c r="N12" s="20" t="s">
        <v>181</v>
      </c>
      <c r="X12" s="10" t="s">
        <v>25</v>
      </c>
      <c r="Y12" s="20" t="s">
        <v>238</v>
      </c>
      <c r="AO12" s="17" t="s">
        <v>50</v>
      </c>
      <c r="AP12" s="23" t="s">
        <v>51</v>
      </c>
      <c r="AU12" s="17" t="s">
        <v>42</v>
      </c>
      <c r="AV12" s="23" t="s">
        <v>466</v>
      </c>
      <c r="BA12" s="17" t="s">
        <v>542</v>
      </c>
      <c r="BB12" s="17" t="s">
        <v>570</v>
      </c>
      <c r="BC12" s="23"/>
      <c r="BD12" s="23"/>
      <c r="BF12" s="17" t="s">
        <v>693</v>
      </c>
      <c r="BG12" s="17" t="s">
        <v>694</v>
      </c>
      <c r="BH12" s="17" t="s">
        <v>4</v>
      </c>
      <c r="BJ12"/>
      <c r="BK12"/>
      <c r="BM12"/>
      <c r="BO12" s="17" t="s">
        <v>879</v>
      </c>
      <c r="BP12" s="17" t="s">
        <v>880</v>
      </c>
      <c r="BR12"/>
      <c r="BT12"/>
      <c r="BU12"/>
      <c r="BV12"/>
    </row>
    <row r="13" spans="1:75" x14ac:dyDescent="0.2">
      <c r="C13" s="17" t="s">
        <v>19</v>
      </c>
      <c r="G13" s="10" t="s">
        <v>52</v>
      </c>
      <c r="H13" s="20" t="s">
        <v>53</v>
      </c>
      <c r="J13" s="10" t="s">
        <v>110</v>
      </c>
      <c r="K13" s="10" t="s">
        <v>345</v>
      </c>
      <c r="M13" s="10">
        <v>71</v>
      </c>
      <c r="N13" s="20" t="s">
        <v>182</v>
      </c>
      <c r="X13" s="10" t="s">
        <v>26</v>
      </c>
      <c r="Y13" s="20" t="s">
        <v>239</v>
      </c>
      <c r="AO13" s="17" t="s">
        <v>52</v>
      </c>
      <c r="AP13" s="23" t="s">
        <v>53</v>
      </c>
      <c r="AU13" s="17" t="s">
        <v>435</v>
      </c>
      <c r="AV13" s="23" t="s">
        <v>467</v>
      </c>
      <c r="BA13" s="17" t="s">
        <v>543</v>
      </c>
      <c r="BB13" s="17" t="s">
        <v>571</v>
      </c>
      <c r="BC13" s="23"/>
      <c r="BD13" s="23"/>
      <c r="BF13" s="17" t="s">
        <v>695</v>
      </c>
      <c r="BG13" s="17" t="s">
        <v>696</v>
      </c>
      <c r="BH13" s="17" t="s">
        <v>4</v>
      </c>
      <c r="BJ13"/>
      <c r="BK13"/>
      <c r="BM13"/>
      <c r="BO13" s="17" t="s">
        <v>881</v>
      </c>
      <c r="BP13" s="17" t="s">
        <v>882</v>
      </c>
      <c r="BR13"/>
      <c r="BT13"/>
      <c r="BU13"/>
      <c r="BV13"/>
    </row>
    <row r="14" spans="1:75" x14ac:dyDescent="0.2">
      <c r="C14" s="17" t="s">
        <v>20</v>
      </c>
      <c r="G14" s="10" t="s">
        <v>54</v>
      </c>
      <c r="H14" s="20" t="s">
        <v>55</v>
      </c>
      <c r="J14" s="10" t="s">
        <v>111</v>
      </c>
      <c r="K14" s="10" t="s">
        <v>346</v>
      </c>
      <c r="M14" s="10">
        <v>72</v>
      </c>
      <c r="N14" s="20" t="s">
        <v>183</v>
      </c>
      <c r="X14" s="10" t="s">
        <v>240</v>
      </c>
      <c r="Y14" s="20" t="s">
        <v>241</v>
      </c>
      <c r="AO14" s="17" t="s">
        <v>54</v>
      </c>
      <c r="AP14" s="23" t="s">
        <v>55</v>
      </c>
      <c r="AU14" s="17" t="s">
        <v>436</v>
      </c>
      <c r="AV14" s="23" t="s">
        <v>468</v>
      </c>
      <c r="BA14" s="17" t="s">
        <v>544</v>
      </c>
      <c r="BB14" s="17" t="s">
        <v>572</v>
      </c>
      <c r="BC14" s="23"/>
      <c r="BD14" s="23"/>
      <c r="BF14" s="17" t="s">
        <v>697</v>
      </c>
      <c r="BG14" s="17" t="s">
        <v>698</v>
      </c>
      <c r="BH14" s="17" t="s">
        <v>4</v>
      </c>
      <c r="BJ14"/>
      <c r="BK14"/>
      <c r="BM14"/>
      <c r="BO14" s="17" t="s">
        <v>883</v>
      </c>
      <c r="BP14" s="17" t="s">
        <v>884</v>
      </c>
      <c r="BR14"/>
      <c r="BT14"/>
      <c r="BU14"/>
      <c r="BV14"/>
    </row>
    <row r="15" spans="1:75" x14ac:dyDescent="0.2">
      <c r="A15" s="35" t="s">
        <v>669</v>
      </c>
      <c r="C15" s="17" t="s">
        <v>5</v>
      </c>
      <c r="G15" s="10" t="s">
        <v>56</v>
      </c>
      <c r="H15" s="20" t="s">
        <v>57</v>
      </c>
      <c r="J15" s="10" t="s">
        <v>112</v>
      </c>
      <c r="K15" s="10" t="s">
        <v>347</v>
      </c>
      <c r="X15" s="10" t="s">
        <v>242</v>
      </c>
      <c r="Y15" s="20" t="s">
        <v>243</v>
      </c>
      <c r="AO15" s="17" t="s">
        <v>56</v>
      </c>
      <c r="AP15" s="23" t="s">
        <v>57</v>
      </c>
      <c r="AU15" s="17" t="s">
        <v>437</v>
      </c>
      <c r="AV15" s="23" t="s">
        <v>469</v>
      </c>
      <c r="BA15" s="17" t="s">
        <v>545</v>
      </c>
      <c r="BB15" s="17" t="s">
        <v>573</v>
      </c>
      <c r="BC15" s="23"/>
      <c r="BD15" s="23"/>
      <c r="BF15" s="17" t="s">
        <v>699</v>
      </c>
      <c r="BG15" s="17" t="s">
        <v>700</v>
      </c>
      <c r="BH15" s="17" t="s">
        <v>4</v>
      </c>
      <c r="BJ15"/>
      <c r="BK15"/>
      <c r="BM15"/>
      <c r="BO15" s="17" t="s">
        <v>855</v>
      </c>
      <c r="BP15" s="17" t="s">
        <v>885</v>
      </c>
      <c r="BR15"/>
      <c r="BT15"/>
      <c r="BU15"/>
      <c r="BV15"/>
    </row>
    <row r="16" spans="1:75" x14ac:dyDescent="0.2">
      <c r="A16" s="28" t="s">
        <v>671</v>
      </c>
      <c r="C16" s="17" t="s">
        <v>21</v>
      </c>
      <c r="G16" s="10" t="s">
        <v>58</v>
      </c>
      <c r="H16" s="20" t="s">
        <v>59</v>
      </c>
      <c r="J16" s="10" t="s">
        <v>113</v>
      </c>
      <c r="K16" s="10" t="s">
        <v>348</v>
      </c>
      <c r="X16" s="10" t="s">
        <v>244</v>
      </c>
      <c r="Y16" s="20" t="s">
        <v>245</v>
      </c>
      <c r="AO16" s="17" t="s">
        <v>58</v>
      </c>
      <c r="AP16" s="23" t="s">
        <v>59</v>
      </c>
      <c r="AU16" s="17" t="s">
        <v>438</v>
      </c>
      <c r="AV16" s="23" t="s">
        <v>470</v>
      </c>
      <c r="BA16" s="17" t="s">
        <v>546</v>
      </c>
      <c r="BB16" s="17" t="s">
        <v>15</v>
      </c>
      <c r="BC16" s="23"/>
      <c r="BD16" s="23"/>
      <c r="BF16" s="17" t="s">
        <v>701</v>
      </c>
      <c r="BG16" s="17" t="s">
        <v>702</v>
      </c>
      <c r="BH16" s="17" t="s">
        <v>4</v>
      </c>
      <c r="BJ16"/>
      <c r="BK16"/>
      <c r="BM16"/>
      <c r="BO16" s="17" t="s">
        <v>886</v>
      </c>
      <c r="BP16" s="17" t="s">
        <v>887</v>
      </c>
      <c r="BR16"/>
      <c r="BT16"/>
      <c r="BU16"/>
      <c r="BV16"/>
    </row>
    <row r="17" spans="1:74" x14ac:dyDescent="0.2">
      <c r="A17" s="26" t="s">
        <v>670</v>
      </c>
      <c r="C17" s="17" t="s">
        <v>22</v>
      </c>
      <c r="G17" s="10" t="s">
        <v>60</v>
      </c>
      <c r="H17" s="20" t="s">
        <v>61</v>
      </c>
      <c r="J17" s="10" t="s">
        <v>114</v>
      </c>
      <c r="K17" s="10" t="s">
        <v>349</v>
      </c>
      <c r="X17" s="10" t="s">
        <v>246</v>
      </c>
      <c r="Y17" s="20" t="s">
        <v>247</v>
      </c>
      <c r="AO17" s="17" t="s">
        <v>60</v>
      </c>
      <c r="AP17" s="23" t="s">
        <v>61</v>
      </c>
      <c r="AU17" s="17" t="s">
        <v>439</v>
      </c>
      <c r="AV17" s="23" t="s">
        <v>471</v>
      </c>
      <c r="BA17" s="17" t="s">
        <v>547</v>
      </c>
      <c r="BB17" s="17" t="s">
        <v>574</v>
      </c>
      <c r="BC17" s="23"/>
      <c r="BD17" s="23"/>
      <c r="BF17" s="17" t="s">
        <v>703</v>
      </c>
      <c r="BG17" s="17" t="s">
        <v>704</v>
      </c>
      <c r="BH17" s="17" t="s">
        <v>4</v>
      </c>
      <c r="BJ17"/>
      <c r="BK17"/>
      <c r="BM17"/>
      <c r="BO17" s="17" t="s">
        <v>888</v>
      </c>
      <c r="BP17" s="17" t="s">
        <v>889</v>
      </c>
      <c r="BR17"/>
      <c r="BT17"/>
      <c r="BU17"/>
      <c r="BV17"/>
    </row>
    <row r="18" spans="1:74" x14ac:dyDescent="0.2">
      <c r="A18" s="56" t="s">
        <v>676</v>
      </c>
      <c r="C18" s="17" t="s">
        <v>23</v>
      </c>
      <c r="G18" s="10" t="s">
        <v>62</v>
      </c>
      <c r="H18" s="20" t="s">
        <v>63</v>
      </c>
      <c r="J18" s="10" t="s">
        <v>115</v>
      </c>
      <c r="K18" s="10" t="s">
        <v>350</v>
      </c>
      <c r="X18" s="10" t="s">
        <v>248</v>
      </c>
      <c r="Y18" s="20" t="s">
        <v>249</v>
      </c>
      <c r="AO18" s="17" t="s">
        <v>62</v>
      </c>
      <c r="AP18" s="23" t="s">
        <v>63</v>
      </c>
      <c r="AU18" s="17" t="s">
        <v>440</v>
      </c>
      <c r="AV18" s="23" t="s">
        <v>472</v>
      </c>
      <c r="BA18" s="17" t="s">
        <v>548</v>
      </c>
      <c r="BB18" s="17" t="s">
        <v>575</v>
      </c>
      <c r="BC18" s="23"/>
      <c r="BD18" s="23"/>
      <c r="BF18" s="17" t="s">
        <v>705</v>
      </c>
      <c r="BG18" s="17" t="s">
        <v>706</v>
      </c>
      <c r="BH18" s="17" t="s">
        <v>4</v>
      </c>
      <c r="BJ18"/>
      <c r="BK18"/>
      <c r="BM18"/>
      <c r="BO18" s="17" t="s">
        <v>890</v>
      </c>
      <c r="BP18" s="17" t="s">
        <v>891</v>
      </c>
      <c r="BR18"/>
      <c r="BT18"/>
      <c r="BU18"/>
      <c r="BV18"/>
    </row>
    <row r="19" spans="1:74" x14ac:dyDescent="0.2">
      <c r="A19" s="32" t="s">
        <v>675</v>
      </c>
      <c r="G19" s="10" t="s">
        <v>64</v>
      </c>
      <c r="H19" s="20" t="s">
        <v>65</v>
      </c>
      <c r="J19" s="10" t="s">
        <v>116</v>
      </c>
      <c r="K19" s="10" t="s">
        <v>351</v>
      </c>
      <c r="X19" s="10" t="s">
        <v>250</v>
      </c>
      <c r="Y19" s="20" t="s">
        <v>251</v>
      </c>
      <c r="AO19" s="17" t="s">
        <v>64</v>
      </c>
      <c r="AP19" s="23" t="s">
        <v>65</v>
      </c>
      <c r="AU19" s="17" t="s">
        <v>441</v>
      </c>
      <c r="AV19" s="23" t="s">
        <v>473</v>
      </c>
      <c r="BA19" s="17" t="s">
        <v>549</v>
      </c>
      <c r="BB19" s="17" t="s">
        <v>576</v>
      </c>
      <c r="BC19" s="23"/>
      <c r="BD19" s="23"/>
      <c r="BF19" s="17" t="s">
        <v>708</v>
      </c>
      <c r="BG19" s="17" t="s">
        <v>709</v>
      </c>
      <c r="BH19" s="17" t="s">
        <v>9</v>
      </c>
      <c r="BJ19"/>
      <c r="BK19"/>
      <c r="BM19"/>
      <c r="BO19" s="17" t="s">
        <v>892</v>
      </c>
      <c r="BP19" s="17" t="s">
        <v>893</v>
      </c>
      <c r="BR19"/>
      <c r="BT19"/>
      <c r="BU19"/>
      <c r="BV19"/>
    </row>
    <row r="20" spans="1:74" x14ac:dyDescent="0.2">
      <c r="A20" s="30" t="s">
        <v>674</v>
      </c>
      <c r="G20" s="10" t="s">
        <v>66</v>
      </c>
      <c r="H20" s="20" t="s">
        <v>67</v>
      </c>
      <c r="J20" s="10" t="s">
        <v>117</v>
      </c>
      <c r="K20" s="10" t="s">
        <v>352</v>
      </c>
      <c r="X20" s="10" t="s">
        <v>252</v>
      </c>
      <c r="Y20" s="20" t="s">
        <v>253</v>
      </c>
      <c r="AO20" s="17" t="s">
        <v>66</v>
      </c>
      <c r="AP20" s="23" t="s">
        <v>67</v>
      </c>
      <c r="AU20" s="17" t="s">
        <v>442</v>
      </c>
      <c r="AV20" s="23" t="s">
        <v>474</v>
      </c>
      <c r="BA20" s="17" t="s">
        <v>550</v>
      </c>
      <c r="BB20" s="17" t="s">
        <v>577</v>
      </c>
      <c r="BC20" s="23"/>
      <c r="BD20" s="23"/>
      <c r="BF20" s="17" t="s">
        <v>710</v>
      </c>
      <c r="BG20" s="17" t="s">
        <v>711</v>
      </c>
      <c r="BH20" s="17" t="s">
        <v>9</v>
      </c>
      <c r="BJ20"/>
      <c r="BK20"/>
      <c r="BM20"/>
      <c r="BO20" s="17" t="s">
        <v>894</v>
      </c>
      <c r="BP20" s="17" t="s">
        <v>895</v>
      </c>
      <c r="BR20"/>
      <c r="BT20"/>
      <c r="BU20"/>
      <c r="BV20"/>
    </row>
    <row r="21" spans="1:74" x14ac:dyDescent="0.2">
      <c r="A21" s="31" t="s">
        <v>672</v>
      </c>
      <c r="G21" s="10" t="s">
        <v>68</v>
      </c>
      <c r="H21" s="20" t="s">
        <v>69</v>
      </c>
      <c r="J21" s="10" t="s">
        <v>118</v>
      </c>
      <c r="K21" s="10" t="s">
        <v>353</v>
      </c>
      <c r="X21" s="10" t="s">
        <v>254</v>
      </c>
      <c r="Y21" s="20" t="s">
        <v>255</v>
      </c>
      <c r="AO21" s="17" t="s">
        <v>68</v>
      </c>
      <c r="AP21" s="23" t="s">
        <v>69</v>
      </c>
      <c r="AU21" s="17" t="s">
        <v>443</v>
      </c>
      <c r="AV21" s="23" t="s">
        <v>475</v>
      </c>
      <c r="BA21" s="17" t="s">
        <v>551</v>
      </c>
      <c r="BB21" s="17" t="s">
        <v>578</v>
      </c>
      <c r="BC21" s="23"/>
      <c r="BD21" s="23"/>
      <c r="BF21" s="17" t="s">
        <v>712</v>
      </c>
      <c r="BG21" s="17" t="s">
        <v>713</v>
      </c>
      <c r="BH21" s="17" t="s">
        <v>9</v>
      </c>
      <c r="BJ21"/>
      <c r="BK21"/>
      <c r="BM21"/>
      <c r="BO21" s="17" t="s">
        <v>896</v>
      </c>
      <c r="BP21" s="17" t="s">
        <v>897</v>
      </c>
      <c r="BR21"/>
      <c r="BT21"/>
      <c r="BU21"/>
      <c r="BV21"/>
    </row>
    <row r="22" spans="1:74" x14ac:dyDescent="0.2">
      <c r="A22" s="6" t="s">
        <v>673</v>
      </c>
      <c r="G22" s="10" t="s">
        <v>70</v>
      </c>
      <c r="H22" s="20" t="s">
        <v>71</v>
      </c>
      <c r="J22" s="10" t="s">
        <v>119</v>
      </c>
      <c r="K22" s="10" t="s">
        <v>354</v>
      </c>
      <c r="X22" s="10" t="s">
        <v>256</v>
      </c>
      <c r="Y22" s="20" t="s">
        <v>257</v>
      </c>
      <c r="AO22" s="17" t="s">
        <v>70</v>
      </c>
      <c r="AP22" s="23" t="s">
        <v>71</v>
      </c>
      <c r="AU22" s="17" t="s">
        <v>444</v>
      </c>
      <c r="AV22" s="23" t="s">
        <v>476</v>
      </c>
      <c r="BA22" s="17" t="s">
        <v>552</v>
      </c>
      <c r="BB22" s="17" t="s">
        <v>579</v>
      </c>
      <c r="BC22" s="23"/>
      <c r="BD22" s="23"/>
      <c r="BF22" s="17" t="s">
        <v>714</v>
      </c>
      <c r="BG22" s="17" t="s">
        <v>715</v>
      </c>
      <c r="BH22" s="17" t="s">
        <v>9</v>
      </c>
      <c r="BJ22"/>
      <c r="BK22"/>
      <c r="BM22"/>
      <c r="BO22" s="17" t="s">
        <v>898</v>
      </c>
      <c r="BP22" s="17" t="s">
        <v>899</v>
      </c>
      <c r="BR22"/>
      <c r="BT22"/>
      <c r="BU22"/>
      <c r="BV22"/>
    </row>
    <row r="23" spans="1:74" x14ac:dyDescent="0.2">
      <c r="G23" s="10" t="s">
        <v>72</v>
      </c>
      <c r="H23" s="20" t="s">
        <v>73</v>
      </c>
      <c r="J23" s="10" t="s">
        <v>120</v>
      </c>
      <c r="K23" s="10" t="s">
        <v>355</v>
      </c>
      <c r="X23" s="10" t="s">
        <v>258</v>
      </c>
      <c r="Y23" s="20" t="s">
        <v>259</v>
      </c>
      <c r="AO23" s="17" t="s">
        <v>72</v>
      </c>
      <c r="AP23" s="23" t="s">
        <v>73</v>
      </c>
      <c r="AU23" s="17" t="s">
        <v>445</v>
      </c>
      <c r="AV23" s="23" t="s">
        <v>477</v>
      </c>
      <c r="BA23" s="17" t="s">
        <v>553</v>
      </c>
      <c r="BB23" s="17" t="s">
        <v>580</v>
      </c>
      <c r="BC23" s="23"/>
      <c r="BD23" s="23"/>
      <c r="BF23" s="17" t="s">
        <v>716</v>
      </c>
      <c r="BG23" s="17" t="s">
        <v>717</v>
      </c>
      <c r="BH23" s="17" t="s">
        <v>9</v>
      </c>
      <c r="BJ23"/>
      <c r="BK23"/>
      <c r="BM23"/>
      <c r="BO23" s="17" t="s">
        <v>900</v>
      </c>
      <c r="BP23" s="17" t="s">
        <v>901</v>
      </c>
      <c r="BR23"/>
      <c r="BT23"/>
      <c r="BU23"/>
      <c r="BV23"/>
    </row>
    <row r="24" spans="1:74" x14ac:dyDescent="0.2">
      <c r="G24" s="10" t="s">
        <v>74</v>
      </c>
      <c r="H24" s="20" t="s">
        <v>75</v>
      </c>
      <c r="J24" s="10" t="s">
        <v>121</v>
      </c>
      <c r="K24" s="10" t="s">
        <v>356</v>
      </c>
      <c r="X24" s="10" t="s">
        <v>260</v>
      </c>
      <c r="Y24" s="20" t="s">
        <v>261</v>
      </c>
      <c r="AO24" s="17" t="s">
        <v>74</v>
      </c>
      <c r="AP24" s="23" t="s">
        <v>75</v>
      </c>
      <c r="AU24" s="17" t="s">
        <v>446</v>
      </c>
      <c r="AV24" s="23" t="s">
        <v>478</v>
      </c>
      <c r="BA24" s="17" t="s">
        <v>554</v>
      </c>
      <c r="BB24" s="17" t="s">
        <v>581</v>
      </c>
      <c r="BC24" s="23"/>
      <c r="BD24" s="23"/>
      <c r="BF24" s="17" t="s">
        <v>718</v>
      </c>
      <c r="BG24" s="17" t="s">
        <v>719</v>
      </c>
      <c r="BH24" s="17" t="s">
        <v>9</v>
      </c>
      <c r="BJ24"/>
      <c r="BK24"/>
      <c r="BM24"/>
      <c r="BO24" s="17" t="s">
        <v>902</v>
      </c>
      <c r="BP24" s="17" t="s">
        <v>903</v>
      </c>
      <c r="BR24"/>
      <c r="BT24"/>
      <c r="BU24"/>
      <c r="BV24"/>
    </row>
    <row r="25" spans="1:74" x14ac:dyDescent="0.2">
      <c r="G25" s="10" t="s">
        <v>76</v>
      </c>
      <c r="H25" s="20" t="s">
        <v>77</v>
      </c>
      <c r="J25" s="10" t="s">
        <v>122</v>
      </c>
      <c r="K25" s="10" t="s">
        <v>357</v>
      </c>
      <c r="X25" s="10" t="s">
        <v>262</v>
      </c>
      <c r="Y25" s="20" t="s">
        <v>263</v>
      </c>
      <c r="AO25" s="17" t="s">
        <v>76</v>
      </c>
      <c r="AP25" s="23" t="s">
        <v>77</v>
      </c>
      <c r="AU25" s="17" t="s">
        <v>447</v>
      </c>
      <c r="AV25" s="23" t="s">
        <v>479</v>
      </c>
      <c r="BA25" s="17" t="s">
        <v>555</v>
      </c>
      <c r="BB25" s="17" t="s">
        <v>582</v>
      </c>
      <c r="BC25" s="23"/>
      <c r="BD25" s="23"/>
      <c r="BF25" s="17" t="s">
        <v>720</v>
      </c>
      <c r="BG25" s="17" t="s">
        <v>721</v>
      </c>
      <c r="BH25" s="17" t="s">
        <v>9</v>
      </c>
      <c r="BJ25"/>
      <c r="BK25"/>
      <c r="BM25"/>
      <c r="BO25" s="17" t="s">
        <v>904</v>
      </c>
      <c r="BP25" s="17" t="s">
        <v>905</v>
      </c>
      <c r="BR25"/>
      <c r="BT25"/>
      <c r="BU25"/>
      <c r="BV25"/>
    </row>
    <row r="26" spans="1:74" x14ac:dyDescent="0.2">
      <c r="G26" s="10" t="s">
        <v>78</v>
      </c>
      <c r="H26" s="20" t="s">
        <v>79</v>
      </c>
      <c r="J26" s="10" t="s">
        <v>123</v>
      </c>
      <c r="K26" s="10" t="s">
        <v>358</v>
      </c>
      <c r="X26" s="10" t="s">
        <v>264</v>
      </c>
      <c r="Y26" s="20" t="s">
        <v>265</v>
      </c>
      <c r="AO26" s="17" t="s">
        <v>78</v>
      </c>
      <c r="AP26" s="23" t="s">
        <v>79</v>
      </c>
      <c r="AU26" s="17" t="s">
        <v>448</v>
      </c>
      <c r="AV26" s="23" t="s">
        <v>480</v>
      </c>
      <c r="BA26" s="17" t="s">
        <v>556</v>
      </c>
      <c r="BB26" s="17" t="s">
        <v>16</v>
      </c>
      <c r="BC26" s="23"/>
      <c r="BD26" s="23"/>
      <c r="BF26" s="17" t="s">
        <v>722</v>
      </c>
      <c r="BG26" s="17" t="s">
        <v>723</v>
      </c>
      <c r="BH26" s="17" t="s">
        <v>9</v>
      </c>
      <c r="BJ26"/>
      <c r="BK26"/>
      <c r="BM26"/>
      <c r="BO26" s="17" t="s">
        <v>853</v>
      </c>
      <c r="BP26" s="17" t="s">
        <v>906</v>
      </c>
      <c r="BR26"/>
      <c r="BT26"/>
      <c r="BU26"/>
      <c r="BV26"/>
    </row>
    <row r="27" spans="1:74" x14ac:dyDescent="0.2">
      <c r="G27" s="10" t="s">
        <v>80</v>
      </c>
      <c r="H27" s="20" t="s">
        <v>81</v>
      </c>
      <c r="J27" s="10" t="s">
        <v>124</v>
      </c>
      <c r="K27" s="10" t="s">
        <v>359</v>
      </c>
      <c r="X27" s="10" t="s">
        <v>266</v>
      </c>
      <c r="Y27" s="20" t="s">
        <v>267</v>
      </c>
      <c r="AO27" s="17" t="s">
        <v>80</v>
      </c>
      <c r="AP27" s="23" t="s">
        <v>81</v>
      </c>
      <c r="AU27" s="17" t="s">
        <v>449</v>
      </c>
      <c r="AV27" s="23" t="s">
        <v>481</v>
      </c>
      <c r="BA27" s="17" t="s">
        <v>557</v>
      </c>
      <c r="BB27" s="17" t="s">
        <v>583</v>
      </c>
      <c r="BC27" s="23"/>
      <c r="BD27" s="23"/>
      <c r="BF27" s="17" t="s">
        <v>724</v>
      </c>
      <c r="BG27" s="17" t="s">
        <v>725</v>
      </c>
      <c r="BH27" s="17" t="s">
        <v>9</v>
      </c>
      <c r="BJ27"/>
      <c r="BK27"/>
      <c r="BM27"/>
      <c r="BO27" s="17" t="s">
        <v>907</v>
      </c>
      <c r="BP27" s="17" t="s">
        <v>908</v>
      </c>
      <c r="BR27"/>
      <c r="BT27"/>
      <c r="BU27"/>
      <c r="BV27"/>
    </row>
    <row r="28" spans="1:74" x14ac:dyDescent="0.2">
      <c r="G28" s="10" t="s">
        <v>82</v>
      </c>
      <c r="H28" s="20" t="s">
        <v>83</v>
      </c>
      <c r="J28" s="10" t="s">
        <v>125</v>
      </c>
      <c r="K28" s="10" t="s">
        <v>360</v>
      </c>
      <c r="X28" s="10" t="s">
        <v>268</v>
      </c>
      <c r="Y28" s="20" t="s">
        <v>269</v>
      </c>
      <c r="AO28" s="17" t="s">
        <v>82</v>
      </c>
      <c r="AP28" s="23" t="s">
        <v>83</v>
      </c>
      <c r="AU28" s="17" t="s">
        <v>450</v>
      </c>
      <c r="AV28" s="23" t="s">
        <v>482</v>
      </c>
      <c r="BA28" s="17" t="s">
        <v>558</v>
      </c>
      <c r="BB28" s="17" t="s">
        <v>584</v>
      </c>
      <c r="BC28" s="23"/>
      <c r="BD28" s="23"/>
      <c r="BF28" s="17" t="s">
        <v>726</v>
      </c>
      <c r="BG28" s="17" t="s">
        <v>727</v>
      </c>
      <c r="BH28" s="17" t="s">
        <v>9</v>
      </c>
      <c r="BJ28"/>
      <c r="BK28"/>
      <c r="BM28"/>
      <c r="BO28" s="17" t="s">
        <v>909</v>
      </c>
      <c r="BP28" s="17" t="s">
        <v>910</v>
      </c>
      <c r="BR28"/>
      <c r="BT28"/>
      <c r="BU28"/>
      <c r="BV28"/>
    </row>
    <row r="29" spans="1:74" x14ac:dyDescent="0.2">
      <c r="G29" s="10" t="s">
        <v>84</v>
      </c>
      <c r="H29" s="20" t="s">
        <v>85</v>
      </c>
      <c r="J29" s="10" t="s">
        <v>126</v>
      </c>
      <c r="K29" s="10" t="s">
        <v>361</v>
      </c>
      <c r="X29" s="10" t="s">
        <v>270</v>
      </c>
      <c r="Y29" s="20" t="s">
        <v>271</v>
      </c>
      <c r="AO29" s="17" t="s">
        <v>84</v>
      </c>
      <c r="AP29" s="23" t="s">
        <v>85</v>
      </c>
      <c r="AU29" s="17" t="s">
        <v>451</v>
      </c>
      <c r="AV29" s="23" t="s">
        <v>483</v>
      </c>
      <c r="BA29" s="17" t="s">
        <v>559</v>
      </c>
      <c r="BB29" s="17" t="s">
        <v>585</v>
      </c>
      <c r="BC29" s="23"/>
      <c r="BD29" s="23"/>
      <c r="BF29" s="17" t="s">
        <v>728</v>
      </c>
      <c r="BG29" s="17" t="s">
        <v>729</v>
      </c>
      <c r="BH29" s="17" t="s">
        <v>9</v>
      </c>
      <c r="BJ29"/>
      <c r="BK29"/>
      <c r="BM29"/>
      <c r="BO29" s="17" t="s">
        <v>911</v>
      </c>
      <c r="BP29" s="17" t="s">
        <v>912</v>
      </c>
      <c r="BR29"/>
      <c r="BT29"/>
      <c r="BU29"/>
      <c r="BV29"/>
    </row>
    <row r="30" spans="1:74" x14ac:dyDescent="0.2">
      <c r="G30" s="10" t="s">
        <v>86</v>
      </c>
      <c r="H30" s="20" t="s">
        <v>87</v>
      </c>
      <c r="X30" s="10" t="s">
        <v>272</v>
      </c>
      <c r="Y30" s="20" t="s">
        <v>273</v>
      </c>
      <c r="AO30" s="17" t="s">
        <v>86</v>
      </c>
      <c r="AP30" s="23" t="s">
        <v>87</v>
      </c>
      <c r="AU30" s="17" t="s">
        <v>452</v>
      </c>
      <c r="AV30" s="23" t="s">
        <v>484</v>
      </c>
      <c r="BA30" s="17" t="s">
        <v>560</v>
      </c>
      <c r="BB30" s="17" t="s">
        <v>586</v>
      </c>
      <c r="BC30" s="23"/>
      <c r="BD30" s="23"/>
      <c r="BF30" s="17" t="s">
        <v>730</v>
      </c>
      <c r="BG30" s="17" t="s">
        <v>731</v>
      </c>
      <c r="BH30" s="17" t="s">
        <v>9</v>
      </c>
      <c r="BJ30"/>
      <c r="BK30"/>
      <c r="BM30"/>
      <c r="BO30" s="17" t="s">
        <v>913</v>
      </c>
      <c r="BP30" s="17" t="s">
        <v>914</v>
      </c>
      <c r="BR30"/>
      <c r="BT30"/>
      <c r="BU30"/>
      <c r="BV30"/>
    </row>
    <row r="31" spans="1:74" x14ac:dyDescent="0.2">
      <c r="G31" s="10" t="s">
        <v>88</v>
      </c>
      <c r="H31" s="20" t="s">
        <v>89</v>
      </c>
      <c r="X31" s="10" t="s">
        <v>274</v>
      </c>
      <c r="Y31" s="20" t="s">
        <v>275</v>
      </c>
      <c r="AO31" s="17" t="s">
        <v>88</v>
      </c>
      <c r="AP31" s="23" t="s">
        <v>89</v>
      </c>
      <c r="AU31" s="17" t="s">
        <v>453</v>
      </c>
      <c r="AV31" s="23" t="s">
        <v>485</v>
      </c>
      <c r="BA31" s="17" t="s">
        <v>561</v>
      </c>
      <c r="BB31" s="17" t="s">
        <v>17</v>
      </c>
      <c r="BC31" s="23"/>
      <c r="BD31" s="23"/>
      <c r="BF31" s="17" t="s">
        <v>732</v>
      </c>
      <c r="BG31" s="17" t="s">
        <v>733</v>
      </c>
      <c r="BH31" s="17" t="s">
        <v>9</v>
      </c>
      <c r="BJ31"/>
      <c r="BK31"/>
      <c r="BM31"/>
      <c r="BO31" s="17" t="s">
        <v>915</v>
      </c>
      <c r="BP31" s="17" t="s">
        <v>916</v>
      </c>
      <c r="BR31"/>
      <c r="BT31"/>
      <c r="BU31"/>
      <c r="BV31"/>
    </row>
    <row r="32" spans="1:74" x14ac:dyDescent="0.2">
      <c r="G32" s="10" t="s">
        <v>90</v>
      </c>
      <c r="H32" s="20" t="s">
        <v>91</v>
      </c>
      <c r="X32" s="10" t="s">
        <v>276</v>
      </c>
      <c r="Y32" s="20" t="s">
        <v>277</v>
      </c>
      <c r="AO32" s="17" t="s">
        <v>90</v>
      </c>
      <c r="AP32" s="23" t="s">
        <v>91</v>
      </c>
      <c r="AU32" s="17" t="s">
        <v>454</v>
      </c>
      <c r="AV32" s="23" t="s">
        <v>486</v>
      </c>
      <c r="BA32" s="17" t="s">
        <v>562</v>
      </c>
      <c r="BB32" s="17" t="s">
        <v>587</v>
      </c>
      <c r="BC32" s="23"/>
      <c r="BD32" s="23"/>
      <c r="BF32" s="17" t="s">
        <v>734</v>
      </c>
      <c r="BG32" s="17" t="s">
        <v>735</v>
      </c>
      <c r="BH32" s="17" t="s">
        <v>9</v>
      </c>
      <c r="BJ32"/>
      <c r="BK32"/>
      <c r="BM32"/>
      <c r="BO32" s="17" t="s">
        <v>917</v>
      </c>
      <c r="BP32" s="17" t="s">
        <v>918</v>
      </c>
      <c r="BR32"/>
      <c r="BT32"/>
      <c r="BU32"/>
      <c r="BV32"/>
    </row>
    <row r="33" spans="1:74" x14ac:dyDescent="0.2">
      <c r="A33" s="71"/>
      <c r="X33" s="10" t="s">
        <v>278</v>
      </c>
      <c r="Y33" s="20" t="s">
        <v>279</v>
      </c>
      <c r="AU33" s="17" t="s">
        <v>455</v>
      </c>
      <c r="AV33" s="23" t="s">
        <v>487</v>
      </c>
      <c r="BA33" s="17"/>
      <c r="BB33" s="17" t="s">
        <v>588</v>
      </c>
      <c r="BC33" s="23"/>
      <c r="BD33" s="23"/>
      <c r="BF33" s="17" t="s">
        <v>736</v>
      </c>
      <c r="BG33" s="17" t="s">
        <v>737</v>
      </c>
      <c r="BH33" s="17" t="s">
        <v>9</v>
      </c>
      <c r="BJ33"/>
      <c r="BK33"/>
      <c r="BM33"/>
      <c r="BO33" s="17" t="s">
        <v>919</v>
      </c>
      <c r="BP33" s="17" t="s">
        <v>920</v>
      </c>
      <c r="BR33"/>
      <c r="BT33"/>
      <c r="BU33"/>
      <c r="BV33"/>
    </row>
    <row r="34" spans="1:74" x14ac:dyDescent="0.2">
      <c r="X34" s="10" t="s">
        <v>280</v>
      </c>
      <c r="Y34" s="20" t="s">
        <v>281</v>
      </c>
      <c r="AU34" s="17" t="s">
        <v>456</v>
      </c>
      <c r="AV34" s="23" t="s">
        <v>488</v>
      </c>
      <c r="BA34" s="17"/>
      <c r="BB34" s="17" t="s">
        <v>589</v>
      </c>
      <c r="BC34" s="23"/>
      <c r="BD34" s="23"/>
      <c r="BF34" s="17" t="s">
        <v>738</v>
      </c>
      <c r="BG34" s="17" t="s">
        <v>739</v>
      </c>
      <c r="BH34" s="17" t="s">
        <v>9</v>
      </c>
      <c r="BJ34"/>
      <c r="BK34"/>
      <c r="BM34"/>
      <c r="BO34" s="17" t="s">
        <v>921</v>
      </c>
      <c r="BP34" s="17" t="s">
        <v>922</v>
      </c>
      <c r="BR34"/>
      <c r="BT34"/>
      <c r="BU34"/>
      <c r="BV34"/>
    </row>
    <row r="35" spans="1:74" x14ac:dyDescent="0.2">
      <c r="X35" s="10" t="s">
        <v>282</v>
      </c>
      <c r="Y35" s="20" t="s">
        <v>283</v>
      </c>
      <c r="AU35" s="17" t="s">
        <v>457</v>
      </c>
      <c r="AV35" s="23" t="s">
        <v>489</v>
      </c>
      <c r="BA35" s="17"/>
      <c r="BB35" s="17" t="s">
        <v>590</v>
      </c>
      <c r="BC35" s="23"/>
      <c r="BD35" s="23"/>
      <c r="BF35" s="17" t="s">
        <v>740</v>
      </c>
      <c r="BG35" s="17" t="s">
        <v>741</v>
      </c>
      <c r="BH35" s="17" t="s">
        <v>9</v>
      </c>
      <c r="BJ35"/>
      <c r="BK35"/>
      <c r="BM35"/>
      <c r="BO35"/>
      <c r="BP35"/>
      <c r="BR35"/>
      <c r="BT35"/>
      <c r="BU35"/>
      <c r="BV35"/>
    </row>
    <row r="36" spans="1:74" x14ac:dyDescent="0.2">
      <c r="X36" s="10" t="s">
        <v>284</v>
      </c>
      <c r="Y36" s="20" t="s">
        <v>285</v>
      </c>
      <c r="AU36" s="17"/>
      <c r="AV36" s="23"/>
      <c r="BA36" s="17"/>
      <c r="BB36" s="17" t="s">
        <v>591</v>
      </c>
      <c r="BC36" s="23"/>
      <c r="BD36" s="23"/>
      <c r="BF36" s="17" t="s">
        <v>742</v>
      </c>
      <c r="BG36" s="17" t="s">
        <v>743</v>
      </c>
      <c r="BH36" s="17" t="s">
        <v>9</v>
      </c>
      <c r="BJ36"/>
      <c r="BK36"/>
      <c r="BM36"/>
      <c r="BO36"/>
      <c r="BP36"/>
      <c r="BR36"/>
      <c r="BT36"/>
      <c r="BU36"/>
      <c r="BV36"/>
    </row>
    <row r="37" spans="1:74" x14ac:dyDescent="0.2">
      <c r="A37" s="71"/>
      <c r="X37" s="10" t="s">
        <v>286</v>
      </c>
      <c r="Y37" s="20" t="s">
        <v>287</v>
      </c>
      <c r="BA37" s="17"/>
      <c r="BB37" s="17" t="s">
        <v>592</v>
      </c>
      <c r="BC37" s="23"/>
      <c r="BD37" s="23"/>
      <c r="BF37" s="17" t="s">
        <v>744</v>
      </c>
      <c r="BG37" s="17" t="s">
        <v>745</v>
      </c>
      <c r="BH37" s="17" t="s">
        <v>9</v>
      </c>
      <c r="BJ37"/>
      <c r="BK37"/>
      <c r="BM37"/>
      <c r="BO37"/>
      <c r="BP37"/>
      <c r="BR37"/>
      <c r="BT37"/>
      <c r="BU37"/>
    </row>
    <row r="38" spans="1:74" x14ac:dyDescent="0.2">
      <c r="BA38" s="17"/>
      <c r="BB38" s="17" t="s">
        <v>593</v>
      </c>
      <c r="BC38" s="23"/>
      <c r="BD38" s="23"/>
      <c r="BF38" s="17" t="s">
        <v>746</v>
      </c>
      <c r="BG38" s="17" t="s">
        <v>747</v>
      </c>
      <c r="BH38" s="17" t="s">
        <v>9</v>
      </c>
      <c r="BJ38"/>
      <c r="BK38"/>
      <c r="BM38"/>
      <c r="BO38"/>
      <c r="BP38"/>
      <c r="BR38"/>
      <c r="BT38"/>
      <c r="BU38"/>
    </row>
    <row r="39" spans="1:74" x14ac:dyDescent="0.2">
      <c r="BA39" s="17"/>
      <c r="BB39" s="17" t="s">
        <v>594</v>
      </c>
      <c r="BC39" s="23"/>
      <c r="BD39" s="23"/>
      <c r="BF39" s="17" t="s">
        <v>705</v>
      </c>
      <c r="BG39" s="17" t="s">
        <v>706</v>
      </c>
      <c r="BH39" s="17" t="s">
        <v>9</v>
      </c>
      <c r="BJ39"/>
      <c r="BK39"/>
      <c r="BM39"/>
      <c r="BO39"/>
      <c r="BP39"/>
      <c r="BR39"/>
      <c r="BT39"/>
      <c r="BU39"/>
    </row>
    <row r="40" spans="1:74" x14ac:dyDescent="0.2">
      <c r="A40" s="60"/>
      <c r="BA40" s="17"/>
      <c r="BB40" s="17" t="s">
        <v>595</v>
      </c>
      <c r="BC40" s="23"/>
      <c r="BD40" s="23"/>
      <c r="BF40" s="17"/>
      <c r="BG40" s="17"/>
      <c r="BH40" s="17"/>
      <c r="BJ40"/>
      <c r="BK40"/>
      <c r="BM40"/>
      <c r="BO40"/>
      <c r="BP40"/>
      <c r="BR40"/>
      <c r="BT40"/>
      <c r="BU40"/>
    </row>
    <row r="41" spans="1:74" x14ac:dyDescent="0.2">
      <c r="BA41" s="17"/>
      <c r="BB41" s="17" t="s">
        <v>596</v>
      </c>
      <c r="BC41" s="23"/>
      <c r="BD41" s="23"/>
      <c r="BF41" s="17"/>
      <c r="BG41" s="17"/>
      <c r="BH41" s="17"/>
      <c r="BJ41"/>
      <c r="BK41"/>
      <c r="BM41"/>
      <c r="BO41"/>
      <c r="BP41"/>
      <c r="BR41"/>
      <c r="BT41"/>
      <c r="BU41"/>
    </row>
    <row r="42" spans="1:74" x14ac:dyDescent="0.2">
      <c r="BA42" s="17"/>
      <c r="BB42" s="17" t="s">
        <v>597</v>
      </c>
      <c r="BC42" s="23"/>
      <c r="BD42" s="23"/>
      <c r="BF42" s="17"/>
      <c r="BG42" s="17"/>
      <c r="BH42" s="17"/>
      <c r="BJ42"/>
      <c r="BK42"/>
      <c r="BM42"/>
      <c r="BO42"/>
      <c r="BP42"/>
      <c r="BR42"/>
      <c r="BT42"/>
      <c r="BU42"/>
    </row>
    <row r="43" spans="1:74" x14ac:dyDescent="0.2">
      <c r="BA43" s="17"/>
      <c r="BB43" s="17" t="s">
        <v>598</v>
      </c>
      <c r="BC43" s="23"/>
      <c r="BD43" s="23"/>
      <c r="BF43" s="17"/>
      <c r="BG43" s="17"/>
      <c r="BH43" s="17"/>
      <c r="BJ43"/>
      <c r="BK43"/>
      <c r="BM43"/>
      <c r="BO43"/>
      <c r="BP43"/>
      <c r="BR43"/>
      <c r="BT43"/>
      <c r="BU43"/>
    </row>
    <row r="44" spans="1:74" x14ac:dyDescent="0.2">
      <c r="A44" s="71"/>
      <c r="BA44" s="17"/>
      <c r="BB44" s="17" t="s">
        <v>599</v>
      </c>
      <c r="BC44" s="23"/>
      <c r="BD44" s="23"/>
      <c r="BF44" s="17"/>
      <c r="BG44" s="17"/>
      <c r="BH44" s="17"/>
      <c r="BJ44"/>
      <c r="BK44"/>
      <c r="BM44"/>
      <c r="BO44"/>
      <c r="BP44"/>
      <c r="BR44"/>
      <c r="BT44"/>
      <c r="BU44"/>
    </row>
    <row r="45" spans="1:74" x14ac:dyDescent="0.2">
      <c r="BA45" s="17"/>
      <c r="BB45" s="17" t="s">
        <v>600</v>
      </c>
      <c r="BC45" s="23"/>
      <c r="BD45" s="23"/>
      <c r="BF45" s="17"/>
      <c r="BG45" s="17"/>
      <c r="BH45" s="17"/>
      <c r="BJ45"/>
      <c r="BK45"/>
      <c r="BM45"/>
      <c r="BO45"/>
      <c r="BP45"/>
      <c r="BR45"/>
      <c r="BT45"/>
      <c r="BU45"/>
    </row>
    <row r="46" spans="1:74" x14ac:dyDescent="0.2">
      <c r="BA46" s="17"/>
      <c r="BB46" s="17" t="s">
        <v>601</v>
      </c>
      <c r="BC46" s="23"/>
      <c r="BD46" s="23"/>
      <c r="BF46" s="17"/>
      <c r="BG46" s="17"/>
      <c r="BH46" s="17"/>
      <c r="BJ46"/>
      <c r="BK46"/>
      <c r="BM46"/>
      <c r="BO46"/>
      <c r="BP46"/>
      <c r="BR46"/>
      <c r="BT46"/>
      <c r="BU46"/>
    </row>
    <row r="47" spans="1:74" x14ac:dyDescent="0.2">
      <c r="BA47" s="17"/>
      <c r="BB47" s="17" t="s">
        <v>602</v>
      </c>
      <c r="BC47" s="23"/>
      <c r="BD47" s="23"/>
      <c r="BF47" s="17"/>
      <c r="BG47" s="17"/>
      <c r="BH47" s="17"/>
      <c r="BJ47"/>
      <c r="BK47"/>
      <c r="BM47"/>
      <c r="BO47"/>
      <c r="BP47"/>
      <c r="BR47"/>
      <c r="BT47"/>
      <c r="BU47"/>
    </row>
    <row r="48" spans="1:74" x14ac:dyDescent="0.2">
      <c r="A48" s="11"/>
      <c r="BA48" s="17"/>
      <c r="BB48" s="17" t="s">
        <v>603</v>
      </c>
      <c r="BC48" s="23"/>
      <c r="BD48" s="23"/>
      <c r="BF48" s="17"/>
      <c r="BG48" s="17"/>
      <c r="BH48" s="17"/>
      <c r="BJ48"/>
      <c r="BK48"/>
      <c r="BM48"/>
      <c r="BO48"/>
      <c r="BP48"/>
      <c r="BR48"/>
      <c r="BT48"/>
      <c r="BU48"/>
    </row>
    <row r="49" spans="1:73" x14ac:dyDescent="0.2">
      <c r="A49" s="72"/>
      <c r="BA49" s="17"/>
      <c r="BB49" s="17" t="s">
        <v>604</v>
      </c>
      <c r="BC49" s="23"/>
      <c r="BD49" s="23"/>
      <c r="BF49" s="17"/>
      <c r="BG49" s="17"/>
      <c r="BH49" s="17"/>
      <c r="BJ49"/>
      <c r="BK49"/>
      <c r="BM49"/>
      <c r="BO49"/>
      <c r="BP49"/>
      <c r="BR49"/>
      <c r="BT49"/>
      <c r="BU49"/>
    </row>
    <row r="50" spans="1:73" x14ac:dyDescent="0.2">
      <c r="A50" s="11"/>
      <c r="BA50" s="17"/>
      <c r="BB50" s="17" t="s">
        <v>605</v>
      </c>
      <c r="BC50" s="23"/>
      <c r="BD50" s="23"/>
      <c r="BF50" s="17"/>
      <c r="BG50" s="17"/>
      <c r="BH50" s="17"/>
      <c r="BJ50"/>
      <c r="BK50"/>
      <c r="BM50"/>
      <c r="BO50"/>
      <c r="BP50"/>
      <c r="BR50"/>
      <c r="BT50"/>
      <c r="BU50"/>
    </row>
    <row r="51" spans="1:73" x14ac:dyDescent="0.2">
      <c r="A51" s="11"/>
      <c r="BA51" s="17"/>
      <c r="BB51" s="17" t="s">
        <v>18</v>
      </c>
      <c r="BC51" s="23"/>
      <c r="BD51" s="23"/>
      <c r="BF51" s="17"/>
      <c r="BG51" s="17"/>
      <c r="BH51" s="17"/>
      <c r="BJ51"/>
      <c r="BK51"/>
      <c r="BM51"/>
      <c r="BO51"/>
      <c r="BP51"/>
      <c r="BR51"/>
      <c r="BT51"/>
      <c r="BU51"/>
    </row>
    <row r="52" spans="1:73" x14ac:dyDescent="0.2">
      <c r="A52" s="11"/>
      <c r="BA52" s="17"/>
      <c r="BB52" s="17" t="s">
        <v>606</v>
      </c>
      <c r="BC52" s="23"/>
      <c r="BD52" s="23"/>
      <c r="BF52" s="17"/>
      <c r="BG52" s="17"/>
      <c r="BH52" s="17"/>
      <c r="BJ52"/>
      <c r="BK52"/>
      <c r="BM52"/>
      <c r="BO52"/>
      <c r="BP52"/>
      <c r="BR52"/>
      <c r="BT52"/>
      <c r="BU52"/>
    </row>
    <row r="53" spans="1:73" x14ac:dyDescent="0.2">
      <c r="A53" s="11"/>
      <c r="BA53" s="17"/>
      <c r="BB53" s="17" t="s">
        <v>19</v>
      </c>
      <c r="BC53" s="23"/>
      <c r="BD53" s="23"/>
      <c r="BF53" s="17"/>
      <c r="BG53" s="17"/>
      <c r="BH53" s="17"/>
      <c r="BJ53"/>
      <c r="BK53"/>
      <c r="BM53"/>
      <c r="BO53"/>
      <c r="BP53"/>
      <c r="BR53"/>
      <c r="BT53"/>
      <c r="BU53"/>
    </row>
    <row r="54" spans="1:73" x14ac:dyDescent="0.2">
      <c r="BA54" s="17"/>
      <c r="BB54" s="17" t="s">
        <v>5</v>
      </c>
      <c r="BC54" s="23"/>
      <c r="BD54" s="23"/>
      <c r="BF54" s="17"/>
      <c r="BG54" s="17"/>
      <c r="BH54" s="17"/>
      <c r="BJ54"/>
      <c r="BK54"/>
      <c r="BM54"/>
      <c r="BO54"/>
      <c r="BP54"/>
      <c r="BR54"/>
      <c r="BT54"/>
      <c r="BU54"/>
    </row>
    <row r="55" spans="1:73" x14ac:dyDescent="0.2">
      <c r="BA55" s="17"/>
      <c r="BB55" s="17" t="s">
        <v>607</v>
      </c>
      <c r="BC55" s="23"/>
      <c r="BD55" s="23"/>
      <c r="BF55" s="17"/>
      <c r="BG55" s="17"/>
      <c r="BH55" s="17"/>
      <c r="BJ55"/>
      <c r="BK55"/>
      <c r="BM55"/>
      <c r="BO55"/>
      <c r="BP55"/>
      <c r="BR55"/>
      <c r="BT55"/>
      <c r="BU55"/>
    </row>
    <row r="56" spans="1:73" x14ac:dyDescent="0.2">
      <c r="BA56" s="17"/>
      <c r="BB56" s="17" t="s">
        <v>21</v>
      </c>
      <c r="BC56" s="23"/>
      <c r="BD56" s="23"/>
      <c r="BF56" s="17"/>
      <c r="BG56" s="17"/>
      <c r="BH56" s="17"/>
      <c r="BJ56"/>
      <c r="BK56"/>
      <c r="BM56"/>
      <c r="BO56"/>
      <c r="BP56"/>
      <c r="BR56"/>
      <c r="BT56"/>
      <c r="BU56"/>
    </row>
    <row r="57" spans="1:73" x14ac:dyDescent="0.2">
      <c r="BA57" s="17"/>
      <c r="BB57" s="17" t="s">
        <v>608</v>
      </c>
      <c r="BC57" s="23"/>
      <c r="BD57" s="23"/>
      <c r="BF57" s="17"/>
      <c r="BG57" s="17"/>
      <c r="BH57" s="17"/>
      <c r="BJ57"/>
      <c r="BK57"/>
      <c r="BM57"/>
      <c r="BO57"/>
      <c r="BP57"/>
      <c r="BR57"/>
      <c r="BT57"/>
      <c r="BU57"/>
    </row>
    <row r="58" spans="1:73" x14ac:dyDescent="0.2">
      <c r="BA58" s="17"/>
      <c r="BB58" s="17" t="s">
        <v>22</v>
      </c>
      <c r="BC58" s="23"/>
      <c r="BD58" s="23"/>
      <c r="BF58" s="17"/>
      <c r="BG58" s="17"/>
      <c r="BH58" s="17"/>
      <c r="BJ58"/>
      <c r="BK58"/>
      <c r="BM58"/>
      <c r="BO58"/>
      <c r="BP58"/>
      <c r="BR58"/>
      <c r="BT58"/>
      <c r="BU58"/>
    </row>
    <row r="59" spans="1:73" x14ac:dyDescent="0.2">
      <c r="BA59" s="17"/>
      <c r="BB59" s="17" t="s">
        <v>609</v>
      </c>
      <c r="BC59" s="23"/>
      <c r="BD59" s="23"/>
      <c r="BF59" s="17"/>
      <c r="BG59" s="17"/>
      <c r="BH59" s="17"/>
      <c r="BJ59"/>
      <c r="BK59"/>
      <c r="BM59"/>
      <c r="BO59"/>
      <c r="BP59"/>
      <c r="BR59"/>
      <c r="BT59"/>
      <c r="BU59"/>
    </row>
    <row r="60" spans="1:73" x14ac:dyDescent="0.2">
      <c r="BA60" s="17"/>
      <c r="BB60" s="17" t="s">
        <v>610</v>
      </c>
      <c r="BC60" s="23"/>
      <c r="BD60" s="23"/>
      <c r="BF60" s="17"/>
      <c r="BG60" s="17"/>
      <c r="BH60" s="17"/>
      <c r="BJ60"/>
      <c r="BK60"/>
      <c r="BM60"/>
      <c r="BO60"/>
      <c r="BP60"/>
      <c r="BR60"/>
      <c r="BT60"/>
      <c r="BU60"/>
    </row>
    <row r="61" spans="1:73" x14ac:dyDescent="0.2">
      <c r="BA61" s="17"/>
      <c r="BB61" s="17" t="s">
        <v>611</v>
      </c>
      <c r="BC61" s="23"/>
      <c r="BD61" s="23"/>
      <c r="BF61" s="17"/>
      <c r="BG61" s="17"/>
      <c r="BH61" s="17"/>
      <c r="BJ61"/>
      <c r="BK61"/>
      <c r="BM61"/>
      <c r="BO61"/>
      <c r="BP61"/>
      <c r="BR61"/>
      <c r="BT61"/>
      <c r="BU61"/>
    </row>
    <row r="62" spans="1:73" x14ac:dyDescent="0.2">
      <c r="BA62" s="17"/>
      <c r="BB62" s="17" t="s">
        <v>612</v>
      </c>
      <c r="BC62" s="23"/>
      <c r="BD62" s="23"/>
      <c r="BF62" s="17"/>
      <c r="BG62" s="17"/>
      <c r="BH62" s="17"/>
      <c r="BJ62"/>
      <c r="BK62"/>
      <c r="BM62"/>
      <c r="BO62"/>
      <c r="BP62"/>
      <c r="BR62"/>
      <c r="BT62"/>
      <c r="BU62"/>
    </row>
    <row r="63" spans="1:73" x14ac:dyDescent="0.2">
      <c r="BA63" s="17"/>
      <c r="BB63" s="17" t="s">
        <v>613</v>
      </c>
      <c r="BC63" s="23"/>
      <c r="BD63" s="23"/>
      <c r="BF63" s="17"/>
      <c r="BG63" s="17"/>
      <c r="BH63" s="17"/>
      <c r="BJ63"/>
      <c r="BK63"/>
      <c r="BM63"/>
      <c r="BO63"/>
      <c r="BP63"/>
      <c r="BR63"/>
      <c r="BT63"/>
      <c r="BU63"/>
    </row>
    <row r="64" spans="1:73" x14ac:dyDescent="0.2">
      <c r="BA64" s="17"/>
      <c r="BB64" s="17" t="s">
        <v>614</v>
      </c>
      <c r="BC64" s="23"/>
      <c r="BD64" s="23"/>
      <c r="BF64" s="17"/>
      <c r="BG64" s="17"/>
      <c r="BH64" s="17"/>
      <c r="BJ64"/>
      <c r="BK64"/>
      <c r="BM64"/>
      <c r="BO64"/>
      <c r="BP64"/>
      <c r="BR64"/>
      <c r="BT64"/>
      <c r="BU64"/>
    </row>
    <row r="65" spans="53:73" x14ac:dyDescent="0.2">
      <c r="BA65" s="17"/>
      <c r="BB65" s="17" t="s">
        <v>615</v>
      </c>
      <c r="BC65" s="23"/>
      <c r="BD65" s="23"/>
      <c r="BF65" s="17"/>
      <c r="BG65" s="17"/>
      <c r="BH65" s="17"/>
      <c r="BJ65"/>
      <c r="BK65"/>
      <c r="BM65"/>
      <c r="BO65"/>
      <c r="BP65"/>
      <c r="BR65"/>
      <c r="BT65"/>
      <c r="BU65"/>
    </row>
    <row r="66" spans="53:73" x14ac:dyDescent="0.2">
      <c r="BA66" s="17"/>
      <c r="BB66" s="17" t="s">
        <v>616</v>
      </c>
      <c r="BC66" s="23"/>
      <c r="BD66" s="23"/>
      <c r="BF66" s="17"/>
      <c r="BG66" s="17"/>
      <c r="BH66" s="17"/>
      <c r="BJ66"/>
      <c r="BK66"/>
      <c r="BM66"/>
      <c r="BO66"/>
      <c r="BP66"/>
      <c r="BR66"/>
      <c r="BT66"/>
      <c r="BU66"/>
    </row>
    <row r="67" spans="53:73" x14ac:dyDescent="0.2">
      <c r="BA67" s="17"/>
      <c r="BB67" s="17" t="s">
        <v>617</v>
      </c>
      <c r="BC67" s="23"/>
      <c r="BD67" s="23"/>
      <c r="BF67" s="17"/>
      <c r="BG67" s="17"/>
      <c r="BH67" s="17"/>
      <c r="BJ67"/>
      <c r="BK67"/>
      <c r="BM67"/>
      <c r="BO67"/>
      <c r="BP67"/>
      <c r="BR67"/>
      <c r="BT67"/>
      <c r="BU67"/>
    </row>
    <row r="68" spans="53:73" x14ac:dyDescent="0.2">
      <c r="BA68" s="17"/>
      <c r="BB68" s="17" t="s">
        <v>618</v>
      </c>
      <c r="BC68" s="23"/>
      <c r="BD68" s="23"/>
      <c r="BF68" s="17"/>
      <c r="BG68" s="17"/>
      <c r="BH68" s="17"/>
      <c r="BJ68"/>
      <c r="BK68"/>
      <c r="BM68"/>
      <c r="BO68"/>
      <c r="BP68"/>
      <c r="BR68"/>
      <c r="BT68"/>
      <c r="BU68"/>
    </row>
    <row r="69" spans="53:73" x14ac:dyDescent="0.2">
      <c r="BA69" s="17"/>
      <c r="BB69" s="17" t="s">
        <v>619</v>
      </c>
      <c r="BC69" s="23"/>
      <c r="BD69" s="23"/>
      <c r="BF69" s="17"/>
      <c r="BG69" s="17"/>
      <c r="BH69" s="17"/>
      <c r="BJ69"/>
      <c r="BK69"/>
      <c r="BM69"/>
      <c r="BO69"/>
      <c r="BP69"/>
      <c r="BR69"/>
      <c r="BT69"/>
      <c r="BU69"/>
    </row>
    <row r="70" spans="53:73" x14ac:dyDescent="0.2">
      <c r="BA70" s="17"/>
      <c r="BB70" s="17" t="s">
        <v>620</v>
      </c>
      <c r="BC70" s="23"/>
      <c r="BD70" s="23"/>
      <c r="BF70" s="17"/>
      <c r="BG70" s="17"/>
      <c r="BH70" s="17"/>
      <c r="BJ70"/>
      <c r="BK70"/>
      <c r="BM70"/>
      <c r="BO70"/>
      <c r="BP70"/>
      <c r="BR70"/>
      <c r="BT70"/>
      <c r="BU70"/>
    </row>
    <row r="71" spans="53:73" x14ac:dyDescent="0.2">
      <c r="BA71" s="17"/>
      <c r="BB71" s="17" t="s">
        <v>621</v>
      </c>
      <c r="BC71" s="23"/>
      <c r="BD71" s="23"/>
      <c r="BF71" s="17"/>
      <c r="BG71" s="17"/>
      <c r="BH71" s="17"/>
      <c r="BJ71"/>
      <c r="BK71"/>
      <c r="BM71"/>
      <c r="BO71"/>
      <c r="BP71"/>
      <c r="BR71"/>
      <c r="BT71"/>
      <c r="BU71"/>
    </row>
    <row r="72" spans="53:73" x14ac:dyDescent="0.2">
      <c r="BA72" s="17"/>
      <c r="BB72" s="17" t="s">
        <v>622</v>
      </c>
      <c r="BC72" s="23"/>
      <c r="BD72" s="23"/>
      <c r="BF72" s="17"/>
      <c r="BG72" s="17"/>
      <c r="BH72" s="17"/>
      <c r="BJ72"/>
      <c r="BK72"/>
      <c r="BM72"/>
      <c r="BO72"/>
      <c r="BP72"/>
      <c r="BR72"/>
      <c r="BT72"/>
      <c r="BU72"/>
    </row>
    <row r="73" spans="53:73" x14ac:dyDescent="0.2">
      <c r="BA73" s="17"/>
      <c r="BB73" s="17" t="s">
        <v>623</v>
      </c>
      <c r="BC73" s="23"/>
      <c r="BD73" s="23"/>
      <c r="BF73" s="17"/>
      <c r="BG73" s="17"/>
      <c r="BH73" s="17"/>
      <c r="BJ73"/>
      <c r="BK73"/>
      <c r="BM73"/>
      <c r="BO73"/>
      <c r="BP73"/>
      <c r="BR73"/>
      <c r="BT73"/>
      <c r="BU73"/>
    </row>
    <row r="74" spans="53:73" x14ac:dyDescent="0.2">
      <c r="BA74" s="17"/>
      <c r="BB74" s="17" t="s">
        <v>624</v>
      </c>
      <c r="BC74" s="23"/>
      <c r="BD74" s="23"/>
      <c r="BF74" s="17"/>
      <c r="BG74" s="17"/>
      <c r="BH74" s="17"/>
      <c r="BJ74"/>
      <c r="BK74"/>
      <c r="BM74"/>
      <c r="BO74"/>
      <c r="BP74"/>
      <c r="BR74"/>
      <c r="BT74"/>
      <c r="BU74"/>
    </row>
    <row r="75" spans="53:73" x14ac:dyDescent="0.2">
      <c r="BA75" s="17"/>
      <c r="BB75" s="17" t="s">
        <v>625</v>
      </c>
      <c r="BC75" s="23"/>
      <c r="BD75" s="23"/>
      <c r="BF75" s="17"/>
      <c r="BG75" s="17"/>
      <c r="BH75" s="17"/>
      <c r="BJ75"/>
      <c r="BK75"/>
      <c r="BM75"/>
      <c r="BO75"/>
      <c r="BP75"/>
      <c r="BR75"/>
      <c r="BT75"/>
      <c r="BU75"/>
    </row>
    <row r="76" spans="53:73" x14ac:dyDescent="0.2">
      <c r="BA76" s="17"/>
      <c r="BB76" s="17" t="s">
        <v>626</v>
      </c>
      <c r="BC76" s="23"/>
      <c r="BD76" s="23"/>
      <c r="BF76" s="17"/>
      <c r="BG76" s="17"/>
      <c r="BH76" s="17"/>
      <c r="BJ76"/>
      <c r="BK76"/>
      <c r="BM76"/>
      <c r="BO76"/>
      <c r="BP76"/>
      <c r="BR76"/>
      <c r="BT76"/>
      <c r="BU76"/>
    </row>
    <row r="77" spans="53:73" x14ac:dyDescent="0.2">
      <c r="BA77" s="17"/>
      <c r="BB77" s="17" t="s">
        <v>627</v>
      </c>
      <c r="BC77" s="23"/>
      <c r="BD77" s="23"/>
      <c r="BF77" s="17"/>
      <c r="BG77" s="17"/>
      <c r="BH77" s="17"/>
      <c r="BJ77"/>
      <c r="BK77"/>
      <c r="BM77"/>
      <c r="BO77"/>
      <c r="BP77"/>
      <c r="BR77"/>
      <c r="BT77"/>
      <c r="BU77"/>
    </row>
    <row r="78" spans="53:73" x14ac:dyDescent="0.2">
      <c r="BA78" s="17"/>
      <c r="BB78" s="17" t="s">
        <v>628</v>
      </c>
      <c r="BC78" s="23"/>
      <c r="BD78" s="23"/>
      <c r="BF78" s="17"/>
      <c r="BG78" s="17"/>
      <c r="BH78" s="17"/>
      <c r="BJ78"/>
      <c r="BK78"/>
      <c r="BM78"/>
      <c r="BO78"/>
      <c r="BP78"/>
      <c r="BR78"/>
      <c r="BT78"/>
      <c r="BU78"/>
    </row>
    <row r="79" spans="53:73" x14ac:dyDescent="0.2">
      <c r="BA79" s="17"/>
      <c r="BB79" s="17" t="s">
        <v>629</v>
      </c>
      <c r="BC79" s="23"/>
      <c r="BD79" s="23"/>
      <c r="BF79" s="17"/>
      <c r="BG79" s="17"/>
      <c r="BH79" s="17"/>
      <c r="BJ79"/>
      <c r="BK79"/>
      <c r="BM79"/>
      <c r="BO79"/>
      <c r="BP79"/>
      <c r="BR79"/>
      <c r="BT79"/>
      <c r="BU79"/>
    </row>
    <row r="80" spans="53:73" x14ac:dyDescent="0.2">
      <c r="BA80" s="17"/>
      <c r="BB80" s="17" t="s">
        <v>630</v>
      </c>
      <c r="BC80" s="23"/>
      <c r="BD80" s="23"/>
      <c r="BF80" s="17"/>
      <c r="BG80" s="17"/>
      <c r="BH80" s="17"/>
      <c r="BJ80"/>
      <c r="BK80"/>
      <c r="BM80"/>
      <c r="BO80"/>
      <c r="BP80"/>
      <c r="BR80"/>
      <c r="BT80"/>
      <c r="BU80"/>
    </row>
    <row r="81" spans="53:73" x14ac:dyDescent="0.2">
      <c r="BA81" s="17"/>
      <c r="BB81" s="17" t="s">
        <v>631</v>
      </c>
      <c r="BC81" s="23"/>
      <c r="BD81" s="23"/>
      <c r="BF81" s="17"/>
      <c r="BG81" s="17"/>
      <c r="BH81" s="17"/>
      <c r="BJ81"/>
      <c r="BK81"/>
      <c r="BM81"/>
      <c r="BO81"/>
      <c r="BP81"/>
      <c r="BR81"/>
      <c r="BT81"/>
      <c r="BU81"/>
    </row>
    <row r="82" spans="53:73" x14ac:dyDescent="0.2">
      <c r="BA82" s="17"/>
      <c r="BB82" s="17" t="s">
        <v>632</v>
      </c>
      <c r="BC82" s="23"/>
      <c r="BD82" s="23"/>
      <c r="BF82" s="17"/>
      <c r="BG82" s="17"/>
      <c r="BH82" s="17"/>
      <c r="BJ82"/>
      <c r="BK82"/>
      <c r="BM82"/>
      <c r="BO82"/>
      <c r="BP82"/>
      <c r="BR82"/>
      <c r="BT82"/>
      <c r="BU82"/>
    </row>
    <row r="83" spans="53:73" x14ac:dyDescent="0.2">
      <c r="BA83" s="17"/>
      <c r="BB83" s="17" t="s">
        <v>633</v>
      </c>
      <c r="BC83" s="23"/>
      <c r="BD83" s="23"/>
      <c r="BF83" s="17"/>
      <c r="BG83" s="17"/>
      <c r="BH83" s="17"/>
      <c r="BJ83"/>
      <c r="BK83"/>
      <c r="BM83"/>
      <c r="BO83"/>
      <c r="BP83"/>
      <c r="BR83"/>
      <c r="BT83"/>
      <c r="BU83"/>
    </row>
    <row r="84" spans="53:73" x14ac:dyDescent="0.2">
      <c r="BA84" s="17"/>
      <c r="BB84" s="17" t="s">
        <v>634</v>
      </c>
      <c r="BC84" s="23"/>
      <c r="BD84" s="23"/>
      <c r="BF84" s="17"/>
      <c r="BG84" s="17"/>
      <c r="BH84" s="17"/>
      <c r="BJ84"/>
      <c r="BK84"/>
      <c r="BM84"/>
      <c r="BO84"/>
      <c r="BP84"/>
      <c r="BR84"/>
      <c r="BT84"/>
      <c r="BU84"/>
    </row>
    <row r="85" spans="53:73" x14ac:dyDescent="0.2">
      <c r="BA85" s="17"/>
      <c r="BB85" s="17" t="s">
        <v>635</v>
      </c>
      <c r="BC85" s="23"/>
      <c r="BD85" s="23"/>
      <c r="BF85" s="17"/>
      <c r="BG85" s="17"/>
      <c r="BH85" s="17"/>
      <c r="BJ85"/>
      <c r="BK85"/>
      <c r="BM85"/>
      <c r="BO85"/>
      <c r="BP85"/>
      <c r="BR85"/>
      <c r="BT85"/>
      <c r="BU85"/>
    </row>
    <row r="86" spans="53:73" x14ac:dyDescent="0.2">
      <c r="BA86" s="17"/>
      <c r="BB86" s="17" t="s">
        <v>636</v>
      </c>
      <c r="BC86" s="23"/>
      <c r="BD86" s="23"/>
      <c r="BF86" s="17"/>
      <c r="BG86" s="17"/>
      <c r="BH86" s="17"/>
      <c r="BJ86"/>
      <c r="BK86"/>
      <c r="BM86"/>
      <c r="BO86"/>
      <c r="BP86"/>
      <c r="BR86"/>
      <c r="BT86"/>
      <c r="BU86"/>
    </row>
    <row r="87" spans="53:73" x14ac:dyDescent="0.2">
      <c r="BA87" s="17"/>
      <c r="BB87" s="17" t="s">
        <v>637</v>
      </c>
      <c r="BC87" s="23"/>
      <c r="BD87" s="23"/>
      <c r="BF87" s="17"/>
      <c r="BG87" s="17"/>
      <c r="BH87" s="17"/>
      <c r="BJ87"/>
      <c r="BK87"/>
      <c r="BM87"/>
      <c r="BO87"/>
      <c r="BP87"/>
      <c r="BR87"/>
      <c r="BT87"/>
      <c r="BU87"/>
    </row>
  </sheetData>
  <sortState ref="AR4:AS12">
    <sortCondition ref="AR12"/>
  </sortState>
  <mergeCells count="19">
    <mergeCell ref="A1:A3"/>
    <mergeCell ref="G2:H2"/>
    <mergeCell ref="M2:N2"/>
    <mergeCell ref="P2:Y2"/>
    <mergeCell ref="J2:K2"/>
    <mergeCell ref="B2:E2"/>
    <mergeCell ref="BT2:BV2"/>
    <mergeCell ref="BO2:BP2"/>
    <mergeCell ref="AA2:AB2"/>
    <mergeCell ref="BJ2:BK2"/>
    <mergeCell ref="BF2:BH2"/>
    <mergeCell ref="AD2:AE2"/>
    <mergeCell ref="BA2:BD2"/>
    <mergeCell ref="AX2:AY2"/>
    <mergeCell ref="AI2:AJ2"/>
    <mergeCell ref="AL2:AM2"/>
    <mergeCell ref="AO2:AP2"/>
    <mergeCell ref="AR2:AS2"/>
    <mergeCell ref="AU2:AV2"/>
  </mergeCells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4" name="Button 1">
              <controlPr defaultSize="0" print="0" autoFill="0" autoPict="0" macro="[0]!Instalação">
                <anchor moveWithCells="1" siz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914400</xdr:colOff>
                    <xdr:row>1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7" r:id="rId5" name="Button 3">
              <controlPr defaultSize="0" print="0" autoFill="0" autoPict="0" macro="[0]!SelectArchive">
                <anchor moveWithCells="1" sizeWithCells="1">
                  <from>
                    <xdr:col>0</xdr:col>
                    <xdr:colOff>0</xdr:colOff>
                    <xdr:row>5</xdr:row>
                    <xdr:rowOff>0</xdr:rowOff>
                  </from>
                  <to>
                    <xdr:col>0</xdr:col>
                    <xdr:colOff>1600200</xdr:colOff>
                    <xdr:row>6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6" name="Button 4">
              <controlPr defaultSize="0" print="0" autoFill="0" autoPict="0" macro="[0]!GerarRelatorio">
                <anchor moveWithCells="1" sizeWithCells="1">
                  <from>
                    <xdr:col>0</xdr:col>
                    <xdr:colOff>0</xdr:colOff>
                    <xdr:row>8</xdr:row>
                    <xdr:rowOff>0</xdr:rowOff>
                  </from>
                  <to>
                    <xdr:col>0</xdr:col>
                    <xdr:colOff>1600200</xdr:colOff>
                    <xdr:row>9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7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A2DF6414-BE8B-4FE5-A99E-4761540B8FC0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9</vt:i4>
      </vt:variant>
    </vt:vector>
  </HeadingPairs>
  <TitlesOfParts>
    <vt:vector size="9" baseType="lpstr">
      <vt:lpstr>MM01</vt:lpstr>
      <vt:lpstr>CS40</vt:lpstr>
      <vt:lpstr>CA02</vt:lpstr>
      <vt:lpstr>MM02</vt:lpstr>
      <vt:lpstr>LPK1</vt:lpstr>
      <vt:lpstr>C223</vt:lpstr>
      <vt:lpstr>ZTMM_PURLINS</vt:lpstr>
      <vt:lpstr>Consulta</vt:lpstr>
      <vt:lpstr>Listas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FABIO MITSUEDA</dc:creator>
  <cp:lastModifiedBy>Boff Arthur</cp:lastModifiedBy>
  <dcterms:created xsi:type="dcterms:W3CDTF">2018-08-12T16:17:40Z</dcterms:created>
  <dcterms:modified xsi:type="dcterms:W3CDTF">2022-02-18T18:07:30Z</dcterms:modified>
</cp:coreProperties>
</file>