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465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Consulta!$A$1:$CE$15</definedName>
  </definedNames>
  <calcPr calcId="162913"/>
</workbook>
</file>

<file path=xl/calcChain.xml><?xml version="1.0" encoding="utf-8"?>
<calcChain xmlns="http://schemas.openxmlformats.org/spreadsheetml/2006/main">
  <c r="CE16" i="7" l="1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E6" i="6"/>
  <c r="EE7" i="6"/>
  <c r="EE8" i="6"/>
  <c r="EE9" i="6"/>
  <c r="EE10" i="6"/>
  <c r="EE11" i="6"/>
  <c r="EE12" i="6"/>
  <c r="EE13" i="6"/>
  <c r="EE14" i="6"/>
  <c r="EE15" i="6"/>
  <c r="EE16" i="6"/>
  <c r="EE17" i="6"/>
  <c r="EE18" i="6"/>
  <c r="EE19" i="6"/>
  <c r="EE20" i="6"/>
  <c r="EE21" i="6"/>
  <c r="EE22" i="6"/>
  <c r="EE23" i="6"/>
  <c r="EE24" i="6"/>
  <c r="EE25" i="6"/>
  <c r="EE26" i="6"/>
  <c r="EE27" i="6"/>
  <c r="EE28" i="6"/>
  <c r="EE29" i="6"/>
  <c r="EE30" i="6"/>
  <c r="EE31" i="6"/>
  <c r="EE32" i="6"/>
  <c r="EE33" i="6"/>
  <c r="EE34" i="6"/>
  <c r="EE35" i="6"/>
  <c r="EE36" i="6"/>
  <c r="EE37" i="6"/>
  <c r="EE38" i="6"/>
  <c r="EE39" i="6"/>
  <c r="EE40" i="6"/>
  <c r="EE41" i="6"/>
  <c r="EE42" i="6"/>
  <c r="EE43" i="6"/>
  <c r="EE44" i="6"/>
  <c r="EE45" i="6"/>
  <c r="EE46" i="6"/>
  <c r="EE47" i="6"/>
  <c r="EE48" i="6"/>
  <c r="EE49" i="6"/>
  <c r="EE50" i="6"/>
  <c r="EE51" i="6"/>
  <c r="EE52" i="6"/>
  <c r="EE53" i="6"/>
  <c r="EE54" i="6"/>
  <c r="EE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M54" i="6"/>
  <c r="EH54" i="6"/>
  <c r="ED54" i="6"/>
  <c r="EC54" i="6"/>
  <c r="DX54" i="6"/>
  <c r="DW54" i="6"/>
  <c r="DU54" i="6"/>
  <c r="DT54" i="6"/>
  <c r="DS54" i="6"/>
  <c r="DQ54" i="6"/>
  <c r="DP54" i="6"/>
  <c r="DO54" i="6"/>
  <c r="DM54" i="6"/>
  <c r="DL54" i="6"/>
  <c r="DK54" i="6"/>
  <c r="DI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M53" i="6"/>
  <c r="EH53" i="6"/>
  <c r="ED53" i="6"/>
  <c r="EC53" i="6"/>
  <c r="DX53" i="6"/>
  <c r="DW53" i="6"/>
  <c r="DU53" i="6"/>
  <c r="DT53" i="6"/>
  <c r="DS53" i="6"/>
  <c r="DQ53" i="6"/>
  <c r="DP53" i="6"/>
  <c r="DO53" i="6"/>
  <c r="DM53" i="6"/>
  <c r="DL53" i="6"/>
  <c r="DK53" i="6"/>
  <c r="DI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M52" i="6"/>
  <c r="EH52" i="6"/>
  <c r="ED52" i="6"/>
  <c r="EC52" i="6"/>
  <c r="DX52" i="6"/>
  <c r="DW52" i="6"/>
  <c r="DU52" i="6"/>
  <c r="DT52" i="6"/>
  <c r="DS52" i="6"/>
  <c r="DQ52" i="6"/>
  <c r="DP52" i="6"/>
  <c r="DO52" i="6"/>
  <c r="DM52" i="6"/>
  <c r="DL52" i="6"/>
  <c r="DK52" i="6"/>
  <c r="DI52" i="6"/>
  <c r="DE52" i="6"/>
  <c r="CJ52" i="6"/>
  <c r="CI52" i="6"/>
  <c r="BX52" i="6"/>
  <c r="BO52" i="6"/>
  <c r="BN52" i="6"/>
  <c r="BL52" i="6"/>
  <c r="BI52" i="6"/>
  <c r="BE52" i="6"/>
  <c r="BA52" i="6"/>
  <c r="DH52" i="6"/>
  <c r="AU52" i="6"/>
  <c r="AP52" i="6"/>
  <c r="CZ52" i="6"/>
  <c r="D52" i="6"/>
  <c r="C52" i="6"/>
  <c r="A52" i="6"/>
  <c r="EM51" i="6"/>
  <c r="EH51" i="6"/>
  <c r="ED51" i="6"/>
  <c r="EC51" i="6"/>
  <c r="DX51" i="6"/>
  <c r="DW51" i="6"/>
  <c r="DU51" i="6"/>
  <c r="DT51" i="6"/>
  <c r="DS51" i="6"/>
  <c r="DQ51" i="6"/>
  <c r="DP51" i="6"/>
  <c r="DO51" i="6"/>
  <c r="DM51" i="6"/>
  <c r="DL51" i="6"/>
  <c r="DK51" i="6"/>
  <c r="DI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M50" i="6"/>
  <c r="EH50" i="6"/>
  <c r="ED50" i="6"/>
  <c r="EC50" i="6"/>
  <c r="DX50" i="6"/>
  <c r="DW50" i="6"/>
  <c r="DU50" i="6"/>
  <c r="DT50" i="6"/>
  <c r="DS50" i="6"/>
  <c r="DQ50" i="6"/>
  <c r="DP50" i="6"/>
  <c r="DO50" i="6"/>
  <c r="DM50" i="6"/>
  <c r="DL50" i="6"/>
  <c r="DK50" i="6"/>
  <c r="DI50" i="6"/>
  <c r="DE50" i="6"/>
  <c r="CJ50" i="6"/>
  <c r="CI50" i="6"/>
  <c r="BX50" i="6"/>
  <c r="BO50" i="6"/>
  <c r="BN50" i="6"/>
  <c r="BL50" i="6"/>
  <c r="BI50" i="6"/>
  <c r="BE50" i="6"/>
  <c r="BA50" i="6"/>
  <c r="DH50" i="6"/>
  <c r="AU50" i="6"/>
  <c r="AP50" i="6"/>
  <c r="CZ50" i="6"/>
  <c r="D50" i="6"/>
  <c r="C50" i="6"/>
  <c r="A50" i="6"/>
  <c r="EM49" i="6"/>
  <c r="EH49" i="6"/>
  <c r="ED49" i="6"/>
  <c r="EC49" i="6"/>
  <c r="DX49" i="6"/>
  <c r="DW49" i="6"/>
  <c r="DU49" i="6"/>
  <c r="DT49" i="6"/>
  <c r="DS49" i="6"/>
  <c r="DQ49" i="6"/>
  <c r="DP49" i="6"/>
  <c r="DO49" i="6"/>
  <c r="DM49" i="6"/>
  <c r="DL49" i="6"/>
  <c r="DK49" i="6"/>
  <c r="DI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M48" i="6"/>
  <c r="EH48" i="6"/>
  <c r="ED48" i="6"/>
  <c r="EC48" i="6"/>
  <c r="DX48" i="6"/>
  <c r="DW48" i="6"/>
  <c r="DU48" i="6"/>
  <c r="DT48" i="6"/>
  <c r="DS48" i="6"/>
  <c r="DQ48" i="6"/>
  <c r="DP48" i="6"/>
  <c r="DO48" i="6"/>
  <c r="DM48" i="6"/>
  <c r="DL48" i="6"/>
  <c r="DK48" i="6"/>
  <c r="DI48" i="6"/>
  <c r="DH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M47" i="6"/>
  <c r="EH47" i="6"/>
  <c r="ED47" i="6"/>
  <c r="EC47" i="6"/>
  <c r="DX47" i="6"/>
  <c r="DW47" i="6"/>
  <c r="DU47" i="6"/>
  <c r="DT47" i="6"/>
  <c r="DS47" i="6"/>
  <c r="DQ47" i="6"/>
  <c r="DP47" i="6"/>
  <c r="DO47" i="6"/>
  <c r="DM47" i="6"/>
  <c r="DL47" i="6"/>
  <c r="DK47" i="6"/>
  <c r="DI47" i="6"/>
  <c r="DE47" i="6"/>
  <c r="CJ47" i="6"/>
  <c r="CI47" i="6"/>
  <c r="BX47" i="6"/>
  <c r="BO47" i="6"/>
  <c r="BN47" i="6"/>
  <c r="BL47" i="6"/>
  <c r="BI47" i="6"/>
  <c r="BE47" i="6"/>
  <c r="BA47" i="6"/>
  <c r="DH47" i="6"/>
  <c r="AU47" i="6"/>
  <c r="AP47" i="6"/>
  <c r="CZ47" i="6"/>
  <c r="D47" i="6"/>
  <c r="C47" i="6"/>
  <c r="A47" i="6"/>
  <c r="EM46" i="6"/>
  <c r="EH46" i="6"/>
  <c r="ED46" i="6"/>
  <c r="EC46" i="6"/>
  <c r="DX46" i="6"/>
  <c r="DW46" i="6"/>
  <c r="DU46" i="6"/>
  <c r="DT46" i="6"/>
  <c r="DS46" i="6"/>
  <c r="DQ46" i="6"/>
  <c r="DP46" i="6"/>
  <c r="DO46" i="6"/>
  <c r="DM46" i="6"/>
  <c r="DL46" i="6"/>
  <c r="DK46" i="6"/>
  <c r="DI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M45" i="6"/>
  <c r="EH45" i="6"/>
  <c r="ED45" i="6"/>
  <c r="EC45" i="6"/>
  <c r="DX45" i="6"/>
  <c r="DW45" i="6"/>
  <c r="DU45" i="6"/>
  <c r="DT45" i="6"/>
  <c r="DS45" i="6"/>
  <c r="DQ45" i="6"/>
  <c r="DP45" i="6"/>
  <c r="DO45" i="6"/>
  <c r="DM45" i="6"/>
  <c r="DL45" i="6"/>
  <c r="DK45" i="6"/>
  <c r="DI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M44" i="6"/>
  <c r="EH44" i="6"/>
  <c r="ED44" i="6"/>
  <c r="EC44" i="6"/>
  <c r="DX44" i="6"/>
  <c r="DW44" i="6"/>
  <c r="DU44" i="6"/>
  <c r="DT44" i="6"/>
  <c r="DS44" i="6"/>
  <c r="DQ44" i="6"/>
  <c r="DP44" i="6"/>
  <c r="DO44" i="6"/>
  <c r="DM44" i="6"/>
  <c r="DL44" i="6"/>
  <c r="DK44" i="6"/>
  <c r="DI44" i="6"/>
  <c r="DE44" i="6"/>
  <c r="CJ44" i="6"/>
  <c r="CI44" i="6"/>
  <c r="BX44" i="6"/>
  <c r="BO44" i="6"/>
  <c r="BN44" i="6"/>
  <c r="BL44" i="6"/>
  <c r="BI44" i="6"/>
  <c r="BE44" i="6"/>
  <c r="BA44" i="6"/>
  <c r="DH44" i="6"/>
  <c r="AU44" i="6"/>
  <c r="AP44" i="6"/>
  <c r="CZ44" i="6"/>
  <c r="D44" i="6"/>
  <c r="CW44" i="6" s="1"/>
  <c r="C44" i="6"/>
  <c r="A44" i="6"/>
  <c r="EM43" i="6"/>
  <c r="EH43" i="6"/>
  <c r="ED43" i="6"/>
  <c r="EC43" i="6"/>
  <c r="DX43" i="6"/>
  <c r="DW43" i="6"/>
  <c r="DU43" i="6"/>
  <c r="DT43" i="6"/>
  <c r="DS43" i="6"/>
  <c r="DQ43" i="6"/>
  <c r="DP43" i="6"/>
  <c r="DO43" i="6"/>
  <c r="DM43" i="6"/>
  <c r="DL43" i="6"/>
  <c r="DK43" i="6"/>
  <c r="DI43" i="6"/>
  <c r="DE43" i="6"/>
  <c r="CJ43" i="6"/>
  <c r="CI43" i="6"/>
  <c r="BX43" i="6"/>
  <c r="BO43" i="6"/>
  <c r="BN43" i="6"/>
  <c r="BL43" i="6"/>
  <c r="BI43" i="6"/>
  <c r="BE43" i="6"/>
  <c r="BA43" i="6"/>
  <c r="DH43" i="6"/>
  <c r="AU43" i="6"/>
  <c r="AP43" i="6"/>
  <c r="CZ43" i="6"/>
  <c r="D43" i="6"/>
  <c r="C43" i="6"/>
  <c r="A43" i="6"/>
  <c r="EM42" i="6"/>
  <c r="EH42" i="6"/>
  <c r="ED42" i="6"/>
  <c r="EC42" i="6"/>
  <c r="DX42" i="6"/>
  <c r="DW42" i="6"/>
  <c r="DU42" i="6"/>
  <c r="DT42" i="6"/>
  <c r="DS42" i="6"/>
  <c r="DQ42" i="6"/>
  <c r="DP42" i="6"/>
  <c r="DO42" i="6"/>
  <c r="DM42" i="6"/>
  <c r="DL42" i="6"/>
  <c r="DK42" i="6"/>
  <c r="DI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M41" i="6"/>
  <c r="EH41" i="6"/>
  <c r="ED41" i="6"/>
  <c r="EC41" i="6"/>
  <c r="DX41" i="6"/>
  <c r="DW41" i="6"/>
  <c r="DU41" i="6"/>
  <c r="DT41" i="6"/>
  <c r="DS41" i="6"/>
  <c r="DQ41" i="6"/>
  <c r="DP41" i="6"/>
  <c r="DO41" i="6"/>
  <c r="DM41" i="6"/>
  <c r="DL41" i="6"/>
  <c r="DK41" i="6"/>
  <c r="DI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M40" i="6"/>
  <c r="EH40" i="6"/>
  <c r="ED40" i="6"/>
  <c r="EC40" i="6"/>
  <c r="DX40" i="6"/>
  <c r="DW40" i="6"/>
  <c r="DU40" i="6"/>
  <c r="DT40" i="6"/>
  <c r="DS40" i="6"/>
  <c r="DQ40" i="6"/>
  <c r="DP40" i="6"/>
  <c r="DO40" i="6"/>
  <c r="DM40" i="6"/>
  <c r="DL40" i="6"/>
  <c r="DK40" i="6"/>
  <c r="DI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M39" i="6"/>
  <c r="EH39" i="6"/>
  <c r="ED39" i="6"/>
  <c r="EC39" i="6"/>
  <c r="DX39" i="6"/>
  <c r="DW39" i="6"/>
  <c r="DU39" i="6"/>
  <c r="DT39" i="6"/>
  <c r="DS39" i="6"/>
  <c r="DQ39" i="6"/>
  <c r="DP39" i="6"/>
  <c r="DO39" i="6"/>
  <c r="DM39" i="6"/>
  <c r="DL39" i="6"/>
  <c r="DK39" i="6"/>
  <c r="DI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M38" i="6"/>
  <c r="EH38" i="6"/>
  <c r="ED38" i="6"/>
  <c r="EC38" i="6"/>
  <c r="DX38" i="6"/>
  <c r="DW38" i="6"/>
  <c r="DU38" i="6"/>
  <c r="DT38" i="6"/>
  <c r="DS38" i="6"/>
  <c r="DQ38" i="6"/>
  <c r="DP38" i="6"/>
  <c r="DO38" i="6"/>
  <c r="DM38" i="6"/>
  <c r="DL38" i="6"/>
  <c r="DK38" i="6"/>
  <c r="DI38" i="6"/>
  <c r="DE38" i="6"/>
  <c r="CJ38" i="6"/>
  <c r="CI38" i="6"/>
  <c r="BX38" i="6"/>
  <c r="BO38" i="6"/>
  <c r="BN38" i="6"/>
  <c r="BL38" i="6"/>
  <c r="BI38" i="6"/>
  <c r="BE38" i="6"/>
  <c r="BA38" i="6"/>
  <c r="DH38" i="6"/>
  <c r="AU38" i="6"/>
  <c r="AP38" i="6"/>
  <c r="CZ38" i="6"/>
  <c r="D38" i="6"/>
  <c r="C38" i="6"/>
  <c r="A38" i="6"/>
  <c r="EM37" i="6"/>
  <c r="EH37" i="6"/>
  <c r="ED37" i="6"/>
  <c r="EC37" i="6"/>
  <c r="DX37" i="6"/>
  <c r="DW37" i="6"/>
  <c r="DU37" i="6"/>
  <c r="DT37" i="6"/>
  <c r="DS37" i="6"/>
  <c r="DQ37" i="6"/>
  <c r="DP37" i="6"/>
  <c r="DO37" i="6"/>
  <c r="DM37" i="6"/>
  <c r="DL37" i="6"/>
  <c r="DK37" i="6"/>
  <c r="DI37" i="6"/>
  <c r="DH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M36" i="6"/>
  <c r="EH36" i="6"/>
  <c r="ED36" i="6"/>
  <c r="EC36" i="6"/>
  <c r="DX36" i="6"/>
  <c r="DW36" i="6"/>
  <c r="DU36" i="6"/>
  <c r="DT36" i="6"/>
  <c r="DS36" i="6"/>
  <c r="DQ36" i="6"/>
  <c r="DP36" i="6"/>
  <c r="DO36" i="6"/>
  <c r="DM36" i="6"/>
  <c r="DL36" i="6"/>
  <c r="DK36" i="6"/>
  <c r="DI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M35" i="6"/>
  <c r="EH35" i="6"/>
  <c r="ED35" i="6"/>
  <c r="EC35" i="6"/>
  <c r="DX35" i="6"/>
  <c r="DW35" i="6"/>
  <c r="DU35" i="6"/>
  <c r="DT35" i="6"/>
  <c r="DS35" i="6"/>
  <c r="DQ35" i="6"/>
  <c r="DP35" i="6"/>
  <c r="DO35" i="6"/>
  <c r="DM35" i="6"/>
  <c r="DL35" i="6"/>
  <c r="DK35" i="6"/>
  <c r="DI35" i="6"/>
  <c r="DE35" i="6"/>
  <c r="CJ35" i="6"/>
  <c r="CI35" i="6"/>
  <c r="BX35" i="6"/>
  <c r="BO35" i="6"/>
  <c r="BN35" i="6"/>
  <c r="BL35" i="6"/>
  <c r="BI35" i="6"/>
  <c r="BE35" i="6"/>
  <c r="BA35" i="6"/>
  <c r="DH35" i="6"/>
  <c r="AU35" i="6"/>
  <c r="AP35" i="6"/>
  <c r="CZ35" i="6"/>
  <c r="D35" i="6"/>
  <c r="C35" i="6"/>
  <c r="A35" i="6"/>
  <c r="EM34" i="6"/>
  <c r="EH34" i="6"/>
  <c r="ED34" i="6"/>
  <c r="EC34" i="6"/>
  <c r="DX34" i="6"/>
  <c r="DW34" i="6"/>
  <c r="DU34" i="6"/>
  <c r="DT34" i="6"/>
  <c r="DS34" i="6"/>
  <c r="DQ34" i="6"/>
  <c r="DP34" i="6"/>
  <c r="DO34" i="6"/>
  <c r="DM34" i="6"/>
  <c r="DL34" i="6"/>
  <c r="DK34" i="6"/>
  <c r="DI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M33" i="6"/>
  <c r="EH33" i="6"/>
  <c r="ED33" i="6"/>
  <c r="EC33" i="6"/>
  <c r="DX33" i="6"/>
  <c r="DW33" i="6"/>
  <c r="DU33" i="6"/>
  <c r="DT33" i="6"/>
  <c r="DS33" i="6"/>
  <c r="DQ33" i="6"/>
  <c r="DP33" i="6"/>
  <c r="DO33" i="6"/>
  <c r="DM33" i="6"/>
  <c r="DL33" i="6"/>
  <c r="DK33" i="6"/>
  <c r="DI33" i="6"/>
  <c r="DE33" i="6"/>
  <c r="CJ33" i="6"/>
  <c r="CI33" i="6"/>
  <c r="BX33" i="6"/>
  <c r="BO33" i="6"/>
  <c r="BN33" i="6"/>
  <c r="BL33" i="6"/>
  <c r="BI33" i="6"/>
  <c r="BE33" i="6"/>
  <c r="BA33" i="6"/>
  <c r="DH33" i="6"/>
  <c r="AU33" i="6"/>
  <c r="AP33" i="6"/>
  <c r="CZ33" i="6"/>
  <c r="D33" i="6"/>
  <c r="CX33" i="6" s="1"/>
  <c r="C33" i="6"/>
  <c r="A33" i="6"/>
  <c r="EM32" i="6"/>
  <c r="EH32" i="6"/>
  <c r="ED32" i="6"/>
  <c r="EC32" i="6"/>
  <c r="DX32" i="6"/>
  <c r="DW32" i="6"/>
  <c r="DU32" i="6"/>
  <c r="DT32" i="6"/>
  <c r="DS32" i="6"/>
  <c r="DQ32" i="6"/>
  <c r="DP32" i="6"/>
  <c r="DO32" i="6"/>
  <c r="DM32" i="6"/>
  <c r="DL32" i="6"/>
  <c r="DK32" i="6"/>
  <c r="DI32" i="6"/>
  <c r="DE32" i="6"/>
  <c r="CJ32" i="6"/>
  <c r="CI32" i="6"/>
  <c r="BX32" i="6"/>
  <c r="BO32" i="6"/>
  <c r="BN32" i="6"/>
  <c r="BL32" i="6"/>
  <c r="BI32" i="6"/>
  <c r="BE32" i="6"/>
  <c r="BA32" i="6"/>
  <c r="DH32" i="6"/>
  <c r="AU32" i="6"/>
  <c r="AP32" i="6"/>
  <c r="CZ32" i="6"/>
  <c r="D32" i="6"/>
  <c r="CW32" i="6" s="1"/>
  <c r="C32" i="6"/>
  <c r="A32" i="6"/>
  <c r="EM31" i="6"/>
  <c r="EH31" i="6"/>
  <c r="ED31" i="6"/>
  <c r="EC31" i="6"/>
  <c r="DX31" i="6"/>
  <c r="DW31" i="6"/>
  <c r="DU31" i="6"/>
  <c r="DT31" i="6"/>
  <c r="DS31" i="6"/>
  <c r="DQ31" i="6"/>
  <c r="DP31" i="6"/>
  <c r="DO31" i="6"/>
  <c r="DM31" i="6"/>
  <c r="DL31" i="6"/>
  <c r="DK31" i="6"/>
  <c r="DI31" i="6"/>
  <c r="DE31" i="6"/>
  <c r="CJ31" i="6"/>
  <c r="CI31" i="6"/>
  <c r="BX31" i="6"/>
  <c r="BO31" i="6"/>
  <c r="BN31" i="6"/>
  <c r="BL31" i="6"/>
  <c r="BI31" i="6"/>
  <c r="BE31" i="6"/>
  <c r="BA31" i="6"/>
  <c r="DH31" i="6"/>
  <c r="AU31" i="6"/>
  <c r="AP31" i="6"/>
  <c r="CZ31" i="6"/>
  <c r="D31" i="6"/>
  <c r="C31" i="6"/>
  <c r="A31" i="6"/>
  <c r="EM30" i="6"/>
  <c r="EH30" i="6"/>
  <c r="ED30" i="6"/>
  <c r="EC30" i="6"/>
  <c r="DX30" i="6"/>
  <c r="DW30" i="6"/>
  <c r="DU30" i="6"/>
  <c r="DT30" i="6"/>
  <c r="DS30" i="6"/>
  <c r="DQ30" i="6"/>
  <c r="DP30" i="6"/>
  <c r="DO30" i="6"/>
  <c r="DM30" i="6"/>
  <c r="DL30" i="6"/>
  <c r="DK30" i="6"/>
  <c r="DI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M29" i="6"/>
  <c r="EH29" i="6"/>
  <c r="ED29" i="6"/>
  <c r="EC29" i="6"/>
  <c r="DX29" i="6"/>
  <c r="DW29" i="6"/>
  <c r="DU29" i="6"/>
  <c r="DT29" i="6"/>
  <c r="DS29" i="6"/>
  <c r="DQ29" i="6"/>
  <c r="DP29" i="6"/>
  <c r="DO29" i="6"/>
  <c r="DM29" i="6"/>
  <c r="DL29" i="6"/>
  <c r="DK29" i="6"/>
  <c r="DI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M28" i="6"/>
  <c r="EH28" i="6"/>
  <c r="ED28" i="6"/>
  <c r="EC28" i="6"/>
  <c r="DX28" i="6"/>
  <c r="DW28" i="6"/>
  <c r="DU28" i="6"/>
  <c r="DT28" i="6"/>
  <c r="DS28" i="6"/>
  <c r="DQ28" i="6"/>
  <c r="DP28" i="6"/>
  <c r="DO28" i="6"/>
  <c r="DM28" i="6"/>
  <c r="DL28" i="6"/>
  <c r="DK28" i="6"/>
  <c r="DI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M27" i="6"/>
  <c r="EH27" i="6"/>
  <c r="ED27" i="6"/>
  <c r="EC27" i="6"/>
  <c r="DX27" i="6"/>
  <c r="DW27" i="6"/>
  <c r="DU27" i="6"/>
  <c r="DT27" i="6"/>
  <c r="DS27" i="6"/>
  <c r="DQ27" i="6"/>
  <c r="DP27" i="6"/>
  <c r="DO27" i="6"/>
  <c r="DM27" i="6"/>
  <c r="DL27" i="6"/>
  <c r="DK27" i="6"/>
  <c r="DI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M26" i="6"/>
  <c r="EH26" i="6"/>
  <c r="ED26" i="6"/>
  <c r="EC26" i="6"/>
  <c r="DX26" i="6"/>
  <c r="DW26" i="6"/>
  <c r="DU26" i="6"/>
  <c r="DT26" i="6"/>
  <c r="DS26" i="6"/>
  <c r="DQ26" i="6"/>
  <c r="DP26" i="6"/>
  <c r="DO26" i="6"/>
  <c r="DM26" i="6"/>
  <c r="DL26" i="6"/>
  <c r="DK26" i="6"/>
  <c r="DI26" i="6"/>
  <c r="DE26" i="6"/>
  <c r="CJ26" i="6"/>
  <c r="CI26" i="6"/>
  <c r="BX26" i="6"/>
  <c r="BO26" i="6"/>
  <c r="BN26" i="6"/>
  <c r="BL26" i="6"/>
  <c r="BI26" i="6"/>
  <c r="BE26" i="6"/>
  <c r="BA26" i="6"/>
  <c r="DH26" i="6"/>
  <c r="AU26" i="6"/>
  <c r="AP26" i="6"/>
  <c r="CZ26" i="6"/>
  <c r="D26" i="6"/>
  <c r="C26" i="6"/>
  <c r="A26" i="6"/>
  <c r="EM25" i="6"/>
  <c r="EH25" i="6"/>
  <c r="ED25" i="6"/>
  <c r="EC25" i="6"/>
  <c r="DX25" i="6"/>
  <c r="DW25" i="6"/>
  <c r="DU25" i="6"/>
  <c r="DT25" i="6"/>
  <c r="DS25" i="6"/>
  <c r="DQ25" i="6"/>
  <c r="DP25" i="6"/>
  <c r="DO25" i="6"/>
  <c r="DM25" i="6"/>
  <c r="DL25" i="6"/>
  <c r="DK25" i="6"/>
  <c r="DI25" i="6"/>
  <c r="DH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M24" i="6"/>
  <c r="EH24" i="6"/>
  <c r="ED24" i="6"/>
  <c r="EC24" i="6"/>
  <c r="DX24" i="6"/>
  <c r="DW24" i="6"/>
  <c r="DU24" i="6"/>
  <c r="DT24" i="6"/>
  <c r="DS24" i="6"/>
  <c r="DQ24" i="6"/>
  <c r="DP24" i="6"/>
  <c r="DO24" i="6"/>
  <c r="DM24" i="6"/>
  <c r="DL24" i="6"/>
  <c r="DK24" i="6"/>
  <c r="DI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M23" i="6"/>
  <c r="EH23" i="6"/>
  <c r="ED23" i="6"/>
  <c r="EC23" i="6"/>
  <c r="DX23" i="6"/>
  <c r="DW23" i="6"/>
  <c r="DU23" i="6"/>
  <c r="DT23" i="6"/>
  <c r="DS23" i="6"/>
  <c r="DQ23" i="6"/>
  <c r="DP23" i="6"/>
  <c r="DO23" i="6"/>
  <c r="DM23" i="6"/>
  <c r="DL23" i="6"/>
  <c r="DK23" i="6"/>
  <c r="DI23" i="6"/>
  <c r="DE23" i="6"/>
  <c r="CJ23" i="6"/>
  <c r="CI23" i="6"/>
  <c r="BX23" i="6"/>
  <c r="BO23" i="6"/>
  <c r="BN23" i="6"/>
  <c r="BL23" i="6"/>
  <c r="BI23" i="6"/>
  <c r="BE23" i="6"/>
  <c r="BA23" i="6"/>
  <c r="DH23" i="6"/>
  <c r="AU23" i="6"/>
  <c r="AP23" i="6"/>
  <c r="CZ23" i="6"/>
  <c r="D23" i="6"/>
  <c r="C23" i="6"/>
  <c r="A23" i="6"/>
  <c r="EM22" i="6"/>
  <c r="EH22" i="6"/>
  <c r="ED22" i="6"/>
  <c r="EC22" i="6"/>
  <c r="DX22" i="6"/>
  <c r="DW22" i="6"/>
  <c r="DU22" i="6"/>
  <c r="DT22" i="6"/>
  <c r="DS22" i="6"/>
  <c r="DQ22" i="6"/>
  <c r="DP22" i="6"/>
  <c r="DO22" i="6"/>
  <c r="DM22" i="6"/>
  <c r="DL22" i="6"/>
  <c r="DK22" i="6"/>
  <c r="DI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M21" i="6"/>
  <c r="EH21" i="6"/>
  <c r="ED21" i="6"/>
  <c r="EC21" i="6"/>
  <c r="DX21" i="6"/>
  <c r="DW21" i="6"/>
  <c r="DU21" i="6"/>
  <c r="DT21" i="6"/>
  <c r="DS21" i="6"/>
  <c r="DQ21" i="6"/>
  <c r="DP21" i="6"/>
  <c r="DO21" i="6"/>
  <c r="DM21" i="6"/>
  <c r="DL21" i="6"/>
  <c r="DK21" i="6"/>
  <c r="DI21" i="6"/>
  <c r="DE21" i="6"/>
  <c r="CJ21" i="6"/>
  <c r="CI21" i="6"/>
  <c r="BX21" i="6"/>
  <c r="BO21" i="6"/>
  <c r="BN21" i="6"/>
  <c r="BL21" i="6"/>
  <c r="BI21" i="6"/>
  <c r="BE21" i="6"/>
  <c r="BA21" i="6"/>
  <c r="DH21" i="6"/>
  <c r="AU21" i="6"/>
  <c r="AP21" i="6"/>
  <c r="CZ21" i="6"/>
  <c r="D21" i="6"/>
  <c r="C21" i="6"/>
  <c r="A21" i="6"/>
  <c r="EM20" i="6"/>
  <c r="EH20" i="6"/>
  <c r="ED20" i="6"/>
  <c r="EC20" i="6"/>
  <c r="DX20" i="6"/>
  <c r="DW20" i="6"/>
  <c r="DU20" i="6"/>
  <c r="DT20" i="6"/>
  <c r="DS20" i="6"/>
  <c r="DQ20" i="6"/>
  <c r="DP20" i="6"/>
  <c r="DO20" i="6"/>
  <c r="DM20" i="6"/>
  <c r="DL20" i="6"/>
  <c r="DK20" i="6"/>
  <c r="DI20" i="6"/>
  <c r="DE20" i="6"/>
  <c r="CJ20" i="6"/>
  <c r="CI20" i="6"/>
  <c r="BX20" i="6"/>
  <c r="BO20" i="6"/>
  <c r="BN20" i="6"/>
  <c r="BL20" i="6"/>
  <c r="BI20" i="6"/>
  <c r="BE20" i="6"/>
  <c r="BA20" i="6"/>
  <c r="DH20" i="6"/>
  <c r="AU20" i="6"/>
  <c r="AP20" i="6"/>
  <c r="CZ20" i="6"/>
  <c r="D20" i="6"/>
  <c r="CW20" i="6" s="1"/>
  <c r="C20" i="6"/>
  <c r="A20" i="6"/>
  <c r="EM19" i="6"/>
  <c r="EH19" i="6"/>
  <c r="ED19" i="6"/>
  <c r="EC19" i="6"/>
  <c r="DX19" i="6"/>
  <c r="DW19" i="6"/>
  <c r="DU19" i="6"/>
  <c r="DT19" i="6"/>
  <c r="DS19" i="6"/>
  <c r="DQ19" i="6"/>
  <c r="DP19" i="6"/>
  <c r="DO19" i="6"/>
  <c r="DM19" i="6"/>
  <c r="DL19" i="6"/>
  <c r="DK19" i="6"/>
  <c r="DI19" i="6"/>
  <c r="DE19" i="6"/>
  <c r="CJ19" i="6"/>
  <c r="CI19" i="6"/>
  <c r="BX19" i="6"/>
  <c r="BO19" i="6"/>
  <c r="BN19" i="6"/>
  <c r="BL19" i="6"/>
  <c r="BI19" i="6"/>
  <c r="BE19" i="6"/>
  <c r="BA19" i="6"/>
  <c r="DH19" i="6"/>
  <c r="AU19" i="6"/>
  <c r="AP19" i="6"/>
  <c r="CZ19" i="6"/>
  <c r="D19" i="6"/>
  <c r="C19" i="6"/>
  <c r="A19" i="6"/>
  <c r="EM18" i="6"/>
  <c r="EH18" i="6"/>
  <c r="ED18" i="6"/>
  <c r="EC18" i="6"/>
  <c r="DX18" i="6"/>
  <c r="DW18" i="6"/>
  <c r="DU18" i="6"/>
  <c r="DT18" i="6"/>
  <c r="DS18" i="6"/>
  <c r="DQ18" i="6"/>
  <c r="DP18" i="6"/>
  <c r="DO18" i="6"/>
  <c r="DM18" i="6"/>
  <c r="DL18" i="6"/>
  <c r="DK18" i="6"/>
  <c r="DI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M17" i="6"/>
  <c r="EH17" i="6"/>
  <c r="ED17" i="6"/>
  <c r="EC17" i="6"/>
  <c r="DX17" i="6"/>
  <c r="DW17" i="6"/>
  <c r="DU17" i="6"/>
  <c r="DT17" i="6"/>
  <c r="DS17" i="6"/>
  <c r="DQ17" i="6"/>
  <c r="DP17" i="6"/>
  <c r="DO17" i="6"/>
  <c r="DM17" i="6"/>
  <c r="DL17" i="6"/>
  <c r="DK17" i="6"/>
  <c r="DI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M16" i="6"/>
  <c r="EH16" i="6"/>
  <c r="ED16" i="6"/>
  <c r="EC16" i="6"/>
  <c r="DX16" i="6"/>
  <c r="DW16" i="6"/>
  <c r="DU16" i="6"/>
  <c r="DT16" i="6"/>
  <c r="DS16" i="6"/>
  <c r="DQ16" i="6"/>
  <c r="DP16" i="6"/>
  <c r="DO16" i="6"/>
  <c r="DM16" i="6"/>
  <c r="DL16" i="6"/>
  <c r="DK16" i="6"/>
  <c r="DI16" i="6"/>
  <c r="DE16" i="6"/>
  <c r="CJ16" i="6"/>
  <c r="CI16" i="6"/>
  <c r="BX16" i="6"/>
  <c r="BO16" i="6"/>
  <c r="BN16" i="6"/>
  <c r="BL16" i="6"/>
  <c r="BI16" i="6"/>
  <c r="BE16" i="6"/>
  <c r="BA16" i="6"/>
  <c r="DH16" i="6"/>
  <c r="AU16" i="6"/>
  <c r="AP16" i="6"/>
  <c r="CZ16" i="6"/>
  <c r="D16" i="6"/>
  <c r="C16" i="6"/>
  <c r="A16" i="6"/>
  <c r="EM15" i="6"/>
  <c r="EH15" i="6"/>
  <c r="ED15" i="6"/>
  <c r="EC15" i="6"/>
  <c r="DX15" i="6"/>
  <c r="DW15" i="6"/>
  <c r="DU15" i="6"/>
  <c r="DT15" i="6"/>
  <c r="DS15" i="6"/>
  <c r="DQ15" i="6"/>
  <c r="DP15" i="6"/>
  <c r="DO15" i="6"/>
  <c r="DM15" i="6"/>
  <c r="DL15" i="6"/>
  <c r="DK15" i="6"/>
  <c r="DI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M14" i="6"/>
  <c r="EH14" i="6"/>
  <c r="ED14" i="6"/>
  <c r="EC14" i="6"/>
  <c r="DX14" i="6"/>
  <c r="DW14" i="6"/>
  <c r="DU14" i="6"/>
  <c r="DT14" i="6"/>
  <c r="DS14" i="6"/>
  <c r="DQ14" i="6"/>
  <c r="DP14" i="6"/>
  <c r="DO14" i="6"/>
  <c r="DM14" i="6"/>
  <c r="DL14" i="6"/>
  <c r="DK14" i="6"/>
  <c r="DI14" i="6"/>
  <c r="DE14" i="6"/>
  <c r="CJ14" i="6"/>
  <c r="CI14" i="6"/>
  <c r="BX14" i="6"/>
  <c r="BO14" i="6"/>
  <c r="BN14" i="6"/>
  <c r="BL14" i="6"/>
  <c r="BI14" i="6"/>
  <c r="BE14" i="6"/>
  <c r="BA14" i="6"/>
  <c r="DH14" i="6"/>
  <c r="AU14" i="6"/>
  <c r="AP14" i="6"/>
  <c r="CZ14" i="6"/>
  <c r="D14" i="6"/>
  <c r="C14" i="6"/>
  <c r="A14" i="6"/>
  <c r="EM13" i="6"/>
  <c r="EH13" i="6"/>
  <c r="ED13" i="6"/>
  <c r="EC13" i="6"/>
  <c r="DX13" i="6"/>
  <c r="DW13" i="6"/>
  <c r="DU13" i="6"/>
  <c r="DT13" i="6"/>
  <c r="DS13" i="6"/>
  <c r="DQ13" i="6"/>
  <c r="DP13" i="6"/>
  <c r="DO13" i="6"/>
  <c r="DM13" i="6"/>
  <c r="DL13" i="6"/>
  <c r="DK13" i="6"/>
  <c r="DI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M12" i="6"/>
  <c r="EH12" i="6"/>
  <c r="ED12" i="6"/>
  <c r="EC12" i="6"/>
  <c r="DX12" i="6"/>
  <c r="DW12" i="6"/>
  <c r="DU12" i="6"/>
  <c r="DT12" i="6"/>
  <c r="DS12" i="6"/>
  <c r="DQ12" i="6"/>
  <c r="DP12" i="6"/>
  <c r="DO12" i="6"/>
  <c r="DM12" i="6"/>
  <c r="DL12" i="6"/>
  <c r="DK12" i="6"/>
  <c r="DI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M11" i="6"/>
  <c r="EH11" i="6"/>
  <c r="ED11" i="6"/>
  <c r="EC11" i="6"/>
  <c r="DX11" i="6"/>
  <c r="DW11" i="6"/>
  <c r="DU11" i="6"/>
  <c r="DT11" i="6"/>
  <c r="DS11" i="6"/>
  <c r="DQ11" i="6"/>
  <c r="DP11" i="6"/>
  <c r="DO11" i="6"/>
  <c r="DM11" i="6"/>
  <c r="DL11" i="6"/>
  <c r="DK11" i="6"/>
  <c r="DI11" i="6"/>
  <c r="DE11" i="6"/>
  <c r="CJ11" i="6"/>
  <c r="CI11" i="6"/>
  <c r="BX11" i="6"/>
  <c r="BO11" i="6"/>
  <c r="BN11" i="6"/>
  <c r="BL11" i="6"/>
  <c r="BI11" i="6"/>
  <c r="BE11" i="6"/>
  <c r="BA11" i="6"/>
  <c r="DH11" i="6"/>
  <c r="AU11" i="6"/>
  <c r="AP11" i="6"/>
  <c r="CZ11" i="6"/>
  <c r="D11" i="6"/>
  <c r="C11" i="6"/>
  <c r="A11" i="6"/>
  <c r="EM10" i="6"/>
  <c r="EH10" i="6"/>
  <c r="ED10" i="6"/>
  <c r="EC10" i="6"/>
  <c r="DX10" i="6"/>
  <c r="DW10" i="6"/>
  <c r="DU10" i="6"/>
  <c r="DT10" i="6"/>
  <c r="DS10" i="6"/>
  <c r="DQ10" i="6"/>
  <c r="DP10" i="6"/>
  <c r="DO10" i="6"/>
  <c r="DM10" i="6"/>
  <c r="DL10" i="6"/>
  <c r="DK10" i="6"/>
  <c r="DI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M9" i="6"/>
  <c r="EH9" i="6"/>
  <c r="ED9" i="6"/>
  <c r="EC9" i="6"/>
  <c r="DX9" i="6"/>
  <c r="DW9" i="6"/>
  <c r="DU9" i="6"/>
  <c r="DT9" i="6"/>
  <c r="DS9" i="6"/>
  <c r="DQ9" i="6"/>
  <c r="DP9" i="6"/>
  <c r="DO9" i="6"/>
  <c r="DM9" i="6"/>
  <c r="DL9" i="6"/>
  <c r="DK9" i="6"/>
  <c r="DI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M8" i="6"/>
  <c r="EH8" i="6"/>
  <c r="ED8" i="6"/>
  <c r="EC8" i="6"/>
  <c r="DX8" i="6"/>
  <c r="DW8" i="6"/>
  <c r="DU8" i="6"/>
  <c r="DT8" i="6"/>
  <c r="DS8" i="6"/>
  <c r="DQ8" i="6"/>
  <c r="DP8" i="6"/>
  <c r="DO8" i="6"/>
  <c r="DM8" i="6"/>
  <c r="DL8" i="6"/>
  <c r="DK8" i="6"/>
  <c r="DI8" i="6"/>
  <c r="DE8" i="6"/>
  <c r="CJ8" i="6"/>
  <c r="CI8" i="6"/>
  <c r="BX8" i="6"/>
  <c r="BO8" i="6"/>
  <c r="BN8" i="6"/>
  <c r="BL8" i="6"/>
  <c r="BI8" i="6"/>
  <c r="BE8" i="6"/>
  <c r="BA8" i="6"/>
  <c r="DH8" i="6"/>
  <c r="AU8" i="6"/>
  <c r="AP8" i="6"/>
  <c r="CZ8" i="6"/>
  <c r="D8" i="6"/>
  <c r="CW8" i="6" s="1"/>
  <c r="C8" i="6"/>
  <c r="A8" i="6"/>
  <c r="EM7" i="6"/>
  <c r="EH7" i="6"/>
  <c r="ED7" i="6"/>
  <c r="EC7" i="6"/>
  <c r="DX7" i="6"/>
  <c r="DW7" i="6"/>
  <c r="DU7" i="6"/>
  <c r="DT7" i="6"/>
  <c r="DS7" i="6"/>
  <c r="DQ7" i="6"/>
  <c r="DP7" i="6"/>
  <c r="DO7" i="6"/>
  <c r="DM7" i="6"/>
  <c r="DL7" i="6"/>
  <c r="DK7" i="6"/>
  <c r="DI7" i="6"/>
  <c r="DE7" i="6"/>
  <c r="CJ7" i="6"/>
  <c r="CI7" i="6"/>
  <c r="BX7" i="6"/>
  <c r="BO7" i="6"/>
  <c r="BN7" i="6"/>
  <c r="BL7" i="6"/>
  <c r="BI7" i="6"/>
  <c r="BE7" i="6"/>
  <c r="BA7" i="6"/>
  <c r="DH7" i="6"/>
  <c r="AU7" i="6"/>
  <c r="AP7" i="6"/>
  <c r="CZ7" i="6"/>
  <c r="D7" i="6"/>
  <c r="CX7" i="6" s="1"/>
  <c r="C7" i="6"/>
  <c r="A7" i="6"/>
  <c r="EM6" i="6"/>
  <c r="EH6" i="6"/>
  <c r="ED6" i="6"/>
  <c r="EC6" i="6"/>
  <c r="DX6" i="6"/>
  <c r="DW6" i="6"/>
  <c r="DU6" i="6"/>
  <c r="DT6" i="6"/>
  <c r="DS6" i="6"/>
  <c r="DQ6" i="6"/>
  <c r="DP6" i="6"/>
  <c r="DO6" i="6"/>
  <c r="DM6" i="6"/>
  <c r="DL6" i="6"/>
  <c r="DK6" i="6"/>
  <c r="DI6" i="6"/>
  <c r="DE6" i="6"/>
  <c r="CJ6" i="6"/>
  <c r="CI6" i="6"/>
  <c r="BX6" i="6"/>
  <c r="BO6" i="6"/>
  <c r="BN6" i="6"/>
  <c r="BL6" i="6"/>
  <c r="BI6" i="6"/>
  <c r="BE6" i="6"/>
  <c r="BA6" i="6"/>
  <c r="DH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H40" i="6"/>
  <c r="AX31" i="6"/>
  <c r="CX34" i="6"/>
  <c r="AX15" i="6"/>
  <c r="BH41" i="6"/>
  <c r="BF41" i="6" s="1"/>
  <c r="BG41" i="6" s="1"/>
  <c r="CW41" i="6"/>
  <c r="DH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H42" i="6"/>
  <c r="DH45" i="6"/>
  <c r="DH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H28" i="6"/>
  <c r="BH30" i="6"/>
  <c r="BF30" i="6" s="1"/>
  <c r="BG30" i="6" s="1"/>
  <c r="BB42" i="6"/>
  <c r="AX51" i="6"/>
  <c r="DH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H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H30" i="6"/>
  <c r="DH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H15" i="6"/>
  <c r="AX21" i="6"/>
  <c r="CX22" i="6"/>
  <c r="CW26" i="6"/>
  <c r="CX29" i="6"/>
  <c r="AX39" i="6"/>
  <c r="CW40" i="6"/>
  <c r="DH49" i="6"/>
  <c r="BH54" i="6"/>
  <c r="BF54" i="6" s="1"/>
  <c r="BG54" i="6" s="1"/>
  <c r="BH35" i="6"/>
  <c r="BF35" i="6" s="1"/>
  <c r="BG35" i="6" s="1"/>
  <c r="BH49" i="6"/>
  <c r="BF49" i="6" s="1"/>
  <c r="BG49" i="6" s="1"/>
  <c r="DH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H24" i="6"/>
  <c r="CW31" i="6"/>
  <c r="CX35" i="6"/>
  <c r="CW53" i="6"/>
  <c r="DH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H12" i="6"/>
  <c r="CW19" i="6"/>
  <c r="BH37" i="6"/>
  <c r="BF37" i="6" s="1"/>
  <c r="BG37" i="6" s="1"/>
  <c r="DH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H17" i="6"/>
  <c r="CW18" i="6"/>
  <c r="AX20" i="6"/>
  <c r="BB22" i="6"/>
  <c r="CX25" i="6"/>
  <c r="BH28" i="6"/>
  <c r="BF28" i="6" s="1"/>
  <c r="BG28" i="6" s="1"/>
  <c r="DH29" i="6"/>
  <c r="CW30" i="6"/>
  <c r="AX32" i="6"/>
  <c r="BB34" i="6"/>
  <c r="CX37" i="6"/>
  <c r="BH40" i="6"/>
  <c r="BF40" i="6" s="1"/>
  <c r="BG40" i="6" s="1"/>
  <c r="DH41" i="6"/>
  <c r="CW42" i="6"/>
  <c r="AX44" i="6"/>
  <c r="BB46" i="6"/>
  <c r="CX49" i="6"/>
  <c r="BH52" i="6"/>
  <c r="BF52" i="6" s="1"/>
  <c r="BG52" i="6" s="1"/>
  <c r="DH53" i="6"/>
  <c r="CW54" i="6"/>
  <c r="CX6" i="6"/>
  <c r="BH9" i="6"/>
  <c r="BF9" i="6" s="1"/>
  <c r="BG9" i="6" s="1"/>
  <c r="DH10" i="6"/>
  <c r="CW11" i="6"/>
  <c r="AX13" i="6"/>
  <c r="CX18" i="6"/>
  <c r="BH21" i="6"/>
  <c r="BF21" i="6" s="1"/>
  <c r="BG21" i="6" s="1"/>
  <c r="DH22" i="6"/>
  <c r="CW23" i="6"/>
  <c r="AX25" i="6"/>
  <c r="CX30" i="6"/>
  <c r="BH33" i="6"/>
  <c r="BF33" i="6" s="1"/>
  <c r="BG33" i="6" s="1"/>
  <c r="DH34" i="6"/>
  <c r="CW35" i="6"/>
  <c r="AX37" i="6"/>
  <c r="CX42" i="6"/>
  <c r="BH45" i="6"/>
  <c r="BF45" i="6" s="1"/>
  <c r="BG45" i="6" s="1"/>
  <c r="DH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H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M5" i="6" l="1"/>
  <c r="EH5" i="6"/>
  <c r="EC5" i="6"/>
  <c r="ED5" i="6"/>
  <c r="DX5" i="6"/>
  <c r="DW5" i="6"/>
  <c r="DT5" i="6"/>
  <c r="DS5" i="6"/>
  <c r="DO5" i="6"/>
  <c r="DP5" i="6"/>
  <c r="DL5" i="6"/>
  <c r="DK5" i="6"/>
  <c r="DI5" i="6"/>
  <c r="DU5" i="6"/>
  <c r="DQ5" i="6"/>
  <c r="DM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<sst xmlns="http://schemas.openxmlformats.org/spreadsheetml/2006/main" count="3504" uniqueCount="1088">
  <si>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</si>
  <si>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</si>
  <si>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</si>
  <si>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</si>
  <si>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</si>
  <si>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</si>
  <si>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</si>
  <si>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</si>
  <si>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</si>
  <si>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</si>
  <si>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</si>
  <si>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</si>
  <si>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</si>
  <si>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</si>
  <si>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</si>
  <si>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</si>
  <si>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</si>
  <si>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</si>
  <si>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</si>
  <si>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</si>
  <si>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</si>
  <si>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</si>
  <si>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</si>
  <si>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</si>
  <si>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</si>
  <si>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</si>
  <si>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</si>
  <si>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</si>
  <si>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</si>
  <si>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</si>
  <si>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</si>
  <si>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</si>
  <si>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</si>
  <si>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</si>
  <si>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</si>
  <si>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</si>
  <si>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</si>
  <si>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</si>
  <si>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</si>
  <si>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</si>
  <si>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</si>
  <si>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</si>
  <si>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</si>
  <si>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</si>
  <si>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</si>
  <si>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</si>
  <si>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</si>
  <si>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</si>
  <si>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</si>
  <si>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</si>
  <si>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</si>
  <si>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</si>
  <si>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</si>
  <si>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</si>
  <si>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</si>
  <si>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</si>
  <si>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</si>
  <si>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</si>
  <si>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</si>
  <si>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</si>
  <si>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</si>
  <si>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</si>
  <si>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</si>
  <si>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</si>
  <si>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</si>
  <si>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</si>
  <si>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</si>
  <si>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</si>
  <si>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</si>
  <si>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</si>
  <si>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</si>
  <si>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</si>
  <si>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</si>
  <si>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</si>
  <si>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</si>
  <si>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</si>
  <si>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</si>
  <si>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</si>
  <si>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</si>
  <si>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</si>
  <si>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</si>
  <si>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</si>
  <si>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</si>
  <si>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</si>
  <si>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</si>
  <si>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</si>
  <si>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</si>
  <si>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</si>
  <si>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</si>
  <si>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</si>
  <si>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</si>
  <si>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</si>
  <si>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</si>
  <si>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</si>
  <si>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</si>
  <si>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</si>
  <si>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</si>
  <si>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</si>
  <si>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</si>
  <si>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</si>
  <si>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</si>
  <si>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</si>
  <si>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</si>
  <si>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</si>
  <si>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</si>
  <si>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</si>
  <si>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</si>
  <si>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</si>
  <si>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</si>
  <si>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</si>
  <si>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</si>
  <si>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</si>
  <si>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</si>
  <si>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</si>
  <si>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</si>
  <si>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</si>
  <si>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</si>
  <si>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</si>
  <si>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</si>
  <si>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</si>
  <si>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</si>
  <si>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</si>
  <si>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</si>
  <si>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</si>
  <si>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</si>
  <si>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</si>
  <si>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</si>
  <si>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</si>
  <si>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</si>
  <si>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</si>
  <si>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</si>
  <si>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</si>
  <si>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</si>
  <si>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</si>
  <si>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</si>
  <si>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</si>
  <si>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</si>
  <si>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</si>
  <si>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</si>
  <si>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</si>
  <si>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</si>
  <si>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</si>
  <si>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</si>
  <si>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</si>
  <si>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</si>
  <si>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</si>
  <si>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</si>
  <si>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</si>
  <si>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</si>
  <si>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</si>
  <si>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</si>
  <si>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</si>
  <si>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</si>
  <si>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</si>
  <si>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</si>
  <si>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</si>
  <si>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</si>
  <si>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</si>
  <si>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</si>
  <si>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</si>
  <si>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</si>
  <si>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</si>
  <si>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</si>
  <si>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</si>
  <si>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</si>
  <si>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</si>
  <si>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</si>
  <si>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</si>
  <si>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</si>
  <si>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</si>
  <si>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</si>
  <si>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</si>
  <si>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</si>
  <si>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</si>
  <si>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</si>
  <si>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</si>
  <si>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</si>
  <si>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</si>
  <si>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</si>
  <si>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</si>
  <si>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</si>
  <si>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</si>
  <si>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</si>
  <si>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</si>
  <si>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</si>
  <si>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</si>
  <si>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</si>
  <si>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</si>
  <si>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</si>
  <si>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</si>
  <si>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</si>
  <si>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</si>
  <si>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</si>
  <si>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</si>
  <si>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</si>
  <si>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</si>
  <si>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</si>
  <si>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</si>
  <si>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</si>
  <si>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</si>
  <si>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</si>
  <si>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</si>
  <si>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</si>
  <si>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</si>
  <si>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</si>
  <si>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</si>
  <si>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</si>
  <si>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</si>
  <si>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</si>
  <si>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</si>
  <si>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</si>
  <si>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</si>
  <si>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</si>
  <si>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</si>
  <si>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</si>
  <si>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</si>
  <si>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</si>
  <si>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</si>
  <si>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</si>
  <si>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</si>
  <si>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</si>
  <si>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</si>
  <si>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</si>
  <si>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</si>
  <si>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</si>
  <si>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</si>
  <si>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</si>
  <si>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</si>
  <si>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</si>
  <si>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</si>
  <si>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</si>
  <si>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</si>
  <si>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</si>
  <si>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</si>
  <si>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</si>
  <si>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</si>
  <si>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</si>
  <si>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</si>
  <si>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</si>
  <si>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</si>
  <si>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</si>
  <si>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</si>
  <si>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</si>
  <si>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</si>
  <si>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</si>
  <si>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</si>
  <si>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</si>
  <si>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</si>
  <si>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</si>
  <si>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</si>
  <si>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</si>
  <si>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</si>
  <si>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</si>
  <si>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</si>
  <si>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</si>
  <si>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</si>
  <si>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</si>
  <si>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</si>
  <si>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</si>
  <si>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</si>
  <si>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</si>
  <si>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</si>
  <si>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</si>
  <si>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</si>
  <si>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</si>
  <si>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</si>
  <si>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</si>
  <si>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</si>
  <si>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</si>
  <si>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</si>
  <si>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</si>
  <si>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</si>
  <si>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</si>
  <si>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</si>
  <si>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</si>
  <si>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</si>
  <si>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</si>
  <si>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</si>
  <si>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</si>
  <si>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</si>
  <si>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</si>
  <si>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</si>
  <si>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</si>
  <si>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</si>
  <si>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</si>
  <si>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</si>
  <si>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</si>
  <si>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</si>
  <si>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</si>
  <si>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</si>
  <si>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</si>
  <si>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</si>
  <si>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</si>
  <si>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</si>
  <si>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</si>
  <si>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</si>
  <si>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</si>
  <si>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</si>
  <si>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</si>
  <si>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</si>
  <si>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</si>
  <si>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</si>
  <si>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</si>
  <si>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</si>
  <si>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</si>
  <si>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</si>
  <si>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</si>
  <si>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</si>
  <si>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</si>
  <si>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</si>
  <si>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</si>
  <si>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</si>
  <si>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</si>
  <si>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</si>
  <si>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</si>
  <si>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</si>
  <si>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</si>
  <si>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</si>
  <si>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</si>
  <si>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</si>
  <si>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</si>
  <si>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</si>
  <si>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</si>
  <si>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</si>
  <si>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</si>
  <si>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</si>
  <si>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</si>
  <si>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</si>
  <si>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</si>
  <si>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</si>
  <si>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</si>
  <si>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</si>
  <si>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</si>
  <si>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</si>
  <si>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</si>
  <si>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</si>
  <si>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</si>
  <si>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</si>
  <si>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</si>
  <si>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</si>
  <si>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</si>
  <si>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</si>
  <si>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</si>
  <si>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</si>
  <si>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</si>
  <si>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</si>
  <si>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</si>
  <si>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</si>
  <si>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</si>
  <si>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</si>
  <si>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</si>
  <si>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</si>
  <si>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</si>
  <si>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</si>
  <si>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</si>
  <si>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</si>
  <si>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</si>
  <si>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</si>
  <si>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</si>
  <si>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</si>
  <si>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</si>
  <si>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</si>
  <si>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</si>
  <si>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</si>
  <si>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</si>
  <si>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</si>
  <si>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</si>
  <si>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</si>
  <si>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</si>
  <si>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</si>
  <si>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</si>
  <si>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</si>
  <si>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</si>
  <si>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</si>
  <si>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</si>
  <si>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</si>
  <si>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</si>
  <si>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</si>
  <si>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</si>
  <si>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</si>
  <si>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</si>
  <si>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</si>
  <si>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</si>
  <si>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</si>
  <si>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</si>
  <si>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</si>
  <si>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</si>
  <si>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</si>
  <si>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</si>
  <si>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</si>
  <si>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</si>
  <si>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</si>
  <si>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</si>
  <si>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</si>
  <si>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</si>
  <si>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</si>
  <si>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</si>
  <si>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</si>
  <si>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</si>
  <si>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</si>
  <si>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</si>
  <si>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</si>
  <si>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</si>
  <si>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</si>
  <si>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</si>
  <si>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</si>
  <si>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</si>
  <si>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</si>
  <si>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</si>
  <si>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</si>
  <si>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</si>
  <si>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</si>
  <si>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</si>
  <si>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</si>
  <si>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</si>
  <si>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</si>
  <si>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</si>
  <si>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</si>
  <si>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</si>
  <si>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</si>
  <si>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</si>
  <si>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</si>
  <si>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</si>
  <si>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</si>
  <si>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</si>
  <si>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</si>
  <si>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</si>
  <si>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</si>
  <si>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</si>
  <si>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</si>
  <si>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</si>
  <si>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</si>
  <si>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</si>
  <si>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</si>
  <si>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</si>
  <si>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</si>
  <si>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</si>
  <si>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</si>
  <si>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</si>
  <si>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</si>
  <si>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</si>
  <si>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</si>
  <si>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</si>
  <si>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</si>
  <si>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</si>
  <si>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</si>
  <si>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</si>
  <si>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</si>
  <si>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</si>
  <si>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</si>
  <si>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</si>
  <si>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</si>
  <si>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</si>
  <si>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</si>
  <si>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</si>
  <si>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</si>
  <si>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</si>
  <si>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</si>
  <si>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</si>
  <si>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</si>
  <si>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</si>
  <si>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</si>
  <si>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</si>
  <si>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</si>
  <si>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</si>
  <si>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</si>
  <si>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</si>
  <si>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</si>
  <si>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</si>
  <si>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</si>
  <si>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</si>
  <si>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</si>
  <si>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</si>
  <si>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</si>
  <si>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</si>
  <si>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</si>
  <si>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</si>
  <si>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</si>
  <si>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</si>
  <si>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</si>
  <si>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</si>
  <si>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</si>
  <si>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</si>
  <si>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</si>
  <si>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</si>
  <si>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</si>
  <si>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</si>
  <si>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</si>
  <si>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</si>
  <si>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</si>
  <si>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</si>
  <si>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</si>
  <si>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</si>
  <si>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</si>
  <si>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</si>
  <si>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</si>
  <si>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</si>
  <si>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</si>
  <si>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</si>
  <si>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</si>
  <si>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</si>
  <si>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</si>
  <si>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</si>
  <si>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</si>
  <si>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</si>
  <si>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</si>
  <si>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</si>
  <si>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</si>
  <si>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</si>
  <si>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</si>
  <si>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</si>
  <si>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</si>
  <si>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</si>
  <si>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</si>
  <si>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</si>
  <si>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</si>
  <si>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</si>
  <si>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</si>
  <si>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</si>
  <si>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</si>
  <si>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</si>
  <si>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</si>
  <si>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</si>
  <si>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</si>
  <si>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</si>
  <si>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</si>
  <si>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</si>
  <si>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</si>
  <si>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</si>
  <si>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</si>
  <si>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</si>
  <si>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</si>
  <si>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</si>
  <si>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</si>
  <si>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</si>
  <si>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</si>
  <si>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</si>
  <si>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</si>
  <si>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</si>
  <si>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</si>
  <si>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</si>
  <si>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</si>
  <si>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</si>
  <si>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</si>
  <si>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</si>
  <si>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</si>
  <si>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</si>
  <si>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</si>
  <si>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</si>
  <si>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</si>
  <si>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</si>
  <si>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</si>
  <si>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</si>
  <si>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</si>
  <si>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</si>
  <si>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</si>
  <si>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</si>
  <si>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</si>
  <si>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</si>
  <si>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</si>
  <si>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</si>
  <si>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</si>
  <si>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</si>
  <si>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</si>
  <si>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</si>
  <si>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</si>
  <si>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</si>
  <si>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</si>
  <si>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</si>
  <si>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</si>
  <si>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</si>
  <si>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</si>
  <si>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</si>
  <si>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</si>
  <si>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</si>
  <si>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</si>
  <si>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</si>
  <si>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</si>
  <si>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</si>
  <si>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</si>
  <si>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</si>
  <si>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</si>
  <si>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</si>
  <si>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</si>
  <si>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</si>
  <si>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</si>
  <si>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</si>
  <si>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</si>
  <si>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</si>
  <si>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</si>
  <si>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</si>
  <si>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</si>
  <si>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</si>
  <si>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</si>
  <si>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</si>
  <si>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</si>
  <si>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</si>
  <si>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</si>
  <si>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</si>
  <si>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</si>
  <si>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</si>
  <si>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</si>
  <si>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</si>
  <si>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</si>
  <si>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</si>
  <si>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</si>
  <si>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</si>
  <si>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</si>
  <si>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</si>
  <si>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</si>
  <si>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</si>
  <si>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</si>
  <si>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</si>
  <si>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</si>
  <si>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</si>
  <si>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</si>
  <si>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</si>
  <si>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</si>
  <si>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</si>
  <si>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</si>
  <si>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</si>
  <si>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</si>
  <si>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</si>
  <si>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</si>
  <si>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</si>
  <si>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</si>
  <si>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</si>
  <si>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</si>
  <si>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</si>
  <si>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</si>
  <si>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</si>
  <si>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</si>
  <si>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</si>
  <si>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</si>
  <si>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</si>
  <si>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</si>
  <si>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</si>
  <si>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</si>
  <si>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</si>
  <si>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</si>
  <si>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</si>
  <si>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</si>
  <si>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</si>
  <si>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</si>
  <si>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</si>
  <si>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</si>
  <si>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</si>
  <si>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</si>
  <si>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</si>
  <si>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</si>
  <si>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</si>
  <si>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</si>
  <si>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</si>
  <si>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</si>
  <si>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</si>
  <si>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</si>
  <si>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</si>
  <si>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</si>
  <si>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</si>
  <si>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</si>
  <si>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</si>
  <si>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</si>
  <si>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</si>
  <si>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</si>
  <si>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</si>
  <si>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</si>
  <si>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</si>
  <si>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</si>
  <si>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</si>
  <si>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</si>
  <si>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</si>
  <si>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</si>
  <si>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</si>
  <si>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</si>
  <si>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</si>
  <si>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</si>
  <si>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</si>
  <si>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</si>
  <si>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</si>
  <si>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</si>
  <si>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</si>
  <si>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</si>
  <si>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</si>
  <si>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</si>
  <si>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</si>
  <si>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</si>
  <si>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</si>
  <si>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</si>
  <si>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</si>
  <si>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</si>
  <si>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</si>
  <si>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</si>
  <si>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</si>
  <si>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</si>
  <si>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</si>
  <si>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</si>
  <si>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</si>
  <si>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</si>
  <si>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</si>
  <si>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</si>
  <si>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</si>
  <si>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</si>
  <si>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</si>
  <si>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</si>
  <si>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</si>
  <si>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</si>
  <si>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</si>
  <si>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</si>
  <si>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</si>
  <si>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</si>
  <si>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</si>
  <si>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</si>
  <si>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</si>
  <si>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</si>
  <si>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</si>
  <si>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</si>
  <si>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</si>
  <si>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</si>
  <si>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</si>
  <si>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</si>
  <si>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</si>
  <si>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</si>
  <si>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</si>
  <si>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</si>
  <si>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</si>
  <si>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</si>
  <si>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</si>
  <si>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</si>
  <si>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</si>
  <si>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</si>
  <si>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</si>
  <si>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</si>
  <si>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</si>
  <si>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</si>
  <si>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</si>
  <si>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</si>
  <si>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</si>
  <si>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</si>
  <si>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</si>
  <si>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</si>
  <si>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</si>
  <si>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</si>
  <si>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</si>
  <si>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</si>
  <si>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</si>
  <si>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</si>
  <si>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</si>
  <si>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</si>
  <si>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</si>
  <si>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</si>
  <si>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</si>
  <si>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</si>
  <si>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</si>
  <si>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</si>
  <si>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</si>
  <si>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</si>
  <si>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</si>
  <si>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</si>
  <si>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</si>
  <si>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</si>
  <si>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</si>
  <si>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</si>
  <si>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</si>
  <si>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</si>
  <si>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</si>
  <si>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</si>
  <si>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</si>
  <si>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</si>
  <si>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</si>
  <si>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</si>
  <si>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</si>
  <si>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</si>
  <si>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</si>
  <si>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</si>
  <si>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</si>
  <si>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</si>
  <si>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</si>
  <si>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</si>
  <si>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</si>
  <si>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</si>
  <si>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</si>
  <si>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</si>
  <si>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</si>
  <si>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</si>
  <si>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</si>
  <si>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</si>
  <si>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</si>
  <si>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</si>
  <si>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</si>
  <si>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</si>
  <si>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</si>
  <si>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</si>
  <si>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</si>
  <si>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</si>
  <si>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</si>
  <si>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</si>
  <si>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</si>
  <si>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</si>
  <si>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</si>
  <si>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</si>
  <si>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</si>
  <si>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</si>
  <si>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</si>
  <si>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</si>
  <si>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</si>
  <si>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</si>
  <si>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</si>
  <si>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</si>
  <si>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</si>
  <si>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</si>
  <si>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</si>
  <si>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</si>
  <si>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</si>
  <si>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</si>
  <si>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</si>
  <si>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</si>
  <si>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</si>
  <si>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</si>
  <si>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</si>
  <si>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</si>
  <si>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</si>
  <si>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</si>
  <si>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</si>
  <si>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</si>
  <si>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</si>
  <si>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</si>
  <si>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</si>
  <si>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</si>
  <si>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</si>
  <si>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</si>
  <si>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</si>
  <si>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</si>
  <si>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</si>
  <si>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</si>
  <si>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</si>
  <si>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</si>
  <si>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</si>
  <si>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</si>
  <si>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</si>
  <si>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</si>
  <si>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</si>
  <si>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</si>
  <si>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</si>
  <si>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</si>
  <si>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</si>
  <si>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</si>
  <si>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</si>
  <si>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</si>
  <si>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</si>
  <si>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</si>
  <si>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</si>
  <si>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</si>
  <si>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</si>
  <si>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</si>
  <si>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</si>
  <si>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</si>
  <si>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</si>
  <si>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</si>
  <si>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</si>
  <si>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</si>
  <si>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</si>
  <si>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</si>
  <si>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</si>
  <si>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</si>
  <si>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</si>
  <si>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</si>
  <si>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</si>
  <si>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</si>
  <si>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</si>
  <si>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</si>
  <si>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</si>
  <si>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</si>
  <si>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</si>
  <si>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</si>
  <si>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</si>
  <si>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</si>
  <si>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</si>
  <si>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</si>
  <si>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</si>
  <si>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</si>
  <si>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</si>
  <si>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</si>
  <si>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</si>
  <si>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</si>
  <si>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</si>
  <si>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</si>
  <si>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</si>
  <si>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</si>
  <si>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</si>
  <si>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</si>
  <si>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</si>
  <si>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</si>
  <si>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</si>
  <si>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</si>
  <si>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</si>
  <si>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</si>
  <si>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</si>
  <si>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</si>
  <si>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</si>
  <si>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</si>
  <si>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</si>
  <si>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</si>
  <si>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</si>
  <si>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</si>
  <si>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</si>
  <si>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</si>
  <si>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</si>
  <si>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</si>
  <si>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</si>
  <si>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</si>
  <si>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</si>
  <si>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</si>
  <si>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</si>
  <si>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</si>
  <si>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</si>
  <si>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</si>
  <si>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</si>
  <si>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</si>
  <si>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</si>
  <si>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</si>
  <si>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</si>
  <si>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</si>
  <si>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</si>
  <si>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</si>
  <si>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</si>
  <si>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</si>
  <si>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</si>
  <si>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</si>
  <si>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</si>
  <si>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</si>
  <si>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</si>
  <si>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</si>
  <si>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</si>
  <si>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</si>
  <si>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</si>
  <si>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</si>
  <si>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</si>
  <si>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</si>
  <si>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</si>
  <si>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</si>
  <si>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</si>
  <si>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</si>
  <si>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</si>
  <si>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</si>
  <si>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</si>
  <si>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</si>
  <si>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</si>
  <si>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</si>
  <si>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</si>
  <si>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</si>
  <si>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</si>
  <si>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</si>
  <si>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</si>
  <si>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</si>
  <si>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</si>
  <si>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</si>
  <si>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</si>
  <si>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</si>
  <si>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</si>
  <si>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</si>
  <si>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</si>
  <si>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</si>
  <si>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</si>
  <si>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</si>
  <si>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</si>
  <si>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</si>
  <si>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</si>
  <si>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</si>
  <si>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</si>
  <si>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</si>
  <si>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</si>
  <si>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</si>
  <si>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</si>
  <si>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</si>
  <si>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</si>
  <si>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</si>
  <si>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</si>
  <si>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</si>
  <si>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</si>
  <si>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</si>
  <si>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</si>
  <si>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</si>
  <si>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</si>
  <si>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</si>
  <si>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</si>
  <si>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</si>
  <si>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</si>
  <si>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</si>
  <si>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</si>
  <si>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Q:\Trabalhos em Andamento\Arthur Boff\8. Planilhas\12. Estrutura de cadastro padrão P01\2020-05-01_AB_Estrutura P01 (REV20)-TESTE KQ1.xlsm</t>
  </si>
  <si>
    <t>Column81</t>
  </si>
  <si>
    <t>Column82</t>
  </si>
  <si>
    <t>Column83</t>
  </si>
  <si>
    <t>NEW</t>
  </si>
  <si>
    <t>PERFIL 232Z15_TESTE</t>
  </si>
  <si>
    <t>K001572          </t>
  </si>
  <si>
    <t>PERFIL 232Z15</t>
  </si>
  <si>
    <t/>
  </si>
  <si>
    <t>5201020004</t>
  </si>
  <si>
    <t>7308.90.10</t>
  </si>
  <si>
    <t>Multiplo&lt;Final</t>
  </si>
  <si>
    <t>BZ</t>
  </si>
  <si>
    <t>1,36</t>
  </si>
  <si>
    <t>1,74</t>
  </si>
  <si>
    <t>PM -</t>
  </si>
  <si>
    <t>1</t>
  </si>
  <si>
    <t>I</t>
  </si>
  <si>
    <t>1250</t>
  </si>
  <si>
    <t>560</t>
  </si>
  <si>
    <t>800</t>
  </si>
  <si>
    <t>680</t>
  </si>
  <si>
    <t>Meincol 2</t>
  </si>
  <si>
    <t>Pr. Acabado s/WM</t>
  </si>
  <si>
    <t>Industria</t>
  </si>
  <si>
    <t>Comum</t>
  </si>
  <si>
    <t>232Z15</t>
  </si>
  <si>
    <t>K053974</t>
  </si>
  <si>
    <t>V104536</t>
  </si>
  <si>
    <t>L053974</t>
  </si>
  <si>
    <t>OLD</t>
  </si>
  <si>
    <t>BOBINA 1,55 BZ NBR7008 ZAR400 Z275 M TQO</t>
  </si>
  <si>
    <t>L054074</t>
  </si>
  <si>
    <t>K001573          </t>
  </si>
  <si>
    <t>PERFIL 232Z17</t>
  </si>
  <si>
    <t>L054174</t>
  </si>
  <si>
    <t>K001574          </t>
  </si>
  <si>
    <t>PERFIL 232Z19</t>
  </si>
  <si>
    <t>L054274</t>
  </si>
  <si>
    <t>K001575          </t>
  </si>
  <si>
    <t>PERFIL 232Z23</t>
  </si>
  <si>
    <t>L054374</t>
  </si>
  <si>
    <t>K001639          </t>
  </si>
  <si>
    <t>PERFIL 262Z15</t>
  </si>
  <si>
    <t>L054474</t>
  </si>
  <si>
    <t>K001641          </t>
  </si>
  <si>
    <t>PERFIL 262Z19</t>
  </si>
  <si>
    <t>L054574</t>
  </si>
  <si>
    <t>K001643          </t>
  </si>
  <si>
    <t>PERFIL 262Z27</t>
  </si>
  <si>
    <t>L054674</t>
  </si>
  <si>
    <t>K001646          </t>
  </si>
  <si>
    <t>PERFIL 270E23</t>
  </si>
  <si>
    <t>L054774</t>
  </si>
  <si>
    <t>K001655          </t>
  </si>
  <si>
    <t>PERFIL 302C27</t>
  </si>
  <si>
    <t>L054874</t>
  </si>
  <si>
    <t>K001732          </t>
  </si>
  <si>
    <t>PERFIL 232Z14</t>
  </si>
  <si>
    <t>L054974</t>
  </si>
  <si>
    <t>K001735          </t>
  </si>
  <si>
    <t>PERFIL 262Z14</t>
  </si>
  <si>
    <t>L055074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</si>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</sst>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1" fillId="0" borderId="0"/>
  </cellStyleXfs>
  <cellXfs count="98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>
    <queryTableFields count="83">
      <queryTableField id="1" name="PJT" tableColumnId="497"/>
      <queryTableField id="2" name="STS" tableColumnId="498"/>
      <queryTableField id="3" name="Código P01" tableColumnId="499"/>
      <queryTableField id="4" name="Descrição P01" tableColumnId="500"/>
      <queryTableField id="5" name="Modelo" tableColumnId="501"/>
      <queryTableField id="6" name="Descrição do Modelo" tableColumnId="502"/>
      <queryTableField id="7" name="Centro" tableColumnId="503"/>
      <queryTableField id="8" name="Comprimento_x000a_Final" tableColumnId="504"/>
      <queryTableField id="9" name="Peso Kg/m" tableColumnId="505"/>
      <queryTableField id="10" name="KG/PC" tableColumnId="506"/>
      <queryTableField id="11" name="Hierarquia 1" tableColumnId="507"/>
      <queryTableField id="12" name="Hierarquia 2" tableColumnId="508"/>
      <queryTableField id="13" name="Hierarquia 3" tableColumnId="509"/>
      <queryTableField id="14" name="Hierarquia 4" tableColumnId="510"/>
      <queryTableField id="15" name="Hierarquia 5" tableColumnId="511"/>
      <queryTableField id="16" name="Hierarquia Final" tableColumnId="512"/>
      <queryTableField id="17" name="GrPMerc." tableColumnId="513"/>
      <queryTableField id="18" name="Bitola de Produção_x000a_          Descrição" tableColumnId="514"/>
      <queryTableField id="19" name="N° SAP da Bitola" tableColumnId="515"/>
      <queryTableField id="20" name="Unidade de Venda" tableColumnId="516"/>
      <queryTableField id="21" name="NCM" tableColumnId="517"/>
      <queryTableField id="22" name="Peças por _x000a_Amarrado" tableColumnId="518"/>
      <queryTableField id="23" name="Centro de trabalho" tableColumnId="519"/>
      <queryTableField id="24" name="Tempo_x000a_Setup" tableColumnId="520"/>
      <queryTableField id="25" name="Tempo de_x000a_Operação" tableColumnId="521"/>
      <queryTableField id="26" name="Perda de _x000a_Processo" tableColumnId="522"/>
      <queryTableField id="27" name="Código do componente" tableColumnId="523"/>
      <queryTableField id="28" name="Comprimento _x000a_do Multiplo" tableColumnId="524"/>
      <queryTableField id="29" name="Perda em Kg para fabricar 1000 peças do tubo cortado (perda inerente)" tableColumnId="525"/>
      <queryTableField id="30" name="Quantidade em metros para fabricar 1000 peças + perda de processo" tableColumnId="526"/>
      <queryTableField id="31" name="Quantidade em peças para fabricar 1000 peças + perda de processo" tableColumnId="527"/>
      <queryTableField id="32" name="DADOS AO" tableColumnId="528"/>
      <queryTableField id="33" name="Chave LNTR" tableColumnId="529"/>
      <queryTableField id="34" name="Espessura nominal" tableColumnId="530"/>
      <queryTableField id="35" name="Laminação" tableColumnId="531"/>
      <queryTableField id="36" name="MTH?_x000a_MTL?" tableColumnId="532"/>
      <queryTableField id="37" name="Espessura Mínima" tableColumnId="533"/>
      <queryTableField id="38" name="Espessura Máxima" tableColumnId="534"/>
      <queryTableField id="39" name="Máquina" tableColumnId="535"/>
      <queryTableField id="40" name="Mapa/Plano de montagem" tableColumnId="536"/>
      <queryTableField id="41" name="Velocidade_x000a_(m/hr)" tableColumnId="537"/>
      <queryTableField id="42" name="Nave" tableColumnId="538"/>
      <queryTableField id="43" name="Tempo de _x000a_pré-instalação" tableColumnId="539"/>
      <queryTableField id="44" name="Sucata (m)" tableColumnId="540"/>
      <queryTableField id="45" name="Perda (%)" tableColumnId="541"/>
      <queryTableField id="46" name="Largura da tira" tableColumnId="542"/>
      <queryTableField id="47" name="Bobina_x000a_ configuravel?" tableColumnId="543"/>
      <queryTableField id="48" name="Largura ideal" tableColumnId="544"/>
      <queryTableField id="49" name="Velocidade_x000a_3000 até 4999" tableColumnId="545"/>
      <queryTableField id="50" name="Velocidade_x000a_5000 até 8000" tableColumnId="546"/>
      <queryTableField id="51" name="Velocidade_x000a_8001 até 14000" tableColumnId="547"/>
      <queryTableField id="52" name="DADOS LNP" tableColumnId="548"/>
      <queryTableField id="53" name="Cliente" tableColumnId="549"/>
      <queryTableField id="54" name="Preço de terceirização " tableColumnId="550"/>
      <queryTableField id="55" name="Centro de Produção" tableColumnId="551"/>
      <queryTableField id="56" name="Column56" tableColumnId="552"/>
      <queryTableField id="57" name="Depósito de produção" tableColumnId="553"/>
      <queryTableField id="58" name="Column58" tableColumnId="554"/>
      <queryTableField id="59" name="Canal de Distribuição" tableColumnId="555"/>
      <queryTableField id="60" name="Column60" tableColumnId="556"/>
      <queryTableField id="61" name="Setor de Atividade" tableColumnId="557"/>
      <queryTableField id="62" name="Column62" tableColumnId="558"/>
      <queryTableField id="63" name="Níveis Organizacionais SAP" tableColumnId="559"/>
      <queryTableField id="64" name="Tipo de Material PROF" tableColumnId="560"/>
      <queryTableField id="65" name="Geometria CHAR" tableColumnId="561"/>
      <queryTableField id="66" name="Espessura CHAR" tableColumnId="562"/>
      <queryTableField id="67" name="Raspagem Interna?" tableColumnId="563"/>
      <queryTableField id="68" name="Metalização?" tableColumnId="564"/>
      <queryTableField id="69" name="DADOS VARIANT" tableColumnId="565"/>
      <queryTableField id="70" name="Descrição CAM" tableColumnId="566"/>
      <queryTableField id="71" name="Enrijecedor Superior (mm)" tableColumnId="567"/>
      <queryTableField id="72" name="Enrijecedor Inferior (mm)" tableColumnId="568"/>
      <queryTableField id="73" name="Aba Superior (mm)" tableColumnId="569"/>
      <queryTableField id="74" name="Aba Inferior (mm)" tableColumnId="570"/>
      <queryTableField id="75" name="DIM 1 (mm)" tableColumnId="571"/>
      <queryTableField id="76" name="DIM 2 (mm)" tableColumnId="572"/>
      <queryTableField id="77" name="DIM 3 (mm)" tableColumnId="573"/>
      <queryTableField id="78" name="Alavanca 1 (mm)" tableColumnId="574"/>
      <queryTableField id="79" name="Alavanca 2 (mm)" tableColumnId="575"/>
      <queryTableField id="80" name="DADOS PURLINS" tableColumnId="576"/>
      <queryTableField id="81" name="Column81" tableColumnId="577"/>
      <queryTableField id="82" name="Column82" tableColumnId="578"/>
      <queryTableField id="83" name="Column83" tableColumnId="57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6" tableType="queryTable" totalsRowCount="1">
  <autoFilter ref="A1:CE15"/>
  <tableColumns count="83">
    <tableColumn id="497" uniqueName="497" name="PJT" totalsRowLabel="Total" queryTableFieldId="1" dataDxfId="85"/>
    <tableColumn id="498" uniqueName="498" name="STS" queryTableFieldId="2" dataDxfId="84"/>
    <tableColumn id="499" uniqueName="499" name="Código P01" queryTableFieldId="3" dataDxfId="83"/>
    <tableColumn id="500" uniqueName="500" name="Descrição P01" queryTableFieldId="4" dataDxfId="82"/>
    <tableColumn id="501" uniqueName="501" name="Modelo" queryTableFieldId="5" dataDxfId="81"/>
    <tableColumn id="502" uniqueName="502" name="Descrição do Modelo" queryTableFieldId="6" dataDxfId="80"/>
    <tableColumn id="503" uniqueName="503" name="Centro" queryTableFieldId="7" dataDxfId="79"/>
    <tableColumn id="504" uniqueName="504" name="Comprimento_x000a_Final" queryTableFieldId="8" dataDxfId="78"/>
    <tableColumn id="505" uniqueName="505" name="Peso Kg/m" queryTableFieldId="9" dataDxfId="77"/>
    <tableColumn id="506" uniqueName="506" name="KG/PC" queryTableFieldId="10" dataDxfId="76"/>
    <tableColumn id="507" uniqueName="507" name="Hierarquia 1" queryTableFieldId="11" dataDxfId="75"/>
    <tableColumn id="508" uniqueName="508" name="Hierarquia 2" queryTableFieldId="12" dataDxfId="74"/>
    <tableColumn id="509" uniqueName="509" name="Hierarquia 3" queryTableFieldId="13" dataDxfId="73"/>
    <tableColumn id="510" uniqueName="510" name="Hierarquia 4" queryTableFieldId="14" dataDxfId="72"/>
    <tableColumn id="511" uniqueName="511" name="Hierarquia 5" queryTableFieldId="15" dataDxfId="71"/>
    <tableColumn id="512" uniqueName="512" name="Hierarquia Final" queryTableFieldId="16" dataDxfId="70"/>
    <tableColumn id="513" uniqueName="513" name="GrPMerc." queryTableFieldId="17" dataDxfId="69"/>
    <tableColumn id="514" uniqueName="514" name="Bitola de Produção_x000a_          Descrição" queryTableFieldId="18" dataDxfId="68"/>
    <tableColumn id="515" uniqueName="515" name="N° SAP da Bitola" queryTableFieldId="19" dataDxfId="67"/>
    <tableColumn id="516" uniqueName="516" name="Unidade de Venda" queryTableFieldId="20" dataDxfId="66"/>
    <tableColumn id="517" uniqueName="517" name="NCM" queryTableFieldId="21" dataDxfId="65"/>
    <tableColumn id="518" uniqueName="518" name="Peças por _x000a_Amarrado" queryTableFieldId="22" dataDxfId="64"/>
    <tableColumn id="519" uniqueName="519" name="Centro de trabalho" queryTableFieldId="23" dataDxfId="63"/>
    <tableColumn id="520" uniqueName="520" name="Tempo_x000a_Setup" queryTableFieldId="24" dataDxfId="62"/>
    <tableColumn id="521" uniqueName="521" name="Tempo de_x000a_Operação" queryTableFieldId="25" dataDxfId="61"/>
    <tableColumn id="522" uniqueName="522" name="Perda de _x000a_Processo" queryTableFieldId="26" dataDxfId="60"/>
    <tableColumn id="523" uniqueName="523" name="Código do componente" queryTableFieldId="27" dataDxfId="59"/>
    <tableColumn id="524" uniqueName="524" name="Comprimento _x000a_do Multiplo" queryTableFieldId="28" dataDxfId="58"/>
    <tableColumn id="525" uniqueName="525" name="Perda em Kg para fabricar 1000 peças do tubo cortado (perda inerente)" queryTableFieldId="29" dataDxfId="57"/>
    <tableColumn id="526" uniqueName="526" name="Quantidade em metros para fabricar 1000 peças + perda de processo" queryTableFieldId="30" dataDxfId="56"/>
    <tableColumn id="527" uniqueName="527" name="Quantidade em peças para fabricar 1000 peças + perda de processo" queryTableFieldId="31" dataDxfId="55"/>
    <tableColumn id="528" uniqueName="528" name="DADOS AO" queryTableFieldId="32" dataDxfId="54"/>
    <tableColumn id="529" uniqueName="529" name="Chave LNTR" queryTableFieldId="33" dataDxfId="53"/>
    <tableColumn id="530" uniqueName="530" name="Espessura nominal" queryTableFieldId="34" dataDxfId="52"/>
    <tableColumn id="531" uniqueName="531" name="Laminação" queryTableFieldId="35" dataDxfId="51"/>
    <tableColumn id="532" uniqueName="532" name="MTH?_x000a_MTL?" queryTableFieldId="36" dataDxfId="50"/>
    <tableColumn id="533" uniqueName="533" name="Espessura Mínima" queryTableFieldId="37" dataDxfId="49"/>
    <tableColumn id="534" uniqueName="534" name="Espessura Máxima" queryTableFieldId="38" dataDxfId="48"/>
    <tableColumn id="535" uniqueName="535" name="Máquina" queryTableFieldId="39" dataDxfId="47"/>
    <tableColumn id="536" uniqueName="536" name="Mapa/Plano de montagem" queryTableFieldId="40" dataDxfId="46"/>
    <tableColumn id="537" uniqueName="537" name="Velocidade_x000a_(m/hr)" queryTableFieldId="41" dataDxfId="45"/>
    <tableColumn id="538" uniqueName="538" name="Nave" queryTableFieldId="42" dataDxfId="44"/>
    <tableColumn id="539" uniqueName="539" name="Tempo de _x000a_pré-instalação" queryTableFieldId="43" dataDxfId="43"/>
    <tableColumn id="540" uniqueName="540" name="Sucata (m)" queryTableFieldId="44" dataDxfId="42"/>
    <tableColumn id="541" uniqueName="541" name="Perda (%)" queryTableFieldId="45" dataDxfId="41"/>
    <tableColumn id="542" uniqueName="542" name="Largura da tira" queryTableFieldId="46" dataDxfId="40"/>
    <tableColumn id="543" uniqueName="543" name="Bobina_x000a_ configuravel?" queryTableFieldId="47" dataDxfId="39"/>
    <tableColumn id="544" uniqueName="544" name="Largura ideal" queryTableFieldId="48" dataDxfId="38"/>
    <tableColumn id="545" uniqueName="545" name="Velocidade_x000a_3000 até 4999" queryTableFieldId="49" dataDxfId="37"/>
    <tableColumn id="546" uniqueName="546" name="Velocidade_x000a_5000 até 8000" queryTableFieldId="50" dataDxfId="36"/>
    <tableColumn id="547" uniqueName="547" name="Velocidade_x000a_8001 até 14000" queryTableFieldId="51" dataDxfId="35"/>
    <tableColumn id="548" uniqueName="548" name="DADOS LNP" queryTableFieldId="52" dataDxfId="34"/>
    <tableColumn id="549" uniqueName="549" name="Cliente" queryTableFieldId="53" dataDxfId="33"/>
    <tableColumn id="550" uniqueName="550" name="Preço de terceirização " queryTableFieldId="54" dataDxfId="32"/>
    <tableColumn id="551" uniqueName="551" name="Centro de Produção" queryTableFieldId="55" dataDxfId="31"/>
    <tableColumn id="552" uniqueName="552" name="Column56" queryTableFieldId="56" dataDxfId="30"/>
    <tableColumn id="553" uniqueName="553" name="Depósito de produção" queryTableFieldId="57" dataDxfId="29"/>
    <tableColumn id="554" uniqueName="554" name="Column58" queryTableFieldId="58" dataDxfId="28"/>
    <tableColumn id="555" uniqueName="555" name="Canal de Distribuição" queryTableFieldId="59" dataDxfId="27"/>
    <tableColumn id="556" uniqueName="556" name="Column60" queryTableFieldId="60" dataDxfId="26"/>
    <tableColumn id="557" uniqueName="557" name="Setor de Atividade" queryTableFieldId="61" dataDxfId="25"/>
    <tableColumn id="558" uniqueName="558" name="Column62" queryTableFieldId="62" dataDxfId="24"/>
    <tableColumn id="559" uniqueName="559" name="Níveis Organizacionais SAP" queryTableFieldId="63" dataDxfId="23"/>
    <tableColumn id="560" uniqueName="560" name="Tipo de Material PROF" queryTableFieldId="64" dataDxfId="22"/>
    <tableColumn id="561" uniqueName="561" name="Geometria CHAR" queryTableFieldId="65" dataDxfId="21"/>
    <tableColumn id="562" uniqueName="562" name="Espessura CHAR" queryTableFieldId="66" dataDxfId="20"/>
    <tableColumn id="563" uniqueName="563" name="Raspagem Interna?" queryTableFieldId="67" dataDxfId="19"/>
    <tableColumn id="564" uniqueName="564" name="Metalização?" queryTableFieldId="68" dataDxfId="18"/>
    <tableColumn id="565" uniqueName="565" name="DADOS VARIANT" queryTableFieldId="69" dataDxfId="17"/>
    <tableColumn id="566" uniqueName="566" name="Descrição CAM" queryTableFieldId="70" dataDxfId="16"/>
    <tableColumn id="567" uniqueName="567" name="Enrijecedor Superior (mm)" queryTableFieldId="71" dataDxfId="15"/>
    <tableColumn id="568" uniqueName="568" name="Enrijecedor Inferior (mm)" queryTableFieldId="72" dataDxfId="14"/>
    <tableColumn id="569" uniqueName="569" name="Aba Superior (mm)" queryTableFieldId="73" dataDxfId="13"/>
    <tableColumn id="570" uniqueName="570" name="Aba Inferior (mm)" queryTableFieldId="74" dataDxfId="12"/>
    <tableColumn id="571" uniqueName="571" name="DIM 1 (mm)" queryTableFieldId="75" dataDxfId="11"/>
    <tableColumn id="572" uniqueName="572" name="DIM 2 (mm)" queryTableFieldId="76" dataDxfId="10"/>
    <tableColumn id="573" uniqueName="573" name="DIM 3 (mm)" queryTableFieldId="77" dataDxfId="9"/>
    <tableColumn id="574" uniqueName="574" name="Alavanca 1 (mm)" queryTableFieldId="78" dataDxfId="8"/>
    <tableColumn id="575" uniqueName="575" name="Alavanca 2 (mm)" queryTableFieldId="79" dataDxfId="7"/>
    <tableColumn id="576" uniqueName="576" name="DADOS PURLINS" queryTableFieldId="80" dataDxfId="6"/>
    <tableColumn id="577" uniqueName="577" name="Column81" queryTableFieldId="81" dataDxfId="5"/>
    <tableColumn id="578" uniqueName="578" name="Column82" queryTableFieldId="82" dataDxfId="4"/>
    <tableColumn id="579" uniqueName="579" name="Column83" totalsRowFunction="count" queryTableFieldId="83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N5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2.140625" style="6" bestFit="1" customWidth="1"/>
    <col min="4" max="4" width="18.42578125" style="6" bestFit="1" customWidth="1"/>
    <col min="5" max="5" width="19.85546875" style="6" bestFit="1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bestFit="1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bestFit="1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bestFit="1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bestFit="1" customWidth="1" collapsed="1"/>
    <col min="63" max="63" width="23.140625" style="6" bestFit="1" customWidth="1"/>
    <col min="64" max="64" width="16.42578125" style="6" customWidth="1"/>
    <col min="65" max="65" width="17" style="6" bestFit="1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bestFit="1" customWidth="1"/>
    <col min="80" max="80" width="16.7109375" style="6" bestFit="1" customWidth="1"/>
    <col min="81" max="81" width="17.5703125" style="6" bestFit="1" customWidth="1"/>
    <col min="82" max="82" width="19.85546875" style="6" bestFit="1" customWidth="1"/>
    <col min="83" max="83" width="16.140625" style="6" bestFit="1" customWidth="1"/>
    <col min="84" max="84" width="20.140625" style="6" bestFit="1" customWidth="1"/>
    <col min="85" max="85" width="21.7109375" style="6" bestFit="1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bestFit="1" customWidth="1"/>
    <col min="101" max="102" width="24.85546875" style="6" bestFit="1" customWidth="1"/>
    <col min="103" max="108" width="23.7109375" style="6" bestFit="1" customWidth="1"/>
    <col min="109" max="109" width="24.85546875" style="6" bestFit="1" customWidth="1"/>
    <col min="110" max="111" width="33" style="6" bestFit="1" customWidth="1"/>
    <col min="112" max="112" width="31.140625" style="6" hidden="1" customWidth="1"/>
    <col min="113" max="113" width="20.5703125" style="6" hidden="1" customWidth="1" outlineLevel="1"/>
    <col min="114" max="114" width="18.5703125" style="6" hidden="1" customWidth="1" outlineLevel="1"/>
    <col min="115" max="115" width="20.7109375" style="6" hidden="1" customWidth="1" outlineLevel="1"/>
    <col min="116" max="116" width="20.5703125" style="6" hidden="1" customWidth="1" outlineLevel="1"/>
    <col min="117" max="117" width="21" style="6" hidden="1" customWidth="1" outlineLevel="1"/>
    <col min="118" max="118" width="18.5703125" style="6" hidden="1" customWidth="1" outlineLevel="1"/>
    <col min="119" max="119" width="20.7109375" style="6" hidden="1" customWidth="1" outlineLevel="1"/>
    <col min="120" max="120" width="20.5703125" style="6" hidden="1" customWidth="1" outlineLevel="1"/>
    <col min="121" max="121" width="21" style="6" hidden="1" customWidth="1" outlineLevel="1"/>
    <col min="122" max="122" width="18.5703125" style="6" hidden="1" customWidth="1" outlineLevel="1"/>
    <col min="123" max="123" width="20.7109375" style="6" hidden="1" customWidth="1" outlineLevel="1"/>
    <col min="124" max="125" width="20.5703125" style="6" hidden="1" customWidth="1" outlineLevel="1"/>
    <col min="126" max="126" width="18.5703125" style="6" hidden="1" customWidth="1" outlineLevel="1"/>
    <col min="127" max="127" width="20.7109375" style="6" hidden="1" customWidth="1" outlineLevel="1"/>
    <col min="128" max="128" width="20.5703125" style="6" hidden="1" customWidth="1" outlineLevel="1"/>
    <col min="129" max="129" width="23.42578125" style="6" bestFit="1" customWidth="1" collapsed="1"/>
    <col min="130" max="130" width="15.85546875" style="6" hidden="1" customWidth="1"/>
    <col min="131" max="131" width="20.5703125" style="6" hidden="1" customWidth="1"/>
    <col min="132" max="132" width="20.7109375" style="6" bestFit="1" customWidth="1"/>
    <col min="133" max="133" width="17.85546875" style="6" customWidth="1"/>
    <col min="134" max="134" width="16.7109375" style="6" customWidth="1"/>
    <col min="135" max="135" width="17.42578125" style="6" customWidth="1"/>
    <col min="136" max="136" width="28.5703125" style="6" hidden="1" customWidth="1"/>
    <col min="137" max="137" width="17.42578125" style="6" hidden="1" customWidth="1"/>
    <col min="138" max="138" width="18.5703125" style="6" hidden="1" customWidth="1"/>
    <col min="139" max="139" width="16.7109375" style="6" hidden="1" customWidth="1"/>
    <col min="140" max="141" width="17.7109375" style="6" hidden="1" customWidth="1"/>
    <col min="142" max="142" width="23" style="6" customWidth="1"/>
    <col min="143" max="143" width="20.85546875" style="6" hidden="1" customWidth="1"/>
    <col min="144" max="144" width="75.7109375" style="1" customWidth="1"/>
    <col min="145" max="145" width="22" style="1" bestFit="1" customWidth="1"/>
    <col min="146" max="16384" width="9.140625" style="1"/>
  </cols>
  <sheetData>
    <row r="1" spans="1:144" s="34" customFormat="1" x14ac:dyDescent="0.3">
      <c r="A1" s="7" t="s">
        <v>28</v>
      </c>
      <c r="L1" s="96" t="s">
        <v>170</v>
      </c>
      <c r="AN1" s="96" t="s">
        <v>127</v>
      </c>
      <c r="AZ1" s="34" t="s">
        <v>319</v>
      </c>
      <c r="BJ1" s="95" t="s">
        <v>320</v>
      </c>
      <c r="BK1" s="96"/>
      <c r="CL1" s="79"/>
      <c r="CM1" s="79"/>
      <c r="CN1" s="79"/>
      <c r="DA1" s="79"/>
      <c r="DB1" s="79"/>
      <c r="DC1" s="79"/>
      <c r="DD1" s="79"/>
      <c r="DY1" s="95" t="s">
        <v>748</v>
      </c>
      <c r="EA1" s="79"/>
      <c r="EJ1" s="65"/>
      <c r="EN1" s="58"/>
    </row>
    <row r="2" spans="1:144" s="41" customFormat="1" x14ac:dyDescent="0.3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96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96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5"/>
      <c r="BK2" s="96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95"/>
      <c r="DZ2" s="34"/>
      <c r="EA2" s="79"/>
      <c r="EB2" s="34"/>
      <c r="EC2" s="34"/>
      <c r="ED2" s="34"/>
      <c r="EE2" s="34">
        <v>61</v>
      </c>
      <c r="EF2" s="34"/>
      <c r="EG2" s="34"/>
      <c r="EH2" s="34"/>
      <c r="EI2" s="34"/>
      <c r="EJ2" s="65"/>
      <c r="EK2" s="34"/>
      <c r="EL2" s="34"/>
      <c r="EM2" s="34"/>
    </row>
    <row r="3" spans="1:144" s="9" customFormat="1" ht="15" customHeight="1" x14ac:dyDescent="0.3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97" t="s">
        <v>155</v>
      </c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1054</v>
      </c>
      <c r="CN3" s="80" t="s">
        <v>1052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1059</v>
      </c>
      <c r="CX3" s="24" t="s">
        <v>1060</v>
      </c>
      <c r="CY3" s="80" t="s">
        <v>1061</v>
      </c>
      <c r="CZ3" s="24" t="s">
        <v>1071</v>
      </c>
      <c r="DA3" s="80" t="s">
        <v>1062</v>
      </c>
      <c r="DB3" s="80" t="s">
        <v>1064</v>
      </c>
      <c r="DC3" s="80" t="s">
        <v>1065</v>
      </c>
      <c r="DD3" s="80" t="s">
        <v>1068</v>
      </c>
      <c r="DE3" s="24" t="s">
        <v>1069</v>
      </c>
      <c r="DF3" s="24" t="s">
        <v>648</v>
      </c>
      <c r="DG3" s="24" t="s">
        <v>649</v>
      </c>
      <c r="DH3" s="24" t="s">
        <v>650</v>
      </c>
      <c r="DI3" s="27" t="s">
        <v>653</v>
      </c>
      <c r="DJ3" s="27" t="s">
        <v>657</v>
      </c>
      <c r="DK3" s="27" t="s">
        <v>749</v>
      </c>
      <c r="DL3" s="27" t="s">
        <v>750</v>
      </c>
      <c r="DM3" s="27" t="s">
        <v>654</v>
      </c>
      <c r="DN3" s="27" t="s">
        <v>658</v>
      </c>
      <c r="DO3" s="27" t="s">
        <v>751</v>
      </c>
      <c r="DP3" s="27" t="s">
        <v>752</v>
      </c>
      <c r="DQ3" s="27" t="s">
        <v>655</v>
      </c>
      <c r="DR3" s="27" t="s">
        <v>659</v>
      </c>
      <c r="DS3" s="27" t="s">
        <v>753</v>
      </c>
      <c r="DT3" s="27" t="s">
        <v>754</v>
      </c>
      <c r="DU3" s="27" t="s">
        <v>656</v>
      </c>
      <c r="DV3" s="27" t="s">
        <v>660</v>
      </c>
      <c r="DW3" s="27" t="s">
        <v>755</v>
      </c>
      <c r="DX3" s="27" t="s">
        <v>756</v>
      </c>
      <c r="DY3" s="33"/>
      <c r="DZ3" s="27" t="s">
        <v>757</v>
      </c>
      <c r="EA3" s="80" t="s">
        <v>759</v>
      </c>
      <c r="EB3" s="80" t="s">
        <v>1057</v>
      </c>
      <c r="EC3" s="27" t="s">
        <v>762</v>
      </c>
      <c r="ED3" s="27" t="s">
        <v>764</v>
      </c>
      <c r="EE3" s="27" t="s">
        <v>766</v>
      </c>
      <c r="EF3" s="27" t="s">
        <v>768</v>
      </c>
      <c r="EG3" s="61" t="s">
        <v>770</v>
      </c>
      <c r="EH3" s="27" t="s">
        <v>772</v>
      </c>
      <c r="EI3" s="27" t="s">
        <v>773</v>
      </c>
      <c r="EJ3" s="66" t="s">
        <v>775</v>
      </c>
      <c r="EK3" s="66" t="s">
        <v>941</v>
      </c>
      <c r="EL3" s="27" t="s">
        <v>777</v>
      </c>
      <c r="EM3" s="27" t="s">
        <v>779</v>
      </c>
      <c r="EN3" s="58" t="s">
        <v>32</v>
      </c>
    </row>
    <row r="4" spans="1:144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1056</v>
      </c>
      <c r="CM4" s="14" t="s">
        <v>1055</v>
      </c>
      <c r="CN4" s="14" t="s">
        <v>1053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1063</v>
      </c>
      <c r="DC4" s="14" t="s">
        <v>1066</v>
      </c>
      <c r="DD4" s="14" t="s">
        <v>1067</v>
      </c>
      <c r="DE4" s="14" t="s">
        <v>1070</v>
      </c>
      <c r="DF4" s="14" t="s">
        <v>642</v>
      </c>
      <c r="DG4" s="14" t="s">
        <v>643</v>
      </c>
      <c r="DH4" s="14" t="s">
        <v>646</v>
      </c>
      <c r="DI4" s="14" t="s">
        <v>662</v>
      </c>
      <c r="DJ4" s="14" t="s">
        <v>661</v>
      </c>
      <c r="DK4" s="14" t="s">
        <v>651</v>
      </c>
      <c r="DL4" s="14" t="s">
        <v>652</v>
      </c>
      <c r="DM4" s="14" t="s">
        <v>663</v>
      </c>
      <c r="DN4" s="14" t="s">
        <v>666</v>
      </c>
      <c r="DO4" s="14" t="s">
        <v>651</v>
      </c>
      <c r="DP4" s="14" t="s">
        <v>652</v>
      </c>
      <c r="DQ4" s="14" t="s">
        <v>664</v>
      </c>
      <c r="DR4" s="14" t="s">
        <v>667</v>
      </c>
      <c r="DS4" s="14" t="s">
        <v>651</v>
      </c>
      <c r="DT4" s="14" t="s">
        <v>652</v>
      </c>
      <c r="DU4" s="14" t="s">
        <v>665</v>
      </c>
      <c r="DV4" s="14" t="s">
        <v>668</v>
      </c>
      <c r="DW4" s="14" t="s">
        <v>651</v>
      </c>
      <c r="DX4" s="14" t="s">
        <v>652</v>
      </c>
      <c r="DY4" s="14"/>
      <c r="DZ4" s="14" t="s">
        <v>758</v>
      </c>
      <c r="EA4" s="14" t="s">
        <v>760</v>
      </c>
      <c r="EB4" s="14" t="s">
        <v>1058</v>
      </c>
      <c r="EC4" s="14" t="s">
        <v>763</v>
      </c>
      <c r="ED4" s="14" t="s">
        <v>765</v>
      </c>
      <c r="EE4" s="14" t="s">
        <v>767</v>
      </c>
      <c r="EF4" s="14" t="s">
        <v>769</v>
      </c>
      <c r="EG4" s="14" t="s">
        <v>771</v>
      </c>
      <c r="EH4" s="14" t="s">
        <v>769</v>
      </c>
      <c r="EI4" s="14" t="s">
        <v>774</v>
      </c>
      <c r="EJ4" s="14" t="s">
        <v>776</v>
      </c>
      <c r="EK4" s="14" t="s">
        <v>942</v>
      </c>
      <c r="EL4" s="14" t="s">
        <v>778</v>
      </c>
      <c r="EM4" s="14" t="s">
        <v>780</v>
      </c>
      <c r="EN4" s="5" t="s">
        <v>940</v>
      </c>
    </row>
    <row r="5" spans="1:144" x14ac:dyDescent="0.3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45">
        <v>0</v>
      </c>
      <c r="DG5" s="45">
        <v>0</v>
      </c>
      <c r="DH5" s="43" t="str">
        <f t="shared" ref="DH5:DH36" si="3">IFERROR(ROUND(AW5,2),"")</f>
        <v/>
      </c>
      <c r="DI5" s="43" t="str">
        <f>IF(DJ5&lt;&gt;0,1,"")</f>
        <v/>
      </c>
      <c r="DJ5" s="57"/>
      <c r="DK5" s="43" t="str">
        <f ca="1">IF(DJ5&lt;&gt;0,TEXT(TODAY(),"dd.mm.aaaa"),"")</f>
        <v/>
      </c>
      <c r="DL5" s="43" t="str">
        <f>IF(DJ5&lt;&gt;0,"31.12.9999","")</f>
        <v/>
      </c>
      <c r="DM5" s="43" t="str">
        <f>IF(DN5&lt;&gt;0,2,"")</f>
        <v/>
      </c>
      <c r="DN5" s="57"/>
      <c r="DO5" s="43" t="str">
        <f ca="1">IF(DN5&lt;&gt;0,TEXT(TODAY(),"dd.mm.aaaa"),"")</f>
        <v/>
      </c>
      <c r="DP5" s="43" t="str">
        <f>IF(DN5&lt;&gt;0,"31.12.9999","")</f>
        <v/>
      </c>
      <c r="DQ5" s="43" t="str">
        <f>IF(DR5&lt;&gt;0,3,"")</f>
        <v/>
      </c>
      <c r="DR5" s="57"/>
      <c r="DS5" s="43" t="str">
        <f ca="1">IF(DR5&lt;&gt;0,TEXT(TODAY(),"dd.mm.aaaa"),"")</f>
        <v/>
      </c>
      <c r="DT5" s="43" t="str">
        <f>IF(DR5&lt;&gt;0,"31.12.9999","")</f>
        <v/>
      </c>
      <c r="DU5" s="43" t="str">
        <f>IF(DV5&lt;&gt;0,4,"")</f>
        <v/>
      </c>
      <c r="DV5" s="57"/>
      <c r="DW5" s="43" t="str">
        <f ca="1">IF(DV5&lt;&gt;0,TEXT(TODAY(),"dd.mm.aaaa"),"")</f>
        <v/>
      </c>
      <c r="DX5" s="43" t="str">
        <f>IF(DV5&lt;&gt;0,"31.12.9999","")</f>
        <v/>
      </c>
      <c r="DZ5" s="44">
        <v>0</v>
      </c>
      <c r="EA5" s="44" t="s">
        <v>761</v>
      </c>
      <c r="EB5" s="44">
        <v>30</v>
      </c>
      <c r="EC5" s="43">
        <f t="shared" ref="EC5:EC36" si="4">IF(OR(AO5="M",AO5="KG"),0.01,1)</f>
        <v>0.01</v>
      </c>
      <c r="ED5" s="43" t="str">
        <f t="shared" ref="ED5:ED36" si="5">AO5</f>
        <v>M</v>
      </c>
      <c r="EE5" s="43" t="str">
        <f>IF(IFERROR(INDEX(Consulta!$A:$DS,MATCH('MM01'!$B5,Consulta!$C:$C,0),'MM01'!EE$2),"")=0,"7925",IF(IFERROR(INDEX(Consulta!$A:$DS,MATCH('MM01'!$B5,Consulta!$C:$C,0),'MM01'!EE$2),"")="68","7910","7925"))</f>
        <v>7925</v>
      </c>
      <c r="EF5" s="44">
        <v>100</v>
      </c>
      <c r="EG5" s="62">
        <v>1</v>
      </c>
      <c r="EH5" s="43">
        <f>EF5</f>
        <v>100</v>
      </c>
      <c r="EI5" s="44">
        <v>1</v>
      </c>
      <c r="EJ5" s="44">
        <v>0</v>
      </c>
      <c r="EK5" s="44" t="s">
        <v>859</v>
      </c>
      <c r="EL5" s="45">
        <v>0</v>
      </c>
      <c r="EM5" s="43">
        <f>CV5</f>
        <v>5000</v>
      </c>
      <c r="EN5" s="68"/>
    </row>
    <row r="6" spans="1:144" x14ac:dyDescent="0.3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/>
      <c r="BN6" s="46" t="str">
        <f t="shared" ref="BN6:BN54" ca="1" si="19">IF(BM6&lt;&gt;0,TEXT(TODAY(),"DD.MM.AAAA"),"")</f>
        <v/>
      </c>
      <c r="BO6" s="49" t="str">
        <f t="shared" ref="BO6:BO54" si="20">G6</f>
        <v/>
      </c>
      <c r="BP6" s="50">
        <v>1</v>
      </c>
      <c r="BQ6" s="50" t="s">
        <v>194</v>
      </c>
      <c r="BR6" s="50" t="s">
        <v>194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1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2">H6</f>
        <v/>
      </c>
      <c r="CJ6" s="49" t="str">
        <f t="shared" ref="CJ6:CJ54" si="23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4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45">
        <v>0</v>
      </c>
      <c r="DG6" s="45">
        <v>0</v>
      </c>
      <c r="DH6" s="43" t="str">
        <f t="shared" si="3"/>
        <v/>
      </c>
      <c r="DI6" s="43" t="str">
        <f t="shared" ref="DI6:DI54" si="25">IF(DJ6&lt;&gt;0,1,"")</f>
        <v/>
      </c>
      <c r="DJ6" s="57"/>
      <c r="DK6" s="43" t="str">
        <f t="shared" ref="DK6:DK54" ca="1" si="26">IF(DJ6&lt;&gt;0,TEXT(TODAY(),"dd.mm.aaaa"),"")</f>
        <v/>
      </c>
      <c r="DL6" s="43" t="str">
        <f t="shared" ref="DL6:DL54" si="27">IF(DJ6&lt;&gt;0,"31.12.9999","")</f>
        <v/>
      </c>
      <c r="DM6" s="43" t="str">
        <f t="shared" ref="DM6:DM54" si="28">IF(DN6&lt;&gt;0,2,"")</f>
        <v/>
      </c>
      <c r="DN6" s="57"/>
      <c r="DO6" s="43" t="str">
        <f t="shared" ref="DO6:DO54" ca="1" si="29">IF(DN6&lt;&gt;0,TEXT(TODAY(),"dd.mm.aaaa"),"")</f>
        <v/>
      </c>
      <c r="DP6" s="43" t="str">
        <f t="shared" ref="DP6:DP54" si="30">IF(DN6&lt;&gt;0,"31.12.9999","")</f>
        <v/>
      </c>
      <c r="DQ6" s="43" t="str">
        <f t="shared" ref="DQ6:DQ54" si="31">IF(DR6&lt;&gt;0,3,"")</f>
        <v/>
      </c>
      <c r="DR6" s="57"/>
      <c r="DS6" s="43" t="str">
        <f t="shared" ref="DS6:DS54" ca="1" si="32">IF(DR6&lt;&gt;0,TEXT(TODAY(),"dd.mm.aaaa"),"")</f>
        <v/>
      </c>
      <c r="DT6" s="43" t="str">
        <f t="shared" ref="DT6:DT54" si="33">IF(DR6&lt;&gt;0,"31.12.9999","")</f>
        <v/>
      </c>
      <c r="DU6" s="43" t="str">
        <f t="shared" ref="DU6:DU54" si="34">IF(DV6&lt;&gt;0,4,"")</f>
        <v/>
      </c>
      <c r="DV6" s="57"/>
      <c r="DW6" s="43" t="str">
        <f t="shared" ref="DW6:DW54" ca="1" si="35">IF(DV6&lt;&gt;0,TEXT(TODAY(),"dd.mm.aaaa"),"")</f>
        <v/>
      </c>
      <c r="DX6" s="43" t="str">
        <f t="shared" ref="DX6:DX54" si="36">IF(DV6&lt;&gt;0,"31.12.9999","")</f>
        <v/>
      </c>
      <c r="DZ6" s="44">
        <v>0</v>
      </c>
      <c r="EA6" s="44" t="s">
        <v>761</v>
      </c>
      <c r="EB6" s="44">
        <v>30</v>
      </c>
      <c r="EC6" s="43">
        <f t="shared" si="4"/>
        <v>0.01</v>
      </c>
      <c r="ED6" s="43" t="str">
        <f t="shared" si="5"/>
        <v>M</v>
      </c>
      <c r="EE6" s="43" t="str">
        <f>IF(IFERROR(INDEX(Consulta!$A:$DS,MATCH('MM01'!$B6,Consulta!$C:$C,0),'MM01'!EE$2),"")=0,"7925",IF(IFERROR(INDEX(Consulta!$A:$DS,MATCH('MM01'!$B6,Consulta!$C:$C,0),'MM01'!EE$2),"")="68","7910","7925"))</f>
        <v>7925</v>
      </c>
      <c r="EF6" s="44">
        <v>100</v>
      </c>
      <c r="EG6" s="62">
        <v>1</v>
      </c>
      <c r="EH6" s="43">
        <f t="shared" ref="EH6:EH54" si="37">EF6</f>
        <v>100</v>
      </c>
      <c r="EI6" s="44">
        <v>1</v>
      </c>
      <c r="EJ6" s="44">
        <v>0</v>
      </c>
      <c r="EK6" s="44" t="s">
        <v>859</v>
      </c>
      <c r="EL6" s="45">
        <v>0</v>
      </c>
      <c r="EM6" s="43">
        <f t="shared" ref="EM6:EM54" si="38">CV6</f>
        <v>5000</v>
      </c>
      <c r="EN6" s="69"/>
    </row>
    <row r="7" spans="1:144" x14ac:dyDescent="0.3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/>
      <c r="BN7" s="46" t="str">
        <f t="shared" ca="1" si="19"/>
        <v/>
      </c>
      <c r="BO7" s="49" t="str">
        <f t="shared" si="20"/>
        <v/>
      </c>
      <c r="BP7" s="50">
        <v>1</v>
      </c>
      <c r="BQ7" s="50" t="s">
        <v>194</v>
      </c>
      <c r="BR7" s="50" t="s">
        <v>194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1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2"/>
        <v/>
      </c>
      <c r="CJ7" s="49" t="str">
        <f t="shared" si="23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4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45">
        <v>0</v>
      </c>
      <c r="DG7" s="45">
        <v>0</v>
      </c>
      <c r="DH7" s="43" t="str">
        <f t="shared" si="3"/>
        <v/>
      </c>
      <c r="DI7" s="43" t="str">
        <f t="shared" si="25"/>
        <v/>
      </c>
      <c r="DJ7" s="57"/>
      <c r="DK7" s="43" t="str">
        <f t="shared" ca="1" si="26"/>
        <v/>
      </c>
      <c r="DL7" s="43" t="str">
        <f t="shared" si="27"/>
        <v/>
      </c>
      <c r="DM7" s="43" t="str">
        <f t="shared" si="28"/>
        <v/>
      </c>
      <c r="DN7" s="57"/>
      <c r="DO7" s="43" t="str">
        <f t="shared" ca="1" si="29"/>
        <v/>
      </c>
      <c r="DP7" s="43" t="str">
        <f t="shared" si="30"/>
        <v/>
      </c>
      <c r="DQ7" s="43" t="str">
        <f t="shared" si="31"/>
        <v/>
      </c>
      <c r="DR7" s="57"/>
      <c r="DS7" s="43" t="str">
        <f t="shared" ca="1" si="32"/>
        <v/>
      </c>
      <c r="DT7" s="43" t="str">
        <f t="shared" si="33"/>
        <v/>
      </c>
      <c r="DU7" s="43" t="str">
        <f t="shared" si="34"/>
        <v/>
      </c>
      <c r="DV7" s="57"/>
      <c r="DW7" s="43" t="str">
        <f t="shared" ca="1" si="35"/>
        <v/>
      </c>
      <c r="DX7" s="43" t="str">
        <f t="shared" si="36"/>
        <v/>
      </c>
      <c r="DZ7" s="44">
        <v>0</v>
      </c>
      <c r="EA7" s="44" t="s">
        <v>761</v>
      </c>
      <c r="EB7" s="44">
        <v>30</v>
      </c>
      <c r="EC7" s="43">
        <f t="shared" si="4"/>
        <v>0.01</v>
      </c>
      <c r="ED7" s="43" t="str">
        <f t="shared" si="5"/>
        <v>M</v>
      </c>
      <c r="EE7" s="43" t="str">
        <f>IF(IFERROR(INDEX(Consulta!$A:$DS,MATCH('MM01'!$B7,Consulta!$C:$C,0),'MM01'!EE$2),"")=0,"7925",IF(IFERROR(INDEX(Consulta!$A:$DS,MATCH('MM01'!$B7,Consulta!$C:$C,0),'MM01'!EE$2),"")="68","7910","7925"))</f>
        <v>7925</v>
      </c>
      <c r="EF7" s="44">
        <v>100</v>
      </c>
      <c r="EG7" s="62">
        <v>1</v>
      </c>
      <c r="EH7" s="43">
        <f t="shared" si="37"/>
        <v>100</v>
      </c>
      <c r="EI7" s="44">
        <v>1</v>
      </c>
      <c r="EJ7" s="44">
        <v>0</v>
      </c>
      <c r="EK7" s="44" t="s">
        <v>859</v>
      </c>
      <c r="EL7" s="45">
        <v>0</v>
      </c>
      <c r="EM7" s="43">
        <f t="shared" si="38"/>
        <v>5000</v>
      </c>
      <c r="EN7" s="69"/>
    </row>
    <row r="8" spans="1:144" x14ac:dyDescent="0.3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/>
      <c r="BN8" s="46" t="str">
        <f t="shared" ca="1" si="19"/>
        <v/>
      </c>
      <c r="BO8" s="49" t="str">
        <f t="shared" si="20"/>
        <v/>
      </c>
      <c r="BP8" s="50">
        <v>1</v>
      </c>
      <c r="BQ8" s="50" t="s">
        <v>194</v>
      </c>
      <c r="BR8" s="50" t="s">
        <v>194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1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2"/>
        <v/>
      </c>
      <c r="CJ8" s="49" t="str">
        <f t="shared" si="23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4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45">
        <v>0</v>
      </c>
      <c r="DG8" s="45">
        <v>0</v>
      </c>
      <c r="DH8" s="43" t="str">
        <f t="shared" si="3"/>
        <v/>
      </c>
      <c r="DI8" s="43" t="str">
        <f t="shared" si="25"/>
        <v/>
      </c>
      <c r="DJ8" s="57"/>
      <c r="DK8" s="43" t="str">
        <f t="shared" ca="1" si="26"/>
        <v/>
      </c>
      <c r="DL8" s="43" t="str">
        <f t="shared" si="27"/>
        <v/>
      </c>
      <c r="DM8" s="43" t="str">
        <f t="shared" si="28"/>
        <v/>
      </c>
      <c r="DN8" s="57"/>
      <c r="DO8" s="43" t="str">
        <f t="shared" ca="1" si="29"/>
        <v/>
      </c>
      <c r="DP8" s="43" t="str">
        <f t="shared" si="30"/>
        <v/>
      </c>
      <c r="DQ8" s="43" t="str">
        <f t="shared" si="31"/>
        <v/>
      </c>
      <c r="DR8" s="57"/>
      <c r="DS8" s="43" t="str">
        <f t="shared" ca="1" si="32"/>
        <v/>
      </c>
      <c r="DT8" s="43" t="str">
        <f t="shared" si="33"/>
        <v/>
      </c>
      <c r="DU8" s="43" t="str">
        <f t="shared" si="34"/>
        <v/>
      </c>
      <c r="DV8" s="57"/>
      <c r="DW8" s="43" t="str">
        <f t="shared" ca="1" si="35"/>
        <v/>
      </c>
      <c r="DX8" s="43" t="str">
        <f t="shared" si="36"/>
        <v/>
      </c>
      <c r="DZ8" s="44">
        <v>0</v>
      </c>
      <c r="EA8" s="44" t="s">
        <v>761</v>
      </c>
      <c r="EB8" s="44">
        <v>30</v>
      </c>
      <c r="EC8" s="43">
        <f t="shared" si="4"/>
        <v>0.01</v>
      </c>
      <c r="ED8" s="43" t="str">
        <f t="shared" si="5"/>
        <v>M</v>
      </c>
      <c r="EE8" s="43" t="str">
        <f>IF(IFERROR(INDEX(Consulta!$A:$DS,MATCH('MM01'!$B8,Consulta!$C:$C,0),'MM01'!EE$2),"")=0,"7925",IF(IFERROR(INDEX(Consulta!$A:$DS,MATCH('MM01'!$B8,Consulta!$C:$C,0),'MM01'!EE$2),"")="68","7910","7925"))</f>
        <v>7925</v>
      </c>
      <c r="EF8" s="44">
        <v>100</v>
      </c>
      <c r="EG8" s="62">
        <v>1</v>
      </c>
      <c r="EH8" s="43">
        <f t="shared" si="37"/>
        <v>100</v>
      </c>
      <c r="EI8" s="44">
        <v>1</v>
      </c>
      <c r="EJ8" s="44">
        <v>0</v>
      </c>
      <c r="EK8" s="44" t="s">
        <v>859</v>
      </c>
      <c r="EL8" s="45">
        <v>0</v>
      </c>
      <c r="EM8" s="43">
        <f t="shared" si="38"/>
        <v>5000</v>
      </c>
      <c r="EN8" s="69"/>
    </row>
    <row r="9" spans="1:144" x14ac:dyDescent="0.3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/>
      <c r="BN9" s="46" t="str">
        <f t="shared" ca="1" si="19"/>
        <v/>
      </c>
      <c r="BO9" s="49" t="str">
        <f t="shared" si="20"/>
        <v/>
      </c>
      <c r="BP9" s="50">
        <v>1</v>
      </c>
      <c r="BQ9" s="50" t="s">
        <v>194</v>
      </c>
      <c r="BR9" s="50" t="s">
        <v>194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1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2"/>
        <v/>
      </c>
      <c r="CJ9" s="49" t="str">
        <f t="shared" si="23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4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45">
        <v>0</v>
      </c>
      <c r="DG9" s="45">
        <v>0</v>
      </c>
      <c r="DH9" s="43" t="str">
        <f t="shared" si="3"/>
        <v/>
      </c>
      <c r="DI9" s="43" t="str">
        <f t="shared" si="25"/>
        <v/>
      </c>
      <c r="DJ9" s="57"/>
      <c r="DK9" s="43" t="str">
        <f t="shared" ca="1" si="26"/>
        <v/>
      </c>
      <c r="DL9" s="43" t="str">
        <f t="shared" si="27"/>
        <v/>
      </c>
      <c r="DM9" s="43" t="str">
        <f t="shared" si="28"/>
        <v/>
      </c>
      <c r="DN9" s="57"/>
      <c r="DO9" s="43" t="str">
        <f t="shared" ca="1" si="29"/>
        <v/>
      </c>
      <c r="DP9" s="43" t="str">
        <f t="shared" si="30"/>
        <v/>
      </c>
      <c r="DQ9" s="43" t="str">
        <f t="shared" si="31"/>
        <v/>
      </c>
      <c r="DR9" s="57"/>
      <c r="DS9" s="43" t="str">
        <f t="shared" ca="1" si="32"/>
        <v/>
      </c>
      <c r="DT9" s="43" t="str">
        <f t="shared" si="33"/>
        <v/>
      </c>
      <c r="DU9" s="43" t="str">
        <f t="shared" si="34"/>
        <v/>
      </c>
      <c r="DV9" s="57"/>
      <c r="DW9" s="43" t="str">
        <f t="shared" ca="1" si="35"/>
        <v/>
      </c>
      <c r="DX9" s="43" t="str">
        <f t="shared" si="36"/>
        <v/>
      </c>
      <c r="DZ9" s="44">
        <v>0</v>
      </c>
      <c r="EA9" s="44" t="s">
        <v>761</v>
      </c>
      <c r="EB9" s="44">
        <v>30</v>
      </c>
      <c r="EC9" s="43">
        <f t="shared" si="4"/>
        <v>0.01</v>
      </c>
      <c r="ED9" s="43" t="str">
        <f t="shared" si="5"/>
        <v>M</v>
      </c>
      <c r="EE9" s="43" t="str">
        <f>IF(IFERROR(INDEX(Consulta!$A:$DS,MATCH('MM01'!$B9,Consulta!$C:$C,0),'MM01'!EE$2),"")=0,"7925",IF(IFERROR(INDEX(Consulta!$A:$DS,MATCH('MM01'!$B9,Consulta!$C:$C,0),'MM01'!EE$2),"")="68","7910","7925"))</f>
        <v>7925</v>
      </c>
      <c r="EF9" s="44">
        <v>100</v>
      </c>
      <c r="EG9" s="62">
        <v>1</v>
      </c>
      <c r="EH9" s="43">
        <f t="shared" si="37"/>
        <v>100</v>
      </c>
      <c r="EI9" s="44">
        <v>1</v>
      </c>
      <c r="EJ9" s="44">
        <v>0</v>
      </c>
      <c r="EK9" s="44" t="s">
        <v>859</v>
      </c>
      <c r="EL9" s="45">
        <v>0</v>
      </c>
      <c r="EM9" s="43">
        <f t="shared" si="38"/>
        <v>5000</v>
      </c>
      <c r="EN9" s="69"/>
    </row>
    <row r="10" spans="1:144" x14ac:dyDescent="0.3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/>
      <c r="BN10" s="46" t="str">
        <f t="shared" ca="1" si="19"/>
        <v/>
      </c>
      <c r="BO10" s="49" t="str">
        <f t="shared" si="20"/>
        <v/>
      </c>
      <c r="BP10" s="50">
        <v>1</v>
      </c>
      <c r="BQ10" s="50" t="s">
        <v>194</v>
      </c>
      <c r="BR10" s="50" t="s">
        <v>194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1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2"/>
        <v/>
      </c>
      <c r="CJ10" s="49" t="str">
        <f t="shared" si="23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4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45">
        <v>0</v>
      </c>
      <c r="DG10" s="45">
        <v>0</v>
      </c>
      <c r="DH10" s="43" t="str">
        <f t="shared" si="3"/>
        <v/>
      </c>
      <c r="DI10" s="43" t="str">
        <f t="shared" si="25"/>
        <v/>
      </c>
      <c r="DJ10" s="57"/>
      <c r="DK10" s="43" t="str">
        <f t="shared" ca="1" si="26"/>
        <v/>
      </c>
      <c r="DL10" s="43" t="str">
        <f t="shared" si="27"/>
        <v/>
      </c>
      <c r="DM10" s="43" t="str">
        <f t="shared" si="28"/>
        <v/>
      </c>
      <c r="DN10" s="57"/>
      <c r="DO10" s="43" t="str">
        <f t="shared" ca="1" si="29"/>
        <v/>
      </c>
      <c r="DP10" s="43" t="str">
        <f t="shared" si="30"/>
        <v/>
      </c>
      <c r="DQ10" s="43" t="str">
        <f t="shared" si="31"/>
        <v/>
      </c>
      <c r="DR10" s="57"/>
      <c r="DS10" s="43" t="str">
        <f t="shared" ca="1" si="32"/>
        <v/>
      </c>
      <c r="DT10" s="43" t="str">
        <f t="shared" si="33"/>
        <v/>
      </c>
      <c r="DU10" s="43" t="str">
        <f t="shared" si="34"/>
        <v/>
      </c>
      <c r="DV10" s="57"/>
      <c r="DW10" s="43" t="str">
        <f t="shared" ca="1" si="35"/>
        <v/>
      </c>
      <c r="DX10" s="43" t="str">
        <f t="shared" si="36"/>
        <v/>
      </c>
      <c r="DZ10" s="44">
        <v>0</v>
      </c>
      <c r="EA10" s="44" t="s">
        <v>761</v>
      </c>
      <c r="EB10" s="44">
        <v>30</v>
      </c>
      <c r="EC10" s="43">
        <f t="shared" si="4"/>
        <v>0.01</v>
      </c>
      <c r="ED10" s="43" t="str">
        <f t="shared" si="5"/>
        <v>M</v>
      </c>
      <c r="EE10" s="43" t="str">
        <f>IF(IFERROR(INDEX(Consulta!$A:$DS,MATCH('MM01'!$B10,Consulta!$C:$C,0),'MM01'!EE$2),"")=0,"7925",IF(IFERROR(INDEX(Consulta!$A:$DS,MATCH('MM01'!$B10,Consulta!$C:$C,0),'MM01'!EE$2),"")="68","7910","7925"))</f>
        <v>7925</v>
      </c>
      <c r="EF10" s="44">
        <v>100</v>
      </c>
      <c r="EG10" s="62">
        <v>1</v>
      </c>
      <c r="EH10" s="43">
        <f t="shared" si="37"/>
        <v>100</v>
      </c>
      <c r="EI10" s="44">
        <v>1</v>
      </c>
      <c r="EJ10" s="44">
        <v>0</v>
      </c>
      <c r="EK10" s="44" t="s">
        <v>859</v>
      </c>
      <c r="EL10" s="45">
        <v>0</v>
      </c>
      <c r="EM10" s="43">
        <f t="shared" si="38"/>
        <v>5000</v>
      </c>
      <c r="EN10" s="69"/>
    </row>
    <row r="11" spans="1:144" x14ac:dyDescent="0.3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/>
      <c r="BN11" s="46" t="str">
        <f t="shared" ca="1" si="19"/>
        <v/>
      </c>
      <c r="BO11" s="49" t="str">
        <f t="shared" si="20"/>
        <v/>
      </c>
      <c r="BP11" s="50">
        <v>1</v>
      </c>
      <c r="BQ11" s="50" t="s">
        <v>194</v>
      </c>
      <c r="BR11" s="50" t="s">
        <v>194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1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2"/>
        <v/>
      </c>
      <c r="CJ11" s="49" t="str">
        <f t="shared" si="23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4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45">
        <v>0</v>
      </c>
      <c r="DG11" s="45">
        <v>0</v>
      </c>
      <c r="DH11" s="43" t="str">
        <f t="shared" si="3"/>
        <v/>
      </c>
      <c r="DI11" s="43" t="str">
        <f t="shared" si="25"/>
        <v/>
      </c>
      <c r="DJ11" s="57"/>
      <c r="DK11" s="43" t="str">
        <f t="shared" ca="1" si="26"/>
        <v/>
      </c>
      <c r="DL11" s="43" t="str">
        <f t="shared" si="27"/>
        <v/>
      </c>
      <c r="DM11" s="43" t="str">
        <f t="shared" si="28"/>
        <v/>
      </c>
      <c r="DN11" s="57"/>
      <c r="DO11" s="43" t="str">
        <f t="shared" ca="1" si="29"/>
        <v/>
      </c>
      <c r="DP11" s="43" t="str">
        <f t="shared" si="30"/>
        <v/>
      </c>
      <c r="DQ11" s="43" t="str">
        <f t="shared" si="31"/>
        <v/>
      </c>
      <c r="DR11" s="57"/>
      <c r="DS11" s="43" t="str">
        <f t="shared" ca="1" si="32"/>
        <v/>
      </c>
      <c r="DT11" s="43" t="str">
        <f t="shared" si="33"/>
        <v/>
      </c>
      <c r="DU11" s="43" t="str">
        <f t="shared" si="34"/>
        <v/>
      </c>
      <c r="DV11" s="57"/>
      <c r="DW11" s="43" t="str">
        <f t="shared" ca="1" si="35"/>
        <v/>
      </c>
      <c r="DX11" s="43" t="str">
        <f t="shared" si="36"/>
        <v/>
      </c>
      <c r="DZ11" s="44">
        <v>0</v>
      </c>
      <c r="EA11" s="44" t="s">
        <v>761</v>
      </c>
      <c r="EB11" s="44">
        <v>30</v>
      </c>
      <c r="EC11" s="43">
        <f t="shared" si="4"/>
        <v>0.01</v>
      </c>
      <c r="ED11" s="43" t="str">
        <f t="shared" si="5"/>
        <v>M</v>
      </c>
      <c r="EE11" s="43" t="str">
        <f>IF(IFERROR(INDEX(Consulta!$A:$DS,MATCH('MM01'!$B11,Consulta!$C:$C,0),'MM01'!EE$2),"")=0,"7925",IF(IFERROR(INDEX(Consulta!$A:$DS,MATCH('MM01'!$B11,Consulta!$C:$C,0),'MM01'!EE$2),"")="68","7910","7925"))</f>
        <v>7925</v>
      </c>
      <c r="EF11" s="44">
        <v>100</v>
      </c>
      <c r="EG11" s="62">
        <v>1</v>
      </c>
      <c r="EH11" s="43">
        <f t="shared" si="37"/>
        <v>100</v>
      </c>
      <c r="EI11" s="44">
        <v>1</v>
      </c>
      <c r="EJ11" s="44">
        <v>0</v>
      </c>
      <c r="EK11" s="44" t="s">
        <v>859</v>
      </c>
      <c r="EL11" s="45">
        <v>0</v>
      </c>
      <c r="EM11" s="43">
        <f t="shared" si="38"/>
        <v>5000</v>
      </c>
      <c r="EN11" s="69"/>
    </row>
    <row r="12" spans="1:144" x14ac:dyDescent="0.3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/>
      <c r="BN12" s="46" t="str">
        <f t="shared" ca="1" si="19"/>
        <v/>
      </c>
      <c r="BO12" s="49" t="str">
        <f t="shared" si="20"/>
        <v/>
      </c>
      <c r="BP12" s="50">
        <v>1</v>
      </c>
      <c r="BQ12" s="50" t="s">
        <v>194</v>
      </c>
      <c r="BR12" s="50" t="s">
        <v>194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1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2"/>
        <v/>
      </c>
      <c r="CJ12" s="49" t="str">
        <f t="shared" si="23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4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45">
        <v>0</v>
      </c>
      <c r="DG12" s="45">
        <v>0</v>
      </c>
      <c r="DH12" s="43" t="str">
        <f t="shared" si="3"/>
        <v/>
      </c>
      <c r="DI12" s="43" t="str">
        <f t="shared" si="25"/>
        <v/>
      </c>
      <c r="DJ12" s="57"/>
      <c r="DK12" s="43" t="str">
        <f t="shared" ca="1" si="26"/>
        <v/>
      </c>
      <c r="DL12" s="43" t="str">
        <f t="shared" si="27"/>
        <v/>
      </c>
      <c r="DM12" s="43" t="str">
        <f t="shared" si="28"/>
        <v/>
      </c>
      <c r="DN12" s="57"/>
      <c r="DO12" s="43" t="str">
        <f t="shared" ca="1" si="29"/>
        <v/>
      </c>
      <c r="DP12" s="43" t="str">
        <f t="shared" si="30"/>
        <v/>
      </c>
      <c r="DQ12" s="43" t="str">
        <f t="shared" si="31"/>
        <v/>
      </c>
      <c r="DR12" s="57"/>
      <c r="DS12" s="43" t="str">
        <f t="shared" ca="1" si="32"/>
        <v/>
      </c>
      <c r="DT12" s="43" t="str">
        <f t="shared" si="33"/>
        <v/>
      </c>
      <c r="DU12" s="43" t="str">
        <f t="shared" si="34"/>
        <v/>
      </c>
      <c r="DV12" s="57"/>
      <c r="DW12" s="43" t="str">
        <f t="shared" ca="1" si="35"/>
        <v/>
      </c>
      <c r="DX12" s="43" t="str">
        <f t="shared" si="36"/>
        <v/>
      </c>
      <c r="DZ12" s="44">
        <v>0</v>
      </c>
      <c r="EA12" s="44" t="s">
        <v>761</v>
      </c>
      <c r="EB12" s="44">
        <v>30</v>
      </c>
      <c r="EC12" s="43">
        <f t="shared" si="4"/>
        <v>0.01</v>
      </c>
      <c r="ED12" s="43" t="str">
        <f t="shared" si="5"/>
        <v>M</v>
      </c>
      <c r="EE12" s="43" t="str">
        <f>IF(IFERROR(INDEX(Consulta!$A:$DS,MATCH('MM01'!$B12,Consulta!$C:$C,0),'MM01'!EE$2),"")=0,"7925",IF(IFERROR(INDEX(Consulta!$A:$DS,MATCH('MM01'!$B12,Consulta!$C:$C,0),'MM01'!EE$2),"")="68","7910","7925"))</f>
        <v>7925</v>
      </c>
      <c r="EF12" s="44">
        <v>100</v>
      </c>
      <c r="EG12" s="62">
        <v>1</v>
      </c>
      <c r="EH12" s="43">
        <f t="shared" si="37"/>
        <v>100</v>
      </c>
      <c r="EI12" s="44">
        <v>1</v>
      </c>
      <c r="EJ12" s="44">
        <v>0</v>
      </c>
      <c r="EK12" s="44" t="s">
        <v>859</v>
      </c>
      <c r="EL12" s="45">
        <v>0</v>
      </c>
      <c r="EM12" s="43">
        <f t="shared" si="38"/>
        <v>5000</v>
      </c>
      <c r="EN12" s="69"/>
    </row>
    <row r="13" spans="1:144" x14ac:dyDescent="0.3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/>
      <c r="BN13" s="46" t="str">
        <f t="shared" ca="1" si="19"/>
        <v/>
      </c>
      <c r="BO13" s="49" t="str">
        <f t="shared" si="20"/>
        <v/>
      </c>
      <c r="BP13" s="50">
        <v>1</v>
      </c>
      <c r="BQ13" s="50" t="s">
        <v>194</v>
      </c>
      <c r="BR13" s="50" t="s">
        <v>194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1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2"/>
        <v/>
      </c>
      <c r="CJ13" s="49" t="str">
        <f t="shared" si="23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4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45">
        <v>0</v>
      </c>
      <c r="DG13" s="45">
        <v>0</v>
      </c>
      <c r="DH13" s="43" t="str">
        <f t="shared" si="3"/>
        <v/>
      </c>
      <c r="DI13" s="43" t="str">
        <f t="shared" si="25"/>
        <v/>
      </c>
      <c r="DJ13" s="57"/>
      <c r="DK13" s="43" t="str">
        <f t="shared" ca="1" si="26"/>
        <v/>
      </c>
      <c r="DL13" s="43" t="str">
        <f t="shared" si="27"/>
        <v/>
      </c>
      <c r="DM13" s="43" t="str">
        <f t="shared" si="28"/>
        <v/>
      </c>
      <c r="DN13" s="57"/>
      <c r="DO13" s="43" t="str">
        <f t="shared" ca="1" si="29"/>
        <v/>
      </c>
      <c r="DP13" s="43" t="str">
        <f t="shared" si="30"/>
        <v/>
      </c>
      <c r="DQ13" s="43" t="str">
        <f t="shared" si="31"/>
        <v/>
      </c>
      <c r="DR13" s="57"/>
      <c r="DS13" s="43" t="str">
        <f t="shared" ca="1" si="32"/>
        <v/>
      </c>
      <c r="DT13" s="43" t="str">
        <f t="shared" si="33"/>
        <v/>
      </c>
      <c r="DU13" s="43" t="str">
        <f t="shared" si="34"/>
        <v/>
      </c>
      <c r="DV13" s="57"/>
      <c r="DW13" s="43" t="str">
        <f t="shared" ca="1" si="35"/>
        <v/>
      </c>
      <c r="DX13" s="43" t="str">
        <f t="shared" si="36"/>
        <v/>
      </c>
      <c r="DZ13" s="44">
        <v>0</v>
      </c>
      <c r="EA13" s="44" t="s">
        <v>761</v>
      </c>
      <c r="EB13" s="44">
        <v>30</v>
      </c>
      <c r="EC13" s="43">
        <f t="shared" si="4"/>
        <v>0.01</v>
      </c>
      <c r="ED13" s="43" t="str">
        <f t="shared" si="5"/>
        <v>M</v>
      </c>
      <c r="EE13" s="43" t="str">
        <f>IF(IFERROR(INDEX(Consulta!$A:$DS,MATCH('MM01'!$B13,Consulta!$C:$C,0),'MM01'!EE$2),"")=0,"7925",IF(IFERROR(INDEX(Consulta!$A:$DS,MATCH('MM01'!$B13,Consulta!$C:$C,0),'MM01'!EE$2),"")="68","7910","7925"))</f>
        <v>7925</v>
      </c>
      <c r="EF13" s="44">
        <v>100</v>
      </c>
      <c r="EG13" s="62">
        <v>1</v>
      </c>
      <c r="EH13" s="43">
        <f t="shared" si="37"/>
        <v>100</v>
      </c>
      <c r="EI13" s="44">
        <v>1</v>
      </c>
      <c r="EJ13" s="44">
        <v>0</v>
      </c>
      <c r="EK13" s="44" t="s">
        <v>859</v>
      </c>
      <c r="EL13" s="45">
        <v>0</v>
      </c>
      <c r="EM13" s="43">
        <f t="shared" si="38"/>
        <v>5000</v>
      </c>
      <c r="EN13" s="69"/>
    </row>
    <row r="14" spans="1:144" x14ac:dyDescent="0.3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/>
      <c r="BN14" s="46" t="str">
        <f t="shared" ca="1" si="19"/>
        <v/>
      </c>
      <c r="BO14" s="49" t="str">
        <f t="shared" si="20"/>
        <v/>
      </c>
      <c r="BP14" s="50">
        <v>1</v>
      </c>
      <c r="BQ14" s="50" t="s">
        <v>194</v>
      </c>
      <c r="BR14" s="50" t="s">
        <v>194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1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2"/>
        <v/>
      </c>
      <c r="CJ14" s="49" t="str">
        <f t="shared" si="23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4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45">
        <v>0</v>
      </c>
      <c r="DG14" s="45">
        <v>0</v>
      </c>
      <c r="DH14" s="43" t="str">
        <f t="shared" si="3"/>
        <v/>
      </c>
      <c r="DI14" s="43" t="str">
        <f t="shared" si="25"/>
        <v/>
      </c>
      <c r="DJ14" s="57"/>
      <c r="DK14" s="43" t="str">
        <f t="shared" ca="1" si="26"/>
        <v/>
      </c>
      <c r="DL14" s="43" t="str">
        <f t="shared" si="27"/>
        <v/>
      </c>
      <c r="DM14" s="43" t="str">
        <f t="shared" si="28"/>
        <v/>
      </c>
      <c r="DN14" s="57"/>
      <c r="DO14" s="43" t="str">
        <f t="shared" ca="1" si="29"/>
        <v/>
      </c>
      <c r="DP14" s="43" t="str">
        <f t="shared" si="30"/>
        <v/>
      </c>
      <c r="DQ14" s="43" t="str">
        <f t="shared" si="31"/>
        <v/>
      </c>
      <c r="DR14" s="57"/>
      <c r="DS14" s="43" t="str">
        <f t="shared" ca="1" si="32"/>
        <v/>
      </c>
      <c r="DT14" s="43" t="str">
        <f t="shared" si="33"/>
        <v/>
      </c>
      <c r="DU14" s="43" t="str">
        <f t="shared" si="34"/>
        <v/>
      </c>
      <c r="DV14" s="57"/>
      <c r="DW14" s="43" t="str">
        <f t="shared" ca="1" si="35"/>
        <v/>
      </c>
      <c r="DX14" s="43" t="str">
        <f t="shared" si="36"/>
        <v/>
      </c>
      <c r="DZ14" s="44">
        <v>0</v>
      </c>
      <c r="EA14" s="44" t="s">
        <v>761</v>
      </c>
      <c r="EB14" s="44">
        <v>30</v>
      </c>
      <c r="EC14" s="43">
        <f t="shared" si="4"/>
        <v>0.01</v>
      </c>
      <c r="ED14" s="43" t="str">
        <f t="shared" si="5"/>
        <v>M</v>
      </c>
      <c r="EE14" s="43" t="str">
        <f>IF(IFERROR(INDEX(Consulta!$A:$DS,MATCH('MM01'!$B14,Consulta!$C:$C,0),'MM01'!EE$2),"")=0,"7925",IF(IFERROR(INDEX(Consulta!$A:$DS,MATCH('MM01'!$B14,Consulta!$C:$C,0),'MM01'!EE$2),"")="68","7910","7925"))</f>
        <v>7925</v>
      </c>
      <c r="EF14" s="44">
        <v>100</v>
      </c>
      <c r="EG14" s="62">
        <v>1</v>
      </c>
      <c r="EH14" s="43">
        <f t="shared" si="37"/>
        <v>100</v>
      </c>
      <c r="EI14" s="44">
        <v>1</v>
      </c>
      <c r="EJ14" s="44">
        <v>0</v>
      </c>
      <c r="EK14" s="44" t="s">
        <v>859</v>
      </c>
      <c r="EL14" s="45">
        <v>0</v>
      </c>
      <c r="EM14" s="43">
        <f t="shared" si="38"/>
        <v>5000</v>
      </c>
      <c r="EN14" s="69"/>
    </row>
    <row r="15" spans="1:144" x14ac:dyDescent="0.3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/>
      <c r="BN15" s="46" t="str">
        <f t="shared" ca="1" si="19"/>
        <v/>
      </c>
      <c r="BO15" s="49" t="str">
        <f t="shared" si="20"/>
        <v/>
      </c>
      <c r="BP15" s="50">
        <v>1</v>
      </c>
      <c r="BQ15" s="50" t="s">
        <v>194</v>
      </c>
      <c r="BR15" s="50" t="s">
        <v>194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1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2"/>
        <v/>
      </c>
      <c r="CJ15" s="49" t="str">
        <f t="shared" si="23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4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45">
        <v>0</v>
      </c>
      <c r="DG15" s="45">
        <v>0</v>
      </c>
      <c r="DH15" s="43" t="str">
        <f t="shared" si="3"/>
        <v/>
      </c>
      <c r="DI15" s="43" t="str">
        <f t="shared" si="25"/>
        <v/>
      </c>
      <c r="DJ15" s="57"/>
      <c r="DK15" s="43" t="str">
        <f t="shared" ca="1" si="26"/>
        <v/>
      </c>
      <c r="DL15" s="43" t="str">
        <f t="shared" si="27"/>
        <v/>
      </c>
      <c r="DM15" s="43" t="str">
        <f t="shared" si="28"/>
        <v/>
      </c>
      <c r="DN15" s="57"/>
      <c r="DO15" s="43" t="str">
        <f t="shared" ca="1" si="29"/>
        <v/>
      </c>
      <c r="DP15" s="43" t="str">
        <f t="shared" si="30"/>
        <v/>
      </c>
      <c r="DQ15" s="43" t="str">
        <f t="shared" si="31"/>
        <v/>
      </c>
      <c r="DR15" s="57"/>
      <c r="DS15" s="43" t="str">
        <f t="shared" ca="1" si="32"/>
        <v/>
      </c>
      <c r="DT15" s="43" t="str">
        <f t="shared" si="33"/>
        <v/>
      </c>
      <c r="DU15" s="43" t="str">
        <f t="shared" si="34"/>
        <v/>
      </c>
      <c r="DV15" s="57"/>
      <c r="DW15" s="43" t="str">
        <f t="shared" ca="1" si="35"/>
        <v/>
      </c>
      <c r="DX15" s="43" t="str">
        <f t="shared" si="36"/>
        <v/>
      </c>
      <c r="DZ15" s="44">
        <v>0</v>
      </c>
      <c r="EA15" s="44" t="s">
        <v>761</v>
      </c>
      <c r="EB15" s="44">
        <v>30</v>
      </c>
      <c r="EC15" s="43">
        <f t="shared" si="4"/>
        <v>0.01</v>
      </c>
      <c r="ED15" s="43" t="str">
        <f t="shared" si="5"/>
        <v>M</v>
      </c>
      <c r="EE15" s="43" t="str">
        <f>IF(IFERROR(INDEX(Consulta!$A:$DS,MATCH('MM01'!$B15,Consulta!$C:$C,0),'MM01'!EE$2),"")=0,"7925",IF(IFERROR(INDEX(Consulta!$A:$DS,MATCH('MM01'!$B15,Consulta!$C:$C,0),'MM01'!EE$2),"")="68","7910","7925"))</f>
        <v>7925</v>
      </c>
      <c r="EF15" s="44">
        <v>100</v>
      </c>
      <c r="EG15" s="62">
        <v>1</v>
      </c>
      <c r="EH15" s="43">
        <f t="shared" si="37"/>
        <v>100</v>
      </c>
      <c r="EI15" s="44">
        <v>1</v>
      </c>
      <c r="EJ15" s="44">
        <v>0</v>
      </c>
      <c r="EK15" s="44" t="s">
        <v>859</v>
      </c>
      <c r="EL15" s="45">
        <v>0</v>
      </c>
      <c r="EM15" s="43">
        <f t="shared" si="38"/>
        <v>5000</v>
      </c>
      <c r="EN15" s="69"/>
    </row>
    <row r="16" spans="1:144" x14ac:dyDescent="0.3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/>
      <c r="BN16" s="46" t="str">
        <f t="shared" ca="1" si="19"/>
        <v/>
      </c>
      <c r="BO16" s="49" t="str">
        <f t="shared" si="20"/>
        <v/>
      </c>
      <c r="BP16" s="50">
        <v>1</v>
      </c>
      <c r="BQ16" s="50" t="s">
        <v>194</v>
      </c>
      <c r="BR16" s="50" t="s">
        <v>194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1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2"/>
        <v/>
      </c>
      <c r="CJ16" s="49" t="str">
        <f t="shared" si="23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4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45">
        <v>0</v>
      </c>
      <c r="DG16" s="45">
        <v>0</v>
      </c>
      <c r="DH16" s="43" t="str">
        <f t="shared" si="3"/>
        <v/>
      </c>
      <c r="DI16" s="43" t="str">
        <f t="shared" si="25"/>
        <v/>
      </c>
      <c r="DJ16" s="57"/>
      <c r="DK16" s="43" t="str">
        <f t="shared" ca="1" si="26"/>
        <v/>
      </c>
      <c r="DL16" s="43" t="str">
        <f t="shared" si="27"/>
        <v/>
      </c>
      <c r="DM16" s="43" t="str">
        <f t="shared" si="28"/>
        <v/>
      </c>
      <c r="DN16" s="57"/>
      <c r="DO16" s="43" t="str">
        <f t="shared" ca="1" si="29"/>
        <v/>
      </c>
      <c r="DP16" s="43" t="str">
        <f t="shared" si="30"/>
        <v/>
      </c>
      <c r="DQ16" s="43" t="str">
        <f t="shared" si="31"/>
        <v/>
      </c>
      <c r="DR16" s="57"/>
      <c r="DS16" s="43" t="str">
        <f t="shared" ca="1" si="32"/>
        <v/>
      </c>
      <c r="DT16" s="43" t="str">
        <f t="shared" si="33"/>
        <v/>
      </c>
      <c r="DU16" s="43" t="str">
        <f t="shared" si="34"/>
        <v/>
      </c>
      <c r="DV16" s="57"/>
      <c r="DW16" s="43" t="str">
        <f t="shared" ca="1" si="35"/>
        <v/>
      </c>
      <c r="DX16" s="43" t="str">
        <f t="shared" si="36"/>
        <v/>
      </c>
      <c r="DZ16" s="44">
        <v>0</v>
      </c>
      <c r="EA16" s="44" t="s">
        <v>761</v>
      </c>
      <c r="EB16" s="44">
        <v>30</v>
      </c>
      <c r="EC16" s="43">
        <f t="shared" si="4"/>
        <v>0.01</v>
      </c>
      <c r="ED16" s="43" t="str">
        <f t="shared" si="5"/>
        <v>M</v>
      </c>
      <c r="EE16" s="43" t="str">
        <f>IF(IFERROR(INDEX(Consulta!$A:$DS,MATCH('MM01'!$B16,Consulta!$C:$C,0),'MM01'!EE$2),"")=0,"7925",IF(IFERROR(INDEX(Consulta!$A:$DS,MATCH('MM01'!$B16,Consulta!$C:$C,0),'MM01'!EE$2),"")="68","7910","7925"))</f>
        <v>7925</v>
      </c>
      <c r="EF16" s="44">
        <v>100</v>
      </c>
      <c r="EG16" s="62">
        <v>1</v>
      </c>
      <c r="EH16" s="43">
        <f t="shared" si="37"/>
        <v>100</v>
      </c>
      <c r="EI16" s="44">
        <v>1</v>
      </c>
      <c r="EJ16" s="44">
        <v>0</v>
      </c>
      <c r="EK16" s="44" t="s">
        <v>859</v>
      </c>
      <c r="EL16" s="45">
        <v>0</v>
      </c>
      <c r="EM16" s="43">
        <f t="shared" si="38"/>
        <v>5000</v>
      </c>
      <c r="EN16" s="69"/>
    </row>
    <row r="17" spans="1:144" x14ac:dyDescent="0.3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/>
      <c r="BN17" s="46" t="str">
        <f t="shared" ca="1" si="19"/>
        <v/>
      </c>
      <c r="BO17" s="49" t="str">
        <f t="shared" si="20"/>
        <v/>
      </c>
      <c r="BP17" s="50">
        <v>1</v>
      </c>
      <c r="BQ17" s="50" t="s">
        <v>194</v>
      </c>
      <c r="BR17" s="50" t="s">
        <v>194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1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2"/>
        <v/>
      </c>
      <c r="CJ17" s="49" t="str">
        <f t="shared" si="23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4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45">
        <v>0</v>
      </c>
      <c r="DG17" s="45">
        <v>0</v>
      </c>
      <c r="DH17" s="43" t="str">
        <f t="shared" si="3"/>
        <v/>
      </c>
      <c r="DI17" s="43" t="str">
        <f t="shared" si="25"/>
        <v/>
      </c>
      <c r="DJ17" s="57"/>
      <c r="DK17" s="43" t="str">
        <f t="shared" ca="1" si="26"/>
        <v/>
      </c>
      <c r="DL17" s="43" t="str">
        <f t="shared" si="27"/>
        <v/>
      </c>
      <c r="DM17" s="43" t="str">
        <f t="shared" si="28"/>
        <v/>
      </c>
      <c r="DN17" s="57"/>
      <c r="DO17" s="43" t="str">
        <f t="shared" ca="1" si="29"/>
        <v/>
      </c>
      <c r="DP17" s="43" t="str">
        <f t="shared" si="30"/>
        <v/>
      </c>
      <c r="DQ17" s="43" t="str">
        <f t="shared" si="31"/>
        <v/>
      </c>
      <c r="DR17" s="57"/>
      <c r="DS17" s="43" t="str">
        <f t="shared" ca="1" si="32"/>
        <v/>
      </c>
      <c r="DT17" s="43" t="str">
        <f t="shared" si="33"/>
        <v/>
      </c>
      <c r="DU17" s="43" t="str">
        <f t="shared" si="34"/>
        <v/>
      </c>
      <c r="DV17" s="57"/>
      <c r="DW17" s="43" t="str">
        <f t="shared" ca="1" si="35"/>
        <v/>
      </c>
      <c r="DX17" s="43" t="str">
        <f t="shared" si="36"/>
        <v/>
      </c>
      <c r="DZ17" s="44">
        <v>0</v>
      </c>
      <c r="EA17" s="44" t="s">
        <v>761</v>
      </c>
      <c r="EB17" s="44">
        <v>30</v>
      </c>
      <c r="EC17" s="43">
        <f t="shared" si="4"/>
        <v>0.01</v>
      </c>
      <c r="ED17" s="43" t="str">
        <f t="shared" si="5"/>
        <v>M</v>
      </c>
      <c r="EE17" s="43" t="str">
        <f>IF(IFERROR(INDEX(Consulta!$A:$DS,MATCH('MM01'!$B17,Consulta!$C:$C,0),'MM01'!EE$2),"")=0,"7925",IF(IFERROR(INDEX(Consulta!$A:$DS,MATCH('MM01'!$B17,Consulta!$C:$C,0),'MM01'!EE$2),"")="68","7910","7925"))</f>
        <v>7925</v>
      </c>
      <c r="EF17" s="44">
        <v>100</v>
      </c>
      <c r="EG17" s="62">
        <v>1</v>
      </c>
      <c r="EH17" s="43">
        <f t="shared" si="37"/>
        <v>100</v>
      </c>
      <c r="EI17" s="44">
        <v>1</v>
      </c>
      <c r="EJ17" s="44">
        <v>0</v>
      </c>
      <c r="EK17" s="44" t="s">
        <v>859</v>
      </c>
      <c r="EL17" s="45">
        <v>0</v>
      </c>
      <c r="EM17" s="43">
        <f t="shared" si="38"/>
        <v>5000</v>
      </c>
      <c r="EN17" s="69"/>
    </row>
    <row r="18" spans="1:144" x14ac:dyDescent="0.3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/>
      <c r="BN18" s="46" t="str">
        <f t="shared" ca="1" si="19"/>
        <v/>
      </c>
      <c r="BO18" s="49" t="str">
        <f t="shared" si="20"/>
        <v/>
      </c>
      <c r="BP18" s="50">
        <v>1</v>
      </c>
      <c r="BQ18" s="50" t="s">
        <v>194</v>
      </c>
      <c r="BR18" s="50" t="s">
        <v>194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1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2"/>
        <v/>
      </c>
      <c r="CJ18" s="49" t="str">
        <f t="shared" si="23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4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45">
        <v>0</v>
      </c>
      <c r="DG18" s="45">
        <v>0</v>
      </c>
      <c r="DH18" s="43" t="str">
        <f t="shared" si="3"/>
        <v/>
      </c>
      <c r="DI18" s="43" t="str">
        <f t="shared" si="25"/>
        <v/>
      </c>
      <c r="DJ18" s="57"/>
      <c r="DK18" s="43" t="str">
        <f t="shared" ca="1" si="26"/>
        <v/>
      </c>
      <c r="DL18" s="43" t="str">
        <f t="shared" si="27"/>
        <v/>
      </c>
      <c r="DM18" s="43" t="str">
        <f t="shared" si="28"/>
        <v/>
      </c>
      <c r="DN18" s="57"/>
      <c r="DO18" s="43" t="str">
        <f t="shared" ca="1" si="29"/>
        <v/>
      </c>
      <c r="DP18" s="43" t="str">
        <f t="shared" si="30"/>
        <v/>
      </c>
      <c r="DQ18" s="43" t="str">
        <f t="shared" si="31"/>
        <v/>
      </c>
      <c r="DR18" s="57"/>
      <c r="DS18" s="43" t="str">
        <f t="shared" ca="1" si="32"/>
        <v/>
      </c>
      <c r="DT18" s="43" t="str">
        <f t="shared" si="33"/>
        <v/>
      </c>
      <c r="DU18" s="43" t="str">
        <f t="shared" si="34"/>
        <v/>
      </c>
      <c r="DV18" s="57"/>
      <c r="DW18" s="43" t="str">
        <f t="shared" ca="1" si="35"/>
        <v/>
      </c>
      <c r="DX18" s="43" t="str">
        <f t="shared" si="36"/>
        <v/>
      </c>
      <c r="DZ18" s="44">
        <v>0</v>
      </c>
      <c r="EA18" s="44" t="s">
        <v>761</v>
      </c>
      <c r="EB18" s="44">
        <v>30</v>
      </c>
      <c r="EC18" s="43">
        <f t="shared" si="4"/>
        <v>0.01</v>
      </c>
      <c r="ED18" s="43" t="str">
        <f t="shared" si="5"/>
        <v>M</v>
      </c>
      <c r="EE18" s="43" t="str">
        <f>IF(IFERROR(INDEX(Consulta!$A:$DS,MATCH('MM01'!$B18,Consulta!$C:$C,0),'MM01'!EE$2),"")=0,"7925",IF(IFERROR(INDEX(Consulta!$A:$DS,MATCH('MM01'!$B18,Consulta!$C:$C,0),'MM01'!EE$2),"")="68","7910","7925"))</f>
        <v>7925</v>
      </c>
      <c r="EF18" s="44">
        <v>100</v>
      </c>
      <c r="EG18" s="62">
        <v>1</v>
      </c>
      <c r="EH18" s="43">
        <f t="shared" si="37"/>
        <v>100</v>
      </c>
      <c r="EI18" s="44">
        <v>1</v>
      </c>
      <c r="EJ18" s="44">
        <v>0</v>
      </c>
      <c r="EK18" s="44" t="s">
        <v>859</v>
      </c>
      <c r="EL18" s="45">
        <v>0</v>
      </c>
      <c r="EM18" s="43">
        <f t="shared" si="38"/>
        <v>5000</v>
      </c>
      <c r="EN18" s="69"/>
    </row>
    <row r="19" spans="1:144" x14ac:dyDescent="0.3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/>
      <c r="BN19" s="46" t="str">
        <f t="shared" ca="1" si="19"/>
        <v/>
      </c>
      <c r="BO19" s="49" t="str">
        <f t="shared" si="20"/>
        <v/>
      </c>
      <c r="BP19" s="50">
        <v>1</v>
      </c>
      <c r="BQ19" s="50" t="s">
        <v>194</v>
      </c>
      <c r="BR19" s="50" t="s">
        <v>194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1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2"/>
        <v/>
      </c>
      <c r="CJ19" s="49" t="str">
        <f t="shared" si="23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4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45">
        <v>0</v>
      </c>
      <c r="DG19" s="45">
        <v>0</v>
      </c>
      <c r="DH19" s="43" t="str">
        <f t="shared" si="3"/>
        <v/>
      </c>
      <c r="DI19" s="43" t="str">
        <f t="shared" si="25"/>
        <v/>
      </c>
      <c r="DJ19" s="57"/>
      <c r="DK19" s="43" t="str">
        <f t="shared" ca="1" si="26"/>
        <v/>
      </c>
      <c r="DL19" s="43" t="str">
        <f t="shared" si="27"/>
        <v/>
      </c>
      <c r="DM19" s="43" t="str">
        <f t="shared" si="28"/>
        <v/>
      </c>
      <c r="DN19" s="57"/>
      <c r="DO19" s="43" t="str">
        <f t="shared" ca="1" si="29"/>
        <v/>
      </c>
      <c r="DP19" s="43" t="str">
        <f t="shared" si="30"/>
        <v/>
      </c>
      <c r="DQ19" s="43" t="str">
        <f t="shared" si="31"/>
        <v/>
      </c>
      <c r="DR19" s="57"/>
      <c r="DS19" s="43" t="str">
        <f t="shared" ca="1" si="32"/>
        <v/>
      </c>
      <c r="DT19" s="43" t="str">
        <f t="shared" si="33"/>
        <v/>
      </c>
      <c r="DU19" s="43" t="str">
        <f t="shared" si="34"/>
        <v/>
      </c>
      <c r="DV19" s="57"/>
      <c r="DW19" s="43" t="str">
        <f t="shared" ca="1" si="35"/>
        <v/>
      </c>
      <c r="DX19" s="43" t="str">
        <f t="shared" si="36"/>
        <v/>
      </c>
      <c r="DZ19" s="44">
        <v>0</v>
      </c>
      <c r="EA19" s="44" t="s">
        <v>761</v>
      </c>
      <c r="EB19" s="44">
        <v>30</v>
      </c>
      <c r="EC19" s="43">
        <f t="shared" si="4"/>
        <v>0.01</v>
      </c>
      <c r="ED19" s="43" t="str">
        <f t="shared" si="5"/>
        <v>M</v>
      </c>
      <c r="EE19" s="43" t="str">
        <f>IF(IFERROR(INDEX(Consulta!$A:$DS,MATCH('MM01'!$B19,Consulta!$C:$C,0),'MM01'!EE$2),"")=0,"7925",IF(IFERROR(INDEX(Consulta!$A:$DS,MATCH('MM01'!$B19,Consulta!$C:$C,0),'MM01'!EE$2),"")="68","7910","7925"))</f>
        <v>7925</v>
      </c>
      <c r="EF19" s="44">
        <v>100</v>
      </c>
      <c r="EG19" s="62">
        <v>1</v>
      </c>
      <c r="EH19" s="43">
        <f t="shared" si="37"/>
        <v>100</v>
      </c>
      <c r="EI19" s="44">
        <v>1</v>
      </c>
      <c r="EJ19" s="44">
        <v>0</v>
      </c>
      <c r="EK19" s="44" t="s">
        <v>859</v>
      </c>
      <c r="EL19" s="45">
        <v>0</v>
      </c>
      <c r="EM19" s="43">
        <f t="shared" si="38"/>
        <v>5000</v>
      </c>
      <c r="EN19" s="69"/>
    </row>
    <row r="20" spans="1:144" x14ac:dyDescent="0.3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/>
      <c r="BN20" s="46" t="str">
        <f t="shared" ca="1" si="19"/>
        <v/>
      </c>
      <c r="BO20" s="49" t="str">
        <f t="shared" si="20"/>
        <v/>
      </c>
      <c r="BP20" s="50">
        <v>1</v>
      </c>
      <c r="BQ20" s="50" t="s">
        <v>194</v>
      </c>
      <c r="BR20" s="50" t="s">
        <v>194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1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2"/>
        <v/>
      </c>
      <c r="CJ20" s="49" t="str">
        <f t="shared" si="23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4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45">
        <v>0</v>
      </c>
      <c r="DG20" s="45">
        <v>0</v>
      </c>
      <c r="DH20" s="43" t="str">
        <f t="shared" si="3"/>
        <v/>
      </c>
      <c r="DI20" s="43" t="str">
        <f t="shared" si="25"/>
        <v/>
      </c>
      <c r="DJ20" s="57"/>
      <c r="DK20" s="43" t="str">
        <f t="shared" ca="1" si="26"/>
        <v/>
      </c>
      <c r="DL20" s="43" t="str">
        <f t="shared" si="27"/>
        <v/>
      </c>
      <c r="DM20" s="43" t="str">
        <f t="shared" si="28"/>
        <v/>
      </c>
      <c r="DN20" s="57"/>
      <c r="DO20" s="43" t="str">
        <f t="shared" ca="1" si="29"/>
        <v/>
      </c>
      <c r="DP20" s="43" t="str">
        <f t="shared" si="30"/>
        <v/>
      </c>
      <c r="DQ20" s="43" t="str">
        <f t="shared" si="31"/>
        <v/>
      </c>
      <c r="DR20" s="57"/>
      <c r="DS20" s="43" t="str">
        <f t="shared" ca="1" si="32"/>
        <v/>
      </c>
      <c r="DT20" s="43" t="str">
        <f t="shared" si="33"/>
        <v/>
      </c>
      <c r="DU20" s="43" t="str">
        <f t="shared" si="34"/>
        <v/>
      </c>
      <c r="DV20" s="57"/>
      <c r="DW20" s="43" t="str">
        <f t="shared" ca="1" si="35"/>
        <v/>
      </c>
      <c r="DX20" s="43" t="str">
        <f t="shared" si="36"/>
        <v/>
      </c>
      <c r="DZ20" s="44">
        <v>0</v>
      </c>
      <c r="EA20" s="44" t="s">
        <v>761</v>
      </c>
      <c r="EB20" s="44">
        <v>30</v>
      </c>
      <c r="EC20" s="43">
        <f t="shared" si="4"/>
        <v>0.01</v>
      </c>
      <c r="ED20" s="43" t="str">
        <f t="shared" si="5"/>
        <v>M</v>
      </c>
      <c r="EE20" s="43" t="str">
        <f>IF(IFERROR(INDEX(Consulta!$A:$DS,MATCH('MM01'!$B20,Consulta!$C:$C,0),'MM01'!EE$2),"")=0,"7925",IF(IFERROR(INDEX(Consulta!$A:$DS,MATCH('MM01'!$B20,Consulta!$C:$C,0),'MM01'!EE$2),"")="68","7910","7925"))</f>
        <v>7925</v>
      </c>
      <c r="EF20" s="44">
        <v>100</v>
      </c>
      <c r="EG20" s="62">
        <v>1</v>
      </c>
      <c r="EH20" s="43">
        <f t="shared" si="37"/>
        <v>100</v>
      </c>
      <c r="EI20" s="44">
        <v>1</v>
      </c>
      <c r="EJ20" s="44">
        <v>0</v>
      </c>
      <c r="EK20" s="44" t="s">
        <v>859</v>
      </c>
      <c r="EL20" s="45">
        <v>0</v>
      </c>
      <c r="EM20" s="43">
        <f t="shared" si="38"/>
        <v>5000</v>
      </c>
      <c r="EN20" s="69"/>
    </row>
    <row r="21" spans="1:144" x14ac:dyDescent="0.3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/>
      <c r="BN21" s="46" t="str">
        <f t="shared" ca="1" si="19"/>
        <v/>
      </c>
      <c r="BO21" s="49" t="str">
        <f t="shared" si="20"/>
        <v/>
      </c>
      <c r="BP21" s="50">
        <v>1</v>
      </c>
      <c r="BQ21" s="50" t="s">
        <v>194</v>
      </c>
      <c r="BR21" s="50" t="s">
        <v>194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1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2"/>
        <v/>
      </c>
      <c r="CJ21" s="49" t="str">
        <f t="shared" si="23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4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45">
        <v>0</v>
      </c>
      <c r="DG21" s="45">
        <v>0</v>
      </c>
      <c r="DH21" s="43" t="str">
        <f t="shared" si="3"/>
        <v/>
      </c>
      <c r="DI21" s="43" t="str">
        <f t="shared" si="25"/>
        <v/>
      </c>
      <c r="DJ21" s="57"/>
      <c r="DK21" s="43" t="str">
        <f t="shared" ca="1" si="26"/>
        <v/>
      </c>
      <c r="DL21" s="43" t="str">
        <f t="shared" si="27"/>
        <v/>
      </c>
      <c r="DM21" s="43" t="str">
        <f t="shared" si="28"/>
        <v/>
      </c>
      <c r="DN21" s="57"/>
      <c r="DO21" s="43" t="str">
        <f t="shared" ca="1" si="29"/>
        <v/>
      </c>
      <c r="DP21" s="43" t="str">
        <f t="shared" si="30"/>
        <v/>
      </c>
      <c r="DQ21" s="43" t="str">
        <f t="shared" si="31"/>
        <v/>
      </c>
      <c r="DR21" s="57"/>
      <c r="DS21" s="43" t="str">
        <f t="shared" ca="1" si="32"/>
        <v/>
      </c>
      <c r="DT21" s="43" t="str">
        <f t="shared" si="33"/>
        <v/>
      </c>
      <c r="DU21" s="43" t="str">
        <f t="shared" si="34"/>
        <v/>
      </c>
      <c r="DV21" s="57"/>
      <c r="DW21" s="43" t="str">
        <f t="shared" ca="1" si="35"/>
        <v/>
      </c>
      <c r="DX21" s="43" t="str">
        <f t="shared" si="36"/>
        <v/>
      </c>
      <c r="DZ21" s="44">
        <v>0</v>
      </c>
      <c r="EA21" s="44" t="s">
        <v>761</v>
      </c>
      <c r="EB21" s="44">
        <v>30</v>
      </c>
      <c r="EC21" s="43">
        <f t="shared" si="4"/>
        <v>0.01</v>
      </c>
      <c r="ED21" s="43" t="str">
        <f t="shared" si="5"/>
        <v>M</v>
      </c>
      <c r="EE21" s="43" t="str">
        <f>IF(IFERROR(INDEX(Consulta!$A:$DS,MATCH('MM01'!$B21,Consulta!$C:$C,0),'MM01'!EE$2),"")=0,"7925",IF(IFERROR(INDEX(Consulta!$A:$DS,MATCH('MM01'!$B21,Consulta!$C:$C,0),'MM01'!EE$2),"")="68","7910","7925"))</f>
        <v>7925</v>
      </c>
      <c r="EF21" s="44">
        <v>100</v>
      </c>
      <c r="EG21" s="62">
        <v>1</v>
      </c>
      <c r="EH21" s="43">
        <f t="shared" si="37"/>
        <v>100</v>
      </c>
      <c r="EI21" s="44">
        <v>1</v>
      </c>
      <c r="EJ21" s="44">
        <v>0</v>
      </c>
      <c r="EK21" s="44" t="s">
        <v>859</v>
      </c>
      <c r="EL21" s="45">
        <v>0</v>
      </c>
      <c r="EM21" s="43">
        <f t="shared" si="38"/>
        <v>5000</v>
      </c>
      <c r="EN21" s="69"/>
    </row>
    <row r="22" spans="1:144" x14ac:dyDescent="0.3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/>
      <c r="BN22" s="46" t="str">
        <f t="shared" ca="1" si="19"/>
        <v/>
      </c>
      <c r="BO22" s="49" t="str">
        <f t="shared" si="20"/>
        <v/>
      </c>
      <c r="BP22" s="50">
        <v>1</v>
      </c>
      <c r="BQ22" s="50" t="s">
        <v>194</v>
      </c>
      <c r="BR22" s="50" t="s">
        <v>194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1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2"/>
        <v/>
      </c>
      <c r="CJ22" s="49" t="str">
        <f t="shared" si="23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4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45">
        <v>0</v>
      </c>
      <c r="DG22" s="45">
        <v>0</v>
      </c>
      <c r="DH22" s="43" t="str">
        <f t="shared" si="3"/>
        <v/>
      </c>
      <c r="DI22" s="43" t="str">
        <f t="shared" si="25"/>
        <v/>
      </c>
      <c r="DJ22" s="57"/>
      <c r="DK22" s="43" t="str">
        <f t="shared" ca="1" si="26"/>
        <v/>
      </c>
      <c r="DL22" s="43" t="str">
        <f t="shared" si="27"/>
        <v/>
      </c>
      <c r="DM22" s="43" t="str">
        <f t="shared" si="28"/>
        <v/>
      </c>
      <c r="DN22" s="57"/>
      <c r="DO22" s="43" t="str">
        <f t="shared" ca="1" si="29"/>
        <v/>
      </c>
      <c r="DP22" s="43" t="str">
        <f t="shared" si="30"/>
        <v/>
      </c>
      <c r="DQ22" s="43" t="str">
        <f t="shared" si="31"/>
        <v/>
      </c>
      <c r="DR22" s="57"/>
      <c r="DS22" s="43" t="str">
        <f t="shared" ca="1" si="32"/>
        <v/>
      </c>
      <c r="DT22" s="43" t="str">
        <f t="shared" si="33"/>
        <v/>
      </c>
      <c r="DU22" s="43" t="str">
        <f t="shared" si="34"/>
        <v/>
      </c>
      <c r="DV22" s="57"/>
      <c r="DW22" s="43" t="str">
        <f t="shared" ca="1" si="35"/>
        <v/>
      </c>
      <c r="DX22" s="43" t="str">
        <f t="shared" si="36"/>
        <v/>
      </c>
      <c r="DZ22" s="44">
        <v>0</v>
      </c>
      <c r="EA22" s="44" t="s">
        <v>761</v>
      </c>
      <c r="EB22" s="44">
        <v>30</v>
      </c>
      <c r="EC22" s="43">
        <f t="shared" si="4"/>
        <v>0.01</v>
      </c>
      <c r="ED22" s="43" t="str">
        <f t="shared" si="5"/>
        <v>M</v>
      </c>
      <c r="EE22" s="43" t="str">
        <f>IF(IFERROR(INDEX(Consulta!$A:$DS,MATCH('MM01'!$B22,Consulta!$C:$C,0),'MM01'!EE$2),"")=0,"7925",IF(IFERROR(INDEX(Consulta!$A:$DS,MATCH('MM01'!$B22,Consulta!$C:$C,0),'MM01'!EE$2),"")="68","7910","7925"))</f>
        <v>7925</v>
      </c>
      <c r="EF22" s="44">
        <v>100</v>
      </c>
      <c r="EG22" s="62">
        <v>1</v>
      </c>
      <c r="EH22" s="43">
        <f t="shared" si="37"/>
        <v>100</v>
      </c>
      <c r="EI22" s="44">
        <v>1</v>
      </c>
      <c r="EJ22" s="44">
        <v>0</v>
      </c>
      <c r="EK22" s="44" t="s">
        <v>859</v>
      </c>
      <c r="EL22" s="45">
        <v>0</v>
      </c>
      <c r="EM22" s="43">
        <f t="shared" si="38"/>
        <v>5000</v>
      </c>
      <c r="EN22" s="69"/>
    </row>
    <row r="23" spans="1:144" x14ac:dyDescent="0.3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/>
      <c r="BN23" s="46" t="str">
        <f t="shared" ca="1" si="19"/>
        <v/>
      </c>
      <c r="BO23" s="49" t="str">
        <f t="shared" si="20"/>
        <v/>
      </c>
      <c r="BP23" s="50">
        <v>1</v>
      </c>
      <c r="BQ23" s="50" t="s">
        <v>194</v>
      </c>
      <c r="BR23" s="50" t="s">
        <v>194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1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2"/>
        <v/>
      </c>
      <c r="CJ23" s="49" t="str">
        <f t="shared" si="23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4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45">
        <v>0</v>
      </c>
      <c r="DG23" s="45">
        <v>0</v>
      </c>
      <c r="DH23" s="43" t="str">
        <f t="shared" si="3"/>
        <v/>
      </c>
      <c r="DI23" s="43" t="str">
        <f t="shared" si="25"/>
        <v/>
      </c>
      <c r="DJ23" s="57"/>
      <c r="DK23" s="43" t="str">
        <f t="shared" ca="1" si="26"/>
        <v/>
      </c>
      <c r="DL23" s="43" t="str">
        <f t="shared" si="27"/>
        <v/>
      </c>
      <c r="DM23" s="43" t="str">
        <f t="shared" si="28"/>
        <v/>
      </c>
      <c r="DN23" s="57"/>
      <c r="DO23" s="43" t="str">
        <f t="shared" ca="1" si="29"/>
        <v/>
      </c>
      <c r="DP23" s="43" t="str">
        <f t="shared" si="30"/>
        <v/>
      </c>
      <c r="DQ23" s="43" t="str">
        <f t="shared" si="31"/>
        <v/>
      </c>
      <c r="DR23" s="57"/>
      <c r="DS23" s="43" t="str">
        <f t="shared" ca="1" si="32"/>
        <v/>
      </c>
      <c r="DT23" s="43" t="str">
        <f t="shared" si="33"/>
        <v/>
      </c>
      <c r="DU23" s="43" t="str">
        <f t="shared" si="34"/>
        <v/>
      </c>
      <c r="DV23" s="57"/>
      <c r="DW23" s="43" t="str">
        <f t="shared" ca="1" si="35"/>
        <v/>
      </c>
      <c r="DX23" s="43" t="str">
        <f t="shared" si="36"/>
        <v/>
      </c>
      <c r="DZ23" s="44">
        <v>0</v>
      </c>
      <c r="EA23" s="44" t="s">
        <v>761</v>
      </c>
      <c r="EB23" s="44">
        <v>30</v>
      </c>
      <c r="EC23" s="43">
        <f t="shared" si="4"/>
        <v>0.01</v>
      </c>
      <c r="ED23" s="43" t="str">
        <f t="shared" si="5"/>
        <v>M</v>
      </c>
      <c r="EE23" s="43" t="str">
        <f>IF(IFERROR(INDEX(Consulta!$A:$DS,MATCH('MM01'!$B23,Consulta!$C:$C,0),'MM01'!EE$2),"")=0,"7925",IF(IFERROR(INDEX(Consulta!$A:$DS,MATCH('MM01'!$B23,Consulta!$C:$C,0),'MM01'!EE$2),"")="68","7910","7925"))</f>
        <v>7925</v>
      </c>
      <c r="EF23" s="44">
        <v>100</v>
      </c>
      <c r="EG23" s="62">
        <v>1</v>
      </c>
      <c r="EH23" s="43">
        <f t="shared" si="37"/>
        <v>100</v>
      </c>
      <c r="EI23" s="44">
        <v>1</v>
      </c>
      <c r="EJ23" s="44">
        <v>0</v>
      </c>
      <c r="EK23" s="44" t="s">
        <v>859</v>
      </c>
      <c r="EL23" s="45">
        <v>0</v>
      </c>
      <c r="EM23" s="43">
        <f t="shared" si="38"/>
        <v>5000</v>
      </c>
      <c r="EN23" s="69"/>
    </row>
    <row r="24" spans="1:144" x14ac:dyDescent="0.3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/>
      <c r="BN24" s="46" t="str">
        <f t="shared" ca="1" si="19"/>
        <v/>
      </c>
      <c r="BO24" s="49" t="str">
        <f t="shared" si="20"/>
        <v/>
      </c>
      <c r="BP24" s="50">
        <v>1</v>
      </c>
      <c r="BQ24" s="50" t="s">
        <v>194</v>
      </c>
      <c r="BR24" s="50" t="s">
        <v>194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1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2"/>
        <v/>
      </c>
      <c r="CJ24" s="49" t="str">
        <f t="shared" si="23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4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45">
        <v>0</v>
      </c>
      <c r="DG24" s="45">
        <v>0</v>
      </c>
      <c r="DH24" s="43" t="str">
        <f t="shared" si="3"/>
        <v/>
      </c>
      <c r="DI24" s="43" t="str">
        <f t="shared" si="25"/>
        <v/>
      </c>
      <c r="DJ24" s="57"/>
      <c r="DK24" s="43" t="str">
        <f t="shared" ca="1" si="26"/>
        <v/>
      </c>
      <c r="DL24" s="43" t="str">
        <f t="shared" si="27"/>
        <v/>
      </c>
      <c r="DM24" s="43" t="str">
        <f t="shared" si="28"/>
        <v/>
      </c>
      <c r="DN24" s="57"/>
      <c r="DO24" s="43" t="str">
        <f t="shared" ca="1" si="29"/>
        <v/>
      </c>
      <c r="DP24" s="43" t="str">
        <f t="shared" si="30"/>
        <v/>
      </c>
      <c r="DQ24" s="43" t="str">
        <f t="shared" si="31"/>
        <v/>
      </c>
      <c r="DR24" s="57"/>
      <c r="DS24" s="43" t="str">
        <f t="shared" ca="1" si="32"/>
        <v/>
      </c>
      <c r="DT24" s="43" t="str">
        <f t="shared" si="33"/>
        <v/>
      </c>
      <c r="DU24" s="43" t="str">
        <f t="shared" si="34"/>
        <v/>
      </c>
      <c r="DV24" s="57"/>
      <c r="DW24" s="43" t="str">
        <f t="shared" ca="1" si="35"/>
        <v/>
      </c>
      <c r="DX24" s="43" t="str">
        <f t="shared" si="36"/>
        <v/>
      </c>
      <c r="DZ24" s="44">
        <v>0</v>
      </c>
      <c r="EA24" s="44" t="s">
        <v>761</v>
      </c>
      <c r="EB24" s="44">
        <v>30</v>
      </c>
      <c r="EC24" s="43">
        <f t="shared" si="4"/>
        <v>0.01</v>
      </c>
      <c r="ED24" s="43" t="str">
        <f t="shared" si="5"/>
        <v>M</v>
      </c>
      <c r="EE24" s="43" t="str">
        <f>IF(IFERROR(INDEX(Consulta!$A:$DS,MATCH('MM01'!$B24,Consulta!$C:$C,0),'MM01'!EE$2),"")=0,"7925",IF(IFERROR(INDEX(Consulta!$A:$DS,MATCH('MM01'!$B24,Consulta!$C:$C,0),'MM01'!EE$2),"")="68","7910","7925"))</f>
        <v>7925</v>
      </c>
      <c r="EF24" s="44">
        <v>100</v>
      </c>
      <c r="EG24" s="62">
        <v>1</v>
      </c>
      <c r="EH24" s="43">
        <f t="shared" si="37"/>
        <v>100</v>
      </c>
      <c r="EI24" s="44">
        <v>1</v>
      </c>
      <c r="EJ24" s="44">
        <v>0</v>
      </c>
      <c r="EK24" s="44" t="s">
        <v>859</v>
      </c>
      <c r="EL24" s="45">
        <v>0</v>
      </c>
      <c r="EM24" s="43">
        <f t="shared" si="38"/>
        <v>5000</v>
      </c>
      <c r="EN24" s="69"/>
    </row>
    <row r="25" spans="1:144" x14ac:dyDescent="0.3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/>
      <c r="BN25" s="46" t="str">
        <f t="shared" ca="1" si="19"/>
        <v/>
      </c>
      <c r="BO25" s="49" t="str">
        <f t="shared" si="20"/>
        <v/>
      </c>
      <c r="BP25" s="50">
        <v>1</v>
      </c>
      <c r="BQ25" s="50" t="s">
        <v>194</v>
      </c>
      <c r="BR25" s="50" t="s">
        <v>194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1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2"/>
        <v/>
      </c>
      <c r="CJ25" s="49" t="str">
        <f t="shared" si="23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4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45">
        <v>0</v>
      </c>
      <c r="DG25" s="45">
        <v>0</v>
      </c>
      <c r="DH25" s="43" t="str">
        <f t="shared" si="3"/>
        <v/>
      </c>
      <c r="DI25" s="43" t="str">
        <f t="shared" si="25"/>
        <v/>
      </c>
      <c r="DJ25" s="57"/>
      <c r="DK25" s="43" t="str">
        <f t="shared" ca="1" si="26"/>
        <v/>
      </c>
      <c r="DL25" s="43" t="str">
        <f t="shared" si="27"/>
        <v/>
      </c>
      <c r="DM25" s="43" t="str">
        <f t="shared" si="28"/>
        <v/>
      </c>
      <c r="DN25" s="57"/>
      <c r="DO25" s="43" t="str">
        <f t="shared" ca="1" si="29"/>
        <v/>
      </c>
      <c r="DP25" s="43" t="str">
        <f t="shared" si="30"/>
        <v/>
      </c>
      <c r="DQ25" s="43" t="str">
        <f t="shared" si="31"/>
        <v/>
      </c>
      <c r="DR25" s="57"/>
      <c r="DS25" s="43" t="str">
        <f t="shared" ca="1" si="32"/>
        <v/>
      </c>
      <c r="DT25" s="43" t="str">
        <f t="shared" si="33"/>
        <v/>
      </c>
      <c r="DU25" s="43" t="str">
        <f t="shared" si="34"/>
        <v/>
      </c>
      <c r="DV25" s="57"/>
      <c r="DW25" s="43" t="str">
        <f t="shared" ca="1" si="35"/>
        <v/>
      </c>
      <c r="DX25" s="43" t="str">
        <f t="shared" si="36"/>
        <v/>
      </c>
      <c r="DZ25" s="44">
        <v>0</v>
      </c>
      <c r="EA25" s="44" t="s">
        <v>761</v>
      </c>
      <c r="EB25" s="44">
        <v>30</v>
      </c>
      <c r="EC25" s="43">
        <f t="shared" si="4"/>
        <v>0.01</v>
      </c>
      <c r="ED25" s="43" t="str">
        <f t="shared" si="5"/>
        <v>M</v>
      </c>
      <c r="EE25" s="43" t="str">
        <f>IF(IFERROR(INDEX(Consulta!$A:$DS,MATCH('MM01'!$B25,Consulta!$C:$C,0),'MM01'!EE$2),"")=0,"7925",IF(IFERROR(INDEX(Consulta!$A:$DS,MATCH('MM01'!$B25,Consulta!$C:$C,0),'MM01'!EE$2),"")="68","7910","7925"))</f>
        <v>7925</v>
      </c>
      <c r="EF25" s="44">
        <v>100</v>
      </c>
      <c r="EG25" s="62">
        <v>1</v>
      </c>
      <c r="EH25" s="43">
        <f t="shared" si="37"/>
        <v>100</v>
      </c>
      <c r="EI25" s="44">
        <v>1</v>
      </c>
      <c r="EJ25" s="44">
        <v>0</v>
      </c>
      <c r="EK25" s="44" t="s">
        <v>859</v>
      </c>
      <c r="EL25" s="45">
        <v>0</v>
      </c>
      <c r="EM25" s="43">
        <f t="shared" si="38"/>
        <v>5000</v>
      </c>
      <c r="EN25" s="69"/>
    </row>
    <row r="26" spans="1:144" x14ac:dyDescent="0.3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/>
      <c r="BN26" s="46" t="str">
        <f t="shared" ca="1" si="19"/>
        <v/>
      </c>
      <c r="BO26" s="49" t="str">
        <f t="shared" si="20"/>
        <v/>
      </c>
      <c r="BP26" s="50">
        <v>1</v>
      </c>
      <c r="BQ26" s="50" t="s">
        <v>194</v>
      </c>
      <c r="BR26" s="50" t="s">
        <v>194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1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2"/>
        <v/>
      </c>
      <c r="CJ26" s="49" t="str">
        <f t="shared" si="23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4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45">
        <v>0</v>
      </c>
      <c r="DG26" s="45">
        <v>0</v>
      </c>
      <c r="DH26" s="43" t="str">
        <f t="shared" si="3"/>
        <v/>
      </c>
      <c r="DI26" s="43" t="str">
        <f t="shared" si="25"/>
        <v/>
      </c>
      <c r="DJ26" s="57"/>
      <c r="DK26" s="43" t="str">
        <f t="shared" ca="1" si="26"/>
        <v/>
      </c>
      <c r="DL26" s="43" t="str">
        <f t="shared" si="27"/>
        <v/>
      </c>
      <c r="DM26" s="43" t="str">
        <f t="shared" si="28"/>
        <v/>
      </c>
      <c r="DN26" s="57"/>
      <c r="DO26" s="43" t="str">
        <f t="shared" ca="1" si="29"/>
        <v/>
      </c>
      <c r="DP26" s="43" t="str">
        <f t="shared" si="30"/>
        <v/>
      </c>
      <c r="DQ26" s="43" t="str">
        <f t="shared" si="31"/>
        <v/>
      </c>
      <c r="DR26" s="57"/>
      <c r="DS26" s="43" t="str">
        <f t="shared" ca="1" si="32"/>
        <v/>
      </c>
      <c r="DT26" s="43" t="str">
        <f t="shared" si="33"/>
        <v/>
      </c>
      <c r="DU26" s="43" t="str">
        <f t="shared" si="34"/>
        <v/>
      </c>
      <c r="DV26" s="57"/>
      <c r="DW26" s="43" t="str">
        <f t="shared" ca="1" si="35"/>
        <v/>
      </c>
      <c r="DX26" s="43" t="str">
        <f t="shared" si="36"/>
        <v/>
      </c>
      <c r="DZ26" s="44">
        <v>0</v>
      </c>
      <c r="EA26" s="44" t="s">
        <v>761</v>
      </c>
      <c r="EB26" s="44">
        <v>30</v>
      </c>
      <c r="EC26" s="43">
        <f t="shared" si="4"/>
        <v>0.01</v>
      </c>
      <c r="ED26" s="43" t="str">
        <f t="shared" si="5"/>
        <v>M</v>
      </c>
      <c r="EE26" s="43" t="str">
        <f>IF(IFERROR(INDEX(Consulta!$A:$DS,MATCH('MM01'!$B26,Consulta!$C:$C,0),'MM01'!EE$2),"")=0,"7925",IF(IFERROR(INDEX(Consulta!$A:$DS,MATCH('MM01'!$B26,Consulta!$C:$C,0),'MM01'!EE$2),"")="68","7910","7925"))</f>
        <v>7925</v>
      </c>
      <c r="EF26" s="44">
        <v>100</v>
      </c>
      <c r="EG26" s="62">
        <v>1</v>
      </c>
      <c r="EH26" s="43">
        <f t="shared" si="37"/>
        <v>100</v>
      </c>
      <c r="EI26" s="44">
        <v>1</v>
      </c>
      <c r="EJ26" s="44">
        <v>0</v>
      </c>
      <c r="EK26" s="44" t="s">
        <v>859</v>
      </c>
      <c r="EL26" s="45">
        <v>0</v>
      </c>
      <c r="EM26" s="43">
        <f t="shared" si="38"/>
        <v>5000</v>
      </c>
      <c r="EN26" s="69"/>
    </row>
    <row r="27" spans="1:144" x14ac:dyDescent="0.3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/>
      <c r="BN27" s="46" t="str">
        <f t="shared" ca="1" si="19"/>
        <v/>
      </c>
      <c r="BO27" s="49" t="str">
        <f t="shared" si="20"/>
        <v/>
      </c>
      <c r="BP27" s="50">
        <v>1</v>
      </c>
      <c r="BQ27" s="50" t="s">
        <v>194</v>
      </c>
      <c r="BR27" s="50" t="s">
        <v>194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1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2"/>
        <v/>
      </c>
      <c r="CJ27" s="49" t="str">
        <f t="shared" si="23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4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45">
        <v>0</v>
      </c>
      <c r="DG27" s="45">
        <v>0</v>
      </c>
      <c r="DH27" s="43" t="str">
        <f t="shared" si="3"/>
        <v/>
      </c>
      <c r="DI27" s="43" t="str">
        <f t="shared" si="25"/>
        <v/>
      </c>
      <c r="DJ27" s="57"/>
      <c r="DK27" s="43" t="str">
        <f t="shared" ca="1" si="26"/>
        <v/>
      </c>
      <c r="DL27" s="43" t="str">
        <f t="shared" si="27"/>
        <v/>
      </c>
      <c r="DM27" s="43" t="str">
        <f t="shared" si="28"/>
        <v/>
      </c>
      <c r="DN27" s="57"/>
      <c r="DO27" s="43" t="str">
        <f t="shared" ca="1" si="29"/>
        <v/>
      </c>
      <c r="DP27" s="43" t="str">
        <f t="shared" si="30"/>
        <v/>
      </c>
      <c r="DQ27" s="43" t="str">
        <f t="shared" si="31"/>
        <v/>
      </c>
      <c r="DR27" s="57"/>
      <c r="DS27" s="43" t="str">
        <f t="shared" ca="1" si="32"/>
        <v/>
      </c>
      <c r="DT27" s="43" t="str">
        <f t="shared" si="33"/>
        <v/>
      </c>
      <c r="DU27" s="43" t="str">
        <f t="shared" si="34"/>
        <v/>
      </c>
      <c r="DV27" s="57"/>
      <c r="DW27" s="43" t="str">
        <f t="shared" ca="1" si="35"/>
        <v/>
      </c>
      <c r="DX27" s="43" t="str">
        <f t="shared" si="36"/>
        <v/>
      </c>
      <c r="DZ27" s="44">
        <v>0</v>
      </c>
      <c r="EA27" s="44" t="s">
        <v>761</v>
      </c>
      <c r="EB27" s="44">
        <v>30</v>
      </c>
      <c r="EC27" s="43">
        <f t="shared" si="4"/>
        <v>0.01</v>
      </c>
      <c r="ED27" s="43" t="str">
        <f t="shared" si="5"/>
        <v>M</v>
      </c>
      <c r="EE27" s="43" t="str">
        <f>IF(IFERROR(INDEX(Consulta!$A:$DS,MATCH('MM01'!$B27,Consulta!$C:$C,0),'MM01'!EE$2),"")=0,"7925",IF(IFERROR(INDEX(Consulta!$A:$DS,MATCH('MM01'!$B27,Consulta!$C:$C,0),'MM01'!EE$2),"")="68","7910","7925"))</f>
        <v>7925</v>
      </c>
      <c r="EF27" s="44">
        <v>100</v>
      </c>
      <c r="EG27" s="62">
        <v>1</v>
      </c>
      <c r="EH27" s="43">
        <f t="shared" si="37"/>
        <v>100</v>
      </c>
      <c r="EI27" s="44">
        <v>1</v>
      </c>
      <c r="EJ27" s="44">
        <v>0</v>
      </c>
      <c r="EK27" s="44" t="s">
        <v>859</v>
      </c>
      <c r="EL27" s="45">
        <v>0</v>
      </c>
      <c r="EM27" s="43">
        <f t="shared" si="38"/>
        <v>5000</v>
      </c>
      <c r="EN27" s="69"/>
    </row>
    <row r="28" spans="1:144" x14ac:dyDescent="0.3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/>
      <c r="BN28" s="46" t="str">
        <f t="shared" ca="1" si="19"/>
        <v/>
      </c>
      <c r="BO28" s="49" t="str">
        <f t="shared" si="20"/>
        <v/>
      </c>
      <c r="BP28" s="50">
        <v>1</v>
      </c>
      <c r="BQ28" s="50" t="s">
        <v>194</v>
      </c>
      <c r="BR28" s="50" t="s">
        <v>194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1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2"/>
        <v/>
      </c>
      <c r="CJ28" s="49" t="str">
        <f t="shared" si="23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4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45">
        <v>0</v>
      </c>
      <c r="DG28" s="45">
        <v>0</v>
      </c>
      <c r="DH28" s="43" t="str">
        <f t="shared" si="3"/>
        <v/>
      </c>
      <c r="DI28" s="43" t="str">
        <f t="shared" si="25"/>
        <v/>
      </c>
      <c r="DJ28" s="57"/>
      <c r="DK28" s="43" t="str">
        <f t="shared" ca="1" si="26"/>
        <v/>
      </c>
      <c r="DL28" s="43" t="str">
        <f t="shared" si="27"/>
        <v/>
      </c>
      <c r="DM28" s="43" t="str">
        <f t="shared" si="28"/>
        <v/>
      </c>
      <c r="DN28" s="57"/>
      <c r="DO28" s="43" t="str">
        <f t="shared" ca="1" si="29"/>
        <v/>
      </c>
      <c r="DP28" s="43" t="str">
        <f t="shared" si="30"/>
        <v/>
      </c>
      <c r="DQ28" s="43" t="str">
        <f t="shared" si="31"/>
        <v/>
      </c>
      <c r="DR28" s="57"/>
      <c r="DS28" s="43" t="str">
        <f t="shared" ca="1" si="32"/>
        <v/>
      </c>
      <c r="DT28" s="43" t="str">
        <f t="shared" si="33"/>
        <v/>
      </c>
      <c r="DU28" s="43" t="str">
        <f t="shared" si="34"/>
        <v/>
      </c>
      <c r="DV28" s="57"/>
      <c r="DW28" s="43" t="str">
        <f t="shared" ca="1" si="35"/>
        <v/>
      </c>
      <c r="DX28" s="43" t="str">
        <f t="shared" si="36"/>
        <v/>
      </c>
      <c r="DZ28" s="44">
        <v>0</v>
      </c>
      <c r="EA28" s="44" t="s">
        <v>761</v>
      </c>
      <c r="EB28" s="44">
        <v>30</v>
      </c>
      <c r="EC28" s="43">
        <f t="shared" si="4"/>
        <v>0.01</v>
      </c>
      <c r="ED28" s="43" t="str">
        <f t="shared" si="5"/>
        <v>M</v>
      </c>
      <c r="EE28" s="43" t="str">
        <f>IF(IFERROR(INDEX(Consulta!$A:$DS,MATCH('MM01'!$B28,Consulta!$C:$C,0),'MM01'!EE$2),"")=0,"7925",IF(IFERROR(INDEX(Consulta!$A:$DS,MATCH('MM01'!$B28,Consulta!$C:$C,0),'MM01'!EE$2),"")="68","7910","7925"))</f>
        <v>7925</v>
      </c>
      <c r="EF28" s="44">
        <v>100</v>
      </c>
      <c r="EG28" s="62">
        <v>1</v>
      </c>
      <c r="EH28" s="43">
        <f t="shared" si="37"/>
        <v>100</v>
      </c>
      <c r="EI28" s="44">
        <v>1</v>
      </c>
      <c r="EJ28" s="44">
        <v>0</v>
      </c>
      <c r="EK28" s="44" t="s">
        <v>859</v>
      </c>
      <c r="EL28" s="45">
        <v>0</v>
      </c>
      <c r="EM28" s="43">
        <f t="shared" si="38"/>
        <v>5000</v>
      </c>
      <c r="EN28" s="69"/>
    </row>
    <row r="29" spans="1:144" x14ac:dyDescent="0.3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/>
      <c r="BN29" s="46" t="str">
        <f t="shared" ca="1" si="19"/>
        <v/>
      </c>
      <c r="BO29" s="49" t="str">
        <f t="shared" si="20"/>
        <v/>
      </c>
      <c r="BP29" s="50">
        <v>1</v>
      </c>
      <c r="BQ29" s="50" t="s">
        <v>194</v>
      </c>
      <c r="BR29" s="50" t="s">
        <v>194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1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2"/>
        <v/>
      </c>
      <c r="CJ29" s="49" t="str">
        <f t="shared" si="23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4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45">
        <v>0</v>
      </c>
      <c r="DG29" s="45">
        <v>0</v>
      </c>
      <c r="DH29" s="43" t="str">
        <f t="shared" si="3"/>
        <v/>
      </c>
      <c r="DI29" s="43" t="str">
        <f t="shared" si="25"/>
        <v/>
      </c>
      <c r="DJ29" s="57"/>
      <c r="DK29" s="43" t="str">
        <f t="shared" ca="1" si="26"/>
        <v/>
      </c>
      <c r="DL29" s="43" t="str">
        <f t="shared" si="27"/>
        <v/>
      </c>
      <c r="DM29" s="43" t="str">
        <f t="shared" si="28"/>
        <v/>
      </c>
      <c r="DN29" s="57"/>
      <c r="DO29" s="43" t="str">
        <f t="shared" ca="1" si="29"/>
        <v/>
      </c>
      <c r="DP29" s="43" t="str">
        <f t="shared" si="30"/>
        <v/>
      </c>
      <c r="DQ29" s="43" t="str">
        <f t="shared" si="31"/>
        <v/>
      </c>
      <c r="DR29" s="57"/>
      <c r="DS29" s="43" t="str">
        <f t="shared" ca="1" si="32"/>
        <v/>
      </c>
      <c r="DT29" s="43" t="str">
        <f t="shared" si="33"/>
        <v/>
      </c>
      <c r="DU29" s="43" t="str">
        <f t="shared" si="34"/>
        <v/>
      </c>
      <c r="DV29" s="57"/>
      <c r="DW29" s="43" t="str">
        <f t="shared" ca="1" si="35"/>
        <v/>
      </c>
      <c r="DX29" s="43" t="str">
        <f t="shared" si="36"/>
        <v/>
      </c>
      <c r="DZ29" s="44">
        <v>0</v>
      </c>
      <c r="EA29" s="44" t="s">
        <v>761</v>
      </c>
      <c r="EB29" s="44">
        <v>30</v>
      </c>
      <c r="EC29" s="43">
        <f t="shared" si="4"/>
        <v>0.01</v>
      </c>
      <c r="ED29" s="43" t="str">
        <f t="shared" si="5"/>
        <v>M</v>
      </c>
      <c r="EE29" s="43" t="str">
        <f>IF(IFERROR(INDEX(Consulta!$A:$DS,MATCH('MM01'!$B29,Consulta!$C:$C,0),'MM01'!EE$2),"")=0,"7925",IF(IFERROR(INDEX(Consulta!$A:$DS,MATCH('MM01'!$B29,Consulta!$C:$C,0),'MM01'!EE$2),"")="68","7910","7925"))</f>
        <v>7925</v>
      </c>
      <c r="EF29" s="44">
        <v>100</v>
      </c>
      <c r="EG29" s="62">
        <v>1</v>
      </c>
      <c r="EH29" s="43">
        <f t="shared" si="37"/>
        <v>100</v>
      </c>
      <c r="EI29" s="44">
        <v>1</v>
      </c>
      <c r="EJ29" s="44">
        <v>0</v>
      </c>
      <c r="EK29" s="44" t="s">
        <v>859</v>
      </c>
      <c r="EL29" s="45">
        <v>0</v>
      </c>
      <c r="EM29" s="43">
        <f t="shared" si="38"/>
        <v>5000</v>
      </c>
      <c r="EN29" s="69"/>
    </row>
    <row r="30" spans="1:144" x14ac:dyDescent="0.3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/>
      <c r="BN30" s="46" t="str">
        <f t="shared" ca="1" si="19"/>
        <v/>
      </c>
      <c r="BO30" s="49" t="str">
        <f t="shared" si="20"/>
        <v/>
      </c>
      <c r="BP30" s="50">
        <v>1</v>
      </c>
      <c r="BQ30" s="50" t="s">
        <v>194</v>
      </c>
      <c r="BR30" s="50" t="s">
        <v>194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1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2"/>
        <v/>
      </c>
      <c r="CJ30" s="49" t="str">
        <f t="shared" si="23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4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45">
        <v>0</v>
      </c>
      <c r="DG30" s="45">
        <v>0</v>
      </c>
      <c r="DH30" s="43" t="str">
        <f t="shared" si="3"/>
        <v/>
      </c>
      <c r="DI30" s="43" t="str">
        <f t="shared" si="25"/>
        <v/>
      </c>
      <c r="DJ30" s="57"/>
      <c r="DK30" s="43" t="str">
        <f t="shared" ca="1" si="26"/>
        <v/>
      </c>
      <c r="DL30" s="43" t="str">
        <f t="shared" si="27"/>
        <v/>
      </c>
      <c r="DM30" s="43" t="str">
        <f t="shared" si="28"/>
        <v/>
      </c>
      <c r="DN30" s="57"/>
      <c r="DO30" s="43" t="str">
        <f t="shared" ca="1" si="29"/>
        <v/>
      </c>
      <c r="DP30" s="43" t="str">
        <f t="shared" si="30"/>
        <v/>
      </c>
      <c r="DQ30" s="43" t="str">
        <f t="shared" si="31"/>
        <v/>
      </c>
      <c r="DR30" s="57"/>
      <c r="DS30" s="43" t="str">
        <f t="shared" ca="1" si="32"/>
        <v/>
      </c>
      <c r="DT30" s="43" t="str">
        <f t="shared" si="33"/>
        <v/>
      </c>
      <c r="DU30" s="43" t="str">
        <f t="shared" si="34"/>
        <v/>
      </c>
      <c r="DV30" s="57"/>
      <c r="DW30" s="43" t="str">
        <f t="shared" ca="1" si="35"/>
        <v/>
      </c>
      <c r="DX30" s="43" t="str">
        <f t="shared" si="36"/>
        <v/>
      </c>
      <c r="DZ30" s="44">
        <v>0</v>
      </c>
      <c r="EA30" s="44" t="s">
        <v>761</v>
      </c>
      <c r="EB30" s="44">
        <v>30</v>
      </c>
      <c r="EC30" s="43">
        <f t="shared" si="4"/>
        <v>0.01</v>
      </c>
      <c r="ED30" s="43" t="str">
        <f t="shared" si="5"/>
        <v>M</v>
      </c>
      <c r="EE30" s="43" t="str">
        <f>IF(IFERROR(INDEX(Consulta!$A:$DS,MATCH('MM01'!$B30,Consulta!$C:$C,0),'MM01'!EE$2),"")=0,"7925",IF(IFERROR(INDEX(Consulta!$A:$DS,MATCH('MM01'!$B30,Consulta!$C:$C,0),'MM01'!EE$2),"")="68","7910","7925"))</f>
        <v>7925</v>
      </c>
      <c r="EF30" s="44">
        <v>100</v>
      </c>
      <c r="EG30" s="62">
        <v>1</v>
      </c>
      <c r="EH30" s="43">
        <f t="shared" si="37"/>
        <v>100</v>
      </c>
      <c r="EI30" s="44">
        <v>1</v>
      </c>
      <c r="EJ30" s="44">
        <v>0</v>
      </c>
      <c r="EK30" s="44" t="s">
        <v>859</v>
      </c>
      <c r="EL30" s="45">
        <v>0</v>
      </c>
      <c r="EM30" s="43">
        <f t="shared" si="38"/>
        <v>5000</v>
      </c>
      <c r="EN30" s="69"/>
    </row>
    <row r="31" spans="1:144" x14ac:dyDescent="0.3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/>
      <c r="BN31" s="46" t="str">
        <f t="shared" ca="1" si="19"/>
        <v/>
      </c>
      <c r="BO31" s="49" t="str">
        <f t="shared" si="20"/>
        <v/>
      </c>
      <c r="BP31" s="50">
        <v>1</v>
      </c>
      <c r="BQ31" s="50" t="s">
        <v>194</v>
      </c>
      <c r="BR31" s="50" t="s">
        <v>194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1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2"/>
        <v/>
      </c>
      <c r="CJ31" s="49" t="str">
        <f t="shared" si="23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4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45">
        <v>0</v>
      </c>
      <c r="DG31" s="45">
        <v>0</v>
      </c>
      <c r="DH31" s="43" t="str">
        <f t="shared" si="3"/>
        <v/>
      </c>
      <c r="DI31" s="43" t="str">
        <f t="shared" si="25"/>
        <v/>
      </c>
      <c r="DJ31" s="57"/>
      <c r="DK31" s="43" t="str">
        <f t="shared" ca="1" si="26"/>
        <v/>
      </c>
      <c r="DL31" s="43" t="str">
        <f t="shared" si="27"/>
        <v/>
      </c>
      <c r="DM31" s="43" t="str">
        <f t="shared" si="28"/>
        <v/>
      </c>
      <c r="DN31" s="57"/>
      <c r="DO31" s="43" t="str">
        <f t="shared" ca="1" si="29"/>
        <v/>
      </c>
      <c r="DP31" s="43" t="str">
        <f t="shared" si="30"/>
        <v/>
      </c>
      <c r="DQ31" s="43" t="str">
        <f t="shared" si="31"/>
        <v/>
      </c>
      <c r="DR31" s="57"/>
      <c r="DS31" s="43" t="str">
        <f t="shared" ca="1" si="32"/>
        <v/>
      </c>
      <c r="DT31" s="43" t="str">
        <f t="shared" si="33"/>
        <v/>
      </c>
      <c r="DU31" s="43" t="str">
        <f t="shared" si="34"/>
        <v/>
      </c>
      <c r="DV31" s="57"/>
      <c r="DW31" s="43" t="str">
        <f t="shared" ca="1" si="35"/>
        <v/>
      </c>
      <c r="DX31" s="43" t="str">
        <f t="shared" si="36"/>
        <v/>
      </c>
      <c r="DZ31" s="44">
        <v>0</v>
      </c>
      <c r="EA31" s="44" t="s">
        <v>761</v>
      </c>
      <c r="EB31" s="44">
        <v>30</v>
      </c>
      <c r="EC31" s="43">
        <f t="shared" si="4"/>
        <v>0.01</v>
      </c>
      <c r="ED31" s="43" t="str">
        <f t="shared" si="5"/>
        <v>M</v>
      </c>
      <c r="EE31" s="43" t="str">
        <f>IF(IFERROR(INDEX(Consulta!$A:$DS,MATCH('MM01'!$B31,Consulta!$C:$C,0),'MM01'!EE$2),"")=0,"7925",IF(IFERROR(INDEX(Consulta!$A:$DS,MATCH('MM01'!$B31,Consulta!$C:$C,0),'MM01'!EE$2),"")="68","7910","7925"))</f>
        <v>7925</v>
      </c>
      <c r="EF31" s="44">
        <v>100</v>
      </c>
      <c r="EG31" s="62">
        <v>1</v>
      </c>
      <c r="EH31" s="43">
        <f t="shared" si="37"/>
        <v>100</v>
      </c>
      <c r="EI31" s="44">
        <v>1</v>
      </c>
      <c r="EJ31" s="44">
        <v>0</v>
      </c>
      <c r="EK31" s="44" t="s">
        <v>859</v>
      </c>
      <c r="EL31" s="45">
        <v>0</v>
      </c>
      <c r="EM31" s="43">
        <f t="shared" si="38"/>
        <v>5000</v>
      </c>
      <c r="EN31" s="69"/>
    </row>
    <row r="32" spans="1:144" x14ac:dyDescent="0.3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/>
      <c r="BN32" s="46" t="str">
        <f t="shared" ca="1" si="19"/>
        <v/>
      </c>
      <c r="BO32" s="49" t="str">
        <f t="shared" si="20"/>
        <v/>
      </c>
      <c r="BP32" s="50">
        <v>1</v>
      </c>
      <c r="BQ32" s="50" t="s">
        <v>194</v>
      </c>
      <c r="BR32" s="50" t="s">
        <v>194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1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2"/>
        <v/>
      </c>
      <c r="CJ32" s="49" t="str">
        <f t="shared" si="23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4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45">
        <v>0</v>
      </c>
      <c r="DG32" s="45">
        <v>0</v>
      </c>
      <c r="DH32" s="43" t="str">
        <f t="shared" si="3"/>
        <v/>
      </c>
      <c r="DI32" s="43" t="str">
        <f t="shared" si="25"/>
        <v/>
      </c>
      <c r="DJ32" s="57"/>
      <c r="DK32" s="43" t="str">
        <f t="shared" ca="1" si="26"/>
        <v/>
      </c>
      <c r="DL32" s="43" t="str">
        <f t="shared" si="27"/>
        <v/>
      </c>
      <c r="DM32" s="43" t="str">
        <f t="shared" si="28"/>
        <v/>
      </c>
      <c r="DN32" s="57"/>
      <c r="DO32" s="43" t="str">
        <f t="shared" ca="1" si="29"/>
        <v/>
      </c>
      <c r="DP32" s="43" t="str">
        <f t="shared" si="30"/>
        <v/>
      </c>
      <c r="DQ32" s="43" t="str">
        <f t="shared" si="31"/>
        <v/>
      </c>
      <c r="DR32" s="57"/>
      <c r="DS32" s="43" t="str">
        <f t="shared" ca="1" si="32"/>
        <v/>
      </c>
      <c r="DT32" s="43" t="str">
        <f t="shared" si="33"/>
        <v/>
      </c>
      <c r="DU32" s="43" t="str">
        <f t="shared" si="34"/>
        <v/>
      </c>
      <c r="DV32" s="57"/>
      <c r="DW32" s="43" t="str">
        <f t="shared" ca="1" si="35"/>
        <v/>
      </c>
      <c r="DX32" s="43" t="str">
        <f t="shared" si="36"/>
        <v/>
      </c>
      <c r="DZ32" s="44">
        <v>0</v>
      </c>
      <c r="EA32" s="44" t="s">
        <v>761</v>
      </c>
      <c r="EB32" s="44">
        <v>30</v>
      </c>
      <c r="EC32" s="43">
        <f t="shared" si="4"/>
        <v>0.01</v>
      </c>
      <c r="ED32" s="43" t="str">
        <f t="shared" si="5"/>
        <v>M</v>
      </c>
      <c r="EE32" s="43" t="str">
        <f>IF(IFERROR(INDEX(Consulta!$A:$DS,MATCH('MM01'!$B32,Consulta!$C:$C,0),'MM01'!EE$2),"")=0,"7925",IF(IFERROR(INDEX(Consulta!$A:$DS,MATCH('MM01'!$B32,Consulta!$C:$C,0),'MM01'!EE$2),"")="68","7910","7925"))</f>
        <v>7925</v>
      </c>
      <c r="EF32" s="44">
        <v>100</v>
      </c>
      <c r="EG32" s="62">
        <v>1</v>
      </c>
      <c r="EH32" s="43">
        <f t="shared" si="37"/>
        <v>100</v>
      </c>
      <c r="EI32" s="44">
        <v>1</v>
      </c>
      <c r="EJ32" s="44">
        <v>0</v>
      </c>
      <c r="EK32" s="44" t="s">
        <v>859</v>
      </c>
      <c r="EL32" s="45">
        <v>0</v>
      </c>
      <c r="EM32" s="43">
        <f t="shared" si="38"/>
        <v>5000</v>
      </c>
      <c r="EN32" s="69"/>
    </row>
    <row r="33" spans="1:144" x14ac:dyDescent="0.3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/>
      <c r="BN33" s="46" t="str">
        <f t="shared" ca="1" si="19"/>
        <v/>
      </c>
      <c r="BO33" s="49" t="str">
        <f t="shared" si="20"/>
        <v/>
      </c>
      <c r="BP33" s="50">
        <v>1</v>
      </c>
      <c r="BQ33" s="50" t="s">
        <v>194</v>
      </c>
      <c r="BR33" s="50" t="s">
        <v>194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1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2"/>
        <v/>
      </c>
      <c r="CJ33" s="49" t="str">
        <f t="shared" si="23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4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45">
        <v>0</v>
      </c>
      <c r="DG33" s="45">
        <v>0</v>
      </c>
      <c r="DH33" s="43" t="str">
        <f t="shared" si="3"/>
        <v/>
      </c>
      <c r="DI33" s="43" t="str">
        <f t="shared" si="25"/>
        <v/>
      </c>
      <c r="DJ33" s="57"/>
      <c r="DK33" s="43" t="str">
        <f t="shared" ca="1" si="26"/>
        <v/>
      </c>
      <c r="DL33" s="43" t="str">
        <f t="shared" si="27"/>
        <v/>
      </c>
      <c r="DM33" s="43" t="str">
        <f t="shared" si="28"/>
        <v/>
      </c>
      <c r="DN33" s="57"/>
      <c r="DO33" s="43" t="str">
        <f t="shared" ca="1" si="29"/>
        <v/>
      </c>
      <c r="DP33" s="43" t="str">
        <f t="shared" si="30"/>
        <v/>
      </c>
      <c r="DQ33" s="43" t="str">
        <f t="shared" si="31"/>
        <v/>
      </c>
      <c r="DR33" s="57"/>
      <c r="DS33" s="43" t="str">
        <f t="shared" ca="1" si="32"/>
        <v/>
      </c>
      <c r="DT33" s="43" t="str">
        <f t="shared" si="33"/>
        <v/>
      </c>
      <c r="DU33" s="43" t="str">
        <f t="shared" si="34"/>
        <v/>
      </c>
      <c r="DV33" s="57"/>
      <c r="DW33" s="43" t="str">
        <f t="shared" ca="1" si="35"/>
        <v/>
      </c>
      <c r="DX33" s="43" t="str">
        <f t="shared" si="36"/>
        <v/>
      </c>
      <c r="DZ33" s="44">
        <v>0</v>
      </c>
      <c r="EA33" s="44" t="s">
        <v>761</v>
      </c>
      <c r="EB33" s="44">
        <v>30</v>
      </c>
      <c r="EC33" s="43">
        <f t="shared" si="4"/>
        <v>0.01</v>
      </c>
      <c r="ED33" s="43" t="str">
        <f t="shared" si="5"/>
        <v>M</v>
      </c>
      <c r="EE33" s="43" t="str">
        <f>IF(IFERROR(INDEX(Consulta!$A:$DS,MATCH('MM01'!$B33,Consulta!$C:$C,0),'MM01'!EE$2),"")=0,"7925",IF(IFERROR(INDEX(Consulta!$A:$DS,MATCH('MM01'!$B33,Consulta!$C:$C,0),'MM01'!EE$2),"")="68","7910","7925"))</f>
        <v>7925</v>
      </c>
      <c r="EF33" s="44">
        <v>100</v>
      </c>
      <c r="EG33" s="62">
        <v>1</v>
      </c>
      <c r="EH33" s="43">
        <f t="shared" si="37"/>
        <v>100</v>
      </c>
      <c r="EI33" s="44">
        <v>1</v>
      </c>
      <c r="EJ33" s="44">
        <v>0</v>
      </c>
      <c r="EK33" s="44" t="s">
        <v>859</v>
      </c>
      <c r="EL33" s="45">
        <v>0</v>
      </c>
      <c r="EM33" s="43">
        <f t="shared" si="38"/>
        <v>5000</v>
      </c>
      <c r="EN33" s="69"/>
    </row>
    <row r="34" spans="1:144" x14ac:dyDescent="0.3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/>
      <c r="BN34" s="46" t="str">
        <f t="shared" ca="1" si="19"/>
        <v/>
      </c>
      <c r="BO34" s="49" t="str">
        <f t="shared" si="20"/>
        <v/>
      </c>
      <c r="BP34" s="50">
        <v>1</v>
      </c>
      <c r="BQ34" s="50" t="s">
        <v>194</v>
      </c>
      <c r="BR34" s="50" t="s">
        <v>194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1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2"/>
        <v/>
      </c>
      <c r="CJ34" s="49" t="str">
        <f t="shared" si="23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4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45">
        <v>0</v>
      </c>
      <c r="DG34" s="45">
        <v>0</v>
      </c>
      <c r="DH34" s="43" t="str">
        <f t="shared" si="3"/>
        <v/>
      </c>
      <c r="DI34" s="43" t="str">
        <f t="shared" si="25"/>
        <v/>
      </c>
      <c r="DJ34" s="57"/>
      <c r="DK34" s="43" t="str">
        <f t="shared" ca="1" si="26"/>
        <v/>
      </c>
      <c r="DL34" s="43" t="str">
        <f t="shared" si="27"/>
        <v/>
      </c>
      <c r="DM34" s="43" t="str">
        <f t="shared" si="28"/>
        <v/>
      </c>
      <c r="DN34" s="57"/>
      <c r="DO34" s="43" t="str">
        <f t="shared" ca="1" si="29"/>
        <v/>
      </c>
      <c r="DP34" s="43" t="str">
        <f t="shared" si="30"/>
        <v/>
      </c>
      <c r="DQ34" s="43" t="str">
        <f t="shared" si="31"/>
        <v/>
      </c>
      <c r="DR34" s="57"/>
      <c r="DS34" s="43" t="str">
        <f t="shared" ca="1" si="32"/>
        <v/>
      </c>
      <c r="DT34" s="43" t="str">
        <f t="shared" si="33"/>
        <v/>
      </c>
      <c r="DU34" s="43" t="str">
        <f t="shared" si="34"/>
        <v/>
      </c>
      <c r="DV34" s="57"/>
      <c r="DW34" s="43" t="str">
        <f t="shared" ca="1" si="35"/>
        <v/>
      </c>
      <c r="DX34" s="43" t="str">
        <f t="shared" si="36"/>
        <v/>
      </c>
      <c r="DZ34" s="44">
        <v>0</v>
      </c>
      <c r="EA34" s="44" t="s">
        <v>761</v>
      </c>
      <c r="EB34" s="44">
        <v>30</v>
      </c>
      <c r="EC34" s="43">
        <f t="shared" si="4"/>
        <v>0.01</v>
      </c>
      <c r="ED34" s="43" t="str">
        <f t="shared" si="5"/>
        <v>M</v>
      </c>
      <c r="EE34" s="43" t="str">
        <f>IF(IFERROR(INDEX(Consulta!$A:$DS,MATCH('MM01'!$B34,Consulta!$C:$C,0),'MM01'!EE$2),"")=0,"7925",IF(IFERROR(INDEX(Consulta!$A:$DS,MATCH('MM01'!$B34,Consulta!$C:$C,0),'MM01'!EE$2),"")="68","7910","7925"))</f>
        <v>7925</v>
      </c>
      <c r="EF34" s="44">
        <v>100</v>
      </c>
      <c r="EG34" s="62">
        <v>1</v>
      </c>
      <c r="EH34" s="43">
        <f t="shared" si="37"/>
        <v>100</v>
      </c>
      <c r="EI34" s="44">
        <v>1</v>
      </c>
      <c r="EJ34" s="44">
        <v>0</v>
      </c>
      <c r="EK34" s="44" t="s">
        <v>859</v>
      </c>
      <c r="EL34" s="45">
        <v>0</v>
      </c>
      <c r="EM34" s="43">
        <f t="shared" si="38"/>
        <v>5000</v>
      </c>
      <c r="EN34" s="69"/>
    </row>
    <row r="35" spans="1:144" x14ac:dyDescent="0.3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/>
      <c r="BN35" s="46" t="str">
        <f t="shared" ca="1" si="19"/>
        <v/>
      </c>
      <c r="BO35" s="49" t="str">
        <f t="shared" si="20"/>
        <v/>
      </c>
      <c r="BP35" s="50">
        <v>1</v>
      </c>
      <c r="BQ35" s="50" t="s">
        <v>194</v>
      </c>
      <c r="BR35" s="50" t="s">
        <v>194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1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2"/>
        <v/>
      </c>
      <c r="CJ35" s="49" t="str">
        <f t="shared" si="23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4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45">
        <v>0</v>
      </c>
      <c r="DG35" s="45">
        <v>0</v>
      </c>
      <c r="DH35" s="43" t="str">
        <f t="shared" si="3"/>
        <v/>
      </c>
      <c r="DI35" s="43" t="str">
        <f t="shared" si="25"/>
        <v/>
      </c>
      <c r="DJ35" s="57"/>
      <c r="DK35" s="43" t="str">
        <f t="shared" ca="1" si="26"/>
        <v/>
      </c>
      <c r="DL35" s="43" t="str">
        <f t="shared" si="27"/>
        <v/>
      </c>
      <c r="DM35" s="43" t="str">
        <f t="shared" si="28"/>
        <v/>
      </c>
      <c r="DN35" s="57"/>
      <c r="DO35" s="43" t="str">
        <f t="shared" ca="1" si="29"/>
        <v/>
      </c>
      <c r="DP35" s="43" t="str">
        <f t="shared" si="30"/>
        <v/>
      </c>
      <c r="DQ35" s="43" t="str">
        <f t="shared" si="31"/>
        <v/>
      </c>
      <c r="DR35" s="57"/>
      <c r="DS35" s="43" t="str">
        <f t="shared" ca="1" si="32"/>
        <v/>
      </c>
      <c r="DT35" s="43" t="str">
        <f t="shared" si="33"/>
        <v/>
      </c>
      <c r="DU35" s="43" t="str">
        <f t="shared" si="34"/>
        <v/>
      </c>
      <c r="DV35" s="57"/>
      <c r="DW35" s="43" t="str">
        <f t="shared" ca="1" si="35"/>
        <v/>
      </c>
      <c r="DX35" s="43" t="str">
        <f t="shared" si="36"/>
        <v/>
      </c>
      <c r="DZ35" s="44">
        <v>0</v>
      </c>
      <c r="EA35" s="44" t="s">
        <v>761</v>
      </c>
      <c r="EB35" s="44">
        <v>30</v>
      </c>
      <c r="EC35" s="43">
        <f t="shared" si="4"/>
        <v>0.01</v>
      </c>
      <c r="ED35" s="43" t="str">
        <f t="shared" si="5"/>
        <v>M</v>
      </c>
      <c r="EE35" s="43" t="str">
        <f>IF(IFERROR(INDEX(Consulta!$A:$DS,MATCH('MM01'!$B35,Consulta!$C:$C,0),'MM01'!EE$2),"")=0,"7925",IF(IFERROR(INDEX(Consulta!$A:$DS,MATCH('MM01'!$B35,Consulta!$C:$C,0),'MM01'!EE$2),"")="68","7910","7925"))</f>
        <v>7925</v>
      </c>
      <c r="EF35" s="44">
        <v>100</v>
      </c>
      <c r="EG35" s="62">
        <v>1</v>
      </c>
      <c r="EH35" s="43">
        <f t="shared" si="37"/>
        <v>100</v>
      </c>
      <c r="EI35" s="44">
        <v>1</v>
      </c>
      <c r="EJ35" s="44">
        <v>0</v>
      </c>
      <c r="EK35" s="44" t="s">
        <v>859</v>
      </c>
      <c r="EL35" s="45">
        <v>0</v>
      </c>
      <c r="EM35" s="43">
        <f t="shared" si="38"/>
        <v>5000</v>
      </c>
      <c r="EN35" s="69"/>
    </row>
    <row r="36" spans="1:144" x14ac:dyDescent="0.3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/>
      <c r="BN36" s="46" t="str">
        <f t="shared" ca="1" si="19"/>
        <v/>
      </c>
      <c r="BO36" s="49" t="str">
        <f t="shared" si="20"/>
        <v/>
      </c>
      <c r="BP36" s="50">
        <v>1</v>
      </c>
      <c r="BQ36" s="50" t="s">
        <v>194</v>
      </c>
      <c r="BR36" s="50" t="s">
        <v>194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1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2"/>
        <v/>
      </c>
      <c r="CJ36" s="49" t="str">
        <f t="shared" si="23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4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45">
        <v>0</v>
      </c>
      <c r="DG36" s="45">
        <v>0</v>
      </c>
      <c r="DH36" s="43" t="str">
        <f t="shared" si="3"/>
        <v/>
      </c>
      <c r="DI36" s="43" t="str">
        <f t="shared" si="25"/>
        <v/>
      </c>
      <c r="DJ36" s="57"/>
      <c r="DK36" s="43" t="str">
        <f t="shared" ca="1" si="26"/>
        <v/>
      </c>
      <c r="DL36" s="43" t="str">
        <f t="shared" si="27"/>
        <v/>
      </c>
      <c r="DM36" s="43" t="str">
        <f t="shared" si="28"/>
        <v/>
      </c>
      <c r="DN36" s="57"/>
      <c r="DO36" s="43" t="str">
        <f t="shared" ca="1" si="29"/>
        <v/>
      </c>
      <c r="DP36" s="43" t="str">
        <f t="shared" si="30"/>
        <v/>
      </c>
      <c r="DQ36" s="43" t="str">
        <f t="shared" si="31"/>
        <v/>
      </c>
      <c r="DR36" s="57"/>
      <c r="DS36" s="43" t="str">
        <f t="shared" ca="1" si="32"/>
        <v/>
      </c>
      <c r="DT36" s="43" t="str">
        <f t="shared" si="33"/>
        <v/>
      </c>
      <c r="DU36" s="43" t="str">
        <f t="shared" si="34"/>
        <v/>
      </c>
      <c r="DV36" s="57"/>
      <c r="DW36" s="43" t="str">
        <f t="shared" ca="1" si="35"/>
        <v/>
      </c>
      <c r="DX36" s="43" t="str">
        <f t="shared" si="36"/>
        <v/>
      </c>
      <c r="DZ36" s="44">
        <v>0</v>
      </c>
      <c r="EA36" s="44" t="s">
        <v>761</v>
      </c>
      <c r="EB36" s="44">
        <v>30</v>
      </c>
      <c r="EC36" s="43">
        <f t="shared" si="4"/>
        <v>0.01</v>
      </c>
      <c r="ED36" s="43" t="str">
        <f t="shared" si="5"/>
        <v>M</v>
      </c>
      <c r="EE36" s="43" t="str">
        <f>IF(IFERROR(INDEX(Consulta!$A:$DS,MATCH('MM01'!$B36,Consulta!$C:$C,0),'MM01'!EE$2),"")=0,"7925",IF(IFERROR(INDEX(Consulta!$A:$DS,MATCH('MM01'!$B36,Consulta!$C:$C,0),'MM01'!EE$2),"")="68","7910","7925"))</f>
        <v>7925</v>
      </c>
      <c r="EF36" s="44">
        <v>100</v>
      </c>
      <c r="EG36" s="62">
        <v>1</v>
      </c>
      <c r="EH36" s="43">
        <f t="shared" si="37"/>
        <v>100</v>
      </c>
      <c r="EI36" s="44">
        <v>1</v>
      </c>
      <c r="EJ36" s="44">
        <v>0</v>
      </c>
      <c r="EK36" s="44" t="s">
        <v>859</v>
      </c>
      <c r="EL36" s="45">
        <v>0</v>
      </c>
      <c r="EM36" s="43">
        <f t="shared" si="38"/>
        <v>5000</v>
      </c>
      <c r="EN36" s="69"/>
    </row>
    <row r="37" spans="1:144" x14ac:dyDescent="0.3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/>
      <c r="BN37" s="46" t="str">
        <f t="shared" ca="1" si="19"/>
        <v/>
      </c>
      <c r="BO37" s="49" t="str">
        <f t="shared" si="20"/>
        <v/>
      </c>
      <c r="BP37" s="50">
        <v>1</v>
      </c>
      <c r="BQ37" s="50" t="s">
        <v>194</v>
      </c>
      <c r="BR37" s="50" t="s">
        <v>194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1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2"/>
        <v/>
      </c>
      <c r="CJ37" s="49" t="str">
        <f t="shared" si="23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4"/>
        <v>K00_P_PURL_</v>
      </c>
      <c r="CV37" s="45">
        <v>5000</v>
      </c>
      <c r="CW37" s="43" t="str">
        <f t="shared" ref="CW37:CW54" si="39">IF(OR(D37="MFER",D37="KMAT"),"INITIAL",IF(OR(D37="FERT",D37="HAWZ"),"0000999999",""))</f>
        <v/>
      </c>
      <c r="CX37" s="43" t="str">
        <f t="shared" ref="CX37:CX54" si="40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1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45">
        <v>0</v>
      </c>
      <c r="DG37" s="45">
        <v>0</v>
      </c>
      <c r="DH37" s="43" t="str">
        <f t="shared" ref="DH37:DH54" si="42">IFERROR(ROUND(AW37,2),"")</f>
        <v/>
      </c>
      <c r="DI37" s="43" t="str">
        <f t="shared" si="25"/>
        <v/>
      </c>
      <c r="DJ37" s="57"/>
      <c r="DK37" s="43" t="str">
        <f t="shared" ca="1" si="26"/>
        <v/>
      </c>
      <c r="DL37" s="43" t="str">
        <f t="shared" si="27"/>
        <v/>
      </c>
      <c r="DM37" s="43" t="str">
        <f t="shared" si="28"/>
        <v/>
      </c>
      <c r="DN37" s="57"/>
      <c r="DO37" s="43" t="str">
        <f t="shared" ca="1" si="29"/>
        <v/>
      </c>
      <c r="DP37" s="43" t="str">
        <f t="shared" si="30"/>
        <v/>
      </c>
      <c r="DQ37" s="43" t="str">
        <f t="shared" si="31"/>
        <v/>
      </c>
      <c r="DR37" s="57"/>
      <c r="DS37" s="43" t="str">
        <f t="shared" ca="1" si="32"/>
        <v/>
      </c>
      <c r="DT37" s="43" t="str">
        <f t="shared" si="33"/>
        <v/>
      </c>
      <c r="DU37" s="43" t="str">
        <f t="shared" si="34"/>
        <v/>
      </c>
      <c r="DV37" s="57"/>
      <c r="DW37" s="43" t="str">
        <f t="shared" ca="1" si="35"/>
        <v/>
      </c>
      <c r="DX37" s="43" t="str">
        <f t="shared" si="36"/>
        <v/>
      </c>
      <c r="DZ37" s="44">
        <v>0</v>
      </c>
      <c r="EA37" s="44" t="s">
        <v>761</v>
      </c>
      <c r="EB37" s="44">
        <v>30</v>
      </c>
      <c r="EC37" s="43">
        <f t="shared" ref="EC37:EC54" si="43">IF(OR(AO37="M",AO37="KG"),0.01,1)</f>
        <v>0.01</v>
      </c>
      <c r="ED37" s="43" t="str">
        <f t="shared" ref="ED37:ED54" si="44">AO37</f>
        <v>M</v>
      </c>
      <c r="EE37" s="43" t="str">
        <f>IF(IFERROR(INDEX(Consulta!$A:$DS,MATCH('MM01'!$B37,Consulta!$C:$C,0),'MM01'!EE$2),"")=0,"7925",IF(IFERROR(INDEX(Consulta!$A:$DS,MATCH('MM01'!$B37,Consulta!$C:$C,0),'MM01'!EE$2),"")="68","7910","7925"))</f>
        <v>7925</v>
      </c>
      <c r="EF37" s="44">
        <v>100</v>
      </c>
      <c r="EG37" s="62">
        <v>1</v>
      </c>
      <c r="EH37" s="43">
        <f t="shared" si="37"/>
        <v>100</v>
      </c>
      <c r="EI37" s="44">
        <v>1</v>
      </c>
      <c r="EJ37" s="44">
        <v>0</v>
      </c>
      <c r="EK37" s="44" t="s">
        <v>859</v>
      </c>
      <c r="EL37" s="45">
        <v>0</v>
      </c>
      <c r="EM37" s="43">
        <f t="shared" si="38"/>
        <v>5000</v>
      </c>
      <c r="EN37" s="69"/>
    </row>
    <row r="38" spans="1:144" x14ac:dyDescent="0.3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/>
      <c r="BN38" s="46" t="str">
        <f t="shared" ca="1" si="19"/>
        <v/>
      </c>
      <c r="BO38" s="49" t="str">
        <f t="shared" si="20"/>
        <v/>
      </c>
      <c r="BP38" s="50">
        <v>1</v>
      </c>
      <c r="BQ38" s="50" t="s">
        <v>194</v>
      </c>
      <c r="BR38" s="50" t="s">
        <v>194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1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2"/>
        <v/>
      </c>
      <c r="CJ38" s="49" t="str">
        <f t="shared" si="23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4"/>
        <v>K00_P_PURL_</v>
      </c>
      <c r="CV38" s="45">
        <v>5000</v>
      </c>
      <c r="CW38" s="43" t="str">
        <f t="shared" si="39"/>
        <v/>
      </c>
      <c r="CX38" s="43" t="str">
        <f t="shared" si="40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1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45">
        <v>0</v>
      </c>
      <c r="DG38" s="45">
        <v>0</v>
      </c>
      <c r="DH38" s="43" t="str">
        <f t="shared" si="42"/>
        <v/>
      </c>
      <c r="DI38" s="43" t="str">
        <f t="shared" si="25"/>
        <v/>
      </c>
      <c r="DJ38" s="57"/>
      <c r="DK38" s="43" t="str">
        <f t="shared" ca="1" si="26"/>
        <v/>
      </c>
      <c r="DL38" s="43" t="str">
        <f t="shared" si="27"/>
        <v/>
      </c>
      <c r="DM38" s="43" t="str">
        <f t="shared" si="28"/>
        <v/>
      </c>
      <c r="DN38" s="57"/>
      <c r="DO38" s="43" t="str">
        <f t="shared" ca="1" si="29"/>
        <v/>
      </c>
      <c r="DP38" s="43" t="str">
        <f t="shared" si="30"/>
        <v/>
      </c>
      <c r="DQ38" s="43" t="str">
        <f t="shared" si="31"/>
        <v/>
      </c>
      <c r="DR38" s="57"/>
      <c r="DS38" s="43" t="str">
        <f t="shared" ca="1" si="32"/>
        <v/>
      </c>
      <c r="DT38" s="43" t="str">
        <f t="shared" si="33"/>
        <v/>
      </c>
      <c r="DU38" s="43" t="str">
        <f t="shared" si="34"/>
        <v/>
      </c>
      <c r="DV38" s="57"/>
      <c r="DW38" s="43" t="str">
        <f t="shared" ca="1" si="35"/>
        <v/>
      </c>
      <c r="DX38" s="43" t="str">
        <f t="shared" si="36"/>
        <v/>
      </c>
      <c r="DZ38" s="44">
        <v>0</v>
      </c>
      <c r="EA38" s="44" t="s">
        <v>761</v>
      </c>
      <c r="EB38" s="44">
        <v>30</v>
      </c>
      <c r="EC38" s="43">
        <f t="shared" si="43"/>
        <v>0.01</v>
      </c>
      <c r="ED38" s="43" t="str">
        <f t="shared" si="44"/>
        <v>M</v>
      </c>
      <c r="EE38" s="43" t="str">
        <f>IF(IFERROR(INDEX(Consulta!$A:$DS,MATCH('MM01'!$B38,Consulta!$C:$C,0),'MM01'!EE$2),"")=0,"7925",IF(IFERROR(INDEX(Consulta!$A:$DS,MATCH('MM01'!$B38,Consulta!$C:$C,0),'MM01'!EE$2),"")="68","7910","7925"))</f>
        <v>7925</v>
      </c>
      <c r="EF38" s="44">
        <v>100</v>
      </c>
      <c r="EG38" s="62">
        <v>1</v>
      </c>
      <c r="EH38" s="43">
        <f t="shared" si="37"/>
        <v>100</v>
      </c>
      <c r="EI38" s="44">
        <v>1</v>
      </c>
      <c r="EJ38" s="44">
        <v>0</v>
      </c>
      <c r="EK38" s="44" t="s">
        <v>859</v>
      </c>
      <c r="EL38" s="45">
        <v>0</v>
      </c>
      <c r="EM38" s="43">
        <f t="shared" si="38"/>
        <v>5000</v>
      </c>
      <c r="EN38" s="69"/>
    </row>
    <row r="39" spans="1:144" x14ac:dyDescent="0.3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/>
      <c r="BN39" s="46" t="str">
        <f t="shared" ca="1" si="19"/>
        <v/>
      </c>
      <c r="BO39" s="49" t="str">
        <f t="shared" si="20"/>
        <v/>
      </c>
      <c r="BP39" s="50">
        <v>1</v>
      </c>
      <c r="BQ39" s="50" t="s">
        <v>194</v>
      </c>
      <c r="BR39" s="50" t="s">
        <v>194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1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2"/>
        <v/>
      </c>
      <c r="CJ39" s="49" t="str">
        <f t="shared" si="23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4"/>
        <v>K00_P_PURL_</v>
      </c>
      <c r="CV39" s="45">
        <v>5000</v>
      </c>
      <c r="CW39" s="43" t="str">
        <f t="shared" si="39"/>
        <v/>
      </c>
      <c r="CX39" s="43" t="str">
        <f t="shared" si="40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1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45">
        <v>0</v>
      </c>
      <c r="DG39" s="45">
        <v>0</v>
      </c>
      <c r="DH39" s="43" t="str">
        <f t="shared" si="42"/>
        <v/>
      </c>
      <c r="DI39" s="43" t="str">
        <f t="shared" si="25"/>
        <v/>
      </c>
      <c r="DJ39" s="57"/>
      <c r="DK39" s="43" t="str">
        <f t="shared" ca="1" si="26"/>
        <v/>
      </c>
      <c r="DL39" s="43" t="str">
        <f t="shared" si="27"/>
        <v/>
      </c>
      <c r="DM39" s="43" t="str">
        <f t="shared" si="28"/>
        <v/>
      </c>
      <c r="DN39" s="57"/>
      <c r="DO39" s="43" t="str">
        <f t="shared" ca="1" si="29"/>
        <v/>
      </c>
      <c r="DP39" s="43" t="str">
        <f t="shared" si="30"/>
        <v/>
      </c>
      <c r="DQ39" s="43" t="str">
        <f t="shared" si="31"/>
        <v/>
      </c>
      <c r="DR39" s="57"/>
      <c r="DS39" s="43" t="str">
        <f t="shared" ca="1" si="32"/>
        <v/>
      </c>
      <c r="DT39" s="43" t="str">
        <f t="shared" si="33"/>
        <v/>
      </c>
      <c r="DU39" s="43" t="str">
        <f t="shared" si="34"/>
        <v/>
      </c>
      <c r="DV39" s="57"/>
      <c r="DW39" s="43" t="str">
        <f t="shared" ca="1" si="35"/>
        <v/>
      </c>
      <c r="DX39" s="43" t="str">
        <f t="shared" si="36"/>
        <v/>
      </c>
      <c r="DZ39" s="44">
        <v>0</v>
      </c>
      <c r="EA39" s="44" t="s">
        <v>761</v>
      </c>
      <c r="EB39" s="44">
        <v>30</v>
      </c>
      <c r="EC39" s="43">
        <f t="shared" si="43"/>
        <v>0.01</v>
      </c>
      <c r="ED39" s="43" t="str">
        <f t="shared" si="44"/>
        <v>M</v>
      </c>
      <c r="EE39" s="43" t="str">
        <f>IF(IFERROR(INDEX(Consulta!$A:$DS,MATCH('MM01'!$B39,Consulta!$C:$C,0),'MM01'!EE$2),"")=0,"7925",IF(IFERROR(INDEX(Consulta!$A:$DS,MATCH('MM01'!$B39,Consulta!$C:$C,0),'MM01'!EE$2),"")="68","7910","7925"))</f>
        <v>7925</v>
      </c>
      <c r="EF39" s="44">
        <v>100</v>
      </c>
      <c r="EG39" s="62">
        <v>1</v>
      </c>
      <c r="EH39" s="43">
        <f t="shared" si="37"/>
        <v>100</v>
      </c>
      <c r="EI39" s="44">
        <v>1</v>
      </c>
      <c r="EJ39" s="44">
        <v>0</v>
      </c>
      <c r="EK39" s="44" t="s">
        <v>859</v>
      </c>
      <c r="EL39" s="45">
        <v>0</v>
      </c>
      <c r="EM39" s="43">
        <f t="shared" si="38"/>
        <v>5000</v>
      </c>
      <c r="EN39" s="69"/>
    </row>
    <row r="40" spans="1:144" x14ac:dyDescent="0.3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/>
      <c r="BN40" s="46" t="str">
        <f t="shared" ca="1" si="19"/>
        <v/>
      </c>
      <c r="BO40" s="49" t="str">
        <f t="shared" si="20"/>
        <v/>
      </c>
      <c r="BP40" s="50">
        <v>1</v>
      </c>
      <c r="BQ40" s="50" t="s">
        <v>194</v>
      </c>
      <c r="BR40" s="50" t="s">
        <v>194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1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2"/>
        <v/>
      </c>
      <c r="CJ40" s="49" t="str">
        <f t="shared" si="23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4"/>
        <v>K00_P_PURL_</v>
      </c>
      <c r="CV40" s="45">
        <v>5000</v>
      </c>
      <c r="CW40" s="43" t="str">
        <f t="shared" si="39"/>
        <v/>
      </c>
      <c r="CX40" s="43" t="str">
        <f t="shared" si="40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1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45">
        <v>0</v>
      </c>
      <c r="DG40" s="45">
        <v>0</v>
      </c>
      <c r="DH40" s="43" t="str">
        <f t="shared" si="42"/>
        <v/>
      </c>
      <c r="DI40" s="43" t="str">
        <f t="shared" si="25"/>
        <v/>
      </c>
      <c r="DJ40" s="57"/>
      <c r="DK40" s="43" t="str">
        <f t="shared" ca="1" si="26"/>
        <v/>
      </c>
      <c r="DL40" s="43" t="str">
        <f t="shared" si="27"/>
        <v/>
      </c>
      <c r="DM40" s="43" t="str">
        <f t="shared" si="28"/>
        <v/>
      </c>
      <c r="DN40" s="57"/>
      <c r="DO40" s="43" t="str">
        <f t="shared" ca="1" si="29"/>
        <v/>
      </c>
      <c r="DP40" s="43" t="str">
        <f t="shared" si="30"/>
        <v/>
      </c>
      <c r="DQ40" s="43" t="str">
        <f t="shared" si="31"/>
        <v/>
      </c>
      <c r="DR40" s="57"/>
      <c r="DS40" s="43" t="str">
        <f t="shared" ca="1" si="32"/>
        <v/>
      </c>
      <c r="DT40" s="43" t="str">
        <f t="shared" si="33"/>
        <v/>
      </c>
      <c r="DU40" s="43" t="str">
        <f t="shared" si="34"/>
        <v/>
      </c>
      <c r="DV40" s="57"/>
      <c r="DW40" s="43" t="str">
        <f t="shared" ca="1" si="35"/>
        <v/>
      </c>
      <c r="DX40" s="43" t="str">
        <f t="shared" si="36"/>
        <v/>
      </c>
      <c r="DZ40" s="44">
        <v>0</v>
      </c>
      <c r="EA40" s="44" t="s">
        <v>761</v>
      </c>
      <c r="EB40" s="44">
        <v>30</v>
      </c>
      <c r="EC40" s="43">
        <f t="shared" si="43"/>
        <v>0.01</v>
      </c>
      <c r="ED40" s="43" t="str">
        <f t="shared" si="44"/>
        <v>M</v>
      </c>
      <c r="EE40" s="43" t="str">
        <f>IF(IFERROR(INDEX(Consulta!$A:$DS,MATCH('MM01'!$B40,Consulta!$C:$C,0),'MM01'!EE$2),"")=0,"7925",IF(IFERROR(INDEX(Consulta!$A:$DS,MATCH('MM01'!$B40,Consulta!$C:$C,0),'MM01'!EE$2),"")="68","7910","7925"))</f>
        <v>7925</v>
      </c>
      <c r="EF40" s="44">
        <v>100</v>
      </c>
      <c r="EG40" s="62">
        <v>1</v>
      </c>
      <c r="EH40" s="43">
        <f t="shared" si="37"/>
        <v>100</v>
      </c>
      <c r="EI40" s="44">
        <v>1</v>
      </c>
      <c r="EJ40" s="44">
        <v>0</v>
      </c>
      <c r="EK40" s="44" t="s">
        <v>859</v>
      </c>
      <c r="EL40" s="45">
        <v>0</v>
      </c>
      <c r="EM40" s="43">
        <f t="shared" si="38"/>
        <v>5000</v>
      </c>
      <c r="EN40" s="69"/>
    </row>
    <row r="41" spans="1:144" x14ac:dyDescent="0.3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/>
      <c r="BN41" s="46" t="str">
        <f t="shared" ca="1" si="19"/>
        <v/>
      </c>
      <c r="BO41" s="49" t="str">
        <f t="shared" si="20"/>
        <v/>
      </c>
      <c r="BP41" s="50">
        <v>1</v>
      </c>
      <c r="BQ41" s="50" t="s">
        <v>194</v>
      </c>
      <c r="BR41" s="50" t="s">
        <v>194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1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2"/>
        <v/>
      </c>
      <c r="CJ41" s="49" t="str">
        <f t="shared" si="23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4"/>
        <v>K00_P_PURL_</v>
      </c>
      <c r="CV41" s="45">
        <v>5000</v>
      </c>
      <c r="CW41" s="43" t="str">
        <f t="shared" si="39"/>
        <v/>
      </c>
      <c r="CX41" s="43" t="str">
        <f t="shared" si="40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1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45">
        <v>0</v>
      </c>
      <c r="DG41" s="45">
        <v>0</v>
      </c>
      <c r="DH41" s="43" t="str">
        <f t="shared" si="42"/>
        <v/>
      </c>
      <c r="DI41" s="43" t="str">
        <f t="shared" si="25"/>
        <v/>
      </c>
      <c r="DJ41" s="57"/>
      <c r="DK41" s="43" t="str">
        <f t="shared" ca="1" si="26"/>
        <v/>
      </c>
      <c r="DL41" s="43" t="str">
        <f t="shared" si="27"/>
        <v/>
      </c>
      <c r="DM41" s="43" t="str">
        <f t="shared" si="28"/>
        <v/>
      </c>
      <c r="DN41" s="57"/>
      <c r="DO41" s="43" t="str">
        <f t="shared" ca="1" si="29"/>
        <v/>
      </c>
      <c r="DP41" s="43" t="str">
        <f t="shared" si="30"/>
        <v/>
      </c>
      <c r="DQ41" s="43" t="str">
        <f t="shared" si="31"/>
        <v/>
      </c>
      <c r="DR41" s="57"/>
      <c r="DS41" s="43" t="str">
        <f t="shared" ca="1" si="32"/>
        <v/>
      </c>
      <c r="DT41" s="43" t="str">
        <f t="shared" si="33"/>
        <v/>
      </c>
      <c r="DU41" s="43" t="str">
        <f t="shared" si="34"/>
        <v/>
      </c>
      <c r="DV41" s="57"/>
      <c r="DW41" s="43" t="str">
        <f t="shared" ca="1" si="35"/>
        <v/>
      </c>
      <c r="DX41" s="43" t="str">
        <f t="shared" si="36"/>
        <v/>
      </c>
      <c r="DZ41" s="44">
        <v>0</v>
      </c>
      <c r="EA41" s="44" t="s">
        <v>761</v>
      </c>
      <c r="EB41" s="44">
        <v>30</v>
      </c>
      <c r="EC41" s="43">
        <f t="shared" si="43"/>
        <v>0.01</v>
      </c>
      <c r="ED41" s="43" t="str">
        <f t="shared" si="44"/>
        <v>M</v>
      </c>
      <c r="EE41" s="43" t="str">
        <f>IF(IFERROR(INDEX(Consulta!$A:$DS,MATCH('MM01'!$B41,Consulta!$C:$C,0),'MM01'!EE$2),"")=0,"7925",IF(IFERROR(INDEX(Consulta!$A:$DS,MATCH('MM01'!$B41,Consulta!$C:$C,0),'MM01'!EE$2),"")="68","7910","7925"))</f>
        <v>7925</v>
      </c>
      <c r="EF41" s="44">
        <v>100</v>
      </c>
      <c r="EG41" s="62">
        <v>1</v>
      </c>
      <c r="EH41" s="43">
        <f t="shared" si="37"/>
        <v>100</v>
      </c>
      <c r="EI41" s="44">
        <v>1</v>
      </c>
      <c r="EJ41" s="44">
        <v>0</v>
      </c>
      <c r="EK41" s="44" t="s">
        <v>859</v>
      </c>
      <c r="EL41" s="45">
        <v>0</v>
      </c>
      <c r="EM41" s="43">
        <f t="shared" si="38"/>
        <v>5000</v>
      </c>
      <c r="EN41" s="69"/>
    </row>
    <row r="42" spans="1:144" x14ac:dyDescent="0.3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/>
      <c r="BN42" s="46" t="str">
        <f t="shared" ca="1" si="19"/>
        <v/>
      </c>
      <c r="BO42" s="49" t="str">
        <f t="shared" si="20"/>
        <v/>
      </c>
      <c r="BP42" s="50">
        <v>1</v>
      </c>
      <c r="BQ42" s="50" t="s">
        <v>194</v>
      </c>
      <c r="BR42" s="50" t="s">
        <v>194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1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2"/>
        <v/>
      </c>
      <c r="CJ42" s="49" t="str">
        <f t="shared" si="23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4"/>
        <v>K00_P_PURL_</v>
      </c>
      <c r="CV42" s="45">
        <v>5000</v>
      </c>
      <c r="CW42" s="43" t="str">
        <f t="shared" si="39"/>
        <v/>
      </c>
      <c r="CX42" s="43" t="str">
        <f t="shared" si="40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1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45">
        <v>0</v>
      </c>
      <c r="DG42" s="45">
        <v>0</v>
      </c>
      <c r="DH42" s="43" t="str">
        <f t="shared" si="42"/>
        <v/>
      </c>
      <c r="DI42" s="43" t="str">
        <f t="shared" si="25"/>
        <v/>
      </c>
      <c r="DJ42" s="57"/>
      <c r="DK42" s="43" t="str">
        <f t="shared" ca="1" si="26"/>
        <v/>
      </c>
      <c r="DL42" s="43" t="str">
        <f t="shared" si="27"/>
        <v/>
      </c>
      <c r="DM42" s="43" t="str">
        <f t="shared" si="28"/>
        <v/>
      </c>
      <c r="DN42" s="57"/>
      <c r="DO42" s="43" t="str">
        <f t="shared" ca="1" si="29"/>
        <v/>
      </c>
      <c r="DP42" s="43" t="str">
        <f t="shared" si="30"/>
        <v/>
      </c>
      <c r="DQ42" s="43" t="str">
        <f t="shared" si="31"/>
        <v/>
      </c>
      <c r="DR42" s="57"/>
      <c r="DS42" s="43" t="str">
        <f t="shared" ca="1" si="32"/>
        <v/>
      </c>
      <c r="DT42" s="43" t="str">
        <f t="shared" si="33"/>
        <v/>
      </c>
      <c r="DU42" s="43" t="str">
        <f t="shared" si="34"/>
        <v/>
      </c>
      <c r="DV42" s="57"/>
      <c r="DW42" s="43" t="str">
        <f t="shared" ca="1" si="35"/>
        <v/>
      </c>
      <c r="DX42" s="43" t="str">
        <f t="shared" si="36"/>
        <v/>
      </c>
      <c r="DZ42" s="44">
        <v>0</v>
      </c>
      <c r="EA42" s="44" t="s">
        <v>761</v>
      </c>
      <c r="EB42" s="44">
        <v>30</v>
      </c>
      <c r="EC42" s="43">
        <f t="shared" si="43"/>
        <v>0.01</v>
      </c>
      <c r="ED42" s="43" t="str">
        <f t="shared" si="44"/>
        <v>M</v>
      </c>
      <c r="EE42" s="43" t="str">
        <f>IF(IFERROR(INDEX(Consulta!$A:$DS,MATCH('MM01'!$B42,Consulta!$C:$C,0),'MM01'!EE$2),"")=0,"7925",IF(IFERROR(INDEX(Consulta!$A:$DS,MATCH('MM01'!$B42,Consulta!$C:$C,0),'MM01'!EE$2),"")="68","7910","7925"))</f>
        <v>7925</v>
      </c>
      <c r="EF42" s="44">
        <v>100</v>
      </c>
      <c r="EG42" s="62">
        <v>1</v>
      </c>
      <c r="EH42" s="43">
        <f t="shared" si="37"/>
        <v>100</v>
      </c>
      <c r="EI42" s="44">
        <v>1</v>
      </c>
      <c r="EJ42" s="44">
        <v>0</v>
      </c>
      <c r="EK42" s="44" t="s">
        <v>859</v>
      </c>
      <c r="EL42" s="45">
        <v>0</v>
      </c>
      <c r="EM42" s="43">
        <f t="shared" si="38"/>
        <v>5000</v>
      </c>
      <c r="EN42" s="69"/>
    </row>
    <row r="43" spans="1:144" x14ac:dyDescent="0.3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/>
      <c r="BN43" s="46" t="str">
        <f t="shared" ca="1" si="19"/>
        <v/>
      </c>
      <c r="BO43" s="49" t="str">
        <f t="shared" si="20"/>
        <v/>
      </c>
      <c r="BP43" s="50">
        <v>1</v>
      </c>
      <c r="BQ43" s="50" t="s">
        <v>194</v>
      </c>
      <c r="BR43" s="50" t="s">
        <v>194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1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2"/>
        <v/>
      </c>
      <c r="CJ43" s="49" t="str">
        <f t="shared" si="23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4"/>
        <v>K00_P_PURL_</v>
      </c>
      <c r="CV43" s="45">
        <v>5000</v>
      </c>
      <c r="CW43" s="43" t="str">
        <f t="shared" si="39"/>
        <v/>
      </c>
      <c r="CX43" s="43" t="str">
        <f t="shared" si="40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1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45">
        <v>0</v>
      </c>
      <c r="DG43" s="45">
        <v>0</v>
      </c>
      <c r="DH43" s="43" t="str">
        <f t="shared" si="42"/>
        <v/>
      </c>
      <c r="DI43" s="43" t="str">
        <f t="shared" si="25"/>
        <v/>
      </c>
      <c r="DJ43" s="57"/>
      <c r="DK43" s="43" t="str">
        <f t="shared" ca="1" si="26"/>
        <v/>
      </c>
      <c r="DL43" s="43" t="str">
        <f t="shared" si="27"/>
        <v/>
      </c>
      <c r="DM43" s="43" t="str">
        <f t="shared" si="28"/>
        <v/>
      </c>
      <c r="DN43" s="57"/>
      <c r="DO43" s="43" t="str">
        <f t="shared" ca="1" si="29"/>
        <v/>
      </c>
      <c r="DP43" s="43" t="str">
        <f t="shared" si="30"/>
        <v/>
      </c>
      <c r="DQ43" s="43" t="str">
        <f t="shared" si="31"/>
        <v/>
      </c>
      <c r="DR43" s="57"/>
      <c r="DS43" s="43" t="str">
        <f t="shared" ca="1" si="32"/>
        <v/>
      </c>
      <c r="DT43" s="43" t="str">
        <f t="shared" si="33"/>
        <v/>
      </c>
      <c r="DU43" s="43" t="str">
        <f t="shared" si="34"/>
        <v/>
      </c>
      <c r="DV43" s="57"/>
      <c r="DW43" s="43" t="str">
        <f t="shared" ca="1" si="35"/>
        <v/>
      </c>
      <c r="DX43" s="43" t="str">
        <f t="shared" si="36"/>
        <v/>
      </c>
      <c r="DZ43" s="44">
        <v>0</v>
      </c>
      <c r="EA43" s="44" t="s">
        <v>761</v>
      </c>
      <c r="EB43" s="44">
        <v>30</v>
      </c>
      <c r="EC43" s="43">
        <f t="shared" si="43"/>
        <v>0.01</v>
      </c>
      <c r="ED43" s="43" t="str">
        <f t="shared" si="44"/>
        <v>M</v>
      </c>
      <c r="EE43" s="43" t="str">
        <f>IF(IFERROR(INDEX(Consulta!$A:$DS,MATCH('MM01'!$B43,Consulta!$C:$C,0),'MM01'!EE$2),"")=0,"7925",IF(IFERROR(INDEX(Consulta!$A:$DS,MATCH('MM01'!$B43,Consulta!$C:$C,0),'MM01'!EE$2),"")="68","7910","7925"))</f>
        <v>7925</v>
      </c>
      <c r="EF43" s="44">
        <v>100</v>
      </c>
      <c r="EG43" s="62">
        <v>1</v>
      </c>
      <c r="EH43" s="43">
        <f t="shared" si="37"/>
        <v>100</v>
      </c>
      <c r="EI43" s="44">
        <v>1</v>
      </c>
      <c r="EJ43" s="44">
        <v>0</v>
      </c>
      <c r="EK43" s="44" t="s">
        <v>859</v>
      </c>
      <c r="EL43" s="45">
        <v>0</v>
      </c>
      <c r="EM43" s="43">
        <f t="shared" si="38"/>
        <v>5000</v>
      </c>
      <c r="EN43" s="69"/>
    </row>
    <row r="44" spans="1:144" x14ac:dyDescent="0.3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/>
      <c r="BN44" s="46" t="str">
        <f t="shared" ca="1" si="19"/>
        <v/>
      </c>
      <c r="BO44" s="49" t="str">
        <f t="shared" si="20"/>
        <v/>
      </c>
      <c r="BP44" s="50">
        <v>1</v>
      </c>
      <c r="BQ44" s="50" t="s">
        <v>194</v>
      </c>
      <c r="BR44" s="50" t="s">
        <v>194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1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2"/>
        <v/>
      </c>
      <c r="CJ44" s="49" t="str">
        <f t="shared" si="23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4"/>
        <v>K00_P_PURL_</v>
      </c>
      <c r="CV44" s="45">
        <v>5000</v>
      </c>
      <c r="CW44" s="43" t="str">
        <f t="shared" si="39"/>
        <v/>
      </c>
      <c r="CX44" s="43" t="str">
        <f t="shared" si="40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1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45">
        <v>0</v>
      </c>
      <c r="DG44" s="45">
        <v>0</v>
      </c>
      <c r="DH44" s="43" t="str">
        <f t="shared" si="42"/>
        <v/>
      </c>
      <c r="DI44" s="43" t="str">
        <f t="shared" si="25"/>
        <v/>
      </c>
      <c r="DJ44" s="57"/>
      <c r="DK44" s="43" t="str">
        <f t="shared" ca="1" si="26"/>
        <v/>
      </c>
      <c r="DL44" s="43" t="str">
        <f t="shared" si="27"/>
        <v/>
      </c>
      <c r="DM44" s="43" t="str">
        <f t="shared" si="28"/>
        <v/>
      </c>
      <c r="DN44" s="57"/>
      <c r="DO44" s="43" t="str">
        <f t="shared" ca="1" si="29"/>
        <v/>
      </c>
      <c r="DP44" s="43" t="str">
        <f t="shared" si="30"/>
        <v/>
      </c>
      <c r="DQ44" s="43" t="str">
        <f t="shared" si="31"/>
        <v/>
      </c>
      <c r="DR44" s="57"/>
      <c r="DS44" s="43" t="str">
        <f t="shared" ca="1" si="32"/>
        <v/>
      </c>
      <c r="DT44" s="43" t="str">
        <f t="shared" si="33"/>
        <v/>
      </c>
      <c r="DU44" s="43" t="str">
        <f t="shared" si="34"/>
        <v/>
      </c>
      <c r="DV44" s="57"/>
      <c r="DW44" s="43" t="str">
        <f t="shared" ca="1" si="35"/>
        <v/>
      </c>
      <c r="DX44" s="43" t="str">
        <f t="shared" si="36"/>
        <v/>
      </c>
      <c r="DZ44" s="44">
        <v>0</v>
      </c>
      <c r="EA44" s="44" t="s">
        <v>761</v>
      </c>
      <c r="EB44" s="44">
        <v>30</v>
      </c>
      <c r="EC44" s="43">
        <f t="shared" si="43"/>
        <v>0.01</v>
      </c>
      <c r="ED44" s="43" t="str">
        <f t="shared" si="44"/>
        <v>M</v>
      </c>
      <c r="EE44" s="43" t="str">
        <f>IF(IFERROR(INDEX(Consulta!$A:$DS,MATCH('MM01'!$B44,Consulta!$C:$C,0),'MM01'!EE$2),"")=0,"7925",IF(IFERROR(INDEX(Consulta!$A:$DS,MATCH('MM01'!$B44,Consulta!$C:$C,0),'MM01'!EE$2),"")="68","7910","7925"))</f>
        <v>7925</v>
      </c>
      <c r="EF44" s="44">
        <v>100</v>
      </c>
      <c r="EG44" s="62">
        <v>1</v>
      </c>
      <c r="EH44" s="43">
        <f t="shared" si="37"/>
        <v>100</v>
      </c>
      <c r="EI44" s="44">
        <v>1</v>
      </c>
      <c r="EJ44" s="44">
        <v>0</v>
      </c>
      <c r="EK44" s="44" t="s">
        <v>859</v>
      </c>
      <c r="EL44" s="45">
        <v>0</v>
      </c>
      <c r="EM44" s="43">
        <f t="shared" si="38"/>
        <v>5000</v>
      </c>
      <c r="EN44" s="69"/>
    </row>
    <row r="45" spans="1:144" x14ac:dyDescent="0.3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/>
      <c r="BN45" s="46" t="str">
        <f t="shared" ca="1" si="19"/>
        <v/>
      </c>
      <c r="BO45" s="49" t="str">
        <f t="shared" si="20"/>
        <v/>
      </c>
      <c r="BP45" s="50">
        <v>1</v>
      </c>
      <c r="BQ45" s="50" t="s">
        <v>194</v>
      </c>
      <c r="BR45" s="50" t="s">
        <v>194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1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2"/>
        <v/>
      </c>
      <c r="CJ45" s="49" t="str">
        <f t="shared" si="23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4"/>
        <v>K00_P_PURL_</v>
      </c>
      <c r="CV45" s="45">
        <v>5000</v>
      </c>
      <c r="CW45" s="43" t="str">
        <f t="shared" si="39"/>
        <v/>
      </c>
      <c r="CX45" s="43" t="str">
        <f t="shared" si="40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1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45">
        <v>0</v>
      </c>
      <c r="DG45" s="45">
        <v>0</v>
      </c>
      <c r="DH45" s="43" t="str">
        <f t="shared" si="42"/>
        <v/>
      </c>
      <c r="DI45" s="43" t="str">
        <f t="shared" si="25"/>
        <v/>
      </c>
      <c r="DJ45" s="57"/>
      <c r="DK45" s="43" t="str">
        <f t="shared" ca="1" si="26"/>
        <v/>
      </c>
      <c r="DL45" s="43" t="str">
        <f t="shared" si="27"/>
        <v/>
      </c>
      <c r="DM45" s="43" t="str">
        <f t="shared" si="28"/>
        <v/>
      </c>
      <c r="DN45" s="57"/>
      <c r="DO45" s="43" t="str">
        <f t="shared" ca="1" si="29"/>
        <v/>
      </c>
      <c r="DP45" s="43" t="str">
        <f t="shared" si="30"/>
        <v/>
      </c>
      <c r="DQ45" s="43" t="str">
        <f t="shared" si="31"/>
        <v/>
      </c>
      <c r="DR45" s="57"/>
      <c r="DS45" s="43" t="str">
        <f t="shared" ca="1" si="32"/>
        <v/>
      </c>
      <c r="DT45" s="43" t="str">
        <f t="shared" si="33"/>
        <v/>
      </c>
      <c r="DU45" s="43" t="str">
        <f t="shared" si="34"/>
        <v/>
      </c>
      <c r="DV45" s="57"/>
      <c r="DW45" s="43" t="str">
        <f t="shared" ca="1" si="35"/>
        <v/>
      </c>
      <c r="DX45" s="43" t="str">
        <f t="shared" si="36"/>
        <v/>
      </c>
      <c r="DZ45" s="44">
        <v>0</v>
      </c>
      <c r="EA45" s="44" t="s">
        <v>761</v>
      </c>
      <c r="EB45" s="44">
        <v>30</v>
      </c>
      <c r="EC45" s="43">
        <f t="shared" si="43"/>
        <v>0.01</v>
      </c>
      <c r="ED45" s="43" t="str">
        <f t="shared" si="44"/>
        <v>M</v>
      </c>
      <c r="EE45" s="43" t="str">
        <f>IF(IFERROR(INDEX(Consulta!$A:$DS,MATCH('MM01'!$B45,Consulta!$C:$C,0),'MM01'!EE$2),"")=0,"7925",IF(IFERROR(INDEX(Consulta!$A:$DS,MATCH('MM01'!$B45,Consulta!$C:$C,0),'MM01'!EE$2),"")="68","7910","7925"))</f>
        <v>7925</v>
      </c>
      <c r="EF45" s="44">
        <v>100</v>
      </c>
      <c r="EG45" s="62">
        <v>1</v>
      </c>
      <c r="EH45" s="43">
        <f t="shared" si="37"/>
        <v>100</v>
      </c>
      <c r="EI45" s="44">
        <v>1</v>
      </c>
      <c r="EJ45" s="44">
        <v>0</v>
      </c>
      <c r="EK45" s="44" t="s">
        <v>859</v>
      </c>
      <c r="EL45" s="45">
        <v>0</v>
      </c>
      <c r="EM45" s="43">
        <f t="shared" si="38"/>
        <v>5000</v>
      </c>
      <c r="EN45" s="69"/>
    </row>
    <row r="46" spans="1:144" x14ac:dyDescent="0.3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/>
      <c r="BN46" s="46" t="str">
        <f t="shared" ca="1" si="19"/>
        <v/>
      </c>
      <c r="BO46" s="49" t="str">
        <f t="shared" si="20"/>
        <v/>
      </c>
      <c r="BP46" s="50">
        <v>1</v>
      </c>
      <c r="BQ46" s="50" t="s">
        <v>194</v>
      </c>
      <c r="BR46" s="50" t="s">
        <v>194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1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2"/>
        <v/>
      </c>
      <c r="CJ46" s="49" t="str">
        <f t="shared" si="23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4"/>
        <v>K00_P_PURL_</v>
      </c>
      <c r="CV46" s="45">
        <v>5000</v>
      </c>
      <c r="CW46" s="43" t="str">
        <f t="shared" si="39"/>
        <v/>
      </c>
      <c r="CX46" s="43" t="str">
        <f t="shared" si="40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1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45">
        <v>0</v>
      </c>
      <c r="DG46" s="45">
        <v>0</v>
      </c>
      <c r="DH46" s="43" t="str">
        <f t="shared" si="42"/>
        <v/>
      </c>
      <c r="DI46" s="43" t="str">
        <f t="shared" si="25"/>
        <v/>
      </c>
      <c r="DJ46" s="57"/>
      <c r="DK46" s="43" t="str">
        <f t="shared" ca="1" si="26"/>
        <v/>
      </c>
      <c r="DL46" s="43" t="str">
        <f t="shared" si="27"/>
        <v/>
      </c>
      <c r="DM46" s="43" t="str">
        <f t="shared" si="28"/>
        <v/>
      </c>
      <c r="DN46" s="57"/>
      <c r="DO46" s="43" t="str">
        <f t="shared" ca="1" si="29"/>
        <v/>
      </c>
      <c r="DP46" s="43" t="str">
        <f t="shared" si="30"/>
        <v/>
      </c>
      <c r="DQ46" s="43" t="str">
        <f t="shared" si="31"/>
        <v/>
      </c>
      <c r="DR46" s="57"/>
      <c r="DS46" s="43" t="str">
        <f t="shared" ca="1" si="32"/>
        <v/>
      </c>
      <c r="DT46" s="43" t="str">
        <f t="shared" si="33"/>
        <v/>
      </c>
      <c r="DU46" s="43" t="str">
        <f t="shared" si="34"/>
        <v/>
      </c>
      <c r="DV46" s="57"/>
      <c r="DW46" s="43" t="str">
        <f t="shared" ca="1" si="35"/>
        <v/>
      </c>
      <c r="DX46" s="43" t="str">
        <f t="shared" si="36"/>
        <v/>
      </c>
      <c r="DZ46" s="44">
        <v>0</v>
      </c>
      <c r="EA46" s="44" t="s">
        <v>761</v>
      </c>
      <c r="EB46" s="44">
        <v>30</v>
      </c>
      <c r="EC46" s="43">
        <f t="shared" si="43"/>
        <v>0.01</v>
      </c>
      <c r="ED46" s="43" t="str">
        <f t="shared" si="44"/>
        <v>M</v>
      </c>
      <c r="EE46" s="43" t="str">
        <f>IF(IFERROR(INDEX(Consulta!$A:$DS,MATCH('MM01'!$B46,Consulta!$C:$C,0),'MM01'!EE$2),"")=0,"7925",IF(IFERROR(INDEX(Consulta!$A:$DS,MATCH('MM01'!$B46,Consulta!$C:$C,0),'MM01'!EE$2),"")="68","7910","7925"))</f>
        <v>7925</v>
      </c>
      <c r="EF46" s="44">
        <v>100</v>
      </c>
      <c r="EG46" s="62">
        <v>1</v>
      </c>
      <c r="EH46" s="43">
        <f t="shared" si="37"/>
        <v>100</v>
      </c>
      <c r="EI46" s="44">
        <v>1</v>
      </c>
      <c r="EJ46" s="44">
        <v>0</v>
      </c>
      <c r="EK46" s="44" t="s">
        <v>859</v>
      </c>
      <c r="EL46" s="45">
        <v>0</v>
      </c>
      <c r="EM46" s="43">
        <f t="shared" si="38"/>
        <v>5000</v>
      </c>
      <c r="EN46" s="69"/>
    </row>
    <row r="47" spans="1:144" x14ac:dyDescent="0.3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/>
      <c r="BN47" s="46" t="str">
        <f t="shared" ca="1" si="19"/>
        <v/>
      </c>
      <c r="BO47" s="49" t="str">
        <f t="shared" si="20"/>
        <v/>
      </c>
      <c r="BP47" s="50">
        <v>1</v>
      </c>
      <c r="BQ47" s="50" t="s">
        <v>194</v>
      </c>
      <c r="BR47" s="50" t="s">
        <v>194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1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2"/>
        <v/>
      </c>
      <c r="CJ47" s="49" t="str">
        <f t="shared" si="23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4"/>
        <v>K00_P_PURL_</v>
      </c>
      <c r="CV47" s="45">
        <v>5000</v>
      </c>
      <c r="CW47" s="43" t="str">
        <f t="shared" si="39"/>
        <v/>
      </c>
      <c r="CX47" s="43" t="str">
        <f t="shared" si="40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1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45">
        <v>0</v>
      </c>
      <c r="DG47" s="45">
        <v>0</v>
      </c>
      <c r="DH47" s="43" t="str">
        <f t="shared" si="42"/>
        <v/>
      </c>
      <c r="DI47" s="43" t="str">
        <f t="shared" si="25"/>
        <v/>
      </c>
      <c r="DJ47" s="57"/>
      <c r="DK47" s="43" t="str">
        <f t="shared" ca="1" si="26"/>
        <v/>
      </c>
      <c r="DL47" s="43" t="str">
        <f t="shared" si="27"/>
        <v/>
      </c>
      <c r="DM47" s="43" t="str">
        <f t="shared" si="28"/>
        <v/>
      </c>
      <c r="DN47" s="57"/>
      <c r="DO47" s="43" t="str">
        <f t="shared" ca="1" si="29"/>
        <v/>
      </c>
      <c r="DP47" s="43" t="str">
        <f t="shared" si="30"/>
        <v/>
      </c>
      <c r="DQ47" s="43" t="str">
        <f t="shared" si="31"/>
        <v/>
      </c>
      <c r="DR47" s="57"/>
      <c r="DS47" s="43" t="str">
        <f t="shared" ca="1" si="32"/>
        <v/>
      </c>
      <c r="DT47" s="43" t="str">
        <f t="shared" si="33"/>
        <v/>
      </c>
      <c r="DU47" s="43" t="str">
        <f t="shared" si="34"/>
        <v/>
      </c>
      <c r="DV47" s="57"/>
      <c r="DW47" s="43" t="str">
        <f t="shared" ca="1" si="35"/>
        <v/>
      </c>
      <c r="DX47" s="43" t="str">
        <f t="shared" si="36"/>
        <v/>
      </c>
      <c r="DZ47" s="44">
        <v>0</v>
      </c>
      <c r="EA47" s="44" t="s">
        <v>761</v>
      </c>
      <c r="EB47" s="44">
        <v>30</v>
      </c>
      <c r="EC47" s="43">
        <f t="shared" si="43"/>
        <v>0.01</v>
      </c>
      <c r="ED47" s="43" t="str">
        <f t="shared" si="44"/>
        <v>M</v>
      </c>
      <c r="EE47" s="43" t="str">
        <f>IF(IFERROR(INDEX(Consulta!$A:$DS,MATCH('MM01'!$B47,Consulta!$C:$C,0),'MM01'!EE$2),"")=0,"7925",IF(IFERROR(INDEX(Consulta!$A:$DS,MATCH('MM01'!$B47,Consulta!$C:$C,0),'MM01'!EE$2),"")="68","7910","7925"))</f>
        <v>7925</v>
      </c>
      <c r="EF47" s="44">
        <v>100</v>
      </c>
      <c r="EG47" s="62">
        <v>1</v>
      </c>
      <c r="EH47" s="43">
        <f t="shared" si="37"/>
        <v>100</v>
      </c>
      <c r="EI47" s="44">
        <v>1</v>
      </c>
      <c r="EJ47" s="44">
        <v>0</v>
      </c>
      <c r="EK47" s="44" t="s">
        <v>859</v>
      </c>
      <c r="EL47" s="45">
        <v>0</v>
      </c>
      <c r="EM47" s="43">
        <f t="shared" si="38"/>
        <v>5000</v>
      </c>
      <c r="EN47" s="69"/>
    </row>
    <row r="48" spans="1:144" x14ac:dyDescent="0.3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/>
      <c r="BN48" s="46" t="str">
        <f t="shared" ca="1" si="19"/>
        <v/>
      </c>
      <c r="BO48" s="49" t="str">
        <f t="shared" si="20"/>
        <v/>
      </c>
      <c r="BP48" s="50">
        <v>1</v>
      </c>
      <c r="BQ48" s="50" t="s">
        <v>194</v>
      </c>
      <c r="BR48" s="50" t="s">
        <v>194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1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2"/>
        <v/>
      </c>
      <c r="CJ48" s="49" t="str">
        <f t="shared" si="23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4"/>
        <v>K00_P_PURL_</v>
      </c>
      <c r="CV48" s="45">
        <v>5000</v>
      </c>
      <c r="CW48" s="43" t="str">
        <f t="shared" si="39"/>
        <v/>
      </c>
      <c r="CX48" s="43" t="str">
        <f t="shared" si="40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1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45">
        <v>0</v>
      </c>
      <c r="DG48" s="45">
        <v>0</v>
      </c>
      <c r="DH48" s="43" t="str">
        <f t="shared" si="42"/>
        <v/>
      </c>
      <c r="DI48" s="43" t="str">
        <f t="shared" si="25"/>
        <v/>
      </c>
      <c r="DJ48" s="57"/>
      <c r="DK48" s="43" t="str">
        <f t="shared" ca="1" si="26"/>
        <v/>
      </c>
      <c r="DL48" s="43" t="str">
        <f t="shared" si="27"/>
        <v/>
      </c>
      <c r="DM48" s="43" t="str">
        <f t="shared" si="28"/>
        <v/>
      </c>
      <c r="DN48" s="57"/>
      <c r="DO48" s="43" t="str">
        <f t="shared" ca="1" si="29"/>
        <v/>
      </c>
      <c r="DP48" s="43" t="str">
        <f t="shared" si="30"/>
        <v/>
      </c>
      <c r="DQ48" s="43" t="str">
        <f t="shared" si="31"/>
        <v/>
      </c>
      <c r="DR48" s="57"/>
      <c r="DS48" s="43" t="str">
        <f t="shared" ca="1" si="32"/>
        <v/>
      </c>
      <c r="DT48" s="43" t="str">
        <f t="shared" si="33"/>
        <v/>
      </c>
      <c r="DU48" s="43" t="str">
        <f t="shared" si="34"/>
        <v/>
      </c>
      <c r="DV48" s="57"/>
      <c r="DW48" s="43" t="str">
        <f t="shared" ca="1" si="35"/>
        <v/>
      </c>
      <c r="DX48" s="43" t="str">
        <f t="shared" si="36"/>
        <v/>
      </c>
      <c r="DZ48" s="44">
        <v>0</v>
      </c>
      <c r="EA48" s="44" t="s">
        <v>761</v>
      </c>
      <c r="EB48" s="44">
        <v>30</v>
      </c>
      <c r="EC48" s="43">
        <f t="shared" si="43"/>
        <v>0.01</v>
      </c>
      <c r="ED48" s="43" t="str">
        <f t="shared" si="44"/>
        <v>M</v>
      </c>
      <c r="EE48" s="43" t="str">
        <f>IF(IFERROR(INDEX(Consulta!$A:$DS,MATCH('MM01'!$B48,Consulta!$C:$C,0),'MM01'!EE$2),"")=0,"7925",IF(IFERROR(INDEX(Consulta!$A:$DS,MATCH('MM01'!$B48,Consulta!$C:$C,0),'MM01'!EE$2),"")="68","7910","7925"))</f>
        <v>7925</v>
      </c>
      <c r="EF48" s="44">
        <v>100</v>
      </c>
      <c r="EG48" s="62">
        <v>1</v>
      </c>
      <c r="EH48" s="43">
        <f t="shared" si="37"/>
        <v>100</v>
      </c>
      <c r="EI48" s="44">
        <v>1</v>
      </c>
      <c r="EJ48" s="44">
        <v>0</v>
      </c>
      <c r="EK48" s="44" t="s">
        <v>859</v>
      </c>
      <c r="EL48" s="45">
        <v>0</v>
      </c>
      <c r="EM48" s="43">
        <f t="shared" si="38"/>
        <v>5000</v>
      </c>
      <c r="EN48" s="69"/>
    </row>
    <row r="49" spans="1:144" x14ac:dyDescent="0.3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/>
      <c r="BN49" s="46" t="str">
        <f t="shared" ca="1" si="19"/>
        <v/>
      </c>
      <c r="BO49" s="49" t="str">
        <f t="shared" si="20"/>
        <v/>
      </c>
      <c r="BP49" s="50">
        <v>1</v>
      </c>
      <c r="BQ49" s="50" t="s">
        <v>194</v>
      </c>
      <c r="BR49" s="50" t="s">
        <v>194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1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2"/>
        <v/>
      </c>
      <c r="CJ49" s="49" t="str">
        <f t="shared" si="23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4"/>
        <v>K00_P_PURL_</v>
      </c>
      <c r="CV49" s="45">
        <v>5000</v>
      </c>
      <c r="CW49" s="43" t="str">
        <f t="shared" si="39"/>
        <v/>
      </c>
      <c r="CX49" s="43" t="str">
        <f t="shared" si="40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1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45">
        <v>0</v>
      </c>
      <c r="DG49" s="45">
        <v>0</v>
      </c>
      <c r="DH49" s="43" t="str">
        <f t="shared" si="42"/>
        <v/>
      </c>
      <c r="DI49" s="43" t="str">
        <f t="shared" si="25"/>
        <v/>
      </c>
      <c r="DJ49" s="57"/>
      <c r="DK49" s="43" t="str">
        <f t="shared" ca="1" si="26"/>
        <v/>
      </c>
      <c r="DL49" s="43" t="str">
        <f t="shared" si="27"/>
        <v/>
      </c>
      <c r="DM49" s="43" t="str">
        <f t="shared" si="28"/>
        <v/>
      </c>
      <c r="DN49" s="57"/>
      <c r="DO49" s="43" t="str">
        <f t="shared" ca="1" si="29"/>
        <v/>
      </c>
      <c r="DP49" s="43" t="str">
        <f t="shared" si="30"/>
        <v/>
      </c>
      <c r="DQ49" s="43" t="str">
        <f t="shared" si="31"/>
        <v/>
      </c>
      <c r="DR49" s="57"/>
      <c r="DS49" s="43" t="str">
        <f t="shared" ca="1" si="32"/>
        <v/>
      </c>
      <c r="DT49" s="43" t="str">
        <f t="shared" si="33"/>
        <v/>
      </c>
      <c r="DU49" s="43" t="str">
        <f t="shared" si="34"/>
        <v/>
      </c>
      <c r="DV49" s="57"/>
      <c r="DW49" s="43" t="str">
        <f t="shared" ca="1" si="35"/>
        <v/>
      </c>
      <c r="DX49" s="43" t="str">
        <f t="shared" si="36"/>
        <v/>
      </c>
      <c r="DZ49" s="44">
        <v>0</v>
      </c>
      <c r="EA49" s="44" t="s">
        <v>761</v>
      </c>
      <c r="EB49" s="44">
        <v>30</v>
      </c>
      <c r="EC49" s="43">
        <f t="shared" si="43"/>
        <v>0.01</v>
      </c>
      <c r="ED49" s="43" t="str">
        <f t="shared" si="44"/>
        <v>M</v>
      </c>
      <c r="EE49" s="43" t="str">
        <f>IF(IFERROR(INDEX(Consulta!$A:$DS,MATCH('MM01'!$B49,Consulta!$C:$C,0),'MM01'!EE$2),"")=0,"7925",IF(IFERROR(INDEX(Consulta!$A:$DS,MATCH('MM01'!$B49,Consulta!$C:$C,0),'MM01'!EE$2),"")="68","7910","7925"))</f>
        <v>7925</v>
      </c>
      <c r="EF49" s="44">
        <v>100</v>
      </c>
      <c r="EG49" s="62">
        <v>1</v>
      </c>
      <c r="EH49" s="43">
        <f t="shared" si="37"/>
        <v>100</v>
      </c>
      <c r="EI49" s="44">
        <v>1</v>
      </c>
      <c r="EJ49" s="44">
        <v>0</v>
      </c>
      <c r="EK49" s="44" t="s">
        <v>859</v>
      </c>
      <c r="EL49" s="45">
        <v>0</v>
      </c>
      <c r="EM49" s="43">
        <f t="shared" si="38"/>
        <v>5000</v>
      </c>
      <c r="EN49" s="69"/>
    </row>
    <row r="50" spans="1:144" x14ac:dyDescent="0.3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/>
      <c r="BN50" s="46" t="str">
        <f t="shared" ca="1" si="19"/>
        <v/>
      </c>
      <c r="BO50" s="49" t="str">
        <f t="shared" si="20"/>
        <v/>
      </c>
      <c r="BP50" s="50">
        <v>1</v>
      </c>
      <c r="BQ50" s="50" t="s">
        <v>194</v>
      </c>
      <c r="BR50" s="50" t="s">
        <v>194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1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2"/>
        <v/>
      </c>
      <c r="CJ50" s="49" t="str">
        <f t="shared" si="23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4"/>
        <v>K00_P_PURL_</v>
      </c>
      <c r="CV50" s="45">
        <v>5000</v>
      </c>
      <c r="CW50" s="43" t="str">
        <f t="shared" si="39"/>
        <v/>
      </c>
      <c r="CX50" s="43" t="str">
        <f t="shared" si="40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1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45">
        <v>0</v>
      </c>
      <c r="DG50" s="45">
        <v>0</v>
      </c>
      <c r="DH50" s="43" t="str">
        <f t="shared" si="42"/>
        <v/>
      </c>
      <c r="DI50" s="43" t="str">
        <f t="shared" si="25"/>
        <v/>
      </c>
      <c r="DJ50" s="57"/>
      <c r="DK50" s="43" t="str">
        <f t="shared" ca="1" si="26"/>
        <v/>
      </c>
      <c r="DL50" s="43" t="str">
        <f t="shared" si="27"/>
        <v/>
      </c>
      <c r="DM50" s="43" t="str">
        <f t="shared" si="28"/>
        <v/>
      </c>
      <c r="DN50" s="57"/>
      <c r="DO50" s="43" t="str">
        <f t="shared" ca="1" si="29"/>
        <v/>
      </c>
      <c r="DP50" s="43" t="str">
        <f t="shared" si="30"/>
        <v/>
      </c>
      <c r="DQ50" s="43" t="str">
        <f t="shared" si="31"/>
        <v/>
      </c>
      <c r="DR50" s="57"/>
      <c r="DS50" s="43" t="str">
        <f t="shared" ca="1" si="32"/>
        <v/>
      </c>
      <c r="DT50" s="43" t="str">
        <f t="shared" si="33"/>
        <v/>
      </c>
      <c r="DU50" s="43" t="str">
        <f t="shared" si="34"/>
        <v/>
      </c>
      <c r="DV50" s="57"/>
      <c r="DW50" s="43" t="str">
        <f t="shared" ca="1" si="35"/>
        <v/>
      </c>
      <c r="DX50" s="43" t="str">
        <f t="shared" si="36"/>
        <v/>
      </c>
      <c r="DZ50" s="44">
        <v>0</v>
      </c>
      <c r="EA50" s="44" t="s">
        <v>761</v>
      </c>
      <c r="EB50" s="44">
        <v>30</v>
      </c>
      <c r="EC50" s="43">
        <f t="shared" si="43"/>
        <v>0.01</v>
      </c>
      <c r="ED50" s="43" t="str">
        <f t="shared" si="44"/>
        <v>M</v>
      </c>
      <c r="EE50" s="43" t="str">
        <f>IF(IFERROR(INDEX(Consulta!$A:$DS,MATCH('MM01'!$B50,Consulta!$C:$C,0),'MM01'!EE$2),"")=0,"7925",IF(IFERROR(INDEX(Consulta!$A:$DS,MATCH('MM01'!$B50,Consulta!$C:$C,0),'MM01'!EE$2),"")="68","7910","7925"))</f>
        <v>7925</v>
      </c>
      <c r="EF50" s="44">
        <v>100</v>
      </c>
      <c r="EG50" s="62">
        <v>1</v>
      </c>
      <c r="EH50" s="43">
        <f t="shared" si="37"/>
        <v>100</v>
      </c>
      <c r="EI50" s="44">
        <v>1</v>
      </c>
      <c r="EJ50" s="44">
        <v>0</v>
      </c>
      <c r="EK50" s="44" t="s">
        <v>859</v>
      </c>
      <c r="EL50" s="45">
        <v>0</v>
      </c>
      <c r="EM50" s="43">
        <f t="shared" si="38"/>
        <v>5000</v>
      </c>
      <c r="EN50" s="69"/>
    </row>
    <row r="51" spans="1:144" x14ac:dyDescent="0.3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/>
      <c r="BN51" s="46" t="str">
        <f t="shared" ca="1" si="19"/>
        <v/>
      </c>
      <c r="BO51" s="49" t="str">
        <f t="shared" si="20"/>
        <v/>
      </c>
      <c r="BP51" s="50">
        <v>1</v>
      </c>
      <c r="BQ51" s="50" t="s">
        <v>194</v>
      </c>
      <c r="BR51" s="50" t="s">
        <v>194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1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2"/>
        <v/>
      </c>
      <c r="CJ51" s="49" t="str">
        <f t="shared" si="23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4"/>
        <v>K00_P_PURL_</v>
      </c>
      <c r="CV51" s="45">
        <v>5000</v>
      </c>
      <c r="CW51" s="43" t="str">
        <f t="shared" si="39"/>
        <v/>
      </c>
      <c r="CX51" s="43" t="str">
        <f t="shared" si="40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1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45">
        <v>0</v>
      </c>
      <c r="DG51" s="45">
        <v>0</v>
      </c>
      <c r="DH51" s="43" t="str">
        <f t="shared" si="42"/>
        <v/>
      </c>
      <c r="DI51" s="43" t="str">
        <f t="shared" si="25"/>
        <v/>
      </c>
      <c r="DJ51" s="57"/>
      <c r="DK51" s="43" t="str">
        <f t="shared" ca="1" si="26"/>
        <v/>
      </c>
      <c r="DL51" s="43" t="str">
        <f t="shared" si="27"/>
        <v/>
      </c>
      <c r="DM51" s="43" t="str">
        <f t="shared" si="28"/>
        <v/>
      </c>
      <c r="DN51" s="57"/>
      <c r="DO51" s="43" t="str">
        <f t="shared" ca="1" si="29"/>
        <v/>
      </c>
      <c r="DP51" s="43" t="str">
        <f t="shared" si="30"/>
        <v/>
      </c>
      <c r="DQ51" s="43" t="str">
        <f t="shared" si="31"/>
        <v/>
      </c>
      <c r="DR51" s="57"/>
      <c r="DS51" s="43" t="str">
        <f t="shared" ca="1" si="32"/>
        <v/>
      </c>
      <c r="DT51" s="43" t="str">
        <f t="shared" si="33"/>
        <v/>
      </c>
      <c r="DU51" s="43" t="str">
        <f t="shared" si="34"/>
        <v/>
      </c>
      <c r="DV51" s="57"/>
      <c r="DW51" s="43" t="str">
        <f t="shared" ca="1" si="35"/>
        <v/>
      </c>
      <c r="DX51" s="43" t="str">
        <f t="shared" si="36"/>
        <v/>
      </c>
      <c r="DZ51" s="44">
        <v>0</v>
      </c>
      <c r="EA51" s="44" t="s">
        <v>761</v>
      </c>
      <c r="EB51" s="44">
        <v>30</v>
      </c>
      <c r="EC51" s="43">
        <f t="shared" si="43"/>
        <v>0.01</v>
      </c>
      <c r="ED51" s="43" t="str">
        <f t="shared" si="44"/>
        <v>M</v>
      </c>
      <c r="EE51" s="43" t="str">
        <f>IF(IFERROR(INDEX(Consulta!$A:$DS,MATCH('MM01'!$B51,Consulta!$C:$C,0),'MM01'!EE$2),"")=0,"7925",IF(IFERROR(INDEX(Consulta!$A:$DS,MATCH('MM01'!$B51,Consulta!$C:$C,0),'MM01'!EE$2),"")="68","7910","7925"))</f>
        <v>7925</v>
      </c>
      <c r="EF51" s="44">
        <v>100</v>
      </c>
      <c r="EG51" s="62">
        <v>1</v>
      </c>
      <c r="EH51" s="43">
        <f t="shared" si="37"/>
        <v>100</v>
      </c>
      <c r="EI51" s="44">
        <v>1</v>
      </c>
      <c r="EJ51" s="44">
        <v>0</v>
      </c>
      <c r="EK51" s="44" t="s">
        <v>859</v>
      </c>
      <c r="EL51" s="45">
        <v>0</v>
      </c>
      <c r="EM51" s="43">
        <f t="shared" si="38"/>
        <v>5000</v>
      </c>
      <c r="EN51" s="69"/>
    </row>
    <row r="52" spans="1:144" x14ac:dyDescent="0.3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/>
      <c r="BN52" s="46" t="str">
        <f t="shared" ca="1" si="19"/>
        <v/>
      </c>
      <c r="BO52" s="49" t="str">
        <f t="shared" si="20"/>
        <v/>
      </c>
      <c r="BP52" s="50">
        <v>1</v>
      </c>
      <c r="BQ52" s="50" t="s">
        <v>194</v>
      </c>
      <c r="BR52" s="50" t="s">
        <v>194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1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2"/>
        <v/>
      </c>
      <c r="CJ52" s="49" t="str">
        <f t="shared" si="23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4"/>
        <v>K00_P_PURL_</v>
      </c>
      <c r="CV52" s="45">
        <v>5000</v>
      </c>
      <c r="CW52" s="43" t="str">
        <f t="shared" si="39"/>
        <v/>
      </c>
      <c r="CX52" s="43" t="str">
        <f t="shared" si="40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1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45">
        <v>0</v>
      </c>
      <c r="DG52" s="45">
        <v>0</v>
      </c>
      <c r="DH52" s="43" t="str">
        <f t="shared" si="42"/>
        <v/>
      </c>
      <c r="DI52" s="43" t="str">
        <f t="shared" si="25"/>
        <v/>
      </c>
      <c r="DJ52" s="57"/>
      <c r="DK52" s="43" t="str">
        <f t="shared" ca="1" si="26"/>
        <v/>
      </c>
      <c r="DL52" s="43" t="str">
        <f t="shared" si="27"/>
        <v/>
      </c>
      <c r="DM52" s="43" t="str">
        <f t="shared" si="28"/>
        <v/>
      </c>
      <c r="DN52" s="57"/>
      <c r="DO52" s="43" t="str">
        <f t="shared" ca="1" si="29"/>
        <v/>
      </c>
      <c r="DP52" s="43" t="str">
        <f t="shared" si="30"/>
        <v/>
      </c>
      <c r="DQ52" s="43" t="str">
        <f t="shared" si="31"/>
        <v/>
      </c>
      <c r="DR52" s="57"/>
      <c r="DS52" s="43" t="str">
        <f t="shared" ca="1" si="32"/>
        <v/>
      </c>
      <c r="DT52" s="43" t="str">
        <f t="shared" si="33"/>
        <v/>
      </c>
      <c r="DU52" s="43" t="str">
        <f t="shared" si="34"/>
        <v/>
      </c>
      <c r="DV52" s="57"/>
      <c r="DW52" s="43" t="str">
        <f t="shared" ca="1" si="35"/>
        <v/>
      </c>
      <c r="DX52" s="43" t="str">
        <f t="shared" si="36"/>
        <v/>
      </c>
      <c r="DZ52" s="44">
        <v>0</v>
      </c>
      <c r="EA52" s="44" t="s">
        <v>761</v>
      </c>
      <c r="EB52" s="44">
        <v>30</v>
      </c>
      <c r="EC52" s="43">
        <f t="shared" si="43"/>
        <v>0.01</v>
      </c>
      <c r="ED52" s="43" t="str">
        <f t="shared" si="44"/>
        <v>M</v>
      </c>
      <c r="EE52" s="43" t="str">
        <f>IF(IFERROR(INDEX(Consulta!$A:$DS,MATCH('MM01'!$B52,Consulta!$C:$C,0),'MM01'!EE$2),"")=0,"7925",IF(IFERROR(INDEX(Consulta!$A:$DS,MATCH('MM01'!$B52,Consulta!$C:$C,0),'MM01'!EE$2),"")="68","7910","7925"))</f>
        <v>7925</v>
      </c>
      <c r="EF52" s="44">
        <v>100</v>
      </c>
      <c r="EG52" s="62">
        <v>1</v>
      </c>
      <c r="EH52" s="43">
        <f t="shared" si="37"/>
        <v>100</v>
      </c>
      <c r="EI52" s="44">
        <v>1</v>
      </c>
      <c r="EJ52" s="44">
        <v>0</v>
      </c>
      <c r="EK52" s="44" t="s">
        <v>859</v>
      </c>
      <c r="EL52" s="45">
        <v>0</v>
      </c>
      <c r="EM52" s="43">
        <f t="shared" si="38"/>
        <v>5000</v>
      </c>
      <c r="EN52" s="69"/>
    </row>
    <row r="53" spans="1:144" x14ac:dyDescent="0.3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/>
      <c r="BN53" s="46" t="str">
        <f t="shared" ca="1" si="19"/>
        <v/>
      </c>
      <c r="BO53" s="49" t="str">
        <f t="shared" si="20"/>
        <v/>
      </c>
      <c r="BP53" s="50">
        <v>1</v>
      </c>
      <c r="BQ53" s="50" t="s">
        <v>194</v>
      </c>
      <c r="BR53" s="50" t="s">
        <v>194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1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2"/>
        <v/>
      </c>
      <c r="CJ53" s="49" t="str">
        <f t="shared" si="23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4"/>
        <v>K00_P_PURL_</v>
      </c>
      <c r="CV53" s="45">
        <v>5000</v>
      </c>
      <c r="CW53" s="43" t="str">
        <f t="shared" si="39"/>
        <v/>
      </c>
      <c r="CX53" s="43" t="str">
        <f t="shared" si="40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1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45">
        <v>0</v>
      </c>
      <c r="DG53" s="45">
        <v>0</v>
      </c>
      <c r="DH53" s="43" t="str">
        <f t="shared" si="42"/>
        <v/>
      </c>
      <c r="DI53" s="43" t="str">
        <f t="shared" si="25"/>
        <v/>
      </c>
      <c r="DJ53" s="57"/>
      <c r="DK53" s="43" t="str">
        <f t="shared" ca="1" si="26"/>
        <v/>
      </c>
      <c r="DL53" s="43" t="str">
        <f t="shared" si="27"/>
        <v/>
      </c>
      <c r="DM53" s="43" t="str">
        <f t="shared" si="28"/>
        <v/>
      </c>
      <c r="DN53" s="57"/>
      <c r="DO53" s="43" t="str">
        <f t="shared" ca="1" si="29"/>
        <v/>
      </c>
      <c r="DP53" s="43" t="str">
        <f t="shared" si="30"/>
        <v/>
      </c>
      <c r="DQ53" s="43" t="str">
        <f t="shared" si="31"/>
        <v/>
      </c>
      <c r="DR53" s="57"/>
      <c r="DS53" s="43" t="str">
        <f t="shared" ca="1" si="32"/>
        <v/>
      </c>
      <c r="DT53" s="43" t="str">
        <f t="shared" si="33"/>
        <v/>
      </c>
      <c r="DU53" s="43" t="str">
        <f t="shared" si="34"/>
        <v/>
      </c>
      <c r="DV53" s="57"/>
      <c r="DW53" s="43" t="str">
        <f t="shared" ca="1" si="35"/>
        <v/>
      </c>
      <c r="DX53" s="43" t="str">
        <f t="shared" si="36"/>
        <v/>
      </c>
      <c r="DZ53" s="44">
        <v>0</v>
      </c>
      <c r="EA53" s="44" t="s">
        <v>761</v>
      </c>
      <c r="EB53" s="44">
        <v>30</v>
      </c>
      <c r="EC53" s="43">
        <f t="shared" si="43"/>
        <v>0.01</v>
      </c>
      <c r="ED53" s="43" t="str">
        <f t="shared" si="44"/>
        <v>M</v>
      </c>
      <c r="EE53" s="43" t="str">
        <f>IF(IFERROR(INDEX(Consulta!$A:$DS,MATCH('MM01'!$B53,Consulta!$C:$C,0),'MM01'!EE$2),"")=0,"7925",IF(IFERROR(INDEX(Consulta!$A:$DS,MATCH('MM01'!$B53,Consulta!$C:$C,0),'MM01'!EE$2),"")="68","7910","7925"))</f>
        <v>7925</v>
      </c>
      <c r="EF53" s="44">
        <v>100</v>
      </c>
      <c r="EG53" s="62">
        <v>1</v>
      </c>
      <c r="EH53" s="43">
        <f t="shared" si="37"/>
        <v>100</v>
      </c>
      <c r="EI53" s="44">
        <v>1</v>
      </c>
      <c r="EJ53" s="44">
        <v>0</v>
      </c>
      <c r="EK53" s="44" t="s">
        <v>859</v>
      </c>
      <c r="EL53" s="45">
        <v>0</v>
      </c>
      <c r="EM53" s="43">
        <f t="shared" si="38"/>
        <v>5000</v>
      </c>
      <c r="EN53" s="69"/>
    </row>
    <row r="54" spans="1:144" x14ac:dyDescent="0.3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/>
      <c r="BN54" s="46" t="str">
        <f t="shared" ca="1" si="19"/>
        <v/>
      </c>
      <c r="BO54" s="49" t="str">
        <f t="shared" si="20"/>
        <v/>
      </c>
      <c r="BP54" s="50">
        <v>1</v>
      </c>
      <c r="BQ54" s="50" t="s">
        <v>194</v>
      </c>
      <c r="BR54" s="50" t="s">
        <v>194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1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2"/>
        <v/>
      </c>
      <c r="CJ54" s="49" t="str">
        <f t="shared" si="23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4"/>
        <v>K00_P_PURL_</v>
      </c>
      <c r="CV54" s="45">
        <v>5000</v>
      </c>
      <c r="CW54" s="43" t="str">
        <f t="shared" si="39"/>
        <v/>
      </c>
      <c r="CX54" s="43" t="str">
        <f t="shared" si="40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1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45">
        <v>0</v>
      </c>
      <c r="DG54" s="45">
        <v>0</v>
      </c>
      <c r="DH54" s="43" t="str">
        <f t="shared" si="42"/>
        <v/>
      </c>
      <c r="DI54" s="43" t="str">
        <f t="shared" si="25"/>
        <v/>
      </c>
      <c r="DJ54" s="57"/>
      <c r="DK54" s="43" t="str">
        <f t="shared" ca="1" si="26"/>
        <v/>
      </c>
      <c r="DL54" s="43" t="str">
        <f t="shared" si="27"/>
        <v/>
      </c>
      <c r="DM54" s="43" t="str">
        <f t="shared" si="28"/>
        <v/>
      </c>
      <c r="DN54" s="57"/>
      <c r="DO54" s="43" t="str">
        <f t="shared" ca="1" si="29"/>
        <v/>
      </c>
      <c r="DP54" s="43" t="str">
        <f t="shared" si="30"/>
        <v/>
      </c>
      <c r="DQ54" s="43" t="str">
        <f t="shared" si="31"/>
        <v/>
      </c>
      <c r="DR54" s="57"/>
      <c r="DS54" s="43" t="str">
        <f t="shared" ca="1" si="32"/>
        <v/>
      </c>
      <c r="DT54" s="43" t="str">
        <f t="shared" si="33"/>
        <v/>
      </c>
      <c r="DU54" s="43" t="str">
        <f t="shared" si="34"/>
        <v/>
      </c>
      <c r="DV54" s="57"/>
      <c r="DW54" s="43" t="str">
        <f t="shared" ca="1" si="35"/>
        <v/>
      </c>
      <c r="DX54" s="43" t="str">
        <f t="shared" si="36"/>
        <v/>
      </c>
      <c r="DZ54" s="44">
        <v>0</v>
      </c>
      <c r="EA54" s="44" t="s">
        <v>761</v>
      </c>
      <c r="EB54" s="44">
        <v>30</v>
      </c>
      <c r="EC54" s="43">
        <f t="shared" si="43"/>
        <v>0.01</v>
      </c>
      <c r="ED54" s="43" t="str">
        <f t="shared" si="44"/>
        <v>M</v>
      </c>
      <c r="EE54" s="43" t="str">
        <f>IF(IFERROR(INDEX(Consulta!$A:$DS,MATCH('MM01'!$B54,Consulta!$C:$C,0),'MM01'!EE$2),"")=0,"7925",IF(IFERROR(INDEX(Consulta!$A:$DS,MATCH('MM01'!$B54,Consulta!$C:$C,0),'MM01'!EE$2),"")="68","7910","7925"))</f>
        <v>7925</v>
      </c>
      <c r="EF54" s="44">
        <v>100</v>
      </c>
      <c r="EG54" s="62">
        <v>1</v>
      </c>
      <c r="EH54" s="43">
        <f t="shared" si="37"/>
        <v>100</v>
      </c>
      <c r="EI54" s="44">
        <v>1</v>
      </c>
      <c r="EJ54" s="44">
        <v>0</v>
      </c>
      <c r="EK54" s="44" t="s">
        <v>859</v>
      </c>
      <c r="EL54" s="45">
        <v>0</v>
      </c>
      <c r="EM54" s="43">
        <f t="shared" si="38"/>
        <v>5000</v>
      </c>
      <c r="EN54" s="70"/>
    </row>
  </sheetData>
  <sortState ref="B5:B61">
    <sortCondition ref="B5"/>
  </sortState>
  <mergeCells count="6">
    <mergeCell ref="DY1:DY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N1:EN1048576">
    <cfRule type="containsText" dxfId="170" priority="15" operator="containsText" text="criadas">
      <formula>NOT(ISERROR(SEARCH("criadas",EN1)))</formula>
    </cfRule>
    <cfRule type="containsText" dxfId="169" priority="17" operator="containsText" text="é gravado">
      <formula>NOT(ISERROR(SEARCH("é gravado",EN1)))</formula>
    </cfRule>
    <cfRule type="containsText" dxfId="168" priority="18" operator="containsText" text="é modificado">
      <formula>NOT(ISERROR(SEARCH("é modificado",EN1)))</formula>
    </cfRule>
    <cfRule type="containsText" dxfId="167" priority="19" operator="containsText" text="Error">
      <formula>NOT(ISERROR(SEARCH("Error",EN1)))</formula>
    </cfRule>
    <cfRule type="containsText" dxfId="166" priority="20" operator="containsText" text="é criado">
      <formula>NOT(ISERROR(SEARCH("é criado",EN1)))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E5:EE54">
    <cfRule type="beginsWith" dxfId="164" priority="13" operator="beginsWith" text="L">
      <formula>LEFT(EE5,LEN("L"))="L"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G5:EG54 EL5:EL54 DZ5:DZ54">
      <formula1>"1,0"</formula1>
    </dataValidation>
    <dataValidation type="list" allowBlank="1" showInputMessage="1" showErrorMessage="1" sqref="DN5:DN54 DV5:DV54 DJ5:DJ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DR5:DR54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17.5703125" style="6" bestFit="1" customWidth="1"/>
    <col min="4" max="4" width="17.28515625" style="6" bestFit="1" customWidth="1"/>
    <col min="5" max="5" width="75.7109375" style="1" customWidth="1"/>
    <col min="6" max="6" width="22" style="1" bestFit="1" customWidth="1"/>
    <col min="7" max="16384" width="9.140625" style="1"/>
  </cols>
  <sheetData>
    <row r="1" spans="1:5" s="37" customFormat="1" x14ac:dyDescent="0.3">
      <c r="A1" s="7" t="s">
        <v>28</v>
      </c>
      <c r="E1" s="63"/>
    </row>
    <row r="2" spans="1:5" s="41" customFormat="1" x14ac:dyDescent="0.3">
      <c r="A2" s="7"/>
      <c r="B2" s="40"/>
      <c r="C2" s="37"/>
      <c r="D2" s="37"/>
    </row>
    <row r="3" spans="1:5" s="37" customFormat="1" ht="15" customHeight="1" x14ac:dyDescent="0.3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3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16.140625" style="6" bestFit="1" customWidth="1"/>
    <col min="4" max="4" width="100.7109375" style="1" customWidth="1"/>
    <col min="5" max="5" width="22" style="1" bestFit="1" customWidth="1"/>
    <col min="6" max="16384" width="9.140625" style="1"/>
  </cols>
  <sheetData>
    <row r="1" spans="1:4" s="37" customFormat="1" x14ac:dyDescent="0.3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3">
      <c r="A2" s="7"/>
      <c r="B2" s="78" t="s">
        <v>9</v>
      </c>
      <c r="C2" s="37"/>
    </row>
    <row r="3" spans="1:4" s="37" customFormat="1" ht="15" customHeight="1" x14ac:dyDescent="0.3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3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9" sqref="B9"/>
    </sheetView>
  </sheetViews>
  <sheetFormatPr defaultRowHeight="12.75" x14ac:dyDescent="0.3"/>
  <cols>
    <col min="1" max="1" width="11.7109375" style="7" bestFit="1" customWidth="1"/>
    <col min="2" max="2" width="18.5703125" style="6" customWidth="1"/>
    <col min="3" max="3" width="18.140625" style="6" bestFit="1" customWidth="1"/>
    <col min="4" max="4" width="75.7109375" style="1" customWidth="1"/>
    <col min="5" max="5" width="22" style="1" bestFit="1" customWidth="1"/>
    <col min="6" max="16384" width="9.140625" style="1"/>
  </cols>
  <sheetData>
    <row r="1" spans="1:4" s="37" customFormat="1" x14ac:dyDescent="0.3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3">
      <c r="A2" s="7"/>
      <c r="B2" s="78" t="s">
        <v>9</v>
      </c>
      <c r="C2" s="37"/>
    </row>
    <row r="3" spans="1:4" s="37" customFormat="1" ht="15" customHeight="1" x14ac:dyDescent="0.3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3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17.5703125" style="6" bestFit="1" customWidth="1"/>
    <col min="4" max="4" width="85.7109375" style="1" customWidth="1"/>
    <col min="5" max="5" width="22" style="1" bestFit="1" customWidth="1"/>
    <col min="6" max="16384" width="9.140625" style="1"/>
  </cols>
  <sheetData>
    <row r="1" spans="1:4" s="51" customFormat="1" x14ac:dyDescent="0.3">
      <c r="A1" s="7" t="s">
        <v>28</v>
      </c>
      <c r="D1" s="64"/>
    </row>
    <row r="2" spans="1:4" s="41" customFormat="1" x14ac:dyDescent="0.3">
      <c r="A2" s="7"/>
      <c r="B2" s="40"/>
      <c r="C2" s="51"/>
    </row>
    <row r="3" spans="1:4" s="51" customFormat="1" ht="15" customHeight="1" x14ac:dyDescent="0.3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3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customWidth="1"/>
    <col min="3" max="3" width="18.140625" style="6" bestFit="1" customWidth="1"/>
    <col min="4" max="4" width="30.140625" style="6" bestFit="1" customWidth="1"/>
    <col min="5" max="6" width="30.5703125" style="6" bestFit="1" customWidth="1"/>
    <col min="7" max="7" width="29.28515625" style="6" bestFit="1" customWidth="1"/>
    <col min="8" max="8" width="29.85546875" style="6" bestFit="1" customWidth="1"/>
    <col min="9" max="9" width="30" style="6" bestFit="1" customWidth="1"/>
    <col min="10" max="10" width="75.7109375" style="1" customWidth="1"/>
    <col min="11" max="11" width="22" style="1" bestFit="1" customWidth="1"/>
    <col min="12" max="16384" width="9.140625" style="1"/>
  </cols>
  <sheetData>
    <row r="1" spans="1:10" s="73" customFormat="1" x14ac:dyDescent="0.3">
      <c r="A1" s="7" t="s">
        <v>28</v>
      </c>
    </row>
    <row r="2" spans="1:10" s="41" customFormat="1" x14ac:dyDescent="0.3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3">
      <c r="A3" s="7" t="s">
        <v>29</v>
      </c>
      <c r="B3" s="4" t="s">
        <v>964</v>
      </c>
      <c r="C3" s="74" t="s">
        <v>958</v>
      </c>
      <c r="D3" s="74" t="s">
        <v>973</v>
      </c>
      <c r="E3" s="74" t="s">
        <v>965</v>
      </c>
      <c r="F3" s="74" t="s">
        <v>968</v>
      </c>
      <c r="G3" s="74" t="s">
        <v>969</v>
      </c>
      <c r="H3" s="74" t="s">
        <v>971</v>
      </c>
      <c r="I3" s="74" t="s">
        <v>975</v>
      </c>
      <c r="J3" s="73" t="s">
        <v>32</v>
      </c>
    </row>
    <row r="4" spans="1:10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974</v>
      </c>
      <c r="E4" s="14" t="s">
        <v>967</v>
      </c>
      <c r="F4" s="14" t="s">
        <v>966</v>
      </c>
      <c r="G4" s="14" t="s">
        <v>970</v>
      </c>
      <c r="H4" s="14" t="s">
        <v>972</v>
      </c>
      <c r="I4" s="14" t="s">
        <v>976</v>
      </c>
      <c r="J4" s="5" t="s">
        <v>940</v>
      </c>
    </row>
    <row r="5" spans="1:10" x14ac:dyDescent="0.3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11.02.2022</v>
      </c>
      <c r="F5" s="77" t="s">
        <v>977</v>
      </c>
      <c r="G5" s="76">
        <v>1</v>
      </c>
      <c r="H5" s="76">
        <v>1</v>
      </c>
      <c r="I5" s="62" t="s">
        <v>532</v>
      </c>
      <c r="J5" s="68"/>
    </row>
    <row r="6" spans="1:10" x14ac:dyDescent="0.3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11.02.2022</v>
      </c>
      <c r="F6" s="77" t="s">
        <v>977</v>
      </c>
      <c r="G6" s="76">
        <v>1</v>
      </c>
      <c r="H6" s="76">
        <v>1</v>
      </c>
      <c r="I6" s="62" t="s">
        <v>532</v>
      </c>
      <c r="J6" s="69"/>
    </row>
    <row r="7" spans="1:10" x14ac:dyDescent="0.3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11.02.2022</v>
      </c>
      <c r="F7" s="77" t="s">
        <v>977</v>
      </c>
      <c r="G7" s="76">
        <v>1</v>
      </c>
      <c r="H7" s="76">
        <v>1</v>
      </c>
      <c r="I7" s="62" t="s">
        <v>532</v>
      </c>
      <c r="J7" s="69"/>
    </row>
    <row r="8" spans="1:10" x14ac:dyDescent="0.3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11.02.2022</v>
      </c>
      <c r="F8" s="77" t="s">
        <v>977</v>
      </c>
      <c r="G8" s="76">
        <v>1</v>
      </c>
      <c r="H8" s="76">
        <v>1</v>
      </c>
      <c r="I8" s="62" t="s">
        <v>532</v>
      </c>
      <c r="J8" s="69"/>
    </row>
    <row r="9" spans="1:10" x14ac:dyDescent="0.3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11.02.2022</v>
      </c>
      <c r="F9" s="77" t="s">
        <v>977</v>
      </c>
      <c r="G9" s="76">
        <v>1</v>
      </c>
      <c r="H9" s="76">
        <v>1</v>
      </c>
      <c r="I9" s="62" t="s">
        <v>532</v>
      </c>
      <c r="J9" s="69"/>
    </row>
    <row r="10" spans="1:10" x14ac:dyDescent="0.3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11.02.2022</v>
      </c>
      <c r="F10" s="77" t="s">
        <v>977</v>
      </c>
      <c r="G10" s="76">
        <v>1</v>
      </c>
      <c r="H10" s="76">
        <v>1</v>
      </c>
      <c r="I10" s="62" t="s">
        <v>532</v>
      </c>
      <c r="J10" s="69"/>
    </row>
    <row r="11" spans="1:10" x14ac:dyDescent="0.3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11.02.2022</v>
      </c>
      <c r="F11" s="77" t="s">
        <v>977</v>
      </c>
      <c r="G11" s="76">
        <v>1</v>
      </c>
      <c r="H11" s="76">
        <v>1</v>
      </c>
      <c r="I11" s="62" t="s">
        <v>532</v>
      </c>
      <c r="J11" s="69"/>
    </row>
    <row r="12" spans="1:10" x14ac:dyDescent="0.3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11.02.2022</v>
      </c>
      <c r="F12" s="77" t="s">
        <v>977</v>
      </c>
      <c r="G12" s="76">
        <v>1</v>
      </c>
      <c r="H12" s="76">
        <v>1</v>
      </c>
      <c r="I12" s="62" t="s">
        <v>532</v>
      </c>
      <c r="J12" s="69"/>
    </row>
    <row r="13" spans="1:10" x14ac:dyDescent="0.3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11.02.2022</v>
      </c>
      <c r="F13" s="77" t="s">
        <v>977</v>
      </c>
      <c r="G13" s="76">
        <v>1</v>
      </c>
      <c r="H13" s="76">
        <v>1</v>
      </c>
      <c r="I13" s="62" t="s">
        <v>532</v>
      </c>
      <c r="J13" s="69"/>
    </row>
    <row r="14" spans="1:10" x14ac:dyDescent="0.3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11.02.2022</v>
      </c>
      <c r="F14" s="77" t="s">
        <v>977</v>
      </c>
      <c r="G14" s="76">
        <v>1</v>
      </c>
      <c r="H14" s="76">
        <v>1</v>
      </c>
      <c r="I14" s="62" t="s">
        <v>532</v>
      </c>
      <c r="J14" s="69"/>
    </row>
    <row r="15" spans="1:10" x14ac:dyDescent="0.3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11.02.2022</v>
      </c>
      <c r="F15" s="77" t="s">
        <v>977</v>
      </c>
      <c r="G15" s="76">
        <v>1</v>
      </c>
      <c r="H15" s="76">
        <v>1</v>
      </c>
      <c r="I15" s="62" t="s">
        <v>532</v>
      </c>
      <c r="J15" s="69"/>
    </row>
    <row r="16" spans="1:10" x14ac:dyDescent="0.3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11.02.2022</v>
      </c>
      <c r="F16" s="77" t="s">
        <v>977</v>
      </c>
      <c r="G16" s="76">
        <v>1</v>
      </c>
      <c r="H16" s="76">
        <v>1</v>
      </c>
      <c r="I16" s="62" t="s">
        <v>532</v>
      </c>
      <c r="J16" s="69"/>
    </row>
    <row r="17" spans="1:10" x14ac:dyDescent="0.3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11.02.2022</v>
      </c>
      <c r="F17" s="77" t="s">
        <v>977</v>
      </c>
      <c r="G17" s="76">
        <v>1</v>
      </c>
      <c r="H17" s="76">
        <v>1</v>
      </c>
      <c r="I17" s="62" t="s">
        <v>532</v>
      </c>
      <c r="J17" s="69"/>
    </row>
    <row r="18" spans="1:10" x14ac:dyDescent="0.3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11.02.2022</v>
      </c>
      <c r="F18" s="77" t="s">
        <v>977</v>
      </c>
      <c r="G18" s="76">
        <v>1</v>
      </c>
      <c r="H18" s="76">
        <v>1</v>
      </c>
      <c r="I18" s="62" t="s">
        <v>532</v>
      </c>
      <c r="J18" s="69"/>
    </row>
    <row r="19" spans="1:10" x14ac:dyDescent="0.3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11.02.2022</v>
      </c>
      <c r="F19" s="77" t="s">
        <v>977</v>
      </c>
      <c r="G19" s="76">
        <v>1</v>
      </c>
      <c r="H19" s="76">
        <v>1</v>
      </c>
      <c r="I19" s="62" t="s">
        <v>532</v>
      </c>
      <c r="J19" s="69"/>
    </row>
    <row r="20" spans="1:10" x14ac:dyDescent="0.3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11.02.2022</v>
      </c>
      <c r="F20" s="77" t="s">
        <v>977</v>
      </c>
      <c r="G20" s="76">
        <v>1</v>
      </c>
      <c r="H20" s="76">
        <v>1</v>
      </c>
      <c r="I20" s="62" t="s">
        <v>532</v>
      </c>
      <c r="J20" s="69"/>
    </row>
    <row r="21" spans="1:10" x14ac:dyDescent="0.3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11.02.2022</v>
      </c>
      <c r="F21" s="77" t="s">
        <v>977</v>
      </c>
      <c r="G21" s="76">
        <v>1</v>
      </c>
      <c r="H21" s="76">
        <v>1</v>
      </c>
      <c r="I21" s="62" t="s">
        <v>532</v>
      </c>
      <c r="J21" s="69"/>
    </row>
    <row r="22" spans="1:10" x14ac:dyDescent="0.3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11.02.2022</v>
      </c>
      <c r="F22" s="77" t="s">
        <v>977</v>
      </c>
      <c r="G22" s="76">
        <v>1</v>
      </c>
      <c r="H22" s="76">
        <v>1</v>
      </c>
      <c r="I22" s="62" t="s">
        <v>532</v>
      </c>
      <c r="J22" s="69"/>
    </row>
    <row r="23" spans="1:10" x14ac:dyDescent="0.3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11.02.2022</v>
      </c>
      <c r="F23" s="77" t="s">
        <v>977</v>
      </c>
      <c r="G23" s="76">
        <v>1</v>
      </c>
      <c r="H23" s="76">
        <v>1</v>
      </c>
      <c r="I23" s="62" t="s">
        <v>532</v>
      </c>
      <c r="J23" s="69"/>
    </row>
    <row r="24" spans="1:10" x14ac:dyDescent="0.3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11.02.2022</v>
      </c>
      <c r="F24" s="77" t="s">
        <v>977</v>
      </c>
      <c r="G24" s="76">
        <v>1</v>
      </c>
      <c r="H24" s="76">
        <v>1</v>
      </c>
      <c r="I24" s="62" t="s">
        <v>532</v>
      </c>
      <c r="J24" s="69"/>
    </row>
    <row r="25" spans="1:10" x14ac:dyDescent="0.3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11.02.2022</v>
      </c>
      <c r="F25" s="77" t="s">
        <v>977</v>
      </c>
      <c r="G25" s="76">
        <v>1</v>
      </c>
      <c r="H25" s="76">
        <v>1</v>
      </c>
      <c r="I25" s="62" t="s">
        <v>532</v>
      </c>
      <c r="J25" s="69"/>
    </row>
    <row r="26" spans="1:10" x14ac:dyDescent="0.3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11.02.2022</v>
      </c>
      <c r="F26" s="77" t="s">
        <v>977</v>
      </c>
      <c r="G26" s="76">
        <v>1</v>
      </c>
      <c r="H26" s="76">
        <v>1</v>
      </c>
      <c r="I26" s="62" t="s">
        <v>532</v>
      </c>
      <c r="J26" s="69"/>
    </row>
    <row r="27" spans="1:10" x14ac:dyDescent="0.3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11.02.2022</v>
      </c>
      <c r="F27" s="77" t="s">
        <v>977</v>
      </c>
      <c r="G27" s="76">
        <v>1</v>
      </c>
      <c r="H27" s="76">
        <v>1</v>
      </c>
      <c r="I27" s="62" t="s">
        <v>532</v>
      </c>
      <c r="J27" s="69"/>
    </row>
    <row r="28" spans="1:10" x14ac:dyDescent="0.3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11.02.2022</v>
      </c>
      <c r="F28" s="77" t="s">
        <v>977</v>
      </c>
      <c r="G28" s="76">
        <v>1</v>
      </c>
      <c r="H28" s="76">
        <v>1</v>
      </c>
      <c r="I28" s="62" t="s">
        <v>532</v>
      </c>
      <c r="J28" s="69"/>
    </row>
    <row r="29" spans="1:10" x14ac:dyDescent="0.3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11.02.2022</v>
      </c>
      <c r="F29" s="77" t="s">
        <v>977</v>
      </c>
      <c r="G29" s="76">
        <v>1</v>
      </c>
      <c r="H29" s="76">
        <v>1</v>
      </c>
      <c r="I29" s="62" t="s">
        <v>532</v>
      </c>
      <c r="J29" s="69"/>
    </row>
    <row r="30" spans="1:10" x14ac:dyDescent="0.3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11.02.2022</v>
      </c>
      <c r="F30" s="77" t="s">
        <v>977</v>
      </c>
      <c r="G30" s="76">
        <v>1</v>
      </c>
      <c r="H30" s="76">
        <v>1</v>
      </c>
      <c r="I30" s="62" t="s">
        <v>532</v>
      </c>
      <c r="J30" s="69"/>
    </row>
    <row r="31" spans="1:10" x14ac:dyDescent="0.3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11.02.2022</v>
      </c>
      <c r="F31" s="77" t="s">
        <v>977</v>
      </c>
      <c r="G31" s="76">
        <v>1</v>
      </c>
      <c r="H31" s="76">
        <v>1</v>
      </c>
      <c r="I31" s="62" t="s">
        <v>532</v>
      </c>
      <c r="J31" s="69"/>
    </row>
    <row r="32" spans="1:10" x14ac:dyDescent="0.3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11.02.2022</v>
      </c>
      <c r="F32" s="77" t="s">
        <v>977</v>
      </c>
      <c r="G32" s="76">
        <v>1</v>
      </c>
      <c r="H32" s="76">
        <v>1</v>
      </c>
      <c r="I32" s="62" t="s">
        <v>532</v>
      </c>
      <c r="J32" s="69"/>
    </row>
    <row r="33" spans="1:10" x14ac:dyDescent="0.3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11.02.2022</v>
      </c>
      <c r="F33" s="77" t="s">
        <v>977</v>
      </c>
      <c r="G33" s="76">
        <v>1</v>
      </c>
      <c r="H33" s="76">
        <v>1</v>
      </c>
      <c r="I33" s="62" t="s">
        <v>532</v>
      </c>
      <c r="J33" s="69"/>
    </row>
    <row r="34" spans="1:10" x14ac:dyDescent="0.3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11.02.2022</v>
      </c>
      <c r="F34" s="77" t="s">
        <v>977</v>
      </c>
      <c r="G34" s="76">
        <v>1</v>
      </c>
      <c r="H34" s="76">
        <v>1</v>
      </c>
      <c r="I34" s="62" t="s">
        <v>532</v>
      </c>
      <c r="J34" s="69"/>
    </row>
    <row r="35" spans="1:10" x14ac:dyDescent="0.3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11.02.2022</v>
      </c>
      <c r="F35" s="77" t="s">
        <v>977</v>
      </c>
      <c r="G35" s="76">
        <v>1</v>
      </c>
      <c r="H35" s="76">
        <v>1</v>
      </c>
      <c r="I35" s="62" t="s">
        <v>532</v>
      </c>
      <c r="J35" s="69"/>
    </row>
    <row r="36" spans="1:10" x14ac:dyDescent="0.3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11.02.2022</v>
      </c>
      <c r="F36" s="77" t="s">
        <v>977</v>
      </c>
      <c r="G36" s="76">
        <v>1</v>
      </c>
      <c r="H36" s="76">
        <v>1</v>
      </c>
      <c r="I36" s="62" t="s">
        <v>532</v>
      </c>
      <c r="J36" s="69"/>
    </row>
    <row r="37" spans="1:10" x14ac:dyDescent="0.3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11.02.2022</v>
      </c>
      <c r="F37" s="77" t="s">
        <v>977</v>
      </c>
      <c r="G37" s="76">
        <v>1</v>
      </c>
      <c r="H37" s="76">
        <v>1</v>
      </c>
      <c r="I37" s="62" t="s">
        <v>532</v>
      </c>
      <c r="J37" s="69"/>
    </row>
    <row r="38" spans="1:10" x14ac:dyDescent="0.3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11.02.2022</v>
      </c>
      <c r="F38" s="77" t="s">
        <v>977</v>
      </c>
      <c r="G38" s="76">
        <v>1</v>
      </c>
      <c r="H38" s="76">
        <v>1</v>
      </c>
      <c r="I38" s="62" t="s">
        <v>532</v>
      </c>
      <c r="J38" s="69"/>
    </row>
    <row r="39" spans="1:10" x14ac:dyDescent="0.3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11.02.2022</v>
      </c>
      <c r="F39" s="77" t="s">
        <v>977</v>
      </c>
      <c r="G39" s="76">
        <v>1</v>
      </c>
      <c r="H39" s="76">
        <v>1</v>
      </c>
      <c r="I39" s="62" t="s">
        <v>532</v>
      </c>
      <c r="J39" s="69"/>
    </row>
    <row r="40" spans="1:10" x14ac:dyDescent="0.3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11.02.2022</v>
      </c>
      <c r="F40" s="77" t="s">
        <v>977</v>
      </c>
      <c r="G40" s="76">
        <v>1</v>
      </c>
      <c r="H40" s="76">
        <v>1</v>
      </c>
      <c r="I40" s="62" t="s">
        <v>532</v>
      </c>
      <c r="J40" s="69"/>
    </row>
    <row r="41" spans="1:10" x14ac:dyDescent="0.3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11.02.2022</v>
      </c>
      <c r="F41" s="77" t="s">
        <v>977</v>
      </c>
      <c r="G41" s="76">
        <v>1</v>
      </c>
      <c r="H41" s="76">
        <v>1</v>
      </c>
      <c r="I41" s="62" t="s">
        <v>532</v>
      </c>
      <c r="J41" s="69"/>
    </row>
    <row r="42" spans="1:10" x14ac:dyDescent="0.3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11.02.2022</v>
      </c>
      <c r="F42" s="77" t="s">
        <v>977</v>
      </c>
      <c r="G42" s="76">
        <v>1</v>
      </c>
      <c r="H42" s="76">
        <v>1</v>
      </c>
      <c r="I42" s="62" t="s">
        <v>532</v>
      </c>
      <c r="J42" s="69"/>
    </row>
    <row r="43" spans="1:10" x14ac:dyDescent="0.3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11.02.2022</v>
      </c>
      <c r="F43" s="77" t="s">
        <v>977</v>
      </c>
      <c r="G43" s="76">
        <v>1</v>
      </c>
      <c r="H43" s="76">
        <v>1</v>
      </c>
      <c r="I43" s="62" t="s">
        <v>532</v>
      </c>
      <c r="J43" s="69"/>
    </row>
    <row r="44" spans="1:10" x14ac:dyDescent="0.3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11.02.2022</v>
      </c>
      <c r="F44" s="77" t="s">
        <v>977</v>
      </c>
      <c r="G44" s="76">
        <v>1</v>
      </c>
      <c r="H44" s="76">
        <v>1</v>
      </c>
      <c r="I44" s="62" t="s">
        <v>532</v>
      </c>
      <c r="J44" s="69"/>
    </row>
    <row r="45" spans="1:10" x14ac:dyDescent="0.3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11.02.2022</v>
      </c>
      <c r="F45" s="77" t="s">
        <v>977</v>
      </c>
      <c r="G45" s="76">
        <v>1</v>
      </c>
      <c r="H45" s="76">
        <v>1</v>
      </c>
      <c r="I45" s="62" t="s">
        <v>532</v>
      </c>
      <c r="J45" s="69"/>
    </row>
    <row r="46" spans="1:10" x14ac:dyDescent="0.3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11.02.2022</v>
      </c>
      <c r="F46" s="77" t="s">
        <v>977</v>
      </c>
      <c r="G46" s="76">
        <v>1</v>
      </c>
      <c r="H46" s="76">
        <v>1</v>
      </c>
      <c r="I46" s="62" t="s">
        <v>532</v>
      </c>
      <c r="J46" s="69"/>
    </row>
    <row r="47" spans="1:10" x14ac:dyDescent="0.3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11.02.2022</v>
      </c>
      <c r="F47" s="77" t="s">
        <v>977</v>
      </c>
      <c r="G47" s="76">
        <v>1</v>
      </c>
      <c r="H47" s="76">
        <v>1</v>
      </c>
      <c r="I47" s="62" t="s">
        <v>532</v>
      </c>
      <c r="J47" s="69"/>
    </row>
    <row r="48" spans="1:10" x14ac:dyDescent="0.3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11.02.2022</v>
      </c>
      <c r="F48" s="77" t="s">
        <v>977</v>
      </c>
      <c r="G48" s="76">
        <v>1</v>
      </c>
      <c r="H48" s="76">
        <v>1</v>
      </c>
      <c r="I48" s="62" t="s">
        <v>532</v>
      </c>
      <c r="J48" s="69"/>
    </row>
    <row r="49" spans="1:10" x14ac:dyDescent="0.3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11.02.2022</v>
      </c>
      <c r="F49" s="77" t="s">
        <v>977</v>
      </c>
      <c r="G49" s="76">
        <v>1</v>
      </c>
      <c r="H49" s="76">
        <v>1</v>
      </c>
      <c r="I49" s="62" t="s">
        <v>532</v>
      </c>
      <c r="J49" s="69"/>
    </row>
    <row r="50" spans="1:10" x14ac:dyDescent="0.3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11.02.2022</v>
      </c>
      <c r="F50" s="77" t="s">
        <v>977</v>
      </c>
      <c r="G50" s="76">
        <v>1</v>
      </c>
      <c r="H50" s="76">
        <v>1</v>
      </c>
      <c r="I50" s="62" t="s">
        <v>532</v>
      </c>
      <c r="J50" s="69"/>
    </row>
    <row r="51" spans="1:10" x14ac:dyDescent="0.3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11.02.2022</v>
      </c>
      <c r="F51" s="77" t="s">
        <v>977</v>
      </c>
      <c r="G51" s="76">
        <v>1</v>
      </c>
      <c r="H51" s="76">
        <v>1</v>
      </c>
      <c r="I51" s="62" t="s">
        <v>532</v>
      </c>
      <c r="J51" s="69"/>
    </row>
    <row r="52" spans="1:10" x14ac:dyDescent="0.3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11.02.2022</v>
      </c>
      <c r="F52" s="77" t="s">
        <v>977</v>
      </c>
      <c r="G52" s="76">
        <v>1</v>
      </c>
      <c r="H52" s="76">
        <v>1</v>
      </c>
      <c r="I52" s="62" t="s">
        <v>532</v>
      </c>
      <c r="J52" s="69"/>
    </row>
    <row r="53" spans="1:10" x14ac:dyDescent="0.3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11.02.2022</v>
      </c>
      <c r="F53" s="77" t="s">
        <v>977</v>
      </c>
      <c r="G53" s="76">
        <v>1</v>
      </c>
      <c r="H53" s="76">
        <v>1</v>
      </c>
      <c r="I53" s="62" t="s">
        <v>532</v>
      </c>
      <c r="J53" s="69"/>
    </row>
    <row r="54" spans="1:10" x14ac:dyDescent="0.3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11.02.2022</v>
      </c>
      <c r="F54" s="77" t="s">
        <v>977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3">
      <c r="A1" s="81" t="s">
        <v>28</v>
      </c>
    </row>
    <row r="2" spans="1:9" s="84" customFormat="1" x14ac:dyDescent="0.3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3">
      <c r="A3" s="81" t="s">
        <v>29</v>
      </c>
      <c r="B3" s="85" t="s">
        <v>1076</v>
      </c>
      <c r="C3" s="86" t="s">
        <v>1077</v>
      </c>
      <c r="D3" s="86" t="s">
        <v>1078</v>
      </c>
      <c r="E3" s="86" t="s">
        <v>1079</v>
      </c>
      <c r="F3" s="86" t="s">
        <v>1080</v>
      </c>
      <c r="G3" s="86" t="s">
        <v>1081</v>
      </c>
      <c r="H3" s="86" t="s">
        <v>1082</v>
      </c>
      <c r="I3" s="82" t="s">
        <v>32</v>
      </c>
    </row>
    <row r="4" spans="1:9" s="90" customFormat="1" ht="15" customHeight="1" x14ac:dyDescent="0.3">
      <c r="A4" s="87" t="s">
        <v>30</v>
      </c>
      <c r="B4" s="88" t="s">
        <v>95</v>
      </c>
      <c r="C4" s="89" t="s">
        <v>93</v>
      </c>
      <c r="D4" s="89" t="s">
        <v>1083</v>
      </c>
      <c r="E4" s="89" t="s">
        <v>1084</v>
      </c>
      <c r="F4" s="89" t="s">
        <v>1085</v>
      </c>
      <c r="G4" s="89" t="s">
        <v>1086</v>
      </c>
      <c r="H4" s="89" t="s">
        <v>1087</v>
      </c>
      <c r="I4" s="90" t="s">
        <v>940</v>
      </c>
    </row>
    <row r="5" spans="1:9" x14ac:dyDescent="0.3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3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3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3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3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3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3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3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3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3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3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3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3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3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3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3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3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3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3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3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3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3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3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3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3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3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6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2.5703125" customWidth="1"/>
    <col min="4" max="4" width="40.5703125" customWidth="1"/>
    <col min="5" max="5" width="13.85546875" customWidth="1"/>
    <col min="6" max="6" width="20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8.7109375" customWidth="1"/>
    <col min="11" max="11" width="13.7109375" customWidth="1"/>
    <col min="12" max="13" width="13.7109375" bestFit="1" customWidth="1"/>
    <col min="14" max="15" width="13.710937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10.42578125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bestFit="1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8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6.710937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45" x14ac:dyDescent="0.3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978</v>
      </c>
      <c r="BS1" s="38" t="s">
        <v>979</v>
      </c>
      <c r="BT1" s="38" t="s">
        <v>980</v>
      </c>
      <c r="BU1" s="38" t="s">
        <v>981</v>
      </c>
      <c r="BV1" s="38" t="s">
        <v>982</v>
      </c>
      <c r="BW1" s="38" t="s">
        <v>983</v>
      </c>
      <c r="BX1" s="38" t="s">
        <v>984</v>
      </c>
      <c r="BY1" s="38" t="s">
        <v>985</v>
      </c>
      <c r="BZ1" s="38" t="s">
        <v>986</v>
      </c>
      <c r="CA1" s="38" t="s">
        <v>987</v>
      </c>
      <c r="CB1" s="38" t="s">
        <v>988</v>
      </c>
      <c r="CC1" s="38" t="s">
        <v>990</v>
      </c>
      <c r="CD1" s="38" t="s">
        <v>991</v>
      </c>
      <c r="CE1" s="38" t="s">
        <v>992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3">
      <c r="A2" s="38"/>
      <c r="B2" s="38" t="s">
        <v>993</v>
      </c>
      <c r="C2" s="38" t="s">
        <v>1016</v>
      </c>
      <c r="D2" s="38" t="s">
        <v>994</v>
      </c>
      <c r="E2" s="38" t="s">
        <v>995</v>
      </c>
      <c r="F2" s="38" t="s">
        <v>996</v>
      </c>
      <c r="G2" s="38" t="s">
        <v>9</v>
      </c>
      <c r="H2" s="38"/>
      <c r="I2" s="38">
        <v>4.5019999999999998</v>
      </c>
      <c r="J2" s="38" t="s">
        <v>997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998</v>
      </c>
      <c r="Q2" s="38" t="s">
        <v>867</v>
      </c>
      <c r="R2" s="38">
        <v>232</v>
      </c>
      <c r="S2" s="38" t="s">
        <v>997</v>
      </c>
      <c r="T2" s="38"/>
      <c r="U2" s="38" t="s">
        <v>999</v>
      </c>
      <c r="V2" s="38">
        <v>40</v>
      </c>
      <c r="W2" s="38"/>
      <c r="X2" s="38"/>
      <c r="Y2" s="38"/>
      <c r="Z2" s="38"/>
      <c r="AA2" s="38" t="s">
        <v>1017</v>
      </c>
      <c r="AB2" s="38" t="s">
        <v>997</v>
      </c>
      <c r="AC2" s="38" t="s">
        <v>1000</v>
      </c>
      <c r="AD2" s="38" t="s">
        <v>1000</v>
      </c>
      <c r="AE2" s="38" t="s">
        <v>997</v>
      </c>
      <c r="AF2" s="38"/>
      <c r="AG2" s="38" t="s">
        <v>1018</v>
      </c>
      <c r="AH2" s="38">
        <v>1.55</v>
      </c>
      <c r="AI2" s="38" t="s">
        <v>1001</v>
      </c>
      <c r="AJ2" s="38"/>
      <c r="AK2" s="38" t="s">
        <v>1002</v>
      </c>
      <c r="AL2" s="38" t="s">
        <v>1003</v>
      </c>
      <c r="AM2" s="38" t="s">
        <v>738</v>
      </c>
      <c r="AN2" s="38" t="s">
        <v>1004</v>
      </c>
      <c r="AO2" s="38">
        <v>800</v>
      </c>
      <c r="AP2" s="38" t="s">
        <v>738</v>
      </c>
      <c r="AQ2" s="38" t="s">
        <v>1005</v>
      </c>
      <c r="AR2" s="38" t="s">
        <v>1005</v>
      </c>
      <c r="AS2" s="38">
        <v>0.5</v>
      </c>
      <c r="AT2" s="38">
        <v>370</v>
      </c>
      <c r="AU2" s="38" t="s">
        <v>1006</v>
      </c>
      <c r="AV2" s="38" t="s">
        <v>1007</v>
      </c>
      <c r="AW2" s="38" t="s">
        <v>1008</v>
      </c>
      <c r="AX2" s="38" t="s">
        <v>1009</v>
      </c>
      <c r="AY2" s="38" t="s">
        <v>1010</v>
      </c>
      <c r="AZ2" s="38"/>
      <c r="BA2" s="38"/>
      <c r="BB2" s="67"/>
      <c r="BC2" s="38" t="s">
        <v>9</v>
      </c>
      <c r="BD2" s="67" t="s">
        <v>1011</v>
      </c>
      <c r="BE2" s="38" t="s">
        <v>18</v>
      </c>
      <c r="BF2" s="67" t="s">
        <v>1012</v>
      </c>
      <c r="BG2" s="38" t="s">
        <v>6</v>
      </c>
      <c r="BH2" s="38" t="s">
        <v>1013</v>
      </c>
      <c r="BI2" s="38"/>
      <c r="BJ2" s="38" t="s">
        <v>1014</v>
      </c>
      <c r="BK2" s="38"/>
      <c r="BL2" s="38" t="s">
        <v>859</v>
      </c>
      <c r="BM2" s="38"/>
      <c r="BN2" s="38" t="s">
        <v>580</v>
      </c>
      <c r="BO2" s="38" t="s">
        <v>532</v>
      </c>
      <c r="BP2" s="38" t="s">
        <v>532</v>
      </c>
      <c r="BQ2" s="38"/>
      <c r="BR2" s="38" t="s">
        <v>1015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3">
      <c r="A3" s="38"/>
      <c r="B3" s="38" t="s">
        <v>1019</v>
      </c>
      <c r="C3" s="38" t="s">
        <v>1017</v>
      </c>
      <c r="D3" s="38" t="s">
        <v>1020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hidden="1" x14ac:dyDescent="0.3">
      <c r="A4" s="38"/>
      <c r="B4" s="38"/>
      <c r="C4" s="38"/>
      <c r="D4" s="38" t="s">
        <v>1018</v>
      </c>
      <c r="E4" s="38" t="s">
        <v>995</v>
      </c>
      <c r="F4" s="38" t="s">
        <v>996</v>
      </c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67"/>
      <c r="BC4" s="38"/>
      <c r="BD4" s="67"/>
      <c r="BE4" s="38"/>
      <c r="BF4" s="6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hidden="1" x14ac:dyDescent="0.3">
      <c r="A5" s="38"/>
      <c r="B5" s="38"/>
      <c r="C5" s="38"/>
      <c r="D5" s="38" t="s">
        <v>1021</v>
      </c>
      <c r="E5" s="38" t="s">
        <v>1022</v>
      </c>
      <c r="F5" s="38" t="s">
        <v>1023</v>
      </c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/>
      <c r="BD5" s="67"/>
      <c r="BE5" s="38"/>
      <c r="BF5" s="6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hidden="1" x14ac:dyDescent="0.3">
      <c r="A6" s="38"/>
      <c r="B6" s="38"/>
      <c r="C6" s="38"/>
      <c r="D6" s="38" t="s">
        <v>1024</v>
      </c>
      <c r="E6" s="38" t="s">
        <v>1025</v>
      </c>
      <c r="F6" s="38" t="s">
        <v>1026</v>
      </c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/>
      <c r="BD6" s="67"/>
      <c r="BE6" s="38"/>
      <c r="BF6" s="6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hidden="1" x14ac:dyDescent="0.3">
      <c r="A7" s="38"/>
      <c r="B7" s="38"/>
      <c r="C7" s="38"/>
      <c r="D7" s="38" t="s">
        <v>1027</v>
      </c>
      <c r="E7" s="38" t="s">
        <v>1028</v>
      </c>
      <c r="F7" s="38" t="s">
        <v>1029</v>
      </c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67"/>
      <c r="BC7" s="38"/>
      <c r="BD7" s="67"/>
      <c r="BE7" s="38"/>
      <c r="BF7" s="6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hidden="1" x14ac:dyDescent="0.3">
      <c r="A8" s="38"/>
      <c r="B8" s="38"/>
      <c r="C8" s="38"/>
      <c r="D8" s="38" t="s">
        <v>1030</v>
      </c>
      <c r="E8" s="38" t="s">
        <v>1031</v>
      </c>
      <c r="F8" s="38" t="s">
        <v>1032</v>
      </c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hidden="1" x14ac:dyDescent="0.3">
      <c r="A9" s="38"/>
      <c r="B9" s="38"/>
      <c r="C9" s="38"/>
      <c r="D9" s="38" t="s">
        <v>1033</v>
      </c>
      <c r="E9" s="38" t="s">
        <v>1034</v>
      </c>
      <c r="F9" s="38" t="s">
        <v>1035</v>
      </c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/>
      <c r="BD9" s="67"/>
      <c r="BE9" s="38"/>
      <c r="BF9" s="6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3">
      <c r="A10" s="38"/>
      <c r="B10" s="38"/>
      <c r="C10" s="38"/>
      <c r="D10" s="38" t="s">
        <v>1036</v>
      </c>
      <c r="E10" s="38" t="s">
        <v>1037</v>
      </c>
      <c r="F10" s="38" t="s">
        <v>1038</v>
      </c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3">
      <c r="A11" s="38"/>
      <c r="B11" s="38"/>
      <c r="C11" s="38"/>
      <c r="D11" s="38" t="s">
        <v>1039</v>
      </c>
      <c r="E11" s="38" t="s">
        <v>1040</v>
      </c>
      <c r="F11" s="38" t="s">
        <v>1041</v>
      </c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67"/>
      <c r="BC11" s="38"/>
      <c r="BD11" s="67"/>
      <c r="BE11" s="38"/>
      <c r="BF11" s="6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3">
      <c r="A12" s="38"/>
      <c r="B12" s="38"/>
      <c r="C12" s="38"/>
      <c r="D12" s="38" t="s">
        <v>1042</v>
      </c>
      <c r="E12" s="38" t="s">
        <v>1043</v>
      </c>
      <c r="F12" s="38" t="s">
        <v>1044</v>
      </c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7"/>
      <c r="BC12" s="38"/>
      <c r="BD12" s="67"/>
      <c r="BE12" s="38"/>
      <c r="BF12" s="6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3">
      <c r="A13" s="38"/>
      <c r="B13" s="38"/>
      <c r="C13" s="38"/>
      <c r="D13" s="38" t="s">
        <v>1045</v>
      </c>
      <c r="E13" s="38" t="s">
        <v>1046</v>
      </c>
      <c r="F13" s="38" t="s">
        <v>1047</v>
      </c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7"/>
      <c r="BC13" s="38"/>
      <c r="BD13" s="67"/>
      <c r="BE13" s="38"/>
      <c r="BF13" s="6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3">
      <c r="A14" s="38"/>
      <c r="B14" s="38"/>
      <c r="C14" s="38"/>
      <c r="D14" s="38" t="s">
        <v>1048</v>
      </c>
      <c r="E14" s="38" t="s">
        <v>1049</v>
      </c>
      <c r="F14" s="38" t="s">
        <v>1050</v>
      </c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67"/>
      <c r="BC14" s="38"/>
      <c r="BD14" s="67"/>
      <c r="BE14" s="38"/>
      <c r="BF14" s="6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3">
      <c r="A15" s="38"/>
      <c r="B15" s="38"/>
      <c r="C15" s="38"/>
      <c r="D15" s="38" t="s">
        <v>1051</v>
      </c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67"/>
      <c r="BC15" s="38"/>
      <c r="BD15" s="67"/>
      <c r="BE15" s="38"/>
      <c r="BF15" s="6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3">
      <c r="A16" s="38" t="s">
        <v>852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67"/>
      <c r="BC16" s="38"/>
      <c r="BD16" s="67"/>
      <c r="BE16" s="38"/>
      <c r="BF16" s="6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BY16" s="38"/>
      <c r="BZ16" s="38"/>
      <c r="CA16" s="38"/>
      <c r="CB16" s="38"/>
      <c r="CC16" s="38"/>
      <c r="CD16" s="38"/>
      <c r="CE16" s="38">
        <f>SUBTOTAL(103,Estrutura_P01[Column83])</f>
        <v>0</v>
      </c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1:105" hidden="1" x14ac:dyDescent="0.3">
      <c r="A17" t="s">
        <v>532</v>
      </c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1:105" hidden="1" x14ac:dyDescent="0.3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1:105" hidden="1" x14ac:dyDescent="0.3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1:105" hidden="1" x14ac:dyDescent="0.3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1:105" hidden="1" x14ac:dyDescent="0.3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1:105" hidden="1" x14ac:dyDescent="0.3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1:105" hidden="1" x14ac:dyDescent="0.3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1:105" hidden="1" x14ac:dyDescent="0.3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1:105" hidden="1" x14ac:dyDescent="0.3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1:105" hidden="1" x14ac:dyDescent="0.3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1:105" hidden="1" x14ac:dyDescent="0.3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1:105" hidden="1" x14ac:dyDescent="0.3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1:105" hidden="1" x14ac:dyDescent="0.3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1:105" hidden="1" x14ac:dyDescent="0.3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1:105" hidden="1" x14ac:dyDescent="0.3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1:105" hidden="1" x14ac:dyDescent="0.3">
      <c r="CW32" s="38"/>
      <c r="CX32" s="38"/>
      <c r="CY32" s="38"/>
      <c r="CZ32" s="38"/>
      <c r="DA32" s="38"/>
    </row>
    <row r="33" spans="101:105" hidden="1" x14ac:dyDescent="0.3">
      <c r="CW33" s="38"/>
      <c r="CX33" s="38"/>
      <c r="CY33" s="38"/>
      <c r="CZ33" s="38"/>
      <c r="DA33" s="38"/>
    </row>
    <row r="34" spans="101:105" hidden="1" x14ac:dyDescent="0.3">
      <c r="CW34" s="38"/>
      <c r="CX34" s="38"/>
      <c r="CY34" s="38"/>
      <c r="CZ34" s="38"/>
      <c r="DA34" s="38"/>
    </row>
    <row r="35" spans="101:105" hidden="1" x14ac:dyDescent="0.3">
      <c r="CW35" s="38"/>
      <c r="CX35" s="38"/>
      <c r="CY35" s="38"/>
      <c r="CZ35" s="38"/>
      <c r="DA35" s="38"/>
    </row>
    <row r="36" spans="101:105" hidden="1" x14ac:dyDescent="0.3">
      <c r="CW36" s="38"/>
      <c r="CX36" s="38"/>
      <c r="CY36" s="38"/>
      <c r="CZ36" s="38"/>
      <c r="DA36" s="38"/>
    </row>
    <row r="37" spans="101:105" hidden="1" x14ac:dyDescent="0.3">
      <c r="CW37" s="38"/>
      <c r="CX37" s="38"/>
      <c r="CY37" s="38"/>
      <c r="CZ37" s="38"/>
      <c r="DA37" s="38"/>
    </row>
    <row r="38" spans="101:105" hidden="1" x14ac:dyDescent="0.3"/>
    <row r="39" spans="101:105" hidden="1" x14ac:dyDescent="0.3"/>
    <row r="40" spans="101:105" hidden="1" x14ac:dyDescent="0.3"/>
    <row r="41" spans="101:105" hidden="1" x14ac:dyDescent="0.3"/>
    <row r="42" spans="101:105" hidden="1" x14ac:dyDescent="0.3"/>
    <row r="43" spans="101:105" hidden="1" x14ac:dyDescent="0.3"/>
    <row r="44" spans="101:105" hidden="1" x14ac:dyDescent="0.3"/>
    <row r="45" spans="101:105" hidden="1" x14ac:dyDescent="0.3"/>
    <row r="46" spans="101:105" hidden="1" x14ac:dyDescent="0.3"/>
    <row r="47" spans="101:105" hidden="1" x14ac:dyDescent="0.3"/>
    <row r="48" spans="101:105" hidden="1" x14ac:dyDescent="0.3"/>
    <row r="49" spans="104:104" hidden="1" x14ac:dyDescent="0.3"/>
    <row r="50" spans="104:104" hidden="1" x14ac:dyDescent="0.3"/>
    <row r="51" spans="104:104" hidden="1" x14ac:dyDescent="0.3"/>
    <row r="52" spans="104:104" hidden="1" x14ac:dyDescent="0.3"/>
    <row r="53" spans="104:104" hidden="1" x14ac:dyDescent="0.3">
      <c r="CZ53" t="e">
        <f>SUBTOTAL(103,#REF!)</f>
        <v>#REF!</v>
      </c>
    </row>
    <row r="54" spans="104:104" hidden="1" x14ac:dyDescent="0.3"/>
    <row r="55" spans="104:104" hidden="1" x14ac:dyDescent="0.3"/>
    <row r="56" spans="104:104" hidden="1" x14ac:dyDescent="0.3"/>
    <row r="57" spans="104:104" hidden="1" x14ac:dyDescent="0.3"/>
    <row r="58" spans="104:104" hidden="1" x14ac:dyDescent="0.3"/>
    <row r="59" spans="104:104" hidden="1" x14ac:dyDescent="0.3"/>
    <row r="60" spans="104:104" hidden="1" x14ac:dyDescent="0.3"/>
    <row r="61" spans="104:104" hidden="1" x14ac:dyDescent="0.3"/>
    <row r="62" spans="104:104" hidden="1" x14ac:dyDescent="0.3"/>
    <row r="63" spans="104:104" hidden="1" x14ac:dyDescent="0.3"/>
    <row r="64" spans="104:10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C1" workbookViewId="0">
      <selection activeCell="BK9" sqref="BK9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8.42578125" style="6" bestFit="1" customWidth="1"/>
    <col min="63" max="63" width="21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0.140625" style="6" bestFit="1" customWidth="1"/>
    <col min="73" max="73" width="8.42578125" style="6" bestFit="1" customWidth="1"/>
    <col min="74" max="74" width="29" style="6" bestFit="1" customWidth="1"/>
    <col min="75" max="16384" width="9.140625" style="6"/>
  </cols>
  <sheetData>
    <row r="1" spans="1:75" s="2" customFormat="1" ht="17.100000000000001" customHeight="1" x14ac:dyDescent="0.3">
      <c r="A1" s="96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3">
      <c r="A2" s="96"/>
      <c r="B2" s="96" t="s">
        <v>10</v>
      </c>
      <c r="C2" s="96"/>
      <c r="D2" s="96"/>
      <c r="E2" s="96"/>
      <c r="F2" s="15"/>
      <c r="G2" s="96" t="s">
        <v>33</v>
      </c>
      <c r="H2" s="96"/>
      <c r="I2" s="15"/>
      <c r="J2" s="96" t="s">
        <v>127</v>
      </c>
      <c r="K2" s="96"/>
      <c r="L2" s="15"/>
      <c r="M2" s="96" t="s">
        <v>172</v>
      </c>
      <c r="N2" s="96"/>
      <c r="O2" s="15"/>
      <c r="P2" s="96" t="s">
        <v>186</v>
      </c>
      <c r="Q2" s="96"/>
      <c r="R2" s="96"/>
      <c r="S2" s="96"/>
      <c r="T2" s="96"/>
      <c r="U2" s="96"/>
      <c r="V2" s="96"/>
      <c r="W2" s="96"/>
      <c r="X2" s="96"/>
      <c r="Y2" s="96"/>
      <c r="Z2" s="34"/>
      <c r="AA2" s="96" t="s">
        <v>292</v>
      </c>
      <c r="AB2" s="96"/>
      <c r="AC2" s="15"/>
      <c r="AD2" s="96" t="s">
        <v>323</v>
      </c>
      <c r="AE2" s="96"/>
      <c r="AF2" s="19"/>
      <c r="AG2" s="19" t="s">
        <v>323</v>
      </c>
      <c r="AH2" s="22"/>
      <c r="AI2" s="96" t="s">
        <v>373</v>
      </c>
      <c r="AJ2" s="96"/>
      <c r="AK2" s="22"/>
      <c r="AL2" s="96" t="s">
        <v>410</v>
      </c>
      <c r="AM2" s="96"/>
      <c r="AN2" s="22"/>
      <c r="AO2" s="96" t="s">
        <v>33</v>
      </c>
      <c r="AP2" s="96"/>
      <c r="AQ2" s="22"/>
      <c r="AR2" s="96" t="s">
        <v>413</v>
      </c>
      <c r="AS2" s="96"/>
      <c r="AT2" s="22"/>
      <c r="AU2" s="96" t="s">
        <v>428</v>
      </c>
      <c r="AV2" s="96"/>
      <c r="AW2" s="22"/>
      <c r="AX2" s="96" t="s">
        <v>493</v>
      </c>
      <c r="AY2" s="96"/>
      <c r="AZ2" s="25"/>
      <c r="BA2" s="96" t="s">
        <v>530</v>
      </c>
      <c r="BB2" s="96"/>
      <c r="BC2" s="96"/>
      <c r="BD2" s="96"/>
      <c r="BE2" s="28"/>
      <c r="BF2" s="96" t="s">
        <v>707</v>
      </c>
      <c r="BG2" s="96"/>
      <c r="BH2" s="96"/>
      <c r="BI2" s="37"/>
      <c r="BJ2" s="96" t="s">
        <v>848</v>
      </c>
      <c r="BK2" s="96"/>
      <c r="BL2" s="53"/>
      <c r="BM2" s="53" t="s">
        <v>99</v>
      </c>
      <c r="BN2" s="53"/>
      <c r="BO2" s="96" t="s">
        <v>923</v>
      </c>
      <c r="BP2" s="96"/>
      <c r="BQ2" s="53"/>
      <c r="BR2" s="53" t="s">
        <v>924</v>
      </c>
      <c r="BS2" s="73"/>
      <c r="BT2" s="96" t="s">
        <v>959</v>
      </c>
      <c r="BU2" s="96"/>
      <c r="BV2" s="96"/>
    </row>
    <row r="3" spans="1:75" s="2" customFormat="1" ht="17.100000000000001" customHeight="1" x14ac:dyDescent="0.3">
      <c r="A3" s="9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3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1072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962</v>
      </c>
    </row>
    <row r="5" spans="1:75" x14ac:dyDescent="0.3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1073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961</v>
      </c>
      <c r="BV5" s="17" t="s">
        <v>963</v>
      </c>
    </row>
    <row r="6" spans="1:75" x14ac:dyDescent="0.3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1074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ht="15" x14ac:dyDescent="0.3">
      <c r="A7" s="54" t="s">
        <v>989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1075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ht="15" x14ac:dyDescent="0.3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ht="15" x14ac:dyDescent="0.3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ht="15" x14ac:dyDescent="0.3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ht="15" x14ac:dyDescent="0.3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ht="15" x14ac:dyDescent="0.3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ht="15" x14ac:dyDescent="0.3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ht="15" x14ac:dyDescent="0.3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ht="15" x14ac:dyDescent="0.3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ht="15" x14ac:dyDescent="0.3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ht="15" x14ac:dyDescent="0.3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ht="15" x14ac:dyDescent="0.3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ht="15" x14ac:dyDescent="0.3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ht="15" x14ac:dyDescent="0.3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ht="15" x14ac:dyDescent="0.3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ht="15" x14ac:dyDescent="0.3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ht="15" x14ac:dyDescent="0.3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ht="15" x14ac:dyDescent="0.3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ht="15" x14ac:dyDescent="0.3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ht="15" x14ac:dyDescent="0.3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ht="15" x14ac:dyDescent="0.3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ht="15" x14ac:dyDescent="0.3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ht="15" x14ac:dyDescent="0.3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ht="15" x14ac:dyDescent="0.3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ht="15" x14ac:dyDescent="0.3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ht="15" x14ac:dyDescent="0.3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ht="15" x14ac:dyDescent="0.3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ht="15" x14ac:dyDescent="0.3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ht="15" x14ac:dyDescent="0.3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ht="15" x14ac:dyDescent="0.3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ht="15" x14ac:dyDescent="0.3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ht="15" x14ac:dyDescent="0.3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ht="15" x14ac:dyDescent="0.3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ht="15" x14ac:dyDescent="0.3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ht="15" x14ac:dyDescent="0.3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ht="15" x14ac:dyDescent="0.3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ht="15" x14ac:dyDescent="0.3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ht="15" x14ac:dyDescent="0.3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ht="15" x14ac:dyDescent="0.3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ht="15" x14ac:dyDescent="0.3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ht="15" x14ac:dyDescent="0.3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ht="15" x14ac:dyDescent="0.3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ht="15" x14ac:dyDescent="0.3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ht="15" x14ac:dyDescent="0.3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ht="15" x14ac:dyDescent="0.3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ht="15" x14ac:dyDescent="0.3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ht="15" x14ac:dyDescent="0.3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ht="15" x14ac:dyDescent="0.3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ht="15" x14ac:dyDescent="0.3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ht="15" x14ac:dyDescent="0.3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ht="15" x14ac:dyDescent="0.3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ht="15" x14ac:dyDescent="0.3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ht="15" x14ac:dyDescent="0.3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ht="15" x14ac:dyDescent="0.3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ht="15" x14ac:dyDescent="0.3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ht="15" x14ac:dyDescent="0.3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ht="15" x14ac:dyDescent="0.3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ht="15" x14ac:dyDescent="0.3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ht="15" x14ac:dyDescent="0.3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ht="15" x14ac:dyDescent="0.3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ht="15" x14ac:dyDescent="0.3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ht="15" x14ac:dyDescent="0.3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ht="15" x14ac:dyDescent="0.3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FF3C79-9F25-4CA5-BB32-2CA52D360A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2022-02-11T19:45:33Z</dcterms:modified>
</cp:coreProperties>
</file>