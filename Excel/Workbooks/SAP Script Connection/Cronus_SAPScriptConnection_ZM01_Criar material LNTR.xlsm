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2790" yWindow="54600" windowWidth="28800" windowHeight="14130"/>
  </bookViews>
  <sheets>
    <sheet name="ZM01" sheetId="6" r:id="rId1"/>
    <sheet name="Z580_PP001" sheetId="8" r:id="rId2"/>
    <sheet name="CT04" sheetId="9" r:id="rId3"/>
    <sheet name="Listas de Dados" sheetId="2" r:id="rId4"/>
  </sheets>
  <functionGroups builtInGroupCount="18"/>
  <calcPr calcId="162913"/>
</workbook>
</file>

<file path=xl/calcChain.xml><?xml version="1.0" encoding="utf-8"?>
<calcChain xmlns="http://schemas.openxmlformats.org/spreadsheetml/2006/main">
  <c r="B2" i="6" l="1"/>
  <c r="C6" i="6" l="1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<sst xmlns="http://schemas.openxmlformats.org/spreadsheetml/2006/main" count="1147" uniqueCount="707">
  <si>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</si>
  <si>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</si>
  <si>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</si>
  <si>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</si>
  <si>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</si>
  <si>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</si>
  <si>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</si>
  <si>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</si>
  <si>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</si>
  <si>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</si>
  <si>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</si>
  <si>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</si>
  <si>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</si>
  <si>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</si>
  <si>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</si>
  <si>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</si>
  <si>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</si>
  <si>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</si>
  <si>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</si>
  <si>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</si>
  <si>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</si>
  <si>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</si>
  <si>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</si>
  <si>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</si>
  <si>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</si>
  <si>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</si>
  <si>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</si>
  <si>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</si>
  <si>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</si>
  <si>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</si>
  <si>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</si>
  <si>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</si>
  <si>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</si>
  <si>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</si>
  <si>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</si>
  <si>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</si>
  <si>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</si>
  <si>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</si>
  <si>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</si>
  <si>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</si>
  <si>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</si>
  <si>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</si>
  <si>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</si>
  <si>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</si>
  <si>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</si>
  <si>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</si>
  <si>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</si>
  <si>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</si>
  <si>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</si>
  <si>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</si>
  <si>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</si>
  <si>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</si>
  <si>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</si>
  <si>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</si>
  <si>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</si>
  <si>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</si>
  <si>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</si>
  <si>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</si>
  <si>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</si>
  <si>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</si>
  <si>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</si>
  <si>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</si>
  <si>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</si>
  <si>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</si>
  <si>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</si>
  <si>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</si>
  <si>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</si>
  <si>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</si>
  <si>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</si>
  <si>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</si>
  <si>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</si>
  <si>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</si>
  <si>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</si>
  <si>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</si>
  <si>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</si>
  <si>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</si>
  <si>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</si>
  <si>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</si>
  <si>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</si>
  <si>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</si>
  <si>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</si>
  <si>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</si>
  <si>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</si>
  <si>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</si>
  <si>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</si>
  <si>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</si>
  <si>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</si>
  <si>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</si>
  <si>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</si>
  <si>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</si>
  <si>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</si>
  <si>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</si>
  <si>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</si>
  <si>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</si>
  <si>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</si>
  <si>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</si>
  <si>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</si>
  <si>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</si>
  <si>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</si>
  <si>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</si>
  <si>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</si>
  <si>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</si>
  <si>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</si>
  <si>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</si>
  <si>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</si>
  <si>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</si>
  <si>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</si>
  <si>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</si>
  <si>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</si>
  <si>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</si>
  <si>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</si>
  <si>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</si>
  <si>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</si>
  <si>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</si>
  <si>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</si>
  <si>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</si>
  <si>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</si>
  <si>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</si>
  <si>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</si>
  <si>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</si>
  <si>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</si>
  <si>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</si>
  <si>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</si>
  <si>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</si>
  <si>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</si>
  <si>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</si>
  <si>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</si>
  <si>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</si>
  <si>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</si>
  <si>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</si>
  <si>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</si>
  <si>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</si>
  <si>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</si>
  <si>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</si>
  <si>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</si>
  <si>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</si>
  <si>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</si>
  <si>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</si>
  <si>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</si>
  <si>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</si>
  <si>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</si>
  <si>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</si>
  <si>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</si>
  <si>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</si>
  <si>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</si>
  <si>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</si>
  <si>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</si>
  <si>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</si>
  <si>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</si>
  <si>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</si>
  <si>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</si>
  <si>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</si>
  <si>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</si>
  <si>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</si>
  <si>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</si>
  <si>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</si>
  <si>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txtMAKT-MAKTX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</si>
  <si>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</si>
  <si>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</si>
  <si>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</si>
  <si>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</si>
  <si>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</si>
  <si>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</si>
  <si>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</si>
  <si>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</si>
  <si>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</si>
  <si>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</si>
  <si>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</si>
  <si>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</si>
  <si>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</si>
  <si>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</si>
  <si>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</si>
  <si>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</si>
  <si>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</si>
  <si>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</si>
  <si>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</si>
  <si>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</si>
  <si>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</si>
  <si>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</si>
  <si>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</si>
  <si>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</si>
  <si>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</si>
  <si>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</si>
  <si>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</si>
  <si>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</si>
  <si>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</si>
  <si>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</si>
  <si>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</si>
  <si>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</si>
  <si>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</si>
  <si>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</si>
  <si>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</si>
  <si>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</si>
  <si>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</si>
  <si>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</si>
  <si>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</si>
  <si>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</si>
  <si>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</si>
  <si>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</si>
  <si>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</si>
  <si>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</si>
  <si>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</si>
  <si>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</si>
  <si>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</si>
  <si>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</si>
  <si>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</si>
  <si>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</si>
  <si>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</si>
  <si>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</si>
  <si>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</si>
  <si>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</si>
  <si>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</si>
  <si>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</si>
  <si>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</si>
  <si>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</si>
  <si>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</si>
  <si>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</si>
  <si>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</si>
  <si>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</si>
  <si>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</si>
  <si>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</si>
  <si>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</si>
  <si>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</si>
  <si>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</si>
  <si>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</si>
  <si>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</si>
  <si>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</si>
  <si>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</si>
  <si>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</si>
  <si>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</si>
  <si>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</si>
  <si>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</si>
  <si>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</si>
  <si>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</si>
  <si>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</si>
  <si>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</si>
  <si>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</si>
  <si>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</si>
  <si>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</si>
  <si>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</si>
  <si>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</si>
  <si>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</si>
  <si>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</si>
  <si>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</si>
  <si>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</si>
  <si>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</si>
  <si>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</si>
  <si>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</si>
  <si>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</si>
  <si>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</si>
  <si>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</si>
  <si>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</si>
  <si>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</si>
  <si>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</si>
  <si>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</si>
  <si>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</si>
  <si>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</si>
  <si>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</si>
  <si>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</si>
  <si>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</si>
  <si>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</si>
  <si>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</si>
  <si>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</si>
  <si>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</si>
  <si>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</si>
  <si>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</si>
  <si>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</si>
  <si>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</si>
  <si>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</si>
  <si>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</si>
  <si>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</si>
  <si>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</si>
  <si>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</si>
  <si>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</si>
  <si>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</si>
  <si>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</si>
  <si>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</si>
  <si>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</si>
  <si>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</si>
  <si>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</si>
  <si>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</si>
  <si>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</si>
  <si>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</si>
  <si>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</si>
  <si>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</si>
  <si>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</si>
  <si>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</si>
  <si>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</si>
  <si>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</si>
  <si>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</si>
  <si>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</si>
  <si>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</si>
  <si>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</si>
  <si>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</si>
  <si>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</si>
  <si>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</si>
  <si>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</si>
  <si>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</si>
  <si>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</si>
  <si>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</si>
  <si>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</si>
  <si>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</si>
  <si>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</si>
  <si>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</si>
  <si>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</si>
  <si>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</si>
  <si>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</si>
  <si>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</si>
  <si>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</si>
  <si>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</si>
  <si>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</si>
  <si>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</si>
  <si>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</si>
  <si>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</si>
  <si>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</si>
  <si>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</si>
  <si>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</si>
  <si>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</si>
  <si>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</si>
  <si>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</si>
  <si>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</si>
  <si>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</si>
  <si>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</si>
  <si>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</si>
  <si>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</si>
  <si>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</si>
  <si>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</si>
  <si>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</si>
  <si>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</si>
  <si>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</si>
  <si>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</si>
  <si>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</si>
  <si>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</si>
  <si>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</si>
  <si>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</si>
  <si>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</si>
  <si>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</si>
  <si>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</si>
  <si>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</si>
  <si>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</si>
  <si>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</si>
  <si>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</si>
  <si>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</si>
  <si>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</si>
  <si>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</si>
  <si>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</si>
  <si>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</si>
  <si>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</si>
  <si>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</si>
  <si>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</si>
  <si>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</si>
  <si>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</si>
  <si>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</si>
  <si>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</si>
  <si>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</si>
  <si>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</si>
  <si>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</si>
  <si>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</si>
  <si>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</si>
  <si>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</si>
  <si>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</si>
  <si>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</si>
  <si>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</si>
  <si>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</si>
  <si>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</si>
  <si>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</si>
  <si>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</si>
  <si>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</si>
  <si>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</si>
  <si>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</si>
  <si>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</si>
  <si>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</si>
  <si>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</si>
  <si>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</si>
  <si>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</si>
  <si>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</si>
  <si>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</si>
  <si>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</si>
  <si>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</si>
  <si>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</si>
  <si>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</si>
  <si>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</si>
  <si>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</si>
  <si>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</si>
  <si>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</si>
  <si>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</si>
  <si>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</si>
  <si>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</si>
  <si>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</si>
  <si>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</si>
  <si>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</si>
  <si>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</si>
  <si>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</si>
  <si>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</si>
  <si>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</si>
  <si>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</si>
  <si>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</si>
  <si>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</si>
  <si>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</si>
  <si>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</si>
  <si>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</si>
  <si>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</si>
  <si>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</si>
  <si>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</si>
  <si>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</si>
  <si>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</si>
  <si>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</si>
  <si>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</si>
  <si>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</si>
  <si>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</si>
  <si>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</si>
  <si>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</si>
  <si>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</si>
  <si>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</si>
  <si>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</si>
  <si>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</si>
  <si>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</si>
  <si>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</si>
  <si>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</si>
  <si>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</si>
  <si>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</si>
  <si>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</si>
  <si>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</si>
  <si>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</si>
  <si>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</si>
  <si>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</si>
  <si>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</si>
  <si>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</si>
  <si>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</si>
  <si>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</si>
  <si>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</si>
  <si>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</si>
  <si>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</si>
  <si>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</si>
  <si>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</si>
  <si>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</si>
  <si>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</si>
  <si>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</si>
  <si>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</si>
  <si>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</si>
  <si>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</si>
  <si>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</si>
  <si>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</si>
  <si>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</si>
  <si>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</si>
  <si>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</si>
  <si>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</si>
  <si>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</si>
  <si>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</si>
  <si>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</si>
  <si>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</si>
  <si>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</si>
  <si>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</si>
  <si>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</si>
  <si>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</si>
  <si>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</si>
  <si>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</si>
  <si>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</si>
  <si>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</si>
  <si>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</si>
  <si>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</si>
  <si>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</si>
  <si>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</si>
  <si>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</si>
  <si>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</si>
  <si>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</si>
  <si>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</si>
  <si>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</si>
  <si>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</si>
  <si>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</si>
  <si>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</si>
  <si>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</si>
  <si>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</si>
  <si>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</si>
  <si>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</si>
  <si>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</si>
  <si>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</si>
  <si>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</si>
  <si>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</si>
  <si>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</si>
  <si>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</si>
  <si>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</si>
  <si>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</si>
  <si>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</si>
  <si>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</si>
  <si>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</si>
  <si>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</si>
  <si>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</si>
  <si>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</si>
  <si>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</si>
  <si>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</si>
  <si>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</si>
  <si>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</si>
  <si>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</si>
  <si>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</si>
  <si>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</si>
  <si>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</si>
  <si>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</si>
  <si>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</si>
  <si>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</si>
  <si>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</si>
  <si>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</si>
  <si>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</si>
  <si>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</si>
  <si>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</si>
  <si>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</si>
  <si>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</si>
  <si>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</si>
  <si>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</si>
  <si>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</si>
  <si>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</si>
  <si>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</si>
  <si>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</si>
  <si>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</si>
  <si>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</si>
  <si>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</si>
  <si>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</si>
  <si>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</si>
  <si>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</si>
  <si>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</si>
  <si>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</si>
  <si>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</si>
  <si>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</si>
  <si>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</si>
  <si>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</si>
  <si>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</si>
  <si>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</si>
  <si>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</si>
  <si>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</si>
  <si>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</si>
  <si>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</si>
  <si>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</si>
  <si>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</si>
  <si>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</si>
  <si>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</si>
  <si>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</si>
  <si>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</si>
  <si>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</si>
  <si>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</si>
  <si>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</si>
  <si>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</si>
  <si>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</si>
  <si>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</si>
  <si>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</si>
  <si>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</si>
  <si>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</si>
  <si>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</si>
  <si>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</si>
  <si>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</si>
  <si>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</si>
  <si>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</si>
  <si>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</si>
  <si>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</si>
  <si>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</si>
  <si>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</si>
  <si>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</si>
  <si>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</si>
  <si>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</si>
  <si>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</si>
  <si>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</si>
  <si>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</si>
  <si>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</si>
  <si>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</si>
  <si>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</si>
  <si>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</si>
  <si>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</si>
  <si>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</si>
  <si>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</si>
  <si>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</si>
  <si>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</si>
  <si>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</si>
  <si>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</si>
  <si>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</si>
  <si>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</si>
  <si>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</si>
  <si>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</si>
  <si>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</si>
  <si>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</si>
  <si>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</si>
  <si>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</si>
  <si>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</si>
  <si>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</si>
  <si>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</si>
  <si>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</si>
  <si>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</si>
  <si>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</si>
  <si>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</si>
  <si>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</si>
  <si>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</si>
  <si>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</si>
  <si>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</si>
  <si>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</si>
  <si>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</si>
  <si>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</si>
  <si>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</si>
  <si>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</si>
  <si>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</si>
  <si>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</si>
  <si>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</si>
  <si>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</si>
  <si>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</si>
  <si>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</si>
  <si>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</si>
  <si>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</si>
  <si>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</si>
  <si>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</si>
  <si>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</si>
  <si>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</si>
  <si>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</si>
  <si>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</si>
  <si>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</si>
  <si>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</si>
  <si>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</si>
  <si>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</si>
  <si>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</si>
  <si>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</si>
  <si>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</si>
  <si>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</si>
  <si>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</si>
  <si>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</si>
  <si>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</si>
  <si>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</si>
  <si>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</si>
  <si>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</si>
  <si>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</si>
  <si>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</si>
  <si>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</si>
  <si>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</si>
  <si>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</si>
  <si>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</si>
  <si>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</si>
  <si>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</si>
  <si>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</si>
  <si>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</si>
  <si>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</si>
  <si>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</si>
  <si>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</si>
  <si>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</si>
  <si>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</si>
  <si>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</si>
  <si>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</si>
  <si>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</si>
  <si>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</si>
  <si>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</si>
  <si>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</si>
  <si>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</si>
  <si>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</si>
  <si>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</si>
  <si>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</si>
  <si>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</si>
  <si>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</si>
  <si>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</si>
  <si>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</si>
  <si>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</si>
  <si>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</si>
  <si>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</si>
  <si>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</si>
  <si>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</si>
  <si>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</si>
  <si>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</si>
  <si>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</si>
  <si>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</si>
  <si>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</si>
  <si>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</si>
  <si>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</si>
  <si>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</si>
  <si>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</si>
  <si>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</si>
  <si>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</si>
  <si>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</si>
  <si>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</si>
  <si>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</si>
  <si>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</si>
  <si>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</si>
  <si>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</si>
  <si>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</si>
  <si>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</si>
  <si>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</si>
  <si>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</si>
  <si>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</si>
  <si>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</si>
  <si>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</si>
  <si>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</si>
  <si>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</si>
  <si>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</si>
  <si>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</si>
  <si>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</si>
  <si>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</si>
  <si>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</si>
  <si>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</si>
  <si>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</si>
  <si>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</si>
  <si>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</si>
  <si>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</si>
  <si>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</si>
  <si>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</si>
  <si>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</si>
  <si>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</si>
  <si>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ctxtRMMG1_REF-MATNR</t>
  </si>
  <si>
    <t>CÓDIGO MODELO</t>
  </si>
  <si>
    <t>ctxtRMMG1-MTART</t>
  </si>
  <si>
    <t>LNTR</t>
  </si>
  <si>
    <t>ctxtZMASTER_LNPCHECK-LNP_SCHL[0,0]</t>
  </si>
  <si>
    <t>txtZMASTER_LNPCHKTX-TEXT[1,0]</t>
  </si>
  <si>
    <t>txtCAWN-ATWRT[0,0]</t>
  </si>
  <si>
    <t>txtCAWNT-ATWTB[1,0]</t>
  </si>
  <si>
    <t>Execução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</si>
</sst>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6">
    <xf numFmtId="0" fontId="0" fillId="0" borderId="0"/>
    <xf numFmtId="0" fontId="1" fillId="6" borderId="4">
      <alignment horizontal="center" vertical="center"/>
    </xf>
    <xf numFmtId="0" fontId="1" fillId="3" borderId="4">
      <alignment horizontal="center" vertical="center"/>
    </xf>
    <xf numFmtId="0" fontId="1" fillId="8" borderId="4">
      <alignment horizontal="center" vertical="center"/>
    </xf>
    <xf numFmtId="49" fontId="1" fillId="5" borderId="7">
      <alignment horizontal="left" vertical="center"/>
    </xf>
    <xf numFmtId="0" fontId="3" fillId="2" borderId="0">
      <alignment horizontal="center" vertical="center"/>
    </xf>
  </cellStyleXfs>
  <cellXfs count="58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6">
    <cellStyle name="Dados" xfId="2"/>
    <cellStyle name="Dados Fixos" xfId="4"/>
    <cellStyle name="Dados Opcionais" xfId="3"/>
    <cellStyle name="Fórmulas" xfId="1"/>
    <cellStyle name="Normal" xfId="0" builtinId="0"/>
    <cellStyle name="Títulos" xfId="5"/>
  </cellStyles>
  <dxfs count="28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7"/>
      <tableStyleElement type="headerRow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1" max="50" min="1" page="10" val="4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9525</xdr:rowOff>
        </xdr:from>
        <xdr:to>
          <xdr:col>0</xdr:col>
          <xdr:colOff>180975</xdr:colOff>
          <xdr:row>7</xdr:row>
          <xdr:rowOff>47625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142875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54"/>
  <sheetViews>
    <sheetView showGridLines="0" showRowColHeaders="0" tabSelected="1" workbookViewId="0">
      <pane xSplit="3" ySplit="4" topLeftCell="H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2" x14ac:dyDescent="0.3"/>
  <cols>
    <col min="1" max="1" width="11.7109375" style="7" bestFit="1" customWidth="1"/>
    <col min="2" max="3" width="15.7109375" style="6" customWidth="1"/>
    <col min="4" max="5" width="22.85546875" style="6" hidden="1" customWidth="1" outlineLevel="1"/>
    <col min="6" max="6" width="18.7109375" style="6" hidden="1" customWidth="1" outlineLevel="1"/>
    <col min="7" max="7" width="18.140625" style="6" hidden="1" customWidth="1" outlineLevel="2"/>
    <col min="8" max="8" width="11.7109375" style="6" bestFit="1" customWidth="1" collapsed="1"/>
    <col min="9" max="10" width="15" style="6" hidden="1" customWidth="1" outlineLevel="1"/>
    <col min="11" max="11" width="12.28515625" style="6" hidden="1" customWidth="1" outlineLevel="1"/>
    <col min="12" max="13" width="21.7109375" style="6" hidden="1" customWidth="1" outlineLevel="1"/>
    <col min="14" max="14" width="22.28515625" style="6" hidden="1" customWidth="1" outlineLevel="1"/>
    <col min="15" max="15" width="28.140625" style="6" hidden="1" customWidth="1" outlineLevel="1"/>
    <col min="16" max="17" width="8" style="6" hidden="1" customWidth="1" outlineLevel="1"/>
    <col min="18" max="23" width="9.140625" style="6" hidden="1" customWidth="1" outlineLevel="1"/>
    <col min="24" max="24" width="26.42578125" style="6" hidden="1" customWidth="1" outlineLevel="1"/>
    <col min="25" max="26" width="26.5703125" style="6" hidden="1" customWidth="1" outlineLevel="1"/>
    <col min="27" max="28" width="26.85546875" style="6" hidden="1" customWidth="1" outlineLevel="1"/>
    <col min="29" max="29" width="25.85546875" style="6" hidden="1" customWidth="1" outlineLevel="1"/>
    <col min="30" max="31" width="15" style="6" hidden="1" customWidth="1" outlineLevel="1"/>
    <col min="32" max="33" width="17.5703125" style="6" hidden="1" customWidth="1" outlineLevel="1"/>
    <col min="34" max="35" width="9.140625" style="6" hidden="1" customWidth="1" outlineLevel="1"/>
    <col min="36" max="36" width="19.140625" style="6" bestFit="1" customWidth="1" collapsed="1"/>
    <col min="37" max="37" width="75.7109375" style="1" customWidth="1"/>
    <col min="38" max="38" width="22" style="1" bestFit="1" customWidth="1"/>
    <col min="39" max="16384" width="9.140625" style="1"/>
  </cols>
  <sheetData>
    <row r="1" spans="1:37" s="28" customFormat="1" x14ac:dyDescent="0.3">
      <c r="A1" s="7" t="s">
        <v>28</v>
      </c>
      <c r="B1" s="55">
        <v>49</v>
      </c>
      <c r="E1" s="51"/>
      <c r="H1" s="57" t="s">
        <v>157</v>
      </c>
      <c r="AJ1" s="57" t="s">
        <v>126</v>
      </c>
      <c r="AK1" s="41"/>
    </row>
    <row r="2" spans="1:37" s="33" customFormat="1" x14ac:dyDescent="0.3">
      <c r="A2" s="7"/>
      <c r="B2" s="55">
        <f>50-B1</f>
        <v>1</v>
      </c>
      <c r="C2" s="28"/>
      <c r="D2" s="28">
        <v>53</v>
      </c>
      <c r="E2" s="51"/>
      <c r="F2" s="28"/>
      <c r="G2" s="28"/>
      <c r="H2" s="57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57"/>
    </row>
    <row r="3" spans="1:37" s="9" customFormat="1" ht="15" customHeight="1" x14ac:dyDescent="0.3">
      <c r="A3" s="7" t="s">
        <v>29</v>
      </c>
      <c r="B3" s="4" t="s">
        <v>94</v>
      </c>
      <c r="C3" s="16" t="s">
        <v>156</v>
      </c>
      <c r="D3" s="13" t="s">
        <v>698</v>
      </c>
      <c r="E3" s="52" t="s">
        <v>700</v>
      </c>
      <c r="F3" s="13" t="s">
        <v>96</v>
      </c>
      <c r="G3" s="30" t="s">
        <v>155</v>
      </c>
      <c r="H3" s="16"/>
      <c r="I3" s="56" t="s">
        <v>154</v>
      </c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13"/>
      <c r="AK3" s="41" t="s">
        <v>32</v>
      </c>
    </row>
    <row r="4" spans="1:37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699</v>
      </c>
      <c r="E4" s="14" t="s">
        <v>98</v>
      </c>
      <c r="F4" s="14" t="s">
        <v>97</v>
      </c>
      <c r="G4" s="14" t="s">
        <v>0</v>
      </c>
      <c r="H4" s="14"/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/>
      <c r="AK4" s="5" t="s">
        <v>696</v>
      </c>
    </row>
    <row r="5" spans="1:37" x14ac:dyDescent="0.3">
      <c r="A5" s="7" t="s">
        <v>706</v>
      </c>
      <c r="B5" s="34"/>
      <c r="C5" s="54" t="str">
        <f>IF(B5="","",B5)</f>
        <v/>
      </c>
      <c r="D5" s="37"/>
      <c r="E5" s="35" t="s">
        <v>701</v>
      </c>
      <c r="F5" s="35" t="s">
        <v>99</v>
      </c>
      <c r="G5" s="53" t="s">
        <v>4</v>
      </c>
      <c r="I5" s="36" t="s">
        <v>100</v>
      </c>
      <c r="J5" s="36" t="s">
        <v>101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K5" s="45"/>
    </row>
    <row r="6" spans="1:37" x14ac:dyDescent="0.3">
      <c r="B6" s="34"/>
      <c r="C6" s="54" t="str">
        <f t="shared" ref="C6:C54" si="0">IF(B6="","",B6)</f>
        <v/>
      </c>
      <c r="D6" s="37"/>
      <c r="E6" s="35" t="s">
        <v>701</v>
      </c>
      <c r="F6" s="35" t="s">
        <v>99</v>
      </c>
      <c r="G6" s="53" t="s">
        <v>4</v>
      </c>
      <c r="I6" s="36" t="s">
        <v>100</v>
      </c>
      <c r="J6" s="36" t="s">
        <v>101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K6" s="46"/>
    </row>
    <row r="7" spans="1:37" x14ac:dyDescent="0.3">
      <c r="B7" s="34"/>
      <c r="C7" s="54" t="str">
        <f t="shared" si="0"/>
        <v/>
      </c>
      <c r="D7" s="37"/>
      <c r="E7" s="35" t="s">
        <v>701</v>
      </c>
      <c r="F7" s="35" t="s">
        <v>99</v>
      </c>
      <c r="G7" s="53" t="s">
        <v>4</v>
      </c>
      <c r="I7" s="36" t="s">
        <v>100</v>
      </c>
      <c r="J7" s="36" t="s">
        <v>101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K7" s="46"/>
    </row>
    <row r="8" spans="1:37" x14ac:dyDescent="0.3">
      <c r="B8" s="34"/>
      <c r="C8" s="54" t="str">
        <f t="shared" si="0"/>
        <v/>
      </c>
      <c r="D8" s="37"/>
      <c r="E8" s="35" t="s">
        <v>701</v>
      </c>
      <c r="F8" s="35" t="s">
        <v>99</v>
      </c>
      <c r="G8" s="53" t="s">
        <v>4</v>
      </c>
      <c r="I8" s="36" t="s">
        <v>100</v>
      </c>
      <c r="J8" s="36" t="s">
        <v>101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K8" s="46"/>
    </row>
    <row r="9" spans="1:37" x14ac:dyDescent="0.3">
      <c r="B9" s="34"/>
      <c r="C9" s="54" t="str">
        <f t="shared" si="0"/>
        <v/>
      </c>
      <c r="D9" s="37"/>
      <c r="E9" s="35" t="s">
        <v>701</v>
      </c>
      <c r="F9" s="35" t="s">
        <v>99</v>
      </c>
      <c r="G9" s="53" t="s">
        <v>4</v>
      </c>
      <c r="I9" s="36" t="s">
        <v>100</v>
      </c>
      <c r="J9" s="36" t="s">
        <v>101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K9" s="46"/>
    </row>
    <row r="10" spans="1:37" x14ac:dyDescent="0.3">
      <c r="B10" s="34"/>
      <c r="C10" s="54" t="str">
        <f t="shared" si="0"/>
        <v/>
      </c>
      <c r="D10" s="37"/>
      <c r="E10" s="35" t="s">
        <v>701</v>
      </c>
      <c r="F10" s="35" t="s">
        <v>99</v>
      </c>
      <c r="G10" s="53" t="s">
        <v>4</v>
      </c>
      <c r="I10" s="36" t="s">
        <v>100</v>
      </c>
      <c r="J10" s="36" t="s">
        <v>101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K10" s="46"/>
    </row>
    <row r="11" spans="1:37" x14ac:dyDescent="0.3">
      <c r="B11" s="34"/>
      <c r="C11" s="54" t="str">
        <f t="shared" si="0"/>
        <v/>
      </c>
      <c r="D11" s="37"/>
      <c r="E11" s="35" t="s">
        <v>701</v>
      </c>
      <c r="F11" s="35" t="s">
        <v>99</v>
      </c>
      <c r="G11" s="53" t="s">
        <v>4</v>
      </c>
      <c r="I11" s="36" t="s">
        <v>100</v>
      </c>
      <c r="J11" s="36" t="s">
        <v>101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K11" s="46"/>
    </row>
    <row r="12" spans="1:37" x14ac:dyDescent="0.3">
      <c r="B12" s="34"/>
      <c r="C12" s="54" t="str">
        <f t="shared" si="0"/>
        <v/>
      </c>
      <c r="D12" s="37"/>
      <c r="E12" s="35" t="s">
        <v>701</v>
      </c>
      <c r="F12" s="35" t="s">
        <v>99</v>
      </c>
      <c r="G12" s="53" t="s">
        <v>4</v>
      </c>
      <c r="I12" s="36" t="s">
        <v>100</v>
      </c>
      <c r="J12" s="36" t="s">
        <v>101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K12" s="46"/>
    </row>
    <row r="13" spans="1:37" x14ac:dyDescent="0.3">
      <c r="B13" s="34"/>
      <c r="C13" s="54" t="str">
        <f t="shared" si="0"/>
        <v/>
      </c>
      <c r="D13" s="37"/>
      <c r="E13" s="35" t="s">
        <v>701</v>
      </c>
      <c r="F13" s="35" t="s">
        <v>99</v>
      </c>
      <c r="G13" s="53" t="s">
        <v>4</v>
      </c>
      <c r="I13" s="36" t="s">
        <v>100</v>
      </c>
      <c r="J13" s="36" t="s">
        <v>101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K13" s="46"/>
    </row>
    <row r="14" spans="1:37" x14ac:dyDescent="0.3">
      <c r="B14" s="34"/>
      <c r="C14" s="54" t="str">
        <f t="shared" si="0"/>
        <v/>
      </c>
      <c r="D14" s="37"/>
      <c r="E14" s="35" t="s">
        <v>701</v>
      </c>
      <c r="F14" s="35" t="s">
        <v>99</v>
      </c>
      <c r="G14" s="53" t="s">
        <v>4</v>
      </c>
      <c r="I14" s="36" t="s">
        <v>100</v>
      </c>
      <c r="J14" s="36" t="s">
        <v>101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K14" s="46"/>
    </row>
    <row r="15" spans="1:37" x14ac:dyDescent="0.3">
      <c r="B15" s="34"/>
      <c r="C15" s="54" t="str">
        <f t="shared" si="0"/>
        <v/>
      </c>
      <c r="D15" s="37"/>
      <c r="E15" s="35" t="s">
        <v>701</v>
      </c>
      <c r="F15" s="35" t="s">
        <v>99</v>
      </c>
      <c r="G15" s="53" t="s">
        <v>4</v>
      </c>
      <c r="I15" s="36" t="s">
        <v>100</v>
      </c>
      <c r="J15" s="36" t="s">
        <v>101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K15" s="46"/>
    </row>
    <row r="16" spans="1:37" x14ac:dyDescent="0.3">
      <c r="B16" s="34"/>
      <c r="C16" s="54" t="str">
        <f t="shared" si="0"/>
        <v/>
      </c>
      <c r="D16" s="37"/>
      <c r="E16" s="35" t="s">
        <v>701</v>
      </c>
      <c r="F16" s="35" t="s">
        <v>99</v>
      </c>
      <c r="G16" s="53" t="s">
        <v>4</v>
      </c>
      <c r="I16" s="36" t="s">
        <v>100</v>
      </c>
      <c r="J16" s="36" t="s">
        <v>101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46"/>
    </row>
    <row r="17" spans="2:37" x14ac:dyDescent="0.3">
      <c r="B17" s="34"/>
      <c r="C17" s="54" t="str">
        <f t="shared" si="0"/>
        <v/>
      </c>
      <c r="D17" s="37"/>
      <c r="E17" s="35" t="s">
        <v>701</v>
      </c>
      <c r="F17" s="35" t="s">
        <v>99</v>
      </c>
      <c r="G17" s="53" t="s">
        <v>4</v>
      </c>
      <c r="I17" s="36" t="s">
        <v>100</v>
      </c>
      <c r="J17" s="36" t="s">
        <v>101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46"/>
    </row>
    <row r="18" spans="2:37" x14ac:dyDescent="0.3">
      <c r="B18" s="34"/>
      <c r="C18" s="54" t="str">
        <f t="shared" si="0"/>
        <v/>
      </c>
      <c r="D18" s="37"/>
      <c r="E18" s="35" t="s">
        <v>701</v>
      </c>
      <c r="F18" s="35" t="s">
        <v>99</v>
      </c>
      <c r="G18" s="53" t="s">
        <v>4</v>
      </c>
      <c r="I18" s="36" t="s">
        <v>100</v>
      </c>
      <c r="J18" s="36" t="s">
        <v>101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46"/>
    </row>
    <row r="19" spans="2:37" x14ac:dyDescent="0.3">
      <c r="B19" s="34"/>
      <c r="C19" s="54" t="str">
        <f t="shared" si="0"/>
        <v/>
      </c>
      <c r="D19" s="37"/>
      <c r="E19" s="35" t="s">
        <v>701</v>
      </c>
      <c r="F19" s="35" t="s">
        <v>99</v>
      </c>
      <c r="G19" s="53" t="s">
        <v>4</v>
      </c>
      <c r="I19" s="36" t="s">
        <v>100</v>
      </c>
      <c r="J19" s="36" t="s">
        <v>101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46"/>
    </row>
    <row r="20" spans="2:37" x14ac:dyDescent="0.3">
      <c r="B20" s="34"/>
      <c r="C20" s="54" t="str">
        <f t="shared" si="0"/>
        <v/>
      </c>
      <c r="D20" s="37"/>
      <c r="E20" s="35" t="s">
        <v>701</v>
      </c>
      <c r="F20" s="35" t="s">
        <v>99</v>
      </c>
      <c r="G20" s="53" t="s">
        <v>4</v>
      </c>
      <c r="I20" s="36" t="s">
        <v>100</v>
      </c>
      <c r="J20" s="36" t="s">
        <v>101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46"/>
    </row>
    <row r="21" spans="2:37" x14ac:dyDescent="0.3">
      <c r="B21" s="34"/>
      <c r="C21" s="54" t="str">
        <f t="shared" si="0"/>
        <v/>
      </c>
      <c r="D21" s="37"/>
      <c r="E21" s="35" t="s">
        <v>701</v>
      </c>
      <c r="F21" s="35" t="s">
        <v>99</v>
      </c>
      <c r="G21" s="53" t="s">
        <v>4</v>
      </c>
      <c r="I21" s="36" t="s">
        <v>100</v>
      </c>
      <c r="J21" s="36" t="s">
        <v>101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46"/>
    </row>
    <row r="22" spans="2:37" x14ac:dyDescent="0.3">
      <c r="B22" s="34"/>
      <c r="C22" s="54" t="str">
        <f t="shared" si="0"/>
        <v/>
      </c>
      <c r="D22" s="37"/>
      <c r="E22" s="35" t="s">
        <v>701</v>
      </c>
      <c r="F22" s="35" t="s">
        <v>99</v>
      </c>
      <c r="G22" s="53" t="s">
        <v>4</v>
      </c>
      <c r="I22" s="36" t="s">
        <v>100</v>
      </c>
      <c r="J22" s="36" t="s">
        <v>101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46"/>
    </row>
    <row r="23" spans="2:37" x14ac:dyDescent="0.3">
      <c r="B23" s="34"/>
      <c r="C23" s="54" t="str">
        <f t="shared" si="0"/>
        <v/>
      </c>
      <c r="D23" s="37"/>
      <c r="E23" s="35" t="s">
        <v>701</v>
      </c>
      <c r="F23" s="35" t="s">
        <v>99</v>
      </c>
      <c r="G23" s="53" t="s">
        <v>4</v>
      </c>
      <c r="I23" s="36" t="s">
        <v>100</v>
      </c>
      <c r="J23" s="36" t="s">
        <v>101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46"/>
    </row>
    <row r="24" spans="2:37" x14ac:dyDescent="0.3">
      <c r="B24" s="34"/>
      <c r="C24" s="54" t="str">
        <f t="shared" si="0"/>
        <v/>
      </c>
      <c r="D24" s="37"/>
      <c r="E24" s="35" t="s">
        <v>701</v>
      </c>
      <c r="F24" s="35" t="s">
        <v>99</v>
      </c>
      <c r="G24" s="53" t="s">
        <v>4</v>
      </c>
      <c r="I24" s="36" t="s">
        <v>100</v>
      </c>
      <c r="J24" s="36" t="s">
        <v>101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K24" s="46"/>
    </row>
    <row r="25" spans="2:37" x14ac:dyDescent="0.3">
      <c r="B25" s="34"/>
      <c r="C25" s="54" t="str">
        <f t="shared" si="0"/>
        <v/>
      </c>
      <c r="D25" s="37"/>
      <c r="E25" s="35" t="s">
        <v>701</v>
      </c>
      <c r="F25" s="35" t="s">
        <v>99</v>
      </c>
      <c r="G25" s="53" t="s">
        <v>4</v>
      </c>
      <c r="I25" s="36" t="s">
        <v>100</v>
      </c>
      <c r="J25" s="36" t="s">
        <v>101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K25" s="46"/>
    </row>
    <row r="26" spans="2:37" x14ac:dyDescent="0.3">
      <c r="B26" s="34"/>
      <c r="C26" s="54" t="str">
        <f t="shared" si="0"/>
        <v/>
      </c>
      <c r="D26" s="37"/>
      <c r="E26" s="35" t="s">
        <v>701</v>
      </c>
      <c r="F26" s="35" t="s">
        <v>99</v>
      </c>
      <c r="G26" s="53" t="s">
        <v>4</v>
      </c>
      <c r="I26" s="36" t="s">
        <v>100</v>
      </c>
      <c r="J26" s="36" t="s">
        <v>101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K26" s="46"/>
    </row>
    <row r="27" spans="2:37" x14ac:dyDescent="0.3">
      <c r="B27" s="34"/>
      <c r="C27" s="54" t="str">
        <f t="shared" si="0"/>
        <v/>
      </c>
      <c r="D27" s="37"/>
      <c r="E27" s="35" t="s">
        <v>701</v>
      </c>
      <c r="F27" s="35" t="s">
        <v>99</v>
      </c>
      <c r="G27" s="53" t="s">
        <v>4</v>
      </c>
      <c r="I27" s="36" t="s">
        <v>100</v>
      </c>
      <c r="J27" s="36" t="s">
        <v>101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K27" s="46"/>
    </row>
    <row r="28" spans="2:37" x14ac:dyDescent="0.3">
      <c r="B28" s="34"/>
      <c r="C28" s="54" t="str">
        <f t="shared" si="0"/>
        <v/>
      </c>
      <c r="D28" s="37"/>
      <c r="E28" s="35" t="s">
        <v>701</v>
      </c>
      <c r="F28" s="35" t="s">
        <v>99</v>
      </c>
      <c r="G28" s="53" t="s">
        <v>4</v>
      </c>
      <c r="I28" s="36" t="s">
        <v>100</v>
      </c>
      <c r="J28" s="36" t="s">
        <v>101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K28" s="46"/>
    </row>
    <row r="29" spans="2:37" x14ac:dyDescent="0.3">
      <c r="B29" s="34"/>
      <c r="C29" s="54" t="str">
        <f t="shared" si="0"/>
        <v/>
      </c>
      <c r="D29" s="37"/>
      <c r="E29" s="35" t="s">
        <v>701</v>
      </c>
      <c r="F29" s="35" t="s">
        <v>99</v>
      </c>
      <c r="G29" s="53" t="s">
        <v>4</v>
      </c>
      <c r="I29" s="36" t="s">
        <v>100</v>
      </c>
      <c r="J29" s="36" t="s">
        <v>101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K29" s="46"/>
    </row>
    <row r="30" spans="2:37" x14ac:dyDescent="0.3">
      <c r="B30" s="34"/>
      <c r="C30" s="54" t="str">
        <f t="shared" si="0"/>
        <v/>
      </c>
      <c r="D30" s="37"/>
      <c r="E30" s="35" t="s">
        <v>701</v>
      </c>
      <c r="F30" s="35" t="s">
        <v>99</v>
      </c>
      <c r="G30" s="53" t="s">
        <v>4</v>
      </c>
      <c r="I30" s="36" t="s">
        <v>100</v>
      </c>
      <c r="J30" s="36" t="s">
        <v>101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K30" s="46"/>
    </row>
    <row r="31" spans="2:37" x14ac:dyDescent="0.3">
      <c r="B31" s="34"/>
      <c r="C31" s="54" t="str">
        <f t="shared" si="0"/>
        <v/>
      </c>
      <c r="D31" s="37"/>
      <c r="E31" s="35" t="s">
        <v>701</v>
      </c>
      <c r="F31" s="35" t="s">
        <v>99</v>
      </c>
      <c r="G31" s="53" t="s">
        <v>4</v>
      </c>
      <c r="I31" s="36" t="s">
        <v>100</v>
      </c>
      <c r="J31" s="36" t="s">
        <v>101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K31" s="46"/>
    </row>
    <row r="32" spans="2:37" x14ac:dyDescent="0.3">
      <c r="B32" s="34"/>
      <c r="C32" s="54" t="str">
        <f t="shared" si="0"/>
        <v/>
      </c>
      <c r="D32" s="37"/>
      <c r="E32" s="35" t="s">
        <v>701</v>
      </c>
      <c r="F32" s="35" t="s">
        <v>99</v>
      </c>
      <c r="G32" s="53" t="s">
        <v>4</v>
      </c>
      <c r="I32" s="36" t="s">
        <v>100</v>
      </c>
      <c r="J32" s="36" t="s">
        <v>101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K32" s="46"/>
    </row>
    <row r="33" spans="2:37" x14ac:dyDescent="0.3">
      <c r="B33" s="34"/>
      <c r="C33" s="54" t="str">
        <f t="shared" si="0"/>
        <v/>
      </c>
      <c r="D33" s="37"/>
      <c r="E33" s="35" t="s">
        <v>701</v>
      </c>
      <c r="F33" s="35" t="s">
        <v>99</v>
      </c>
      <c r="G33" s="53" t="s">
        <v>4</v>
      </c>
      <c r="I33" s="36" t="s">
        <v>100</v>
      </c>
      <c r="J33" s="36" t="s">
        <v>101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K33" s="46"/>
    </row>
    <row r="34" spans="2:37" x14ac:dyDescent="0.3">
      <c r="B34" s="34"/>
      <c r="C34" s="54" t="str">
        <f t="shared" si="0"/>
        <v/>
      </c>
      <c r="D34" s="37"/>
      <c r="E34" s="35" t="s">
        <v>701</v>
      </c>
      <c r="F34" s="35" t="s">
        <v>99</v>
      </c>
      <c r="G34" s="53" t="s">
        <v>4</v>
      </c>
      <c r="I34" s="36" t="s">
        <v>100</v>
      </c>
      <c r="J34" s="36" t="s">
        <v>101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K34" s="46"/>
    </row>
    <row r="35" spans="2:37" x14ac:dyDescent="0.3">
      <c r="B35" s="34"/>
      <c r="C35" s="54" t="str">
        <f t="shared" si="0"/>
        <v/>
      </c>
      <c r="D35" s="37"/>
      <c r="E35" s="35" t="s">
        <v>701</v>
      </c>
      <c r="F35" s="35" t="s">
        <v>99</v>
      </c>
      <c r="G35" s="53" t="s">
        <v>4</v>
      </c>
      <c r="I35" s="36" t="s">
        <v>100</v>
      </c>
      <c r="J35" s="36" t="s">
        <v>101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K35" s="46"/>
    </row>
    <row r="36" spans="2:37" x14ac:dyDescent="0.3">
      <c r="B36" s="34"/>
      <c r="C36" s="54" t="str">
        <f t="shared" si="0"/>
        <v/>
      </c>
      <c r="D36" s="37"/>
      <c r="E36" s="35" t="s">
        <v>701</v>
      </c>
      <c r="F36" s="35" t="s">
        <v>99</v>
      </c>
      <c r="G36" s="53" t="s">
        <v>4</v>
      </c>
      <c r="I36" s="36" t="s">
        <v>100</v>
      </c>
      <c r="J36" s="36" t="s">
        <v>101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K36" s="46"/>
    </row>
    <row r="37" spans="2:37" x14ac:dyDescent="0.3">
      <c r="B37" s="34"/>
      <c r="C37" s="54" t="str">
        <f t="shared" si="0"/>
        <v/>
      </c>
      <c r="D37" s="37"/>
      <c r="E37" s="35" t="s">
        <v>701</v>
      </c>
      <c r="F37" s="35" t="s">
        <v>99</v>
      </c>
      <c r="G37" s="53" t="s">
        <v>4</v>
      </c>
      <c r="I37" s="36" t="s">
        <v>100</v>
      </c>
      <c r="J37" s="36" t="s">
        <v>101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K37" s="46"/>
    </row>
    <row r="38" spans="2:37" x14ac:dyDescent="0.3">
      <c r="B38" s="34"/>
      <c r="C38" s="54" t="str">
        <f t="shared" si="0"/>
        <v/>
      </c>
      <c r="D38" s="37"/>
      <c r="E38" s="35" t="s">
        <v>701</v>
      </c>
      <c r="F38" s="35" t="s">
        <v>99</v>
      </c>
      <c r="G38" s="53" t="s">
        <v>4</v>
      </c>
      <c r="I38" s="36" t="s">
        <v>100</v>
      </c>
      <c r="J38" s="36" t="s">
        <v>101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K38" s="46"/>
    </row>
    <row r="39" spans="2:37" x14ac:dyDescent="0.3">
      <c r="B39" s="34"/>
      <c r="C39" s="54" t="str">
        <f t="shared" si="0"/>
        <v/>
      </c>
      <c r="D39" s="37"/>
      <c r="E39" s="35" t="s">
        <v>701</v>
      </c>
      <c r="F39" s="35" t="s">
        <v>99</v>
      </c>
      <c r="G39" s="53" t="s">
        <v>4</v>
      </c>
      <c r="I39" s="36" t="s">
        <v>100</v>
      </c>
      <c r="J39" s="36" t="s">
        <v>101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K39" s="46"/>
    </row>
    <row r="40" spans="2:37" x14ac:dyDescent="0.3">
      <c r="B40" s="34"/>
      <c r="C40" s="54" t="str">
        <f t="shared" si="0"/>
        <v/>
      </c>
      <c r="D40" s="37"/>
      <c r="E40" s="35" t="s">
        <v>701</v>
      </c>
      <c r="F40" s="35" t="s">
        <v>99</v>
      </c>
      <c r="G40" s="53" t="s">
        <v>4</v>
      </c>
      <c r="I40" s="36" t="s">
        <v>100</v>
      </c>
      <c r="J40" s="36" t="s">
        <v>101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K40" s="46"/>
    </row>
    <row r="41" spans="2:37" x14ac:dyDescent="0.3">
      <c r="B41" s="34"/>
      <c r="C41" s="54" t="str">
        <f t="shared" si="0"/>
        <v/>
      </c>
      <c r="D41" s="37"/>
      <c r="E41" s="35" t="s">
        <v>701</v>
      </c>
      <c r="F41" s="35" t="s">
        <v>99</v>
      </c>
      <c r="G41" s="53" t="s">
        <v>4</v>
      </c>
      <c r="I41" s="36" t="s">
        <v>100</v>
      </c>
      <c r="J41" s="36" t="s">
        <v>101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K41" s="46"/>
    </row>
    <row r="42" spans="2:37" x14ac:dyDescent="0.3">
      <c r="B42" s="34"/>
      <c r="C42" s="54" t="str">
        <f t="shared" si="0"/>
        <v/>
      </c>
      <c r="D42" s="37"/>
      <c r="E42" s="35" t="s">
        <v>701</v>
      </c>
      <c r="F42" s="35" t="s">
        <v>99</v>
      </c>
      <c r="G42" s="53" t="s">
        <v>4</v>
      </c>
      <c r="I42" s="36" t="s">
        <v>100</v>
      </c>
      <c r="J42" s="36" t="s">
        <v>101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K42" s="46"/>
    </row>
    <row r="43" spans="2:37" x14ac:dyDescent="0.3">
      <c r="B43" s="34"/>
      <c r="C43" s="54" t="str">
        <f t="shared" si="0"/>
        <v/>
      </c>
      <c r="D43" s="37"/>
      <c r="E43" s="35" t="s">
        <v>701</v>
      </c>
      <c r="F43" s="35" t="s">
        <v>99</v>
      </c>
      <c r="G43" s="53" t="s">
        <v>4</v>
      </c>
      <c r="I43" s="36" t="s">
        <v>100</v>
      </c>
      <c r="J43" s="36" t="s">
        <v>101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K43" s="46"/>
    </row>
    <row r="44" spans="2:37" x14ac:dyDescent="0.3">
      <c r="B44" s="34"/>
      <c r="C44" s="54" t="str">
        <f t="shared" si="0"/>
        <v/>
      </c>
      <c r="D44" s="37"/>
      <c r="E44" s="35" t="s">
        <v>701</v>
      </c>
      <c r="F44" s="35" t="s">
        <v>99</v>
      </c>
      <c r="G44" s="53" t="s">
        <v>4</v>
      </c>
      <c r="I44" s="36" t="s">
        <v>100</v>
      </c>
      <c r="J44" s="36" t="s">
        <v>101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K44" s="46"/>
    </row>
    <row r="45" spans="2:37" x14ac:dyDescent="0.3">
      <c r="B45" s="34"/>
      <c r="C45" s="54" t="str">
        <f t="shared" si="0"/>
        <v/>
      </c>
      <c r="D45" s="37"/>
      <c r="E45" s="35" t="s">
        <v>701</v>
      </c>
      <c r="F45" s="35" t="s">
        <v>99</v>
      </c>
      <c r="G45" s="53" t="s">
        <v>4</v>
      </c>
      <c r="I45" s="36" t="s">
        <v>100</v>
      </c>
      <c r="J45" s="36" t="s">
        <v>101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K45" s="46"/>
    </row>
    <row r="46" spans="2:37" x14ac:dyDescent="0.3">
      <c r="B46" s="34"/>
      <c r="C46" s="54" t="str">
        <f t="shared" si="0"/>
        <v/>
      </c>
      <c r="D46" s="37"/>
      <c r="E46" s="35" t="s">
        <v>701</v>
      </c>
      <c r="F46" s="35" t="s">
        <v>99</v>
      </c>
      <c r="G46" s="53" t="s">
        <v>4</v>
      </c>
      <c r="I46" s="36" t="s">
        <v>100</v>
      </c>
      <c r="J46" s="36" t="s">
        <v>101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K46" s="46"/>
    </row>
    <row r="47" spans="2:37" x14ac:dyDescent="0.3">
      <c r="B47" s="34"/>
      <c r="C47" s="54" t="str">
        <f t="shared" si="0"/>
        <v/>
      </c>
      <c r="D47" s="37"/>
      <c r="E47" s="35" t="s">
        <v>701</v>
      </c>
      <c r="F47" s="35" t="s">
        <v>99</v>
      </c>
      <c r="G47" s="53" t="s">
        <v>4</v>
      </c>
      <c r="I47" s="36" t="s">
        <v>100</v>
      </c>
      <c r="J47" s="36" t="s">
        <v>101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K47" s="46"/>
    </row>
    <row r="48" spans="2:37" x14ac:dyDescent="0.3">
      <c r="B48" s="34"/>
      <c r="C48" s="54" t="str">
        <f t="shared" si="0"/>
        <v/>
      </c>
      <c r="D48" s="37"/>
      <c r="E48" s="35" t="s">
        <v>701</v>
      </c>
      <c r="F48" s="35" t="s">
        <v>99</v>
      </c>
      <c r="G48" s="53" t="s">
        <v>4</v>
      </c>
      <c r="I48" s="36" t="s">
        <v>100</v>
      </c>
      <c r="J48" s="36" t="s">
        <v>101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K48" s="46"/>
    </row>
    <row r="49" spans="2:37" x14ac:dyDescent="0.3">
      <c r="B49" s="34"/>
      <c r="C49" s="54" t="str">
        <f t="shared" si="0"/>
        <v/>
      </c>
      <c r="D49" s="37"/>
      <c r="E49" s="35" t="s">
        <v>701</v>
      </c>
      <c r="F49" s="35" t="s">
        <v>99</v>
      </c>
      <c r="G49" s="53" t="s">
        <v>4</v>
      </c>
      <c r="I49" s="36" t="s">
        <v>100</v>
      </c>
      <c r="J49" s="36" t="s">
        <v>101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K49" s="46"/>
    </row>
    <row r="50" spans="2:37" x14ac:dyDescent="0.3">
      <c r="B50" s="34"/>
      <c r="C50" s="54" t="str">
        <f t="shared" si="0"/>
        <v/>
      </c>
      <c r="D50" s="37"/>
      <c r="E50" s="35" t="s">
        <v>701</v>
      </c>
      <c r="F50" s="35" t="s">
        <v>99</v>
      </c>
      <c r="G50" s="53" t="s">
        <v>4</v>
      </c>
      <c r="I50" s="36" t="s">
        <v>100</v>
      </c>
      <c r="J50" s="36" t="s">
        <v>101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K50" s="46"/>
    </row>
    <row r="51" spans="2:37" x14ac:dyDescent="0.3">
      <c r="B51" s="34"/>
      <c r="C51" s="54" t="str">
        <f t="shared" si="0"/>
        <v/>
      </c>
      <c r="D51" s="37"/>
      <c r="E51" s="35" t="s">
        <v>701</v>
      </c>
      <c r="F51" s="35" t="s">
        <v>99</v>
      </c>
      <c r="G51" s="53" t="s">
        <v>4</v>
      </c>
      <c r="I51" s="36" t="s">
        <v>100</v>
      </c>
      <c r="J51" s="36" t="s">
        <v>101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K51" s="46"/>
    </row>
    <row r="52" spans="2:37" x14ac:dyDescent="0.3">
      <c r="B52" s="34"/>
      <c r="C52" s="54" t="str">
        <f t="shared" si="0"/>
        <v/>
      </c>
      <c r="D52" s="37"/>
      <c r="E52" s="35" t="s">
        <v>701</v>
      </c>
      <c r="F52" s="35" t="s">
        <v>99</v>
      </c>
      <c r="G52" s="53" t="s">
        <v>4</v>
      </c>
      <c r="I52" s="36" t="s">
        <v>100</v>
      </c>
      <c r="J52" s="36" t="s">
        <v>101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K52" s="46"/>
    </row>
    <row r="53" spans="2:37" x14ac:dyDescent="0.3">
      <c r="B53" s="34"/>
      <c r="C53" s="54" t="str">
        <f t="shared" si="0"/>
        <v/>
      </c>
      <c r="D53" s="37"/>
      <c r="E53" s="35" t="s">
        <v>701</v>
      </c>
      <c r="F53" s="35" t="s">
        <v>99</v>
      </c>
      <c r="G53" s="53" t="s">
        <v>4</v>
      </c>
      <c r="I53" s="36" t="s">
        <v>100</v>
      </c>
      <c r="J53" s="36" t="s">
        <v>101</v>
      </c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K53" s="46"/>
    </row>
    <row r="54" spans="2:37" x14ac:dyDescent="0.3">
      <c r="B54" s="34"/>
      <c r="C54" s="54" t="str">
        <f t="shared" si="0"/>
        <v/>
      </c>
      <c r="D54" s="37"/>
      <c r="E54" s="35" t="s">
        <v>701</v>
      </c>
      <c r="F54" s="35" t="s">
        <v>99</v>
      </c>
      <c r="G54" s="53" t="s">
        <v>4</v>
      </c>
      <c r="I54" s="36" t="s">
        <v>100</v>
      </c>
      <c r="J54" s="36" t="s">
        <v>101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K54" s="47"/>
    </row>
  </sheetData>
  <sortState ref="B5:B61">
    <sortCondition ref="B5"/>
  </sortState>
  <mergeCells count="3">
    <mergeCell ref="I3:AI3"/>
    <mergeCell ref="AJ1:AJ2"/>
    <mergeCell ref="H1:H2"/>
  </mergeCells>
  <conditionalFormatting sqref="B5">
    <cfRule type="beginsWith" dxfId="25" priority="84" operator="beginsWith" text="L">
      <formula>LEFT(B5,LEN("L"))="L"</formula>
    </cfRule>
  </conditionalFormatting>
  <conditionalFormatting sqref="D5">
    <cfRule type="beginsWith" dxfId="24" priority="53" operator="beginsWith" text="L">
      <formula>LEFT(D5,LEN("L"))="L"</formula>
    </cfRule>
  </conditionalFormatting>
  <conditionalFormatting sqref="B6:B54">
    <cfRule type="beginsWith" dxfId="23" priority="22" operator="beginsWith" text="L">
      <formula>LEFT(B6,LEN("L"))="L"</formula>
    </cfRule>
  </conditionalFormatting>
  <conditionalFormatting sqref="D6:D54">
    <cfRule type="beginsWith" dxfId="22" priority="21" operator="beginsWith" text="L">
      <formula>LEFT(D6,LEN("L"))="L"</formula>
    </cfRule>
  </conditionalFormatting>
  <conditionalFormatting sqref="AK1:AK1048576">
    <cfRule type="containsText" dxfId="21" priority="1" operator="containsText" text="criadas">
      <formula>NOT(ISERROR(SEARCH("criadas",AK1)))</formula>
    </cfRule>
    <cfRule type="containsText" dxfId="20" priority="3" operator="containsText" text="é gravado">
      <formula>NOT(ISERROR(SEARCH("é gravado",AK1)))</formula>
    </cfRule>
    <cfRule type="containsText" dxfId="19" priority="4" operator="containsText" text="é modificado">
      <formula>NOT(ISERROR(SEARCH("é modificado",AK1)))</formula>
    </cfRule>
    <cfRule type="containsText" dxfId="18" priority="5" operator="containsText" text="Error">
      <formula>NOT(ISERROR(SEARCH("Error",AK1)))</formula>
    </cfRule>
    <cfRule type="containsText" dxfId="17" priority="6" operator="containsText" text="é criado">
      <formula>NOT(ISERROR(SEARCH("é criado",AK1)))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Spinner 4">
              <controlPr defaultSize="0" autoPict="0" macro="[0]!NumeroExe">
                <anchor moveWithCells="1" siz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I5:AI54</xm:sqref>
        </x14:dataValidation>
        <x14:dataValidation type="list" allowBlank="1" showInputMessage="1" showErrorMessage="1">
          <x14:formula1>
            <xm:f>'Listas de Dados'!$B$4:$B$5</xm:f>
          </x14:formula1>
          <xm:sqref>G5:G54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3" width="15.7109375" style="6" customWidth="1"/>
    <col min="4" max="4" width="75.7109375" style="1" customWidth="1"/>
    <col min="5" max="5" width="22" style="1" bestFit="1" customWidth="1"/>
    <col min="6" max="16384" width="9.140625" style="1"/>
  </cols>
  <sheetData>
    <row r="1" spans="1:4" s="31" customFormat="1" x14ac:dyDescent="0.3">
      <c r="A1" s="7" t="s">
        <v>28</v>
      </c>
      <c r="D1" s="44"/>
    </row>
    <row r="2" spans="1:4" s="33" customFormat="1" x14ac:dyDescent="0.3">
      <c r="A2" s="7"/>
      <c r="B2" s="32"/>
      <c r="C2" s="31"/>
    </row>
    <row r="3" spans="1:4" s="31" customFormat="1" ht="15" customHeight="1" x14ac:dyDescent="0.3">
      <c r="A3" s="7" t="s">
        <v>29</v>
      </c>
      <c r="B3" s="4" t="s">
        <v>702</v>
      </c>
      <c r="C3" s="30" t="s">
        <v>703</v>
      </c>
      <c r="D3" s="44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14" t="s">
        <v>93</v>
      </c>
      <c r="D4" s="5" t="s">
        <v>696</v>
      </c>
    </row>
    <row r="5" spans="1:4" x14ac:dyDescent="0.3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3">
      <c r="A6" s="7" t="str">
        <f t="shared" ref="A6:A54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3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3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3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3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3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3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3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3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3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3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3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3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3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3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3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3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3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3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3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3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3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3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3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3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3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3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3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3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3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3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3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3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3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3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3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3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3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3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3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3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3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3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3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3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3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3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3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3">
      <c r="A54" s="7" t="str">
        <f t="shared" si="0"/>
        <v>Execução 50</v>
      </c>
      <c r="B54" s="34"/>
      <c r="C54" s="54" t="str">
        <f t="shared" si="1"/>
        <v/>
      </c>
      <c r="D54" s="47"/>
    </row>
  </sheetData>
  <conditionalFormatting sqref="B5">
    <cfRule type="beginsWith" dxfId="16" priority="57" operator="beginsWith" text="L">
      <formula>LEFT(B5,LEN("L"))="L"</formula>
    </cfRule>
  </conditionalFormatting>
  <conditionalFormatting sqref="B6:B14">
    <cfRule type="beginsWith" dxfId="15" priority="41" operator="beginsWith" text="L">
      <formula>LEFT(B6,LEN("L"))="L"</formula>
    </cfRule>
  </conditionalFormatting>
  <conditionalFormatting sqref="B15:B54">
    <cfRule type="beginsWith" dxfId="14" priority="27" operator="beginsWith" text="L">
      <formula>LEFT(B15,LEN("L"))="L"</formula>
    </cfRule>
  </conditionalFormatting>
  <conditionalFormatting sqref="D1:D1048576">
    <cfRule type="containsText" dxfId="13" priority="2" operator="containsText" text="criadas">
      <formula>NOT(ISERROR(SEARCH("criadas",D1)))</formula>
    </cfRule>
    <cfRule type="containsText" dxfId="12" priority="3" operator="containsText" text="é gravado">
      <formula>NOT(ISERROR(SEARCH("é gravado",D1)))</formula>
    </cfRule>
    <cfRule type="containsText" dxfId="11" priority="4" operator="containsText" text="é modificado">
      <formula>NOT(ISERROR(SEARCH("é modificado",D1)))</formula>
    </cfRule>
    <cfRule type="containsText" dxfId="10" priority="5" operator="containsText" text="Error">
      <formula>NOT(ISERROR(SEARCH("Error",D1)))</formula>
    </cfRule>
    <cfRule type="containsText" dxfId="9" priority="6" operator="containsText" text="é criado">
      <formula>NOT(ISERROR(SEARCH("é criado",D1)))</formula>
    </cfRule>
    <cfRule type="containsText" dxfId="8" priority="1" operator="containsText" text="dados gravados">
      <formula>NOT(ISERROR(SEARCH("dados gravados",D1)))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142875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2.75" x14ac:dyDescent="0.3"/>
  <cols>
    <col min="1" max="1" width="11.7109375" style="7" bestFit="1" customWidth="1"/>
    <col min="2" max="3" width="15.7109375" style="6" customWidth="1"/>
    <col min="4" max="4" width="100.7109375" style="1" customWidth="1"/>
    <col min="5" max="5" width="22" style="1" bestFit="1" customWidth="1"/>
    <col min="6" max="16384" width="9.140625" style="1"/>
  </cols>
  <sheetData>
    <row r="1" spans="1:4" s="31" customFormat="1" x14ac:dyDescent="0.3">
      <c r="A1" s="7" t="s">
        <v>28</v>
      </c>
      <c r="B1" s="51"/>
      <c r="D1" s="44"/>
    </row>
    <row r="2" spans="1:4" s="33" customFormat="1" x14ac:dyDescent="0.3">
      <c r="A2" s="7"/>
      <c r="B2" s="51"/>
      <c r="C2" s="31"/>
    </row>
    <row r="3" spans="1:4" s="31" customFormat="1" ht="15" customHeight="1" x14ac:dyDescent="0.3">
      <c r="A3" s="7" t="s">
        <v>29</v>
      </c>
      <c r="B3" s="4" t="s">
        <v>704</v>
      </c>
      <c r="C3" s="4" t="s">
        <v>705</v>
      </c>
      <c r="D3" s="44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3" t="s">
        <v>93</v>
      </c>
      <c r="D4" s="5" t="s">
        <v>696</v>
      </c>
    </row>
    <row r="5" spans="1:4" x14ac:dyDescent="0.3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3">
      <c r="A6" s="7" t="str">
        <f t="shared" ref="A6:A54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3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3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3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3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3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3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3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3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3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3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3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3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3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3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3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3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3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3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3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3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3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3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3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3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3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3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3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3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3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3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3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3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3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3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3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3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3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3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3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3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3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3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3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3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3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3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3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3">
      <c r="A54" s="7" t="str">
        <f t="shared" si="0"/>
        <v>Execução 50</v>
      </c>
      <c r="B54" s="34"/>
      <c r="C54" s="54" t="str">
        <f t="shared" si="1"/>
        <v/>
      </c>
      <c r="D54" s="47"/>
    </row>
  </sheetData>
  <conditionalFormatting sqref="B5">
    <cfRule type="beginsWith" dxfId="7" priority="26" operator="beginsWith" text="L">
      <formula>LEFT(B5,LEN("L"))="L"</formula>
    </cfRule>
  </conditionalFormatting>
  <conditionalFormatting sqref="B6:B54">
    <cfRule type="beginsWith" dxfId="6" priority="23" operator="beginsWith" text="L">
      <formula>LEFT(B6,LEN("L"))="L"</formula>
    </cfRule>
  </conditionalFormatting>
  <conditionalFormatting sqref="D1:D1048576">
    <cfRule type="containsText" dxfId="5" priority="2" operator="containsText" text="criadas">
      <formula>NOT(ISERROR(SEARCH("criadas",D1)))</formula>
    </cfRule>
    <cfRule type="containsText" dxfId="4" priority="3" operator="containsText" text="é gravado">
      <formula>NOT(ISERROR(SEARCH("é gravado",D1)))</formula>
    </cfRule>
    <cfRule type="containsText" dxfId="3" priority="4" operator="containsText" text="é modificado">
      <formula>NOT(ISERROR(SEARCH("é modificado",D1)))</formula>
    </cfRule>
    <cfRule type="containsText" dxfId="2" priority="5" operator="containsText" text="Error">
      <formula>NOT(ISERROR(SEARCH("Error",D1)))</formula>
    </cfRule>
    <cfRule type="containsText" dxfId="1" priority="6" operator="containsText" text="é criado">
      <formula>NOT(ISERROR(SEARCH("é criado",D1)))</formula>
    </cfRule>
    <cfRule type="containsText" dxfId="0" priority="1" operator="containsText" text="será modificada">
      <formula>NOT(ISERROR(SEARCH("será modificada",D1)))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7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8"/>
      <c r="BM1" s="38"/>
      <c r="BN1" s="38"/>
      <c r="BO1" s="38"/>
      <c r="BP1" s="38"/>
      <c r="BQ1" s="38"/>
      <c r="BR1" s="38"/>
    </row>
    <row r="2" spans="1:70" s="2" customFormat="1" ht="17.100000000000001" customHeight="1" x14ac:dyDescent="0.3">
      <c r="A2" s="57"/>
      <c r="B2" s="57" t="s">
        <v>10</v>
      </c>
      <c r="C2" s="57"/>
      <c r="D2" s="57"/>
      <c r="E2" s="57"/>
      <c r="F2" s="15"/>
      <c r="G2" s="57" t="s">
        <v>33</v>
      </c>
      <c r="H2" s="57"/>
      <c r="I2" s="15"/>
      <c r="J2" s="57" t="s">
        <v>126</v>
      </c>
      <c r="K2" s="57"/>
      <c r="L2" s="15"/>
      <c r="M2" s="57" t="s">
        <v>158</v>
      </c>
      <c r="N2" s="57"/>
      <c r="O2" s="15"/>
      <c r="P2" s="57" t="s">
        <v>170</v>
      </c>
      <c r="Q2" s="57"/>
      <c r="R2" s="57"/>
      <c r="S2" s="57"/>
      <c r="T2" s="57"/>
      <c r="U2" s="57"/>
      <c r="V2" s="57"/>
      <c r="W2" s="57"/>
      <c r="X2" s="57"/>
      <c r="Y2" s="57"/>
      <c r="Z2" s="28"/>
      <c r="AA2" s="57" t="s">
        <v>272</v>
      </c>
      <c r="AB2" s="57"/>
      <c r="AC2" s="15"/>
      <c r="AD2" s="57" t="s">
        <v>275</v>
      </c>
      <c r="AE2" s="57"/>
      <c r="AF2" s="18"/>
      <c r="AG2" s="18" t="s">
        <v>275</v>
      </c>
      <c r="AH2" s="20"/>
      <c r="AI2" s="57" t="s">
        <v>307</v>
      </c>
      <c r="AJ2" s="57"/>
      <c r="AK2" s="20"/>
      <c r="AL2" s="57" t="s">
        <v>331</v>
      </c>
      <c r="AM2" s="57"/>
      <c r="AN2" s="20"/>
      <c r="AO2" s="57" t="s">
        <v>33</v>
      </c>
      <c r="AP2" s="57"/>
      <c r="AQ2" s="20"/>
      <c r="AR2" s="57" t="s">
        <v>332</v>
      </c>
      <c r="AS2" s="57"/>
      <c r="AT2" s="20"/>
      <c r="AU2" s="57" t="s">
        <v>346</v>
      </c>
      <c r="AV2" s="57"/>
      <c r="AW2" s="20"/>
      <c r="AX2" s="57" t="s">
        <v>408</v>
      </c>
      <c r="AY2" s="57"/>
      <c r="AZ2" s="22"/>
      <c r="BA2" s="57" t="s">
        <v>420</v>
      </c>
      <c r="BB2" s="57"/>
      <c r="BC2" s="57"/>
      <c r="BD2" s="57"/>
      <c r="BE2" s="24"/>
      <c r="BF2" s="57" t="s">
        <v>566</v>
      </c>
      <c r="BG2" s="57"/>
      <c r="BH2" s="57"/>
      <c r="BI2" s="31"/>
      <c r="BJ2" s="57" t="s">
        <v>618</v>
      </c>
      <c r="BK2" s="57"/>
      <c r="BL2" s="38"/>
      <c r="BM2" s="38" t="s">
        <v>98</v>
      </c>
      <c r="BN2" s="38"/>
      <c r="BO2" s="57" t="s">
        <v>689</v>
      </c>
      <c r="BP2" s="57"/>
      <c r="BQ2" s="38"/>
      <c r="BR2" s="38" t="s">
        <v>690</v>
      </c>
    </row>
    <row r="3" spans="1:70" s="2" customFormat="1" ht="17.100000000000001" customHeight="1" x14ac:dyDescent="0.3">
      <c r="A3" s="5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20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0" t="s">
        <v>93</v>
      </c>
      <c r="T3" s="2" t="s">
        <v>173</v>
      </c>
      <c r="U3" s="20" t="s">
        <v>93</v>
      </c>
      <c r="V3" s="2" t="s">
        <v>174</v>
      </c>
      <c r="W3" s="20" t="s">
        <v>93</v>
      </c>
      <c r="X3" s="2" t="s">
        <v>175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607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418</v>
      </c>
      <c r="BB3" s="22" t="s">
        <v>419</v>
      </c>
      <c r="BC3" s="2" t="s">
        <v>416</v>
      </c>
      <c r="BD3" s="2" t="s">
        <v>417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616</v>
      </c>
      <c r="BK3" s="31" t="s">
        <v>0</v>
      </c>
      <c r="BL3" s="38"/>
      <c r="BM3" s="38" t="s">
        <v>616</v>
      </c>
      <c r="BN3" s="38"/>
      <c r="BO3" s="38" t="s">
        <v>616</v>
      </c>
      <c r="BP3" s="38" t="s">
        <v>93</v>
      </c>
      <c r="BQ3" s="38"/>
      <c r="BR3" s="38" t="s">
        <v>691</v>
      </c>
    </row>
    <row r="4" spans="1:70" x14ac:dyDescent="0.3">
      <c r="A4" s="39" t="s">
        <v>693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100</v>
      </c>
      <c r="K4" s="10" t="s">
        <v>280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308</v>
      </c>
      <c r="AL4" s="17" t="s">
        <v>318</v>
      </c>
      <c r="AM4" s="21" t="s">
        <v>319</v>
      </c>
      <c r="AO4" s="17" t="s">
        <v>34</v>
      </c>
      <c r="AP4" s="21" t="s">
        <v>35</v>
      </c>
      <c r="AR4" s="17" t="s">
        <v>333</v>
      </c>
      <c r="AS4" s="21" t="s">
        <v>334</v>
      </c>
      <c r="AU4" s="17" t="s">
        <v>347</v>
      </c>
      <c r="AV4" s="21" t="s">
        <v>376</v>
      </c>
      <c r="AX4" s="17" t="s">
        <v>409</v>
      </c>
      <c r="AY4" s="21" t="s">
        <v>410</v>
      </c>
      <c r="BA4" s="17" t="s">
        <v>421</v>
      </c>
      <c r="BB4" s="17" t="s">
        <v>14</v>
      </c>
      <c r="BC4" s="21" t="s">
        <v>422</v>
      </c>
      <c r="BD4" s="21" t="s">
        <v>422</v>
      </c>
      <c r="BF4" s="17" t="s">
        <v>536</v>
      </c>
      <c r="BG4" s="17" t="s">
        <v>537</v>
      </c>
      <c r="BH4" s="17" t="s">
        <v>4</v>
      </c>
      <c r="BJ4" s="17" t="s">
        <v>615</v>
      </c>
      <c r="BK4" s="17" t="s">
        <v>4</v>
      </c>
      <c r="BM4" s="17" t="s">
        <v>624</v>
      </c>
      <c r="BO4" s="17" t="s">
        <v>629</v>
      </c>
      <c r="BP4" s="17" t="s">
        <v>630</v>
      </c>
      <c r="BR4" s="17" t="s">
        <v>274</v>
      </c>
    </row>
    <row r="5" spans="1:70" x14ac:dyDescent="0.3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101</v>
      </c>
      <c r="K5" s="10" t="s">
        <v>281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694</v>
      </c>
      <c r="AD5" s="10" t="s">
        <v>276</v>
      </c>
      <c r="AE5" s="19" t="s">
        <v>608</v>
      </c>
      <c r="AG5" s="19" t="s">
        <v>277</v>
      </c>
      <c r="AI5" s="10">
        <v>2</v>
      </c>
      <c r="AJ5" s="19" t="s">
        <v>309</v>
      </c>
      <c r="AL5" s="17" t="s">
        <v>320</v>
      </c>
      <c r="AM5" s="21" t="s">
        <v>321</v>
      </c>
      <c r="AO5" s="17" t="s">
        <v>36</v>
      </c>
      <c r="AP5" s="21" t="s">
        <v>37</v>
      </c>
      <c r="AR5" s="17" t="s">
        <v>335</v>
      </c>
      <c r="AS5" s="21" t="s">
        <v>336</v>
      </c>
      <c r="AU5" s="17" t="s">
        <v>348</v>
      </c>
      <c r="AV5" s="21" t="s">
        <v>377</v>
      </c>
      <c r="AX5" s="17" t="s">
        <v>411</v>
      </c>
      <c r="AY5" s="21" t="s">
        <v>412</v>
      </c>
      <c r="BA5" s="17" t="s">
        <v>423</v>
      </c>
      <c r="BB5" s="17" t="s">
        <v>453</v>
      </c>
      <c r="BC5" s="21" t="s">
        <v>424</v>
      </c>
      <c r="BD5" s="21" t="s">
        <v>425</v>
      </c>
      <c r="BF5" s="17" t="s">
        <v>538</v>
      </c>
      <c r="BG5" s="17" t="s">
        <v>539</v>
      </c>
      <c r="BH5" s="17" t="s">
        <v>4</v>
      </c>
      <c r="BJ5" s="17" t="s">
        <v>617</v>
      </c>
      <c r="BK5" s="17" t="s">
        <v>9</v>
      </c>
      <c r="BM5" s="17" t="s">
        <v>614</v>
      </c>
      <c r="BO5" s="17" t="s">
        <v>631</v>
      </c>
      <c r="BP5" s="17" t="s">
        <v>632</v>
      </c>
      <c r="BR5" s="17" t="s">
        <v>622</v>
      </c>
    </row>
    <row r="6" spans="1:70" ht="15" x14ac:dyDescent="0.3">
      <c r="A6"/>
      <c r="C6" s="10" t="s">
        <v>13</v>
      </c>
      <c r="D6" s="10" t="s">
        <v>7</v>
      </c>
      <c r="G6" s="10" t="s">
        <v>38</v>
      </c>
      <c r="H6" s="19" t="s">
        <v>39</v>
      </c>
      <c r="J6" s="10" t="s">
        <v>102</v>
      </c>
      <c r="K6" s="10" t="s">
        <v>282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608</v>
      </c>
      <c r="AG6" s="19"/>
      <c r="AI6" s="10" t="s">
        <v>310</v>
      </c>
      <c r="AJ6" s="19" t="s">
        <v>311</v>
      </c>
      <c r="AL6" s="17" t="s">
        <v>322</v>
      </c>
      <c r="AM6" s="21" t="s">
        <v>323</v>
      </c>
      <c r="AO6" s="17" t="s">
        <v>38</v>
      </c>
      <c r="AP6" s="21" t="s">
        <v>39</v>
      </c>
      <c r="AR6" s="17" t="s">
        <v>8</v>
      </c>
      <c r="AS6" s="21" t="s">
        <v>337</v>
      </c>
      <c r="AU6" s="17" t="s">
        <v>349</v>
      </c>
      <c r="AV6" s="21" t="s">
        <v>378</v>
      </c>
      <c r="AX6" s="17" t="s">
        <v>262</v>
      </c>
      <c r="AY6" s="21" t="s">
        <v>413</v>
      </c>
      <c r="BA6" s="17" t="s">
        <v>426</v>
      </c>
      <c r="BB6" s="17" t="s">
        <v>454</v>
      </c>
      <c r="BC6" s="21"/>
      <c r="BD6" s="21"/>
      <c r="BF6" s="17" t="s">
        <v>540</v>
      </c>
      <c r="BG6" s="17" t="s">
        <v>541</v>
      </c>
      <c r="BH6" s="17" t="s">
        <v>4</v>
      </c>
      <c r="BJ6" s="17" t="s">
        <v>619</v>
      </c>
      <c r="BK6" s="17" t="s">
        <v>4</v>
      </c>
      <c r="BM6" s="17" t="s">
        <v>625</v>
      </c>
      <c r="BO6" s="17" t="s">
        <v>633</v>
      </c>
      <c r="BP6" s="17" t="s">
        <v>634</v>
      </c>
      <c r="BR6" s="17" t="s">
        <v>99</v>
      </c>
    </row>
    <row r="7" spans="1:70" ht="15" x14ac:dyDescent="0.3">
      <c r="A7"/>
      <c r="C7" s="10" t="s">
        <v>14</v>
      </c>
      <c r="D7" s="10" t="s">
        <v>25</v>
      </c>
      <c r="G7" s="10" t="s">
        <v>40</v>
      </c>
      <c r="H7" s="19" t="s">
        <v>41</v>
      </c>
      <c r="J7" s="10" t="s">
        <v>103</v>
      </c>
      <c r="K7" s="10" t="s">
        <v>283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609</v>
      </c>
      <c r="AE7" s="19" t="s">
        <v>610</v>
      </c>
      <c r="AG7" s="19"/>
      <c r="AI7" s="10" t="s">
        <v>312</v>
      </c>
      <c r="AJ7" s="19"/>
      <c r="AL7" s="17" t="s">
        <v>324</v>
      </c>
      <c r="AM7" s="21"/>
      <c r="AO7" s="17" t="s">
        <v>40</v>
      </c>
      <c r="AP7" s="21" t="s">
        <v>41</v>
      </c>
      <c r="AR7" s="17" t="s">
        <v>27</v>
      </c>
      <c r="AS7" s="21" t="s">
        <v>692</v>
      </c>
      <c r="AU7" s="17" t="s">
        <v>350</v>
      </c>
      <c r="AV7" s="21" t="s">
        <v>379</v>
      </c>
      <c r="AX7" s="17" t="s">
        <v>90</v>
      </c>
      <c r="AY7" s="21" t="s">
        <v>414</v>
      </c>
      <c r="BA7" s="17" t="s">
        <v>427</v>
      </c>
      <c r="BB7" s="17" t="s">
        <v>455</v>
      </c>
      <c r="BC7" s="21"/>
      <c r="BD7" s="21"/>
      <c r="BF7" s="17" t="s">
        <v>542</v>
      </c>
      <c r="BG7" s="17" t="s">
        <v>543</v>
      </c>
      <c r="BH7" s="17" t="s">
        <v>4</v>
      </c>
      <c r="BJ7" s="17" t="s">
        <v>620</v>
      </c>
      <c r="BK7" s="17" t="s">
        <v>9</v>
      </c>
      <c r="BM7" s="17" t="s">
        <v>626</v>
      </c>
      <c r="BO7" s="17" t="s">
        <v>635</v>
      </c>
      <c r="BP7" s="17" t="s">
        <v>636</v>
      </c>
      <c r="BR7" s="17"/>
    </row>
    <row r="8" spans="1:70" ht="15" x14ac:dyDescent="0.3">
      <c r="A8"/>
      <c r="C8" s="10" t="s">
        <v>15</v>
      </c>
      <c r="D8" s="10" t="s">
        <v>26</v>
      </c>
      <c r="G8" s="10" t="s">
        <v>42</v>
      </c>
      <c r="H8" s="19" t="s">
        <v>43</v>
      </c>
      <c r="J8" s="10" t="s">
        <v>104</v>
      </c>
      <c r="K8" s="10" t="s">
        <v>284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611</v>
      </c>
      <c r="AE8" s="19" t="s">
        <v>608</v>
      </c>
      <c r="AG8" s="19"/>
      <c r="AI8" s="10" t="s">
        <v>313</v>
      </c>
      <c r="AJ8" s="19" t="s">
        <v>314</v>
      </c>
      <c r="AL8" s="17" t="s">
        <v>325</v>
      </c>
      <c r="AM8" s="21" t="s">
        <v>326</v>
      </c>
      <c r="AO8" s="17" t="s">
        <v>42</v>
      </c>
      <c r="AP8" s="21" t="s">
        <v>43</v>
      </c>
      <c r="AR8" s="17" t="s">
        <v>339</v>
      </c>
      <c r="AS8" s="21" t="s">
        <v>338</v>
      </c>
      <c r="AU8" s="17" t="s">
        <v>351</v>
      </c>
      <c r="AV8" s="21" t="s">
        <v>380</v>
      </c>
      <c r="AX8" s="17"/>
      <c r="AY8" s="21" t="s">
        <v>415</v>
      </c>
      <c r="BA8" s="17" t="s">
        <v>428</v>
      </c>
      <c r="BB8" s="17" t="s">
        <v>456</v>
      </c>
      <c r="BC8" s="21"/>
      <c r="BD8" s="21"/>
      <c r="BF8" s="17" t="s">
        <v>544</v>
      </c>
      <c r="BG8" s="17" t="s">
        <v>545</v>
      </c>
      <c r="BH8" s="17" t="s">
        <v>4</v>
      </c>
      <c r="BJ8"/>
      <c r="BK8"/>
      <c r="BM8" s="17" t="s">
        <v>627</v>
      </c>
      <c r="BO8" s="17" t="s">
        <v>637</v>
      </c>
      <c r="BP8" s="17" t="s">
        <v>638</v>
      </c>
      <c r="BR8" s="17"/>
    </row>
    <row r="9" spans="1:70" ht="15" x14ac:dyDescent="0.3">
      <c r="A9" s="42" t="s">
        <v>695</v>
      </c>
      <c r="C9" s="10" t="s">
        <v>16</v>
      </c>
      <c r="G9" s="10" t="s">
        <v>44</v>
      </c>
      <c r="H9" s="19" t="s">
        <v>45</v>
      </c>
      <c r="J9" s="10" t="s">
        <v>105</v>
      </c>
      <c r="K9" s="10" t="s">
        <v>285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612</v>
      </c>
      <c r="AE9" s="19" t="s">
        <v>608</v>
      </c>
      <c r="AI9" s="10" t="s">
        <v>315</v>
      </c>
      <c r="AJ9" s="19" t="s">
        <v>316</v>
      </c>
      <c r="AL9" s="17" t="s">
        <v>327</v>
      </c>
      <c r="AM9" s="21" t="s">
        <v>328</v>
      </c>
      <c r="AO9" s="17" t="s">
        <v>44</v>
      </c>
      <c r="AP9" s="21" t="s">
        <v>45</v>
      </c>
      <c r="AR9" s="17" t="s">
        <v>340</v>
      </c>
      <c r="AS9" s="21" t="s">
        <v>341</v>
      </c>
      <c r="AU9" s="17" t="s">
        <v>352</v>
      </c>
      <c r="AV9" s="21" t="s">
        <v>381</v>
      </c>
      <c r="BA9" s="17" t="s">
        <v>429</v>
      </c>
      <c r="BB9" s="17" t="s">
        <v>457</v>
      </c>
      <c r="BC9" s="21"/>
      <c r="BD9" s="21"/>
      <c r="BF9" s="17" t="s">
        <v>546</v>
      </c>
      <c r="BG9" s="17" t="s">
        <v>547</v>
      </c>
      <c r="BH9" s="17" t="s">
        <v>4</v>
      </c>
      <c r="BJ9"/>
      <c r="BK9"/>
      <c r="BM9" s="17" t="s">
        <v>628</v>
      </c>
      <c r="BO9" s="17" t="s">
        <v>639</v>
      </c>
      <c r="BP9" s="17" t="s">
        <v>640</v>
      </c>
      <c r="BR9" s="17"/>
    </row>
    <row r="10" spans="1:70" ht="15" x14ac:dyDescent="0.3">
      <c r="A10" s="39" t="s">
        <v>697</v>
      </c>
      <c r="C10" s="10" t="s">
        <v>17</v>
      </c>
      <c r="G10" s="10" t="s">
        <v>46</v>
      </c>
      <c r="H10" s="19" t="s">
        <v>47</v>
      </c>
      <c r="J10" s="10" t="s">
        <v>106</v>
      </c>
      <c r="K10" s="10" t="s">
        <v>286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613</v>
      </c>
      <c r="AE10" s="19" t="s">
        <v>608</v>
      </c>
      <c r="AI10" s="10" t="s">
        <v>306</v>
      </c>
      <c r="AJ10" s="19" t="s">
        <v>316</v>
      </c>
      <c r="AL10" s="17" t="s">
        <v>329</v>
      </c>
      <c r="AM10" s="21" t="s">
        <v>330</v>
      </c>
      <c r="AO10" s="17" t="s">
        <v>46</v>
      </c>
      <c r="AP10" s="21" t="s">
        <v>47</v>
      </c>
      <c r="AR10" s="17" t="s">
        <v>342</v>
      </c>
      <c r="AS10" s="21" t="s">
        <v>343</v>
      </c>
      <c r="AU10" s="17" t="s">
        <v>38</v>
      </c>
      <c r="AV10" s="21" t="s">
        <v>382</v>
      </c>
      <c r="BA10" s="17" t="s">
        <v>430</v>
      </c>
      <c r="BB10" s="17" t="s">
        <v>458</v>
      </c>
      <c r="BC10" s="21"/>
      <c r="BD10" s="21"/>
      <c r="BF10" s="17" t="s">
        <v>548</v>
      </c>
      <c r="BG10" s="17" t="s">
        <v>549</v>
      </c>
      <c r="BH10" s="17" t="s">
        <v>4</v>
      </c>
      <c r="BJ10"/>
      <c r="BK10"/>
      <c r="BM10"/>
      <c r="BO10" s="17" t="s">
        <v>641</v>
      </c>
      <c r="BP10" s="17" t="s">
        <v>642</v>
      </c>
      <c r="BR10"/>
    </row>
    <row r="11" spans="1:70" ht="15" x14ac:dyDescent="0.3">
      <c r="C11" s="10" t="s">
        <v>18</v>
      </c>
      <c r="G11" s="10" t="s">
        <v>48</v>
      </c>
      <c r="H11" s="19" t="s">
        <v>49</v>
      </c>
      <c r="J11" s="10" t="s">
        <v>107</v>
      </c>
      <c r="K11" s="10" t="s">
        <v>287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317</v>
      </c>
      <c r="AJ11" s="19" t="s">
        <v>316</v>
      </c>
      <c r="AO11" s="17" t="s">
        <v>48</v>
      </c>
      <c r="AP11" s="21" t="s">
        <v>49</v>
      </c>
      <c r="AR11" s="17" t="s">
        <v>344</v>
      </c>
      <c r="AS11" s="21" t="s">
        <v>345</v>
      </c>
      <c r="AU11" s="17" t="s">
        <v>40</v>
      </c>
      <c r="AV11" s="21" t="s">
        <v>383</v>
      </c>
      <c r="BA11" s="17" t="s">
        <v>431</v>
      </c>
      <c r="BB11" s="17" t="s">
        <v>459</v>
      </c>
      <c r="BC11" s="21"/>
      <c r="BD11" s="21"/>
      <c r="BF11" s="17" t="s">
        <v>550</v>
      </c>
      <c r="BG11" s="17" t="s">
        <v>551</v>
      </c>
      <c r="BH11" s="17" t="s">
        <v>4</v>
      </c>
      <c r="BJ11"/>
      <c r="BK11"/>
      <c r="BM11"/>
      <c r="BO11" s="17" t="s">
        <v>643</v>
      </c>
      <c r="BP11" s="17" t="s">
        <v>644</v>
      </c>
      <c r="BR11"/>
    </row>
    <row r="12" spans="1:70" ht="15" x14ac:dyDescent="0.3">
      <c r="C12" s="10" t="s">
        <v>19</v>
      </c>
      <c r="G12" s="10" t="s">
        <v>50</v>
      </c>
      <c r="H12" s="19" t="s">
        <v>51</v>
      </c>
      <c r="J12" s="10" t="s">
        <v>108</v>
      </c>
      <c r="K12" s="10" t="s">
        <v>288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1" t="s">
        <v>51</v>
      </c>
      <c r="AU12" s="17" t="s">
        <v>42</v>
      </c>
      <c r="AV12" s="21" t="s">
        <v>384</v>
      </c>
      <c r="BA12" s="17" t="s">
        <v>432</v>
      </c>
      <c r="BB12" s="17" t="s">
        <v>460</v>
      </c>
      <c r="BC12" s="21"/>
      <c r="BD12" s="21"/>
      <c r="BF12" s="17" t="s">
        <v>552</v>
      </c>
      <c r="BG12" s="17" t="s">
        <v>553</v>
      </c>
      <c r="BH12" s="17" t="s">
        <v>4</v>
      </c>
      <c r="BJ12"/>
      <c r="BK12"/>
      <c r="BM12"/>
      <c r="BO12" s="17" t="s">
        <v>645</v>
      </c>
      <c r="BP12" s="17" t="s">
        <v>646</v>
      </c>
      <c r="BR12"/>
    </row>
    <row r="13" spans="1:70" ht="15" x14ac:dyDescent="0.3">
      <c r="C13" s="10" t="s">
        <v>20</v>
      </c>
      <c r="G13" s="10" t="s">
        <v>52</v>
      </c>
      <c r="H13" s="19" t="s">
        <v>53</v>
      </c>
      <c r="J13" s="10" t="s">
        <v>109</v>
      </c>
      <c r="K13" s="10" t="s">
        <v>289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1" t="s">
        <v>53</v>
      </c>
      <c r="AU13" s="17" t="s">
        <v>353</v>
      </c>
      <c r="AV13" s="21" t="s">
        <v>385</v>
      </c>
      <c r="BA13" s="17" t="s">
        <v>433</v>
      </c>
      <c r="BB13" s="17" t="s">
        <v>461</v>
      </c>
      <c r="BC13" s="21"/>
      <c r="BD13" s="21"/>
      <c r="BF13" s="17" t="s">
        <v>554</v>
      </c>
      <c r="BG13" s="17" t="s">
        <v>555</v>
      </c>
      <c r="BH13" s="17" t="s">
        <v>4</v>
      </c>
      <c r="BJ13"/>
      <c r="BK13"/>
      <c r="BM13"/>
      <c r="BO13" s="17" t="s">
        <v>647</v>
      </c>
      <c r="BP13" s="17" t="s">
        <v>648</v>
      </c>
      <c r="BR13"/>
    </row>
    <row r="14" spans="1:70" ht="15" x14ac:dyDescent="0.3">
      <c r="C14" s="10" t="s">
        <v>5</v>
      </c>
      <c r="G14" s="10" t="s">
        <v>54</v>
      </c>
      <c r="H14" s="19" t="s">
        <v>55</v>
      </c>
      <c r="J14" s="10" t="s">
        <v>110</v>
      </c>
      <c r="K14" s="10" t="s">
        <v>290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1" t="s">
        <v>55</v>
      </c>
      <c r="AU14" s="17" t="s">
        <v>354</v>
      </c>
      <c r="AV14" s="21" t="s">
        <v>386</v>
      </c>
      <c r="BA14" s="17" t="s">
        <v>434</v>
      </c>
      <c r="BB14" s="17" t="s">
        <v>462</v>
      </c>
      <c r="BC14" s="21"/>
      <c r="BD14" s="21"/>
      <c r="BF14" s="17" t="s">
        <v>556</v>
      </c>
      <c r="BG14" s="17" t="s">
        <v>557</v>
      </c>
      <c r="BH14" s="17" t="s">
        <v>4</v>
      </c>
      <c r="BJ14"/>
      <c r="BK14"/>
      <c r="BM14"/>
      <c r="BO14" s="17" t="s">
        <v>649</v>
      </c>
      <c r="BP14" s="17" t="s">
        <v>650</v>
      </c>
      <c r="BR14"/>
    </row>
    <row r="15" spans="1:70" ht="15" x14ac:dyDescent="0.3">
      <c r="A15" s="29" t="s">
        <v>528</v>
      </c>
      <c r="C15" s="10" t="s">
        <v>21</v>
      </c>
      <c r="G15" s="10" t="s">
        <v>56</v>
      </c>
      <c r="H15" s="19" t="s">
        <v>57</v>
      </c>
      <c r="J15" s="10" t="s">
        <v>111</v>
      </c>
      <c r="K15" s="10" t="s">
        <v>291</v>
      </c>
      <c r="X15" s="10" t="s">
        <v>226</v>
      </c>
      <c r="Y15" s="19" t="s">
        <v>227</v>
      </c>
      <c r="AO15" s="17" t="s">
        <v>56</v>
      </c>
      <c r="AP15" s="21" t="s">
        <v>57</v>
      </c>
      <c r="AU15" s="17" t="s">
        <v>355</v>
      </c>
      <c r="AV15" s="21" t="s">
        <v>387</v>
      </c>
      <c r="BA15" s="17" t="s">
        <v>435</v>
      </c>
      <c r="BB15" s="17" t="s">
        <v>463</v>
      </c>
      <c r="BC15" s="21"/>
      <c r="BD15" s="21"/>
      <c r="BF15" s="17" t="s">
        <v>558</v>
      </c>
      <c r="BG15" s="17" t="s">
        <v>559</v>
      </c>
      <c r="BH15" s="17" t="s">
        <v>4</v>
      </c>
      <c r="BJ15"/>
      <c r="BK15"/>
      <c r="BM15"/>
      <c r="BO15" s="17" t="s">
        <v>623</v>
      </c>
      <c r="BP15" s="17" t="s">
        <v>651</v>
      </c>
      <c r="BR15"/>
    </row>
    <row r="16" spans="1:70" ht="15" x14ac:dyDescent="0.3">
      <c r="A16" s="24" t="s">
        <v>530</v>
      </c>
      <c r="C16" s="10" t="s">
        <v>22</v>
      </c>
      <c r="G16" s="10" t="s">
        <v>58</v>
      </c>
      <c r="H16" s="19" t="s">
        <v>59</v>
      </c>
      <c r="J16" s="10" t="s">
        <v>112</v>
      </c>
      <c r="K16" s="10" t="s">
        <v>292</v>
      </c>
      <c r="X16" s="10" t="s">
        <v>228</v>
      </c>
      <c r="Y16" s="19" t="s">
        <v>229</v>
      </c>
      <c r="AO16" s="17" t="s">
        <v>58</v>
      </c>
      <c r="AP16" s="21" t="s">
        <v>59</v>
      </c>
      <c r="AU16" s="17" t="s">
        <v>356</v>
      </c>
      <c r="AV16" s="21" t="s">
        <v>388</v>
      </c>
      <c r="BA16" s="17" t="s">
        <v>436</v>
      </c>
      <c r="BB16" s="17" t="s">
        <v>15</v>
      </c>
      <c r="BC16" s="21"/>
      <c r="BD16" s="21"/>
      <c r="BF16" s="17" t="s">
        <v>560</v>
      </c>
      <c r="BG16" s="17" t="s">
        <v>561</v>
      </c>
      <c r="BH16" s="17" t="s">
        <v>4</v>
      </c>
      <c r="BJ16"/>
      <c r="BK16"/>
      <c r="BM16"/>
      <c r="BO16" s="17" t="s">
        <v>652</v>
      </c>
      <c r="BP16" s="17" t="s">
        <v>653</v>
      </c>
      <c r="BR16"/>
    </row>
    <row r="17" spans="1:70" ht="15" x14ac:dyDescent="0.3">
      <c r="A17" s="23" t="s">
        <v>529</v>
      </c>
      <c r="C17" s="10" t="s">
        <v>23</v>
      </c>
      <c r="G17" s="10" t="s">
        <v>60</v>
      </c>
      <c r="H17" s="19" t="s">
        <v>61</v>
      </c>
      <c r="J17" s="10" t="s">
        <v>113</v>
      </c>
      <c r="K17" s="10" t="s">
        <v>293</v>
      </c>
      <c r="X17" s="10" t="s">
        <v>230</v>
      </c>
      <c r="Y17" s="19" t="s">
        <v>231</v>
      </c>
      <c r="AO17" s="17" t="s">
        <v>60</v>
      </c>
      <c r="AP17" s="21" t="s">
        <v>61</v>
      </c>
      <c r="AU17" s="17" t="s">
        <v>357</v>
      </c>
      <c r="AV17" s="21" t="s">
        <v>389</v>
      </c>
      <c r="BA17" s="17" t="s">
        <v>437</v>
      </c>
      <c r="BB17" s="17" t="s">
        <v>464</v>
      </c>
      <c r="BC17" s="21"/>
      <c r="BD17" s="21"/>
      <c r="BF17" s="17" t="s">
        <v>562</v>
      </c>
      <c r="BG17" s="17" t="s">
        <v>563</v>
      </c>
      <c r="BH17" s="17" t="s">
        <v>4</v>
      </c>
      <c r="BJ17"/>
      <c r="BK17"/>
      <c r="BM17"/>
      <c r="BO17" s="17" t="s">
        <v>654</v>
      </c>
      <c r="BP17" s="17" t="s">
        <v>655</v>
      </c>
      <c r="BR17"/>
    </row>
    <row r="18" spans="1:70" ht="15" x14ac:dyDescent="0.3">
      <c r="A18" s="40" t="s">
        <v>535</v>
      </c>
      <c r="G18" s="10" t="s">
        <v>62</v>
      </c>
      <c r="H18" s="19" t="s">
        <v>63</v>
      </c>
      <c r="J18" s="10" t="s">
        <v>114</v>
      </c>
      <c r="K18" s="10" t="s">
        <v>294</v>
      </c>
      <c r="X18" s="10" t="s">
        <v>232</v>
      </c>
      <c r="Y18" s="19" t="s">
        <v>233</v>
      </c>
      <c r="AO18" s="17" t="s">
        <v>62</v>
      </c>
      <c r="AP18" s="21" t="s">
        <v>63</v>
      </c>
      <c r="AU18" s="17" t="s">
        <v>358</v>
      </c>
      <c r="AV18" s="21" t="s">
        <v>390</v>
      </c>
      <c r="BA18" s="17" t="s">
        <v>438</v>
      </c>
      <c r="BB18" s="17" t="s">
        <v>465</v>
      </c>
      <c r="BC18" s="21"/>
      <c r="BD18" s="21"/>
      <c r="BF18" s="17" t="s">
        <v>564</v>
      </c>
      <c r="BG18" s="17" t="s">
        <v>565</v>
      </c>
      <c r="BH18" s="17" t="s">
        <v>4</v>
      </c>
      <c r="BJ18"/>
      <c r="BK18"/>
      <c r="BM18"/>
      <c r="BO18" s="17" t="s">
        <v>656</v>
      </c>
      <c r="BP18" s="17" t="s">
        <v>657</v>
      </c>
      <c r="BR18"/>
    </row>
    <row r="19" spans="1:70" ht="15" x14ac:dyDescent="0.3">
      <c r="A19" s="27" t="s">
        <v>534</v>
      </c>
      <c r="G19" s="10" t="s">
        <v>64</v>
      </c>
      <c r="H19" s="19" t="s">
        <v>65</v>
      </c>
      <c r="J19" s="10" t="s">
        <v>115</v>
      </c>
      <c r="K19" s="10" t="s">
        <v>295</v>
      </c>
      <c r="X19" s="10" t="s">
        <v>234</v>
      </c>
      <c r="Y19" s="19" t="s">
        <v>235</v>
      </c>
      <c r="AO19" s="17" t="s">
        <v>64</v>
      </c>
      <c r="AP19" s="21" t="s">
        <v>65</v>
      </c>
      <c r="AU19" s="17" t="s">
        <v>359</v>
      </c>
      <c r="AV19" s="21" t="s">
        <v>391</v>
      </c>
      <c r="BA19" s="17" t="s">
        <v>439</v>
      </c>
      <c r="BB19" s="17" t="s">
        <v>466</v>
      </c>
      <c r="BC19" s="21"/>
      <c r="BD19" s="21"/>
      <c r="BF19" s="17" t="s">
        <v>567</v>
      </c>
      <c r="BG19" s="17" t="s">
        <v>568</v>
      </c>
      <c r="BH19" s="17" t="s">
        <v>9</v>
      </c>
      <c r="BJ19"/>
      <c r="BK19"/>
      <c r="BM19"/>
      <c r="BO19" s="17" t="s">
        <v>658</v>
      </c>
      <c r="BP19" s="17" t="s">
        <v>659</v>
      </c>
      <c r="BR19"/>
    </row>
    <row r="20" spans="1:70" ht="15" x14ac:dyDescent="0.3">
      <c r="A20" s="25" t="s">
        <v>533</v>
      </c>
      <c r="G20" s="10" t="s">
        <v>66</v>
      </c>
      <c r="H20" s="19" t="s">
        <v>67</v>
      </c>
      <c r="J20" s="10" t="s">
        <v>116</v>
      </c>
      <c r="K20" s="10" t="s">
        <v>296</v>
      </c>
      <c r="X20" s="10" t="s">
        <v>236</v>
      </c>
      <c r="Y20" s="19" t="s">
        <v>237</v>
      </c>
      <c r="AO20" s="17" t="s">
        <v>66</v>
      </c>
      <c r="AP20" s="21" t="s">
        <v>67</v>
      </c>
      <c r="AU20" s="17" t="s">
        <v>360</v>
      </c>
      <c r="AV20" s="21" t="s">
        <v>392</v>
      </c>
      <c r="BA20" s="17" t="s">
        <v>440</v>
      </c>
      <c r="BB20" s="17" t="s">
        <v>467</v>
      </c>
      <c r="BC20" s="21"/>
      <c r="BD20" s="21"/>
      <c r="BF20" s="17" t="s">
        <v>569</v>
      </c>
      <c r="BG20" s="17" t="s">
        <v>570</v>
      </c>
      <c r="BH20" s="17" t="s">
        <v>9</v>
      </c>
      <c r="BJ20"/>
      <c r="BK20"/>
      <c r="BM20"/>
      <c r="BO20" s="17" t="s">
        <v>660</v>
      </c>
      <c r="BP20" s="17" t="s">
        <v>661</v>
      </c>
      <c r="BR20"/>
    </row>
    <row r="21" spans="1:70" ht="15" x14ac:dyDescent="0.3">
      <c r="A21" s="26" t="s">
        <v>531</v>
      </c>
      <c r="G21" s="10" t="s">
        <v>68</v>
      </c>
      <c r="H21" s="19" t="s">
        <v>69</v>
      </c>
      <c r="J21" s="10" t="s">
        <v>117</v>
      </c>
      <c r="K21" s="10" t="s">
        <v>297</v>
      </c>
      <c r="X21" s="10" t="s">
        <v>238</v>
      </c>
      <c r="Y21" s="19" t="s">
        <v>239</v>
      </c>
      <c r="AO21" s="17" t="s">
        <v>68</v>
      </c>
      <c r="AP21" s="21" t="s">
        <v>69</v>
      </c>
      <c r="AU21" s="17" t="s">
        <v>361</v>
      </c>
      <c r="AV21" s="21" t="s">
        <v>393</v>
      </c>
      <c r="BA21" s="17" t="s">
        <v>441</v>
      </c>
      <c r="BB21" s="17" t="s">
        <v>468</v>
      </c>
      <c r="BC21" s="21"/>
      <c r="BD21" s="21"/>
      <c r="BF21" s="17" t="s">
        <v>571</v>
      </c>
      <c r="BG21" s="17" t="s">
        <v>572</v>
      </c>
      <c r="BH21" s="17" t="s">
        <v>9</v>
      </c>
      <c r="BJ21"/>
      <c r="BK21"/>
      <c r="BM21"/>
      <c r="BO21" s="17" t="s">
        <v>662</v>
      </c>
      <c r="BP21" s="17" t="s">
        <v>663</v>
      </c>
      <c r="BR21"/>
    </row>
    <row r="22" spans="1:70" ht="15" x14ac:dyDescent="0.3">
      <c r="A22" s="6" t="s">
        <v>532</v>
      </c>
      <c r="G22" s="10" t="s">
        <v>70</v>
      </c>
      <c r="H22" s="19" t="s">
        <v>71</v>
      </c>
      <c r="J22" s="10" t="s">
        <v>118</v>
      </c>
      <c r="K22" s="10" t="s">
        <v>298</v>
      </c>
      <c r="X22" s="10" t="s">
        <v>240</v>
      </c>
      <c r="Y22" s="19" t="s">
        <v>241</v>
      </c>
      <c r="AO22" s="17" t="s">
        <v>70</v>
      </c>
      <c r="AP22" s="21" t="s">
        <v>71</v>
      </c>
      <c r="AU22" s="17" t="s">
        <v>362</v>
      </c>
      <c r="AV22" s="21" t="s">
        <v>394</v>
      </c>
      <c r="BA22" s="17" t="s">
        <v>442</v>
      </c>
      <c r="BB22" s="17" t="s">
        <v>469</v>
      </c>
      <c r="BC22" s="21"/>
      <c r="BD22" s="21"/>
      <c r="BF22" s="17" t="s">
        <v>573</v>
      </c>
      <c r="BG22" s="17" t="s">
        <v>574</v>
      </c>
      <c r="BH22" s="17" t="s">
        <v>9</v>
      </c>
      <c r="BJ22"/>
      <c r="BK22"/>
      <c r="BM22"/>
      <c r="BO22" s="17" t="s">
        <v>664</v>
      </c>
      <c r="BP22" s="17" t="s">
        <v>665</v>
      </c>
      <c r="BR22"/>
    </row>
    <row r="23" spans="1:70" ht="15" x14ac:dyDescent="0.3">
      <c r="G23" s="10" t="s">
        <v>72</v>
      </c>
      <c r="H23" s="19" t="s">
        <v>73</v>
      </c>
      <c r="J23" s="10" t="s">
        <v>119</v>
      </c>
      <c r="K23" s="10" t="s">
        <v>299</v>
      </c>
      <c r="X23" s="10" t="s">
        <v>242</v>
      </c>
      <c r="Y23" s="19" t="s">
        <v>243</v>
      </c>
      <c r="AO23" s="17" t="s">
        <v>72</v>
      </c>
      <c r="AP23" s="21" t="s">
        <v>73</v>
      </c>
      <c r="AU23" s="17" t="s">
        <v>363</v>
      </c>
      <c r="AV23" s="21" t="s">
        <v>395</v>
      </c>
      <c r="BA23" s="17" t="s">
        <v>443</v>
      </c>
      <c r="BB23" s="17" t="s">
        <v>470</v>
      </c>
      <c r="BC23" s="21"/>
      <c r="BD23" s="21"/>
      <c r="BF23" s="17" t="s">
        <v>575</v>
      </c>
      <c r="BG23" s="17" t="s">
        <v>576</v>
      </c>
      <c r="BH23" s="17" t="s">
        <v>9</v>
      </c>
      <c r="BJ23"/>
      <c r="BK23"/>
      <c r="BM23"/>
      <c r="BO23" s="17" t="s">
        <v>666</v>
      </c>
      <c r="BP23" s="17" t="s">
        <v>667</v>
      </c>
      <c r="BR23"/>
    </row>
    <row r="24" spans="1:70" ht="15" x14ac:dyDescent="0.3">
      <c r="G24" s="10" t="s">
        <v>74</v>
      </c>
      <c r="H24" s="19" t="s">
        <v>75</v>
      </c>
      <c r="J24" s="10" t="s">
        <v>120</v>
      </c>
      <c r="K24" s="10" t="s">
        <v>300</v>
      </c>
      <c r="X24" s="10" t="s">
        <v>244</v>
      </c>
      <c r="Y24" s="19" t="s">
        <v>245</v>
      </c>
      <c r="AO24" s="17" t="s">
        <v>74</v>
      </c>
      <c r="AP24" s="21" t="s">
        <v>75</v>
      </c>
      <c r="AU24" s="17" t="s">
        <v>364</v>
      </c>
      <c r="AV24" s="21" t="s">
        <v>396</v>
      </c>
      <c r="BA24" s="17" t="s">
        <v>444</v>
      </c>
      <c r="BB24" s="17" t="s">
        <v>471</v>
      </c>
      <c r="BC24" s="21"/>
      <c r="BD24" s="21"/>
      <c r="BF24" s="17" t="s">
        <v>577</v>
      </c>
      <c r="BG24" s="17" t="s">
        <v>578</v>
      </c>
      <c r="BH24" s="17" t="s">
        <v>9</v>
      </c>
      <c r="BJ24"/>
      <c r="BK24"/>
      <c r="BM24"/>
      <c r="BO24" s="17" t="s">
        <v>668</v>
      </c>
      <c r="BP24" s="17" t="s">
        <v>669</v>
      </c>
      <c r="BR24"/>
    </row>
    <row r="25" spans="1:70" ht="15" x14ac:dyDescent="0.3">
      <c r="G25" s="10" t="s">
        <v>76</v>
      </c>
      <c r="H25" s="19" t="s">
        <v>77</v>
      </c>
      <c r="J25" s="10" t="s">
        <v>121</v>
      </c>
      <c r="K25" s="10" t="s">
        <v>301</v>
      </c>
      <c r="X25" s="10" t="s">
        <v>246</v>
      </c>
      <c r="Y25" s="19" t="s">
        <v>247</v>
      </c>
      <c r="AO25" s="17" t="s">
        <v>76</v>
      </c>
      <c r="AP25" s="21" t="s">
        <v>77</v>
      </c>
      <c r="AU25" s="17" t="s">
        <v>365</v>
      </c>
      <c r="AV25" s="21" t="s">
        <v>397</v>
      </c>
      <c r="BA25" s="17" t="s">
        <v>445</v>
      </c>
      <c r="BB25" s="17" t="s">
        <v>472</v>
      </c>
      <c r="BC25" s="21"/>
      <c r="BD25" s="21"/>
      <c r="BF25" s="17" t="s">
        <v>579</v>
      </c>
      <c r="BG25" s="17" t="s">
        <v>580</v>
      </c>
      <c r="BH25" s="17" t="s">
        <v>9</v>
      </c>
      <c r="BJ25"/>
      <c r="BK25"/>
      <c r="BM25"/>
      <c r="BO25" s="17" t="s">
        <v>670</v>
      </c>
      <c r="BP25" s="17" t="s">
        <v>671</v>
      </c>
      <c r="BR25"/>
    </row>
    <row r="26" spans="1:70" ht="15" x14ac:dyDescent="0.3">
      <c r="G26" s="10" t="s">
        <v>78</v>
      </c>
      <c r="H26" s="19" t="s">
        <v>79</v>
      </c>
      <c r="J26" s="10" t="s">
        <v>122</v>
      </c>
      <c r="K26" s="10" t="s">
        <v>302</v>
      </c>
      <c r="X26" s="10" t="s">
        <v>248</v>
      </c>
      <c r="Y26" s="19" t="s">
        <v>249</v>
      </c>
      <c r="AO26" s="17" t="s">
        <v>78</v>
      </c>
      <c r="AP26" s="21" t="s">
        <v>79</v>
      </c>
      <c r="AU26" s="17" t="s">
        <v>366</v>
      </c>
      <c r="AV26" s="21" t="s">
        <v>398</v>
      </c>
      <c r="BA26" s="17" t="s">
        <v>446</v>
      </c>
      <c r="BB26" s="17" t="s">
        <v>16</v>
      </c>
      <c r="BC26" s="21"/>
      <c r="BD26" s="21"/>
      <c r="BF26" s="17" t="s">
        <v>581</v>
      </c>
      <c r="BG26" s="17" t="s">
        <v>582</v>
      </c>
      <c r="BH26" s="17" t="s">
        <v>9</v>
      </c>
      <c r="BJ26"/>
      <c r="BK26"/>
      <c r="BM26"/>
      <c r="BO26" s="17" t="s">
        <v>621</v>
      </c>
      <c r="BP26" s="17" t="s">
        <v>672</v>
      </c>
      <c r="BR26"/>
    </row>
    <row r="27" spans="1:70" ht="15" x14ac:dyDescent="0.3">
      <c r="G27" s="10" t="s">
        <v>80</v>
      </c>
      <c r="H27" s="19" t="s">
        <v>81</v>
      </c>
      <c r="J27" s="10" t="s">
        <v>123</v>
      </c>
      <c r="K27" s="10" t="s">
        <v>303</v>
      </c>
      <c r="X27" s="10" t="s">
        <v>250</v>
      </c>
      <c r="Y27" s="19" t="s">
        <v>251</v>
      </c>
      <c r="AO27" s="17" t="s">
        <v>80</v>
      </c>
      <c r="AP27" s="21" t="s">
        <v>81</v>
      </c>
      <c r="AU27" s="17" t="s">
        <v>367</v>
      </c>
      <c r="AV27" s="21" t="s">
        <v>399</v>
      </c>
      <c r="BA27" s="17" t="s">
        <v>447</v>
      </c>
      <c r="BB27" s="17" t="s">
        <v>473</v>
      </c>
      <c r="BC27" s="21"/>
      <c r="BD27" s="21"/>
      <c r="BF27" s="17" t="s">
        <v>583</v>
      </c>
      <c r="BG27" s="17" t="s">
        <v>584</v>
      </c>
      <c r="BH27" s="17" t="s">
        <v>9</v>
      </c>
      <c r="BJ27"/>
      <c r="BK27"/>
      <c r="BM27"/>
      <c r="BO27" s="17" t="s">
        <v>673</v>
      </c>
      <c r="BP27" s="17" t="s">
        <v>674</v>
      </c>
      <c r="BR27"/>
    </row>
    <row r="28" spans="1:70" ht="15" x14ac:dyDescent="0.3">
      <c r="G28" s="10" t="s">
        <v>82</v>
      </c>
      <c r="H28" s="19" t="s">
        <v>83</v>
      </c>
      <c r="J28" s="10" t="s">
        <v>124</v>
      </c>
      <c r="K28" s="10" t="s">
        <v>304</v>
      </c>
      <c r="X28" s="10" t="s">
        <v>252</v>
      </c>
      <c r="Y28" s="19" t="s">
        <v>253</v>
      </c>
      <c r="AO28" s="17" t="s">
        <v>82</v>
      </c>
      <c r="AP28" s="21" t="s">
        <v>83</v>
      </c>
      <c r="AU28" s="17" t="s">
        <v>368</v>
      </c>
      <c r="AV28" s="21" t="s">
        <v>400</v>
      </c>
      <c r="BA28" s="17" t="s">
        <v>448</v>
      </c>
      <c r="BB28" s="17" t="s">
        <v>474</v>
      </c>
      <c r="BC28" s="21"/>
      <c r="BD28" s="21"/>
      <c r="BF28" s="17" t="s">
        <v>585</v>
      </c>
      <c r="BG28" s="17" t="s">
        <v>586</v>
      </c>
      <c r="BH28" s="17" t="s">
        <v>9</v>
      </c>
      <c r="BJ28"/>
      <c r="BK28"/>
      <c r="BM28"/>
      <c r="BO28" s="17" t="s">
        <v>675</v>
      </c>
      <c r="BP28" s="17" t="s">
        <v>676</v>
      </c>
      <c r="BR28"/>
    </row>
    <row r="29" spans="1:70" ht="15" x14ac:dyDescent="0.3">
      <c r="G29" s="10" t="s">
        <v>84</v>
      </c>
      <c r="H29" s="19" t="s">
        <v>85</v>
      </c>
      <c r="J29" s="10" t="s">
        <v>125</v>
      </c>
      <c r="K29" s="10" t="s">
        <v>305</v>
      </c>
      <c r="X29" s="10" t="s">
        <v>254</v>
      </c>
      <c r="Y29" s="19" t="s">
        <v>255</v>
      </c>
      <c r="AO29" s="17" t="s">
        <v>84</v>
      </c>
      <c r="AP29" s="21" t="s">
        <v>85</v>
      </c>
      <c r="AU29" s="17" t="s">
        <v>369</v>
      </c>
      <c r="AV29" s="21" t="s">
        <v>401</v>
      </c>
      <c r="BA29" s="17" t="s">
        <v>449</v>
      </c>
      <c r="BB29" s="17" t="s">
        <v>475</v>
      </c>
      <c r="BC29" s="21"/>
      <c r="BD29" s="21"/>
      <c r="BF29" s="17" t="s">
        <v>587</v>
      </c>
      <c r="BG29" s="17" t="s">
        <v>588</v>
      </c>
      <c r="BH29" s="17" t="s">
        <v>9</v>
      </c>
      <c r="BJ29"/>
      <c r="BK29"/>
      <c r="BM29"/>
      <c r="BO29" s="17" t="s">
        <v>677</v>
      </c>
      <c r="BP29" s="17" t="s">
        <v>678</v>
      </c>
      <c r="BR29"/>
    </row>
    <row r="30" spans="1:70" ht="15" x14ac:dyDescent="0.3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1" t="s">
        <v>87</v>
      </c>
      <c r="AU30" s="17" t="s">
        <v>370</v>
      </c>
      <c r="AV30" s="21" t="s">
        <v>402</v>
      </c>
      <c r="BA30" s="17" t="s">
        <v>450</v>
      </c>
      <c r="BB30" s="17" t="s">
        <v>476</v>
      </c>
      <c r="BC30" s="21"/>
      <c r="BD30" s="21"/>
      <c r="BF30" s="17" t="s">
        <v>589</v>
      </c>
      <c r="BG30" s="17" t="s">
        <v>590</v>
      </c>
      <c r="BH30" s="17" t="s">
        <v>9</v>
      </c>
      <c r="BJ30"/>
      <c r="BK30"/>
      <c r="BM30"/>
      <c r="BO30" s="17" t="s">
        <v>679</v>
      </c>
      <c r="BP30" s="17" t="s">
        <v>680</v>
      </c>
      <c r="BR30"/>
    </row>
    <row r="31" spans="1:70" ht="15" x14ac:dyDescent="0.3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1" t="s">
        <v>89</v>
      </c>
      <c r="AU31" s="17" t="s">
        <v>371</v>
      </c>
      <c r="AV31" s="21" t="s">
        <v>403</v>
      </c>
      <c r="BA31" s="17" t="s">
        <v>451</v>
      </c>
      <c r="BB31" s="17" t="s">
        <v>17</v>
      </c>
      <c r="BC31" s="21"/>
      <c r="BD31" s="21"/>
      <c r="BF31" s="17" t="s">
        <v>591</v>
      </c>
      <c r="BG31" s="17" t="s">
        <v>592</v>
      </c>
      <c r="BH31" s="17" t="s">
        <v>9</v>
      </c>
      <c r="BJ31"/>
      <c r="BK31"/>
      <c r="BM31"/>
      <c r="BO31" s="17" t="s">
        <v>681</v>
      </c>
      <c r="BP31" s="17" t="s">
        <v>682</v>
      </c>
      <c r="BR31"/>
    </row>
    <row r="32" spans="1:70" ht="15" x14ac:dyDescent="0.3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1" t="s">
        <v>91</v>
      </c>
      <c r="AU32" s="17" t="s">
        <v>372</v>
      </c>
      <c r="AV32" s="21" t="s">
        <v>404</v>
      </c>
      <c r="BA32" s="17" t="s">
        <v>452</v>
      </c>
      <c r="BB32" s="17" t="s">
        <v>477</v>
      </c>
      <c r="BC32" s="21"/>
      <c r="BD32" s="21"/>
      <c r="BF32" s="17" t="s">
        <v>593</v>
      </c>
      <c r="BG32" s="17" t="s">
        <v>594</v>
      </c>
      <c r="BH32" s="17" t="s">
        <v>9</v>
      </c>
      <c r="BJ32"/>
      <c r="BK32"/>
      <c r="BM32"/>
      <c r="BO32" s="17" t="s">
        <v>683</v>
      </c>
      <c r="BP32" s="17" t="s">
        <v>684</v>
      </c>
      <c r="BR32"/>
    </row>
    <row r="33" spans="1:70" ht="15" x14ac:dyDescent="0.3">
      <c r="A33" s="48"/>
      <c r="X33" s="10" t="s">
        <v>262</v>
      </c>
      <c r="Y33" s="19" t="s">
        <v>263</v>
      </c>
      <c r="AU33" s="17" t="s">
        <v>373</v>
      </c>
      <c r="AV33" s="21" t="s">
        <v>405</v>
      </c>
      <c r="BA33" s="17"/>
      <c r="BB33" s="17" t="s">
        <v>478</v>
      </c>
      <c r="BC33" s="21"/>
      <c r="BD33" s="21"/>
      <c r="BF33" s="17" t="s">
        <v>595</v>
      </c>
      <c r="BG33" s="17" t="s">
        <v>596</v>
      </c>
      <c r="BH33" s="17" t="s">
        <v>9</v>
      </c>
      <c r="BJ33"/>
      <c r="BK33"/>
      <c r="BM33"/>
      <c r="BO33" s="17" t="s">
        <v>685</v>
      </c>
      <c r="BP33" s="17" t="s">
        <v>686</v>
      </c>
      <c r="BR33"/>
    </row>
    <row r="34" spans="1:70" ht="15" x14ac:dyDescent="0.3">
      <c r="X34" s="10" t="s">
        <v>264</v>
      </c>
      <c r="Y34" s="19" t="s">
        <v>265</v>
      </c>
      <c r="AU34" s="17" t="s">
        <v>374</v>
      </c>
      <c r="AV34" s="21" t="s">
        <v>406</v>
      </c>
      <c r="BA34" s="17"/>
      <c r="BB34" s="17" t="s">
        <v>479</v>
      </c>
      <c r="BC34" s="21"/>
      <c r="BD34" s="21"/>
      <c r="BF34" s="17" t="s">
        <v>597</v>
      </c>
      <c r="BG34" s="17" t="s">
        <v>598</v>
      </c>
      <c r="BH34" s="17" t="s">
        <v>9</v>
      </c>
      <c r="BJ34"/>
      <c r="BK34"/>
      <c r="BM34"/>
      <c r="BO34" s="17" t="s">
        <v>687</v>
      </c>
      <c r="BP34" s="17" t="s">
        <v>688</v>
      </c>
      <c r="BR34"/>
    </row>
    <row r="35" spans="1:70" ht="15" x14ac:dyDescent="0.3">
      <c r="X35" s="10" t="s">
        <v>266</v>
      </c>
      <c r="Y35" s="19" t="s">
        <v>267</v>
      </c>
      <c r="AU35" s="17" t="s">
        <v>375</v>
      </c>
      <c r="AV35" s="21" t="s">
        <v>407</v>
      </c>
      <c r="BA35" s="17"/>
      <c r="BB35" s="17" t="s">
        <v>480</v>
      </c>
      <c r="BC35" s="21"/>
      <c r="BD35" s="21"/>
      <c r="BF35" s="17" t="s">
        <v>599</v>
      </c>
      <c r="BG35" s="17" t="s">
        <v>600</v>
      </c>
      <c r="BH35" s="17" t="s">
        <v>9</v>
      </c>
      <c r="BJ35"/>
      <c r="BK35"/>
      <c r="BM35"/>
      <c r="BO35"/>
      <c r="BP35"/>
      <c r="BR35"/>
    </row>
    <row r="36" spans="1:70" ht="15" x14ac:dyDescent="0.3">
      <c r="X36" s="10" t="s">
        <v>268</v>
      </c>
      <c r="Y36" s="19" t="s">
        <v>269</v>
      </c>
      <c r="AU36" s="17"/>
      <c r="AV36" s="21"/>
      <c r="BA36" s="17"/>
      <c r="BB36" s="17" t="s">
        <v>481</v>
      </c>
      <c r="BC36" s="21"/>
      <c r="BD36" s="21"/>
      <c r="BF36" s="17" t="s">
        <v>601</v>
      </c>
      <c r="BG36" s="17" t="s">
        <v>602</v>
      </c>
      <c r="BH36" s="17" t="s">
        <v>9</v>
      </c>
      <c r="BJ36"/>
      <c r="BK36"/>
      <c r="BM36"/>
      <c r="BO36"/>
      <c r="BP36"/>
      <c r="BR36"/>
    </row>
    <row r="37" spans="1:70" ht="15" x14ac:dyDescent="0.3">
      <c r="A37" s="48"/>
      <c r="X37" s="10" t="s">
        <v>270</v>
      </c>
      <c r="Y37" s="19" t="s">
        <v>271</v>
      </c>
      <c r="BA37" s="17"/>
      <c r="BB37" s="17" t="s">
        <v>482</v>
      </c>
      <c r="BC37" s="21"/>
      <c r="BD37" s="21"/>
      <c r="BF37" s="17" t="s">
        <v>603</v>
      </c>
      <c r="BG37" s="17" t="s">
        <v>604</v>
      </c>
      <c r="BH37" s="17" t="s">
        <v>9</v>
      </c>
      <c r="BJ37"/>
      <c r="BK37"/>
      <c r="BM37"/>
      <c r="BO37"/>
      <c r="BP37"/>
      <c r="BR37"/>
    </row>
    <row r="38" spans="1:70" ht="15" x14ac:dyDescent="0.3">
      <c r="BA38" s="17"/>
      <c r="BB38" s="17" t="s">
        <v>483</v>
      </c>
      <c r="BC38" s="21"/>
      <c r="BD38" s="21"/>
      <c r="BF38" s="17" t="s">
        <v>605</v>
      </c>
      <c r="BG38" s="17" t="s">
        <v>606</v>
      </c>
      <c r="BH38" s="17" t="s">
        <v>9</v>
      </c>
      <c r="BJ38"/>
      <c r="BK38"/>
      <c r="BM38"/>
      <c r="BO38"/>
      <c r="BP38"/>
      <c r="BR38"/>
    </row>
    <row r="39" spans="1:70" ht="15" x14ac:dyDescent="0.3">
      <c r="BA39" s="17"/>
      <c r="BB39" s="17" t="s">
        <v>484</v>
      </c>
      <c r="BC39" s="21"/>
      <c r="BD39" s="21"/>
      <c r="BF39" s="17" t="s">
        <v>564</v>
      </c>
      <c r="BG39" s="17" t="s">
        <v>565</v>
      </c>
      <c r="BH39" s="17" t="s">
        <v>9</v>
      </c>
      <c r="BJ39"/>
      <c r="BK39"/>
      <c r="BM39"/>
      <c r="BO39"/>
      <c r="BP39"/>
      <c r="BR39"/>
    </row>
    <row r="40" spans="1:70" ht="15" x14ac:dyDescent="0.3">
      <c r="A40" s="43"/>
      <c r="BA40" s="17"/>
      <c r="BB40" s="17" t="s">
        <v>485</v>
      </c>
      <c r="BC40" s="21"/>
      <c r="BD40" s="21"/>
      <c r="BF40" s="17"/>
      <c r="BG40" s="17"/>
      <c r="BH40" s="17"/>
      <c r="BJ40"/>
      <c r="BK40"/>
      <c r="BM40"/>
      <c r="BO40"/>
      <c r="BP40"/>
      <c r="BR40"/>
    </row>
    <row r="41" spans="1:70" ht="15" x14ac:dyDescent="0.3">
      <c r="BA41" s="17"/>
      <c r="BB41" s="17" t="s">
        <v>486</v>
      </c>
      <c r="BC41" s="21"/>
      <c r="BD41" s="21"/>
      <c r="BF41" s="17"/>
      <c r="BG41" s="17"/>
      <c r="BH41" s="17"/>
      <c r="BJ41"/>
      <c r="BK41"/>
      <c r="BM41"/>
      <c r="BO41"/>
      <c r="BP41"/>
      <c r="BR41"/>
    </row>
    <row r="42" spans="1:70" ht="15" x14ac:dyDescent="0.3">
      <c r="BA42" s="17"/>
      <c r="BB42" s="17" t="s">
        <v>487</v>
      </c>
      <c r="BC42" s="21"/>
      <c r="BD42" s="21"/>
      <c r="BF42" s="17"/>
      <c r="BG42" s="17"/>
      <c r="BH42" s="17"/>
      <c r="BJ42"/>
      <c r="BK42"/>
      <c r="BM42"/>
      <c r="BO42"/>
      <c r="BP42"/>
      <c r="BR42"/>
    </row>
    <row r="43" spans="1:70" ht="15" x14ac:dyDescent="0.3">
      <c r="BA43" s="17"/>
      <c r="BB43" s="17" t="s">
        <v>488</v>
      </c>
      <c r="BC43" s="21"/>
      <c r="BD43" s="21"/>
      <c r="BF43" s="17"/>
      <c r="BG43" s="17"/>
      <c r="BH43" s="17"/>
      <c r="BJ43"/>
      <c r="BK43"/>
      <c r="BM43"/>
      <c r="BO43"/>
      <c r="BP43"/>
      <c r="BR43"/>
    </row>
    <row r="44" spans="1:70" ht="15" x14ac:dyDescent="0.3">
      <c r="A44" s="48"/>
      <c r="BA44" s="17"/>
      <c r="BB44" s="17" t="s">
        <v>489</v>
      </c>
      <c r="BC44" s="21"/>
      <c r="BD44" s="21"/>
      <c r="BF44" s="17"/>
      <c r="BG44" s="17"/>
      <c r="BH44" s="17"/>
      <c r="BJ44"/>
      <c r="BK44"/>
      <c r="BM44"/>
      <c r="BO44"/>
      <c r="BP44"/>
      <c r="BR44"/>
    </row>
    <row r="45" spans="1:70" ht="15" x14ac:dyDescent="0.3">
      <c r="BA45" s="17"/>
      <c r="BB45" s="17" t="s">
        <v>490</v>
      </c>
      <c r="BC45" s="21"/>
      <c r="BD45" s="21"/>
      <c r="BF45" s="17"/>
      <c r="BG45" s="17"/>
      <c r="BH45" s="17"/>
      <c r="BJ45"/>
      <c r="BK45"/>
      <c r="BM45"/>
      <c r="BO45"/>
      <c r="BP45"/>
      <c r="BR45"/>
    </row>
    <row r="46" spans="1:70" ht="15" x14ac:dyDescent="0.3">
      <c r="BA46" s="17"/>
      <c r="BB46" s="17" t="s">
        <v>491</v>
      </c>
      <c r="BC46" s="21"/>
      <c r="BD46" s="21"/>
      <c r="BF46" s="17"/>
      <c r="BG46" s="17"/>
      <c r="BH46" s="17"/>
      <c r="BJ46"/>
      <c r="BK46"/>
      <c r="BM46"/>
      <c r="BO46"/>
      <c r="BP46"/>
      <c r="BR46"/>
    </row>
    <row r="47" spans="1:70" ht="15" x14ac:dyDescent="0.3">
      <c r="BA47" s="17"/>
      <c r="BB47" s="17" t="s">
        <v>492</v>
      </c>
      <c r="BC47" s="21"/>
      <c r="BD47" s="21"/>
      <c r="BF47" s="17"/>
      <c r="BG47" s="17"/>
      <c r="BH47" s="17"/>
      <c r="BJ47"/>
      <c r="BK47"/>
      <c r="BM47"/>
      <c r="BO47"/>
      <c r="BP47"/>
      <c r="BR47"/>
    </row>
    <row r="48" spans="1:70" ht="15" x14ac:dyDescent="0.3">
      <c r="A48" s="11"/>
      <c r="BA48" s="17"/>
      <c r="BB48" s="17" t="s">
        <v>493</v>
      </c>
      <c r="BC48" s="21"/>
      <c r="BD48" s="21"/>
      <c r="BF48" s="17"/>
      <c r="BG48" s="17"/>
      <c r="BH48" s="17"/>
      <c r="BJ48"/>
      <c r="BK48"/>
      <c r="BM48"/>
      <c r="BO48"/>
      <c r="BP48"/>
      <c r="BR48"/>
    </row>
    <row r="49" spans="1:70" ht="15" x14ac:dyDescent="0.3">
      <c r="A49" s="49"/>
      <c r="BA49" s="17"/>
      <c r="BB49" s="17" t="s">
        <v>494</v>
      </c>
      <c r="BC49" s="21"/>
      <c r="BD49" s="21"/>
      <c r="BF49" s="17"/>
      <c r="BG49" s="17"/>
      <c r="BH49" s="17"/>
      <c r="BJ49"/>
      <c r="BK49"/>
      <c r="BM49"/>
      <c r="BO49"/>
      <c r="BP49"/>
      <c r="BR49"/>
    </row>
    <row r="50" spans="1:70" ht="15" x14ac:dyDescent="0.3">
      <c r="A50" s="11"/>
      <c r="BA50" s="17"/>
      <c r="BB50" s="17" t="s">
        <v>495</v>
      </c>
      <c r="BC50" s="21"/>
      <c r="BD50" s="21"/>
      <c r="BF50" s="17"/>
      <c r="BG50" s="17"/>
      <c r="BH50" s="17"/>
      <c r="BJ50"/>
      <c r="BK50"/>
      <c r="BM50"/>
      <c r="BO50"/>
      <c r="BP50"/>
      <c r="BR50"/>
    </row>
    <row r="51" spans="1:70" ht="15" x14ac:dyDescent="0.3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</row>
    <row r="52" spans="1:70" ht="15" x14ac:dyDescent="0.3">
      <c r="A52" s="11"/>
      <c r="BA52" s="17"/>
      <c r="BB52" s="17" t="s">
        <v>496</v>
      </c>
      <c r="BC52" s="21"/>
      <c r="BD52" s="21"/>
      <c r="BF52" s="17"/>
      <c r="BG52" s="17"/>
      <c r="BH52" s="17"/>
      <c r="BJ52"/>
      <c r="BK52"/>
      <c r="BM52"/>
      <c r="BO52"/>
      <c r="BP52"/>
      <c r="BR52"/>
    </row>
    <row r="53" spans="1:70" ht="15" x14ac:dyDescent="0.3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</row>
    <row r="54" spans="1:70" ht="15" x14ac:dyDescent="0.3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</row>
    <row r="55" spans="1:70" ht="15" x14ac:dyDescent="0.3">
      <c r="BA55" s="17"/>
      <c r="BB55" s="17" t="s">
        <v>497</v>
      </c>
      <c r="BC55" s="21"/>
      <c r="BD55" s="21"/>
      <c r="BF55" s="17"/>
      <c r="BG55" s="17"/>
      <c r="BH55" s="17"/>
      <c r="BJ55"/>
      <c r="BK55"/>
      <c r="BM55"/>
      <c r="BO55"/>
      <c r="BP55"/>
      <c r="BR55"/>
    </row>
    <row r="56" spans="1:70" ht="15" x14ac:dyDescent="0.3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</row>
    <row r="57" spans="1:70" ht="15" x14ac:dyDescent="0.3">
      <c r="BA57" s="17"/>
      <c r="BB57" s="17" t="s">
        <v>498</v>
      </c>
      <c r="BC57" s="21"/>
      <c r="BD57" s="21"/>
      <c r="BF57" s="17"/>
      <c r="BG57" s="17"/>
      <c r="BH57" s="17"/>
      <c r="BJ57"/>
      <c r="BK57"/>
      <c r="BM57"/>
      <c r="BO57"/>
      <c r="BP57"/>
      <c r="BR57"/>
    </row>
    <row r="58" spans="1:70" ht="15" x14ac:dyDescent="0.3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</row>
    <row r="59" spans="1:70" ht="15" x14ac:dyDescent="0.3">
      <c r="BA59" s="17"/>
      <c r="BB59" s="17" t="s">
        <v>499</v>
      </c>
      <c r="BC59" s="21"/>
      <c r="BD59" s="21"/>
      <c r="BF59" s="17"/>
      <c r="BG59" s="17"/>
      <c r="BH59" s="17"/>
      <c r="BJ59"/>
      <c r="BK59"/>
      <c r="BM59"/>
      <c r="BO59"/>
      <c r="BP59"/>
      <c r="BR59"/>
    </row>
    <row r="60" spans="1:70" ht="15" x14ac:dyDescent="0.3">
      <c r="BA60" s="17"/>
      <c r="BB60" s="17" t="s">
        <v>500</v>
      </c>
      <c r="BC60" s="21"/>
      <c r="BD60" s="21"/>
      <c r="BF60" s="17"/>
      <c r="BG60" s="17"/>
      <c r="BH60" s="17"/>
      <c r="BJ60"/>
      <c r="BK60"/>
      <c r="BM60"/>
      <c r="BO60"/>
      <c r="BP60"/>
      <c r="BR60"/>
    </row>
    <row r="61" spans="1:70" ht="15" x14ac:dyDescent="0.3">
      <c r="BA61" s="17"/>
      <c r="BB61" s="17" t="s">
        <v>501</v>
      </c>
      <c r="BC61" s="21"/>
      <c r="BD61" s="21"/>
      <c r="BF61" s="17"/>
      <c r="BG61" s="17"/>
      <c r="BH61" s="17"/>
      <c r="BJ61"/>
      <c r="BK61"/>
      <c r="BM61"/>
      <c r="BO61"/>
      <c r="BP61"/>
      <c r="BR61"/>
    </row>
    <row r="62" spans="1:70" ht="15" x14ac:dyDescent="0.3">
      <c r="BA62" s="17"/>
      <c r="BB62" s="17" t="s">
        <v>502</v>
      </c>
      <c r="BC62" s="21"/>
      <c r="BD62" s="21"/>
      <c r="BF62" s="17"/>
      <c r="BG62" s="17"/>
      <c r="BH62" s="17"/>
      <c r="BJ62"/>
      <c r="BK62"/>
      <c r="BM62"/>
      <c r="BO62"/>
      <c r="BP62"/>
      <c r="BR62"/>
    </row>
    <row r="63" spans="1:70" ht="15" x14ac:dyDescent="0.3">
      <c r="BA63" s="17"/>
      <c r="BB63" s="17" t="s">
        <v>503</v>
      </c>
      <c r="BC63" s="21"/>
      <c r="BD63" s="21"/>
      <c r="BF63" s="17"/>
      <c r="BG63" s="17"/>
      <c r="BH63" s="17"/>
      <c r="BJ63"/>
      <c r="BK63"/>
      <c r="BM63"/>
      <c r="BO63"/>
      <c r="BP63"/>
      <c r="BR63"/>
    </row>
    <row r="64" spans="1:70" ht="15" x14ac:dyDescent="0.3">
      <c r="BA64" s="17"/>
      <c r="BB64" s="17" t="s">
        <v>504</v>
      </c>
      <c r="BC64" s="21"/>
      <c r="BD64" s="21"/>
      <c r="BF64" s="17"/>
      <c r="BG64" s="17"/>
      <c r="BH64" s="17"/>
      <c r="BJ64"/>
      <c r="BK64"/>
      <c r="BM64"/>
      <c r="BO64"/>
      <c r="BP64"/>
      <c r="BR64"/>
    </row>
    <row r="65" spans="53:70" ht="15" x14ac:dyDescent="0.3">
      <c r="BA65" s="17"/>
      <c r="BB65" s="17" t="s">
        <v>505</v>
      </c>
      <c r="BC65" s="21"/>
      <c r="BD65" s="21"/>
      <c r="BF65" s="17"/>
      <c r="BG65" s="17"/>
      <c r="BH65" s="17"/>
      <c r="BJ65"/>
      <c r="BK65"/>
      <c r="BM65"/>
      <c r="BO65"/>
      <c r="BP65"/>
      <c r="BR65"/>
    </row>
    <row r="66" spans="53:70" ht="15" x14ac:dyDescent="0.3">
      <c r="BA66" s="17"/>
      <c r="BB66" s="17" t="s">
        <v>506</v>
      </c>
      <c r="BC66" s="21"/>
      <c r="BD66" s="21"/>
      <c r="BF66" s="17"/>
      <c r="BG66" s="17"/>
      <c r="BH66" s="17"/>
      <c r="BJ66"/>
      <c r="BK66"/>
      <c r="BM66"/>
      <c r="BO66"/>
      <c r="BP66"/>
      <c r="BR66"/>
    </row>
    <row r="67" spans="53:70" ht="15" x14ac:dyDescent="0.3">
      <c r="BA67" s="17"/>
      <c r="BB67" s="17" t="s">
        <v>507</v>
      </c>
      <c r="BC67" s="21"/>
      <c r="BD67" s="21"/>
      <c r="BF67" s="17"/>
      <c r="BG67" s="17"/>
      <c r="BH67" s="17"/>
      <c r="BJ67"/>
      <c r="BK67"/>
      <c r="BM67"/>
      <c r="BO67"/>
      <c r="BP67"/>
      <c r="BR67"/>
    </row>
    <row r="68" spans="53:70" ht="15" x14ac:dyDescent="0.3">
      <c r="BA68" s="17"/>
      <c r="BB68" s="17" t="s">
        <v>508</v>
      </c>
      <c r="BC68" s="21"/>
      <c r="BD68" s="21"/>
      <c r="BF68" s="17"/>
      <c r="BG68" s="17"/>
      <c r="BH68" s="17"/>
      <c r="BJ68"/>
      <c r="BK68"/>
      <c r="BM68"/>
      <c r="BO68"/>
      <c r="BP68"/>
      <c r="BR68"/>
    </row>
    <row r="69" spans="53:70" ht="15" x14ac:dyDescent="0.3">
      <c r="BA69" s="17"/>
      <c r="BB69" s="17" t="s">
        <v>509</v>
      </c>
      <c r="BC69" s="21"/>
      <c r="BD69" s="21"/>
      <c r="BF69" s="17"/>
      <c r="BG69" s="17"/>
      <c r="BH69" s="17"/>
      <c r="BJ69"/>
      <c r="BK69"/>
      <c r="BM69"/>
      <c r="BO69"/>
      <c r="BP69"/>
      <c r="BR69"/>
    </row>
    <row r="70" spans="53:70" ht="15" x14ac:dyDescent="0.3">
      <c r="BA70" s="17"/>
      <c r="BB70" s="17" t="s">
        <v>510</v>
      </c>
      <c r="BC70" s="21"/>
      <c r="BD70" s="21"/>
      <c r="BF70" s="17"/>
      <c r="BG70" s="17"/>
      <c r="BH70" s="17"/>
      <c r="BJ70"/>
      <c r="BK70"/>
      <c r="BM70"/>
      <c r="BO70"/>
      <c r="BP70"/>
      <c r="BR70"/>
    </row>
    <row r="71" spans="53:70" ht="15" x14ac:dyDescent="0.3">
      <c r="BA71" s="17"/>
      <c r="BB71" s="17" t="s">
        <v>511</v>
      </c>
      <c r="BC71" s="21"/>
      <c r="BD71" s="21"/>
      <c r="BF71" s="17"/>
      <c r="BG71" s="17"/>
      <c r="BH71" s="17"/>
      <c r="BJ71"/>
      <c r="BK71"/>
      <c r="BM71"/>
      <c r="BO71"/>
      <c r="BP71"/>
      <c r="BR71"/>
    </row>
    <row r="72" spans="53:70" ht="15" x14ac:dyDescent="0.3">
      <c r="BA72" s="17"/>
      <c r="BB72" s="17" t="s">
        <v>512</v>
      </c>
      <c r="BC72" s="21"/>
      <c r="BD72" s="21"/>
      <c r="BF72" s="17"/>
      <c r="BG72" s="17"/>
      <c r="BH72" s="17"/>
      <c r="BJ72"/>
      <c r="BK72"/>
      <c r="BM72"/>
      <c r="BO72"/>
      <c r="BP72"/>
      <c r="BR72"/>
    </row>
    <row r="73" spans="53:70" ht="15" x14ac:dyDescent="0.3">
      <c r="BA73" s="17"/>
      <c r="BB73" s="17" t="s">
        <v>513</v>
      </c>
      <c r="BC73" s="21"/>
      <c r="BD73" s="21"/>
      <c r="BF73" s="17"/>
      <c r="BG73" s="17"/>
      <c r="BH73" s="17"/>
      <c r="BJ73"/>
      <c r="BK73"/>
      <c r="BM73"/>
      <c r="BO73"/>
      <c r="BP73"/>
      <c r="BR73"/>
    </row>
    <row r="74" spans="53:70" ht="15" x14ac:dyDescent="0.3">
      <c r="BA74" s="17"/>
      <c r="BB74" s="17" t="s">
        <v>514</v>
      </c>
      <c r="BC74" s="21"/>
      <c r="BD74" s="21"/>
      <c r="BF74" s="17"/>
      <c r="BG74" s="17"/>
      <c r="BH74" s="17"/>
      <c r="BJ74"/>
      <c r="BK74"/>
      <c r="BM74"/>
      <c r="BO74"/>
      <c r="BP74"/>
      <c r="BR74"/>
    </row>
    <row r="75" spans="53:70" ht="15" x14ac:dyDescent="0.3">
      <c r="BA75" s="17"/>
      <c r="BB75" s="17" t="s">
        <v>515</v>
      </c>
      <c r="BC75" s="21"/>
      <c r="BD75" s="21"/>
      <c r="BF75" s="17"/>
      <c r="BG75" s="17"/>
      <c r="BH75" s="17"/>
      <c r="BJ75"/>
      <c r="BK75"/>
      <c r="BM75"/>
      <c r="BO75"/>
      <c r="BP75"/>
      <c r="BR75"/>
    </row>
    <row r="76" spans="53:70" ht="15" x14ac:dyDescent="0.3">
      <c r="BA76" s="17"/>
      <c r="BB76" s="17" t="s">
        <v>516</v>
      </c>
      <c r="BC76" s="21"/>
      <c r="BD76" s="21"/>
      <c r="BF76" s="17"/>
      <c r="BG76" s="17"/>
      <c r="BH76" s="17"/>
      <c r="BJ76"/>
      <c r="BK76"/>
      <c r="BM76"/>
      <c r="BO76"/>
      <c r="BP76"/>
      <c r="BR76"/>
    </row>
    <row r="77" spans="53:70" ht="15" x14ac:dyDescent="0.3">
      <c r="BA77" s="17"/>
      <c r="BB77" s="17" t="s">
        <v>517</v>
      </c>
      <c r="BC77" s="21"/>
      <c r="BD77" s="21"/>
      <c r="BF77" s="17"/>
      <c r="BG77" s="17"/>
      <c r="BH77" s="17"/>
      <c r="BJ77"/>
      <c r="BK77"/>
      <c r="BM77"/>
      <c r="BO77"/>
      <c r="BP77"/>
      <c r="BR77"/>
    </row>
    <row r="78" spans="53:70" ht="15" x14ac:dyDescent="0.3">
      <c r="BA78" s="17"/>
      <c r="BB78" s="17" t="s">
        <v>518</v>
      </c>
      <c r="BC78" s="21"/>
      <c r="BD78" s="21"/>
      <c r="BF78" s="17"/>
      <c r="BG78" s="17"/>
      <c r="BH78" s="17"/>
      <c r="BJ78"/>
      <c r="BK78"/>
      <c r="BM78"/>
      <c r="BO78"/>
      <c r="BP78"/>
      <c r="BR78"/>
    </row>
    <row r="79" spans="53:70" ht="15" x14ac:dyDescent="0.3">
      <c r="BA79" s="17"/>
      <c r="BB79" s="17" t="s">
        <v>519</v>
      </c>
      <c r="BC79" s="21"/>
      <c r="BD79" s="21"/>
      <c r="BF79" s="17"/>
      <c r="BG79" s="17"/>
      <c r="BH79" s="17"/>
      <c r="BJ79"/>
      <c r="BK79"/>
      <c r="BM79"/>
      <c r="BO79"/>
      <c r="BP79"/>
      <c r="BR79"/>
    </row>
    <row r="80" spans="53:70" ht="15" x14ac:dyDescent="0.3">
      <c r="BA80" s="17"/>
      <c r="BB80" s="17" t="s">
        <v>520</v>
      </c>
      <c r="BC80" s="21"/>
      <c r="BD80" s="21"/>
      <c r="BF80" s="17"/>
      <c r="BG80" s="17"/>
      <c r="BH80" s="17"/>
      <c r="BJ80"/>
      <c r="BK80"/>
      <c r="BM80"/>
      <c r="BO80"/>
      <c r="BP80"/>
      <c r="BR80"/>
    </row>
    <row r="81" spans="53:70" ht="15" x14ac:dyDescent="0.3">
      <c r="BA81" s="17"/>
      <c r="BB81" s="17" t="s">
        <v>521</v>
      </c>
      <c r="BC81" s="21"/>
      <c r="BD81" s="21"/>
      <c r="BF81" s="17"/>
      <c r="BG81" s="17"/>
      <c r="BH81" s="17"/>
      <c r="BJ81"/>
      <c r="BK81"/>
      <c r="BM81"/>
      <c r="BO81"/>
      <c r="BP81"/>
      <c r="BR81"/>
    </row>
    <row r="82" spans="53:70" ht="15" x14ac:dyDescent="0.3">
      <c r="BA82" s="17"/>
      <c r="BB82" s="17" t="s">
        <v>522</v>
      </c>
      <c r="BC82" s="21"/>
      <c r="BD82" s="21"/>
      <c r="BF82" s="17"/>
      <c r="BG82" s="17"/>
      <c r="BH82" s="17"/>
      <c r="BJ82"/>
      <c r="BK82"/>
      <c r="BM82"/>
      <c r="BO82"/>
      <c r="BP82"/>
      <c r="BR82"/>
    </row>
    <row r="83" spans="53:70" ht="15" x14ac:dyDescent="0.3">
      <c r="BA83" s="17"/>
      <c r="BB83" s="17" t="s">
        <v>523</v>
      </c>
      <c r="BC83" s="21"/>
      <c r="BD83" s="21"/>
      <c r="BF83" s="17"/>
      <c r="BG83" s="17"/>
      <c r="BH83" s="17"/>
      <c r="BJ83"/>
      <c r="BK83"/>
      <c r="BM83"/>
      <c r="BO83"/>
      <c r="BP83"/>
      <c r="BR83"/>
    </row>
    <row r="84" spans="53:70" ht="15" x14ac:dyDescent="0.3">
      <c r="BA84" s="17"/>
      <c r="BB84" s="17" t="s">
        <v>524</v>
      </c>
      <c r="BC84" s="21"/>
      <c r="BD84" s="21"/>
      <c r="BF84" s="17"/>
      <c r="BG84" s="17"/>
      <c r="BH84" s="17"/>
      <c r="BJ84"/>
      <c r="BK84"/>
      <c r="BM84"/>
      <c r="BO84"/>
      <c r="BP84"/>
      <c r="BR84"/>
    </row>
    <row r="85" spans="53:70" ht="15" x14ac:dyDescent="0.3">
      <c r="BA85" s="17"/>
      <c r="BB85" s="17" t="s">
        <v>525</v>
      </c>
      <c r="BC85" s="21"/>
      <c r="BD85" s="21"/>
      <c r="BF85" s="17"/>
      <c r="BG85" s="17"/>
      <c r="BH85" s="17"/>
      <c r="BJ85"/>
      <c r="BK85"/>
      <c r="BM85"/>
      <c r="BO85"/>
      <c r="BP85"/>
      <c r="BR85"/>
    </row>
    <row r="86" spans="53:70" ht="15" x14ac:dyDescent="0.3">
      <c r="BA86" s="17"/>
      <c r="BB86" s="17" t="s">
        <v>526</v>
      </c>
      <c r="BC86" s="21"/>
      <c r="BD86" s="21"/>
      <c r="BF86" s="17"/>
      <c r="BG86" s="17"/>
      <c r="BH86" s="17"/>
      <c r="BJ86"/>
      <c r="BK86"/>
      <c r="BM86"/>
      <c r="BO86"/>
      <c r="BP86"/>
      <c r="BR86"/>
    </row>
    <row r="87" spans="53:70" ht="15" x14ac:dyDescent="0.3">
      <c r="BA87" s="17"/>
      <c r="BB87" s="17" t="s">
        <v>527</v>
      </c>
      <c r="BC87" s="21"/>
      <c r="BD87" s="21"/>
      <c r="BF87" s="17"/>
      <c r="BG87" s="17"/>
      <c r="BH87" s="17"/>
      <c r="BJ87"/>
      <c r="BK87"/>
      <c r="BM87"/>
      <c r="BO87"/>
      <c r="BP87"/>
      <c r="BR87"/>
    </row>
    <row r="2121" spans="72:72" x14ac:dyDescent="0.3">
      <c r="BT2121" s="50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5B356-F4DD-4450-9839-61BE460C77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ZM01</vt:lpstr>
      <vt:lpstr>Z580_PP001</vt:lpstr>
      <vt:lpstr>CT04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2022-02-10T19:34:14Z</dcterms:modified>
</cp:coreProperties>
</file>