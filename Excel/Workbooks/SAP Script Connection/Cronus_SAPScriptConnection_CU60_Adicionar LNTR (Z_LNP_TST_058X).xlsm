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5625" yWindow="30000" windowWidth="28800" windowHeight="14130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50" i="6" l="1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B1" i="6" l="1"/>
  <c r="A14" i="6" l="1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<sst xmlns="http://schemas.openxmlformats.org/spreadsheetml/2006/main" count="869" uniqueCount="691">
  <si>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</si>
  <si>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</si>
  <si>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</si>
  <si>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</si>
  <si>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</si>
  <si>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</si>
  <si>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</si>
  <si>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</si>
  <si>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</si>
  <si>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</si>
  <si>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</si>
  <si>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</si>
  <si>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</si>
  <si>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</si>
  <si>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</si>
  <si>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</si>
  <si>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</si>
  <si>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</si>
  <si>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</si>
  <si>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</si>
  <si>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</si>
  <si>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</si>
  <si>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</si>
  <si>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</si>
  <si>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</si>
  <si>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</si>
  <si>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</si>
  <si>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</si>
  <si>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</si>
  <si>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</si>
  <si>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</si>
  <si>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</si>
  <si>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</si>
  <si>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</si>
  <si>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</si>
  <si>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</si>
  <si>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</si>
  <si>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</si>
  <si>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</si>
  <si>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</si>
  <si>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</si>
  <si>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</si>
  <si>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</si>
  <si>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</si>
  <si>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</si>
  <si>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</si>
  <si>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</si>
  <si>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</si>
  <si>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</si>
  <si>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</si>
  <si>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</si>
  <si>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</si>
  <si>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</si>
  <si>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</si>
  <si>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</si>
  <si>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</si>
  <si>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</si>
  <si>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</si>
  <si>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</si>
  <si>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</si>
  <si>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</si>
  <si>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</si>
  <si>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</si>
  <si>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</si>
  <si>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</si>
  <si>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</si>
  <si>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</si>
  <si>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</si>
  <si>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</si>
  <si>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</si>
  <si>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</si>
  <si>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</si>
  <si>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</si>
  <si>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</si>
  <si>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</si>
  <si>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</si>
  <si>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</si>
  <si>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</si>
  <si>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</si>
  <si>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</si>
  <si>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</si>
  <si>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</si>
  <si>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</si>
  <si>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</si>
  <si>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</si>
  <si>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</si>
  <si>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</si>
  <si>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</si>
  <si>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</si>
  <si>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</si>
  <si>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</si>
  <si>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</si>
  <si>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</si>
  <si>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</si>
  <si>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</si>
  <si>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</si>
  <si>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</si>
  <si>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</si>
  <si>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</si>
  <si>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</si>
  <si>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</si>
  <si>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</si>
  <si>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</si>
  <si>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</si>
  <si>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</si>
  <si>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</si>
  <si>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</si>
  <si>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</si>
  <si>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</si>
  <si>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</si>
  <si>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</si>
  <si>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</si>
  <si>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</si>
  <si>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</si>
  <si>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</si>
  <si>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</si>
  <si>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</si>
  <si>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</si>
  <si>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</si>
  <si>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</si>
  <si>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</si>
  <si>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</si>
  <si>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</si>
  <si>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</si>
  <si>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</si>
  <si>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</si>
  <si>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</si>
  <si>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</si>
  <si>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</si>
  <si>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</si>
  <si>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</si>
  <si>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</si>
  <si>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</si>
  <si>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</si>
  <si>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</si>
  <si>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</si>
  <si>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</si>
  <si>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</si>
  <si>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</si>
  <si>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</si>
  <si>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</si>
  <si>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</si>
  <si>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</si>
  <si>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</si>
  <si>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</si>
  <si>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</si>
  <si>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</si>
  <si>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</si>
  <si>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</si>
  <si>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</si>
  <si>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</si>
  <si>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</si>
  <si>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</si>
  <si>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</si>
  <si>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</si>
  <si>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</si>
  <si>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</si>
  <si>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</si>
  <si>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</si>
  <si>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</si>
  <si>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</si>
  <si>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</si>
  <si>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</si>
  <si>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</si>
  <si>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</si>
  <si>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</si>
  <si>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</si>
  <si>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</si>
  <si>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</si>
  <si>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</si>
  <si>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</si>
  <si>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</si>
  <si>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</si>
  <si>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</si>
  <si>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</si>
  <si>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</si>
  <si>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</si>
  <si>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</si>
  <si>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</si>
  <si>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</si>
  <si>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</si>
  <si>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</si>
  <si>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</si>
  <si>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</si>
  <si>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</si>
  <si>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</si>
  <si>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</si>
  <si>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</si>
  <si>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</si>
  <si>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</si>
  <si>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</si>
  <si>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</si>
  <si>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</si>
  <si>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</si>
  <si>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</si>
  <si>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</si>
  <si>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</si>
  <si>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</si>
  <si>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</si>
  <si>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</si>
  <si>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</si>
  <si>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</si>
  <si>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</si>
  <si>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</si>
  <si>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</si>
  <si>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</si>
  <si>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</si>
  <si>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</si>
  <si>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</si>
  <si>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</si>
  <si>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</si>
  <si>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</si>
  <si>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</si>
  <si>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</si>
  <si>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</si>
  <si>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</si>
  <si>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</si>
  <si>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</si>
  <si>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</si>
  <si>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</si>
  <si>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</si>
  <si>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</si>
  <si>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</si>
  <si>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</si>
  <si>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</si>
  <si>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</si>
  <si>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</si>
  <si>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</si>
  <si>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</si>
  <si>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</si>
  <si>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</si>
  <si>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</si>
  <si>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</si>
  <si>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</si>
  <si>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</si>
  <si>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</si>
  <si>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</si>
  <si>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</si>
  <si>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</si>
  <si>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</si>
  <si>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</si>
  <si>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</si>
  <si>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</si>
  <si>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</si>
  <si>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</si>
  <si>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</si>
  <si>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</si>
  <si>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</si>
  <si>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</si>
  <si>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</si>
  <si>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</si>
  <si>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</si>
  <si>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</si>
  <si>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</si>
  <si>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</si>
  <si>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</si>
  <si>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</si>
  <si>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</si>
  <si>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</si>
  <si>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</si>
  <si>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</si>
  <si>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</si>
  <si>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</si>
  <si>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</si>
  <si>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</si>
  <si>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</si>
  <si>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</si>
  <si>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</si>
  <si>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</si>
  <si>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</si>
  <si>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</si>
  <si>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</si>
  <si>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</si>
  <si>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</si>
  <si>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</si>
  <si>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</si>
  <si>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</si>
  <si>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</si>
  <si>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</si>
  <si>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</si>
  <si>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</si>
  <si>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</si>
  <si>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</si>
  <si>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</si>
  <si>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</si>
  <si>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</si>
  <si>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</si>
  <si>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</si>
  <si>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</si>
  <si>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</si>
  <si>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</si>
  <si>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</si>
  <si>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</si>
  <si>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</si>
  <si>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</si>
  <si>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</si>
  <si>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</si>
  <si>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</si>
  <si>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</si>
  <si>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</si>
  <si>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</si>
  <si>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</si>
  <si>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</si>
  <si>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</si>
  <si>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</si>
  <si>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</si>
  <si>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</si>
  <si>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</si>
  <si>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</si>
  <si>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</si>
  <si>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</si>
  <si>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</si>
  <si>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</si>
  <si>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</si>
  <si>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</si>
  <si>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</si>
  <si>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</si>
  <si>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</si>
  <si>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</si>
  <si>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</si>
  <si>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</si>
  <si>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</si>
  <si>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</si>
  <si>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</si>
  <si>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</si>
  <si>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</si>
  <si>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</si>
  <si>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</si>
  <si>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</si>
  <si>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</si>
  <si>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</si>
  <si>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</si>
  <si>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</si>
  <si>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</si>
  <si>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</si>
  <si>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</si>
  <si>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</si>
  <si>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</si>
  <si>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</si>
  <si>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</si>
  <si>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</si>
  <si>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</si>
  <si>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</si>
  <si>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</si>
  <si>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</si>
  <si>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</si>
  <si>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</si>
  <si>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</si>
  <si>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</si>
  <si>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</si>
  <si>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</si>
  <si>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</si>
  <si>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</si>
  <si>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</si>
  <si>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</si>
  <si>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</si>
  <si>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</si>
  <si>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</si>
  <si>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</si>
  <si>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</si>
  <si>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</si>
  <si>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</si>
  <si>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</si>
  <si>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</si>
  <si>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</si>
  <si>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</si>
  <si>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</si>
  <si>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</si>
  <si>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</si>
  <si>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</si>
  <si>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</si>
  <si>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</si>
  <si>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</si>
  <si>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</si>
  <si>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</si>
  <si>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</si>
  <si>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</si>
  <si>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</si>
  <si>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</si>
  <si>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</si>
  <si>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</si>
  <si>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</si>
  <si>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</si>
  <si>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</si>
  <si>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</si>
  <si>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</si>
  <si>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</si>
  <si>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</si>
  <si>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</si>
  <si>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</si>
  <si>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</si>
  <si>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</si>
  <si>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</si>
  <si>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</si>
  <si>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</si>
  <si>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</si>
  <si>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</si>
  <si>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</si>
  <si>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</si>
  <si>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</si>
  <si>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</si>
  <si>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</si>
  <si>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</si>
  <si>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</si>
  <si>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</si>
  <si>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</si>
  <si>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</si>
  <si>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</si>
  <si>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</si>
  <si>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</si>
  <si>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</si>
  <si>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</si>
  <si>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</si>
  <si>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</si>
  <si>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</si>
  <si>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</si>
  <si>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</si>
  <si>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</si>
  <si>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</si>
  <si>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</si>
  <si>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</si>
  <si>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</si>
  <si>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</si>
  <si>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</si>
  <si>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</si>
  <si>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</si>
  <si>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</si>
  <si>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</si>
  <si>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</si>
  <si>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</si>
  <si>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</si>
  <si>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</si>
  <si>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</si>
  <si>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</si>
  <si>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</si>
  <si>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</si>
  <si>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</si>
  <si>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</si>
  <si>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</si>
  <si>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</si>
  <si>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</si>
  <si>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</si>
  <si>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</si>
  <si>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</si>
  <si>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</si>
  <si>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</si>
  <si>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</si>
  <si>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</si>
  <si>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</si>
  <si>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</si>
  <si>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</si>
  <si>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</si>
  <si>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</si>
  <si>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</si>
  <si>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</si>
  <si>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</si>
  <si>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</si>
  <si>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</si>
  <si>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</si>
  <si>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</si>
  <si>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</si>
  <si>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</si>
  <si>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</si>
  <si>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</si>
  <si>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</si>
  <si>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</si>
  <si>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</si>
  <si>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</si>
  <si>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</si>
  <si>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</si>
  <si>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</si>
  <si>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</si>
  <si>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</si>
  <si>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</si>
  <si>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</si>
  <si>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</si>
  <si>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</si>
  <si>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</si>
  <si>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</si>
  <si>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</si>
  <si>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</si>
  <si>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</si>
  <si>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</si>
  <si>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</si>
  <si>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</si>
  <si>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</si>
  <si>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</si>
  <si>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</si>
  <si>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</si>
  <si>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</si>
  <si>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</si>
  <si>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</si>
  <si>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</si>
  <si>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</si>
  <si>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</si>
  <si>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</si>
  <si>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</si>
  <si>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</si>
  <si>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</si>
  <si>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</si>
  <si>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</si>
  <si>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</si>
  <si>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</si>
  <si>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</si>
  <si>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</si>
  <si>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</si>
  <si>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</si>
  <si>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</si>
  <si>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</si>
  <si>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</si>
  <si>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</si>
  <si>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</si>
  <si>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</si>
  <si>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</si>
  <si>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</si>
  <si>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</si>
  <si>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</si>
  <si>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</si>
  <si>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</si>
  <si>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</si>
  <si>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</si>
  <si>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</si>
  <si>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</si>
  <si>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</si>
  <si>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</si>
  <si>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</si>
  <si>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</si>
  <si>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</si>
  <si>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</si>
  <si>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</si>
  <si>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</si>
  <si>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</si>
  <si>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</si>
  <si>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</si>
  <si>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</si>
  <si>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</si>
  <si>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</si>
  <si>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</si>
  <si>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</si>
  <si>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</si>
  <si>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</si>
  <si>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</si>
  <si>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</si>
  <si>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</si>
  <si>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</si>
  <si>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</si>
  <si>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</si>
  <si>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</si>
  <si>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</si>
  <si>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</si>
  <si>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</si>
  <si>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</si>
  <si>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</si>
  <si>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</si>
  <si>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</si>
  <si>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</si>
  <si>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</si>
  <si>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</si>
  <si>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</si>
  <si>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</si>
  <si>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</si>
  <si>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</si>
  <si>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</si>
  <si>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</si>
  <si>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</si>
  <si>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</si>
  <si>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</si>
  <si>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</si>
  <si>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</si>
  <si>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</si>
  <si>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</si>
  <si>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</si>
  <si>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</si>
  <si>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</si>
  <si>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</si>
  <si>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</si>
  <si>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</si>
  <si>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</si>
  <si>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</si>
  <si>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</si>
  <si>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</si>
  <si>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</si>
  <si>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</si>
  <si>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</si>
  <si>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</si>
  <si>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</si>
  <si>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</si>
  <si>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</si>
  <si>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</si>
  <si>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</si>
  <si>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</si>
  <si>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</si>
  <si>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</si>
  <si>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</si>
  <si>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</si>
  <si>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</si>
  <si>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</si>
  <si>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</si>
  <si>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</si>
  <si>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</si>
  <si>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</si>
  <si>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</si>
  <si>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</si>
  <si>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</si>
  <si>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</si>
  <si>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</si>
  <si>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</si>
  <si>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</si>
  <si>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</si>
  <si>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</si>
  <si>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</si>
  <si>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</si>
  <si>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</si>
  <si>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</si>
  <si>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</si>
  <si>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</si>
  <si>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</si>
  <si>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</si>
  <si>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</si>
  <si>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</si>
  <si>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</si>
  <si>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</si>
  <si>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</si>
  <si>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</si>
  <si>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</si>
  <si>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</si>
  <si>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</si>
  <si>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</si>
  <si>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</si>
  <si>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</si>
  <si>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</si>
  <si>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</si>
  <si>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</si>
  <si>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</si>
  <si>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</si>
  <si>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</si>
  <si>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</si>
  <si>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</si>
  <si>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</si>
  <si>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</si>
  <si>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</si>
  <si>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</si>
  <si>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</si>
  <si>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</si>
  <si>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</si>
  <si>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</si>
  <si>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</si>
  <si>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</si>
  <si>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</si>
  <si>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</si>
  <si>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</si>
  <si>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</si>
  <si>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</si>
  <si>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</si>
  <si>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</si>
  <si>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</si>
  <si>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</si>
  <si>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</si>
  <si>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</si>
  <si>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</si>
  <si>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</si>
  <si>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</si>
  <si>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</si>
  <si>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</si>
  <si>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</si>
  <si>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</si>
  <si>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txt[6,4]</t>
  </si>
  <si>
    <t>txt[27,4]</t>
  </si>
  <si>
    <t>espessura nominal</t>
  </si>
  <si>
    <t>espessura minima</t>
  </si>
  <si>
    <t>Espessura Máxima</t>
  </si>
  <si>
    <t>nro material do componente</t>
  </si>
  <si>
    <t>produção combinada</t>
  </si>
  <si>
    <t>Posição da Tira</t>
  </si>
  <si>
    <t>proteção de borda</t>
  </si>
  <si>
    <t>áreas visíveis</t>
  </si>
  <si>
    <t>Borda da Tira</t>
  </si>
  <si>
    <t>análise especial</t>
  </si>
  <si>
    <t>caract mecanicas restritas</t>
  </si>
  <si>
    <t>Z_LNP_TST_0581</t>
  </si>
  <si>
    <t>Z_LNP_TST_0582</t>
  </si>
  <si>
    <t>txt[43,4]</t>
  </si>
  <si>
    <t>txt[59,4]</t>
  </si>
  <si>
    <t>txt[75,4]</t>
  </si>
  <si>
    <t>txt[96,4]</t>
  </si>
  <si>
    <t>txt[111,4]</t>
  </si>
  <si>
    <t>txt[122,4]</t>
  </si>
  <si>
    <t>txt[137,4]</t>
  </si>
  <si>
    <t>txt[153,4]</t>
  </si>
  <si>
    <t>txt[165,4]</t>
  </si>
  <si>
    <t>txt[179,4]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</si>
</sst>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  <font>
      <sz val="10"/>
      <color theme="1"/>
      <name val="Trebuchet MS"/>
      <family val="2"/>
    </font>
    <font>
      <b/>
      <sz val="14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9" fontId="10" fillId="0" borderId="0" applyFont="0" applyFill="0" applyBorder="0" applyAlignment="0" applyProtection="0"/>
    <xf numFmtId="0" fontId="1" fillId="9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10" borderId="5" applyNumberFormat="0">
      <alignment horizontal="center" vertical="center"/>
    </xf>
    <xf numFmtId="0" fontId="1" fillId="11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2" borderId="5">
      <alignment horizontal="center" vertical="center"/>
      <protection locked="0"/>
    </xf>
    <xf numFmtId="0" fontId="3" fillId="4" borderId="2">
      <alignment horizontal="center" vertical="center"/>
    </xf>
    <xf numFmtId="0" fontId="11" fillId="13" borderId="0">
      <alignment horizontal="center" vertical="center"/>
    </xf>
  </cellStyleXfs>
  <cellXfs count="39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49" fontId="1" fillId="3" borderId="0" xfId="0" applyNumberFormat="1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3" applyProtection="1">
      <alignment horizontal="center" vertical="center"/>
    </xf>
    <xf numFmtId="2" fontId="1" fillId="3" borderId="5" xfId="1" applyNumberFormat="1" applyFont="1" applyFill="1" applyBorder="1" applyAlignment="1" applyProtection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Porcentagem" xfId="1" builtinId="5"/>
    <cellStyle name="Script" xfId="9"/>
    <cellStyle name="Subtítulos" xfId="10"/>
    <cellStyle name="Títulos" xfId="11"/>
  </cellStyles>
  <dxfs count="13"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N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" style="5" customWidth="1"/>
    <col min="3" max="3" width="17.85546875" style="5" bestFit="1" customWidth="1"/>
    <col min="4" max="4" width="17.28515625" style="5" bestFit="1" customWidth="1"/>
    <col min="5" max="5" width="17.5703125" style="5" bestFit="1" customWidth="1"/>
    <col min="6" max="6" width="27.140625" style="5" bestFit="1" customWidth="1"/>
    <col min="7" max="7" width="20.42578125" style="5" bestFit="1" customWidth="1"/>
    <col min="8" max="8" width="14.7109375" style="5" bestFit="1" customWidth="1"/>
    <col min="9" max="9" width="17.7109375" style="5" bestFit="1" customWidth="1"/>
    <col min="10" max="10" width="12.7109375" style="5" bestFit="1" customWidth="1"/>
    <col min="11" max="11" width="12.85546875" style="5" bestFit="1" customWidth="1"/>
    <col min="12" max="12" width="15.28515625" style="5" bestFit="1" customWidth="1"/>
    <col min="13" max="13" width="25.28515625" style="5" bestFit="1" customWidth="1"/>
    <col min="14" max="14" width="91" style="1" customWidth="1"/>
    <col min="15" max="15" width="22" style="1" customWidth="1"/>
    <col min="16" max="16384" width="9.140625" style="1"/>
  </cols>
  <sheetData>
    <row r="1" spans="1:14" s="30" customFormat="1" x14ac:dyDescent="0.2">
      <c r="A1" s="7" t="s">
        <v>28</v>
      </c>
      <c r="B1" s="33" t="str">
        <f>VLOOKUP(B2,'Listas de Dados'!BT:BU,2,0)</f>
        <v>Z_LNP_TST_0581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</row>
    <row r="2" spans="1:14" s="31" customFormat="1" x14ac:dyDescent="0.2">
      <c r="A2" s="7"/>
      <c r="B2" s="32" t="s">
        <v>4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</row>
    <row r="3" spans="1:14" s="9" customFormat="1" ht="15" customHeight="1" x14ac:dyDescent="0.2">
      <c r="A3" s="7" t="s">
        <v>29</v>
      </c>
      <c r="B3" s="3" t="s">
        <v>666</v>
      </c>
      <c r="C3" s="14" t="s">
        <v>667</v>
      </c>
      <c r="D3" s="14" t="s">
        <v>681</v>
      </c>
      <c r="E3" s="14" t="s">
        <v>682</v>
      </c>
      <c r="F3" s="14" t="s">
        <v>683</v>
      </c>
      <c r="G3" s="14" t="s">
        <v>684</v>
      </c>
      <c r="H3" s="14" t="s">
        <v>685</v>
      </c>
      <c r="I3" s="14" t="s">
        <v>686</v>
      </c>
      <c r="J3" s="14" t="s">
        <v>687</v>
      </c>
      <c r="K3" s="14" t="s">
        <v>688</v>
      </c>
      <c r="L3" s="14" t="s">
        <v>689</v>
      </c>
      <c r="M3" s="14" t="s">
        <v>690</v>
      </c>
      <c r="N3" s="10" t="s">
        <v>33</v>
      </c>
    </row>
    <row r="4" spans="1:14" s="4" customFormat="1" ht="15" customHeight="1" x14ac:dyDescent="0.2">
      <c r="A4" s="8" t="s">
        <v>30</v>
      </c>
      <c r="B4" s="2" t="s">
        <v>95</v>
      </c>
      <c r="C4" s="15" t="s">
        <v>668</v>
      </c>
      <c r="D4" s="15" t="s">
        <v>669</v>
      </c>
      <c r="E4" s="15" t="s">
        <v>670</v>
      </c>
      <c r="F4" s="15" t="s">
        <v>671</v>
      </c>
      <c r="G4" s="15" t="s">
        <v>672</v>
      </c>
      <c r="H4" s="15" t="s">
        <v>673</v>
      </c>
      <c r="I4" s="15" t="s">
        <v>674</v>
      </c>
      <c r="J4" s="15" t="s">
        <v>675</v>
      </c>
      <c r="K4" s="15" t="s">
        <v>676</v>
      </c>
      <c r="L4" s="15" t="s">
        <v>677</v>
      </c>
      <c r="M4" s="15" t="s">
        <v>678</v>
      </c>
      <c r="N4" s="4" t="s">
        <v>96</v>
      </c>
    </row>
    <row r="5" spans="1:14" x14ac:dyDescent="0.2">
      <c r="A5" s="7" t="str">
        <f>"Execução "&amp;ROW()-4</f>
        <v>Execução 1</v>
      </c>
      <c r="B5" s="34"/>
      <c r="C5" s="36"/>
      <c r="D5" s="36"/>
      <c r="E5" s="36"/>
      <c r="F5" s="36"/>
      <c r="G5" s="36"/>
      <c r="H5" s="36"/>
      <c r="I5" s="36"/>
      <c r="J5" s="36"/>
      <c r="K5" s="36"/>
      <c r="L5" s="36"/>
      <c r="M5" s="37"/>
      <c r="N5" s="12"/>
    </row>
    <row r="6" spans="1:14" x14ac:dyDescent="0.2">
      <c r="A6" s="7" t="str">
        <f t="shared" ref="A6:A50" si="0">"Execução "&amp;ROW()-4</f>
        <v>Execução 2</v>
      </c>
      <c r="B6" s="34"/>
      <c r="C6" s="36"/>
      <c r="D6" s="36"/>
      <c r="E6" s="36"/>
      <c r="F6" s="36"/>
      <c r="G6" s="36"/>
      <c r="H6" s="36"/>
      <c r="I6" s="36"/>
      <c r="J6" s="36"/>
      <c r="K6" s="36"/>
      <c r="L6" s="36"/>
      <c r="M6" s="37"/>
      <c r="N6" s="12"/>
    </row>
    <row r="7" spans="1:14" x14ac:dyDescent="0.2">
      <c r="A7" s="7" t="str">
        <f t="shared" si="0"/>
        <v>Execução 3</v>
      </c>
      <c r="B7" s="34"/>
      <c r="C7" s="36"/>
      <c r="D7" s="36"/>
      <c r="E7" s="36"/>
      <c r="F7" s="36"/>
      <c r="G7" s="36"/>
      <c r="H7" s="36"/>
      <c r="I7" s="36"/>
      <c r="J7" s="36"/>
      <c r="K7" s="36"/>
      <c r="L7" s="36"/>
      <c r="M7" s="37"/>
      <c r="N7" s="12"/>
    </row>
    <row r="8" spans="1:14" x14ac:dyDescent="0.2">
      <c r="A8" s="7" t="str">
        <f t="shared" si="0"/>
        <v>Execução 4</v>
      </c>
      <c r="B8" s="34"/>
      <c r="C8" s="36"/>
      <c r="D8" s="36"/>
      <c r="E8" s="36"/>
      <c r="F8" s="36"/>
      <c r="G8" s="36"/>
      <c r="H8" s="36"/>
      <c r="I8" s="36"/>
      <c r="J8" s="36"/>
      <c r="K8" s="36"/>
      <c r="L8" s="36"/>
      <c r="M8" s="37"/>
      <c r="N8" s="12"/>
    </row>
    <row r="9" spans="1:14" x14ac:dyDescent="0.2">
      <c r="A9" s="7" t="str">
        <f t="shared" si="0"/>
        <v>Execução 5</v>
      </c>
      <c r="B9" s="34"/>
      <c r="C9" s="36"/>
      <c r="D9" s="36"/>
      <c r="E9" s="36"/>
      <c r="F9" s="36"/>
      <c r="G9" s="36"/>
      <c r="H9" s="36"/>
      <c r="I9" s="36"/>
      <c r="J9" s="36"/>
      <c r="K9" s="36"/>
      <c r="L9" s="36"/>
      <c r="M9" s="37"/>
      <c r="N9" s="12"/>
    </row>
    <row r="10" spans="1:14" x14ac:dyDescent="0.2">
      <c r="A10" s="7" t="str">
        <f t="shared" si="0"/>
        <v>Execução 6</v>
      </c>
      <c r="B10" s="34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7"/>
      <c r="N10" s="12"/>
    </row>
    <row r="11" spans="1:14" x14ac:dyDescent="0.2">
      <c r="A11" s="7" t="str">
        <f t="shared" si="0"/>
        <v>Execução 7</v>
      </c>
      <c r="B11" s="34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7"/>
      <c r="N11" s="12"/>
    </row>
    <row r="12" spans="1:14" x14ac:dyDescent="0.2">
      <c r="A12" s="7" t="str">
        <f t="shared" si="0"/>
        <v>Execução 8</v>
      </c>
      <c r="B12" s="34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7"/>
      <c r="N12" s="12"/>
    </row>
    <row r="13" spans="1:14" x14ac:dyDescent="0.2">
      <c r="A13" s="7" t="str">
        <f t="shared" si="0"/>
        <v>Execução 9</v>
      </c>
      <c r="B13" s="34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7"/>
      <c r="N13" s="12"/>
    </row>
    <row r="14" spans="1:14" x14ac:dyDescent="0.2">
      <c r="A14" s="7" t="str">
        <f t="shared" si="0"/>
        <v>Execução 10</v>
      </c>
      <c r="B14" s="34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7"/>
      <c r="N14" s="12"/>
    </row>
    <row r="15" spans="1:14" x14ac:dyDescent="0.2">
      <c r="A15" s="7" t="str">
        <f t="shared" si="0"/>
        <v>Execução 11</v>
      </c>
      <c r="B15" s="34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7"/>
      <c r="N15" s="12"/>
    </row>
    <row r="16" spans="1:14" x14ac:dyDescent="0.2">
      <c r="A16" s="7" t="str">
        <f t="shared" si="0"/>
        <v>Execução 12</v>
      </c>
      <c r="B16" s="34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7"/>
      <c r="N16" s="12"/>
    </row>
    <row r="17" spans="1:14" x14ac:dyDescent="0.2">
      <c r="A17" s="7" t="str">
        <f t="shared" si="0"/>
        <v>Execução 13</v>
      </c>
      <c r="B17" s="34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7"/>
      <c r="N17" s="12"/>
    </row>
    <row r="18" spans="1:14" x14ac:dyDescent="0.2">
      <c r="A18" s="7" t="str">
        <f t="shared" si="0"/>
        <v>Execução 14</v>
      </c>
      <c r="B18" s="34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7"/>
      <c r="N18" s="12"/>
    </row>
    <row r="19" spans="1:14" x14ac:dyDescent="0.2">
      <c r="A19" s="7" t="str">
        <f t="shared" si="0"/>
        <v>Execução 15</v>
      </c>
      <c r="B19" s="34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7"/>
      <c r="N19" s="12"/>
    </row>
    <row r="20" spans="1:14" x14ac:dyDescent="0.2">
      <c r="A20" s="7" t="str">
        <f t="shared" si="0"/>
        <v>Execução 16</v>
      </c>
      <c r="B20" s="34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7"/>
      <c r="N20" s="12"/>
    </row>
    <row r="21" spans="1:14" x14ac:dyDescent="0.2">
      <c r="A21" s="7" t="str">
        <f t="shared" si="0"/>
        <v>Execução 17</v>
      </c>
      <c r="B21" s="34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  <c r="N21" s="12"/>
    </row>
    <row r="22" spans="1:14" x14ac:dyDescent="0.2">
      <c r="A22" s="7" t="str">
        <f t="shared" si="0"/>
        <v>Execução 18</v>
      </c>
      <c r="B22" s="34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7"/>
      <c r="N22" s="12"/>
    </row>
    <row r="23" spans="1:14" x14ac:dyDescent="0.2">
      <c r="A23" s="7" t="str">
        <f t="shared" si="0"/>
        <v>Execução 19</v>
      </c>
      <c r="B23" s="34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7"/>
      <c r="N23" s="12"/>
    </row>
    <row r="24" spans="1:14" x14ac:dyDescent="0.2">
      <c r="A24" s="7" t="str">
        <f t="shared" si="0"/>
        <v>Execução 20</v>
      </c>
      <c r="B24" s="34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7"/>
      <c r="N24" s="12"/>
    </row>
    <row r="25" spans="1:14" x14ac:dyDescent="0.2">
      <c r="A25" s="7" t="str">
        <f t="shared" si="0"/>
        <v>Execução 21</v>
      </c>
      <c r="B25" s="34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7"/>
      <c r="N25" s="12"/>
    </row>
    <row r="26" spans="1:14" x14ac:dyDescent="0.2">
      <c r="A26" s="7" t="str">
        <f t="shared" si="0"/>
        <v>Execução 22</v>
      </c>
      <c r="B26" s="34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7"/>
      <c r="N26" s="12"/>
    </row>
    <row r="27" spans="1:14" x14ac:dyDescent="0.2">
      <c r="A27" s="7" t="str">
        <f t="shared" si="0"/>
        <v>Execução 23</v>
      </c>
      <c r="B27" s="34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7"/>
      <c r="N27" s="12"/>
    </row>
    <row r="28" spans="1:14" x14ac:dyDescent="0.2">
      <c r="A28" s="7" t="str">
        <f t="shared" si="0"/>
        <v>Execução 24</v>
      </c>
      <c r="B28" s="34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7"/>
      <c r="N28" s="12"/>
    </row>
    <row r="29" spans="1:14" x14ac:dyDescent="0.2">
      <c r="A29" s="7" t="str">
        <f t="shared" si="0"/>
        <v>Execução 25</v>
      </c>
      <c r="B29" s="34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7"/>
      <c r="N29" s="12"/>
    </row>
    <row r="30" spans="1:14" x14ac:dyDescent="0.2">
      <c r="A30" s="7" t="str">
        <f t="shared" si="0"/>
        <v>Execução 26</v>
      </c>
      <c r="B30" s="34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7"/>
      <c r="N30" s="12"/>
    </row>
    <row r="31" spans="1:14" x14ac:dyDescent="0.2">
      <c r="A31" s="7" t="str">
        <f t="shared" si="0"/>
        <v>Execução 27</v>
      </c>
      <c r="B31" s="34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7"/>
      <c r="N31" s="12"/>
    </row>
    <row r="32" spans="1:14" x14ac:dyDescent="0.2">
      <c r="A32" s="7" t="str">
        <f t="shared" si="0"/>
        <v>Execução 28</v>
      </c>
      <c r="B32" s="34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7"/>
      <c r="N32" s="12"/>
    </row>
    <row r="33" spans="1:14" x14ac:dyDescent="0.2">
      <c r="A33" s="7" t="str">
        <f t="shared" si="0"/>
        <v>Execução 29</v>
      </c>
      <c r="B33" s="34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7"/>
      <c r="N33" s="12"/>
    </row>
    <row r="34" spans="1:14" x14ac:dyDescent="0.2">
      <c r="A34" s="7" t="str">
        <f t="shared" si="0"/>
        <v>Execução 30</v>
      </c>
      <c r="B34" s="34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7"/>
      <c r="N34" s="12"/>
    </row>
    <row r="35" spans="1:14" x14ac:dyDescent="0.2">
      <c r="A35" s="7" t="str">
        <f t="shared" si="0"/>
        <v>Execução 31</v>
      </c>
      <c r="B35" s="34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7"/>
      <c r="N35" s="12"/>
    </row>
    <row r="36" spans="1:14" x14ac:dyDescent="0.2">
      <c r="A36" s="7" t="str">
        <f t="shared" si="0"/>
        <v>Execução 32</v>
      </c>
      <c r="B36" s="34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7"/>
      <c r="N36" s="12"/>
    </row>
    <row r="37" spans="1:14" x14ac:dyDescent="0.2">
      <c r="A37" s="7" t="str">
        <f t="shared" si="0"/>
        <v>Execução 33</v>
      </c>
      <c r="B37" s="34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7"/>
      <c r="N37" s="12"/>
    </row>
    <row r="38" spans="1:14" x14ac:dyDescent="0.2">
      <c r="A38" s="7" t="str">
        <f t="shared" si="0"/>
        <v>Execução 34</v>
      </c>
      <c r="B38" s="34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7"/>
      <c r="N38" s="12"/>
    </row>
    <row r="39" spans="1:14" x14ac:dyDescent="0.2">
      <c r="A39" s="7" t="str">
        <f t="shared" si="0"/>
        <v>Execução 35</v>
      </c>
      <c r="B39" s="34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7"/>
      <c r="N39" s="12"/>
    </row>
    <row r="40" spans="1:14" x14ac:dyDescent="0.2">
      <c r="A40" s="7" t="str">
        <f t="shared" si="0"/>
        <v>Execução 36</v>
      </c>
      <c r="B40" s="34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7"/>
      <c r="N40" s="12"/>
    </row>
    <row r="41" spans="1:14" x14ac:dyDescent="0.2">
      <c r="A41" s="7" t="str">
        <f t="shared" si="0"/>
        <v>Execução 37</v>
      </c>
      <c r="B41" s="34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7"/>
      <c r="N41" s="12"/>
    </row>
    <row r="42" spans="1:14" x14ac:dyDescent="0.2">
      <c r="A42" s="7" t="str">
        <f t="shared" si="0"/>
        <v>Execução 38</v>
      </c>
      <c r="B42" s="34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7"/>
      <c r="N42" s="12"/>
    </row>
    <row r="43" spans="1:14" x14ac:dyDescent="0.2">
      <c r="A43" s="7" t="str">
        <f t="shared" si="0"/>
        <v>Execução 39</v>
      </c>
      <c r="B43" s="34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7"/>
      <c r="N43" s="12"/>
    </row>
    <row r="44" spans="1:14" x14ac:dyDescent="0.2">
      <c r="A44" s="7" t="str">
        <f t="shared" si="0"/>
        <v>Execução 40</v>
      </c>
      <c r="B44" s="34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7"/>
      <c r="N44" s="12"/>
    </row>
    <row r="45" spans="1:14" x14ac:dyDescent="0.2">
      <c r="A45" s="7" t="str">
        <f t="shared" si="0"/>
        <v>Execução 41</v>
      </c>
      <c r="B45" s="34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7"/>
      <c r="N45" s="12"/>
    </row>
    <row r="46" spans="1:14" x14ac:dyDescent="0.2">
      <c r="A46" s="7" t="str">
        <f t="shared" si="0"/>
        <v>Execução 42</v>
      </c>
      <c r="B46" s="34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7"/>
      <c r="N46" s="12"/>
    </row>
    <row r="47" spans="1:14" x14ac:dyDescent="0.2">
      <c r="A47" s="7" t="str">
        <f t="shared" si="0"/>
        <v>Execução 43</v>
      </c>
      <c r="B47" s="34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7"/>
      <c r="N47" s="12"/>
    </row>
    <row r="48" spans="1:14" x14ac:dyDescent="0.2">
      <c r="A48" s="7" t="str">
        <f t="shared" si="0"/>
        <v>Execução 44</v>
      </c>
      <c r="B48" s="34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7"/>
      <c r="N48" s="12"/>
    </row>
    <row r="49" spans="1:14" x14ac:dyDescent="0.2">
      <c r="A49" s="7" t="str">
        <f t="shared" si="0"/>
        <v>Execução 45</v>
      </c>
      <c r="B49" s="34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7"/>
      <c r="N49" s="12"/>
    </row>
    <row r="50" spans="1:14" x14ac:dyDescent="0.2">
      <c r="A50" s="7" t="str">
        <f t="shared" si="0"/>
        <v>Execução 46</v>
      </c>
      <c r="B50" s="34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7"/>
      <c r="N50" s="12"/>
    </row>
  </sheetData>
  <sortState ref="P5:P2561">
    <sortCondition ref="P5"/>
  </sortState>
  <conditionalFormatting sqref="N1:N5 N51:N1048576">
    <cfRule type="containsText" dxfId="12" priority="26" operator="containsText" text="é modificado">
      <formula>NOT(ISERROR(SEARCH("é modificado",N1)))</formula>
    </cfRule>
    <cfRule type="containsText" dxfId="11" priority="27" operator="containsText" text="Error">
      <formula>NOT(ISERROR(SEARCH("Error",N1)))</formula>
    </cfRule>
  </conditionalFormatting>
  <conditionalFormatting sqref="B5">
    <cfRule type="beginsWith" dxfId="10" priority="23" operator="beginsWith" text="L">
      <formula>LEFT(B5,LEN("L"))="L"</formula>
    </cfRule>
  </conditionalFormatting>
  <conditionalFormatting sqref="N6:N14">
    <cfRule type="containsText" dxfId="9" priority="21" operator="containsText" text="é modificado">
      <formula>NOT(ISERROR(SEARCH("é modificado",N6)))</formula>
    </cfRule>
    <cfRule type="containsText" dxfId="8" priority="22" operator="containsText" text="Error">
      <formula>NOT(ISERROR(SEARCH("Error",N6)))</formula>
    </cfRule>
  </conditionalFormatting>
  <conditionalFormatting sqref="B6:B14">
    <cfRule type="beginsWith" dxfId="7" priority="20" operator="beginsWith" text="L">
      <formula>LEFT(B6,LEN("L"))="L"</formula>
    </cfRule>
  </conditionalFormatting>
  <conditionalFormatting sqref="B5:B14">
    <cfRule type="containsBlanks" dxfId="6" priority="7">
      <formula>LEN(TRIM(B5))=0</formula>
    </cfRule>
  </conditionalFormatting>
  <conditionalFormatting sqref="N5:N14">
    <cfRule type="containsText" dxfId="5" priority="6" operator="containsText" text="foi modificada">
      <formula>NOT(ISERROR(SEARCH("foi modificada",N5)))</formula>
    </cfRule>
  </conditionalFormatting>
  <conditionalFormatting sqref="N15:N50">
    <cfRule type="containsText" dxfId="4" priority="4" operator="containsText" text="é modificado">
      <formula>NOT(ISERROR(SEARCH("é modificado",N15)))</formula>
    </cfRule>
    <cfRule type="containsText" dxfId="3" priority="5" operator="containsText" text="Error">
      <formula>NOT(ISERROR(SEARCH("Error",N15)))</formula>
    </cfRule>
  </conditionalFormatting>
  <conditionalFormatting sqref="B15:B50">
    <cfRule type="beginsWith" dxfId="2" priority="3" operator="beginsWith" text="L">
      <formula>LEFT(B15,LEN("L"))="L"</formula>
    </cfRule>
  </conditionalFormatting>
  <conditionalFormatting sqref="B15:B50">
    <cfRule type="containsBlanks" dxfId="1" priority="2">
      <formula>LEN(TRIM(B15))=0</formula>
    </cfRule>
  </conditionalFormatting>
  <conditionalFormatting sqref="N15:N50">
    <cfRule type="containsText" dxfId="0" priority="1" operator="containsText" text="foi modificada">
      <formula>NOT(ISERROR(SEARCH("foi modificada",N15)))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topLeftCell="BE1" workbookViewId="0">
      <selection activeCell="BU8" sqref="BU8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71" width="2.5703125" style="5" customWidth="1"/>
    <col min="72" max="72" width="8.42578125" style="5" customWidth="1"/>
    <col min="73" max="73" width="21.140625" style="5" customWidth="1"/>
    <col min="74" max="16384" width="9.140625" style="5"/>
  </cols>
  <sheetData>
    <row r="1" spans="1:73" s="16" customFormat="1" ht="17.100000000000001" customHeight="1" x14ac:dyDescent="0.2">
      <c r="A1" s="38" t="s">
        <v>31</v>
      </c>
      <c r="BS1" s="30"/>
      <c r="BT1" s="30"/>
      <c r="BU1" s="30"/>
    </row>
    <row r="2" spans="1:73" s="16" customFormat="1" ht="17.100000000000001" customHeight="1" x14ac:dyDescent="0.2">
      <c r="A2" s="38"/>
      <c r="B2" s="38" t="s">
        <v>10</v>
      </c>
      <c r="C2" s="38"/>
      <c r="D2" s="38"/>
      <c r="E2" s="38"/>
      <c r="G2" s="38" t="s">
        <v>34</v>
      </c>
      <c r="H2" s="38"/>
      <c r="J2" s="38" t="s">
        <v>97</v>
      </c>
      <c r="K2" s="38"/>
      <c r="M2" s="38" t="s">
        <v>98</v>
      </c>
      <c r="N2" s="38"/>
      <c r="P2" s="38" t="s">
        <v>99</v>
      </c>
      <c r="Q2" s="38"/>
      <c r="R2" s="38"/>
      <c r="S2" s="38"/>
      <c r="T2" s="38"/>
      <c r="U2" s="38"/>
      <c r="V2" s="38"/>
      <c r="W2" s="38"/>
      <c r="X2" s="38"/>
      <c r="Y2" s="38"/>
      <c r="AA2" s="38" t="s">
        <v>100</v>
      </c>
      <c r="AB2" s="38"/>
      <c r="AD2" s="38" t="s">
        <v>101</v>
      </c>
      <c r="AE2" s="38"/>
      <c r="AG2" s="16" t="s">
        <v>101</v>
      </c>
      <c r="AI2" s="38" t="s">
        <v>102</v>
      </c>
      <c r="AJ2" s="38"/>
      <c r="AL2" s="38" t="s">
        <v>103</v>
      </c>
      <c r="AM2" s="38"/>
      <c r="AO2" s="38" t="s">
        <v>34</v>
      </c>
      <c r="AP2" s="38"/>
      <c r="AR2" s="38" t="s">
        <v>104</v>
      </c>
      <c r="AS2" s="38"/>
      <c r="AU2" s="38" t="s">
        <v>105</v>
      </c>
      <c r="AV2" s="38"/>
      <c r="AX2" s="38" t="s">
        <v>106</v>
      </c>
      <c r="AY2" s="38"/>
      <c r="BA2" s="38" t="s">
        <v>107</v>
      </c>
      <c r="BB2" s="38"/>
      <c r="BC2" s="38"/>
      <c r="BD2" s="38"/>
      <c r="BF2" s="38" t="s">
        <v>108</v>
      </c>
      <c r="BG2" s="38"/>
      <c r="BH2" s="38"/>
      <c r="BJ2" s="38" t="s">
        <v>109</v>
      </c>
      <c r="BK2" s="38"/>
      <c r="BM2" s="16" t="s">
        <v>110</v>
      </c>
      <c r="BO2" s="38" t="s">
        <v>111</v>
      </c>
      <c r="BP2" s="38"/>
      <c r="BR2" s="16" t="s">
        <v>112</v>
      </c>
      <c r="BS2" s="30"/>
      <c r="BT2" s="38" t="s">
        <v>665</v>
      </c>
      <c r="BU2" s="38"/>
    </row>
    <row r="3" spans="1:73" s="16" customFormat="1" ht="17.100000000000001" customHeight="1" x14ac:dyDescent="0.2">
      <c r="A3" s="38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113</v>
      </c>
      <c r="K3" s="16" t="s">
        <v>114</v>
      </c>
      <c r="M3" s="16" t="s">
        <v>93</v>
      </c>
      <c r="N3" s="16" t="s">
        <v>94</v>
      </c>
      <c r="P3" s="16" t="s">
        <v>115</v>
      </c>
      <c r="Q3" s="16" t="s">
        <v>94</v>
      </c>
      <c r="R3" s="16" t="s">
        <v>116</v>
      </c>
      <c r="S3" s="16" t="s">
        <v>94</v>
      </c>
      <c r="T3" s="16" t="s">
        <v>117</v>
      </c>
      <c r="U3" s="16" t="s">
        <v>94</v>
      </c>
      <c r="V3" s="16" t="s">
        <v>118</v>
      </c>
      <c r="W3" s="16" t="s">
        <v>94</v>
      </c>
      <c r="X3" s="16" t="s">
        <v>119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120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s="16" t="s">
        <v>93</v>
      </c>
      <c r="AY3" s="16" t="s">
        <v>94</v>
      </c>
      <c r="BA3" s="16" t="s">
        <v>121</v>
      </c>
      <c r="BB3" s="16" t="s">
        <v>122</v>
      </c>
      <c r="BC3" s="16" t="s">
        <v>123</v>
      </c>
      <c r="BD3" s="16" t="s">
        <v>124</v>
      </c>
      <c r="BF3" s="16" t="s">
        <v>93</v>
      </c>
      <c r="BG3" s="16" t="s">
        <v>94</v>
      </c>
      <c r="BH3" s="16" t="s">
        <v>0</v>
      </c>
      <c r="BJ3" s="16" t="s">
        <v>125</v>
      </c>
      <c r="BK3" s="16" t="s">
        <v>0</v>
      </c>
      <c r="BM3" s="16" t="s">
        <v>125</v>
      </c>
      <c r="BO3" s="16" t="s">
        <v>125</v>
      </c>
      <c r="BP3" s="16" t="s">
        <v>94</v>
      </c>
      <c r="BR3" s="16" t="s">
        <v>126</v>
      </c>
      <c r="BS3" s="30"/>
      <c r="BT3" s="30" t="s">
        <v>0</v>
      </c>
      <c r="BU3" s="30" t="s">
        <v>125</v>
      </c>
    </row>
    <row r="4" spans="1:73" x14ac:dyDescent="0.2">
      <c r="A4" s="17" t="s">
        <v>32</v>
      </c>
      <c r="B4" s="11" t="s">
        <v>4</v>
      </c>
      <c r="C4" s="18" t="s">
        <v>127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128</v>
      </c>
      <c r="K4" s="11" t="s">
        <v>129</v>
      </c>
      <c r="M4" s="11">
        <v>62</v>
      </c>
      <c r="N4" s="19" t="s">
        <v>130</v>
      </c>
      <c r="P4" s="11" t="s">
        <v>131</v>
      </c>
      <c r="Q4" s="19" t="s">
        <v>132</v>
      </c>
      <c r="R4" s="11" t="s">
        <v>133</v>
      </c>
      <c r="S4" s="19" t="s">
        <v>134</v>
      </c>
      <c r="T4" s="11" t="s">
        <v>133</v>
      </c>
      <c r="U4" s="19" t="s">
        <v>135</v>
      </c>
      <c r="V4" s="11" t="s">
        <v>136</v>
      </c>
      <c r="W4" s="19" t="s">
        <v>137</v>
      </c>
      <c r="X4" s="11" t="s">
        <v>133</v>
      </c>
      <c r="Y4" s="19" t="s">
        <v>138</v>
      </c>
      <c r="AA4" s="11">
        <v>99</v>
      </c>
      <c r="AB4" s="19" t="s">
        <v>139</v>
      </c>
      <c r="AD4" s="11"/>
      <c r="AE4" s="19"/>
      <c r="AG4" s="19" t="s">
        <v>140</v>
      </c>
      <c r="AI4" s="11">
        <v>1</v>
      </c>
      <c r="AJ4" s="19" t="s">
        <v>141</v>
      </c>
      <c r="AL4" s="18" t="s">
        <v>142</v>
      </c>
      <c r="AM4" s="20" t="s">
        <v>143</v>
      </c>
      <c r="AO4" s="18" t="s">
        <v>35</v>
      </c>
      <c r="AP4" s="20" t="s">
        <v>36</v>
      </c>
      <c r="AR4" s="18" t="s">
        <v>144</v>
      </c>
      <c r="AS4" s="20" t="s">
        <v>145</v>
      </c>
      <c r="AU4" s="18" t="s">
        <v>146</v>
      </c>
      <c r="AV4" s="20" t="s">
        <v>147</v>
      </c>
      <c r="AX4" s="18" t="s">
        <v>148</v>
      </c>
      <c r="AY4" s="20" t="s">
        <v>149</v>
      </c>
      <c r="BA4" s="18" t="s">
        <v>150</v>
      </c>
      <c r="BB4" s="18" t="s">
        <v>14</v>
      </c>
      <c r="BC4" s="20" t="s">
        <v>151</v>
      </c>
      <c r="BD4" s="20" t="s">
        <v>151</v>
      </c>
      <c r="BF4" s="18" t="s">
        <v>152</v>
      </c>
      <c r="BG4" s="18" t="s">
        <v>153</v>
      </c>
      <c r="BH4" s="18" t="s">
        <v>4</v>
      </c>
      <c r="BJ4" s="18" t="s">
        <v>154</v>
      </c>
      <c r="BK4" s="18" t="s">
        <v>4</v>
      </c>
      <c r="BM4" s="18" t="s">
        <v>155</v>
      </c>
      <c r="BO4" s="18" t="s">
        <v>156</v>
      </c>
      <c r="BP4" s="18" t="s">
        <v>157</v>
      </c>
      <c r="BR4" s="18" t="s">
        <v>158</v>
      </c>
      <c r="BT4" s="18" t="s">
        <v>4</v>
      </c>
      <c r="BU4" s="18" t="s">
        <v>679</v>
      </c>
    </row>
    <row r="5" spans="1:73" x14ac:dyDescent="0.2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159</v>
      </c>
      <c r="K5" s="11" t="s">
        <v>160</v>
      </c>
      <c r="M5" s="11">
        <v>63</v>
      </c>
      <c r="N5" s="19" t="s">
        <v>161</v>
      </c>
      <c r="P5" s="11" t="s">
        <v>162</v>
      </c>
      <c r="Q5" s="19" t="s">
        <v>163</v>
      </c>
      <c r="R5" s="11" t="s">
        <v>164</v>
      </c>
      <c r="S5" s="19" t="s">
        <v>165</v>
      </c>
      <c r="T5" s="11" t="s">
        <v>164</v>
      </c>
      <c r="U5" s="19" t="s">
        <v>166</v>
      </c>
      <c r="V5" s="11" t="s">
        <v>167</v>
      </c>
      <c r="W5" s="19" t="s">
        <v>168</v>
      </c>
      <c r="X5" s="11" t="s">
        <v>164</v>
      </c>
      <c r="Y5" s="19" t="s">
        <v>169</v>
      </c>
      <c r="AA5" s="11"/>
      <c r="AB5" s="19" t="s">
        <v>170</v>
      </c>
      <c r="AD5" s="11" t="s">
        <v>140</v>
      </c>
      <c r="AE5" s="19" t="s">
        <v>171</v>
      </c>
      <c r="AG5" s="19" t="s">
        <v>172</v>
      </c>
      <c r="AI5" s="11">
        <v>2</v>
      </c>
      <c r="AJ5" s="19" t="s">
        <v>173</v>
      </c>
      <c r="AL5" s="18" t="s">
        <v>174</v>
      </c>
      <c r="AM5" s="20" t="s">
        <v>175</v>
      </c>
      <c r="AO5" s="18" t="s">
        <v>37</v>
      </c>
      <c r="AP5" s="20" t="s">
        <v>38</v>
      </c>
      <c r="AR5" s="18" t="s">
        <v>176</v>
      </c>
      <c r="AS5" s="20" t="s">
        <v>177</v>
      </c>
      <c r="AU5" s="18" t="s">
        <v>178</v>
      </c>
      <c r="AV5" s="20" t="s">
        <v>179</v>
      </c>
      <c r="AX5" s="18" t="s">
        <v>180</v>
      </c>
      <c r="AY5" s="20" t="s">
        <v>181</v>
      </c>
      <c r="BA5" s="18" t="s">
        <v>182</v>
      </c>
      <c r="BB5" s="18" t="s">
        <v>183</v>
      </c>
      <c r="BC5" s="20" t="s">
        <v>184</v>
      </c>
      <c r="BD5" s="20" t="s">
        <v>185</v>
      </c>
      <c r="BF5" s="18" t="s">
        <v>186</v>
      </c>
      <c r="BG5" s="18" t="s">
        <v>187</v>
      </c>
      <c r="BH5" s="18" t="s">
        <v>4</v>
      </c>
      <c r="BJ5" s="18" t="s">
        <v>188</v>
      </c>
      <c r="BK5" s="18" t="s">
        <v>9</v>
      </c>
      <c r="BM5" s="18" t="s">
        <v>189</v>
      </c>
      <c r="BO5" s="18" t="s">
        <v>190</v>
      </c>
      <c r="BP5" s="18" t="s">
        <v>191</v>
      </c>
      <c r="BR5" s="18" t="s">
        <v>192</v>
      </c>
      <c r="BT5" s="18" t="s">
        <v>9</v>
      </c>
      <c r="BU5" s="18" t="s">
        <v>680</v>
      </c>
    </row>
    <row r="6" spans="1:73" x14ac:dyDescent="0.2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193</v>
      </c>
      <c r="K6" s="11" t="s">
        <v>194</v>
      </c>
      <c r="M6" s="11">
        <v>64</v>
      </c>
      <c r="N6" s="19" t="s">
        <v>195</v>
      </c>
      <c r="P6" s="11" t="s">
        <v>196</v>
      </c>
      <c r="Q6" s="19" t="s">
        <v>197</v>
      </c>
      <c r="R6" s="11" t="s">
        <v>198</v>
      </c>
      <c r="S6" s="19" t="s">
        <v>199</v>
      </c>
      <c r="T6" s="11" t="s">
        <v>198</v>
      </c>
      <c r="U6" s="19" t="s">
        <v>200</v>
      </c>
      <c r="V6" s="11" t="s">
        <v>201</v>
      </c>
      <c r="W6" s="19" t="s">
        <v>202</v>
      </c>
      <c r="X6" s="11" t="s">
        <v>198</v>
      </c>
      <c r="Y6" s="19" t="s">
        <v>203</v>
      </c>
      <c r="AD6" s="11" t="s">
        <v>172</v>
      </c>
      <c r="AE6" s="19" t="s">
        <v>171</v>
      </c>
      <c r="AG6" s="19"/>
      <c r="AI6" s="11" t="s">
        <v>204</v>
      </c>
      <c r="AJ6" s="19" t="s">
        <v>205</v>
      </c>
      <c r="AL6" s="18" t="s">
        <v>206</v>
      </c>
      <c r="AM6" s="20" t="s">
        <v>207</v>
      </c>
      <c r="AO6" s="18" t="s">
        <v>39</v>
      </c>
      <c r="AP6" s="20" t="s">
        <v>40</v>
      </c>
      <c r="AR6" s="18" t="s">
        <v>8</v>
      </c>
      <c r="AS6" s="20" t="s">
        <v>208</v>
      </c>
      <c r="AU6" s="18" t="s">
        <v>209</v>
      </c>
      <c r="AV6" s="20" t="s">
        <v>210</v>
      </c>
      <c r="AX6" s="18" t="s">
        <v>211</v>
      </c>
      <c r="AY6" s="20" t="s">
        <v>212</v>
      </c>
      <c r="BA6" s="18" t="s">
        <v>213</v>
      </c>
      <c r="BB6" s="18" t="s">
        <v>214</v>
      </c>
      <c r="BC6" s="20"/>
      <c r="BD6" s="20"/>
      <c r="BF6" s="18" t="s">
        <v>215</v>
      </c>
      <c r="BG6" s="18" t="s">
        <v>216</v>
      </c>
      <c r="BH6" s="18" t="s">
        <v>4</v>
      </c>
      <c r="BJ6" s="18" t="s">
        <v>217</v>
      </c>
      <c r="BK6" s="18" t="s">
        <v>4</v>
      </c>
      <c r="BM6" s="18" t="s">
        <v>218</v>
      </c>
      <c r="BO6" s="18" t="s">
        <v>219</v>
      </c>
      <c r="BP6" s="18" t="s">
        <v>220</v>
      </c>
      <c r="BR6" s="18" t="s">
        <v>221</v>
      </c>
      <c r="BT6"/>
      <c r="BU6"/>
    </row>
    <row r="7" spans="1:73" x14ac:dyDescent="0.2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222</v>
      </c>
      <c r="K7" s="11" t="s">
        <v>223</v>
      </c>
      <c r="M7" s="11">
        <v>65</v>
      </c>
      <c r="N7" s="19" t="s">
        <v>224</v>
      </c>
      <c r="P7" s="11" t="s">
        <v>225</v>
      </c>
      <c r="Q7" s="19" t="s">
        <v>226</v>
      </c>
      <c r="T7" s="11" t="s">
        <v>227</v>
      </c>
      <c r="U7" s="19" t="s">
        <v>228</v>
      </c>
      <c r="V7" s="11" t="s">
        <v>229</v>
      </c>
      <c r="W7" s="19" t="s">
        <v>230</v>
      </c>
      <c r="X7" s="11" t="s">
        <v>227</v>
      </c>
      <c r="Y7" s="19" t="s">
        <v>231</v>
      </c>
      <c r="AD7" s="11" t="s">
        <v>232</v>
      </c>
      <c r="AE7" s="19" t="s">
        <v>233</v>
      </c>
      <c r="AG7" s="19"/>
      <c r="AI7" s="11" t="s">
        <v>234</v>
      </c>
      <c r="AJ7" s="19"/>
      <c r="AL7" s="18" t="s">
        <v>235</v>
      </c>
      <c r="AM7" s="20"/>
      <c r="AO7" s="18" t="s">
        <v>41</v>
      </c>
      <c r="AP7" s="20" t="s">
        <v>42</v>
      </c>
      <c r="AR7" s="18" t="s">
        <v>27</v>
      </c>
      <c r="AS7" s="20" t="s">
        <v>236</v>
      </c>
      <c r="AU7" s="18" t="s">
        <v>237</v>
      </c>
      <c r="AV7" s="20" t="s">
        <v>238</v>
      </c>
      <c r="AX7" s="18" t="s">
        <v>91</v>
      </c>
      <c r="AY7" s="20" t="s">
        <v>239</v>
      </c>
      <c r="BA7" s="18" t="s">
        <v>240</v>
      </c>
      <c r="BB7" s="18" t="s">
        <v>241</v>
      </c>
      <c r="BC7" s="20"/>
      <c r="BD7" s="20"/>
      <c r="BF7" s="18" t="s">
        <v>242</v>
      </c>
      <c r="BG7" s="18" t="s">
        <v>243</v>
      </c>
      <c r="BH7" s="18" t="s">
        <v>4</v>
      </c>
      <c r="BJ7" s="18" t="s">
        <v>244</v>
      </c>
      <c r="BK7" s="18" t="s">
        <v>9</v>
      </c>
      <c r="BM7" s="18" t="s">
        <v>245</v>
      </c>
      <c r="BO7" s="18" t="s">
        <v>246</v>
      </c>
      <c r="BP7" s="18" t="s">
        <v>247</v>
      </c>
      <c r="BR7" s="18"/>
      <c r="BT7"/>
      <c r="BU7"/>
    </row>
    <row r="8" spans="1:73" x14ac:dyDescent="0.2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248</v>
      </c>
      <c r="K8" s="11" t="s">
        <v>249</v>
      </c>
      <c r="M8" s="11">
        <v>66</v>
      </c>
      <c r="N8" s="19" t="s">
        <v>250</v>
      </c>
      <c r="P8" s="11" t="s">
        <v>251</v>
      </c>
      <c r="Q8" s="19" t="s">
        <v>252</v>
      </c>
      <c r="T8" s="11" t="s">
        <v>253</v>
      </c>
      <c r="U8" s="19" t="s">
        <v>254</v>
      </c>
      <c r="V8" s="11" t="s">
        <v>255</v>
      </c>
      <c r="W8" s="19" t="s">
        <v>256</v>
      </c>
      <c r="X8" s="11" t="s">
        <v>253</v>
      </c>
      <c r="Y8" s="19" t="s">
        <v>257</v>
      </c>
      <c r="AD8" s="11" t="s">
        <v>258</v>
      </c>
      <c r="AE8" s="19" t="s">
        <v>171</v>
      </c>
      <c r="AG8" s="19"/>
      <c r="AI8" s="11" t="s">
        <v>259</v>
      </c>
      <c r="AJ8" s="19" t="s">
        <v>260</v>
      </c>
      <c r="AL8" s="18" t="s">
        <v>261</v>
      </c>
      <c r="AM8" s="20" t="s">
        <v>262</v>
      </c>
      <c r="AO8" s="18" t="s">
        <v>43</v>
      </c>
      <c r="AP8" s="20" t="s">
        <v>44</v>
      </c>
      <c r="AR8" s="18" t="s">
        <v>263</v>
      </c>
      <c r="AS8" s="20" t="s">
        <v>264</v>
      </c>
      <c r="AU8" s="18" t="s">
        <v>265</v>
      </c>
      <c r="AV8" s="20" t="s">
        <v>266</v>
      </c>
      <c r="AX8" s="18"/>
      <c r="AY8" s="20" t="s">
        <v>267</v>
      </c>
      <c r="BA8" s="18" t="s">
        <v>268</v>
      </c>
      <c r="BB8" s="18" t="s">
        <v>269</v>
      </c>
      <c r="BC8" s="20"/>
      <c r="BD8" s="20"/>
      <c r="BF8" s="18" t="s">
        <v>270</v>
      </c>
      <c r="BG8" s="18" t="s">
        <v>271</v>
      </c>
      <c r="BH8" s="18" t="s">
        <v>4</v>
      </c>
      <c r="BJ8"/>
      <c r="BK8"/>
      <c r="BM8" s="18" t="s">
        <v>272</v>
      </c>
      <c r="BO8" s="18" t="s">
        <v>273</v>
      </c>
      <c r="BP8" s="18" t="s">
        <v>274</v>
      </c>
      <c r="BR8" s="18"/>
      <c r="BT8"/>
      <c r="BU8"/>
    </row>
    <row r="9" spans="1:73" x14ac:dyDescent="0.2">
      <c r="A9" s="21" t="s">
        <v>275</v>
      </c>
      <c r="C9" s="18" t="s">
        <v>15</v>
      </c>
      <c r="G9" s="11" t="s">
        <v>45</v>
      </c>
      <c r="H9" s="19" t="s">
        <v>46</v>
      </c>
      <c r="J9" s="11" t="s">
        <v>276</v>
      </c>
      <c r="K9" s="11" t="s">
        <v>277</v>
      </c>
      <c r="M9" s="11">
        <v>67</v>
      </c>
      <c r="N9" s="19" t="s">
        <v>200</v>
      </c>
      <c r="P9" s="11" t="s">
        <v>278</v>
      </c>
      <c r="Q9" s="19" t="s">
        <v>279</v>
      </c>
      <c r="V9" s="11" t="s">
        <v>280</v>
      </c>
      <c r="W9" s="19" t="s">
        <v>281</v>
      </c>
      <c r="X9" s="11" t="s">
        <v>6</v>
      </c>
      <c r="Y9" s="19" t="s">
        <v>282</v>
      </c>
      <c r="AD9" s="11" t="s">
        <v>283</v>
      </c>
      <c r="AE9" s="19" t="s">
        <v>171</v>
      </c>
      <c r="AI9" s="11" t="s">
        <v>284</v>
      </c>
      <c r="AJ9" s="19" t="s">
        <v>285</v>
      </c>
      <c r="AL9" s="18" t="s">
        <v>286</v>
      </c>
      <c r="AM9" s="20" t="s">
        <v>287</v>
      </c>
      <c r="AO9" s="18" t="s">
        <v>45</v>
      </c>
      <c r="AP9" s="20" t="s">
        <v>46</v>
      </c>
      <c r="AR9" s="18" t="s">
        <v>288</v>
      </c>
      <c r="AS9" s="20" t="s">
        <v>289</v>
      </c>
      <c r="AU9" s="18" t="s">
        <v>290</v>
      </c>
      <c r="AV9" s="20" t="s">
        <v>291</v>
      </c>
      <c r="BA9" s="18" t="s">
        <v>292</v>
      </c>
      <c r="BB9" s="18" t="s">
        <v>293</v>
      </c>
      <c r="BC9" s="20"/>
      <c r="BD9" s="20"/>
      <c r="BF9" s="18" t="s">
        <v>294</v>
      </c>
      <c r="BG9" s="18" t="s">
        <v>295</v>
      </c>
      <c r="BH9" s="18" t="s">
        <v>4</v>
      </c>
      <c r="BJ9"/>
      <c r="BK9"/>
      <c r="BM9" s="18" t="s">
        <v>296</v>
      </c>
      <c r="BO9" s="18" t="s">
        <v>297</v>
      </c>
      <c r="BP9" s="18" t="s">
        <v>298</v>
      </c>
      <c r="BR9" s="18"/>
      <c r="BT9"/>
      <c r="BU9"/>
    </row>
    <row r="10" spans="1:73" x14ac:dyDescent="0.2">
      <c r="A10" s="17" t="s">
        <v>299</v>
      </c>
      <c r="C10" s="18" t="s">
        <v>16</v>
      </c>
      <c r="G10" s="11" t="s">
        <v>47</v>
      </c>
      <c r="H10" s="19" t="s">
        <v>48</v>
      </c>
      <c r="J10" s="11" t="s">
        <v>300</v>
      </c>
      <c r="K10" s="11" t="s">
        <v>301</v>
      </c>
      <c r="M10" s="11">
        <v>68</v>
      </c>
      <c r="N10" s="19" t="s">
        <v>302</v>
      </c>
      <c r="P10" s="11" t="s">
        <v>303</v>
      </c>
      <c r="Q10" s="19" t="s">
        <v>304</v>
      </c>
      <c r="X10" s="11" t="s">
        <v>24</v>
      </c>
      <c r="Y10" s="19" t="s">
        <v>305</v>
      </c>
      <c r="AD10" s="11" t="s">
        <v>306</v>
      </c>
      <c r="AE10" s="19" t="s">
        <v>171</v>
      </c>
      <c r="AI10" s="11" t="s">
        <v>307</v>
      </c>
      <c r="AJ10" s="19" t="s">
        <v>285</v>
      </c>
      <c r="AL10" s="18" t="s">
        <v>308</v>
      </c>
      <c r="AM10" s="20" t="s">
        <v>309</v>
      </c>
      <c r="AO10" s="18" t="s">
        <v>47</v>
      </c>
      <c r="AP10" s="20" t="s">
        <v>48</v>
      </c>
      <c r="AR10" s="18" t="s">
        <v>310</v>
      </c>
      <c r="AS10" s="20" t="s">
        <v>311</v>
      </c>
      <c r="AU10" s="18" t="s">
        <v>39</v>
      </c>
      <c r="AV10" s="20" t="s">
        <v>312</v>
      </c>
      <c r="BA10" s="18" t="s">
        <v>313</v>
      </c>
      <c r="BB10" s="18" t="s">
        <v>314</v>
      </c>
      <c r="BC10" s="20"/>
      <c r="BD10" s="20"/>
      <c r="BF10" s="18" t="s">
        <v>315</v>
      </c>
      <c r="BG10" s="18" t="s">
        <v>316</v>
      </c>
      <c r="BH10" s="18" t="s">
        <v>4</v>
      </c>
      <c r="BJ10"/>
      <c r="BK10"/>
      <c r="BM10"/>
      <c r="BO10" s="18" t="s">
        <v>317</v>
      </c>
      <c r="BP10" s="18" t="s">
        <v>318</v>
      </c>
      <c r="BR10"/>
      <c r="BT10"/>
      <c r="BU10"/>
    </row>
    <row r="11" spans="1:73" x14ac:dyDescent="0.2">
      <c r="C11" s="18" t="s">
        <v>17</v>
      </c>
      <c r="G11" s="11" t="s">
        <v>49</v>
      </c>
      <c r="H11" s="19" t="s">
        <v>50</v>
      </c>
      <c r="J11" s="11" t="s">
        <v>319</v>
      </c>
      <c r="K11" s="11" t="s">
        <v>320</v>
      </c>
      <c r="M11" s="11">
        <v>69</v>
      </c>
      <c r="N11" s="19" t="s">
        <v>228</v>
      </c>
      <c r="P11" s="11" t="s">
        <v>321</v>
      </c>
      <c r="Q11" s="19" t="s">
        <v>228</v>
      </c>
      <c r="X11" s="11" t="s">
        <v>7</v>
      </c>
      <c r="Y11" s="19" t="s">
        <v>322</v>
      </c>
      <c r="AI11" s="11" t="s">
        <v>323</v>
      </c>
      <c r="AJ11" s="19" t="s">
        <v>285</v>
      </c>
      <c r="AO11" s="18" t="s">
        <v>49</v>
      </c>
      <c r="AP11" s="20" t="s">
        <v>50</v>
      </c>
      <c r="AR11" s="18" t="s">
        <v>324</v>
      </c>
      <c r="AS11" s="20" t="s">
        <v>325</v>
      </c>
      <c r="AU11" s="18" t="s">
        <v>41</v>
      </c>
      <c r="AV11" s="20" t="s">
        <v>326</v>
      </c>
      <c r="BA11" s="18" t="s">
        <v>327</v>
      </c>
      <c r="BB11" s="18" t="s">
        <v>328</v>
      </c>
      <c r="BC11" s="20"/>
      <c r="BD11" s="20"/>
      <c r="BF11" s="18" t="s">
        <v>329</v>
      </c>
      <c r="BG11" s="18" t="s">
        <v>330</v>
      </c>
      <c r="BH11" s="18" t="s">
        <v>4</v>
      </c>
      <c r="BJ11"/>
      <c r="BK11"/>
      <c r="BM11"/>
      <c r="BO11" s="18" t="s">
        <v>331</v>
      </c>
      <c r="BP11" s="18" t="s">
        <v>332</v>
      </c>
      <c r="BR11"/>
      <c r="BT11"/>
      <c r="BU11"/>
    </row>
    <row r="12" spans="1:73" x14ac:dyDescent="0.2">
      <c r="C12" s="18" t="s">
        <v>18</v>
      </c>
      <c r="G12" s="11" t="s">
        <v>51</v>
      </c>
      <c r="H12" s="19" t="s">
        <v>52</v>
      </c>
      <c r="J12" s="11" t="s">
        <v>333</v>
      </c>
      <c r="K12" s="11" t="s">
        <v>334</v>
      </c>
      <c r="M12" s="11">
        <v>70</v>
      </c>
      <c r="N12" s="19" t="s">
        <v>335</v>
      </c>
      <c r="X12" s="11" t="s">
        <v>25</v>
      </c>
      <c r="Y12" s="19" t="s">
        <v>336</v>
      </c>
      <c r="AO12" s="18" t="s">
        <v>51</v>
      </c>
      <c r="AP12" s="20" t="s">
        <v>52</v>
      </c>
      <c r="AU12" s="18" t="s">
        <v>43</v>
      </c>
      <c r="AV12" s="20" t="s">
        <v>337</v>
      </c>
      <c r="BA12" s="18" t="s">
        <v>338</v>
      </c>
      <c r="BB12" s="18" t="s">
        <v>339</v>
      </c>
      <c r="BC12" s="20"/>
      <c r="BD12" s="20"/>
      <c r="BF12" s="18" t="s">
        <v>340</v>
      </c>
      <c r="BG12" s="18" t="s">
        <v>341</v>
      </c>
      <c r="BH12" s="18" t="s">
        <v>4</v>
      </c>
      <c r="BJ12"/>
      <c r="BK12"/>
      <c r="BM12"/>
      <c r="BO12" s="18" t="s">
        <v>342</v>
      </c>
      <c r="BP12" s="18" t="s">
        <v>343</v>
      </c>
      <c r="BR12"/>
      <c r="BT12"/>
      <c r="BU12"/>
    </row>
    <row r="13" spans="1:73" x14ac:dyDescent="0.2">
      <c r="C13" s="18" t="s">
        <v>19</v>
      </c>
      <c r="G13" s="11" t="s">
        <v>53</v>
      </c>
      <c r="H13" s="19" t="s">
        <v>54</v>
      </c>
      <c r="J13" s="11" t="s">
        <v>344</v>
      </c>
      <c r="K13" s="11" t="s">
        <v>345</v>
      </c>
      <c r="M13" s="11">
        <v>71</v>
      </c>
      <c r="N13" s="19" t="s">
        <v>346</v>
      </c>
      <c r="X13" s="11" t="s">
        <v>26</v>
      </c>
      <c r="Y13" s="19" t="s">
        <v>347</v>
      </c>
      <c r="AO13" s="18" t="s">
        <v>53</v>
      </c>
      <c r="AP13" s="20" t="s">
        <v>54</v>
      </c>
      <c r="AU13" s="18" t="s">
        <v>348</v>
      </c>
      <c r="AV13" s="20" t="s">
        <v>349</v>
      </c>
      <c r="BA13" s="18" t="s">
        <v>350</v>
      </c>
      <c r="BB13" s="18" t="s">
        <v>351</v>
      </c>
      <c r="BC13" s="20"/>
      <c r="BD13" s="20"/>
      <c r="BF13" s="18" t="s">
        <v>352</v>
      </c>
      <c r="BG13" s="18" t="s">
        <v>353</v>
      </c>
      <c r="BH13" s="18" t="s">
        <v>4</v>
      </c>
      <c r="BJ13"/>
      <c r="BK13"/>
      <c r="BM13"/>
      <c r="BO13" s="18" t="s">
        <v>354</v>
      </c>
      <c r="BP13" s="18" t="s">
        <v>355</v>
      </c>
      <c r="BR13"/>
      <c r="BT13"/>
      <c r="BU13"/>
    </row>
    <row r="14" spans="1:73" x14ac:dyDescent="0.2">
      <c r="C14" s="18" t="s">
        <v>20</v>
      </c>
      <c r="G14" s="11" t="s">
        <v>55</v>
      </c>
      <c r="H14" s="19" t="s">
        <v>56</v>
      </c>
      <c r="J14" s="11" t="s">
        <v>356</v>
      </c>
      <c r="K14" s="11" t="s">
        <v>357</v>
      </c>
      <c r="M14" s="11">
        <v>72</v>
      </c>
      <c r="N14" s="19" t="s">
        <v>358</v>
      </c>
      <c r="X14" s="11" t="s">
        <v>359</v>
      </c>
      <c r="Y14" s="19" t="s">
        <v>360</v>
      </c>
      <c r="AO14" s="18" t="s">
        <v>55</v>
      </c>
      <c r="AP14" s="20" t="s">
        <v>56</v>
      </c>
      <c r="AU14" s="18" t="s">
        <v>361</v>
      </c>
      <c r="AV14" s="20" t="s">
        <v>362</v>
      </c>
      <c r="BA14" s="18" t="s">
        <v>363</v>
      </c>
      <c r="BB14" s="18" t="s">
        <v>364</v>
      </c>
      <c r="BC14" s="20"/>
      <c r="BD14" s="20"/>
      <c r="BF14" s="18" t="s">
        <v>365</v>
      </c>
      <c r="BG14" s="18" t="s">
        <v>366</v>
      </c>
      <c r="BH14" s="18" t="s">
        <v>4</v>
      </c>
      <c r="BJ14"/>
      <c r="BK14"/>
      <c r="BM14"/>
      <c r="BO14" s="18" t="s">
        <v>367</v>
      </c>
      <c r="BP14" s="18" t="s">
        <v>368</v>
      </c>
      <c r="BR14"/>
      <c r="BT14"/>
      <c r="BU14"/>
    </row>
    <row r="15" spans="1:73" x14ac:dyDescent="0.2">
      <c r="A15" s="22" t="s">
        <v>369</v>
      </c>
      <c r="C15" s="18" t="s">
        <v>5</v>
      </c>
      <c r="G15" s="11" t="s">
        <v>57</v>
      </c>
      <c r="H15" s="19" t="s">
        <v>58</v>
      </c>
      <c r="J15" s="11" t="s">
        <v>370</v>
      </c>
      <c r="K15" s="11" t="s">
        <v>371</v>
      </c>
      <c r="X15" s="11" t="s">
        <v>372</v>
      </c>
      <c r="Y15" s="19" t="s">
        <v>373</v>
      </c>
      <c r="AO15" s="18" t="s">
        <v>57</v>
      </c>
      <c r="AP15" s="20" t="s">
        <v>58</v>
      </c>
      <c r="AU15" s="18" t="s">
        <v>374</v>
      </c>
      <c r="AV15" s="20" t="s">
        <v>375</v>
      </c>
      <c r="BA15" s="18" t="s">
        <v>376</v>
      </c>
      <c r="BB15" s="18" t="s">
        <v>377</v>
      </c>
      <c r="BC15" s="20"/>
      <c r="BD15" s="20"/>
      <c r="BF15" s="18" t="s">
        <v>378</v>
      </c>
      <c r="BG15" s="18" t="s">
        <v>379</v>
      </c>
      <c r="BH15" s="18" t="s">
        <v>4</v>
      </c>
      <c r="BJ15"/>
      <c r="BK15"/>
      <c r="BM15"/>
      <c r="BO15" s="18" t="s">
        <v>380</v>
      </c>
      <c r="BP15" s="18" t="s">
        <v>381</v>
      </c>
      <c r="BR15"/>
      <c r="BT15"/>
      <c r="BU15"/>
    </row>
    <row r="16" spans="1:73" x14ac:dyDescent="0.2">
      <c r="A16" s="16" t="s">
        <v>382</v>
      </c>
      <c r="C16" s="18" t="s">
        <v>21</v>
      </c>
      <c r="G16" s="11" t="s">
        <v>59</v>
      </c>
      <c r="H16" s="19" t="s">
        <v>60</v>
      </c>
      <c r="J16" s="11" t="s">
        <v>383</v>
      </c>
      <c r="K16" s="11" t="s">
        <v>384</v>
      </c>
      <c r="X16" s="11" t="s">
        <v>385</v>
      </c>
      <c r="Y16" s="19" t="s">
        <v>386</v>
      </c>
      <c r="AO16" s="18" t="s">
        <v>59</v>
      </c>
      <c r="AP16" s="20" t="s">
        <v>60</v>
      </c>
      <c r="AU16" s="18" t="s">
        <v>387</v>
      </c>
      <c r="AV16" s="20" t="s">
        <v>388</v>
      </c>
      <c r="BA16" s="18" t="s">
        <v>389</v>
      </c>
      <c r="BB16" s="18" t="s">
        <v>15</v>
      </c>
      <c r="BC16" s="20"/>
      <c r="BD16" s="20"/>
      <c r="BF16" s="18" t="s">
        <v>390</v>
      </c>
      <c r="BG16" s="18" t="s">
        <v>391</v>
      </c>
      <c r="BH16" s="18" t="s">
        <v>4</v>
      </c>
      <c r="BJ16"/>
      <c r="BK16"/>
      <c r="BM16"/>
      <c r="BO16" s="18" t="s">
        <v>392</v>
      </c>
      <c r="BP16" s="18" t="s">
        <v>393</v>
      </c>
      <c r="BR16"/>
      <c r="BT16"/>
      <c r="BU16"/>
    </row>
    <row r="17" spans="1:73" x14ac:dyDescent="0.2">
      <c r="A17" s="6" t="s">
        <v>394</v>
      </c>
      <c r="C17" s="18" t="s">
        <v>22</v>
      </c>
      <c r="G17" s="11" t="s">
        <v>61</v>
      </c>
      <c r="H17" s="19" t="s">
        <v>62</v>
      </c>
      <c r="J17" s="11" t="s">
        <v>395</v>
      </c>
      <c r="K17" s="11" t="s">
        <v>396</v>
      </c>
      <c r="X17" s="11" t="s">
        <v>397</v>
      </c>
      <c r="Y17" s="19" t="s">
        <v>398</v>
      </c>
      <c r="AO17" s="18" t="s">
        <v>61</v>
      </c>
      <c r="AP17" s="20" t="s">
        <v>62</v>
      </c>
      <c r="AU17" s="18" t="s">
        <v>399</v>
      </c>
      <c r="AV17" s="20" t="s">
        <v>400</v>
      </c>
      <c r="BA17" s="18" t="s">
        <v>401</v>
      </c>
      <c r="BB17" s="18" t="s">
        <v>402</v>
      </c>
      <c r="BC17" s="20"/>
      <c r="BD17" s="20"/>
      <c r="BF17" s="18" t="s">
        <v>403</v>
      </c>
      <c r="BG17" s="18" t="s">
        <v>404</v>
      </c>
      <c r="BH17" s="18" t="s">
        <v>4</v>
      </c>
      <c r="BJ17"/>
      <c r="BK17"/>
      <c r="BM17"/>
      <c r="BO17" s="18" t="s">
        <v>405</v>
      </c>
      <c r="BP17" s="18" t="s">
        <v>406</v>
      </c>
      <c r="BR17"/>
      <c r="BT17"/>
      <c r="BU17"/>
    </row>
    <row r="18" spans="1:73" x14ac:dyDescent="0.2">
      <c r="A18" s="23" t="s">
        <v>407</v>
      </c>
      <c r="C18" s="18" t="s">
        <v>23</v>
      </c>
      <c r="G18" s="11" t="s">
        <v>63</v>
      </c>
      <c r="H18" s="19" t="s">
        <v>64</v>
      </c>
      <c r="J18" s="11" t="s">
        <v>408</v>
      </c>
      <c r="K18" s="11" t="s">
        <v>409</v>
      </c>
      <c r="X18" s="11" t="s">
        <v>410</v>
      </c>
      <c r="Y18" s="19" t="s">
        <v>411</v>
      </c>
      <c r="AO18" s="18" t="s">
        <v>63</v>
      </c>
      <c r="AP18" s="20" t="s">
        <v>64</v>
      </c>
      <c r="AU18" s="18" t="s">
        <v>412</v>
      </c>
      <c r="AV18" s="20" t="s">
        <v>413</v>
      </c>
      <c r="BA18" s="18" t="s">
        <v>414</v>
      </c>
      <c r="BB18" s="18" t="s">
        <v>415</v>
      </c>
      <c r="BC18" s="20"/>
      <c r="BD18" s="20"/>
      <c r="BF18" s="18" t="s">
        <v>416</v>
      </c>
      <c r="BG18" s="18" t="s">
        <v>417</v>
      </c>
      <c r="BH18" s="18" t="s">
        <v>4</v>
      </c>
      <c r="BJ18"/>
      <c r="BK18"/>
      <c r="BM18"/>
      <c r="BO18" s="18" t="s">
        <v>418</v>
      </c>
      <c r="BP18" s="18" t="s">
        <v>419</v>
      </c>
      <c r="BR18"/>
      <c r="BT18"/>
      <c r="BU18"/>
    </row>
    <row r="19" spans="1:73" x14ac:dyDescent="0.2">
      <c r="A19" s="24" t="s">
        <v>420</v>
      </c>
      <c r="G19" s="11" t="s">
        <v>65</v>
      </c>
      <c r="H19" s="19" t="s">
        <v>66</v>
      </c>
      <c r="J19" s="11" t="s">
        <v>421</v>
      </c>
      <c r="K19" s="11" t="s">
        <v>422</v>
      </c>
      <c r="X19" s="11" t="s">
        <v>423</v>
      </c>
      <c r="Y19" s="19" t="s">
        <v>424</v>
      </c>
      <c r="AO19" s="18" t="s">
        <v>65</v>
      </c>
      <c r="AP19" s="20" t="s">
        <v>66</v>
      </c>
      <c r="AU19" s="18" t="s">
        <v>425</v>
      </c>
      <c r="AV19" s="20" t="s">
        <v>426</v>
      </c>
      <c r="BA19" s="18" t="s">
        <v>427</v>
      </c>
      <c r="BB19" s="18" t="s">
        <v>428</v>
      </c>
      <c r="BC19" s="20"/>
      <c r="BD19" s="20"/>
      <c r="BF19" s="18" t="s">
        <v>429</v>
      </c>
      <c r="BG19" s="18" t="s">
        <v>430</v>
      </c>
      <c r="BH19" s="18" t="s">
        <v>9</v>
      </c>
      <c r="BJ19"/>
      <c r="BK19"/>
      <c r="BM19"/>
      <c r="BO19" s="18" t="s">
        <v>431</v>
      </c>
      <c r="BP19" s="18" t="s">
        <v>432</v>
      </c>
      <c r="BR19"/>
      <c r="BT19"/>
      <c r="BU19"/>
    </row>
    <row r="20" spans="1:73" x14ac:dyDescent="0.2">
      <c r="A20" s="25" t="s">
        <v>433</v>
      </c>
      <c r="G20" s="11" t="s">
        <v>67</v>
      </c>
      <c r="H20" s="19" t="s">
        <v>68</v>
      </c>
      <c r="J20" s="11" t="s">
        <v>434</v>
      </c>
      <c r="K20" s="11" t="s">
        <v>435</v>
      </c>
      <c r="X20" s="11" t="s">
        <v>436</v>
      </c>
      <c r="Y20" s="19" t="s">
        <v>437</v>
      </c>
      <c r="AO20" s="18" t="s">
        <v>67</v>
      </c>
      <c r="AP20" s="20" t="s">
        <v>68</v>
      </c>
      <c r="AU20" s="18" t="s">
        <v>438</v>
      </c>
      <c r="AV20" s="20" t="s">
        <v>439</v>
      </c>
      <c r="BA20" s="18" t="s">
        <v>440</v>
      </c>
      <c r="BB20" s="18" t="s">
        <v>441</v>
      </c>
      <c r="BC20" s="20"/>
      <c r="BD20" s="20"/>
      <c r="BF20" s="18" t="s">
        <v>442</v>
      </c>
      <c r="BG20" s="18" t="s">
        <v>443</v>
      </c>
      <c r="BH20" s="18" t="s">
        <v>9</v>
      </c>
      <c r="BJ20"/>
      <c r="BK20"/>
      <c r="BM20"/>
      <c r="BO20" s="18" t="s">
        <v>444</v>
      </c>
      <c r="BP20" s="18" t="s">
        <v>445</v>
      </c>
      <c r="BR20"/>
      <c r="BT20"/>
      <c r="BU20"/>
    </row>
    <row r="21" spans="1:73" x14ac:dyDescent="0.2">
      <c r="A21" s="26" t="s">
        <v>446</v>
      </c>
      <c r="G21" s="11" t="s">
        <v>69</v>
      </c>
      <c r="H21" s="19" t="s">
        <v>70</v>
      </c>
      <c r="J21" s="11" t="s">
        <v>447</v>
      </c>
      <c r="K21" s="11" t="s">
        <v>448</v>
      </c>
      <c r="X21" s="11" t="s">
        <v>449</v>
      </c>
      <c r="Y21" s="19" t="s">
        <v>450</v>
      </c>
      <c r="AO21" s="18" t="s">
        <v>69</v>
      </c>
      <c r="AP21" s="20" t="s">
        <v>70</v>
      </c>
      <c r="AU21" s="18" t="s">
        <v>451</v>
      </c>
      <c r="AV21" s="20" t="s">
        <v>452</v>
      </c>
      <c r="BA21" s="18" t="s">
        <v>453</v>
      </c>
      <c r="BB21" s="18" t="s">
        <v>454</v>
      </c>
      <c r="BC21" s="20"/>
      <c r="BD21" s="20"/>
      <c r="BF21" s="18" t="s">
        <v>455</v>
      </c>
      <c r="BG21" s="18" t="s">
        <v>456</v>
      </c>
      <c r="BH21" s="18" t="s">
        <v>9</v>
      </c>
      <c r="BJ21"/>
      <c r="BK21"/>
      <c r="BM21"/>
      <c r="BO21" s="18" t="s">
        <v>457</v>
      </c>
      <c r="BP21" s="18" t="s">
        <v>458</v>
      </c>
      <c r="BR21"/>
      <c r="BT21"/>
      <c r="BU21"/>
    </row>
    <row r="22" spans="1:73" x14ac:dyDescent="0.2">
      <c r="A22" s="5" t="s">
        <v>459</v>
      </c>
      <c r="G22" s="11" t="s">
        <v>71</v>
      </c>
      <c r="H22" s="19" t="s">
        <v>72</v>
      </c>
      <c r="J22" s="11" t="s">
        <v>460</v>
      </c>
      <c r="K22" s="11" t="s">
        <v>461</v>
      </c>
      <c r="X22" s="11" t="s">
        <v>462</v>
      </c>
      <c r="Y22" s="19" t="s">
        <v>463</v>
      </c>
      <c r="AO22" s="18" t="s">
        <v>71</v>
      </c>
      <c r="AP22" s="20" t="s">
        <v>72</v>
      </c>
      <c r="AU22" s="18" t="s">
        <v>464</v>
      </c>
      <c r="AV22" s="20" t="s">
        <v>465</v>
      </c>
      <c r="BA22" s="18" t="s">
        <v>466</v>
      </c>
      <c r="BB22" s="18" t="s">
        <v>467</v>
      </c>
      <c r="BC22" s="20"/>
      <c r="BD22" s="20"/>
      <c r="BF22" s="18" t="s">
        <v>468</v>
      </c>
      <c r="BG22" s="18" t="s">
        <v>469</v>
      </c>
      <c r="BH22" s="18" t="s">
        <v>9</v>
      </c>
      <c r="BJ22"/>
      <c r="BK22"/>
      <c r="BM22"/>
      <c r="BO22" s="18" t="s">
        <v>470</v>
      </c>
      <c r="BP22" s="18" t="s">
        <v>471</v>
      </c>
      <c r="BR22"/>
      <c r="BT22"/>
      <c r="BU22"/>
    </row>
    <row r="23" spans="1:73" x14ac:dyDescent="0.2">
      <c r="G23" s="11" t="s">
        <v>73</v>
      </c>
      <c r="H23" s="19" t="s">
        <v>74</v>
      </c>
      <c r="J23" s="11" t="s">
        <v>472</v>
      </c>
      <c r="K23" s="11" t="s">
        <v>473</v>
      </c>
      <c r="X23" s="11" t="s">
        <v>474</v>
      </c>
      <c r="Y23" s="19" t="s">
        <v>475</v>
      </c>
      <c r="AO23" s="18" t="s">
        <v>73</v>
      </c>
      <c r="AP23" s="20" t="s">
        <v>74</v>
      </c>
      <c r="AU23" s="18" t="s">
        <v>476</v>
      </c>
      <c r="AV23" s="20" t="s">
        <v>477</v>
      </c>
      <c r="BA23" s="18" t="s">
        <v>478</v>
      </c>
      <c r="BB23" s="18" t="s">
        <v>479</v>
      </c>
      <c r="BC23" s="20"/>
      <c r="BD23" s="20"/>
      <c r="BF23" s="18" t="s">
        <v>480</v>
      </c>
      <c r="BG23" s="18" t="s">
        <v>481</v>
      </c>
      <c r="BH23" s="18" t="s">
        <v>9</v>
      </c>
      <c r="BJ23"/>
      <c r="BK23"/>
      <c r="BM23"/>
      <c r="BO23" s="18" t="s">
        <v>482</v>
      </c>
      <c r="BP23" s="18" t="s">
        <v>483</v>
      </c>
      <c r="BR23"/>
      <c r="BT23"/>
      <c r="BU23"/>
    </row>
    <row r="24" spans="1:73" x14ac:dyDescent="0.2">
      <c r="G24" s="11" t="s">
        <v>75</v>
      </c>
      <c r="H24" s="19" t="s">
        <v>76</v>
      </c>
      <c r="J24" s="11" t="s">
        <v>484</v>
      </c>
      <c r="K24" s="11" t="s">
        <v>485</v>
      </c>
      <c r="X24" s="11" t="s">
        <v>486</v>
      </c>
      <c r="Y24" s="19" t="s">
        <v>487</v>
      </c>
      <c r="AO24" s="18" t="s">
        <v>75</v>
      </c>
      <c r="AP24" s="20" t="s">
        <v>76</v>
      </c>
      <c r="AU24" s="18" t="s">
        <v>488</v>
      </c>
      <c r="AV24" s="20" t="s">
        <v>489</v>
      </c>
      <c r="BA24" s="18" t="s">
        <v>490</v>
      </c>
      <c r="BB24" s="18" t="s">
        <v>491</v>
      </c>
      <c r="BC24" s="20"/>
      <c r="BD24" s="20"/>
      <c r="BF24" s="18" t="s">
        <v>492</v>
      </c>
      <c r="BG24" s="18" t="s">
        <v>493</v>
      </c>
      <c r="BH24" s="18" t="s">
        <v>9</v>
      </c>
      <c r="BJ24"/>
      <c r="BK24"/>
      <c r="BM24"/>
      <c r="BO24" s="18" t="s">
        <v>494</v>
      </c>
      <c r="BP24" s="18" t="s">
        <v>495</v>
      </c>
      <c r="BR24"/>
      <c r="BT24"/>
      <c r="BU24"/>
    </row>
    <row r="25" spans="1:73" x14ac:dyDescent="0.2">
      <c r="G25" s="11" t="s">
        <v>77</v>
      </c>
      <c r="H25" s="19" t="s">
        <v>78</v>
      </c>
      <c r="J25" s="11" t="s">
        <v>496</v>
      </c>
      <c r="K25" s="11" t="s">
        <v>497</v>
      </c>
      <c r="X25" s="11" t="s">
        <v>498</v>
      </c>
      <c r="Y25" s="19" t="s">
        <v>499</v>
      </c>
      <c r="AO25" s="18" t="s">
        <v>77</v>
      </c>
      <c r="AP25" s="20" t="s">
        <v>78</v>
      </c>
      <c r="AU25" s="18" t="s">
        <v>500</v>
      </c>
      <c r="AV25" s="20" t="s">
        <v>501</v>
      </c>
      <c r="BA25" s="18" t="s">
        <v>502</v>
      </c>
      <c r="BB25" s="18" t="s">
        <v>503</v>
      </c>
      <c r="BC25" s="20"/>
      <c r="BD25" s="20"/>
      <c r="BF25" s="18" t="s">
        <v>504</v>
      </c>
      <c r="BG25" s="18" t="s">
        <v>505</v>
      </c>
      <c r="BH25" s="18" t="s">
        <v>9</v>
      </c>
      <c r="BJ25"/>
      <c r="BK25"/>
      <c r="BM25"/>
      <c r="BO25" s="18" t="s">
        <v>506</v>
      </c>
      <c r="BP25" s="18" t="s">
        <v>507</v>
      </c>
      <c r="BR25"/>
      <c r="BT25"/>
      <c r="BU25"/>
    </row>
    <row r="26" spans="1:73" x14ac:dyDescent="0.2">
      <c r="G26" s="11" t="s">
        <v>79</v>
      </c>
      <c r="H26" s="19" t="s">
        <v>80</v>
      </c>
      <c r="J26" s="11" t="s">
        <v>508</v>
      </c>
      <c r="K26" s="11" t="s">
        <v>509</v>
      </c>
      <c r="X26" s="11" t="s">
        <v>510</v>
      </c>
      <c r="Y26" s="19" t="s">
        <v>511</v>
      </c>
      <c r="AO26" s="18" t="s">
        <v>79</v>
      </c>
      <c r="AP26" s="20" t="s">
        <v>80</v>
      </c>
      <c r="AU26" s="18" t="s">
        <v>512</v>
      </c>
      <c r="AV26" s="20" t="s">
        <v>513</v>
      </c>
      <c r="BA26" s="18" t="s">
        <v>514</v>
      </c>
      <c r="BB26" s="18" t="s">
        <v>16</v>
      </c>
      <c r="BC26" s="20"/>
      <c r="BD26" s="20"/>
      <c r="BF26" s="18" t="s">
        <v>515</v>
      </c>
      <c r="BG26" s="18" t="s">
        <v>516</v>
      </c>
      <c r="BH26" s="18" t="s">
        <v>9</v>
      </c>
      <c r="BJ26"/>
      <c r="BK26"/>
      <c r="BM26"/>
      <c r="BO26" s="18" t="s">
        <v>517</v>
      </c>
      <c r="BP26" s="18" t="s">
        <v>518</v>
      </c>
      <c r="BR26"/>
      <c r="BT26"/>
      <c r="BU26"/>
    </row>
    <row r="27" spans="1:73" x14ac:dyDescent="0.2">
      <c r="G27" s="11" t="s">
        <v>81</v>
      </c>
      <c r="H27" s="19" t="s">
        <v>82</v>
      </c>
      <c r="J27" s="11" t="s">
        <v>519</v>
      </c>
      <c r="K27" s="11" t="s">
        <v>520</v>
      </c>
      <c r="X27" s="11" t="s">
        <v>521</v>
      </c>
      <c r="Y27" s="19" t="s">
        <v>522</v>
      </c>
      <c r="AO27" s="18" t="s">
        <v>81</v>
      </c>
      <c r="AP27" s="20" t="s">
        <v>82</v>
      </c>
      <c r="AU27" s="18" t="s">
        <v>523</v>
      </c>
      <c r="AV27" s="20" t="s">
        <v>524</v>
      </c>
      <c r="BA27" s="18" t="s">
        <v>525</v>
      </c>
      <c r="BB27" s="18" t="s">
        <v>526</v>
      </c>
      <c r="BC27" s="20"/>
      <c r="BD27" s="20"/>
      <c r="BF27" s="18" t="s">
        <v>527</v>
      </c>
      <c r="BG27" s="18" t="s">
        <v>528</v>
      </c>
      <c r="BH27" s="18" t="s">
        <v>9</v>
      </c>
      <c r="BJ27"/>
      <c r="BK27"/>
      <c r="BM27"/>
      <c r="BO27" s="18" t="s">
        <v>529</v>
      </c>
      <c r="BP27" s="18" t="s">
        <v>530</v>
      </c>
      <c r="BR27"/>
      <c r="BT27"/>
      <c r="BU27"/>
    </row>
    <row r="28" spans="1:73" x14ac:dyDescent="0.2">
      <c r="G28" s="11" t="s">
        <v>83</v>
      </c>
      <c r="H28" s="19" t="s">
        <v>84</v>
      </c>
      <c r="J28" s="11" t="s">
        <v>531</v>
      </c>
      <c r="K28" s="11" t="s">
        <v>532</v>
      </c>
      <c r="X28" s="11" t="s">
        <v>533</v>
      </c>
      <c r="Y28" s="19" t="s">
        <v>534</v>
      </c>
      <c r="AO28" s="18" t="s">
        <v>83</v>
      </c>
      <c r="AP28" s="20" t="s">
        <v>84</v>
      </c>
      <c r="AU28" s="18" t="s">
        <v>535</v>
      </c>
      <c r="AV28" s="20" t="s">
        <v>536</v>
      </c>
      <c r="BA28" s="18" t="s">
        <v>537</v>
      </c>
      <c r="BB28" s="18" t="s">
        <v>538</v>
      </c>
      <c r="BC28" s="20"/>
      <c r="BD28" s="20"/>
      <c r="BF28" s="18" t="s">
        <v>539</v>
      </c>
      <c r="BG28" s="18" t="s">
        <v>540</v>
      </c>
      <c r="BH28" s="18" t="s">
        <v>9</v>
      </c>
      <c r="BJ28"/>
      <c r="BK28"/>
      <c r="BM28"/>
      <c r="BO28" s="18" t="s">
        <v>541</v>
      </c>
      <c r="BP28" s="18" t="s">
        <v>542</v>
      </c>
      <c r="BR28"/>
      <c r="BT28"/>
      <c r="BU28"/>
    </row>
    <row r="29" spans="1:73" x14ac:dyDescent="0.2">
      <c r="G29" s="11" t="s">
        <v>85</v>
      </c>
      <c r="H29" s="19" t="s">
        <v>86</v>
      </c>
      <c r="J29" s="11" t="s">
        <v>543</v>
      </c>
      <c r="K29" s="11" t="s">
        <v>544</v>
      </c>
      <c r="X29" s="11" t="s">
        <v>545</v>
      </c>
      <c r="Y29" s="19" t="s">
        <v>546</v>
      </c>
      <c r="AO29" s="18" t="s">
        <v>85</v>
      </c>
      <c r="AP29" s="20" t="s">
        <v>86</v>
      </c>
      <c r="AU29" s="18" t="s">
        <v>547</v>
      </c>
      <c r="AV29" s="20" t="s">
        <v>548</v>
      </c>
      <c r="BA29" s="18" t="s">
        <v>549</v>
      </c>
      <c r="BB29" s="18" t="s">
        <v>550</v>
      </c>
      <c r="BC29" s="20"/>
      <c r="BD29" s="20"/>
      <c r="BF29" s="18" t="s">
        <v>551</v>
      </c>
      <c r="BG29" s="18" t="s">
        <v>552</v>
      </c>
      <c r="BH29" s="18" t="s">
        <v>9</v>
      </c>
      <c r="BJ29"/>
      <c r="BK29"/>
      <c r="BM29"/>
      <c r="BO29" s="18" t="s">
        <v>553</v>
      </c>
      <c r="BP29" s="18" t="s">
        <v>554</v>
      </c>
      <c r="BR29"/>
      <c r="BT29"/>
      <c r="BU29"/>
    </row>
    <row r="30" spans="1:73" x14ac:dyDescent="0.2">
      <c r="G30" s="11" t="s">
        <v>87</v>
      </c>
      <c r="H30" s="19" t="s">
        <v>88</v>
      </c>
      <c r="X30" s="11" t="s">
        <v>555</v>
      </c>
      <c r="Y30" s="19" t="s">
        <v>556</v>
      </c>
      <c r="AO30" s="18" t="s">
        <v>87</v>
      </c>
      <c r="AP30" s="20" t="s">
        <v>88</v>
      </c>
      <c r="AU30" s="18" t="s">
        <v>557</v>
      </c>
      <c r="AV30" s="20" t="s">
        <v>558</v>
      </c>
      <c r="BA30" s="18" t="s">
        <v>559</v>
      </c>
      <c r="BB30" s="18" t="s">
        <v>560</v>
      </c>
      <c r="BC30" s="20"/>
      <c r="BD30" s="20"/>
      <c r="BF30" s="18" t="s">
        <v>561</v>
      </c>
      <c r="BG30" s="18" t="s">
        <v>562</v>
      </c>
      <c r="BH30" s="18" t="s">
        <v>9</v>
      </c>
      <c r="BJ30"/>
      <c r="BK30"/>
      <c r="BM30"/>
      <c r="BO30" s="18" t="s">
        <v>563</v>
      </c>
      <c r="BP30" s="18" t="s">
        <v>564</v>
      </c>
      <c r="BR30"/>
      <c r="BT30"/>
      <c r="BU30"/>
    </row>
    <row r="31" spans="1:73" x14ac:dyDescent="0.2">
      <c r="G31" s="11" t="s">
        <v>89</v>
      </c>
      <c r="H31" s="19" t="s">
        <v>90</v>
      </c>
      <c r="X31" s="11" t="s">
        <v>565</v>
      </c>
      <c r="Y31" s="19" t="s">
        <v>566</v>
      </c>
      <c r="AO31" s="18" t="s">
        <v>89</v>
      </c>
      <c r="AP31" s="20" t="s">
        <v>90</v>
      </c>
      <c r="AU31" s="18" t="s">
        <v>567</v>
      </c>
      <c r="AV31" s="20" t="s">
        <v>568</v>
      </c>
      <c r="BA31" s="18" t="s">
        <v>569</v>
      </c>
      <c r="BB31" s="18" t="s">
        <v>17</v>
      </c>
      <c r="BC31" s="20"/>
      <c r="BD31" s="20"/>
      <c r="BF31" s="18" t="s">
        <v>570</v>
      </c>
      <c r="BG31" s="18" t="s">
        <v>571</v>
      </c>
      <c r="BH31" s="18" t="s">
        <v>9</v>
      </c>
      <c r="BJ31"/>
      <c r="BK31"/>
      <c r="BM31"/>
      <c r="BO31" s="18" t="s">
        <v>572</v>
      </c>
      <c r="BP31" s="18" t="s">
        <v>573</v>
      </c>
      <c r="BR31"/>
      <c r="BT31"/>
      <c r="BU31"/>
    </row>
    <row r="32" spans="1:73" x14ac:dyDescent="0.2">
      <c r="G32" s="11" t="s">
        <v>91</v>
      </c>
      <c r="H32" s="19" t="s">
        <v>92</v>
      </c>
      <c r="X32" s="11" t="s">
        <v>574</v>
      </c>
      <c r="Y32" s="19" t="s">
        <v>575</v>
      </c>
      <c r="AO32" s="18" t="s">
        <v>91</v>
      </c>
      <c r="AP32" s="20" t="s">
        <v>92</v>
      </c>
      <c r="AU32" s="18" t="s">
        <v>576</v>
      </c>
      <c r="AV32" s="20" t="s">
        <v>577</v>
      </c>
      <c r="BA32" s="18" t="s">
        <v>578</v>
      </c>
      <c r="BB32" s="18" t="s">
        <v>579</v>
      </c>
      <c r="BC32" s="20"/>
      <c r="BD32" s="20"/>
      <c r="BF32" s="18" t="s">
        <v>580</v>
      </c>
      <c r="BG32" s="18" t="s">
        <v>581</v>
      </c>
      <c r="BH32" s="18" t="s">
        <v>9</v>
      </c>
      <c r="BJ32"/>
      <c r="BK32"/>
      <c r="BM32"/>
      <c r="BO32" s="18" t="s">
        <v>582</v>
      </c>
      <c r="BP32" s="18" t="s">
        <v>583</v>
      </c>
      <c r="BR32"/>
      <c r="BT32"/>
      <c r="BU32"/>
    </row>
    <row r="33" spans="1:73" x14ac:dyDescent="0.2">
      <c r="A33" s="27"/>
      <c r="X33" s="11" t="s">
        <v>211</v>
      </c>
      <c r="Y33" s="19" t="s">
        <v>584</v>
      </c>
      <c r="AU33" s="18" t="s">
        <v>585</v>
      </c>
      <c r="AV33" s="20" t="s">
        <v>586</v>
      </c>
      <c r="BA33" s="18"/>
      <c r="BB33" s="18" t="s">
        <v>587</v>
      </c>
      <c r="BC33" s="20"/>
      <c r="BD33" s="20"/>
      <c r="BF33" s="18" t="s">
        <v>588</v>
      </c>
      <c r="BG33" s="18" t="s">
        <v>589</v>
      </c>
      <c r="BH33" s="18" t="s">
        <v>9</v>
      </c>
      <c r="BJ33"/>
      <c r="BK33"/>
      <c r="BM33"/>
      <c r="BO33" s="18" t="s">
        <v>590</v>
      </c>
      <c r="BP33" s="18" t="s">
        <v>591</v>
      </c>
      <c r="BR33"/>
      <c r="BT33"/>
      <c r="BU33"/>
    </row>
    <row r="34" spans="1:73" x14ac:dyDescent="0.2">
      <c r="X34" s="11" t="s">
        <v>592</v>
      </c>
      <c r="Y34" s="19" t="s">
        <v>593</v>
      </c>
      <c r="AU34" s="18" t="s">
        <v>594</v>
      </c>
      <c r="AV34" s="20" t="s">
        <v>595</v>
      </c>
      <c r="BA34" s="18"/>
      <c r="BB34" s="18" t="s">
        <v>596</v>
      </c>
      <c r="BC34" s="20"/>
      <c r="BD34" s="20"/>
      <c r="BF34" s="18" t="s">
        <v>597</v>
      </c>
      <c r="BG34" s="18" t="s">
        <v>598</v>
      </c>
      <c r="BH34" s="18" t="s">
        <v>9</v>
      </c>
      <c r="BJ34"/>
      <c r="BK34"/>
      <c r="BM34"/>
      <c r="BO34" s="18" t="s">
        <v>599</v>
      </c>
      <c r="BP34" s="18" t="s">
        <v>600</v>
      </c>
      <c r="BR34"/>
      <c r="BT34"/>
      <c r="BU34"/>
    </row>
    <row r="35" spans="1:73" x14ac:dyDescent="0.2">
      <c r="X35" s="11" t="s">
        <v>601</v>
      </c>
      <c r="Y35" s="19" t="s">
        <v>602</v>
      </c>
      <c r="AU35" s="18" t="s">
        <v>603</v>
      </c>
      <c r="AV35" s="20" t="s">
        <v>604</v>
      </c>
      <c r="BA35" s="18"/>
      <c r="BB35" s="18" t="s">
        <v>605</v>
      </c>
      <c r="BC35" s="20"/>
      <c r="BD35" s="20"/>
      <c r="BF35" s="18" t="s">
        <v>606</v>
      </c>
      <c r="BG35" s="18" t="s">
        <v>607</v>
      </c>
      <c r="BH35" s="18" t="s">
        <v>9</v>
      </c>
      <c r="BJ35"/>
      <c r="BK35"/>
      <c r="BM35"/>
      <c r="BO35"/>
      <c r="BP35"/>
      <c r="BR35"/>
      <c r="BT35"/>
      <c r="BU35"/>
    </row>
    <row r="36" spans="1:73" x14ac:dyDescent="0.2">
      <c r="X36" s="11" t="s">
        <v>608</v>
      </c>
      <c r="Y36" s="19" t="s">
        <v>609</v>
      </c>
      <c r="AU36" s="18"/>
      <c r="AV36" s="20"/>
      <c r="BA36" s="18"/>
      <c r="BB36" s="18" t="s">
        <v>610</v>
      </c>
      <c r="BC36" s="20"/>
      <c r="BD36" s="20"/>
      <c r="BF36" s="18" t="s">
        <v>611</v>
      </c>
      <c r="BG36" s="18" t="s">
        <v>612</v>
      </c>
      <c r="BH36" s="18" t="s">
        <v>9</v>
      </c>
      <c r="BJ36"/>
      <c r="BK36"/>
      <c r="BM36"/>
      <c r="BO36"/>
      <c r="BP36"/>
      <c r="BR36"/>
      <c r="BT36"/>
      <c r="BU36"/>
    </row>
    <row r="37" spans="1:73" x14ac:dyDescent="0.2">
      <c r="A37" s="27"/>
      <c r="X37" s="11" t="s">
        <v>613</v>
      </c>
      <c r="Y37" s="19" t="s">
        <v>614</v>
      </c>
      <c r="BA37" s="18"/>
      <c r="BB37" s="18" t="s">
        <v>615</v>
      </c>
      <c r="BC37" s="20"/>
      <c r="BD37" s="20"/>
      <c r="BF37" s="18" t="s">
        <v>616</v>
      </c>
      <c r="BG37" s="18" t="s">
        <v>617</v>
      </c>
      <c r="BH37" s="18" t="s">
        <v>9</v>
      </c>
      <c r="BJ37"/>
      <c r="BK37"/>
      <c r="BM37"/>
      <c r="BO37"/>
      <c r="BP37"/>
      <c r="BR37"/>
      <c r="BT37"/>
      <c r="BU37"/>
    </row>
    <row r="38" spans="1:73" x14ac:dyDescent="0.2">
      <c r="BA38" s="18"/>
      <c r="BB38" s="18" t="s">
        <v>618</v>
      </c>
      <c r="BC38" s="20"/>
      <c r="BD38" s="20"/>
      <c r="BF38" s="18" t="s">
        <v>619</v>
      </c>
      <c r="BG38" s="18" t="s">
        <v>620</v>
      </c>
      <c r="BH38" s="18" t="s">
        <v>9</v>
      </c>
      <c r="BJ38"/>
      <c r="BK38"/>
      <c r="BM38"/>
      <c r="BO38"/>
      <c r="BP38"/>
      <c r="BR38"/>
      <c r="BT38"/>
      <c r="BU38"/>
    </row>
    <row r="39" spans="1:73" x14ac:dyDescent="0.2">
      <c r="BA39" s="18"/>
      <c r="BB39" s="18" t="s">
        <v>621</v>
      </c>
      <c r="BC39" s="20"/>
      <c r="BD39" s="20"/>
      <c r="BF39" s="18" t="s">
        <v>416</v>
      </c>
      <c r="BG39" s="18" t="s">
        <v>417</v>
      </c>
      <c r="BH39" s="18" t="s">
        <v>9</v>
      </c>
      <c r="BJ39"/>
      <c r="BK39"/>
      <c r="BM39"/>
      <c r="BO39"/>
      <c r="BP39"/>
      <c r="BR39"/>
      <c r="BT39"/>
      <c r="BU39"/>
    </row>
    <row r="40" spans="1:73" x14ac:dyDescent="0.2">
      <c r="A40" s="28"/>
      <c r="BA40" s="18"/>
      <c r="BB40" s="18" t="s">
        <v>622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</row>
    <row r="41" spans="1:73" x14ac:dyDescent="0.2">
      <c r="BA41" s="18"/>
      <c r="BB41" s="18" t="s">
        <v>623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</row>
    <row r="42" spans="1:73" x14ac:dyDescent="0.2">
      <c r="BA42" s="18"/>
      <c r="BB42" s="18" t="s">
        <v>624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</row>
    <row r="43" spans="1:73" x14ac:dyDescent="0.2">
      <c r="BA43" s="18"/>
      <c r="BB43" s="18" t="s">
        <v>625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</row>
    <row r="44" spans="1:73" x14ac:dyDescent="0.2">
      <c r="A44" s="27"/>
      <c r="BA44" s="18"/>
      <c r="BB44" s="18" t="s">
        <v>626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</row>
    <row r="45" spans="1:73" x14ac:dyDescent="0.2">
      <c r="BA45" s="18"/>
      <c r="BB45" s="18" t="s">
        <v>627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</row>
    <row r="46" spans="1:73" x14ac:dyDescent="0.2">
      <c r="BA46" s="18"/>
      <c r="BB46" s="18" t="s">
        <v>628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</row>
    <row r="47" spans="1:73" x14ac:dyDescent="0.2">
      <c r="BA47" s="18"/>
      <c r="BB47" s="18" t="s">
        <v>629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</row>
    <row r="48" spans="1:73" x14ac:dyDescent="0.2">
      <c r="A48" s="13"/>
      <c r="BA48" s="18"/>
      <c r="BB48" s="18" t="s">
        <v>630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</row>
    <row r="49" spans="1:73" x14ac:dyDescent="0.2">
      <c r="A49" s="29"/>
      <c r="BA49" s="18"/>
      <c r="BB49" s="18" t="s">
        <v>631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</row>
    <row r="50" spans="1:73" x14ac:dyDescent="0.2">
      <c r="A50" s="13"/>
      <c r="BA50" s="18"/>
      <c r="BB50" s="18" t="s">
        <v>632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</row>
    <row r="51" spans="1:73" x14ac:dyDescent="0.2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</row>
    <row r="52" spans="1:73" x14ac:dyDescent="0.2">
      <c r="A52" s="13"/>
      <c r="BA52" s="18"/>
      <c r="BB52" s="18" t="s">
        <v>633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</row>
    <row r="53" spans="1:73" x14ac:dyDescent="0.2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</row>
    <row r="54" spans="1:73" x14ac:dyDescent="0.2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</row>
    <row r="55" spans="1:73" x14ac:dyDescent="0.2">
      <c r="BA55" s="18"/>
      <c r="BB55" s="18" t="s">
        <v>634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</row>
    <row r="56" spans="1:73" x14ac:dyDescent="0.2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</row>
    <row r="57" spans="1:73" x14ac:dyDescent="0.2">
      <c r="BA57" s="18"/>
      <c r="BB57" s="18" t="s">
        <v>635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</row>
    <row r="58" spans="1:73" x14ac:dyDescent="0.2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</row>
    <row r="59" spans="1:73" x14ac:dyDescent="0.2">
      <c r="BA59" s="18"/>
      <c r="BB59" s="18" t="s">
        <v>636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</row>
    <row r="60" spans="1:73" x14ac:dyDescent="0.2">
      <c r="BA60" s="18"/>
      <c r="BB60" s="18" t="s">
        <v>637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</row>
    <row r="61" spans="1:73" x14ac:dyDescent="0.2">
      <c r="BA61" s="18"/>
      <c r="BB61" s="18" t="s">
        <v>638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</row>
    <row r="62" spans="1:73" x14ac:dyDescent="0.2">
      <c r="BA62" s="18"/>
      <c r="BB62" s="18" t="s">
        <v>639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</row>
    <row r="63" spans="1:73" x14ac:dyDescent="0.2">
      <c r="BA63" s="18"/>
      <c r="BB63" s="18" t="s">
        <v>640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</row>
    <row r="64" spans="1:73" x14ac:dyDescent="0.2">
      <c r="BA64" s="18"/>
      <c r="BB64" s="18" t="s">
        <v>641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</row>
    <row r="65" spans="53:73" x14ac:dyDescent="0.2">
      <c r="BA65" s="18"/>
      <c r="BB65" s="18" t="s">
        <v>642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</row>
    <row r="66" spans="53:73" x14ac:dyDescent="0.2">
      <c r="BA66" s="18"/>
      <c r="BB66" s="18" t="s">
        <v>643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</row>
    <row r="67" spans="53:73" x14ac:dyDescent="0.2">
      <c r="BA67" s="18"/>
      <c r="BB67" s="18" t="s">
        <v>644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</row>
    <row r="68" spans="53:73" x14ac:dyDescent="0.2">
      <c r="BA68" s="18"/>
      <c r="BB68" s="18" t="s">
        <v>645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</row>
    <row r="69" spans="53:73" x14ac:dyDescent="0.2">
      <c r="BA69" s="18"/>
      <c r="BB69" s="18" t="s">
        <v>646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</row>
    <row r="70" spans="53:73" x14ac:dyDescent="0.2">
      <c r="BA70" s="18"/>
      <c r="BB70" s="18" t="s">
        <v>647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</row>
    <row r="71" spans="53:73" x14ac:dyDescent="0.2">
      <c r="BA71" s="18"/>
      <c r="BB71" s="18" t="s">
        <v>648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</row>
    <row r="72" spans="53:73" x14ac:dyDescent="0.2">
      <c r="BA72" s="18"/>
      <c r="BB72" s="18" t="s">
        <v>649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</row>
    <row r="73" spans="53:73" x14ac:dyDescent="0.2">
      <c r="BA73" s="18"/>
      <c r="BB73" s="18" t="s">
        <v>650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</row>
    <row r="74" spans="53:73" x14ac:dyDescent="0.2">
      <c r="BA74" s="18"/>
      <c r="BB74" s="18" t="s">
        <v>651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</row>
    <row r="75" spans="53:73" x14ac:dyDescent="0.2">
      <c r="BA75" s="18"/>
      <c r="BB75" s="18" t="s">
        <v>652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</row>
    <row r="76" spans="53:73" x14ac:dyDescent="0.2">
      <c r="BA76" s="18"/>
      <c r="BB76" s="18" t="s">
        <v>653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</row>
    <row r="77" spans="53:73" x14ac:dyDescent="0.2">
      <c r="BA77" s="18"/>
      <c r="BB77" s="18" t="s">
        <v>654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</row>
    <row r="78" spans="53:73" x14ac:dyDescent="0.2">
      <c r="BA78" s="18"/>
      <c r="BB78" s="18" t="s">
        <v>655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</row>
    <row r="79" spans="53:73" x14ac:dyDescent="0.2">
      <c r="BA79" s="18"/>
      <c r="BB79" s="18" t="s">
        <v>656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</row>
    <row r="80" spans="53:73" x14ac:dyDescent="0.2">
      <c r="BA80" s="18"/>
      <c r="BB80" s="18" t="s">
        <v>657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</row>
    <row r="81" spans="53:73" x14ac:dyDescent="0.2">
      <c r="BA81" s="18"/>
      <c r="BB81" s="18" t="s">
        <v>658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</row>
    <row r="82" spans="53:73" x14ac:dyDescent="0.2">
      <c r="BA82" s="18"/>
      <c r="BB82" s="18" t="s">
        <v>659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</row>
    <row r="83" spans="53:73" x14ac:dyDescent="0.2">
      <c r="BA83" s="18"/>
      <c r="BB83" s="18" t="s">
        <v>660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</row>
    <row r="84" spans="53:73" x14ac:dyDescent="0.2">
      <c r="BA84" s="18"/>
      <c r="BB84" s="18" t="s">
        <v>661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</row>
    <row r="85" spans="53:73" x14ac:dyDescent="0.2">
      <c r="BA85" s="18"/>
      <c r="BB85" s="18" t="s">
        <v>662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</row>
    <row r="86" spans="53:73" x14ac:dyDescent="0.2">
      <c r="BA86" s="18"/>
      <c r="BB86" s="18" t="s">
        <v>663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</row>
    <row r="87" spans="53:73" x14ac:dyDescent="0.2">
      <c r="BA87" s="18"/>
      <c r="BB87" s="18" t="s">
        <v>664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</row>
  </sheetData>
  <mergeCells count="19">
    <mergeCell ref="P2:Y2"/>
    <mergeCell ref="A1:A3"/>
    <mergeCell ref="B2:E2"/>
    <mergeCell ref="G2:H2"/>
    <mergeCell ref="J2:K2"/>
    <mergeCell ref="M2:N2"/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2022-03-02T12:34:43Z</dcterms:modified>
</cp:coreProperties>
</file>