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8370" yWindow="67200" windowWidth="28800" windowHeight="14130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Consulta!$A$1:$BR$3</definedName>
  </definedNames>
  <calcPr calcId="162913"/>
</workbook>
</file>

<file path=xl/calcChain.xml><?xml version="1.0" encoding="utf-8"?>
<calcChain xmlns="http://schemas.openxmlformats.org/spreadsheetml/2006/main">
  <c r="BS4" i="7" l="1"/>
  <c r="DT40" i="6" l="1"/>
  <c r="DP40" i="6"/>
  <c r="DO40" i="6"/>
  <c r="DH40" i="6"/>
  <c r="DJ40" i="6" s="1"/>
  <c r="DE40" i="6"/>
  <c r="DB40" i="6"/>
  <c r="DA40" i="6"/>
  <c r="CB40" i="6"/>
  <c r="BR40" i="6"/>
  <c r="BP40" i="6"/>
  <c r="BL40" i="6"/>
  <c r="BH40" i="6"/>
  <c r="BD40" i="6"/>
  <c r="AZ40" i="6"/>
  <c r="AX40" i="6"/>
  <c r="AV40" i="6"/>
  <c r="AU40" i="6"/>
  <c r="AS40" i="6"/>
  <c r="M40" i="6"/>
  <c r="K40" i="6"/>
  <c r="CN40" i="6" s="1"/>
  <c r="J40" i="6"/>
  <c r="D40" i="6" s="1"/>
  <c r="H40" i="6"/>
  <c r="G40" i="6"/>
  <c r="CZ40" i="6" s="1"/>
  <c r="F40" i="6"/>
  <c r="CX40" i="6" s="1"/>
  <c r="A40" i="6"/>
  <c r="DT39" i="6"/>
  <c r="DP39" i="6"/>
  <c r="DO39" i="6"/>
  <c r="DH39" i="6"/>
  <c r="DG39" i="6" s="1"/>
  <c r="DE39" i="6"/>
  <c r="DB39" i="6"/>
  <c r="DA39" i="6"/>
  <c r="CB39" i="6"/>
  <c r="BR39" i="6"/>
  <c r="BP39" i="6"/>
  <c r="BL39" i="6"/>
  <c r="BH39" i="6"/>
  <c r="BD39" i="6"/>
  <c r="AZ39" i="6"/>
  <c r="AX39" i="6"/>
  <c r="AV39" i="6"/>
  <c r="AU39" i="6"/>
  <c r="AS39" i="6"/>
  <c r="M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H38" i="6"/>
  <c r="DJ38" i="6" s="1"/>
  <c r="DE38" i="6"/>
  <c r="DB38" i="6"/>
  <c r="DA38" i="6"/>
  <c r="CB38" i="6"/>
  <c r="BR38" i="6"/>
  <c r="BP38" i="6"/>
  <c r="BL38" i="6"/>
  <c r="BH38" i="6"/>
  <c r="BD38" i="6"/>
  <c r="AZ38" i="6"/>
  <c r="AX38" i="6"/>
  <c r="AV38" i="6"/>
  <c r="AU38" i="6"/>
  <c r="AS38" i="6"/>
  <c r="M38" i="6"/>
  <c r="K38" i="6"/>
  <c r="CN38" i="6" s="1"/>
  <c r="J38" i="6"/>
  <c r="N38" i="6" s="1"/>
  <c r="H38" i="6"/>
  <c r="G38" i="6"/>
  <c r="BI38" i="6" s="1"/>
  <c r="F38" i="6"/>
  <c r="CX38" i="6" s="1"/>
  <c r="A38" i="6"/>
  <c r="DT37" i="6"/>
  <c r="DP37" i="6"/>
  <c r="DO37" i="6"/>
  <c r="DH37" i="6"/>
  <c r="DG37" i="6" s="1"/>
  <c r="DE37" i="6"/>
  <c r="DB37" i="6"/>
  <c r="DA37" i="6"/>
  <c r="CB37" i="6"/>
  <c r="BR37" i="6"/>
  <c r="BP37" i="6"/>
  <c r="BL37" i="6"/>
  <c r="BH37" i="6"/>
  <c r="BD37" i="6"/>
  <c r="AZ37" i="6"/>
  <c r="AX37" i="6"/>
  <c r="AV37" i="6"/>
  <c r="AU37" i="6"/>
  <c r="AS37" i="6"/>
  <c r="M37" i="6"/>
  <c r="K37" i="6"/>
  <c r="CN37" i="6" s="1"/>
  <c r="J37" i="6"/>
  <c r="D37" i="6" s="1"/>
  <c r="H37" i="6"/>
  <c r="G37" i="6"/>
  <c r="CZ37" i="6" s="1"/>
  <c r="F37" i="6"/>
  <c r="CX37" i="6" s="1"/>
  <c r="A37" i="6"/>
  <c r="DT36" i="6"/>
  <c r="DP36" i="6"/>
  <c r="DO36" i="6"/>
  <c r="DH36" i="6"/>
  <c r="DG36" i="6" s="1"/>
  <c r="DE36" i="6"/>
  <c r="DB36" i="6"/>
  <c r="DA36" i="6"/>
  <c r="CB36" i="6"/>
  <c r="BR36" i="6"/>
  <c r="BP36" i="6"/>
  <c r="BL36" i="6"/>
  <c r="BH36" i="6"/>
  <c r="BD36" i="6"/>
  <c r="AZ36" i="6"/>
  <c r="AX36" i="6"/>
  <c r="AV36" i="6"/>
  <c r="AU36" i="6"/>
  <c r="AS36" i="6"/>
  <c r="M36" i="6"/>
  <c r="K36" i="6"/>
  <c r="CN36" i="6" s="1"/>
  <c r="J36" i="6"/>
  <c r="D36" i="6" s="1"/>
  <c r="H36" i="6"/>
  <c r="G36" i="6"/>
  <c r="CZ36" i="6" s="1"/>
  <c r="F36" i="6"/>
  <c r="CX36" i="6" s="1"/>
  <c r="A36" i="6"/>
  <c r="DT35" i="6"/>
  <c r="DP35" i="6"/>
  <c r="DO35" i="6"/>
  <c r="DH35" i="6"/>
  <c r="DJ35" i="6" s="1"/>
  <c r="DE35" i="6"/>
  <c r="DB35" i="6"/>
  <c r="DA35" i="6"/>
  <c r="CB35" i="6"/>
  <c r="BR35" i="6"/>
  <c r="BP35" i="6"/>
  <c r="BL35" i="6"/>
  <c r="BH35" i="6"/>
  <c r="BD35" i="6"/>
  <c r="AZ35" i="6"/>
  <c r="AX35" i="6"/>
  <c r="AV35" i="6"/>
  <c r="AU35" i="6"/>
  <c r="AS35" i="6"/>
  <c r="M35" i="6"/>
  <c r="K35" i="6"/>
  <c r="CN35" i="6" s="1"/>
  <c r="J35" i="6"/>
  <c r="N35" i="6" s="1"/>
  <c r="H35" i="6"/>
  <c r="G35" i="6"/>
  <c r="BI35" i="6" s="1"/>
  <c r="F35" i="6"/>
  <c r="CX35" i="6" s="1"/>
  <c r="A35" i="6"/>
  <c r="DT34" i="6"/>
  <c r="DP34" i="6"/>
  <c r="DO34" i="6"/>
  <c r="DH34" i="6"/>
  <c r="DJ34" i="6" s="1"/>
  <c r="DE34" i="6"/>
  <c r="DB34" i="6"/>
  <c r="DA34" i="6"/>
  <c r="CB34" i="6"/>
  <c r="BR34" i="6"/>
  <c r="BP34" i="6"/>
  <c r="BL34" i="6"/>
  <c r="BH34" i="6"/>
  <c r="BD34" i="6"/>
  <c r="AZ34" i="6"/>
  <c r="AX34" i="6"/>
  <c r="AV34" i="6"/>
  <c r="AU34" i="6"/>
  <c r="AS34" i="6"/>
  <c r="M34" i="6"/>
  <c r="K34" i="6"/>
  <c r="CN34" i="6" s="1"/>
  <c r="J34" i="6"/>
  <c r="L34" i="6" s="1"/>
  <c r="H34" i="6"/>
  <c r="G34" i="6"/>
  <c r="CZ34" i="6" s="1"/>
  <c r="F34" i="6"/>
  <c r="CX34" i="6" s="1"/>
  <c r="A34" i="6"/>
  <c r="DT33" i="6"/>
  <c r="DP33" i="6"/>
  <c r="DO33" i="6"/>
  <c r="DH33" i="6"/>
  <c r="DG33" i="6" s="1"/>
  <c r="DE33" i="6"/>
  <c r="DB33" i="6"/>
  <c r="DA33" i="6"/>
  <c r="CB33" i="6"/>
  <c r="BR33" i="6"/>
  <c r="BP33" i="6"/>
  <c r="BL33" i="6"/>
  <c r="BH33" i="6"/>
  <c r="BD33" i="6"/>
  <c r="AZ33" i="6"/>
  <c r="AX33" i="6"/>
  <c r="AV33" i="6"/>
  <c r="AU33" i="6"/>
  <c r="AS33" i="6"/>
  <c r="M33" i="6"/>
  <c r="K33" i="6"/>
  <c r="CN33" i="6" s="1"/>
  <c r="J33" i="6"/>
  <c r="BS33" i="6" s="1"/>
  <c r="H33" i="6"/>
  <c r="G33" i="6"/>
  <c r="CZ33" i="6" s="1"/>
  <c r="F33" i="6"/>
  <c r="CX33" i="6" s="1"/>
  <c r="A33" i="6"/>
  <c r="DT32" i="6"/>
  <c r="DP32" i="6"/>
  <c r="DO32" i="6"/>
  <c r="DH32" i="6"/>
  <c r="DJ32" i="6" s="1"/>
  <c r="DE32" i="6"/>
  <c r="DB32" i="6"/>
  <c r="DA32" i="6"/>
  <c r="CB32" i="6"/>
  <c r="BR32" i="6"/>
  <c r="BP32" i="6"/>
  <c r="BL32" i="6"/>
  <c r="BH32" i="6"/>
  <c r="BD32" i="6"/>
  <c r="AZ32" i="6"/>
  <c r="AX32" i="6"/>
  <c r="AV32" i="6"/>
  <c r="AU32" i="6"/>
  <c r="AS32" i="6"/>
  <c r="M32" i="6"/>
  <c r="K32" i="6"/>
  <c r="CN32" i="6" s="1"/>
  <c r="J32" i="6"/>
  <c r="N32" i="6" s="1"/>
  <c r="H32" i="6"/>
  <c r="G32" i="6"/>
  <c r="BI32" i="6" s="1"/>
  <c r="F32" i="6"/>
  <c r="CX32" i="6" s="1"/>
  <c r="A32" i="6"/>
  <c r="DT31" i="6"/>
  <c r="DP31" i="6"/>
  <c r="DO31" i="6"/>
  <c r="DH31" i="6"/>
  <c r="DG31" i="6" s="1"/>
  <c r="DE31" i="6"/>
  <c r="DB31" i="6"/>
  <c r="DA31" i="6"/>
  <c r="CB31" i="6"/>
  <c r="BR31" i="6"/>
  <c r="BP31" i="6"/>
  <c r="BL31" i="6"/>
  <c r="BH31" i="6"/>
  <c r="BD31" i="6"/>
  <c r="AZ31" i="6"/>
  <c r="AX31" i="6"/>
  <c r="AV31" i="6"/>
  <c r="AU31" i="6"/>
  <c r="AS31" i="6"/>
  <c r="M31" i="6"/>
  <c r="K31" i="6"/>
  <c r="CN31" i="6" s="1"/>
  <c r="J31" i="6"/>
  <c r="D31" i="6" s="1"/>
  <c r="H31" i="6"/>
  <c r="G31" i="6"/>
  <c r="CZ31" i="6" s="1"/>
  <c r="F31" i="6"/>
  <c r="CX31" i="6" s="1"/>
  <c r="A31" i="6"/>
  <c r="DT30" i="6"/>
  <c r="DP30" i="6"/>
  <c r="DO30" i="6"/>
  <c r="DH30" i="6"/>
  <c r="DG30" i="6" s="1"/>
  <c r="DE30" i="6"/>
  <c r="DB30" i="6"/>
  <c r="DA30" i="6"/>
  <c r="CB30" i="6"/>
  <c r="BR30" i="6"/>
  <c r="BP30" i="6"/>
  <c r="BL30" i="6"/>
  <c r="BH30" i="6"/>
  <c r="BD30" i="6"/>
  <c r="AZ30" i="6"/>
  <c r="AX30" i="6"/>
  <c r="AV30" i="6"/>
  <c r="AU30" i="6"/>
  <c r="AS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P29" i="6"/>
  <c r="DO29" i="6"/>
  <c r="DH29" i="6"/>
  <c r="DJ29" i="6" s="1"/>
  <c r="DE29" i="6"/>
  <c r="DB29" i="6"/>
  <c r="DA29" i="6"/>
  <c r="CB29" i="6"/>
  <c r="BR29" i="6"/>
  <c r="BP29" i="6"/>
  <c r="BL29" i="6"/>
  <c r="BH29" i="6"/>
  <c r="BD29" i="6"/>
  <c r="AZ29" i="6"/>
  <c r="AX29" i="6"/>
  <c r="AV29" i="6"/>
  <c r="AU29" i="6"/>
  <c r="AS29" i="6"/>
  <c r="M29" i="6"/>
  <c r="K29" i="6"/>
  <c r="CN29" i="6" s="1"/>
  <c r="J29" i="6"/>
  <c r="N29" i="6" s="1"/>
  <c r="H29" i="6"/>
  <c r="G29" i="6"/>
  <c r="BI29" i="6" s="1"/>
  <c r="F29" i="6"/>
  <c r="CX29" i="6" s="1"/>
  <c r="A29" i="6"/>
  <c r="DT28" i="6"/>
  <c r="DP28" i="6"/>
  <c r="DO28" i="6"/>
  <c r="DH28" i="6"/>
  <c r="DJ28" i="6" s="1"/>
  <c r="DE28" i="6"/>
  <c r="DB28" i="6"/>
  <c r="DA28" i="6"/>
  <c r="CB28" i="6"/>
  <c r="BR28" i="6"/>
  <c r="BP28" i="6"/>
  <c r="BL28" i="6"/>
  <c r="BH28" i="6"/>
  <c r="BD28" i="6"/>
  <c r="AZ28" i="6"/>
  <c r="AX28" i="6"/>
  <c r="AV28" i="6"/>
  <c r="AU28" i="6"/>
  <c r="AS28" i="6"/>
  <c r="M28" i="6"/>
  <c r="K28" i="6"/>
  <c r="CN28" i="6" s="1"/>
  <c r="J28" i="6"/>
  <c r="L28" i="6" s="1"/>
  <c r="H28" i="6"/>
  <c r="G28" i="6"/>
  <c r="CZ28" i="6" s="1"/>
  <c r="F28" i="6"/>
  <c r="DQ28" i="6" s="1"/>
  <c r="A28" i="6"/>
  <c r="DT27" i="6"/>
  <c r="DP27" i="6"/>
  <c r="DO27" i="6"/>
  <c r="DH27" i="6"/>
  <c r="DG27" i="6" s="1"/>
  <c r="DE27" i="6"/>
  <c r="DB27" i="6"/>
  <c r="DA27" i="6"/>
  <c r="CB27" i="6"/>
  <c r="BR27" i="6"/>
  <c r="BP27" i="6"/>
  <c r="BL27" i="6"/>
  <c r="BH27" i="6"/>
  <c r="BD27" i="6"/>
  <c r="AZ27" i="6"/>
  <c r="AX27" i="6"/>
  <c r="AV27" i="6"/>
  <c r="AU27" i="6"/>
  <c r="AS27" i="6"/>
  <c r="M27" i="6"/>
  <c r="K27" i="6"/>
  <c r="CN27" i="6" s="1"/>
  <c r="J27" i="6"/>
  <c r="D27" i="6" s="1"/>
  <c r="H27" i="6"/>
  <c r="G27" i="6"/>
  <c r="CZ27" i="6" s="1"/>
  <c r="F27" i="6"/>
  <c r="CX27" i="6" s="1"/>
  <c r="A27" i="6"/>
  <c r="DT26" i="6"/>
  <c r="DP26" i="6"/>
  <c r="DO26" i="6"/>
  <c r="DH26" i="6"/>
  <c r="DJ26" i="6" s="1"/>
  <c r="DE26" i="6"/>
  <c r="DB26" i="6"/>
  <c r="DA26" i="6"/>
  <c r="CB26" i="6"/>
  <c r="BR26" i="6"/>
  <c r="BP26" i="6"/>
  <c r="BL26" i="6"/>
  <c r="BH26" i="6"/>
  <c r="BD26" i="6"/>
  <c r="AZ26" i="6"/>
  <c r="AX26" i="6"/>
  <c r="AV26" i="6"/>
  <c r="AU26" i="6"/>
  <c r="AS26" i="6"/>
  <c r="M26" i="6"/>
  <c r="K26" i="6"/>
  <c r="CN26" i="6" s="1"/>
  <c r="J26" i="6"/>
  <c r="N26" i="6" s="1"/>
  <c r="H26" i="6"/>
  <c r="G26" i="6"/>
  <c r="BI26" i="6" s="1"/>
  <c r="F26" i="6"/>
  <c r="CX26" i="6" s="1"/>
  <c r="A26" i="6"/>
  <c r="DT25" i="6"/>
  <c r="DP25" i="6"/>
  <c r="DO25" i="6"/>
  <c r="DH25" i="6"/>
  <c r="DI25" i="6" s="1"/>
  <c r="DE25" i="6"/>
  <c r="DB25" i="6"/>
  <c r="DA25" i="6"/>
  <c r="CB25" i="6"/>
  <c r="BR25" i="6"/>
  <c r="BP25" i="6"/>
  <c r="BL25" i="6"/>
  <c r="BH25" i="6"/>
  <c r="BD25" i="6"/>
  <c r="AZ25" i="6"/>
  <c r="AX25" i="6"/>
  <c r="AV25" i="6"/>
  <c r="AU25" i="6"/>
  <c r="AS25" i="6"/>
  <c r="M25" i="6"/>
  <c r="K25" i="6"/>
  <c r="CN25" i="6" s="1"/>
  <c r="J25" i="6"/>
  <c r="BS25" i="6" s="1"/>
  <c r="H25" i="6"/>
  <c r="G25" i="6"/>
  <c r="CZ25" i="6" s="1"/>
  <c r="F25" i="6"/>
  <c r="CX25" i="6" s="1"/>
  <c r="A25" i="6"/>
  <c r="DT24" i="6"/>
  <c r="DP24" i="6"/>
  <c r="DO24" i="6"/>
  <c r="DH24" i="6"/>
  <c r="DG24" i="6" s="1"/>
  <c r="DE24" i="6"/>
  <c r="DB24" i="6"/>
  <c r="DA24" i="6"/>
  <c r="CB24" i="6"/>
  <c r="BR24" i="6"/>
  <c r="BP24" i="6"/>
  <c r="BL24" i="6"/>
  <c r="BH24" i="6"/>
  <c r="BD24" i="6"/>
  <c r="AZ24" i="6"/>
  <c r="AX24" i="6"/>
  <c r="AV24" i="6"/>
  <c r="AU24" i="6"/>
  <c r="AS24" i="6"/>
  <c r="M24" i="6"/>
  <c r="K24" i="6"/>
  <c r="CN24" i="6" s="1"/>
  <c r="J24" i="6"/>
  <c r="D24" i="6" s="1"/>
  <c r="H24" i="6"/>
  <c r="G24" i="6"/>
  <c r="CZ24" i="6" s="1"/>
  <c r="F24" i="6"/>
  <c r="CX24" i="6" s="1"/>
  <c r="A24" i="6"/>
  <c r="DT23" i="6"/>
  <c r="DP23" i="6"/>
  <c r="DO23" i="6"/>
  <c r="DH23" i="6"/>
  <c r="DJ23" i="6" s="1"/>
  <c r="DE23" i="6"/>
  <c r="DB23" i="6"/>
  <c r="DA23" i="6"/>
  <c r="CB23" i="6"/>
  <c r="BR23" i="6"/>
  <c r="BP23" i="6"/>
  <c r="BL23" i="6"/>
  <c r="BH23" i="6"/>
  <c r="BD23" i="6"/>
  <c r="AZ23" i="6"/>
  <c r="AX23" i="6"/>
  <c r="AV23" i="6"/>
  <c r="AU23" i="6"/>
  <c r="AS23" i="6"/>
  <c r="M23" i="6"/>
  <c r="K23" i="6"/>
  <c r="CN23" i="6" s="1"/>
  <c r="J23" i="6"/>
  <c r="N23" i="6" s="1"/>
  <c r="H23" i="6"/>
  <c r="G23" i="6"/>
  <c r="BI23" i="6" s="1"/>
  <c r="F23" i="6"/>
  <c r="CX23" i="6" s="1"/>
  <c r="A23" i="6"/>
  <c r="DT22" i="6"/>
  <c r="DP22" i="6"/>
  <c r="DO22" i="6"/>
  <c r="DH22" i="6"/>
  <c r="DJ22" i="6" s="1"/>
  <c r="DE22" i="6"/>
  <c r="DB22" i="6"/>
  <c r="DA22" i="6"/>
  <c r="CB22" i="6"/>
  <c r="BR22" i="6"/>
  <c r="BP22" i="6"/>
  <c r="BL22" i="6"/>
  <c r="BH22" i="6"/>
  <c r="BD22" i="6"/>
  <c r="AZ22" i="6"/>
  <c r="AX22" i="6"/>
  <c r="AV22" i="6"/>
  <c r="AU22" i="6"/>
  <c r="AS22" i="6"/>
  <c r="M22" i="6"/>
  <c r="K22" i="6"/>
  <c r="CN22" i="6" s="1"/>
  <c r="J22" i="6"/>
  <c r="BS22" i="6" s="1"/>
  <c r="H22" i="6"/>
  <c r="G22" i="6"/>
  <c r="CZ22" i="6" s="1"/>
  <c r="F22" i="6"/>
  <c r="CX22" i="6" s="1"/>
  <c r="A22" i="6"/>
  <c r="DT21" i="6"/>
  <c r="DP21" i="6"/>
  <c r="DO21" i="6"/>
  <c r="DH21" i="6"/>
  <c r="DG21" i="6" s="1"/>
  <c r="DE21" i="6"/>
  <c r="DB21" i="6"/>
  <c r="DA21" i="6"/>
  <c r="CB21" i="6"/>
  <c r="BR21" i="6"/>
  <c r="BP21" i="6"/>
  <c r="BL21" i="6"/>
  <c r="BH21" i="6"/>
  <c r="BD21" i="6"/>
  <c r="AZ21" i="6"/>
  <c r="AX21" i="6"/>
  <c r="AV21" i="6"/>
  <c r="AU21" i="6"/>
  <c r="AS21" i="6"/>
  <c r="M21" i="6"/>
  <c r="K21" i="6"/>
  <c r="CN21" i="6" s="1"/>
  <c r="J21" i="6"/>
  <c r="D21" i="6" s="1"/>
  <c r="H21" i="6"/>
  <c r="G21" i="6"/>
  <c r="CZ21" i="6" s="1"/>
  <c r="F21" i="6"/>
  <c r="CX21" i="6" s="1"/>
  <c r="A21" i="6"/>
  <c r="DT20" i="6"/>
  <c r="DP20" i="6"/>
  <c r="DO20" i="6"/>
  <c r="DH20" i="6"/>
  <c r="DJ20" i="6" s="1"/>
  <c r="DE20" i="6"/>
  <c r="DB20" i="6"/>
  <c r="DA20" i="6"/>
  <c r="CB20" i="6"/>
  <c r="BR20" i="6"/>
  <c r="BP20" i="6"/>
  <c r="BL20" i="6"/>
  <c r="BH20" i="6"/>
  <c r="BD20" i="6"/>
  <c r="AZ20" i="6"/>
  <c r="AX20" i="6"/>
  <c r="AV20" i="6"/>
  <c r="AU20" i="6"/>
  <c r="AS20" i="6"/>
  <c r="M20" i="6"/>
  <c r="K20" i="6"/>
  <c r="CN20" i="6" s="1"/>
  <c r="J20" i="6"/>
  <c r="N20" i="6" s="1"/>
  <c r="H20" i="6"/>
  <c r="G20" i="6"/>
  <c r="CZ20" i="6" s="1"/>
  <c r="F20" i="6"/>
  <c r="CX20" i="6" s="1"/>
  <c r="A20" i="6"/>
  <c r="DT19" i="6"/>
  <c r="DP19" i="6"/>
  <c r="DO19" i="6"/>
  <c r="DH19" i="6"/>
  <c r="DG19" i="6" s="1"/>
  <c r="DE19" i="6"/>
  <c r="DB19" i="6"/>
  <c r="DA19" i="6"/>
  <c r="CB19" i="6"/>
  <c r="BR19" i="6"/>
  <c r="BP19" i="6"/>
  <c r="BL19" i="6"/>
  <c r="BH19" i="6"/>
  <c r="BD19" i="6"/>
  <c r="AZ19" i="6"/>
  <c r="AX19" i="6"/>
  <c r="AV19" i="6"/>
  <c r="AU19" i="6"/>
  <c r="AS19" i="6"/>
  <c r="M19" i="6"/>
  <c r="K19" i="6"/>
  <c r="CN19" i="6" s="1"/>
  <c r="J19" i="6"/>
  <c r="L19" i="6" s="1"/>
  <c r="H19" i="6"/>
  <c r="G19" i="6"/>
  <c r="BI19" i="6" s="1"/>
  <c r="F19" i="6"/>
  <c r="CX19" i="6" s="1"/>
  <c r="A19" i="6"/>
  <c r="DT18" i="6"/>
  <c r="DP18" i="6"/>
  <c r="DO18" i="6"/>
  <c r="DH18" i="6"/>
  <c r="DJ18" i="6" s="1"/>
  <c r="DE18" i="6"/>
  <c r="DB18" i="6"/>
  <c r="DA18" i="6"/>
  <c r="CB18" i="6"/>
  <c r="BR18" i="6"/>
  <c r="BP18" i="6"/>
  <c r="BL18" i="6"/>
  <c r="BH18" i="6"/>
  <c r="BD18" i="6"/>
  <c r="AZ18" i="6"/>
  <c r="AX18" i="6"/>
  <c r="AV18" i="6"/>
  <c r="AU18" i="6"/>
  <c r="AS18" i="6"/>
  <c r="M18" i="6"/>
  <c r="K18" i="6"/>
  <c r="CN18" i="6" s="1"/>
  <c r="J18" i="6"/>
  <c r="N18" i="6" s="1"/>
  <c r="H18" i="6"/>
  <c r="G18" i="6"/>
  <c r="BI18" i="6" s="1"/>
  <c r="F18" i="6"/>
  <c r="CX18" i="6" s="1"/>
  <c r="A18" i="6"/>
  <c r="DT17" i="6"/>
  <c r="DP17" i="6"/>
  <c r="DO17" i="6"/>
  <c r="DH17" i="6"/>
  <c r="DJ17" i="6" s="1"/>
  <c r="DE17" i="6"/>
  <c r="DB17" i="6"/>
  <c r="DA17" i="6"/>
  <c r="CB17" i="6"/>
  <c r="BR17" i="6"/>
  <c r="BP17" i="6"/>
  <c r="BL17" i="6"/>
  <c r="BH17" i="6"/>
  <c r="BD17" i="6"/>
  <c r="AZ17" i="6"/>
  <c r="AX17" i="6"/>
  <c r="AV17" i="6"/>
  <c r="AU17" i="6"/>
  <c r="AS17" i="6"/>
  <c r="M17" i="6"/>
  <c r="K17" i="6"/>
  <c r="CN17" i="6" s="1"/>
  <c r="J17" i="6"/>
  <c r="N17" i="6" s="1"/>
  <c r="H17" i="6"/>
  <c r="G17" i="6"/>
  <c r="CZ17" i="6" s="1"/>
  <c r="F17" i="6"/>
  <c r="CX17" i="6" s="1"/>
  <c r="A17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BG10" i="6" l="1"/>
  <c r="BE10" i="6"/>
  <c r="BF10" i="6" s="1"/>
  <c r="BE18" i="6"/>
  <c r="BF18" i="6" s="1"/>
  <c r="BG18" i="6"/>
  <c r="BE30" i="6"/>
  <c r="BF30" i="6" s="1"/>
  <c r="BG30" i="6"/>
  <c r="BG19" i="6"/>
  <c r="BE19" i="6"/>
  <c r="BF19" i="6" s="1"/>
  <c r="BE31" i="6"/>
  <c r="BF31" i="6" s="1"/>
  <c r="BG31" i="6"/>
  <c r="BG8" i="6"/>
  <c r="BE8" i="6"/>
  <c r="BF8" i="6" s="1"/>
  <c r="BG20" i="6"/>
  <c r="BE20" i="6"/>
  <c r="BF20" i="6" s="1"/>
  <c r="BE32" i="6"/>
  <c r="BF32" i="6" s="1"/>
  <c r="BG32" i="6"/>
  <c r="BE9" i="6"/>
  <c r="BF9" i="6" s="1"/>
  <c r="BG9" i="6"/>
  <c r="BG21" i="6"/>
  <c r="BE21" i="6"/>
  <c r="BF21" i="6" s="1"/>
  <c r="BG33" i="6"/>
  <c r="BE33" i="6"/>
  <c r="BF33" i="6" s="1"/>
  <c r="BG11" i="6"/>
  <c r="BE11" i="6"/>
  <c r="BF11" i="6" s="1"/>
  <c r="BE23" i="6"/>
  <c r="BF23" i="6" s="1"/>
  <c r="BG23" i="6"/>
  <c r="BG35" i="6"/>
  <c r="BE35" i="6"/>
  <c r="BF35" i="6" s="1"/>
  <c r="BG22" i="6"/>
  <c r="BE22" i="6"/>
  <c r="BF22" i="6" s="1"/>
  <c r="BE12" i="6"/>
  <c r="BF12" i="6" s="1"/>
  <c r="BG12" i="6"/>
  <c r="BG24" i="6"/>
  <c r="BE24" i="6"/>
  <c r="BF24" i="6" s="1"/>
  <c r="BG36" i="6"/>
  <c r="BE36" i="6"/>
  <c r="BF36" i="6" s="1"/>
  <c r="BE13" i="6"/>
  <c r="BF13" i="6" s="1"/>
  <c r="BG13" i="6"/>
  <c r="BE25" i="6"/>
  <c r="BF25" i="6" s="1"/>
  <c r="BG25" i="6"/>
  <c r="BE37" i="6"/>
  <c r="BF37" i="6" s="1"/>
  <c r="BG37" i="6"/>
  <c r="BG14" i="6"/>
  <c r="BE14" i="6"/>
  <c r="BF14" i="6" s="1"/>
  <c r="BE26" i="6"/>
  <c r="BF26" i="6" s="1"/>
  <c r="BG26" i="6"/>
  <c r="BE38" i="6"/>
  <c r="BF38" i="6" s="1"/>
  <c r="BG38" i="6"/>
  <c r="BG15" i="6"/>
  <c r="BE15" i="6"/>
  <c r="BF15" i="6" s="1"/>
  <c r="BG27" i="6"/>
  <c r="BE27" i="6"/>
  <c r="BF27" i="6" s="1"/>
  <c r="BG39" i="6"/>
  <c r="BE39" i="6"/>
  <c r="BF39" i="6" s="1"/>
  <c r="BG34" i="6"/>
  <c r="BE34" i="6"/>
  <c r="BF34" i="6" s="1"/>
  <c r="BE16" i="6"/>
  <c r="BF16" i="6" s="1"/>
  <c r="BG16" i="6"/>
  <c r="BE28" i="6"/>
  <c r="BF28" i="6" s="1"/>
  <c r="BG28" i="6"/>
  <c r="BE40" i="6"/>
  <c r="BF40" i="6" s="1"/>
  <c r="BG40" i="6"/>
  <c r="BE17" i="6"/>
  <c r="BF17" i="6" s="1"/>
  <c r="BG17" i="6"/>
  <c r="BE29" i="6"/>
  <c r="BF29" i="6" s="1"/>
  <c r="BG29" i="6"/>
  <c r="BE7" i="6"/>
  <c r="BG7" i="6"/>
  <c r="L16" i="6"/>
  <c r="DI22" i="6"/>
  <c r="CM12" i="6"/>
  <c r="DG25" i="6"/>
  <c r="CZ13" i="6"/>
  <c r="D19" i="6"/>
  <c r="BA28" i="6"/>
  <c r="L25" i="6"/>
  <c r="BS20" i="6"/>
  <c r="L22" i="6"/>
  <c r="CJ22" i="6"/>
  <c r="BA20" i="6"/>
  <c r="CJ18" i="6"/>
  <c r="DS18" i="6" s="1"/>
  <c r="BA27" i="6"/>
  <c r="D15" i="6"/>
  <c r="BA18" i="6"/>
  <c r="DI18" i="6"/>
  <c r="D22" i="6"/>
  <c r="DQ14" i="6"/>
  <c r="DG28" i="6"/>
  <c r="CW30" i="6"/>
  <c r="BS17" i="6"/>
  <c r="L39" i="6"/>
  <c r="D9" i="6"/>
  <c r="CM31" i="6"/>
  <c r="BA36" i="6"/>
  <c r="BA15" i="6"/>
  <c r="CW14" i="6"/>
  <c r="BA24" i="6"/>
  <c r="DQ12" i="6"/>
  <c r="BA17" i="6"/>
  <c r="D25" i="6"/>
  <c r="L15" i="6"/>
  <c r="CJ28" i="6"/>
  <c r="DS28" i="6" s="1"/>
  <c r="BS36" i="6"/>
  <c r="DG22" i="6"/>
  <c r="DG9" i="6"/>
  <c r="CM10" i="6"/>
  <c r="CW10" i="6"/>
  <c r="L14" i="6"/>
  <c r="BS14" i="6"/>
  <c r="N28" i="6"/>
  <c r="BS28" i="6"/>
  <c r="D33" i="6"/>
  <c r="L35" i="6"/>
  <c r="DI37" i="6"/>
  <c r="DG15" i="6"/>
  <c r="DJ37" i="6"/>
  <c r="DQ9" i="6"/>
  <c r="DI15" i="6"/>
  <c r="CM16" i="6"/>
  <c r="CM25" i="6"/>
  <c r="BA30" i="6"/>
  <c r="L32" i="6"/>
  <c r="DQ33" i="6"/>
  <c r="L36" i="6"/>
  <c r="CZ7" i="6"/>
  <c r="BS9" i="6"/>
  <c r="CW12" i="6"/>
  <c r="L17" i="6"/>
  <c r="BA21" i="6"/>
  <c r="D28" i="6"/>
  <c r="D14" i="6"/>
  <c r="D18" i="6"/>
  <c r="L33" i="6"/>
  <c r="CW9" i="6"/>
  <c r="DI14" i="6"/>
  <c r="CJ37" i="6"/>
  <c r="DS37" i="6" s="1"/>
  <c r="D39" i="6"/>
  <c r="CM17" i="6"/>
  <c r="BA25" i="6"/>
  <c r="DI28" i="6"/>
  <c r="L30" i="6"/>
  <c r="CW33" i="6"/>
  <c r="D7" i="6"/>
  <c r="D11" i="6"/>
  <c r="DG12" i="6"/>
  <c r="CJ15" i="6"/>
  <c r="CW17" i="6"/>
  <c r="CW20" i="6"/>
  <c r="BA22" i="6"/>
  <c r="DJ25" i="6"/>
  <c r="BS30" i="6"/>
  <c r="BJ29" i="6"/>
  <c r="BK29" i="6"/>
  <c r="BK23" i="6"/>
  <c r="BJ23" i="6"/>
  <c r="BK26" i="6"/>
  <c r="BJ26" i="6"/>
  <c r="L8" i="6"/>
  <c r="DQ8" i="6"/>
  <c r="CZ10" i="6"/>
  <c r="DI12" i="6"/>
  <c r="L13" i="6"/>
  <c r="BS13" i="6"/>
  <c r="L29" i="6"/>
  <c r="DI31" i="6"/>
  <c r="CZ32" i="6"/>
  <c r="N34" i="6"/>
  <c r="BS34" i="6"/>
  <c r="BA37" i="6"/>
  <c r="BA39" i="6"/>
  <c r="CJ40" i="6"/>
  <c r="DS40" i="6" s="1"/>
  <c r="CJ9" i="6"/>
  <c r="BS8" i="6"/>
  <c r="CM9" i="6"/>
  <c r="DI11" i="6"/>
  <c r="L12" i="6"/>
  <c r="BA14" i="6"/>
  <c r="D17" i="6"/>
  <c r="DG18" i="6"/>
  <c r="N22" i="6"/>
  <c r="CZ23" i="6"/>
  <c r="N25" i="6"/>
  <c r="CZ26" i="6"/>
  <c r="L31" i="6"/>
  <c r="DJ31" i="6"/>
  <c r="L38" i="6"/>
  <c r="D10" i="6"/>
  <c r="BS12" i="6"/>
  <c r="CM13" i="6"/>
  <c r="D20" i="6"/>
  <c r="DQ21" i="6"/>
  <c r="DQ24" i="6"/>
  <c r="DQ27" i="6"/>
  <c r="CJ34" i="6"/>
  <c r="DS34" i="6" s="1"/>
  <c r="CZ38" i="6"/>
  <c r="CJ25" i="6"/>
  <c r="DS25" i="6" s="1"/>
  <c r="CZ29" i="6"/>
  <c r="N31" i="6"/>
  <c r="BS31" i="6"/>
  <c r="CM34" i="6"/>
  <c r="L7" i="6"/>
  <c r="CW8" i="6"/>
  <c r="BA9" i="6"/>
  <c r="L11" i="6"/>
  <c r="DQ11" i="6"/>
  <c r="CJ12" i="6"/>
  <c r="DS12" i="6" s="1"/>
  <c r="BS15" i="6"/>
  <c r="CZ16" i="6"/>
  <c r="DI17" i="6"/>
  <c r="L18" i="6"/>
  <c r="CM19" i="6"/>
  <c r="DI20" i="6"/>
  <c r="L21" i="6"/>
  <c r="CM22" i="6"/>
  <c r="L24" i="6"/>
  <c r="L27" i="6"/>
  <c r="DQ30" i="6"/>
  <c r="D34" i="6"/>
  <c r="L37" i="6"/>
  <c r="BA40" i="6"/>
  <c r="DG40" i="6"/>
  <c r="DQ7" i="6"/>
  <c r="CM8" i="6"/>
  <c r="BS11" i="6"/>
  <c r="DQ15" i="6"/>
  <c r="BS18" i="6"/>
  <c r="CZ19" i="6"/>
  <c r="BS21" i="6"/>
  <c r="BS24" i="6"/>
  <c r="BS27" i="6"/>
  <c r="CM28" i="6"/>
  <c r="CJ31" i="6"/>
  <c r="DS31" i="6" s="1"/>
  <c r="BA11" i="6"/>
  <c r="DQ18" i="6"/>
  <c r="E28" i="6"/>
  <c r="CV28" i="6" s="1"/>
  <c r="BA34" i="6"/>
  <c r="N37" i="6"/>
  <c r="BS37" i="6"/>
  <c r="DI40" i="6"/>
  <c r="BA8" i="6"/>
  <c r="DQ10" i="6"/>
  <c r="CM11" i="6"/>
  <c r="D12" i="6"/>
  <c r="CM15" i="6"/>
  <c r="DQ17" i="6"/>
  <c r="DQ20" i="6"/>
  <c r="CW21" i="6"/>
  <c r="CW24" i="6"/>
  <c r="CW27" i="6"/>
  <c r="CX28" i="6"/>
  <c r="DG34" i="6"/>
  <c r="CM7" i="6"/>
  <c r="CW7" i="6"/>
  <c r="DI9" i="6"/>
  <c r="L10" i="6"/>
  <c r="CW11" i="6"/>
  <c r="BA12" i="6"/>
  <c r="CW15" i="6"/>
  <c r="CM18" i="6"/>
  <c r="D8" i="6"/>
  <c r="DI8" i="6"/>
  <c r="L9" i="6"/>
  <c r="CM14" i="6"/>
  <c r="CW18" i="6"/>
  <c r="L23" i="6"/>
  <c r="L26" i="6"/>
  <c r="BA31" i="6"/>
  <c r="DI34" i="6"/>
  <c r="CZ35" i="6"/>
  <c r="CM20" i="6"/>
  <c r="BA33" i="6"/>
  <c r="N40" i="6"/>
  <c r="BS40" i="6"/>
  <c r="BJ35" i="6"/>
  <c r="BK35" i="6"/>
  <c r="BJ32" i="6"/>
  <c r="BK32" i="6"/>
  <c r="BJ38" i="6"/>
  <c r="BK38" i="6"/>
  <c r="CW23" i="6"/>
  <c r="DQ23" i="6"/>
  <c r="CM24" i="6"/>
  <c r="DI24" i="6"/>
  <c r="D26" i="6"/>
  <c r="CW26" i="6"/>
  <c r="DQ26" i="6"/>
  <c r="CM27" i="6"/>
  <c r="DI27" i="6"/>
  <c r="D29" i="6"/>
  <c r="CW29" i="6"/>
  <c r="DQ29" i="6"/>
  <c r="CM30" i="6"/>
  <c r="DI30" i="6"/>
  <c r="D32" i="6"/>
  <c r="CW32" i="6"/>
  <c r="DQ32" i="6"/>
  <c r="CM33" i="6"/>
  <c r="DI33" i="6"/>
  <c r="D35" i="6"/>
  <c r="CW35" i="6"/>
  <c r="DQ35" i="6"/>
  <c r="CM36" i="6"/>
  <c r="DI36" i="6"/>
  <c r="D38" i="6"/>
  <c r="CW38" i="6"/>
  <c r="DQ38" i="6"/>
  <c r="CM39" i="6"/>
  <c r="DI39" i="6"/>
  <c r="CM21" i="6"/>
  <c r="DI21" i="6"/>
  <c r="D23" i="6"/>
  <c r="N21" i="6"/>
  <c r="BI21" i="6"/>
  <c r="DJ21" i="6"/>
  <c r="E23" i="6"/>
  <c r="CV23" i="6" s="1"/>
  <c r="N24" i="6"/>
  <c r="BI24" i="6"/>
  <c r="DJ24" i="6"/>
  <c r="E26" i="6"/>
  <c r="CV26" i="6" s="1"/>
  <c r="N27" i="6"/>
  <c r="BI27" i="6"/>
  <c r="DJ27" i="6"/>
  <c r="E29" i="6"/>
  <c r="CV29" i="6" s="1"/>
  <c r="N30" i="6"/>
  <c r="BI30" i="6"/>
  <c r="DJ30" i="6"/>
  <c r="E32" i="6"/>
  <c r="CV32" i="6" s="1"/>
  <c r="N33" i="6"/>
  <c r="BI33" i="6"/>
  <c r="DJ33" i="6"/>
  <c r="E35" i="6"/>
  <c r="CV35" i="6" s="1"/>
  <c r="N36" i="6"/>
  <c r="BI36" i="6"/>
  <c r="DJ36" i="6"/>
  <c r="E38" i="6"/>
  <c r="CV38" i="6" s="1"/>
  <c r="N39" i="6"/>
  <c r="BI39" i="6"/>
  <c r="DJ39" i="6"/>
  <c r="BA23" i="6"/>
  <c r="BS23" i="6"/>
  <c r="BA26" i="6"/>
  <c r="BS26" i="6"/>
  <c r="BA29" i="6"/>
  <c r="BS29" i="6"/>
  <c r="BA32" i="6"/>
  <c r="BS32" i="6"/>
  <c r="BA35" i="6"/>
  <c r="BS35" i="6"/>
  <c r="BA38" i="6"/>
  <c r="BS38" i="6"/>
  <c r="L40" i="6"/>
  <c r="CW36" i="6"/>
  <c r="DQ36" i="6"/>
  <c r="CM37" i="6"/>
  <c r="CW39" i="6"/>
  <c r="DQ39" i="6"/>
  <c r="CM40" i="6"/>
  <c r="E21" i="6"/>
  <c r="CV21" i="6" s="1"/>
  <c r="BI22" i="6"/>
  <c r="E24" i="6"/>
  <c r="CV24" i="6" s="1"/>
  <c r="BI25" i="6"/>
  <c r="E27" i="6"/>
  <c r="CV27" i="6" s="1"/>
  <c r="BI28" i="6"/>
  <c r="E30" i="6"/>
  <c r="CV30" i="6" s="1"/>
  <c r="BI31" i="6"/>
  <c r="E33" i="6"/>
  <c r="CV33" i="6" s="1"/>
  <c r="BI34" i="6"/>
  <c r="E36" i="6"/>
  <c r="CV36" i="6" s="1"/>
  <c r="BI37" i="6"/>
  <c r="E39" i="6"/>
  <c r="CV39" i="6" s="1"/>
  <c r="BI40" i="6"/>
  <c r="CJ23" i="6"/>
  <c r="DS23" i="6" s="1"/>
  <c r="DG23" i="6"/>
  <c r="CJ26" i="6"/>
  <c r="DS26" i="6" s="1"/>
  <c r="DG26" i="6"/>
  <c r="CJ29" i="6"/>
  <c r="DS29" i="6" s="1"/>
  <c r="DG29" i="6"/>
  <c r="CJ32" i="6"/>
  <c r="DS32" i="6" s="1"/>
  <c r="DG32" i="6"/>
  <c r="CJ35" i="6"/>
  <c r="DS35" i="6" s="1"/>
  <c r="DG35" i="6"/>
  <c r="CJ38" i="6"/>
  <c r="DS38" i="6" s="1"/>
  <c r="DG38" i="6"/>
  <c r="CW22" i="6"/>
  <c r="DQ22" i="6"/>
  <c r="CM23" i="6"/>
  <c r="DI23" i="6"/>
  <c r="CW25" i="6"/>
  <c r="DQ25" i="6"/>
  <c r="CM26" i="6"/>
  <c r="DI26" i="6"/>
  <c r="CW28" i="6"/>
  <c r="CM29" i="6"/>
  <c r="DI29" i="6"/>
  <c r="CW31" i="6"/>
  <c r="DQ31" i="6"/>
  <c r="CM32" i="6"/>
  <c r="DI32" i="6"/>
  <c r="CW34" i="6"/>
  <c r="DQ34" i="6"/>
  <c r="CM35" i="6"/>
  <c r="DI35" i="6"/>
  <c r="CW37" i="6"/>
  <c r="DQ37" i="6"/>
  <c r="CM38" i="6"/>
  <c r="DI38" i="6"/>
  <c r="CW40" i="6"/>
  <c r="DQ40" i="6"/>
  <c r="E22" i="6"/>
  <c r="CV22" i="6" s="1"/>
  <c r="E25" i="6"/>
  <c r="CV25" i="6" s="1"/>
  <c r="E31" i="6"/>
  <c r="CV31" i="6" s="1"/>
  <c r="E34" i="6"/>
  <c r="CV34" i="6" s="1"/>
  <c r="E37" i="6"/>
  <c r="CV37" i="6" s="1"/>
  <c r="E40" i="6"/>
  <c r="CV40" i="6" s="1"/>
  <c r="CJ21" i="6"/>
  <c r="DS21" i="6" s="1"/>
  <c r="CJ24" i="6"/>
  <c r="DS24" i="6" s="1"/>
  <c r="CJ27" i="6"/>
  <c r="DS27" i="6" s="1"/>
  <c r="CJ30" i="6"/>
  <c r="DS30" i="6" s="1"/>
  <c r="CJ33" i="6"/>
  <c r="DS33" i="6" s="1"/>
  <c r="CJ36" i="6"/>
  <c r="DS36" i="6" s="1"/>
  <c r="CJ39" i="6"/>
  <c r="DS39" i="6" s="1"/>
  <c r="BK16" i="6"/>
  <c r="BJ16" i="6"/>
  <c r="BK19" i="6"/>
  <c r="BJ19" i="6"/>
  <c r="BK7" i="6"/>
  <c r="BJ7" i="6"/>
  <c r="BJ18" i="6"/>
  <c r="BK18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18" i="6"/>
  <c r="CV18" i="6" s="1"/>
  <c r="N19" i="6"/>
  <c r="DJ19" i="6"/>
  <c r="DI19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17" i="6"/>
  <c r="DS17" i="6" s="1"/>
  <c r="DG17" i="6"/>
  <c r="CZ18" i="6"/>
  <c r="CJ20" i="6"/>
  <c r="DS20" i="6" s="1"/>
  <c r="DG20" i="6"/>
  <c r="DI13" i="6"/>
  <c r="DI16" i="6"/>
  <c r="L20" i="6"/>
  <c r="CW13" i="6"/>
  <c r="DQ13" i="6"/>
  <c r="CW16" i="6"/>
  <c r="DQ16" i="6"/>
  <c r="CW19" i="6"/>
  <c r="DQ19" i="6"/>
  <c r="E7" i="6"/>
  <c r="CV7" i="6" s="1"/>
  <c r="BI8" i="6"/>
  <c r="E10" i="6"/>
  <c r="CV10" i="6" s="1"/>
  <c r="BI11" i="6"/>
  <c r="E13" i="6"/>
  <c r="CV13" i="6" s="1"/>
  <c r="BI14" i="6"/>
  <c r="E16" i="6"/>
  <c r="CV16" i="6" s="1"/>
  <c r="BI17" i="6"/>
  <c r="E19" i="6"/>
  <c r="CV19" i="6" s="1"/>
  <c r="BI20" i="6"/>
  <c r="BA7" i="6"/>
  <c r="BA10" i="6"/>
  <c r="BA13" i="6"/>
  <c r="BA16" i="6"/>
  <c r="BS16" i="6"/>
  <c r="BA19" i="6"/>
  <c r="BS19" i="6"/>
  <c r="E8" i="6"/>
  <c r="CV8" i="6" s="1"/>
  <c r="E11" i="6"/>
  <c r="CV11" i="6" s="1"/>
  <c r="E14" i="6"/>
  <c r="CV14" i="6" s="1"/>
  <c r="E17" i="6"/>
  <c r="CV17" i="6" s="1"/>
  <c r="E20" i="6"/>
  <c r="CV20" i="6" s="1"/>
  <c r="CJ7" i="6"/>
  <c r="DS7" i="6" s="1"/>
  <c r="CJ10" i="6"/>
  <c r="DS10" i="6" s="1"/>
  <c r="CJ13" i="6"/>
  <c r="DS13" i="6" s="1"/>
  <c r="CJ16" i="6"/>
  <c r="DS16" i="6" s="1"/>
  <c r="CJ19" i="6"/>
  <c r="DS19" i="6" s="1"/>
  <c r="CK22" i="6" l="1"/>
  <c r="CO22" i="6" s="1"/>
  <c r="DS22" i="6"/>
  <c r="CK9" i="6"/>
  <c r="CO9" i="6" s="1"/>
  <c r="DS9" i="6"/>
  <c r="CK15" i="6"/>
  <c r="CO15" i="6" s="1"/>
  <c r="DS15" i="6"/>
  <c r="CK18" i="6"/>
  <c r="CO18" i="6" s="1"/>
  <c r="CK12" i="6"/>
  <c r="CO12" i="6" s="1"/>
  <c r="CG22" i="6"/>
  <c r="CK31" i="6"/>
  <c r="CO31" i="6" s="1"/>
  <c r="CK25" i="6"/>
  <c r="CO25" i="6" s="1"/>
  <c r="CK37" i="6"/>
  <c r="CO37" i="6" s="1"/>
  <c r="CK40" i="6"/>
  <c r="CO40" i="6" s="1"/>
  <c r="CK34" i="6"/>
  <c r="CO34" i="6" s="1"/>
  <c r="CK28" i="6"/>
  <c r="CO28" i="6" s="1"/>
  <c r="CK36" i="6"/>
  <c r="CO36" i="6" s="1"/>
  <c r="BK36" i="6"/>
  <c r="BJ36" i="6"/>
  <c r="BK31" i="6"/>
  <c r="BJ31" i="6"/>
  <c r="BK24" i="6"/>
  <c r="BJ24" i="6"/>
  <c r="CK35" i="6"/>
  <c r="CO35" i="6" s="1"/>
  <c r="CK23" i="6"/>
  <c r="CG23" i="6" s="1"/>
  <c r="CK33" i="6"/>
  <c r="CG33" i="6" s="1"/>
  <c r="BK33" i="6"/>
  <c r="BJ33" i="6"/>
  <c r="CK39" i="6"/>
  <c r="CO39" i="6" s="1"/>
  <c r="CK30" i="6"/>
  <c r="CG30" i="6" s="1"/>
  <c r="CK21" i="6"/>
  <c r="CO21" i="6" s="1"/>
  <c r="BK40" i="6"/>
  <c r="BJ40" i="6"/>
  <c r="BK28" i="6"/>
  <c r="BJ28" i="6"/>
  <c r="BK39" i="6"/>
  <c r="BJ39" i="6"/>
  <c r="CK32" i="6"/>
  <c r="CO32" i="6" s="1"/>
  <c r="BK30" i="6"/>
  <c r="BJ30" i="6"/>
  <c r="BK21" i="6"/>
  <c r="BJ21" i="6"/>
  <c r="CK29" i="6"/>
  <c r="CG29" i="6" s="1"/>
  <c r="BK37" i="6"/>
  <c r="BJ37" i="6"/>
  <c r="BK22" i="6"/>
  <c r="BJ22" i="6"/>
  <c r="BK25" i="6"/>
  <c r="BJ25" i="6"/>
  <c r="BK27" i="6"/>
  <c r="BJ27" i="6"/>
  <c r="BK34" i="6"/>
  <c r="BJ34" i="6"/>
  <c r="CK27" i="6"/>
  <c r="CO27" i="6" s="1"/>
  <c r="CK38" i="6"/>
  <c r="CO38" i="6" s="1"/>
  <c r="CK26" i="6"/>
  <c r="CO26" i="6" s="1"/>
  <c r="CK24" i="6"/>
  <c r="CO24" i="6" s="1"/>
  <c r="CK13" i="6"/>
  <c r="CO13" i="6" s="1"/>
  <c r="BK14" i="6"/>
  <c r="BJ14" i="6"/>
  <c r="CK14" i="6"/>
  <c r="CO14" i="6" s="1"/>
  <c r="CK20" i="6"/>
  <c r="CO20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20" i="6"/>
  <c r="BJ20" i="6"/>
  <c r="CK19" i="6"/>
  <c r="CO19" i="6" s="1"/>
  <c r="BK17" i="6"/>
  <c r="BJ17" i="6"/>
  <c r="CK17" i="6"/>
  <c r="CO17" i="6" s="1"/>
  <c r="CG9" i="6" l="1"/>
  <c r="CG15" i="6"/>
  <c r="CG18" i="6"/>
  <c r="CG12" i="6"/>
  <c r="CG40" i="6"/>
  <c r="CG21" i="6"/>
  <c r="CG37" i="6"/>
  <c r="CG8" i="6"/>
  <c r="CG34" i="6"/>
  <c r="CG31" i="6"/>
  <c r="CG27" i="6"/>
  <c r="CG26" i="6"/>
  <c r="CG20" i="6"/>
  <c r="CG13" i="6"/>
  <c r="CG35" i="6"/>
  <c r="CG38" i="6"/>
  <c r="CG16" i="6"/>
  <c r="CG24" i="6"/>
  <c r="CG19" i="6"/>
  <c r="CG7" i="6"/>
  <c r="CG11" i="6"/>
  <c r="CG39" i="6"/>
  <c r="CG36" i="6"/>
  <c r="CG28" i="6"/>
  <c r="CG17" i="6"/>
  <c r="CG32" i="6"/>
  <c r="CG25" i="6"/>
  <c r="CG14" i="6"/>
  <c r="CO10" i="6"/>
  <c r="CO33" i="6"/>
  <c r="CO30" i="6"/>
  <c r="CO23" i="6"/>
  <c r="CO29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AU5" i="6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K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<sst xmlns="http://schemas.openxmlformats.org/spreadsheetml/2006/main" count="3217" uniqueCount="1065">
  <si>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</si>
  <si>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</si>
  <si>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</si>
  <si>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</si>
  <si>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</si>
  <si>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</si>
  <si>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</si>
  <si>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</si>
  <si>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</si>
  <si>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</si>
  <si>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</si>
  <si>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</si>
  <si>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</si>
  <si>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</si>
  <si>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</si>
  <si>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</si>
  <si>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</si>
  <si>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</si>
  <si>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</si>
  <si>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</si>
  <si>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</si>
  <si>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</si>
  <si>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</si>
  <si>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</si>
  <si>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</si>
  <si>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</si>
  <si>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</si>
  <si>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</si>
  <si>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</si>
  <si>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</si>
  <si>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</si>
  <si>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</si>
  <si>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</si>
  <si>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</si>
  <si>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</si>
  <si>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</si>
  <si>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</si>
  <si>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</si>
  <si>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</si>
  <si>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</si>
  <si>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</si>
  <si>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</si>
  <si>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</si>
  <si>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</si>
  <si>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</si>
  <si>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</si>
  <si>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</si>
  <si>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</si>
  <si>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</si>
  <si>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</si>
  <si>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</si>
  <si>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</si>
  <si>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</si>
  <si>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</si>
  <si>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</si>
  <si>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</si>
  <si>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</si>
  <si>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</si>
  <si>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</si>
  <si>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</si>
  <si>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</si>
  <si>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</si>
  <si>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</si>
  <si>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</si>
  <si>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</si>
  <si>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</si>
  <si>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</si>
  <si>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</si>
  <si>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</si>
  <si>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</si>
  <si>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</si>
  <si>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</si>
  <si>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</si>
  <si>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</si>
  <si>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</si>
  <si>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</si>
  <si>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</si>
  <si>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</si>
  <si>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</si>
  <si>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</si>
  <si>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</si>
  <si>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</si>
  <si>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</si>
  <si>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</si>
  <si>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</si>
  <si>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</si>
  <si>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</si>
  <si>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</si>
  <si>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</si>
  <si>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</si>
  <si>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</si>
  <si>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</si>
  <si>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</si>
  <si>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</si>
  <si>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</si>
  <si>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</si>
  <si>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</si>
  <si>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</si>
  <si>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</si>
  <si>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</si>
  <si>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</si>
  <si>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</si>
  <si>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</si>
  <si>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</si>
  <si>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</si>
  <si>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</si>
  <si>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</si>
  <si>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</si>
  <si>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</si>
  <si>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</si>
  <si>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</si>
  <si>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</si>
  <si>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</si>
  <si>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</si>
  <si>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</si>
  <si>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</si>
  <si>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</si>
  <si>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</si>
  <si>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</si>
  <si>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</si>
  <si>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</si>
  <si>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</si>
  <si>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</si>
  <si>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</si>
  <si>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</si>
  <si>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</si>
  <si>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</si>
  <si>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</si>
  <si>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</si>
  <si>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</si>
  <si>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</si>
  <si>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</si>
  <si>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</si>
  <si>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</si>
  <si>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</si>
  <si>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</si>
  <si>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</si>
  <si>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</si>
  <si>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</si>
  <si>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</si>
  <si>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</si>
  <si>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</si>
  <si>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</si>
  <si>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</si>
  <si>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</si>
  <si>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</si>
  <si>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</si>
  <si>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</si>
  <si>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</si>
  <si>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</si>
  <si>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</si>
  <si>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</si>
  <si>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</si>
  <si>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</si>
  <si>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</si>
  <si>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</si>
  <si>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</si>
  <si>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</si>
  <si>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</si>
  <si>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</si>
  <si>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</si>
  <si>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</si>
  <si>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</si>
  <si>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</si>
  <si>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</si>
  <si>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</si>
  <si>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</si>
  <si>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</si>
  <si>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</si>
  <si>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</si>
  <si>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</si>
  <si>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</si>
  <si>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</si>
  <si>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</si>
  <si>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</si>
  <si>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</si>
  <si>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</si>
  <si>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</si>
  <si>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</si>
  <si>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</si>
  <si>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</si>
  <si>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</si>
  <si>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</si>
  <si>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</si>
  <si>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</si>
  <si>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</si>
  <si>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</si>
  <si>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</si>
  <si>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</si>
  <si>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</si>
  <si>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</si>
  <si>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</si>
  <si>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</si>
  <si>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</si>
  <si>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</si>
  <si>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</si>
  <si>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</si>
  <si>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</si>
  <si>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</si>
  <si>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</si>
  <si>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</si>
  <si>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</si>
  <si>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</si>
  <si>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</si>
  <si>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</si>
  <si>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</si>
  <si>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</si>
  <si>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</si>
  <si>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</si>
  <si>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</si>
  <si>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</si>
  <si>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</si>
  <si>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</si>
  <si>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</si>
  <si>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</si>
  <si>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</si>
  <si>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</si>
  <si>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</si>
  <si>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</si>
  <si>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</si>
  <si>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</si>
  <si>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</si>
  <si>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</si>
  <si>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</si>
  <si>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</si>
  <si>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</si>
  <si>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</si>
  <si>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</si>
  <si>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</si>
  <si>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</si>
  <si>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</si>
  <si>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</si>
  <si>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</si>
  <si>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</si>
  <si>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</si>
  <si>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</si>
  <si>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</si>
  <si>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</si>
  <si>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</si>
  <si>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</si>
  <si>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</si>
  <si>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</si>
  <si>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</si>
  <si>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</si>
  <si>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</si>
  <si>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</si>
  <si>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</si>
  <si>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</si>
  <si>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</si>
  <si>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</si>
  <si>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</si>
  <si>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</si>
  <si>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</si>
  <si>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</si>
  <si>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</si>
  <si>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</si>
  <si>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</si>
  <si>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</si>
  <si>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</si>
  <si>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</si>
  <si>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</si>
  <si>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</si>
  <si>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</si>
  <si>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</si>
  <si>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</si>
  <si>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</si>
  <si>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</si>
  <si>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</si>
  <si>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</si>
  <si>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</si>
  <si>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</si>
  <si>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</si>
  <si>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</si>
  <si>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</si>
  <si>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</si>
  <si>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</si>
  <si>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</si>
  <si>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</si>
  <si>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</si>
  <si>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</si>
  <si>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</si>
  <si>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</si>
  <si>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</si>
  <si>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</si>
  <si>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</si>
  <si>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</si>
  <si>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</si>
  <si>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</si>
  <si>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</si>
  <si>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</si>
  <si>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</si>
  <si>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</si>
  <si>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</si>
  <si>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</si>
  <si>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</si>
  <si>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</si>
  <si>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</si>
  <si>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</si>
  <si>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</si>
  <si>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</si>
  <si>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</si>
  <si>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</si>
  <si>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</si>
  <si>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</si>
  <si>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</si>
  <si>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</si>
  <si>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</si>
  <si>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</si>
  <si>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</si>
  <si>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</si>
  <si>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</si>
  <si>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</si>
  <si>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</si>
  <si>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</si>
  <si>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</si>
  <si>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</si>
  <si>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</si>
  <si>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</si>
  <si>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</si>
  <si>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</si>
  <si>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</si>
  <si>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</si>
  <si>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</si>
  <si>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</si>
  <si>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</si>
  <si>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</si>
  <si>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</si>
  <si>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</si>
  <si>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</si>
  <si>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</si>
  <si>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</si>
  <si>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</si>
  <si>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</si>
  <si>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</si>
  <si>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</si>
  <si>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</si>
  <si>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</si>
  <si>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</si>
  <si>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</si>
  <si>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</si>
  <si>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</si>
  <si>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</si>
  <si>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</si>
  <si>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</si>
  <si>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</si>
  <si>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</si>
  <si>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</si>
  <si>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</si>
  <si>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</si>
  <si>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</si>
  <si>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</si>
  <si>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</si>
  <si>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</si>
  <si>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</si>
  <si>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</si>
  <si>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</si>
  <si>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</si>
  <si>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</si>
  <si>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</si>
  <si>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</si>
  <si>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</si>
  <si>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</si>
  <si>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</si>
  <si>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</si>
  <si>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</si>
  <si>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</si>
  <si>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</si>
  <si>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</si>
  <si>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</si>
  <si>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</si>
  <si>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</si>
  <si>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</si>
  <si>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</si>
  <si>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</si>
  <si>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</si>
  <si>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</si>
  <si>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</si>
  <si>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</si>
  <si>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</si>
  <si>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</si>
  <si>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</si>
  <si>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</si>
  <si>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</si>
  <si>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</si>
  <si>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</si>
  <si>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</si>
  <si>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</si>
  <si>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</si>
  <si>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</si>
  <si>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</si>
  <si>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</si>
  <si>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</si>
  <si>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</si>
  <si>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</si>
  <si>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</si>
  <si>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</si>
  <si>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</si>
  <si>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</si>
  <si>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</si>
  <si>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</si>
  <si>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</si>
  <si>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</si>
  <si>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</si>
  <si>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</si>
  <si>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</si>
  <si>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</si>
  <si>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</si>
  <si>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</si>
  <si>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</si>
  <si>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</si>
  <si>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</si>
  <si>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</si>
  <si>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</si>
  <si>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</si>
  <si>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</si>
  <si>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</si>
  <si>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</si>
  <si>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</si>
  <si>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</si>
  <si>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</si>
  <si>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</si>
  <si>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</si>
  <si>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</si>
  <si>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</si>
  <si>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</si>
  <si>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</si>
  <si>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</si>
  <si>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</si>
  <si>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</si>
  <si>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</si>
  <si>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</si>
  <si>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</si>
  <si>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</si>
  <si>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</si>
  <si>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</si>
  <si>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</si>
  <si>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</si>
  <si>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</si>
  <si>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</si>
  <si>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</si>
  <si>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</si>
  <si>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</si>
  <si>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</si>
  <si>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</si>
  <si>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</si>
  <si>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</si>
  <si>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</si>
  <si>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</si>
  <si>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</si>
  <si>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</si>
  <si>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</si>
  <si>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</si>
  <si>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</si>
  <si>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</si>
  <si>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</si>
  <si>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</si>
  <si>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</si>
  <si>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</si>
  <si>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</si>
  <si>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</si>
  <si>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</si>
  <si>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</si>
  <si>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</si>
  <si>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</si>
  <si>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</si>
  <si>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</si>
  <si>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</si>
  <si>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</si>
  <si>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</si>
  <si>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</si>
  <si>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</si>
  <si>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</si>
  <si>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</si>
  <si>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</si>
  <si>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</si>
  <si>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</si>
  <si>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</si>
  <si>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</si>
  <si>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</si>
  <si>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</si>
  <si>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</si>
  <si>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</si>
  <si>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</si>
  <si>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</si>
  <si>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</si>
  <si>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</si>
  <si>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</si>
  <si>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</si>
  <si>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</si>
  <si>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</si>
  <si>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</si>
  <si>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</si>
  <si>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</si>
  <si>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</si>
  <si>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</si>
  <si>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</si>
  <si>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</si>
  <si>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</si>
  <si>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</si>
  <si>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</si>
  <si>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</si>
  <si>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</si>
  <si>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</si>
  <si>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</si>
  <si>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</si>
  <si>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</si>
  <si>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</si>
  <si>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</si>
  <si>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</si>
  <si>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</si>
  <si>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</si>
  <si>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</si>
  <si>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</si>
  <si>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</si>
  <si>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</si>
  <si>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</si>
  <si>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</si>
  <si>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</si>
  <si>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</si>
  <si>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</si>
  <si>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</si>
  <si>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</si>
  <si>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</si>
  <si>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</si>
  <si>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</si>
  <si>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</si>
  <si>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</si>
  <si>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</si>
  <si>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</si>
  <si>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</si>
  <si>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</si>
  <si>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</si>
  <si>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</si>
  <si>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</si>
  <si>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</si>
  <si>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</si>
  <si>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</si>
  <si>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</si>
  <si>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</si>
  <si>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</si>
  <si>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</si>
  <si>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</si>
  <si>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</si>
  <si>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</si>
  <si>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</si>
  <si>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</si>
  <si>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</si>
  <si>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</si>
  <si>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</si>
  <si>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</si>
  <si>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</si>
  <si>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</si>
  <si>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</si>
  <si>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</si>
  <si>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</si>
  <si>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</si>
  <si>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</si>
  <si>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</si>
  <si>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</si>
  <si>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</si>
  <si>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</si>
  <si>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</si>
  <si>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</si>
  <si>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</si>
  <si>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</si>
  <si>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</si>
  <si>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</si>
  <si>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</si>
  <si>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</si>
  <si>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</si>
  <si>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</si>
  <si>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</si>
  <si>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</si>
  <si>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</si>
  <si>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</si>
  <si>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</si>
  <si>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</si>
  <si>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</si>
  <si>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</si>
  <si>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</si>
  <si>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</si>
  <si>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</si>
  <si>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</si>
  <si>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</si>
  <si>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</si>
  <si>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</si>
  <si>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</si>
  <si>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</si>
  <si>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</si>
  <si>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</si>
  <si>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</si>
  <si>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</si>
  <si>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</si>
  <si>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</si>
  <si>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</si>
  <si>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</si>
  <si>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</si>
  <si>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</si>
  <si>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</si>
  <si>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</si>
  <si>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</si>
  <si>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</si>
  <si>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</si>
  <si>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</si>
  <si>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</si>
  <si>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</si>
  <si>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</si>
  <si>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</si>
  <si>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</si>
  <si>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</si>
  <si>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</si>
  <si>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</si>
  <si>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</si>
  <si>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</si>
  <si>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</si>
  <si>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</si>
  <si>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</si>
  <si>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</si>
  <si>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</si>
  <si>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</si>
  <si>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</si>
  <si>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</si>
  <si>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</si>
  <si>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</si>
  <si>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</si>
  <si>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</si>
  <si>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</si>
  <si>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</si>
  <si>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</si>
  <si>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</si>
  <si>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</si>
  <si>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</si>
  <si>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</si>
  <si>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</si>
  <si>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</si>
  <si>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</si>
  <si>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</si>
  <si>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</si>
  <si>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</si>
  <si>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</si>
  <si>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</si>
  <si>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</si>
  <si>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</si>
  <si>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</si>
  <si>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</si>
  <si>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</si>
  <si>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</si>
  <si>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</si>
  <si>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</si>
  <si>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</si>
  <si>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</si>
  <si>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</si>
  <si>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</si>
  <si>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</si>
  <si>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</si>
  <si>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</si>
  <si>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</si>
  <si>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</si>
  <si>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</si>
  <si>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</si>
  <si>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</si>
  <si>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</si>
  <si>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</si>
  <si>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</si>
  <si>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</si>
  <si>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</si>
  <si>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</si>
  <si>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</si>
  <si>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</si>
  <si>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</si>
  <si>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</si>
  <si>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</si>
  <si>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</si>
  <si>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</si>
  <si>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</si>
  <si>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</si>
  <si>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</si>
  <si>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</si>
  <si>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</si>
  <si>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</si>
  <si>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</si>
  <si>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</si>
  <si>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</si>
  <si>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</si>
  <si>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</si>
  <si>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</si>
  <si>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</si>
  <si>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</si>
  <si>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</si>
  <si>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</si>
  <si>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</si>
  <si>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</si>
  <si>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</si>
  <si>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</si>
  <si>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</si>
  <si>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</si>
  <si>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</si>
  <si>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</si>
  <si>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</si>
  <si>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</si>
  <si>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</si>
  <si>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</si>
  <si>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</si>
  <si>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</si>
  <si>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</si>
  <si>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</si>
  <si>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</si>
  <si>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</si>
  <si>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</si>
  <si>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</si>
  <si>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</si>
  <si>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</si>
  <si>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</si>
  <si>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</si>
  <si>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</si>
  <si>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</si>
  <si>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</si>
  <si>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</si>
  <si>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</si>
  <si>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</si>
  <si>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</si>
  <si>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</si>
  <si>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</si>
  <si>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</si>
  <si>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</si>
  <si>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</si>
  <si>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</si>
  <si>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</si>
  <si>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</si>
  <si>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</si>
  <si>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</si>
  <si>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</si>
  <si>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</si>
  <si>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</si>
  <si>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</si>
  <si>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</si>
  <si>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</si>
  <si>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</si>
  <si>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</si>
  <si>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</si>
  <si>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</si>
  <si>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</si>
  <si>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</si>
  <si>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</si>
  <si>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</si>
  <si>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</si>
  <si>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</si>
  <si>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</si>
  <si>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</si>
  <si>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</si>
  <si>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</si>
  <si>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</si>
  <si>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</si>
  <si>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</si>
  <si>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</si>
  <si>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</si>
  <si>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</si>
  <si>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</si>
  <si>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</si>
  <si>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</si>
  <si>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</si>
  <si>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</si>
  <si>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</si>
  <si>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</si>
  <si>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</si>
  <si>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</si>
  <si>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</si>
  <si>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</si>
  <si>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</si>
  <si>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</si>
  <si>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</si>
  <si>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</si>
  <si>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</si>
  <si>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</si>
  <si>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</si>
  <si>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</si>
  <si>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</si>
  <si>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</si>
  <si>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</si>
  <si>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</si>
  <si>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</si>
  <si>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</si>
  <si>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</si>
  <si>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</si>
  <si>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</si>
  <si>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</si>
  <si>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</si>
  <si>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</si>
  <si>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</si>
  <si>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</si>
  <si>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</si>
  <si>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</si>
  <si>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</si>
  <si>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</si>
  <si>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</si>
  <si>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</si>
  <si>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</si>
  <si>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</si>
  <si>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</si>
  <si>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</si>
  <si>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</si>
  <si>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</si>
  <si>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</si>
  <si>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</si>
  <si>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</si>
  <si>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</si>
  <si>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</si>
  <si>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</si>
  <si>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</si>
  <si>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</si>
  <si>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</si>
  <si>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</si>
  <si>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</si>
  <si>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</si>
  <si>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</si>
  <si>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</si>
  <si>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</si>
  <si>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</si>
  <si>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</si>
  <si>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</si>
  <si>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</si>
  <si>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</si>
  <si>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</si>
  <si>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</si>
  <si>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</si>
  <si>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</si>
  <si>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</si>
  <si>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</si>
  <si>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</si>
  <si>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</si>
  <si>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</si>
  <si>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</si>
  <si>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</si>
  <si>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</si>
  <si>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</si>
  <si>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</si>
  <si>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</si>
  <si>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</si>
  <si>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</si>
  <si>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</si>
  <si>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</si>
  <si>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</si>
  <si>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</si>
  <si>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</si>
  <si>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</si>
  <si>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</si>
  <si>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</si>
  <si>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</si>
  <si>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</si>
  <si>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</si>
  <si>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</si>
  <si>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</si>
  <si>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</si>
  <si>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</si>
  <si>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</si>
  <si>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</si>
  <si>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</si>
  <si>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</si>
  <si>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</si>
  <si>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</si>
  <si>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</si>
  <si>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</si>
  <si>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</si>
  <si>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</si>
  <si>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</si>
  <si>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</si>
  <si>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</si>
  <si>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</si>
  <si>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</si>
  <si>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</si>
  <si>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</si>
  <si>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</si>
  <si>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</si>
  <si>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</si>
  <si>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</si>
  <si>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</si>
  <si>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</si>
  <si>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</si>
  <si>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</si>
  <si>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</si>
  <si>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</si>
  <si>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</si>
  <si>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</si>
  <si>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</si>
  <si>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</si>
  <si>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</si>
  <si>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</si>
  <si>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</si>
  <si>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</si>
  <si>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</si>
  <si>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</si>
  <si>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</si>
  <si>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</si>
  <si>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</si>
  <si>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</si>
  <si>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</si>
  <si>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</si>
  <si>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</si>
  <si>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</si>
  <si>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</si>
  <si>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</si>
  <si>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</si>
  <si>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</si>
  <si>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</si>
  <si>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</si>
  <si>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</si>
  <si>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</si>
  <si>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</si>
  <si>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</si>
  <si>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</si>
  <si>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</si>
  <si>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</si>
  <si>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</si>
  <si>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</si>
  <si>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</si>
  <si>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</si>
  <si>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</si>
  <si>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</si>
  <si>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</si>
  <si>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</si>
  <si>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</si>
  <si>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</si>
  <si>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</si>
  <si>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</si>
  <si>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</si>
  <si>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</si>
  <si>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</si>
  <si>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</si>
  <si>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</si>
  <si>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</si>
  <si>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</si>
  <si>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</si>
  <si>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</si>
  <si>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</si>
  <si>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</si>
  <si>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</si>
  <si>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</si>
  <si>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</si>
  <si>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</si>
  <si>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</si>
  <si>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</si>
  <si>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</si>
  <si>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</si>
  <si>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</si>
  <si>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</si>
  <si>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</si>
  <si>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</si>
  <si>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</si>
  <si>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</si>
  <si>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</si>
  <si>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</si>
  <si>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</si>
  <si>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</si>
  <si>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</si>
  <si>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</si>
  <si>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</si>
  <si>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</si>
  <si>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</si>
  <si>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</si>
  <si>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</si>
  <si>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</si>
  <si>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</si>
  <si>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</si>
  <si>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</si>
  <si>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</si>
  <si>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</si>
  <si>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</si>
  <si>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</si>
  <si>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</si>
  <si>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</si>
  <si>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</si>
  <si>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</si>
  <si>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</si>
  <si>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</si>
  <si>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</si>
  <si>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</si>
  <si>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</si>
  <si>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</si>
  <si>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</si>
  <si>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</si>
  <si>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</si>
  <si>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</si>
  <si>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</si>
  <si>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</si>
  <si>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</si>
  <si>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</si>
  <si>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</si>
  <si>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</si>
  <si>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</si>
  <si>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</si>
  <si>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</si>
  <si>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</si>
  <si>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</si>
  <si>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</si>
  <si>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</si>
  <si>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</si>
  <si>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</si>
  <si>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</si>
  <si>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</si>
  <si>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</si>
  <si>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</si>
  <si>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</si>
  <si>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</si>
  <si>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</si>
  <si>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</si>
  <si>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</si>
  <si>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</si>
  <si>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</si>
  <si>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</si>
  <si>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</si>
  <si>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</si>
  <si>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</si>
  <si>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</si>
  <si>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</si>
  <si>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</si>
  <si>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</si>
  <si>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</si>
  <si>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</si>
  <si>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</si>
  <si>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</si>
  <si>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</si>
  <si>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</si>
  <si>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</si>
  <si>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</si>
  <si>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</si>
  <si>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</si>
  <si>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</si>
  <si>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</si>
  <si>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</si>
  <si>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</si>
  <si>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</si>
  <si>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</si>
  <si>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</si>
  <si>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</si>
  <si>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</si>
  <si>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</si>
  <si>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</si>
  <si>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</si>
  <si>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</si>
  <si>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</si>
  <si>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Column70</t>
  </si>
  <si>
    <t>Column71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</si>
  <si>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</si>
  <si>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</si>
  <si>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</si>
  <si>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</si>
  <si>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</si>
  <si>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</si>
  <si>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</si>
  <si>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kg</t>
  </si>
  <si>
    <t>Q:\Trabalhos em Andamento\Arthur Boff\8. Planilhas\12.1. Cadastros Novos P01 (Estruturas)\2020-05-01_AB_Estrutura P01 (TUBO CORT RET 25X35X3,00X2400 BQ).xlsm</t>
  </si>
  <si>
    <t>TUBO CORT RET 25X35X3,00X2400 BQ</t>
  </si>
  <si>
    <t>F058100000161</t>
  </si>
  <si>
    <t>6,2329999999999997</t>
  </si>
  <si>
    <t>510101000101</t>
  </si>
  <si>
    <t>TUBO 1.1/2</t>
  </si>
  <si>
    <t>102</t>
  </si>
  <si>
    <t>F000783007250</t>
  </si>
  <si>
    <t>43,37-</t>
  </si>
  <si>
    <t>6053,75</t>
  </si>
  <si>
    <t>2500</t>
  </si>
  <si>
    <t>Meincol 2</t>
  </si>
  <si>
    <t>old</t>
  </si>
  <si>
    <t>TUBO RET 25X35X3,00X7250 BQ S355J2</t>
  </si>
  <si>
    <t>F058210001019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</si>
</sst>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Trebuchet MS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2">
    <xf numFmtId="0" fontId="0" fillId="0" borderId="0"/>
    <xf numFmtId="0" fontId="1" fillId="0" borderId="0"/>
  </cellStyleXfs>
  <cellXfs count="94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2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13"/>
      <tableStyleElement type="headerRow" dxfId="2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72" unboundColumnsRight="1">
    <queryTableFields count="71">
      <queryTableField id="1" name="PJT" tableColumnId="356"/>
      <queryTableField id="2" name="STS" tableColumnId="357"/>
      <queryTableField id="3" name="Código P01" tableColumnId="358"/>
      <queryTableField id="4" name="Descrição P01" tableColumnId="359"/>
      <queryTableField id="5" name="Modelo" tableColumnId="360"/>
      <queryTableField id="6" name="Descrição do Modelo" tableColumnId="361"/>
      <queryTableField id="7" name="Centro" tableColumnId="362"/>
      <queryTableField id="8" name="Comprimento_x000a_Final" tableColumnId="363"/>
      <queryTableField id="9" name="Peso Kg/m" tableColumnId="364"/>
      <queryTableField id="10" name="KG/PC" tableColumnId="365"/>
      <queryTableField id="11" name="Hierarquia 1" tableColumnId="366"/>
      <queryTableField id="12" name="Hierarquia 2" tableColumnId="367"/>
      <queryTableField id="13" name="Hierarquia 3" tableColumnId="368"/>
      <queryTableField id="14" name="Hierarquia 4" tableColumnId="369"/>
      <queryTableField id="15" name="Hierarquia 5" tableColumnId="370"/>
      <queryTableField id="16" name="Hierarquia Final" tableColumnId="371"/>
      <queryTableField id="17" name="GrPMerc." tableColumnId="372"/>
      <queryTableField id="18" name="Bitola de Produção_x000a_          Descrição" tableColumnId="373"/>
      <queryTableField id="19" name="N° SAP da Bitola" tableColumnId="374"/>
      <queryTableField id="20" name="Unidade de Venda" tableColumnId="375"/>
      <queryTableField id="21" name="NCM" tableColumnId="376"/>
      <queryTableField id="22" name="Peças por _x000a_Amarrado" tableColumnId="377"/>
      <queryTableField id="23" name="Centro de trabalho" tableColumnId="378"/>
      <queryTableField id="24" name="Tempo_x000a_Setup" tableColumnId="379"/>
      <queryTableField id="25" name="Tempo de_x000a_Operação" tableColumnId="380"/>
      <queryTableField id="26" name="Perda de _x000a_Processo" tableColumnId="381"/>
      <queryTableField id="27" name="Código do componente" tableColumnId="382"/>
      <queryTableField id="28" name="Comprimento _x000a_do Multiplo" tableColumnId="383"/>
      <queryTableField id="29" name="Perda em Kg para fabricar 1000 peças do tubo cortado (perda inerente)" tableColumnId="384"/>
      <queryTableField id="30" name="Quantidade em metros para fabricar 1000 peças + perda de processo" tableColumnId="385"/>
      <queryTableField id="31" name="Quantidade em peças para fabricar 1000 peças + perda de processo" tableColumnId="386"/>
      <queryTableField id="32" name="DADOS AO" tableColumnId="387"/>
      <queryTableField id="33" name="Chave LNTR" tableColumnId="388"/>
      <queryTableField id="34" name="Espessura nominal" tableColumnId="389"/>
      <queryTableField id="35" name="Laminação" tableColumnId="390"/>
      <queryTableField id="36" name="MTH?_x000a_MTL?" tableColumnId="391"/>
      <queryTableField id="37" name="Espessura Mínima" tableColumnId="392"/>
      <queryTableField id="38" name="Espessura Máxima" tableColumnId="393"/>
      <queryTableField id="39" name="Máquina" tableColumnId="394"/>
      <queryTableField id="40" name="Mapa/Plano de montagem" tableColumnId="395"/>
      <queryTableField id="41" name="Velocidade_x000a_(m/hr)" tableColumnId="396"/>
      <queryTableField id="42" name="Nave" tableColumnId="397"/>
      <queryTableField id="43" name="Tempo de _x000a_pré-instalação" tableColumnId="398"/>
      <queryTableField id="44" name="Sucata (m)" tableColumnId="399"/>
      <queryTableField id="45" name="Perda (%)" tableColumnId="400"/>
      <queryTableField id="46" name="Largura da tira" tableColumnId="401"/>
      <queryTableField id="47" name="Bobina_x000a_ configuravel?" tableColumnId="402"/>
      <queryTableField id="48" name="Largura ideal" tableColumnId="403"/>
      <queryTableField id="49" name="Velocidade_x000a_3000 até 4999" tableColumnId="404"/>
      <queryTableField id="50" name="Velocidade_x000a_5000 até 8000" tableColumnId="405"/>
      <queryTableField id="51" name="Velocidade_x000a_8001 até 14000" tableColumnId="406"/>
      <queryTableField id="52" name="DADOS LNP" tableColumnId="407"/>
      <queryTableField id="53" name="Cliente" tableColumnId="408"/>
      <queryTableField id="54" name="Preço de terceirização " tableColumnId="409"/>
      <queryTableField id="55" name="Centro de Produção" tableColumnId="410"/>
      <queryTableField id="56" name="Column56" tableColumnId="411"/>
      <queryTableField id="57" name="Depósito de produção" tableColumnId="412"/>
      <queryTableField id="58" name="Column58" tableColumnId="413"/>
      <queryTableField id="59" name="Canal de Distribuição" tableColumnId="414"/>
      <queryTableField id="60" name="Column60" tableColumnId="415"/>
      <queryTableField id="61" name="Setor de Atividade" tableColumnId="416"/>
      <queryTableField id="62" name="Column62" tableColumnId="417"/>
      <queryTableField id="63" name="Níveis Organizacionais SAP" tableColumnId="418"/>
      <queryTableField id="64" name="Tipo de Material PROF" tableColumnId="419"/>
      <queryTableField id="65" name="Geometria CHAR" tableColumnId="420"/>
      <queryTableField id="66" name="Espessura CHAR" tableColumnId="421"/>
      <queryTableField id="67" name="Raspagem Interna?" tableColumnId="422"/>
      <queryTableField id="68" name="Metalização?" tableColumnId="423"/>
      <queryTableField id="69" name="DADOS VARIANT" tableColumnId="424"/>
      <queryTableField id="70" name="Column70" tableColumnId="425"/>
      <queryTableField id="71" dataBound="0" tableColumnId="4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BS4" tableType="queryTable" totalsRowCount="1">
  <autoFilter ref="A1:BS3">
    <filterColumn colId="1">
      <filters>
        <filter val="NEW"/>
      </filters>
    </filterColumn>
  </autoFilter>
  <tableColumns count="71">
    <tableColumn id="356" uniqueName="356" name="PJT" totalsRowLabel="Total" queryTableFieldId="1" dataDxfId="74"/>
    <tableColumn id="357" uniqueName="357" name="STS" queryTableFieldId="2" dataDxfId="73"/>
    <tableColumn id="358" uniqueName="358" name="Código P01" queryTableFieldId="3" dataDxfId="72"/>
    <tableColumn id="359" uniqueName="359" name="Descrição P01" queryTableFieldId="4" dataDxfId="71"/>
    <tableColumn id="360" uniqueName="360" name="Modelo" queryTableFieldId="5" dataDxfId="70"/>
    <tableColumn id="361" uniqueName="361" name="Descrição do Modelo" queryTableFieldId="6" dataDxfId="69"/>
    <tableColumn id="362" uniqueName="362" name="Centro" queryTableFieldId="7" dataDxfId="68"/>
    <tableColumn id="363" uniqueName="363" name="Comprimento_x000a_Final" queryTableFieldId="8" dataDxfId="67"/>
    <tableColumn id="364" uniqueName="364" name="Peso Kg/m" queryTableFieldId="9" dataDxfId="66"/>
    <tableColumn id="365" uniqueName="365" name="KG/PC" queryTableFieldId="10" dataDxfId="65"/>
    <tableColumn id="366" uniqueName="366" name="Hierarquia 1" queryTableFieldId="11" dataDxfId="64"/>
    <tableColumn id="367" uniqueName="367" name="Hierarquia 2" queryTableFieldId="12" dataDxfId="63"/>
    <tableColumn id="368" uniqueName="368" name="Hierarquia 3" queryTableFieldId="13" dataDxfId="62"/>
    <tableColumn id="369" uniqueName="369" name="Hierarquia 4" queryTableFieldId="14" dataDxfId="61"/>
    <tableColumn id="370" uniqueName="370" name="Hierarquia 5" queryTableFieldId="15" dataDxfId="60"/>
    <tableColumn id="371" uniqueName="371" name="Hierarquia Final" queryTableFieldId="16" dataDxfId="59"/>
    <tableColumn id="372" uniqueName="372" name="GrPMerc." queryTableFieldId="17" dataDxfId="58"/>
    <tableColumn id="373" uniqueName="373" name="Bitola de Produção_x000a_          Descrição" queryTableFieldId="18" dataDxfId="57"/>
    <tableColumn id="374" uniqueName="374" name="N° SAP da Bitola" queryTableFieldId="19" dataDxfId="56"/>
    <tableColumn id="375" uniqueName="375" name="Unidade de Venda" queryTableFieldId="20" dataDxfId="55"/>
    <tableColumn id="376" uniqueName="376" name="NCM" queryTableFieldId="21" dataDxfId="54"/>
    <tableColumn id="377" uniqueName="377" name="Peças por _x000a_Amarrado" queryTableFieldId="22" dataDxfId="53"/>
    <tableColumn id="378" uniqueName="378" name="Centro de trabalho" queryTableFieldId="23" dataDxfId="52"/>
    <tableColumn id="379" uniqueName="379" name="Tempo_x000a_Setup" queryTableFieldId="24" dataDxfId="51"/>
    <tableColumn id="380" uniqueName="380" name="Tempo de_x000a_Operação" queryTableFieldId="25" dataDxfId="50"/>
    <tableColumn id="381" uniqueName="381" name="Perda de _x000a_Processo" queryTableFieldId="26" dataDxfId="49"/>
    <tableColumn id="382" uniqueName="382" name="Código do componente" queryTableFieldId="27" dataDxfId="48"/>
    <tableColumn id="383" uniqueName="383" name="Comprimento _x000a_do Multiplo" queryTableFieldId="28" dataDxfId="47"/>
    <tableColumn id="384" uniqueName="384" name="Perda em Kg para fabricar 1000 peças do tubo cortado (perda inerente)" queryTableFieldId="29" dataDxfId="46"/>
    <tableColumn id="385" uniqueName="385" name="Quantidade em metros para fabricar 1000 peças + perda de processo" queryTableFieldId="30" dataDxfId="45"/>
    <tableColumn id="386" uniqueName="386" name="Quantidade em peças para fabricar 1000 peças + perda de processo" queryTableFieldId="31" dataDxfId="44"/>
    <tableColumn id="387" uniqueName="387" name="DADOS AO" queryTableFieldId="32" dataDxfId="43"/>
    <tableColumn id="388" uniqueName="388" name="Chave LNTR" queryTableFieldId="33" dataDxfId="42"/>
    <tableColumn id="389" uniqueName="389" name="Espessura nominal" queryTableFieldId="34" dataDxfId="41"/>
    <tableColumn id="390" uniqueName="390" name="Laminação" queryTableFieldId="35" dataDxfId="40"/>
    <tableColumn id="391" uniqueName="391" name="MTH?_x000a_MTL?" queryTableFieldId="36" dataDxfId="39"/>
    <tableColumn id="392" uniqueName="392" name="Espessura Mínima" queryTableFieldId="37" dataDxfId="38"/>
    <tableColumn id="393" uniqueName="393" name="Espessura Máxima" queryTableFieldId="38" dataDxfId="37"/>
    <tableColumn id="394" uniqueName="394" name="Máquina" queryTableFieldId="39" dataDxfId="36"/>
    <tableColumn id="395" uniqueName="395" name="Mapa/Plano de montagem" queryTableFieldId="40" dataDxfId="35"/>
    <tableColumn id="396" uniqueName="396" name="Velocidade_x000a_(m/hr)" queryTableFieldId="41" dataDxfId="34"/>
    <tableColumn id="397" uniqueName="397" name="Nave" queryTableFieldId="42" dataDxfId="33"/>
    <tableColumn id="398" uniqueName="398" name="Tempo de _x000a_pré-instalação" queryTableFieldId="43" dataDxfId="32"/>
    <tableColumn id="399" uniqueName="399" name="Sucata (m)" queryTableFieldId="44" dataDxfId="31"/>
    <tableColumn id="400" uniqueName="400" name="Perda (%)" queryTableFieldId="45" dataDxfId="30"/>
    <tableColumn id="401" uniqueName="401" name="Largura da tira" queryTableFieldId="46" dataDxfId="29"/>
    <tableColumn id="402" uniqueName="402" name="Bobina_x000a_ configuravel?" queryTableFieldId="47" dataDxfId="28"/>
    <tableColumn id="403" uniqueName="403" name="Largura ideal" queryTableFieldId="48" dataDxfId="27"/>
    <tableColumn id="404" uniqueName="404" name="Velocidade_x000a_3000 até 4999" queryTableFieldId="49" dataDxfId="26"/>
    <tableColumn id="405" uniqueName="405" name="Velocidade_x000a_5000 até 8000" queryTableFieldId="50" dataDxfId="25"/>
    <tableColumn id="406" uniqueName="406" name="Velocidade_x000a_8001 até 14000" queryTableFieldId="51" dataDxfId="24"/>
    <tableColumn id="407" uniqueName="407" name="DADOS LNP" queryTableFieldId="52" dataDxfId="23"/>
    <tableColumn id="408" uniqueName="408" name="Cliente" queryTableFieldId="53" dataDxfId="22"/>
    <tableColumn id="409" uniqueName="409" name="Preço de terceirização " queryTableFieldId="54" dataDxfId="21"/>
    <tableColumn id="410" uniqueName="410" name="Centro de Produção" queryTableFieldId="55" dataDxfId="20"/>
    <tableColumn id="411" uniqueName="411" name="Column56" queryTableFieldId="56" dataDxfId="19"/>
    <tableColumn id="412" uniqueName="412" name="Depósito de produção" queryTableFieldId="57" dataDxfId="18"/>
    <tableColumn id="413" uniqueName="413" name="Column58" queryTableFieldId="58" dataDxfId="17"/>
    <tableColumn id="414" uniqueName="414" name="Canal de Distribuição" queryTableFieldId="59" dataDxfId="16"/>
    <tableColumn id="415" uniqueName="415" name="Column60" queryTableFieldId="60" dataDxfId="15"/>
    <tableColumn id="416" uniqueName="416" name="Setor de Atividade" queryTableFieldId="61" dataDxfId="14"/>
    <tableColumn id="417" uniqueName="417" name="Column62" queryTableFieldId="62" dataDxfId="13"/>
    <tableColumn id="418" uniqueName="418" name="Níveis Organizacionais SAP" queryTableFieldId="63" dataDxfId="12"/>
    <tableColumn id="419" uniqueName="419" name="Tipo de Material PROF" queryTableFieldId="64" dataDxfId="11"/>
    <tableColumn id="420" uniqueName="420" name="Geometria CHAR" queryTableFieldId="65" dataDxfId="10"/>
    <tableColumn id="421" uniqueName="421" name="Espessura CHAR" queryTableFieldId="66" dataDxfId="9"/>
    <tableColumn id="422" uniqueName="422" name="Raspagem Interna?" queryTableFieldId="67" dataDxfId="8"/>
    <tableColumn id="423" uniqueName="423" name="Metalização?" queryTableFieldId="68" dataDxfId="7"/>
    <tableColumn id="424" uniqueName="424" name="DADOS VARIANT" queryTableFieldId="69" dataDxfId="6"/>
    <tableColumn id="425" uniqueName="425" name="Column70" queryTableFieldId="70" dataDxfId="5"/>
    <tableColumn id="426" uniqueName="426" name="Column71" totalsRowFunction="count" queryTableFieldId="71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40"/>
  <sheetViews>
    <sheetView showGridLines="0" showRowColHeaders="0" tabSelected="1" workbookViewId="0">
      <pane xSplit="3" ySplit="4" topLeftCell="DZ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44" style="6" bestFit="1" customWidth="1"/>
    <col min="4" max="4" width="19.85546875" style="6" hidden="1" customWidth="1"/>
    <col min="5" max="5" width="26.28515625" style="6" hidden="1" customWidth="1"/>
    <col min="6" max="6" width="18.42578125" style="6" bestFit="1" customWidth="1"/>
    <col min="7" max="7" width="19.85546875" style="6" bestFit="1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bestFit="1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bestFit="1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bestFit="1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bestFit="1" customWidth="1" collapsed="1"/>
    <col min="66" max="67" width="23.140625" style="6" hidden="1" customWidth="1"/>
    <col min="68" max="68" width="16.42578125" style="6" customWidth="1"/>
    <col min="69" max="69" width="17" style="6" bestFit="1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bestFit="1" customWidth="1"/>
    <col min="84" max="84" width="16.7109375" style="6" bestFit="1" customWidth="1"/>
    <col min="85" max="85" width="17.5703125" style="6" bestFit="1" customWidth="1"/>
    <col min="86" max="86" width="19.85546875" style="6" bestFit="1" customWidth="1"/>
    <col min="87" max="87" width="16.140625" style="6" hidden="1" customWidth="1"/>
    <col min="88" max="88" width="20.140625" style="6" bestFit="1" customWidth="1"/>
    <col min="89" max="89" width="21.7109375" style="6" bestFit="1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bestFit="1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bestFit="1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bestFit="1" customWidth="1"/>
    <col min="132" max="16384" width="9.140625" style="1"/>
  </cols>
  <sheetData>
    <row r="1" spans="1:130" s="73" customFormat="1" x14ac:dyDescent="0.3">
      <c r="A1" s="7" t="s">
        <v>28</v>
      </c>
      <c r="O1" s="92" t="s">
        <v>170</v>
      </c>
      <c r="AQ1" s="92" t="s">
        <v>127</v>
      </c>
      <c r="BC1" s="73" t="s">
        <v>319</v>
      </c>
      <c r="BM1" s="90" t="s">
        <v>320</v>
      </c>
      <c r="BN1" s="90" t="s">
        <v>922</v>
      </c>
      <c r="BO1" s="72"/>
      <c r="DF1" s="92" t="s">
        <v>934</v>
      </c>
      <c r="DK1" s="90" t="s">
        <v>940</v>
      </c>
    </row>
    <row r="2" spans="1:130" s="41" customFormat="1" x14ac:dyDescent="0.3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2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2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0"/>
      <c r="BN2" s="90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2"/>
      <c r="DG2" s="73"/>
      <c r="DH2" s="73">
        <v>23</v>
      </c>
      <c r="DI2" s="73"/>
      <c r="DJ2" s="73"/>
      <c r="DK2" s="90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3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1" t="s">
        <v>155</v>
      </c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  <c r="AP3" s="91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3">
      <c r="A5" s="7" t="str">
        <f>"Execução "&amp;ROW()-4</f>
        <v>Execução 1</v>
      </c>
      <c r="B5" s="79"/>
      <c r="C5" s="85"/>
      <c r="D5" s="71" t="str">
        <f>IF(J5="","",J5)</f>
        <v/>
      </c>
      <c r="E5" s="71" t="str">
        <f>IF(F5="","",F5)</f>
        <v/>
      </c>
      <c r="F5" s="43" t="str">
        <f>IF(IFERROR(INDEX(Consulta!$A:$DD,MATCH('ZM01'!$C5,Consulta!$D:$D,0),'ZM01'!F$2),"")=0,"",IFERROR(INDEX(Consulta!$A:$DD,MATCH('ZM01'!$C5,Consulta!$D:$D,0),'ZM01'!F$2),""))</f>
        <v/>
      </c>
      <c r="G5" s="43" t="str">
        <f>IF(IFERROR(INDEX(Consulta!$A:$DD,MATCH('ZM01'!$C5,Consulta!$D:$D,0),'ZM01'!G$2),"")=0,"",IFERROR(INDEX(Consulta!$A:$DD,MATCH('ZM01'!$C5,Consulta!$D:$D,0),'ZM01'!G$2),""))</f>
        <v/>
      </c>
      <c r="H5" s="43" t="str">
        <f>IF(B5="","",B5)</f>
        <v/>
      </c>
      <c r="I5" s="44" t="s">
        <v>100</v>
      </c>
      <c r="J5" s="43" t="str">
        <f>IF(IFERROR(INDEX(Consulta!$A:$DD,MATCH('ZM01'!$C5,Consulta!$D:$D,0),'ZM01'!J$2),"")=0,"",IFERROR(INDEX(Consulta!$A:$DD,MATCH('ZM01'!$C5,Consulta!$D:$D,0),'ZM01'!J$2),""))</f>
        <v/>
      </c>
      <c r="K5" s="43" t="str">
        <f>IF(IFERROR(INDEX(Consulta!$A:$DD,MATCH('ZM01'!$C5,Consulta!$D:$D,0),'ZM01'!K$2),"")=0,"",IFERROR(INDEX(Consulta!$A:$DD,MATCH('ZM01'!$C5,Consulta!$D:$D,0),'ZM01'!K$2),""))</f>
        <v/>
      </c>
      <c r="L5" s="43" t="str">
        <f>J5</f>
        <v/>
      </c>
      <c r="M5" s="43" t="str">
        <f>IF(IFERROR(INDEX(Consulta!$A:$DD,MATCH('ZM01'!$C5,Consulta!$D:$D,0),'ZM01'!M$2),"")=0,"",IFERROR(INDEX(Consulta!$A:$DD,MATCH('ZM01'!$C5,Consulta!$D:$D,0),'ZM01'!M$2),""))</f>
        <v/>
      </c>
      <c r="N5" s="43" t="str">
        <f>RIGHT(J5,3)</f>
        <v/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IF(IFERROR(INDEX(Consulta!$A:$DD,MATCH('ZM01'!$C5,Consulta!$D:$D,0),'ZM01'!AS$2),"")=0,"",IFERROR(INDEX(Consulta!$A:$DD,MATCH('ZM01'!$C5,Consulta!$D:$D,0),'ZM01'!AS$2),""))</f>
        <v/>
      </c>
      <c r="AT5" s="45"/>
      <c r="AU5" s="43" t="str">
        <f>IF(IFERROR(INDEX(Consulta!$A:$DD,MATCH('ZM01'!$C5,Consulta!$D:$D,0),'ZM01'!AU$2),"")=0,"",IFERROR(INDEX(Consulta!$A:$DD,MATCH('ZM01'!$C5,Consulta!$D:$D,0),'ZM01'!AU$2),""))</f>
        <v/>
      </c>
      <c r="AV5" s="43" t="str">
        <f>IF(IFERROR(INDEX(Consulta!$A:$DD,MATCH('ZM01'!$C5,Consulta!$D:$D,0),'ZM01'!AV$2),"")=0,"",IFERROR(INDEX(Consulta!$A:$DD,MATCH('ZM01'!$C5,Consulta!$D:$D,0),'ZM01'!AV$2),""))</f>
        <v/>
      </c>
      <c r="AW5" s="45"/>
      <c r="AX5" s="46" t="str">
        <f ca="1">IF(AW5&lt;&gt;0,TEXT(TODAY(),"DD.MM.AAAA"),"")</f>
        <v/>
      </c>
      <c r="AY5" s="47" t="s">
        <v>755</v>
      </c>
      <c r="AZ5" s="43" t="str">
        <f>IF(IFERROR(ROUND(INDEX(Consulta!$A:$DD,MATCH('ZM01'!$C5,Consulta!$D:$D,0),'ZM01'!AZ$2),3),"")=0,"",IFERROR(ROUND(INDEX(Consulta!$A:$DD,MATCH('ZM01'!$C5,Consulta!$D:$D,0),'ZM01'!AZ$2),3),""))</f>
        <v/>
      </c>
      <c r="BA5" s="43" t="str">
        <f>IFERROR(IF(AZ5&lt;&gt;0,ROUND(AZ5,3),""),"")</f>
        <v/>
      </c>
      <c r="BB5" s="48" t="s">
        <v>299</v>
      </c>
      <c r="BC5" s="48"/>
      <c r="BD5" s="43" t="str">
        <f>IF(IFERROR(INDEX(Consulta!$A:$DD,MATCH('ZM01'!$C5,Consulta!$D:$D,0),'ZM01'!BD$2),"")=0,"",IFERROR(INDEX(Consulta!$A:$DD,MATCH('ZM01'!$C5,Consulta!$D:$D,0),'ZM01'!BD$2),""))</f>
        <v/>
      </c>
      <c r="BE5" s="43" t="str">
        <f t="shared" ref="BE5:BE40" si="0">IFERROR(IF(LEN(ROUND(AZ5,3)*1000)&gt;5,ROUND(AZ5,2)*100,ROUND(AZ5,3)*1000),"")</f>
        <v/>
      </c>
      <c r="BF5" s="43" t="str">
        <f>IF(BE5="","",BB5)</f>
        <v/>
      </c>
      <c r="BG5" s="43" t="str">
        <f t="shared" ref="BG5:BG40" si="1">IFERROR(IF(LEN(ROUND(AZ5,3)*1000)&gt;5,100,1000),"")</f>
        <v/>
      </c>
      <c r="BH5" s="43" t="str">
        <f>AR5</f>
        <v>PC</v>
      </c>
      <c r="BI5" s="43" t="str">
        <f>G5</f>
        <v/>
      </c>
      <c r="BJ5" s="43" t="str">
        <f>IF(BI5="","","M")</f>
        <v/>
      </c>
      <c r="BK5" s="43" t="str">
        <f>IF(BI5="","",1000)</f>
        <v/>
      </c>
      <c r="BL5" s="43" t="str">
        <f>AR5</f>
        <v>PC</v>
      </c>
      <c r="BN5" s="44"/>
      <c r="BO5" s="44" t="s">
        <v>925</v>
      </c>
      <c r="BP5" s="43" t="str">
        <f>IF(OR(IFERROR(INDEX(Consulta!$A:$DD,MATCH('ZM01'!$C5,Consulta!$D:$D,0),'ZM01'!BP$2),"")=0,IFERROR(INDEX(Consulta!$A:$DD,MATCH('ZM01'!$C5,Consulta!$D:$D,0),'ZM01'!BP$2),"")=AR5),"",IFERROR(INDEX(Consulta!$A:$DD,MATCH('ZM01'!$C5,Consulta!$D:$D,0),'ZM01'!BP$2),""))</f>
        <v/>
      </c>
      <c r="BQ5" s="45"/>
      <c r="BR5" s="46" t="str">
        <f ca="1">IF(BQ5&lt;&gt;0,TEXT(TODAY(),"DD.MM.AAAA"),"")</f>
        <v/>
      </c>
      <c r="BS5" s="49" t="str">
        <f>J5</f>
        <v/>
      </c>
      <c r="BT5" s="50">
        <v>1</v>
      </c>
      <c r="BU5" s="50" t="s">
        <v>194</v>
      </c>
      <c r="BV5" s="50" t="s">
        <v>194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IF(IFERROR(INDEX(Consulta!$A:$DD,MATCH('ZM01'!$C5,Consulta!$D:$D,0),'ZM01'!CB$2),"")=0,"",IFERROR(INDEX(Consulta!$A:$DD,MATCH('ZM01'!$C5,Consulta!$D:$D,0),'ZM01'!CB$2),""))</f>
        <v/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/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/>
      </c>
      <c r="CN5" s="49" t="str">
        <f>K5</f>
        <v/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</v>
      </c>
      <c r="CW5" s="43" t="str">
        <f>IF(OR(F5="MFER",F5="KMAT"),"INITIAL",IF(OR(F5="FERT",F5="HAWZ"),"0000999999",""))</f>
        <v/>
      </c>
      <c r="CX5" s="43" t="str">
        <f>IF(OR(F5="MFER",F5="KMAT"),"INIT",IF(OR(F5="FERT",F5="HAWZ"),"999999",""))</f>
        <v/>
      </c>
      <c r="CY5" s="44">
        <v>1</v>
      </c>
      <c r="CZ5" s="43" t="str">
        <f>IF(G5=0,"",G5)</f>
        <v/>
      </c>
      <c r="DA5" s="43" t="str">
        <f>IF(IFERROR(INDEX(Consulta!$A:$DD,MATCH('ZM01'!$C5,Consulta!$D:$D,0),'ZM01'!DA$2),"")=0,"",IFERROR(INDEX(Consulta!$A:$DD,MATCH('ZM01'!$C5,Consulta!$D:$D,0),'ZM01'!DA$2),""))</f>
        <v/>
      </c>
      <c r="DB5" s="43" t="str">
        <f>IF(IFERROR(INDEX(Consulta!$A:$DD,MATCH('ZM01'!$C5,Consulta!$D:$D,0),'ZM01'!DB$2),"")=0,"",IFERROR(INDEX(Consulta!$A:$DD,MATCH('ZM01'!$C5,Consulta!$D:$D,0),'ZM01'!DB$2),""))</f>
        <v/>
      </c>
      <c r="DC5" s="45">
        <v>0</v>
      </c>
      <c r="DD5" s="45">
        <v>0</v>
      </c>
      <c r="DE5" s="43" t="str">
        <f>IF(IFERROR(INDEX(Consulta!$A:$DD,MATCH('ZM01'!$C5,Consulta!$D:$D,0),'ZM01'!DE$2),"")=0,"",IFERROR(TEXT(VALUE(INDEX(Consulta!$A:$DD,MATCH('ZM01'!$C5,Consulta!$D:$D,0),'ZM01'!DE$2))/100,"0,00"),""))</f>
        <v/>
      </c>
      <c r="DG5" s="43">
        <f>IF(DH5&lt;&gt;0,1,"")</f>
        <v>1</v>
      </c>
      <c r="DH5" s="43" t="str">
        <f>IF(IFERROR(INDEX(Consulta!$A:$DD,MATCH('ZM01'!$C5,Consulta!$D:$D,0),'ZM01'!DH$2),"")=0,"",IFERROR(VLOOKUP(INDEX(Consulta!$A:$DD,MATCH('ZM01'!$C5,Consulta!$D:$D,0),'ZM01'!DH$2),'Listas de Dados'!BU:BW,3,0),""))</f>
        <v/>
      </c>
      <c r="DI5" s="43" t="str">
        <f ca="1">IF(DH5&lt;&gt;0,TEXT(TODAY(),"dd.mm.aaaa"),"")</f>
        <v>11.02.2022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 t="str">
        <f>IF(OR(F5="MFER",F5="KMAT",F5="DFER",F5="FERT"),7925,"")</f>
        <v/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/>
    </row>
    <row r="6" spans="1:130" x14ac:dyDescent="0.3">
      <c r="A6" s="7" t="str">
        <f t="shared" ref="A6:A40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IF(IFERROR(INDEX(Consulta!$A:$DD,MATCH('ZM01'!$C6,Consulta!$D:$D,0),'ZM01'!F$2),"")=0,"",IFERROR(INDEX(Consulta!$A:$DD,MATCH('ZM01'!$C6,Consulta!$D:$D,0),'ZM01'!F$2),""))</f>
        <v/>
      </c>
      <c r="G6" s="43" t="str">
        <f>IF(IFERROR(INDEX(Consulta!$A:$DD,MATCH('ZM01'!$C6,Consulta!$D:$D,0),'ZM01'!G$2),"")=0,"",IFERROR(INDEX(Consulta!$A:$DD,MATCH('ZM01'!$C6,Consulta!$D:$D,0),'ZM01'!G$2),""))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IF(IFERROR(INDEX(Consulta!$A:$DD,MATCH('ZM01'!$C6,Consulta!$D:$D,0),'ZM01'!J$2),"")=0,"",IFERROR(INDEX(Consulta!$A:$DD,MATCH('ZM01'!$C6,Consulta!$D:$D,0),'ZM01'!J$2),""))</f>
        <v/>
      </c>
      <c r="K6" s="43" t="str">
        <f>IF(IFERROR(INDEX(Consulta!$A:$DD,MATCH('ZM01'!$C6,Consulta!$D:$D,0),'ZM01'!K$2),"")=0,"",IFERROR(INDEX(Consulta!$A:$DD,MATCH('ZM01'!$C6,Consulta!$D:$D,0),'ZM01'!K$2),""))</f>
        <v/>
      </c>
      <c r="L6" s="43" t="str">
        <f t="shared" ref="L6:L7" si="5">J6</f>
        <v/>
      </c>
      <c r="M6" s="43" t="str">
        <f>IF(IFERROR(INDEX(Consulta!$A:$DD,MATCH('ZM01'!$C6,Consulta!$D:$D,0),'ZM01'!M$2),"")=0,"",IFERROR(INDEX(Consulta!$A:$DD,MATCH('ZM01'!$C6,Consulta!$D:$D,0),'ZM01'!M$2),""))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IF(IFERROR(INDEX(Consulta!$A:$DD,MATCH('ZM01'!$C6,Consulta!$D:$D,0),'ZM01'!AS$2),"")=0,"",IFERROR(INDEX(Consulta!$A:$DD,MATCH('ZM01'!$C6,Consulta!$D:$D,0),'ZM01'!AS$2),""))</f>
        <v/>
      </c>
      <c r="AT6" s="45"/>
      <c r="AU6" s="43" t="str">
        <f>IF(IFERROR(INDEX(Consulta!$A:$DD,MATCH('ZM01'!$C6,Consulta!$D:$D,0),'ZM01'!AU$2),"")=0,"",IFERROR(INDEX(Consulta!$A:$DD,MATCH('ZM01'!$C6,Consulta!$D:$D,0),'ZM01'!AU$2),""))</f>
        <v/>
      </c>
      <c r="AV6" s="43" t="str">
        <f>IF(IFERROR(INDEX(Consulta!$A:$DD,MATCH('ZM01'!$C6,Consulta!$D:$D,0),'ZM01'!AV$2),"")=0,"",IFERROR(INDEX(Consulta!$A:$DD,MATCH('ZM01'!$C6,Consulta!$D:$D,0),'ZM01'!AV$2),""))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IF(IFERROR(ROUND(INDEX(Consulta!$A:$DD,MATCH('ZM01'!$C6,Consulta!$D:$D,0),'ZM01'!AZ$2),3),"")=0,"",IFERROR(ROUND(INDEX(Consulta!$A:$DD,MATCH('ZM01'!$C6,Consulta!$D:$D,0),'ZM01'!AZ$2),3),""))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IF(IFERROR(INDEX(Consulta!$A:$DD,MATCH('ZM01'!$C6,Consulta!$D:$D,0),'ZM01'!BD$2),"")=0,"",IFERROR(INDEX(Consulta!$A:$DD,MATCH('ZM01'!$C6,Consulta!$D:$D,0),'ZM01'!BD$2),""))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IF(OR(IFERROR(INDEX(Consulta!$A:$DD,MATCH('ZM01'!$C6,Consulta!$D:$D,0),'ZM01'!BP$2),"")=0,IFERROR(INDEX(Consulta!$A:$DD,MATCH('ZM01'!$C6,Consulta!$D:$D,0),'ZM01'!BP$2),"")=AR6),"",IFERROR(INDEX(Consulta!$A:$DD,MATCH('ZM01'!$C6,Consulta!$D:$D,0),'ZM01'!BP$2),""))</f>
        <v/>
      </c>
      <c r="BQ6" s="45"/>
      <c r="BR6" s="46" t="str">
        <f t="shared" ref="BR6:BR7" ca="1" si="12">IF(BQ6&lt;&gt;0,TEXT(TODAY(),"DD.MM.AAAA"),"")</f>
        <v/>
      </c>
      <c r="BS6" s="49" t="str">
        <f t="shared" ref="BS6:BS7" si="13">J6</f>
        <v/>
      </c>
      <c r="BT6" s="50">
        <v>1</v>
      </c>
      <c r="BU6" s="50" t="s">
        <v>194</v>
      </c>
      <c r="BV6" s="50" t="s">
        <v>194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IF(IFERROR(INDEX(Consulta!$A:$DD,MATCH('ZM01'!$C6,Consulta!$D:$D,0),'ZM01'!CB$2),"")=0,"",IFERROR(INDEX(Consulta!$A:$DD,MATCH('ZM01'!$C6,Consulta!$D:$D,0),'ZM01'!CB$2),""))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40" si="14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5">K6</f>
        <v/>
      </c>
      <c r="CN6" s="49" t="str">
        <f t="shared" ref="CN6:CN7" si="16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IF(IFERROR(INDEX(Consulta!$A:$DD,MATCH('ZM01'!$C6,Consulta!$D:$D,0),'ZM01'!DA$2),"")=0,"",IFERROR(INDEX(Consulta!$A:$DD,MATCH('ZM01'!$C6,Consulta!$D:$D,0),'ZM01'!DA$2),""))</f>
        <v/>
      </c>
      <c r="DB6" s="43" t="str">
        <f>IF(IFERROR(INDEX(Consulta!$A:$DD,MATCH('ZM01'!$C6,Consulta!$D:$D,0),'ZM01'!DB$2),"")=0,"",IFERROR(INDEX(Consulta!$A:$DD,MATCH('ZM01'!$C6,Consulta!$D:$D,0),'ZM01'!DB$2),""))</f>
        <v/>
      </c>
      <c r="DC6" s="45">
        <v>0</v>
      </c>
      <c r="DD6" s="45">
        <v>0</v>
      </c>
      <c r="DE6" s="43" t="str">
        <f>IF(IFERROR(INDEX(Consulta!$A:$DD,MATCH('ZM01'!$C6,Consulta!$D:$D,0),'ZM01'!DE$2),"")=0,"",IFERROR(TEXT(VALUE(INDEX(Consulta!$A:$DD,MATCH('ZM01'!$C6,Consulta!$D:$D,0),'ZM01'!DE$2))/100,"0,00"),""))</f>
        <v/>
      </c>
      <c r="DG6" s="43">
        <f t="shared" ref="DG6:DG7" si="17">IF(DH6&lt;&gt;0,1,"")</f>
        <v>1</v>
      </c>
      <c r="DH6" s="43" t="str">
        <f>IF(IFERROR(INDEX(Consulta!$A:$DD,MATCH('ZM01'!$C6,Consulta!$D:$D,0),'ZM01'!DH$2),"")=0,"",IFERROR(VLOOKUP(INDEX(Consulta!$A:$DD,MATCH('ZM01'!$C6,Consulta!$D:$D,0),'ZM01'!DH$2),'Listas de Dados'!BU:BW,3,0),""))</f>
        <v/>
      </c>
      <c r="DI6" s="43" t="str">
        <f t="shared" ref="DI6:DI7" ca="1" si="18">IF(DH6&lt;&gt;0,TEXT(TODAY(),"dd.mm.aaaa"),"")</f>
        <v>11.02.2022</v>
      </c>
      <c r="DJ6" s="43" t="str">
        <f t="shared" ref="DJ6:DJ7" si="19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40" si="20">IF(CJ6="F",IF(AND(CK6=30,CK6="Z1"),1,0),1)</f>
        <v>1</v>
      </c>
      <c r="DT6" s="43">
        <f t="shared" ref="DT6:DT7" si="21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3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IF(IFERROR(INDEX(Consulta!$A:$DD,MATCH('ZM01'!$C7,Consulta!$D:$D,0),'ZM01'!F$2),"")=0,"",IFERROR(INDEX(Consulta!$A:$DD,MATCH('ZM01'!$C7,Consulta!$D:$D,0),'ZM01'!F$2),""))</f>
        <v/>
      </c>
      <c r="G7" s="43" t="str">
        <f>IF(IFERROR(INDEX(Consulta!$A:$DD,MATCH('ZM01'!$C7,Consulta!$D:$D,0),'ZM01'!G$2),"")=0,"",IFERROR(INDEX(Consulta!$A:$DD,MATCH('ZM01'!$C7,Consulta!$D:$D,0),'ZM01'!G$2),""))</f>
        <v/>
      </c>
      <c r="H7" s="43" t="str">
        <f t="shared" ref="H7:H40" si="22">IF(B7="","",B7)</f>
        <v/>
      </c>
      <c r="I7" s="44" t="s">
        <v>100</v>
      </c>
      <c r="J7" s="43" t="str">
        <f>IF(IFERROR(INDEX(Consulta!$A:$DD,MATCH('ZM01'!$C7,Consulta!$D:$D,0),'ZM01'!J$2),"")=0,"",IFERROR(INDEX(Consulta!$A:$DD,MATCH('ZM01'!$C7,Consulta!$D:$D,0),'ZM01'!J$2),""))</f>
        <v/>
      </c>
      <c r="K7" s="43" t="str">
        <f>IF(IFERROR(INDEX(Consulta!$A:$DD,MATCH('ZM01'!$C7,Consulta!$D:$D,0),'ZM01'!K$2),"")=0,"",IFERROR(INDEX(Consulta!$A:$DD,MATCH('ZM01'!$C7,Consulta!$D:$D,0),'ZM01'!K$2),""))</f>
        <v/>
      </c>
      <c r="L7" s="43" t="str">
        <f t="shared" si="5"/>
        <v/>
      </c>
      <c r="M7" s="43" t="str">
        <f>IF(IFERROR(INDEX(Consulta!$A:$DD,MATCH('ZM01'!$C7,Consulta!$D:$D,0),'ZM01'!M$2),"")=0,"",IFERROR(INDEX(Consulta!$A:$DD,MATCH('ZM01'!$C7,Consulta!$D:$D,0),'ZM01'!M$2),""))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IF(IFERROR(INDEX(Consulta!$A:$DD,MATCH('ZM01'!$C7,Consulta!$D:$D,0),'ZM01'!AS$2),"")=0,"",IFERROR(INDEX(Consulta!$A:$DD,MATCH('ZM01'!$C7,Consulta!$D:$D,0),'ZM01'!AS$2),""))</f>
        <v/>
      </c>
      <c r="AT7" s="45"/>
      <c r="AU7" s="43" t="str">
        <f>IF(IFERROR(INDEX(Consulta!$A:$DD,MATCH('ZM01'!$C7,Consulta!$D:$D,0),'ZM01'!AU$2),"")=0,"",IFERROR(INDEX(Consulta!$A:$DD,MATCH('ZM01'!$C7,Consulta!$D:$D,0),'ZM01'!AU$2),""))</f>
        <v/>
      </c>
      <c r="AV7" s="43" t="str">
        <f>IF(IFERROR(INDEX(Consulta!$A:$DD,MATCH('ZM01'!$C7,Consulta!$D:$D,0),'ZM01'!AV$2),"")=0,"",IFERROR(INDEX(Consulta!$A:$DD,MATCH('ZM01'!$C7,Consulta!$D:$D,0),'ZM01'!AV$2),""))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IF(IFERROR(ROUND(INDEX(Consulta!$A:$DD,MATCH('ZM01'!$C7,Consulta!$D:$D,0),'ZM01'!AZ$2),3),"")=0,"",IFERROR(ROUND(INDEX(Consulta!$A:$DD,MATCH('ZM01'!$C7,Consulta!$D:$D,0),'ZM01'!AZ$2),3),""))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IF(IFERROR(INDEX(Consulta!$A:$DD,MATCH('ZM01'!$C7,Consulta!$D:$D,0),'ZM01'!BD$2),"")=0,"",IFERROR(INDEX(Consulta!$A:$DD,MATCH('ZM01'!$C7,Consulta!$D:$D,0),'ZM01'!BD$2),""))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40" si="23">G7</f>
        <v/>
      </c>
      <c r="BJ7" s="43" t="str">
        <f t="shared" ref="BJ7:BJ40" si="24">IF(BI7="","","M")</f>
        <v/>
      </c>
      <c r="BK7" s="43" t="str">
        <f t="shared" ref="BK7:BK40" si="25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IF(OR(IFERROR(INDEX(Consulta!$A:$DD,MATCH('ZM01'!$C7,Consulta!$D:$D,0),'ZM01'!BP$2),"")=0,IFERROR(INDEX(Consulta!$A:$DD,MATCH('ZM01'!$C7,Consulta!$D:$D,0),'ZM01'!BP$2),"")=AR7),"",IFERROR(INDEX(Consulta!$A:$DD,MATCH('ZM01'!$C7,Consulta!$D:$D,0),'ZM01'!BP$2),""))</f>
        <v/>
      </c>
      <c r="BQ7" s="45"/>
      <c r="BR7" s="46" t="str">
        <f t="shared" ca="1" si="12"/>
        <v/>
      </c>
      <c r="BS7" s="49" t="str">
        <f t="shared" si="13"/>
        <v/>
      </c>
      <c r="BT7" s="50">
        <v>1</v>
      </c>
      <c r="BU7" s="50" t="s">
        <v>194</v>
      </c>
      <c r="BV7" s="50" t="s">
        <v>194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IF(IFERROR(INDEX(Consulta!$A:$DD,MATCH('ZM01'!$C7,Consulta!$D:$D,0),'ZM01'!CB$2),"")=0,"",IFERROR(INDEX(Consulta!$A:$DD,MATCH('ZM01'!$C7,Consulta!$D:$D,0),'ZM01'!CB$2),""))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4"/>
        <v/>
      </c>
      <c r="CH7" s="45" t="s">
        <v>430</v>
      </c>
      <c r="CI7" s="44">
        <v>0</v>
      </c>
      <c r="CJ7" s="43" t="str">
        <f t="shared" ref="CJ7:CJ40" si="26">IF(LEFT(DH7,3)="SUB","F","E")</f>
        <v>E</v>
      </c>
      <c r="CK7" s="43" t="str">
        <f t="shared" ref="CK7:CK40" si="27">IF(AND(CJ7="F",LEFT(DH7,3)="SUB"),"30",IF(CJ7="F","Z1",""))</f>
        <v/>
      </c>
      <c r="CL7" s="44">
        <v>2</v>
      </c>
      <c r="CM7" s="49" t="str">
        <f t="shared" si="15"/>
        <v/>
      </c>
      <c r="CN7" s="49" t="str">
        <f t="shared" si="16"/>
        <v/>
      </c>
      <c r="CO7" s="43" t="str">
        <f t="shared" ref="CO7:CO40" si="28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40" si="29">IF(E7="DFER","K00_DP_"&amp;J7,"K00_AO_"&amp;J7)</f>
        <v>K00_AO_</v>
      </c>
      <c r="CW7" s="43" t="str">
        <f t="shared" ref="CW7:CW40" si="30">IF(OR(F7="MFER",F7="KMAT"),"INITIAL",IF(OR(F7="FERT",F7="HAWZ"),"0000999999",""))</f>
        <v/>
      </c>
      <c r="CX7" s="43" t="str">
        <f t="shared" ref="CX7:CX40" si="31">IF(OR(F7="MFER",F7="KMAT"),"INIT",IF(OR(F7="FERT",F7="HAWZ"),"999999",""))</f>
        <v/>
      </c>
      <c r="CY7" s="44">
        <v>1</v>
      </c>
      <c r="CZ7" s="43" t="str">
        <f t="shared" ref="CZ7:CZ40" si="32">IF(G7=0,"",G7)</f>
        <v/>
      </c>
      <c r="DA7" s="43" t="str">
        <f>IF(IFERROR(INDEX(Consulta!$A:$DD,MATCH('ZM01'!$C7,Consulta!$D:$D,0),'ZM01'!DA$2),"")=0,"",IFERROR(INDEX(Consulta!$A:$DD,MATCH('ZM01'!$C7,Consulta!$D:$D,0),'ZM01'!DA$2),""))</f>
        <v/>
      </c>
      <c r="DB7" s="43" t="str">
        <f>IF(IFERROR(INDEX(Consulta!$A:$DD,MATCH('ZM01'!$C7,Consulta!$D:$D,0),'ZM01'!DB$2),"")=0,"",IFERROR(INDEX(Consulta!$A:$DD,MATCH('ZM01'!$C7,Consulta!$D:$D,0),'ZM01'!DB$2),""))</f>
        <v/>
      </c>
      <c r="DC7" s="45">
        <v>0</v>
      </c>
      <c r="DD7" s="45">
        <v>0</v>
      </c>
      <c r="DE7" s="43" t="str">
        <f>IF(IFERROR(INDEX(Consulta!$A:$DD,MATCH('ZM01'!$C7,Consulta!$D:$D,0),'ZM01'!DE$2),"")=0,"",IFERROR(TEXT(VALUE(INDEX(Consulta!$A:$DD,MATCH('ZM01'!$C7,Consulta!$D:$D,0),'ZM01'!DE$2))/100,"0,00"),""))</f>
        <v/>
      </c>
      <c r="DG7" s="43">
        <f t="shared" si="17"/>
        <v>1</v>
      </c>
      <c r="DH7" s="43" t="str">
        <f>IF(IFERROR(INDEX(Consulta!$A:$DD,MATCH('ZM01'!$C7,Consulta!$D:$D,0),'ZM01'!DH$2),"")=0,"",IFERROR(VLOOKUP(INDEX(Consulta!$A:$DD,MATCH('ZM01'!$C7,Consulta!$D:$D,0),'ZM01'!DH$2),'Listas de Dados'!BU:BW,3,0),""))</f>
        <v/>
      </c>
      <c r="DI7" s="43" t="str">
        <f t="shared" ca="1" si="18"/>
        <v>11.02.2022</v>
      </c>
      <c r="DJ7" s="43" t="str">
        <f t="shared" si="19"/>
        <v>31.12.9999</v>
      </c>
      <c r="DL7" s="44">
        <v>1</v>
      </c>
      <c r="DM7" s="44" t="s">
        <v>1039</v>
      </c>
      <c r="DN7" s="44">
        <v>1</v>
      </c>
      <c r="DO7" s="43">
        <f t="shared" ref="DO7:DO40" si="33">IF(OR(AR7="M",AR7="KG"),0.01,1)</f>
        <v>1</v>
      </c>
      <c r="DP7" s="43" t="str">
        <f t="shared" ref="DP7:DP40" si="34">AR7</f>
        <v>PC</v>
      </c>
      <c r="DQ7" s="43" t="str">
        <f t="shared" ref="DQ7:DQ40" si="35">IF(OR(F7="MFER",F7="KMAT",F7="DFER",F7="FERT"),7925,"")</f>
        <v/>
      </c>
      <c r="DR7" s="44">
        <v>100</v>
      </c>
      <c r="DS7" s="71">
        <f t="shared" si="20"/>
        <v>1</v>
      </c>
      <c r="DT7" s="43">
        <f t="shared" si="21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3">
      <c r="A8" s="7" t="str">
        <f t="shared" si="2"/>
        <v>Execução 4</v>
      </c>
      <c r="B8" s="75"/>
      <c r="C8" s="85"/>
      <c r="D8" s="71" t="str">
        <f t="shared" ref="D8:D40" si="36">IF(J8="","",J8)</f>
        <v/>
      </c>
      <c r="E8" s="71" t="str">
        <f t="shared" ref="E8:E40" si="37">IF(F8="","",F8)</f>
        <v/>
      </c>
      <c r="F8" s="43" t="str">
        <f>IF(IFERROR(INDEX(Consulta!$A:$DD,MATCH('ZM01'!$C8,Consulta!$D:$D,0),'ZM01'!F$2),"")=0,"",IFERROR(INDEX(Consulta!$A:$DD,MATCH('ZM01'!$C8,Consulta!$D:$D,0),'ZM01'!F$2),""))</f>
        <v/>
      </c>
      <c r="G8" s="43" t="str">
        <f>IF(IFERROR(INDEX(Consulta!$A:$DD,MATCH('ZM01'!$C8,Consulta!$D:$D,0),'ZM01'!G$2),"")=0,"",IFERROR(INDEX(Consulta!$A:$DD,MATCH('ZM01'!$C8,Consulta!$D:$D,0),'ZM01'!G$2),""))</f>
        <v/>
      </c>
      <c r="H8" s="43" t="str">
        <f t="shared" si="22"/>
        <v/>
      </c>
      <c r="I8" s="44" t="s">
        <v>100</v>
      </c>
      <c r="J8" s="43" t="str">
        <f>IF(IFERROR(INDEX(Consulta!$A:$DD,MATCH('ZM01'!$C8,Consulta!$D:$D,0),'ZM01'!J$2),"")=0,"",IFERROR(INDEX(Consulta!$A:$DD,MATCH('ZM01'!$C8,Consulta!$D:$D,0),'ZM01'!J$2),""))</f>
        <v/>
      </c>
      <c r="K8" s="43" t="str">
        <f>IF(IFERROR(INDEX(Consulta!$A:$DD,MATCH('ZM01'!$C8,Consulta!$D:$D,0),'ZM01'!K$2),"")=0,"",IFERROR(INDEX(Consulta!$A:$DD,MATCH('ZM01'!$C8,Consulta!$D:$D,0),'ZM01'!K$2),""))</f>
        <v/>
      </c>
      <c r="L8" s="43" t="str">
        <f t="shared" ref="L8:L40" si="38">J8</f>
        <v/>
      </c>
      <c r="M8" s="43" t="str">
        <f>IF(IFERROR(INDEX(Consulta!$A:$DD,MATCH('ZM01'!$C8,Consulta!$D:$D,0),'ZM01'!M$2),"")=0,"",IFERROR(INDEX(Consulta!$A:$DD,MATCH('ZM01'!$C8,Consulta!$D:$D,0),'ZM01'!M$2),""))</f>
        <v/>
      </c>
      <c r="N8" s="43" t="str">
        <f t="shared" ref="N8:N40" si="39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IF(IFERROR(INDEX(Consulta!$A:$DD,MATCH('ZM01'!$C8,Consulta!$D:$D,0),'ZM01'!AS$2),"")=0,"",IFERROR(INDEX(Consulta!$A:$DD,MATCH('ZM01'!$C8,Consulta!$D:$D,0),'ZM01'!AS$2),""))</f>
        <v/>
      </c>
      <c r="AT8" s="45"/>
      <c r="AU8" s="43" t="str">
        <f>IF(IFERROR(INDEX(Consulta!$A:$DD,MATCH('ZM01'!$C8,Consulta!$D:$D,0),'ZM01'!AU$2),"")=0,"",IFERROR(INDEX(Consulta!$A:$DD,MATCH('ZM01'!$C8,Consulta!$D:$D,0),'ZM01'!AU$2),""))</f>
        <v/>
      </c>
      <c r="AV8" s="43" t="str">
        <f>IF(IFERROR(INDEX(Consulta!$A:$DD,MATCH('ZM01'!$C8,Consulta!$D:$D,0),'ZM01'!AV$2),"")=0,"",IFERROR(INDEX(Consulta!$A:$DD,MATCH('ZM01'!$C8,Consulta!$D:$D,0),'ZM01'!AV$2),""))</f>
        <v/>
      </c>
      <c r="AW8" s="45"/>
      <c r="AX8" s="46" t="str">
        <f t="shared" ref="AX8:AX40" ca="1" si="40">IF(AW8&lt;&gt;0,TEXT(TODAY(),"DD.MM.AAAA"),"")</f>
        <v/>
      </c>
      <c r="AY8" s="47" t="s">
        <v>755</v>
      </c>
      <c r="AZ8" s="43" t="str">
        <f>IF(IFERROR(ROUND(INDEX(Consulta!$A:$DD,MATCH('ZM01'!$C8,Consulta!$D:$D,0),'ZM01'!AZ$2),3),"")=0,"",IFERROR(ROUND(INDEX(Consulta!$A:$DD,MATCH('ZM01'!$C8,Consulta!$D:$D,0),'ZM01'!AZ$2),3),""))</f>
        <v/>
      </c>
      <c r="BA8" s="43" t="str">
        <f t="shared" ref="BA8:BA40" si="41">IFERROR(IF(AZ8&lt;&gt;0,ROUND(AZ8,3),""),"")</f>
        <v/>
      </c>
      <c r="BB8" s="48" t="s">
        <v>299</v>
      </c>
      <c r="BC8" s="48"/>
      <c r="BD8" s="43" t="str">
        <f>IF(IFERROR(INDEX(Consulta!$A:$DD,MATCH('ZM01'!$C8,Consulta!$D:$D,0),'ZM01'!BD$2),"")=0,"",IFERROR(INDEX(Consulta!$A:$DD,MATCH('ZM01'!$C8,Consulta!$D:$D,0),'ZM01'!BD$2),""))</f>
        <v/>
      </c>
      <c r="BE8" s="43" t="str">
        <f t="shared" si="0"/>
        <v/>
      </c>
      <c r="BF8" s="43" t="str">
        <f t="shared" ref="BF8:BF40" si="42">IF(BE8="","",BB8)</f>
        <v/>
      </c>
      <c r="BG8" s="43" t="str">
        <f t="shared" si="1"/>
        <v/>
      </c>
      <c r="BH8" s="43" t="str">
        <f t="shared" ref="BH8:BH40" si="43">AR8</f>
        <v>PC</v>
      </c>
      <c r="BI8" s="43" t="str">
        <f t="shared" si="23"/>
        <v/>
      </c>
      <c r="BJ8" s="43" t="str">
        <f t="shared" si="24"/>
        <v/>
      </c>
      <c r="BK8" s="43" t="str">
        <f t="shared" si="25"/>
        <v/>
      </c>
      <c r="BL8" s="43" t="str">
        <f t="shared" ref="BL8:BL40" si="44">AR8</f>
        <v>PC</v>
      </c>
      <c r="BN8" s="44"/>
      <c r="BO8" s="44" t="s">
        <v>925</v>
      </c>
      <c r="BP8" s="43" t="str">
        <f>IF(OR(IFERROR(INDEX(Consulta!$A:$DD,MATCH('ZM01'!$C8,Consulta!$D:$D,0),'ZM01'!BP$2),"")=0,IFERROR(INDEX(Consulta!$A:$DD,MATCH('ZM01'!$C8,Consulta!$D:$D,0),'ZM01'!BP$2),"")=AR8),"",IFERROR(INDEX(Consulta!$A:$DD,MATCH('ZM01'!$C8,Consulta!$D:$D,0),'ZM01'!BP$2),""))</f>
        <v/>
      </c>
      <c r="BQ8" s="45"/>
      <c r="BR8" s="46" t="str">
        <f t="shared" ref="BR8:BR40" ca="1" si="45">IF(BQ8&lt;&gt;0,TEXT(TODAY(),"DD.MM.AAAA"),"")</f>
        <v/>
      </c>
      <c r="BS8" s="49" t="str">
        <f t="shared" ref="BS8:BS40" si="46">J8</f>
        <v/>
      </c>
      <c r="BT8" s="50">
        <v>1</v>
      </c>
      <c r="BU8" s="50" t="s">
        <v>194</v>
      </c>
      <c r="BV8" s="50" t="s">
        <v>194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IF(IFERROR(INDEX(Consulta!$A:$DD,MATCH('ZM01'!$C8,Consulta!$D:$D,0),'ZM01'!CB$2),"")=0,"",IFERROR(INDEX(Consulta!$A:$DD,MATCH('ZM01'!$C8,Consulta!$D:$D,0),'ZM01'!CB$2),""))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4"/>
        <v/>
      </c>
      <c r="CH8" s="45" t="s">
        <v>430</v>
      </c>
      <c r="CI8" s="44">
        <v>0</v>
      </c>
      <c r="CJ8" s="43" t="str">
        <f t="shared" si="26"/>
        <v>E</v>
      </c>
      <c r="CK8" s="43" t="str">
        <f t="shared" si="27"/>
        <v/>
      </c>
      <c r="CL8" s="44">
        <v>2</v>
      </c>
      <c r="CM8" s="49" t="str">
        <f t="shared" ref="CM8:CM40" si="47">K8</f>
        <v/>
      </c>
      <c r="CN8" s="49" t="str">
        <f t="shared" ref="CN8:CN40" si="48">K8</f>
        <v/>
      </c>
      <c r="CO8" s="43" t="str">
        <f t="shared" si="28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29"/>
        <v>K00_AO_</v>
      </c>
      <c r="CW8" s="43" t="str">
        <f t="shared" si="30"/>
        <v/>
      </c>
      <c r="CX8" s="43" t="str">
        <f t="shared" si="31"/>
        <v/>
      </c>
      <c r="CY8" s="44">
        <v>1</v>
      </c>
      <c r="CZ8" s="43" t="str">
        <f t="shared" si="32"/>
        <v/>
      </c>
      <c r="DA8" s="43" t="str">
        <f>IF(IFERROR(INDEX(Consulta!$A:$DD,MATCH('ZM01'!$C8,Consulta!$D:$D,0),'ZM01'!DA$2),"")=0,"",IFERROR(INDEX(Consulta!$A:$DD,MATCH('ZM01'!$C8,Consulta!$D:$D,0),'ZM01'!DA$2),""))</f>
        <v/>
      </c>
      <c r="DB8" s="43" t="str">
        <f>IF(IFERROR(INDEX(Consulta!$A:$DD,MATCH('ZM01'!$C8,Consulta!$D:$D,0),'ZM01'!DB$2),"")=0,"",IFERROR(INDEX(Consulta!$A:$DD,MATCH('ZM01'!$C8,Consulta!$D:$D,0),'ZM01'!DB$2),""))</f>
        <v/>
      </c>
      <c r="DC8" s="45">
        <v>0</v>
      </c>
      <c r="DD8" s="45">
        <v>0</v>
      </c>
      <c r="DE8" s="43" t="str">
        <f>IF(IFERROR(INDEX(Consulta!$A:$DD,MATCH('ZM01'!$C8,Consulta!$D:$D,0),'ZM01'!DE$2),"")=0,"",IFERROR(TEXT(VALUE(INDEX(Consulta!$A:$DD,MATCH('ZM01'!$C8,Consulta!$D:$D,0),'ZM01'!DE$2))/100,"0,00"),""))</f>
        <v/>
      </c>
      <c r="DG8" s="43">
        <f t="shared" ref="DG8:DG40" si="49">IF(DH8&lt;&gt;0,1,"")</f>
        <v>1</v>
      </c>
      <c r="DH8" s="43" t="str">
        <f>IF(IFERROR(INDEX(Consulta!$A:$DD,MATCH('ZM01'!$C8,Consulta!$D:$D,0),'ZM01'!DH$2),"")=0,"",IFERROR(VLOOKUP(INDEX(Consulta!$A:$DD,MATCH('ZM01'!$C8,Consulta!$D:$D,0),'ZM01'!DH$2),'Listas de Dados'!BU:BW,3,0),""))</f>
        <v/>
      </c>
      <c r="DI8" s="43" t="str">
        <f t="shared" ref="DI8:DI40" ca="1" si="50">IF(DH8&lt;&gt;0,TEXT(TODAY(),"dd.mm.aaaa"),"")</f>
        <v>11.02.2022</v>
      </c>
      <c r="DJ8" s="43" t="str">
        <f t="shared" ref="DJ8:DJ40" si="51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3"/>
        <v>1</v>
      </c>
      <c r="DP8" s="43" t="str">
        <f t="shared" si="34"/>
        <v>PC</v>
      </c>
      <c r="DQ8" s="43" t="str">
        <f t="shared" si="35"/>
        <v/>
      </c>
      <c r="DR8" s="44">
        <v>100</v>
      </c>
      <c r="DS8" s="71">
        <f t="shared" si="20"/>
        <v>1</v>
      </c>
      <c r="DT8" s="43">
        <f t="shared" ref="DT8:DT40" si="52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3">
      <c r="A9" s="7" t="str">
        <f t="shared" si="2"/>
        <v>Execução 5</v>
      </c>
      <c r="B9" s="79"/>
      <c r="C9" s="85"/>
      <c r="D9" s="71" t="str">
        <f t="shared" si="36"/>
        <v/>
      </c>
      <c r="E9" s="71" t="str">
        <f t="shared" si="37"/>
        <v/>
      </c>
      <c r="F9" s="43" t="str">
        <f>IF(IFERROR(INDEX(Consulta!$A:$DD,MATCH('ZM01'!$C9,Consulta!$D:$D,0),'ZM01'!F$2),"")=0,"",IFERROR(INDEX(Consulta!$A:$DD,MATCH('ZM01'!$C9,Consulta!$D:$D,0),'ZM01'!F$2),""))</f>
        <v/>
      </c>
      <c r="G9" s="43" t="str">
        <f>IF(IFERROR(INDEX(Consulta!$A:$DD,MATCH('ZM01'!$C9,Consulta!$D:$D,0),'ZM01'!G$2),"")=0,"",IFERROR(INDEX(Consulta!$A:$DD,MATCH('ZM01'!$C9,Consulta!$D:$D,0),'ZM01'!G$2),""))</f>
        <v/>
      </c>
      <c r="H9" s="43" t="str">
        <f t="shared" si="22"/>
        <v/>
      </c>
      <c r="I9" s="44" t="s">
        <v>100</v>
      </c>
      <c r="J9" s="43" t="str">
        <f>IF(IFERROR(INDEX(Consulta!$A:$DD,MATCH('ZM01'!$C9,Consulta!$D:$D,0),'ZM01'!J$2),"")=0,"",IFERROR(INDEX(Consulta!$A:$DD,MATCH('ZM01'!$C9,Consulta!$D:$D,0),'ZM01'!J$2),""))</f>
        <v/>
      </c>
      <c r="K9" s="43" t="str">
        <f>IF(IFERROR(INDEX(Consulta!$A:$DD,MATCH('ZM01'!$C9,Consulta!$D:$D,0),'ZM01'!K$2),"")=0,"",IFERROR(INDEX(Consulta!$A:$DD,MATCH('ZM01'!$C9,Consulta!$D:$D,0),'ZM01'!K$2),""))</f>
        <v/>
      </c>
      <c r="L9" s="43" t="str">
        <f t="shared" si="38"/>
        <v/>
      </c>
      <c r="M9" s="43" t="str">
        <f>IF(IFERROR(INDEX(Consulta!$A:$DD,MATCH('ZM01'!$C9,Consulta!$D:$D,0),'ZM01'!M$2),"")=0,"",IFERROR(INDEX(Consulta!$A:$DD,MATCH('ZM01'!$C9,Consulta!$D:$D,0),'ZM01'!M$2),""))</f>
        <v/>
      </c>
      <c r="N9" s="43" t="str">
        <f t="shared" si="39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IF(IFERROR(INDEX(Consulta!$A:$DD,MATCH('ZM01'!$C9,Consulta!$D:$D,0),'ZM01'!AS$2),"")=0,"",IFERROR(INDEX(Consulta!$A:$DD,MATCH('ZM01'!$C9,Consulta!$D:$D,0),'ZM01'!AS$2),""))</f>
        <v/>
      </c>
      <c r="AT9" s="45"/>
      <c r="AU9" s="43" t="str">
        <f>IF(IFERROR(INDEX(Consulta!$A:$DD,MATCH('ZM01'!$C9,Consulta!$D:$D,0),'ZM01'!AU$2),"")=0,"",IFERROR(INDEX(Consulta!$A:$DD,MATCH('ZM01'!$C9,Consulta!$D:$D,0),'ZM01'!AU$2),""))</f>
        <v/>
      </c>
      <c r="AV9" s="43" t="str">
        <f>IF(IFERROR(INDEX(Consulta!$A:$DD,MATCH('ZM01'!$C9,Consulta!$D:$D,0),'ZM01'!AV$2),"")=0,"",IFERROR(INDEX(Consulta!$A:$DD,MATCH('ZM01'!$C9,Consulta!$D:$D,0),'ZM01'!AV$2),""))</f>
        <v/>
      </c>
      <c r="AW9" s="45"/>
      <c r="AX9" s="46" t="str">
        <f t="shared" ca="1" si="40"/>
        <v/>
      </c>
      <c r="AY9" s="47" t="s">
        <v>755</v>
      </c>
      <c r="AZ9" s="43" t="str">
        <f>IF(IFERROR(ROUND(INDEX(Consulta!$A:$DD,MATCH('ZM01'!$C9,Consulta!$D:$D,0),'ZM01'!AZ$2),3),"")=0,"",IFERROR(ROUND(INDEX(Consulta!$A:$DD,MATCH('ZM01'!$C9,Consulta!$D:$D,0),'ZM01'!AZ$2),3),""))</f>
        <v/>
      </c>
      <c r="BA9" s="43" t="str">
        <f t="shared" si="41"/>
        <v/>
      </c>
      <c r="BB9" s="48" t="s">
        <v>299</v>
      </c>
      <c r="BC9" s="48"/>
      <c r="BD9" s="43" t="str">
        <f>IF(IFERROR(INDEX(Consulta!$A:$DD,MATCH('ZM01'!$C9,Consulta!$D:$D,0),'ZM01'!BD$2),"")=0,"",IFERROR(INDEX(Consulta!$A:$DD,MATCH('ZM01'!$C9,Consulta!$D:$D,0),'ZM01'!BD$2),""))</f>
        <v/>
      </c>
      <c r="BE9" s="43" t="str">
        <f t="shared" si="0"/>
        <v/>
      </c>
      <c r="BF9" s="43" t="str">
        <f t="shared" si="42"/>
        <v/>
      </c>
      <c r="BG9" s="43" t="str">
        <f t="shared" si="1"/>
        <v/>
      </c>
      <c r="BH9" s="43" t="str">
        <f t="shared" si="43"/>
        <v>PC</v>
      </c>
      <c r="BI9" s="43" t="str">
        <f t="shared" si="23"/>
        <v/>
      </c>
      <c r="BJ9" s="43" t="str">
        <f t="shared" si="24"/>
        <v/>
      </c>
      <c r="BK9" s="43" t="str">
        <f t="shared" si="25"/>
        <v/>
      </c>
      <c r="BL9" s="43" t="str">
        <f t="shared" si="44"/>
        <v>PC</v>
      </c>
      <c r="BN9" s="44"/>
      <c r="BO9" s="44" t="s">
        <v>925</v>
      </c>
      <c r="BP9" s="43" t="str">
        <f>IF(OR(IFERROR(INDEX(Consulta!$A:$DD,MATCH('ZM01'!$C9,Consulta!$D:$D,0),'ZM01'!BP$2),"")=0,IFERROR(INDEX(Consulta!$A:$DD,MATCH('ZM01'!$C9,Consulta!$D:$D,0),'ZM01'!BP$2),"")=AR9),"",IFERROR(INDEX(Consulta!$A:$DD,MATCH('ZM01'!$C9,Consulta!$D:$D,0),'ZM01'!BP$2),""))</f>
        <v/>
      </c>
      <c r="BQ9" s="45"/>
      <c r="BR9" s="46" t="str">
        <f t="shared" ca="1" si="45"/>
        <v/>
      </c>
      <c r="BS9" s="49" t="str">
        <f t="shared" si="46"/>
        <v/>
      </c>
      <c r="BT9" s="50">
        <v>1</v>
      </c>
      <c r="BU9" s="50" t="s">
        <v>194</v>
      </c>
      <c r="BV9" s="50" t="s">
        <v>194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IF(IFERROR(INDEX(Consulta!$A:$DD,MATCH('ZM01'!$C9,Consulta!$D:$D,0),'ZM01'!CB$2),"")=0,"",IFERROR(INDEX(Consulta!$A:$DD,MATCH('ZM01'!$C9,Consulta!$D:$D,0),'ZM01'!CB$2),""))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4"/>
        <v/>
      </c>
      <c r="CH9" s="45" t="s">
        <v>430</v>
      </c>
      <c r="CI9" s="44">
        <v>0</v>
      </c>
      <c r="CJ9" s="43" t="str">
        <f t="shared" si="26"/>
        <v>E</v>
      </c>
      <c r="CK9" s="43" t="str">
        <f t="shared" si="27"/>
        <v/>
      </c>
      <c r="CL9" s="44">
        <v>2</v>
      </c>
      <c r="CM9" s="49" t="str">
        <f t="shared" si="47"/>
        <v/>
      </c>
      <c r="CN9" s="49" t="str">
        <f t="shared" si="48"/>
        <v/>
      </c>
      <c r="CO9" s="43" t="str">
        <f t="shared" si="28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29"/>
        <v>K00_AO_</v>
      </c>
      <c r="CW9" s="43" t="str">
        <f t="shared" si="30"/>
        <v/>
      </c>
      <c r="CX9" s="43" t="str">
        <f t="shared" si="31"/>
        <v/>
      </c>
      <c r="CY9" s="44">
        <v>1</v>
      </c>
      <c r="CZ9" s="43" t="str">
        <f t="shared" si="32"/>
        <v/>
      </c>
      <c r="DA9" s="43" t="str">
        <f>IF(IFERROR(INDEX(Consulta!$A:$DD,MATCH('ZM01'!$C9,Consulta!$D:$D,0),'ZM01'!DA$2),"")=0,"",IFERROR(INDEX(Consulta!$A:$DD,MATCH('ZM01'!$C9,Consulta!$D:$D,0),'ZM01'!DA$2),""))</f>
        <v/>
      </c>
      <c r="DB9" s="43" t="str">
        <f>IF(IFERROR(INDEX(Consulta!$A:$DD,MATCH('ZM01'!$C9,Consulta!$D:$D,0),'ZM01'!DB$2),"")=0,"",IFERROR(INDEX(Consulta!$A:$DD,MATCH('ZM01'!$C9,Consulta!$D:$D,0),'ZM01'!DB$2),""))</f>
        <v/>
      </c>
      <c r="DC9" s="45">
        <v>0</v>
      </c>
      <c r="DD9" s="45">
        <v>0</v>
      </c>
      <c r="DE9" s="43" t="str">
        <f>IF(IFERROR(INDEX(Consulta!$A:$DD,MATCH('ZM01'!$C9,Consulta!$D:$D,0),'ZM01'!DE$2),"")=0,"",IFERROR(TEXT(VALUE(INDEX(Consulta!$A:$DD,MATCH('ZM01'!$C9,Consulta!$D:$D,0),'ZM01'!DE$2))/100,"0,00"),""))</f>
        <v/>
      </c>
      <c r="DG9" s="43">
        <f t="shared" si="49"/>
        <v>1</v>
      </c>
      <c r="DH9" s="43" t="str">
        <f>IF(IFERROR(INDEX(Consulta!$A:$DD,MATCH('ZM01'!$C9,Consulta!$D:$D,0),'ZM01'!DH$2),"")=0,"",IFERROR(VLOOKUP(INDEX(Consulta!$A:$DD,MATCH('ZM01'!$C9,Consulta!$D:$D,0),'ZM01'!DH$2),'Listas de Dados'!BU:BW,3,0),""))</f>
        <v/>
      </c>
      <c r="DI9" s="43" t="str">
        <f t="shared" ca="1" si="50"/>
        <v>11.02.2022</v>
      </c>
      <c r="DJ9" s="43" t="str">
        <f t="shared" si="51"/>
        <v>31.12.9999</v>
      </c>
      <c r="DL9" s="44">
        <v>1</v>
      </c>
      <c r="DM9" s="44" t="s">
        <v>1039</v>
      </c>
      <c r="DN9" s="44">
        <v>1</v>
      </c>
      <c r="DO9" s="43">
        <f t="shared" si="33"/>
        <v>1</v>
      </c>
      <c r="DP9" s="43" t="str">
        <f t="shared" si="34"/>
        <v>PC</v>
      </c>
      <c r="DQ9" s="43" t="str">
        <f t="shared" si="35"/>
        <v/>
      </c>
      <c r="DR9" s="44">
        <v>100</v>
      </c>
      <c r="DS9" s="71">
        <f t="shared" si="20"/>
        <v>1</v>
      </c>
      <c r="DT9" s="43">
        <f t="shared" si="52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3">
      <c r="A10" s="7" t="str">
        <f t="shared" si="2"/>
        <v>Execução 6</v>
      </c>
      <c r="B10" s="75"/>
      <c r="C10" s="85"/>
      <c r="D10" s="71" t="str">
        <f t="shared" si="36"/>
        <v/>
      </c>
      <c r="E10" s="71" t="str">
        <f t="shared" si="37"/>
        <v/>
      </c>
      <c r="F10" s="43" t="str">
        <f>IF(IFERROR(INDEX(Consulta!$A:$DD,MATCH('ZM01'!$C10,Consulta!$D:$D,0),'ZM01'!F$2),"")=0,"",IFERROR(INDEX(Consulta!$A:$DD,MATCH('ZM01'!$C10,Consulta!$D:$D,0),'ZM01'!F$2),""))</f>
        <v/>
      </c>
      <c r="G10" s="43" t="str">
        <f>IF(IFERROR(INDEX(Consulta!$A:$DD,MATCH('ZM01'!$C10,Consulta!$D:$D,0),'ZM01'!G$2),"")=0,"",IFERROR(INDEX(Consulta!$A:$DD,MATCH('ZM01'!$C10,Consulta!$D:$D,0),'ZM01'!G$2),""))</f>
        <v/>
      </c>
      <c r="H10" s="43" t="str">
        <f t="shared" si="22"/>
        <v/>
      </c>
      <c r="I10" s="44" t="s">
        <v>100</v>
      </c>
      <c r="J10" s="43" t="str">
        <f>IF(IFERROR(INDEX(Consulta!$A:$DD,MATCH('ZM01'!$C10,Consulta!$D:$D,0),'ZM01'!J$2),"")=0,"",IFERROR(INDEX(Consulta!$A:$DD,MATCH('ZM01'!$C10,Consulta!$D:$D,0),'ZM01'!J$2),""))</f>
        <v/>
      </c>
      <c r="K10" s="43" t="str">
        <f>IF(IFERROR(INDEX(Consulta!$A:$DD,MATCH('ZM01'!$C10,Consulta!$D:$D,0),'ZM01'!K$2),"")=0,"",IFERROR(INDEX(Consulta!$A:$DD,MATCH('ZM01'!$C10,Consulta!$D:$D,0),'ZM01'!K$2),""))</f>
        <v/>
      </c>
      <c r="L10" s="43" t="str">
        <f t="shared" si="38"/>
        <v/>
      </c>
      <c r="M10" s="43" t="str">
        <f>IF(IFERROR(INDEX(Consulta!$A:$DD,MATCH('ZM01'!$C10,Consulta!$D:$D,0),'ZM01'!M$2),"")=0,"",IFERROR(INDEX(Consulta!$A:$DD,MATCH('ZM01'!$C10,Consulta!$D:$D,0),'ZM01'!M$2),""))</f>
        <v/>
      </c>
      <c r="N10" s="43" t="str">
        <f t="shared" si="39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IF(IFERROR(INDEX(Consulta!$A:$DD,MATCH('ZM01'!$C10,Consulta!$D:$D,0),'ZM01'!AS$2),"")=0,"",IFERROR(INDEX(Consulta!$A:$DD,MATCH('ZM01'!$C10,Consulta!$D:$D,0),'ZM01'!AS$2),""))</f>
        <v/>
      </c>
      <c r="AT10" s="45"/>
      <c r="AU10" s="43" t="str">
        <f>IF(IFERROR(INDEX(Consulta!$A:$DD,MATCH('ZM01'!$C10,Consulta!$D:$D,0),'ZM01'!AU$2),"")=0,"",IFERROR(INDEX(Consulta!$A:$DD,MATCH('ZM01'!$C10,Consulta!$D:$D,0),'ZM01'!AU$2),""))</f>
        <v/>
      </c>
      <c r="AV10" s="43" t="str">
        <f>IF(IFERROR(INDEX(Consulta!$A:$DD,MATCH('ZM01'!$C10,Consulta!$D:$D,0),'ZM01'!AV$2),"")=0,"",IFERROR(INDEX(Consulta!$A:$DD,MATCH('ZM01'!$C10,Consulta!$D:$D,0),'ZM01'!AV$2),""))</f>
        <v/>
      </c>
      <c r="AW10" s="45"/>
      <c r="AX10" s="46" t="str">
        <f t="shared" ca="1" si="40"/>
        <v/>
      </c>
      <c r="AY10" s="47" t="s">
        <v>755</v>
      </c>
      <c r="AZ10" s="43" t="str">
        <f>IF(IFERROR(ROUND(INDEX(Consulta!$A:$DD,MATCH('ZM01'!$C10,Consulta!$D:$D,0),'ZM01'!AZ$2),3),"")=0,"",IFERROR(ROUND(INDEX(Consulta!$A:$DD,MATCH('ZM01'!$C10,Consulta!$D:$D,0),'ZM01'!AZ$2),3),""))</f>
        <v/>
      </c>
      <c r="BA10" s="43" t="str">
        <f t="shared" si="41"/>
        <v/>
      </c>
      <c r="BB10" s="48" t="s">
        <v>299</v>
      </c>
      <c r="BC10" s="48"/>
      <c r="BD10" s="43" t="str">
        <f>IF(IFERROR(INDEX(Consulta!$A:$DD,MATCH('ZM01'!$C10,Consulta!$D:$D,0),'ZM01'!BD$2),"")=0,"",IFERROR(INDEX(Consulta!$A:$DD,MATCH('ZM01'!$C10,Consulta!$D:$D,0),'ZM01'!BD$2),""))</f>
        <v/>
      </c>
      <c r="BE10" s="43" t="str">
        <f t="shared" si="0"/>
        <v/>
      </c>
      <c r="BF10" s="43" t="str">
        <f t="shared" si="42"/>
        <v/>
      </c>
      <c r="BG10" s="43" t="str">
        <f t="shared" si="1"/>
        <v/>
      </c>
      <c r="BH10" s="43" t="str">
        <f t="shared" si="43"/>
        <v>PC</v>
      </c>
      <c r="BI10" s="43" t="str">
        <f t="shared" si="23"/>
        <v/>
      </c>
      <c r="BJ10" s="43" t="str">
        <f t="shared" si="24"/>
        <v/>
      </c>
      <c r="BK10" s="43" t="str">
        <f t="shared" si="25"/>
        <v/>
      </c>
      <c r="BL10" s="43" t="str">
        <f t="shared" si="44"/>
        <v>PC</v>
      </c>
      <c r="BN10" s="44"/>
      <c r="BO10" s="44" t="s">
        <v>925</v>
      </c>
      <c r="BP10" s="43" t="str">
        <f>IF(OR(IFERROR(INDEX(Consulta!$A:$DD,MATCH('ZM01'!$C10,Consulta!$D:$D,0),'ZM01'!BP$2),"")=0,IFERROR(INDEX(Consulta!$A:$DD,MATCH('ZM01'!$C10,Consulta!$D:$D,0),'ZM01'!BP$2),"")=AR10),"",IFERROR(INDEX(Consulta!$A:$DD,MATCH('ZM01'!$C10,Consulta!$D:$D,0),'ZM01'!BP$2),""))</f>
        <v/>
      </c>
      <c r="BQ10" s="45"/>
      <c r="BR10" s="46" t="str">
        <f t="shared" ca="1" si="45"/>
        <v/>
      </c>
      <c r="BS10" s="49" t="str">
        <f t="shared" si="46"/>
        <v/>
      </c>
      <c r="BT10" s="50">
        <v>1</v>
      </c>
      <c r="BU10" s="50" t="s">
        <v>194</v>
      </c>
      <c r="BV10" s="50" t="s">
        <v>194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IF(IFERROR(INDEX(Consulta!$A:$DD,MATCH('ZM01'!$C10,Consulta!$D:$D,0),'ZM01'!CB$2),"")=0,"",IFERROR(INDEX(Consulta!$A:$DD,MATCH('ZM01'!$C10,Consulta!$D:$D,0),'ZM01'!CB$2),""))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4"/>
        <v/>
      </c>
      <c r="CH10" s="45" t="s">
        <v>430</v>
      </c>
      <c r="CI10" s="44">
        <v>0</v>
      </c>
      <c r="CJ10" s="43" t="str">
        <f t="shared" si="26"/>
        <v>E</v>
      </c>
      <c r="CK10" s="43" t="str">
        <f t="shared" si="27"/>
        <v/>
      </c>
      <c r="CL10" s="44">
        <v>2</v>
      </c>
      <c r="CM10" s="49" t="str">
        <f t="shared" si="47"/>
        <v/>
      </c>
      <c r="CN10" s="49" t="str">
        <f t="shared" si="48"/>
        <v/>
      </c>
      <c r="CO10" s="43" t="str">
        <f t="shared" si="28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29"/>
        <v>K00_AO_</v>
      </c>
      <c r="CW10" s="43" t="str">
        <f t="shared" si="30"/>
        <v/>
      </c>
      <c r="CX10" s="43" t="str">
        <f t="shared" si="31"/>
        <v/>
      </c>
      <c r="CY10" s="44">
        <v>1</v>
      </c>
      <c r="CZ10" s="43" t="str">
        <f t="shared" si="32"/>
        <v/>
      </c>
      <c r="DA10" s="43" t="str">
        <f>IF(IFERROR(INDEX(Consulta!$A:$DD,MATCH('ZM01'!$C10,Consulta!$D:$D,0),'ZM01'!DA$2),"")=0,"",IFERROR(INDEX(Consulta!$A:$DD,MATCH('ZM01'!$C10,Consulta!$D:$D,0),'ZM01'!DA$2),""))</f>
        <v/>
      </c>
      <c r="DB10" s="43" t="str">
        <f>IF(IFERROR(INDEX(Consulta!$A:$DD,MATCH('ZM01'!$C10,Consulta!$D:$D,0),'ZM01'!DB$2),"")=0,"",IFERROR(INDEX(Consulta!$A:$DD,MATCH('ZM01'!$C10,Consulta!$D:$D,0),'ZM01'!DB$2),""))</f>
        <v/>
      </c>
      <c r="DC10" s="45">
        <v>0</v>
      </c>
      <c r="DD10" s="45">
        <v>0</v>
      </c>
      <c r="DE10" s="43" t="str">
        <f>IF(IFERROR(INDEX(Consulta!$A:$DD,MATCH('ZM01'!$C10,Consulta!$D:$D,0),'ZM01'!DE$2),"")=0,"",IFERROR(TEXT(VALUE(INDEX(Consulta!$A:$DD,MATCH('ZM01'!$C10,Consulta!$D:$D,0),'ZM01'!DE$2))/100,"0,00"),""))</f>
        <v/>
      </c>
      <c r="DG10" s="43">
        <f t="shared" si="49"/>
        <v>1</v>
      </c>
      <c r="DH10" s="43" t="str">
        <f>IF(IFERROR(INDEX(Consulta!$A:$DD,MATCH('ZM01'!$C10,Consulta!$D:$D,0),'ZM01'!DH$2),"")=0,"",IFERROR(VLOOKUP(INDEX(Consulta!$A:$DD,MATCH('ZM01'!$C10,Consulta!$D:$D,0),'ZM01'!DH$2),'Listas de Dados'!BU:BW,3,0),""))</f>
        <v/>
      </c>
      <c r="DI10" s="43" t="str">
        <f t="shared" ca="1" si="50"/>
        <v>11.02.2022</v>
      </c>
      <c r="DJ10" s="43" t="str">
        <f t="shared" si="51"/>
        <v>31.12.9999</v>
      </c>
      <c r="DL10" s="44">
        <v>1</v>
      </c>
      <c r="DM10" s="44" t="s">
        <v>1039</v>
      </c>
      <c r="DN10" s="44">
        <v>1</v>
      </c>
      <c r="DO10" s="43">
        <f t="shared" si="33"/>
        <v>1</v>
      </c>
      <c r="DP10" s="43" t="str">
        <f t="shared" si="34"/>
        <v>PC</v>
      </c>
      <c r="DQ10" s="43" t="str">
        <f t="shared" si="35"/>
        <v/>
      </c>
      <c r="DR10" s="44">
        <v>100</v>
      </c>
      <c r="DS10" s="71">
        <f t="shared" si="20"/>
        <v>1</v>
      </c>
      <c r="DT10" s="43">
        <f t="shared" si="52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3">
      <c r="A11" s="7" t="str">
        <f t="shared" si="2"/>
        <v>Execução 7</v>
      </c>
      <c r="B11" s="79"/>
      <c r="C11" s="85"/>
      <c r="D11" s="71" t="str">
        <f t="shared" si="36"/>
        <v/>
      </c>
      <c r="E11" s="71" t="str">
        <f t="shared" si="37"/>
        <v/>
      </c>
      <c r="F11" s="43" t="str">
        <f>IF(IFERROR(INDEX(Consulta!$A:$DD,MATCH('ZM01'!$C11,Consulta!$D:$D,0),'ZM01'!F$2),"")=0,"",IFERROR(INDEX(Consulta!$A:$DD,MATCH('ZM01'!$C11,Consulta!$D:$D,0),'ZM01'!F$2),""))</f>
        <v/>
      </c>
      <c r="G11" s="43" t="str">
        <f>IF(IFERROR(INDEX(Consulta!$A:$DD,MATCH('ZM01'!$C11,Consulta!$D:$D,0),'ZM01'!G$2),"")=0,"",IFERROR(INDEX(Consulta!$A:$DD,MATCH('ZM01'!$C11,Consulta!$D:$D,0),'ZM01'!G$2),""))</f>
        <v/>
      </c>
      <c r="H11" s="43" t="str">
        <f t="shared" si="22"/>
        <v/>
      </c>
      <c r="I11" s="44" t="s">
        <v>100</v>
      </c>
      <c r="J11" s="43" t="str">
        <f>IF(IFERROR(INDEX(Consulta!$A:$DD,MATCH('ZM01'!$C11,Consulta!$D:$D,0),'ZM01'!J$2),"")=0,"",IFERROR(INDEX(Consulta!$A:$DD,MATCH('ZM01'!$C11,Consulta!$D:$D,0),'ZM01'!J$2),""))</f>
        <v/>
      </c>
      <c r="K11" s="43" t="str">
        <f>IF(IFERROR(INDEX(Consulta!$A:$DD,MATCH('ZM01'!$C11,Consulta!$D:$D,0),'ZM01'!K$2),"")=0,"",IFERROR(INDEX(Consulta!$A:$DD,MATCH('ZM01'!$C11,Consulta!$D:$D,0),'ZM01'!K$2),""))</f>
        <v/>
      </c>
      <c r="L11" s="43" t="str">
        <f t="shared" si="38"/>
        <v/>
      </c>
      <c r="M11" s="43" t="str">
        <f>IF(IFERROR(INDEX(Consulta!$A:$DD,MATCH('ZM01'!$C11,Consulta!$D:$D,0),'ZM01'!M$2),"")=0,"",IFERROR(INDEX(Consulta!$A:$DD,MATCH('ZM01'!$C11,Consulta!$D:$D,0),'ZM01'!M$2),""))</f>
        <v/>
      </c>
      <c r="N11" s="43" t="str">
        <f t="shared" si="39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IF(IFERROR(INDEX(Consulta!$A:$DD,MATCH('ZM01'!$C11,Consulta!$D:$D,0),'ZM01'!AS$2),"")=0,"",IFERROR(INDEX(Consulta!$A:$DD,MATCH('ZM01'!$C11,Consulta!$D:$D,0),'ZM01'!AS$2),""))</f>
        <v/>
      </c>
      <c r="AT11" s="45"/>
      <c r="AU11" s="43" t="str">
        <f>IF(IFERROR(INDEX(Consulta!$A:$DD,MATCH('ZM01'!$C11,Consulta!$D:$D,0),'ZM01'!AU$2),"")=0,"",IFERROR(INDEX(Consulta!$A:$DD,MATCH('ZM01'!$C11,Consulta!$D:$D,0),'ZM01'!AU$2),""))</f>
        <v/>
      </c>
      <c r="AV11" s="43" t="str">
        <f>IF(IFERROR(INDEX(Consulta!$A:$DD,MATCH('ZM01'!$C11,Consulta!$D:$D,0),'ZM01'!AV$2),"")=0,"",IFERROR(INDEX(Consulta!$A:$DD,MATCH('ZM01'!$C11,Consulta!$D:$D,0),'ZM01'!AV$2),""))</f>
        <v/>
      </c>
      <c r="AW11" s="45"/>
      <c r="AX11" s="46" t="str">
        <f t="shared" ca="1" si="40"/>
        <v/>
      </c>
      <c r="AY11" s="47" t="s">
        <v>755</v>
      </c>
      <c r="AZ11" s="43" t="str">
        <f>IF(IFERROR(ROUND(INDEX(Consulta!$A:$DD,MATCH('ZM01'!$C11,Consulta!$D:$D,0),'ZM01'!AZ$2),3),"")=0,"",IFERROR(ROUND(INDEX(Consulta!$A:$DD,MATCH('ZM01'!$C11,Consulta!$D:$D,0),'ZM01'!AZ$2),3),""))</f>
        <v/>
      </c>
      <c r="BA11" s="43" t="str">
        <f t="shared" si="41"/>
        <v/>
      </c>
      <c r="BB11" s="48" t="s">
        <v>299</v>
      </c>
      <c r="BC11" s="48"/>
      <c r="BD11" s="43" t="str">
        <f>IF(IFERROR(INDEX(Consulta!$A:$DD,MATCH('ZM01'!$C11,Consulta!$D:$D,0),'ZM01'!BD$2),"")=0,"",IFERROR(INDEX(Consulta!$A:$DD,MATCH('ZM01'!$C11,Consulta!$D:$D,0),'ZM01'!BD$2),""))</f>
        <v/>
      </c>
      <c r="BE11" s="43" t="str">
        <f t="shared" si="0"/>
        <v/>
      </c>
      <c r="BF11" s="43" t="str">
        <f t="shared" si="42"/>
        <v/>
      </c>
      <c r="BG11" s="43" t="str">
        <f t="shared" si="1"/>
        <v/>
      </c>
      <c r="BH11" s="43" t="str">
        <f t="shared" si="43"/>
        <v>PC</v>
      </c>
      <c r="BI11" s="43" t="str">
        <f t="shared" si="23"/>
        <v/>
      </c>
      <c r="BJ11" s="43" t="str">
        <f t="shared" si="24"/>
        <v/>
      </c>
      <c r="BK11" s="43" t="str">
        <f t="shared" si="25"/>
        <v/>
      </c>
      <c r="BL11" s="43" t="str">
        <f t="shared" si="44"/>
        <v>PC</v>
      </c>
      <c r="BN11" s="44"/>
      <c r="BO11" s="44" t="s">
        <v>925</v>
      </c>
      <c r="BP11" s="43" t="str">
        <f>IF(OR(IFERROR(INDEX(Consulta!$A:$DD,MATCH('ZM01'!$C11,Consulta!$D:$D,0),'ZM01'!BP$2),"")=0,IFERROR(INDEX(Consulta!$A:$DD,MATCH('ZM01'!$C11,Consulta!$D:$D,0),'ZM01'!BP$2),"")=AR11),"",IFERROR(INDEX(Consulta!$A:$DD,MATCH('ZM01'!$C11,Consulta!$D:$D,0),'ZM01'!BP$2),""))</f>
        <v/>
      </c>
      <c r="BQ11" s="45"/>
      <c r="BR11" s="46" t="str">
        <f t="shared" ca="1" si="45"/>
        <v/>
      </c>
      <c r="BS11" s="49" t="str">
        <f t="shared" si="46"/>
        <v/>
      </c>
      <c r="BT11" s="50">
        <v>1</v>
      </c>
      <c r="BU11" s="50" t="s">
        <v>194</v>
      </c>
      <c r="BV11" s="50" t="s">
        <v>194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IF(IFERROR(INDEX(Consulta!$A:$DD,MATCH('ZM01'!$C11,Consulta!$D:$D,0),'ZM01'!CB$2),"")=0,"",IFERROR(INDEX(Consulta!$A:$DD,MATCH('ZM01'!$C11,Consulta!$D:$D,0),'ZM01'!CB$2),""))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4"/>
        <v/>
      </c>
      <c r="CH11" s="45" t="s">
        <v>430</v>
      </c>
      <c r="CI11" s="44">
        <v>0</v>
      </c>
      <c r="CJ11" s="43" t="str">
        <f t="shared" si="26"/>
        <v>E</v>
      </c>
      <c r="CK11" s="43" t="str">
        <f t="shared" si="27"/>
        <v/>
      </c>
      <c r="CL11" s="44">
        <v>2</v>
      </c>
      <c r="CM11" s="49" t="str">
        <f t="shared" si="47"/>
        <v/>
      </c>
      <c r="CN11" s="49" t="str">
        <f t="shared" si="48"/>
        <v/>
      </c>
      <c r="CO11" s="43" t="str">
        <f t="shared" si="28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29"/>
        <v>K00_AO_</v>
      </c>
      <c r="CW11" s="43" t="str">
        <f t="shared" si="30"/>
        <v/>
      </c>
      <c r="CX11" s="43" t="str">
        <f t="shared" si="31"/>
        <v/>
      </c>
      <c r="CY11" s="44">
        <v>1</v>
      </c>
      <c r="CZ11" s="43" t="str">
        <f t="shared" si="32"/>
        <v/>
      </c>
      <c r="DA11" s="43" t="str">
        <f>IF(IFERROR(INDEX(Consulta!$A:$DD,MATCH('ZM01'!$C11,Consulta!$D:$D,0),'ZM01'!DA$2),"")=0,"",IFERROR(INDEX(Consulta!$A:$DD,MATCH('ZM01'!$C11,Consulta!$D:$D,0),'ZM01'!DA$2),""))</f>
        <v/>
      </c>
      <c r="DB11" s="43" t="str">
        <f>IF(IFERROR(INDEX(Consulta!$A:$DD,MATCH('ZM01'!$C11,Consulta!$D:$D,0),'ZM01'!DB$2),"")=0,"",IFERROR(INDEX(Consulta!$A:$DD,MATCH('ZM01'!$C11,Consulta!$D:$D,0),'ZM01'!DB$2),""))</f>
        <v/>
      </c>
      <c r="DC11" s="45">
        <v>0</v>
      </c>
      <c r="DD11" s="45">
        <v>0</v>
      </c>
      <c r="DE11" s="43" t="str">
        <f>IF(IFERROR(INDEX(Consulta!$A:$DD,MATCH('ZM01'!$C11,Consulta!$D:$D,0),'ZM01'!DE$2),"")=0,"",IFERROR(TEXT(VALUE(INDEX(Consulta!$A:$DD,MATCH('ZM01'!$C11,Consulta!$D:$D,0),'ZM01'!DE$2))/100,"0,00"),""))</f>
        <v/>
      </c>
      <c r="DG11" s="43">
        <f t="shared" si="49"/>
        <v>1</v>
      </c>
      <c r="DH11" s="43" t="str">
        <f>IF(IFERROR(INDEX(Consulta!$A:$DD,MATCH('ZM01'!$C11,Consulta!$D:$D,0),'ZM01'!DH$2),"")=0,"",IFERROR(VLOOKUP(INDEX(Consulta!$A:$DD,MATCH('ZM01'!$C11,Consulta!$D:$D,0),'ZM01'!DH$2),'Listas de Dados'!BU:BW,3,0),""))</f>
        <v/>
      </c>
      <c r="DI11" s="43" t="str">
        <f t="shared" ca="1" si="50"/>
        <v>11.02.2022</v>
      </c>
      <c r="DJ11" s="43" t="str">
        <f t="shared" si="51"/>
        <v>31.12.9999</v>
      </c>
      <c r="DL11" s="44">
        <v>1</v>
      </c>
      <c r="DM11" s="44" t="s">
        <v>1039</v>
      </c>
      <c r="DN11" s="44">
        <v>1</v>
      </c>
      <c r="DO11" s="43">
        <f t="shared" si="33"/>
        <v>1</v>
      </c>
      <c r="DP11" s="43" t="str">
        <f t="shared" si="34"/>
        <v>PC</v>
      </c>
      <c r="DQ11" s="43" t="str">
        <f t="shared" si="35"/>
        <v/>
      </c>
      <c r="DR11" s="44">
        <v>100</v>
      </c>
      <c r="DS11" s="71">
        <f t="shared" si="20"/>
        <v>1</v>
      </c>
      <c r="DT11" s="43">
        <f t="shared" si="52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3">
      <c r="A12" s="7" t="str">
        <f t="shared" si="2"/>
        <v>Execução 8</v>
      </c>
      <c r="B12" s="75"/>
      <c r="C12" s="85"/>
      <c r="D12" s="71" t="str">
        <f t="shared" si="36"/>
        <v/>
      </c>
      <c r="E12" s="71" t="str">
        <f t="shared" si="37"/>
        <v/>
      </c>
      <c r="F12" s="43" t="str">
        <f>IF(IFERROR(INDEX(Consulta!$A:$DD,MATCH('ZM01'!$C12,Consulta!$D:$D,0),'ZM01'!F$2),"")=0,"",IFERROR(INDEX(Consulta!$A:$DD,MATCH('ZM01'!$C12,Consulta!$D:$D,0),'ZM01'!F$2),""))</f>
        <v/>
      </c>
      <c r="G12" s="43" t="str">
        <f>IF(IFERROR(INDEX(Consulta!$A:$DD,MATCH('ZM01'!$C12,Consulta!$D:$D,0),'ZM01'!G$2),"")=0,"",IFERROR(INDEX(Consulta!$A:$DD,MATCH('ZM01'!$C12,Consulta!$D:$D,0),'ZM01'!G$2),""))</f>
        <v/>
      </c>
      <c r="H12" s="43" t="str">
        <f t="shared" si="22"/>
        <v/>
      </c>
      <c r="I12" s="44" t="s">
        <v>100</v>
      </c>
      <c r="J12" s="43" t="str">
        <f>IF(IFERROR(INDEX(Consulta!$A:$DD,MATCH('ZM01'!$C12,Consulta!$D:$D,0),'ZM01'!J$2),"")=0,"",IFERROR(INDEX(Consulta!$A:$DD,MATCH('ZM01'!$C12,Consulta!$D:$D,0),'ZM01'!J$2),""))</f>
        <v/>
      </c>
      <c r="K12" s="43" t="str">
        <f>IF(IFERROR(INDEX(Consulta!$A:$DD,MATCH('ZM01'!$C12,Consulta!$D:$D,0),'ZM01'!K$2),"")=0,"",IFERROR(INDEX(Consulta!$A:$DD,MATCH('ZM01'!$C12,Consulta!$D:$D,0),'ZM01'!K$2),""))</f>
        <v/>
      </c>
      <c r="L12" s="43" t="str">
        <f t="shared" si="38"/>
        <v/>
      </c>
      <c r="M12" s="43" t="str">
        <f>IF(IFERROR(INDEX(Consulta!$A:$DD,MATCH('ZM01'!$C12,Consulta!$D:$D,0),'ZM01'!M$2),"")=0,"",IFERROR(INDEX(Consulta!$A:$DD,MATCH('ZM01'!$C12,Consulta!$D:$D,0),'ZM01'!M$2),""))</f>
        <v/>
      </c>
      <c r="N12" s="43" t="str">
        <f t="shared" si="39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IF(IFERROR(INDEX(Consulta!$A:$DD,MATCH('ZM01'!$C12,Consulta!$D:$D,0),'ZM01'!AS$2),"")=0,"",IFERROR(INDEX(Consulta!$A:$DD,MATCH('ZM01'!$C12,Consulta!$D:$D,0),'ZM01'!AS$2),""))</f>
        <v/>
      </c>
      <c r="AT12" s="45"/>
      <c r="AU12" s="43" t="str">
        <f>IF(IFERROR(INDEX(Consulta!$A:$DD,MATCH('ZM01'!$C12,Consulta!$D:$D,0),'ZM01'!AU$2),"")=0,"",IFERROR(INDEX(Consulta!$A:$DD,MATCH('ZM01'!$C12,Consulta!$D:$D,0),'ZM01'!AU$2),""))</f>
        <v/>
      </c>
      <c r="AV12" s="43" t="str">
        <f>IF(IFERROR(INDEX(Consulta!$A:$DD,MATCH('ZM01'!$C12,Consulta!$D:$D,0),'ZM01'!AV$2),"")=0,"",IFERROR(INDEX(Consulta!$A:$DD,MATCH('ZM01'!$C12,Consulta!$D:$D,0),'ZM01'!AV$2),""))</f>
        <v/>
      </c>
      <c r="AW12" s="45"/>
      <c r="AX12" s="46" t="str">
        <f t="shared" ca="1" si="40"/>
        <v/>
      </c>
      <c r="AY12" s="47" t="s">
        <v>755</v>
      </c>
      <c r="AZ12" s="43" t="str">
        <f>IF(IFERROR(ROUND(INDEX(Consulta!$A:$DD,MATCH('ZM01'!$C12,Consulta!$D:$D,0),'ZM01'!AZ$2),3),"")=0,"",IFERROR(ROUND(INDEX(Consulta!$A:$DD,MATCH('ZM01'!$C12,Consulta!$D:$D,0),'ZM01'!AZ$2),3),""))</f>
        <v/>
      </c>
      <c r="BA12" s="43" t="str">
        <f t="shared" si="41"/>
        <v/>
      </c>
      <c r="BB12" s="48" t="s">
        <v>299</v>
      </c>
      <c r="BC12" s="48"/>
      <c r="BD12" s="43" t="str">
        <f>IF(IFERROR(INDEX(Consulta!$A:$DD,MATCH('ZM01'!$C12,Consulta!$D:$D,0),'ZM01'!BD$2),"")=0,"",IFERROR(INDEX(Consulta!$A:$DD,MATCH('ZM01'!$C12,Consulta!$D:$D,0),'ZM01'!BD$2),""))</f>
        <v/>
      </c>
      <c r="BE12" s="43" t="str">
        <f t="shared" si="0"/>
        <v/>
      </c>
      <c r="BF12" s="43" t="str">
        <f t="shared" si="42"/>
        <v/>
      </c>
      <c r="BG12" s="43" t="str">
        <f t="shared" si="1"/>
        <v/>
      </c>
      <c r="BH12" s="43" t="str">
        <f t="shared" si="43"/>
        <v>PC</v>
      </c>
      <c r="BI12" s="43" t="str">
        <f t="shared" si="23"/>
        <v/>
      </c>
      <c r="BJ12" s="43" t="str">
        <f t="shared" si="24"/>
        <v/>
      </c>
      <c r="BK12" s="43" t="str">
        <f t="shared" si="25"/>
        <v/>
      </c>
      <c r="BL12" s="43" t="str">
        <f t="shared" si="44"/>
        <v>PC</v>
      </c>
      <c r="BN12" s="44"/>
      <c r="BO12" s="44" t="s">
        <v>925</v>
      </c>
      <c r="BP12" s="43" t="str">
        <f>IF(OR(IFERROR(INDEX(Consulta!$A:$DD,MATCH('ZM01'!$C12,Consulta!$D:$D,0),'ZM01'!BP$2),"")=0,IFERROR(INDEX(Consulta!$A:$DD,MATCH('ZM01'!$C12,Consulta!$D:$D,0),'ZM01'!BP$2),"")=AR12),"",IFERROR(INDEX(Consulta!$A:$DD,MATCH('ZM01'!$C12,Consulta!$D:$D,0),'ZM01'!BP$2),""))</f>
        <v/>
      </c>
      <c r="BQ12" s="45"/>
      <c r="BR12" s="46" t="str">
        <f t="shared" ca="1" si="45"/>
        <v/>
      </c>
      <c r="BS12" s="49" t="str">
        <f t="shared" si="46"/>
        <v/>
      </c>
      <c r="BT12" s="50">
        <v>1</v>
      </c>
      <c r="BU12" s="50" t="s">
        <v>194</v>
      </c>
      <c r="BV12" s="50" t="s">
        <v>194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IF(IFERROR(INDEX(Consulta!$A:$DD,MATCH('ZM01'!$C12,Consulta!$D:$D,0),'ZM01'!CB$2),"")=0,"",IFERROR(INDEX(Consulta!$A:$DD,MATCH('ZM01'!$C12,Consulta!$D:$D,0),'ZM01'!CB$2),""))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4"/>
        <v/>
      </c>
      <c r="CH12" s="45" t="s">
        <v>430</v>
      </c>
      <c r="CI12" s="44">
        <v>0</v>
      </c>
      <c r="CJ12" s="43" t="str">
        <f t="shared" si="26"/>
        <v>E</v>
      </c>
      <c r="CK12" s="43" t="str">
        <f t="shared" si="27"/>
        <v/>
      </c>
      <c r="CL12" s="44">
        <v>2</v>
      </c>
      <c r="CM12" s="49" t="str">
        <f t="shared" si="47"/>
        <v/>
      </c>
      <c r="CN12" s="49" t="str">
        <f t="shared" si="48"/>
        <v/>
      </c>
      <c r="CO12" s="43" t="str">
        <f t="shared" si="28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29"/>
        <v>K00_AO_</v>
      </c>
      <c r="CW12" s="43" t="str">
        <f t="shared" si="30"/>
        <v/>
      </c>
      <c r="CX12" s="43" t="str">
        <f t="shared" si="31"/>
        <v/>
      </c>
      <c r="CY12" s="44">
        <v>1</v>
      </c>
      <c r="CZ12" s="43" t="str">
        <f t="shared" si="32"/>
        <v/>
      </c>
      <c r="DA12" s="43" t="str">
        <f>IF(IFERROR(INDEX(Consulta!$A:$DD,MATCH('ZM01'!$C12,Consulta!$D:$D,0),'ZM01'!DA$2),"")=0,"",IFERROR(INDEX(Consulta!$A:$DD,MATCH('ZM01'!$C12,Consulta!$D:$D,0),'ZM01'!DA$2),""))</f>
        <v/>
      </c>
      <c r="DB12" s="43" t="str">
        <f>IF(IFERROR(INDEX(Consulta!$A:$DD,MATCH('ZM01'!$C12,Consulta!$D:$D,0),'ZM01'!DB$2),"")=0,"",IFERROR(INDEX(Consulta!$A:$DD,MATCH('ZM01'!$C12,Consulta!$D:$D,0),'ZM01'!DB$2),""))</f>
        <v/>
      </c>
      <c r="DC12" s="45">
        <v>0</v>
      </c>
      <c r="DD12" s="45">
        <v>0</v>
      </c>
      <c r="DE12" s="43" t="str">
        <f>IF(IFERROR(INDEX(Consulta!$A:$DD,MATCH('ZM01'!$C12,Consulta!$D:$D,0),'ZM01'!DE$2),"")=0,"",IFERROR(TEXT(VALUE(INDEX(Consulta!$A:$DD,MATCH('ZM01'!$C12,Consulta!$D:$D,0),'ZM01'!DE$2))/100,"0,00"),""))</f>
        <v/>
      </c>
      <c r="DG12" s="43">
        <f t="shared" si="49"/>
        <v>1</v>
      </c>
      <c r="DH12" s="43" t="str">
        <f>IF(IFERROR(INDEX(Consulta!$A:$DD,MATCH('ZM01'!$C12,Consulta!$D:$D,0),'ZM01'!DH$2),"")=0,"",IFERROR(VLOOKUP(INDEX(Consulta!$A:$DD,MATCH('ZM01'!$C12,Consulta!$D:$D,0),'ZM01'!DH$2),'Listas de Dados'!BU:BW,3,0),""))</f>
        <v/>
      </c>
      <c r="DI12" s="43" t="str">
        <f t="shared" ca="1" si="50"/>
        <v>11.02.2022</v>
      </c>
      <c r="DJ12" s="43" t="str">
        <f t="shared" si="51"/>
        <v>31.12.9999</v>
      </c>
      <c r="DL12" s="44">
        <v>1</v>
      </c>
      <c r="DM12" s="44" t="s">
        <v>1039</v>
      </c>
      <c r="DN12" s="44">
        <v>1</v>
      </c>
      <c r="DO12" s="43">
        <f t="shared" si="33"/>
        <v>1</v>
      </c>
      <c r="DP12" s="43" t="str">
        <f t="shared" si="34"/>
        <v>PC</v>
      </c>
      <c r="DQ12" s="43" t="str">
        <f t="shared" si="35"/>
        <v/>
      </c>
      <c r="DR12" s="44">
        <v>100</v>
      </c>
      <c r="DS12" s="71">
        <f t="shared" si="20"/>
        <v>1</v>
      </c>
      <c r="DT12" s="43">
        <f t="shared" si="52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3">
      <c r="A13" s="7" t="str">
        <f t="shared" si="2"/>
        <v>Execução 9</v>
      </c>
      <c r="B13" s="79"/>
      <c r="C13" s="85"/>
      <c r="D13" s="71" t="str">
        <f t="shared" si="36"/>
        <v/>
      </c>
      <c r="E13" s="71" t="str">
        <f t="shared" si="37"/>
        <v/>
      </c>
      <c r="F13" s="43" t="str">
        <f>IF(IFERROR(INDEX(Consulta!$A:$DD,MATCH('ZM01'!$C13,Consulta!$D:$D,0),'ZM01'!F$2),"")=0,"",IFERROR(INDEX(Consulta!$A:$DD,MATCH('ZM01'!$C13,Consulta!$D:$D,0),'ZM01'!F$2),""))</f>
        <v/>
      </c>
      <c r="G13" s="43" t="str">
        <f>IF(IFERROR(INDEX(Consulta!$A:$DD,MATCH('ZM01'!$C13,Consulta!$D:$D,0),'ZM01'!G$2),"")=0,"",IFERROR(INDEX(Consulta!$A:$DD,MATCH('ZM01'!$C13,Consulta!$D:$D,0),'ZM01'!G$2),""))</f>
        <v/>
      </c>
      <c r="H13" s="43" t="str">
        <f t="shared" si="22"/>
        <v/>
      </c>
      <c r="I13" s="44" t="s">
        <v>100</v>
      </c>
      <c r="J13" s="43" t="str">
        <f>IF(IFERROR(INDEX(Consulta!$A:$DD,MATCH('ZM01'!$C13,Consulta!$D:$D,0),'ZM01'!J$2),"")=0,"",IFERROR(INDEX(Consulta!$A:$DD,MATCH('ZM01'!$C13,Consulta!$D:$D,0),'ZM01'!J$2),""))</f>
        <v/>
      </c>
      <c r="K13" s="43" t="str">
        <f>IF(IFERROR(INDEX(Consulta!$A:$DD,MATCH('ZM01'!$C13,Consulta!$D:$D,0),'ZM01'!K$2),"")=0,"",IFERROR(INDEX(Consulta!$A:$DD,MATCH('ZM01'!$C13,Consulta!$D:$D,0),'ZM01'!K$2),""))</f>
        <v/>
      </c>
      <c r="L13" s="43" t="str">
        <f t="shared" si="38"/>
        <v/>
      </c>
      <c r="M13" s="43" t="str">
        <f>IF(IFERROR(INDEX(Consulta!$A:$DD,MATCH('ZM01'!$C13,Consulta!$D:$D,0),'ZM01'!M$2),"")=0,"",IFERROR(INDEX(Consulta!$A:$DD,MATCH('ZM01'!$C13,Consulta!$D:$D,0),'ZM01'!M$2),""))</f>
        <v/>
      </c>
      <c r="N13" s="43" t="str">
        <f t="shared" si="39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IF(IFERROR(INDEX(Consulta!$A:$DD,MATCH('ZM01'!$C13,Consulta!$D:$D,0),'ZM01'!AS$2),"")=0,"",IFERROR(INDEX(Consulta!$A:$DD,MATCH('ZM01'!$C13,Consulta!$D:$D,0),'ZM01'!AS$2),""))</f>
        <v/>
      </c>
      <c r="AT13" s="45"/>
      <c r="AU13" s="43" t="str">
        <f>IF(IFERROR(INDEX(Consulta!$A:$DD,MATCH('ZM01'!$C13,Consulta!$D:$D,0),'ZM01'!AU$2),"")=0,"",IFERROR(INDEX(Consulta!$A:$DD,MATCH('ZM01'!$C13,Consulta!$D:$D,0),'ZM01'!AU$2),""))</f>
        <v/>
      </c>
      <c r="AV13" s="43" t="str">
        <f>IF(IFERROR(INDEX(Consulta!$A:$DD,MATCH('ZM01'!$C13,Consulta!$D:$D,0),'ZM01'!AV$2),"")=0,"",IFERROR(INDEX(Consulta!$A:$DD,MATCH('ZM01'!$C13,Consulta!$D:$D,0),'ZM01'!AV$2),""))</f>
        <v/>
      </c>
      <c r="AW13" s="45"/>
      <c r="AX13" s="46" t="str">
        <f t="shared" ca="1" si="40"/>
        <v/>
      </c>
      <c r="AY13" s="47" t="s">
        <v>755</v>
      </c>
      <c r="AZ13" s="43" t="str">
        <f>IF(IFERROR(ROUND(INDEX(Consulta!$A:$DD,MATCH('ZM01'!$C13,Consulta!$D:$D,0),'ZM01'!AZ$2),3),"")=0,"",IFERROR(ROUND(INDEX(Consulta!$A:$DD,MATCH('ZM01'!$C13,Consulta!$D:$D,0),'ZM01'!AZ$2),3),""))</f>
        <v/>
      </c>
      <c r="BA13" s="43" t="str">
        <f t="shared" si="41"/>
        <v/>
      </c>
      <c r="BB13" s="48" t="s">
        <v>299</v>
      </c>
      <c r="BC13" s="48"/>
      <c r="BD13" s="43" t="str">
        <f>IF(IFERROR(INDEX(Consulta!$A:$DD,MATCH('ZM01'!$C13,Consulta!$D:$D,0),'ZM01'!BD$2),"")=0,"",IFERROR(INDEX(Consulta!$A:$DD,MATCH('ZM01'!$C13,Consulta!$D:$D,0),'ZM01'!BD$2),""))</f>
        <v/>
      </c>
      <c r="BE13" s="43" t="str">
        <f t="shared" si="0"/>
        <v/>
      </c>
      <c r="BF13" s="43" t="str">
        <f t="shared" si="42"/>
        <v/>
      </c>
      <c r="BG13" s="43" t="str">
        <f t="shared" si="1"/>
        <v/>
      </c>
      <c r="BH13" s="43" t="str">
        <f t="shared" si="43"/>
        <v>PC</v>
      </c>
      <c r="BI13" s="43" t="str">
        <f t="shared" si="23"/>
        <v/>
      </c>
      <c r="BJ13" s="43" t="str">
        <f t="shared" si="24"/>
        <v/>
      </c>
      <c r="BK13" s="43" t="str">
        <f t="shared" si="25"/>
        <v/>
      </c>
      <c r="BL13" s="43" t="str">
        <f t="shared" si="44"/>
        <v>PC</v>
      </c>
      <c r="BN13" s="44"/>
      <c r="BO13" s="44" t="s">
        <v>925</v>
      </c>
      <c r="BP13" s="43" t="str">
        <f>IF(OR(IFERROR(INDEX(Consulta!$A:$DD,MATCH('ZM01'!$C13,Consulta!$D:$D,0),'ZM01'!BP$2),"")=0,IFERROR(INDEX(Consulta!$A:$DD,MATCH('ZM01'!$C13,Consulta!$D:$D,0),'ZM01'!BP$2),"")=AR13),"",IFERROR(INDEX(Consulta!$A:$DD,MATCH('ZM01'!$C13,Consulta!$D:$D,0),'ZM01'!BP$2),""))</f>
        <v/>
      </c>
      <c r="BQ13" s="45"/>
      <c r="BR13" s="46" t="str">
        <f t="shared" ca="1" si="45"/>
        <v/>
      </c>
      <c r="BS13" s="49" t="str">
        <f t="shared" si="46"/>
        <v/>
      </c>
      <c r="BT13" s="50">
        <v>1</v>
      </c>
      <c r="BU13" s="50" t="s">
        <v>194</v>
      </c>
      <c r="BV13" s="50" t="s">
        <v>194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IF(IFERROR(INDEX(Consulta!$A:$DD,MATCH('ZM01'!$C13,Consulta!$D:$D,0),'ZM01'!CB$2),"")=0,"",IFERROR(INDEX(Consulta!$A:$DD,MATCH('ZM01'!$C13,Consulta!$D:$D,0),'ZM01'!CB$2),""))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4"/>
        <v/>
      </c>
      <c r="CH13" s="45" t="s">
        <v>430</v>
      </c>
      <c r="CI13" s="44">
        <v>0</v>
      </c>
      <c r="CJ13" s="43" t="str">
        <f t="shared" si="26"/>
        <v>E</v>
      </c>
      <c r="CK13" s="43" t="str">
        <f t="shared" si="27"/>
        <v/>
      </c>
      <c r="CL13" s="44">
        <v>2</v>
      </c>
      <c r="CM13" s="49" t="str">
        <f t="shared" si="47"/>
        <v/>
      </c>
      <c r="CN13" s="49" t="str">
        <f t="shared" si="48"/>
        <v/>
      </c>
      <c r="CO13" s="43" t="str">
        <f t="shared" si="28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29"/>
        <v>K00_AO_</v>
      </c>
      <c r="CW13" s="43" t="str">
        <f t="shared" si="30"/>
        <v/>
      </c>
      <c r="CX13" s="43" t="str">
        <f t="shared" si="31"/>
        <v/>
      </c>
      <c r="CY13" s="44">
        <v>1</v>
      </c>
      <c r="CZ13" s="43" t="str">
        <f t="shared" si="32"/>
        <v/>
      </c>
      <c r="DA13" s="43" t="str">
        <f>IF(IFERROR(INDEX(Consulta!$A:$DD,MATCH('ZM01'!$C13,Consulta!$D:$D,0),'ZM01'!DA$2),"")=0,"",IFERROR(INDEX(Consulta!$A:$DD,MATCH('ZM01'!$C13,Consulta!$D:$D,0),'ZM01'!DA$2),""))</f>
        <v/>
      </c>
      <c r="DB13" s="43" t="str">
        <f>IF(IFERROR(INDEX(Consulta!$A:$DD,MATCH('ZM01'!$C13,Consulta!$D:$D,0),'ZM01'!DB$2),"")=0,"",IFERROR(INDEX(Consulta!$A:$DD,MATCH('ZM01'!$C13,Consulta!$D:$D,0),'ZM01'!DB$2),""))</f>
        <v/>
      </c>
      <c r="DC13" s="45">
        <v>0</v>
      </c>
      <c r="DD13" s="45">
        <v>0</v>
      </c>
      <c r="DE13" s="43" t="str">
        <f>IF(IFERROR(INDEX(Consulta!$A:$DD,MATCH('ZM01'!$C13,Consulta!$D:$D,0),'ZM01'!DE$2),"")=0,"",IFERROR(TEXT(VALUE(INDEX(Consulta!$A:$DD,MATCH('ZM01'!$C13,Consulta!$D:$D,0),'ZM01'!DE$2))/100,"0,00"),""))</f>
        <v/>
      </c>
      <c r="DG13" s="43">
        <f t="shared" si="49"/>
        <v>1</v>
      </c>
      <c r="DH13" s="43" t="str">
        <f>IF(IFERROR(INDEX(Consulta!$A:$DD,MATCH('ZM01'!$C13,Consulta!$D:$D,0),'ZM01'!DH$2),"")=0,"",IFERROR(VLOOKUP(INDEX(Consulta!$A:$DD,MATCH('ZM01'!$C13,Consulta!$D:$D,0),'ZM01'!DH$2),'Listas de Dados'!BU:BW,3,0),""))</f>
        <v/>
      </c>
      <c r="DI13" s="43" t="str">
        <f t="shared" ca="1" si="50"/>
        <v>11.02.2022</v>
      </c>
      <c r="DJ13" s="43" t="str">
        <f t="shared" si="51"/>
        <v>31.12.9999</v>
      </c>
      <c r="DL13" s="44">
        <v>1</v>
      </c>
      <c r="DM13" s="44" t="s">
        <v>1039</v>
      </c>
      <c r="DN13" s="44">
        <v>1</v>
      </c>
      <c r="DO13" s="43">
        <f t="shared" si="33"/>
        <v>1</v>
      </c>
      <c r="DP13" s="43" t="str">
        <f t="shared" si="34"/>
        <v>PC</v>
      </c>
      <c r="DQ13" s="43" t="str">
        <f t="shared" si="35"/>
        <v/>
      </c>
      <c r="DR13" s="44">
        <v>100</v>
      </c>
      <c r="DS13" s="71">
        <f t="shared" si="20"/>
        <v>1</v>
      </c>
      <c r="DT13" s="43">
        <f t="shared" si="52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3">
      <c r="A14" s="7" t="str">
        <f t="shared" si="2"/>
        <v>Execução 10</v>
      </c>
      <c r="B14" s="75"/>
      <c r="C14" s="85"/>
      <c r="D14" s="71" t="str">
        <f t="shared" si="36"/>
        <v/>
      </c>
      <c r="E14" s="71" t="str">
        <f t="shared" si="37"/>
        <v/>
      </c>
      <c r="F14" s="43" t="str">
        <f>IF(IFERROR(INDEX(Consulta!$A:$DD,MATCH('ZM01'!$C14,Consulta!$D:$D,0),'ZM01'!F$2),"")=0,"",IFERROR(INDEX(Consulta!$A:$DD,MATCH('ZM01'!$C14,Consulta!$D:$D,0),'ZM01'!F$2),""))</f>
        <v/>
      </c>
      <c r="G14" s="43" t="str">
        <f>IF(IFERROR(INDEX(Consulta!$A:$DD,MATCH('ZM01'!$C14,Consulta!$D:$D,0),'ZM01'!G$2),"")=0,"",IFERROR(INDEX(Consulta!$A:$DD,MATCH('ZM01'!$C14,Consulta!$D:$D,0),'ZM01'!G$2),""))</f>
        <v/>
      </c>
      <c r="H14" s="43" t="str">
        <f t="shared" si="22"/>
        <v/>
      </c>
      <c r="I14" s="44" t="s">
        <v>100</v>
      </c>
      <c r="J14" s="43" t="str">
        <f>IF(IFERROR(INDEX(Consulta!$A:$DD,MATCH('ZM01'!$C14,Consulta!$D:$D,0),'ZM01'!J$2),"")=0,"",IFERROR(INDEX(Consulta!$A:$DD,MATCH('ZM01'!$C14,Consulta!$D:$D,0),'ZM01'!J$2),""))</f>
        <v/>
      </c>
      <c r="K14" s="43" t="str">
        <f>IF(IFERROR(INDEX(Consulta!$A:$DD,MATCH('ZM01'!$C14,Consulta!$D:$D,0),'ZM01'!K$2),"")=0,"",IFERROR(INDEX(Consulta!$A:$DD,MATCH('ZM01'!$C14,Consulta!$D:$D,0),'ZM01'!K$2),""))</f>
        <v/>
      </c>
      <c r="L14" s="43" t="str">
        <f t="shared" si="38"/>
        <v/>
      </c>
      <c r="M14" s="43" t="str">
        <f>IF(IFERROR(INDEX(Consulta!$A:$DD,MATCH('ZM01'!$C14,Consulta!$D:$D,0),'ZM01'!M$2),"")=0,"",IFERROR(INDEX(Consulta!$A:$DD,MATCH('ZM01'!$C14,Consulta!$D:$D,0),'ZM01'!M$2),""))</f>
        <v/>
      </c>
      <c r="N14" s="43" t="str">
        <f t="shared" si="39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IF(IFERROR(INDEX(Consulta!$A:$DD,MATCH('ZM01'!$C14,Consulta!$D:$D,0),'ZM01'!AS$2),"")=0,"",IFERROR(INDEX(Consulta!$A:$DD,MATCH('ZM01'!$C14,Consulta!$D:$D,0),'ZM01'!AS$2),""))</f>
        <v/>
      </c>
      <c r="AT14" s="45"/>
      <c r="AU14" s="43" t="str">
        <f>IF(IFERROR(INDEX(Consulta!$A:$DD,MATCH('ZM01'!$C14,Consulta!$D:$D,0),'ZM01'!AU$2),"")=0,"",IFERROR(INDEX(Consulta!$A:$DD,MATCH('ZM01'!$C14,Consulta!$D:$D,0),'ZM01'!AU$2),""))</f>
        <v/>
      </c>
      <c r="AV14" s="43" t="str">
        <f>IF(IFERROR(INDEX(Consulta!$A:$DD,MATCH('ZM01'!$C14,Consulta!$D:$D,0),'ZM01'!AV$2),"")=0,"",IFERROR(INDEX(Consulta!$A:$DD,MATCH('ZM01'!$C14,Consulta!$D:$D,0),'ZM01'!AV$2),""))</f>
        <v/>
      </c>
      <c r="AW14" s="45"/>
      <c r="AX14" s="46" t="str">
        <f t="shared" ca="1" si="40"/>
        <v/>
      </c>
      <c r="AY14" s="47" t="s">
        <v>755</v>
      </c>
      <c r="AZ14" s="43" t="str">
        <f>IF(IFERROR(ROUND(INDEX(Consulta!$A:$DD,MATCH('ZM01'!$C14,Consulta!$D:$D,0),'ZM01'!AZ$2),3),"")=0,"",IFERROR(ROUND(INDEX(Consulta!$A:$DD,MATCH('ZM01'!$C14,Consulta!$D:$D,0),'ZM01'!AZ$2),3),""))</f>
        <v/>
      </c>
      <c r="BA14" s="43" t="str">
        <f t="shared" si="41"/>
        <v/>
      </c>
      <c r="BB14" s="48" t="s">
        <v>299</v>
      </c>
      <c r="BC14" s="48"/>
      <c r="BD14" s="43" t="str">
        <f>IF(IFERROR(INDEX(Consulta!$A:$DD,MATCH('ZM01'!$C14,Consulta!$D:$D,0),'ZM01'!BD$2),"")=0,"",IFERROR(INDEX(Consulta!$A:$DD,MATCH('ZM01'!$C14,Consulta!$D:$D,0),'ZM01'!BD$2),""))</f>
        <v/>
      </c>
      <c r="BE14" s="43" t="str">
        <f t="shared" si="0"/>
        <v/>
      </c>
      <c r="BF14" s="43" t="str">
        <f t="shared" si="42"/>
        <v/>
      </c>
      <c r="BG14" s="43" t="str">
        <f t="shared" si="1"/>
        <v/>
      </c>
      <c r="BH14" s="43" t="str">
        <f t="shared" si="43"/>
        <v>PC</v>
      </c>
      <c r="BI14" s="43" t="str">
        <f t="shared" si="23"/>
        <v/>
      </c>
      <c r="BJ14" s="43" t="str">
        <f t="shared" si="24"/>
        <v/>
      </c>
      <c r="BK14" s="43" t="str">
        <f t="shared" si="25"/>
        <v/>
      </c>
      <c r="BL14" s="43" t="str">
        <f t="shared" si="44"/>
        <v>PC</v>
      </c>
      <c r="BN14" s="44"/>
      <c r="BO14" s="44" t="s">
        <v>925</v>
      </c>
      <c r="BP14" s="43" t="str">
        <f>IF(OR(IFERROR(INDEX(Consulta!$A:$DD,MATCH('ZM01'!$C14,Consulta!$D:$D,0),'ZM01'!BP$2),"")=0,IFERROR(INDEX(Consulta!$A:$DD,MATCH('ZM01'!$C14,Consulta!$D:$D,0),'ZM01'!BP$2),"")=AR14),"",IFERROR(INDEX(Consulta!$A:$DD,MATCH('ZM01'!$C14,Consulta!$D:$D,0),'ZM01'!BP$2),""))</f>
        <v/>
      </c>
      <c r="BQ14" s="45"/>
      <c r="BR14" s="46" t="str">
        <f t="shared" ca="1" si="45"/>
        <v/>
      </c>
      <c r="BS14" s="49" t="str">
        <f t="shared" si="46"/>
        <v/>
      </c>
      <c r="BT14" s="50">
        <v>1</v>
      </c>
      <c r="BU14" s="50" t="s">
        <v>194</v>
      </c>
      <c r="BV14" s="50" t="s">
        <v>194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IF(IFERROR(INDEX(Consulta!$A:$DD,MATCH('ZM01'!$C14,Consulta!$D:$D,0),'ZM01'!CB$2),"")=0,"",IFERROR(INDEX(Consulta!$A:$DD,MATCH('ZM01'!$C14,Consulta!$D:$D,0),'ZM01'!CB$2),""))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4"/>
        <v/>
      </c>
      <c r="CH14" s="45" t="s">
        <v>430</v>
      </c>
      <c r="CI14" s="44">
        <v>0</v>
      </c>
      <c r="CJ14" s="43" t="str">
        <f t="shared" si="26"/>
        <v>E</v>
      </c>
      <c r="CK14" s="43" t="str">
        <f t="shared" si="27"/>
        <v/>
      </c>
      <c r="CL14" s="44">
        <v>2</v>
      </c>
      <c r="CM14" s="49" t="str">
        <f t="shared" si="47"/>
        <v/>
      </c>
      <c r="CN14" s="49" t="str">
        <f t="shared" si="48"/>
        <v/>
      </c>
      <c r="CO14" s="43" t="str">
        <f t="shared" si="28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29"/>
        <v>K00_AO_</v>
      </c>
      <c r="CW14" s="43" t="str">
        <f t="shared" si="30"/>
        <v/>
      </c>
      <c r="CX14" s="43" t="str">
        <f t="shared" si="31"/>
        <v/>
      </c>
      <c r="CY14" s="44">
        <v>1</v>
      </c>
      <c r="CZ14" s="43" t="str">
        <f t="shared" si="32"/>
        <v/>
      </c>
      <c r="DA14" s="43" t="str">
        <f>IF(IFERROR(INDEX(Consulta!$A:$DD,MATCH('ZM01'!$C14,Consulta!$D:$D,0),'ZM01'!DA$2),"")=0,"",IFERROR(INDEX(Consulta!$A:$DD,MATCH('ZM01'!$C14,Consulta!$D:$D,0),'ZM01'!DA$2),""))</f>
        <v/>
      </c>
      <c r="DB14" s="43" t="str">
        <f>IF(IFERROR(INDEX(Consulta!$A:$DD,MATCH('ZM01'!$C14,Consulta!$D:$D,0),'ZM01'!DB$2),"")=0,"",IFERROR(INDEX(Consulta!$A:$DD,MATCH('ZM01'!$C14,Consulta!$D:$D,0),'ZM01'!DB$2),""))</f>
        <v/>
      </c>
      <c r="DC14" s="45">
        <v>0</v>
      </c>
      <c r="DD14" s="45">
        <v>0</v>
      </c>
      <c r="DE14" s="43" t="str">
        <f>IF(IFERROR(INDEX(Consulta!$A:$DD,MATCH('ZM01'!$C14,Consulta!$D:$D,0),'ZM01'!DE$2),"")=0,"",IFERROR(TEXT(VALUE(INDEX(Consulta!$A:$DD,MATCH('ZM01'!$C14,Consulta!$D:$D,0),'ZM01'!DE$2))/100,"0,00"),""))</f>
        <v/>
      </c>
      <c r="DG14" s="43">
        <f t="shared" si="49"/>
        <v>1</v>
      </c>
      <c r="DH14" s="43" t="str">
        <f>IF(IFERROR(INDEX(Consulta!$A:$DD,MATCH('ZM01'!$C14,Consulta!$D:$D,0),'ZM01'!DH$2),"")=0,"",IFERROR(VLOOKUP(INDEX(Consulta!$A:$DD,MATCH('ZM01'!$C14,Consulta!$D:$D,0),'ZM01'!DH$2),'Listas de Dados'!BU:BW,3,0),""))</f>
        <v/>
      </c>
      <c r="DI14" s="43" t="str">
        <f t="shared" ca="1" si="50"/>
        <v>11.02.2022</v>
      </c>
      <c r="DJ14" s="43" t="str">
        <f t="shared" si="51"/>
        <v>31.12.9999</v>
      </c>
      <c r="DL14" s="44">
        <v>1</v>
      </c>
      <c r="DM14" s="44" t="s">
        <v>1039</v>
      </c>
      <c r="DN14" s="44">
        <v>1</v>
      </c>
      <c r="DO14" s="43">
        <f t="shared" si="33"/>
        <v>1</v>
      </c>
      <c r="DP14" s="43" t="str">
        <f t="shared" si="34"/>
        <v>PC</v>
      </c>
      <c r="DQ14" s="43" t="str">
        <f t="shared" si="35"/>
        <v/>
      </c>
      <c r="DR14" s="44">
        <v>100</v>
      </c>
      <c r="DS14" s="71">
        <f t="shared" si="20"/>
        <v>1</v>
      </c>
      <c r="DT14" s="43">
        <f t="shared" si="52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3">
      <c r="A15" s="7" t="str">
        <f t="shared" si="2"/>
        <v>Execução 11</v>
      </c>
      <c r="B15" s="79"/>
      <c r="C15" s="85"/>
      <c r="D15" s="71" t="str">
        <f t="shared" si="36"/>
        <v/>
      </c>
      <c r="E15" s="71" t="str">
        <f t="shared" si="37"/>
        <v/>
      </c>
      <c r="F15" s="43" t="str">
        <f>IF(IFERROR(INDEX(Consulta!$A:$DD,MATCH('ZM01'!$C15,Consulta!$D:$D,0),'ZM01'!F$2),"")=0,"",IFERROR(INDEX(Consulta!$A:$DD,MATCH('ZM01'!$C15,Consulta!$D:$D,0),'ZM01'!F$2),""))</f>
        <v/>
      </c>
      <c r="G15" s="43" t="str">
        <f>IF(IFERROR(INDEX(Consulta!$A:$DD,MATCH('ZM01'!$C15,Consulta!$D:$D,0),'ZM01'!G$2),"")=0,"",IFERROR(INDEX(Consulta!$A:$DD,MATCH('ZM01'!$C15,Consulta!$D:$D,0),'ZM01'!G$2),""))</f>
        <v/>
      </c>
      <c r="H15" s="43" t="str">
        <f t="shared" si="22"/>
        <v/>
      </c>
      <c r="I15" s="44" t="s">
        <v>100</v>
      </c>
      <c r="J15" s="43" t="str">
        <f>IF(IFERROR(INDEX(Consulta!$A:$DD,MATCH('ZM01'!$C15,Consulta!$D:$D,0),'ZM01'!J$2),"")=0,"",IFERROR(INDEX(Consulta!$A:$DD,MATCH('ZM01'!$C15,Consulta!$D:$D,0),'ZM01'!J$2),""))</f>
        <v/>
      </c>
      <c r="K15" s="43" t="str">
        <f>IF(IFERROR(INDEX(Consulta!$A:$DD,MATCH('ZM01'!$C15,Consulta!$D:$D,0),'ZM01'!K$2),"")=0,"",IFERROR(INDEX(Consulta!$A:$DD,MATCH('ZM01'!$C15,Consulta!$D:$D,0),'ZM01'!K$2),""))</f>
        <v/>
      </c>
      <c r="L15" s="43" t="str">
        <f t="shared" si="38"/>
        <v/>
      </c>
      <c r="M15" s="43" t="str">
        <f>IF(IFERROR(INDEX(Consulta!$A:$DD,MATCH('ZM01'!$C15,Consulta!$D:$D,0),'ZM01'!M$2),"")=0,"",IFERROR(INDEX(Consulta!$A:$DD,MATCH('ZM01'!$C15,Consulta!$D:$D,0),'ZM01'!M$2),""))</f>
        <v/>
      </c>
      <c r="N15" s="43" t="str">
        <f t="shared" si="39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IF(IFERROR(INDEX(Consulta!$A:$DD,MATCH('ZM01'!$C15,Consulta!$D:$D,0),'ZM01'!AS$2),"")=0,"",IFERROR(INDEX(Consulta!$A:$DD,MATCH('ZM01'!$C15,Consulta!$D:$D,0),'ZM01'!AS$2),""))</f>
        <v/>
      </c>
      <c r="AT15" s="45"/>
      <c r="AU15" s="43" t="str">
        <f>IF(IFERROR(INDEX(Consulta!$A:$DD,MATCH('ZM01'!$C15,Consulta!$D:$D,0),'ZM01'!AU$2),"")=0,"",IFERROR(INDEX(Consulta!$A:$DD,MATCH('ZM01'!$C15,Consulta!$D:$D,0),'ZM01'!AU$2),""))</f>
        <v/>
      </c>
      <c r="AV15" s="43" t="str">
        <f>IF(IFERROR(INDEX(Consulta!$A:$DD,MATCH('ZM01'!$C15,Consulta!$D:$D,0),'ZM01'!AV$2),"")=0,"",IFERROR(INDEX(Consulta!$A:$DD,MATCH('ZM01'!$C15,Consulta!$D:$D,0),'ZM01'!AV$2),""))</f>
        <v/>
      </c>
      <c r="AW15" s="45"/>
      <c r="AX15" s="46" t="str">
        <f t="shared" ca="1" si="40"/>
        <v/>
      </c>
      <c r="AY15" s="47" t="s">
        <v>755</v>
      </c>
      <c r="AZ15" s="43" t="str">
        <f>IF(IFERROR(ROUND(INDEX(Consulta!$A:$DD,MATCH('ZM01'!$C15,Consulta!$D:$D,0),'ZM01'!AZ$2),3),"")=0,"",IFERROR(ROUND(INDEX(Consulta!$A:$DD,MATCH('ZM01'!$C15,Consulta!$D:$D,0),'ZM01'!AZ$2),3),""))</f>
        <v/>
      </c>
      <c r="BA15" s="43" t="str">
        <f t="shared" si="41"/>
        <v/>
      </c>
      <c r="BB15" s="48" t="s">
        <v>299</v>
      </c>
      <c r="BC15" s="48"/>
      <c r="BD15" s="43" t="str">
        <f>IF(IFERROR(INDEX(Consulta!$A:$DD,MATCH('ZM01'!$C15,Consulta!$D:$D,0),'ZM01'!BD$2),"")=0,"",IFERROR(INDEX(Consulta!$A:$DD,MATCH('ZM01'!$C15,Consulta!$D:$D,0),'ZM01'!BD$2),""))</f>
        <v/>
      </c>
      <c r="BE15" s="43" t="str">
        <f t="shared" si="0"/>
        <v/>
      </c>
      <c r="BF15" s="43" t="str">
        <f t="shared" si="42"/>
        <v/>
      </c>
      <c r="BG15" s="43" t="str">
        <f t="shared" si="1"/>
        <v/>
      </c>
      <c r="BH15" s="43" t="str">
        <f t="shared" si="43"/>
        <v>PC</v>
      </c>
      <c r="BI15" s="43" t="str">
        <f t="shared" si="23"/>
        <v/>
      </c>
      <c r="BJ15" s="43" t="str">
        <f t="shared" si="24"/>
        <v/>
      </c>
      <c r="BK15" s="43" t="str">
        <f t="shared" si="25"/>
        <v/>
      </c>
      <c r="BL15" s="43" t="str">
        <f t="shared" si="44"/>
        <v>PC</v>
      </c>
      <c r="BN15" s="44"/>
      <c r="BO15" s="44" t="s">
        <v>925</v>
      </c>
      <c r="BP15" s="43" t="str">
        <f>IF(OR(IFERROR(INDEX(Consulta!$A:$DD,MATCH('ZM01'!$C15,Consulta!$D:$D,0),'ZM01'!BP$2),"")=0,IFERROR(INDEX(Consulta!$A:$DD,MATCH('ZM01'!$C15,Consulta!$D:$D,0),'ZM01'!BP$2),"")=AR15),"",IFERROR(INDEX(Consulta!$A:$DD,MATCH('ZM01'!$C15,Consulta!$D:$D,0),'ZM01'!BP$2),""))</f>
        <v/>
      </c>
      <c r="BQ15" s="45"/>
      <c r="BR15" s="46" t="str">
        <f t="shared" ca="1" si="45"/>
        <v/>
      </c>
      <c r="BS15" s="49" t="str">
        <f t="shared" si="46"/>
        <v/>
      </c>
      <c r="BT15" s="50">
        <v>1</v>
      </c>
      <c r="BU15" s="50" t="s">
        <v>194</v>
      </c>
      <c r="BV15" s="50" t="s">
        <v>194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IF(IFERROR(INDEX(Consulta!$A:$DD,MATCH('ZM01'!$C15,Consulta!$D:$D,0),'ZM01'!CB$2),"")=0,"",IFERROR(INDEX(Consulta!$A:$DD,MATCH('ZM01'!$C15,Consulta!$D:$D,0),'ZM01'!CB$2),""))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4"/>
        <v/>
      </c>
      <c r="CH15" s="45" t="s">
        <v>430</v>
      </c>
      <c r="CI15" s="44">
        <v>0</v>
      </c>
      <c r="CJ15" s="43" t="str">
        <f t="shared" si="26"/>
        <v>E</v>
      </c>
      <c r="CK15" s="43" t="str">
        <f t="shared" si="27"/>
        <v/>
      </c>
      <c r="CL15" s="44">
        <v>2</v>
      </c>
      <c r="CM15" s="49" t="str">
        <f t="shared" si="47"/>
        <v/>
      </c>
      <c r="CN15" s="49" t="str">
        <f t="shared" si="48"/>
        <v/>
      </c>
      <c r="CO15" s="43" t="str">
        <f t="shared" si="28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29"/>
        <v>K00_AO_</v>
      </c>
      <c r="CW15" s="43" t="str">
        <f t="shared" si="30"/>
        <v/>
      </c>
      <c r="CX15" s="43" t="str">
        <f t="shared" si="31"/>
        <v/>
      </c>
      <c r="CY15" s="44">
        <v>1</v>
      </c>
      <c r="CZ15" s="43" t="str">
        <f t="shared" si="32"/>
        <v/>
      </c>
      <c r="DA15" s="43" t="str">
        <f>IF(IFERROR(INDEX(Consulta!$A:$DD,MATCH('ZM01'!$C15,Consulta!$D:$D,0),'ZM01'!DA$2),"")=0,"",IFERROR(INDEX(Consulta!$A:$DD,MATCH('ZM01'!$C15,Consulta!$D:$D,0),'ZM01'!DA$2),""))</f>
        <v/>
      </c>
      <c r="DB15" s="43" t="str">
        <f>IF(IFERROR(INDEX(Consulta!$A:$DD,MATCH('ZM01'!$C15,Consulta!$D:$D,0),'ZM01'!DB$2),"")=0,"",IFERROR(INDEX(Consulta!$A:$DD,MATCH('ZM01'!$C15,Consulta!$D:$D,0),'ZM01'!DB$2),""))</f>
        <v/>
      </c>
      <c r="DC15" s="45">
        <v>0</v>
      </c>
      <c r="DD15" s="45">
        <v>0</v>
      </c>
      <c r="DE15" s="43" t="str">
        <f>IF(IFERROR(INDEX(Consulta!$A:$DD,MATCH('ZM01'!$C15,Consulta!$D:$D,0),'ZM01'!DE$2),"")=0,"",IFERROR(TEXT(VALUE(INDEX(Consulta!$A:$DD,MATCH('ZM01'!$C15,Consulta!$D:$D,0),'ZM01'!DE$2))/100,"0,00"),""))</f>
        <v/>
      </c>
      <c r="DG15" s="43">
        <f t="shared" si="49"/>
        <v>1</v>
      </c>
      <c r="DH15" s="43" t="str">
        <f>IF(IFERROR(INDEX(Consulta!$A:$DD,MATCH('ZM01'!$C15,Consulta!$D:$D,0),'ZM01'!DH$2),"")=0,"",IFERROR(VLOOKUP(INDEX(Consulta!$A:$DD,MATCH('ZM01'!$C15,Consulta!$D:$D,0),'ZM01'!DH$2),'Listas de Dados'!BU:BW,3,0),""))</f>
        <v/>
      </c>
      <c r="DI15" s="43" t="str">
        <f t="shared" ca="1" si="50"/>
        <v>11.02.2022</v>
      </c>
      <c r="DJ15" s="43" t="str">
        <f t="shared" si="51"/>
        <v>31.12.9999</v>
      </c>
      <c r="DL15" s="44">
        <v>1</v>
      </c>
      <c r="DM15" s="44" t="s">
        <v>1039</v>
      </c>
      <c r="DN15" s="44">
        <v>1</v>
      </c>
      <c r="DO15" s="43">
        <f t="shared" si="33"/>
        <v>1</v>
      </c>
      <c r="DP15" s="43" t="str">
        <f t="shared" si="34"/>
        <v>PC</v>
      </c>
      <c r="DQ15" s="43" t="str">
        <f t="shared" si="35"/>
        <v/>
      </c>
      <c r="DR15" s="44">
        <v>100</v>
      </c>
      <c r="DS15" s="71">
        <f t="shared" si="20"/>
        <v>1</v>
      </c>
      <c r="DT15" s="43">
        <f t="shared" si="52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3">
      <c r="A16" s="7" t="str">
        <f t="shared" si="2"/>
        <v>Execução 12</v>
      </c>
      <c r="B16" s="75"/>
      <c r="C16" s="85"/>
      <c r="D16" s="71" t="str">
        <f t="shared" si="36"/>
        <v/>
      </c>
      <c r="E16" s="71" t="str">
        <f t="shared" si="37"/>
        <v/>
      </c>
      <c r="F16" s="43" t="str">
        <f>IF(IFERROR(INDEX(Consulta!$A:$DD,MATCH('ZM01'!$C16,Consulta!$D:$D,0),'ZM01'!F$2),"")=0,"",IFERROR(INDEX(Consulta!$A:$DD,MATCH('ZM01'!$C16,Consulta!$D:$D,0),'ZM01'!F$2),""))</f>
        <v/>
      </c>
      <c r="G16" s="43" t="str">
        <f>IF(IFERROR(INDEX(Consulta!$A:$DD,MATCH('ZM01'!$C16,Consulta!$D:$D,0),'ZM01'!G$2),"")=0,"",IFERROR(INDEX(Consulta!$A:$DD,MATCH('ZM01'!$C16,Consulta!$D:$D,0),'ZM01'!G$2),""))</f>
        <v/>
      </c>
      <c r="H16" s="43" t="str">
        <f t="shared" si="22"/>
        <v/>
      </c>
      <c r="I16" s="44" t="s">
        <v>100</v>
      </c>
      <c r="J16" s="43" t="str">
        <f>IF(IFERROR(INDEX(Consulta!$A:$DD,MATCH('ZM01'!$C16,Consulta!$D:$D,0),'ZM01'!J$2),"")=0,"",IFERROR(INDEX(Consulta!$A:$DD,MATCH('ZM01'!$C16,Consulta!$D:$D,0),'ZM01'!J$2),""))</f>
        <v/>
      </c>
      <c r="K16" s="43" t="str">
        <f>IF(IFERROR(INDEX(Consulta!$A:$DD,MATCH('ZM01'!$C16,Consulta!$D:$D,0),'ZM01'!K$2),"")=0,"",IFERROR(INDEX(Consulta!$A:$DD,MATCH('ZM01'!$C16,Consulta!$D:$D,0),'ZM01'!K$2),""))</f>
        <v/>
      </c>
      <c r="L16" s="43" t="str">
        <f t="shared" si="38"/>
        <v/>
      </c>
      <c r="M16" s="43" t="str">
        <f>IF(IFERROR(INDEX(Consulta!$A:$DD,MATCH('ZM01'!$C16,Consulta!$D:$D,0),'ZM01'!M$2),"")=0,"",IFERROR(INDEX(Consulta!$A:$DD,MATCH('ZM01'!$C16,Consulta!$D:$D,0),'ZM01'!M$2),""))</f>
        <v/>
      </c>
      <c r="N16" s="43" t="str">
        <f t="shared" si="39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IF(IFERROR(INDEX(Consulta!$A:$DD,MATCH('ZM01'!$C16,Consulta!$D:$D,0),'ZM01'!AS$2),"")=0,"",IFERROR(INDEX(Consulta!$A:$DD,MATCH('ZM01'!$C16,Consulta!$D:$D,0),'ZM01'!AS$2),""))</f>
        <v/>
      </c>
      <c r="AT16" s="45"/>
      <c r="AU16" s="43" t="str">
        <f>IF(IFERROR(INDEX(Consulta!$A:$DD,MATCH('ZM01'!$C16,Consulta!$D:$D,0),'ZM01'!AU$2),"")=0,"",IFERROR(INDEX(Consulta!$A:$DD,MATCH('ZM01'!$C16,Consulta!$D:$D,0),'ZM01'!AU$2),""))</f>
        <v/>
      </c>
      <c r="AV16" s="43" t="str">
        <f>IF(IFERROR(INDEX(Consulta!$A:$DD,MATCH('ZM01'!$C16,Consulta!$D:$D,0),'ZM01'!AV$2),"")=0,"",IFERROR(INDEX(Consulta!$A:$DD,MATCH('ZM01'!$C16,Consulta!$D:$D,0),'ZM01'!AV$2),""))</f>
        <v/>
      </c>
      <c r="AW16" s="45"/>
      <c r="AX16" s="46" t="str">
        <f t="shared" ca="1" si="40"/>
        <v/>
      </c>
      <c r="AY16" s="47" t="s">
        <v>755</v>
      </c>
      <c r="AZ16" s="43" t="str">
        <f>IF(IFERROR(ROUND(INDEX(Consulta!$A:$DD,MATCH('ZM01'!$C16,Consulta!$D:$D,0),'ZM01'!AZ$2),3),"")=0,"",IFERROR(ROUND(INDEX(Consulta!$A:$DD,MATCH('ZM01'!$C16,Consulta!$D:$D,0),'ZM01'!AZ$2),3),""))</f>
        <v/>
      </c>
      <c r="BA16" s="43" t="str">
        <f t="shared" si="41"/>
        <v/>
      </c>
      <c r="BB16" s="48" t="s">
        <v>299</v>
      </c>
      <c r="BC16" s="48"/>
      <c r="BD16" s="43" t="str">
        <f>IF(IFERROR(INDEX(Consulta!$A:$DD,MATCH('ZM01'!$C16,Consulta!$D:$D,0),'ZM01'!BD$2),"")=0,"",IFERROR(INDEX(Consulta!$A:$DD,MATCH('ZM01'!$C16,Consulta!$D:$D,0),'ZM01'!BD$2),""))</f>
        <v/>
      </c>
      <c r="BE16" s="43" t="str">
        <f t="shared" si="0"/>
        <v/>
      </c>
      <c r="BF16" s="43" t="str">
        <f t="shared" si="42"/>
        <v/>
      </c>
      <c r="BG16" s="43" t="str">
        <f t="shared" si="1"/>
        <v/>
      </c>
      <c r="BH16" s="43" t="str">
        <f t="shared" si="43"/>
        <v>PC</v>
      </c>
      <c r="BI16" s="43" t="str">
        <f t="shared" si="23"/>
        <v/>
      </c>
      <c r="BJ16" s="43" t="str">
        <f t="shared" si="24"/>
        <v/>
      </c>
      <c r="BK16" s="43" t="str">
        <f t="shared" si="25"/>
        <v/>
      </c>
      <c r="BL16" s="43" t="str">
        <f t="shared" si="44"/>
        <v>PC</v>
      </c>
      <c r="BN16" s="44"/>
      <c r="BO16" s="44" t="s">
        <v>925</v>
      </c>
      <c r="BP16" s="43" t="str">
        <f>IF(OR(IFERROR(INDEX(Consulta!$A:$DD,MATCH('ZM01'!$C16,Consulta!$D:$D,0),'ZM01'!BP$2),"")=0,IFERROR(INDEX(Consulta!$A:$DD,MATCH('ZM01'!$C16,Consulta!$D:$D,0),'ZM01'!BP$2),"")=AR16),"",IFERROR(INDEX(Consulta!$A:$DD,MATCH('ZM01'!$C16,Consulta!$D:$D,0),'ZM01'!BP$2),""))</f>
        <v/>
      </c>
      <c r="BQ16" s="45"/>
      <c r="BR16" s="46" t="str">
        <f t="shared" ca="1" si="45"/>
        <v/>
      </c>
      <c r="BS16" s="49" t="str">
        <f t="shared" si="46"/>
        <v/>
      </c>
      <c r="BT16" s="50">
        <v>1</v>
      </c>
      <c r="BU16" s="50" t="s">
        <v>194</v>
      </c>
      <c r="BV16" s="50" t="s">
        <v>194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IF(IFERROR(INDEX(Consulta!$A:$DD,MATCH('ZM01'!$C16,Consulta!$D:$D,0),'ZM01'!CB$2),"")=0,"",IFERROR(INDEX(Consulta!$A:$DD,MATCH('ZM01'!$C16,Consulta!$D:$D,0),'ZM01'!CB$2),""))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4"/>
        <v/>
      </c>
      <c r="CH16" s="45" t="s">
        <v>430</v>
      </c>
      <c r="CI16" s="44">
        <v>0</v>
      </c>
      <c r="CJ16" s="43" t="str">
        <f t="shared" si="26"/>
        <v>E</v>
      </c>
      <c r="CK16" s="43" t="str">
        <f t="shared" si="27"/>
        <v/>
      </c>
      <c r="CL16" s="44">
        <v>2</v>
      </c>
      <c r="CM16" s="49" t="str">
        <f t="shared" si="47"/>
        <v/>
      </c>
      <c r="CN16" s="49" t="str">
        <f t="shared" si="48"/>
        <v/>
      </c>
      <c r="CO16" s="43" t="str">
        <f t="shared" si="28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29"/>
        <v>K00_AO_</v>
      </c>
      <c r="CW16" s="43" t="str">
        <f t="shared" si="30"/>
        <v/>
      </c>
      <c r="CX16" s="43" t="str">
        <f t="shared" si="31"/>
        <v/>
      </c>
      <c r="CY16" s="44">
        <v>1</v>
      </c>
      <c r="CZ16" s="43" t="str">
        <f t="shared" si="32"/>
        <v/>
      </c>
      <c r="DA16" s="43" t="str">
        <f>IF(IFERROR(INDEX(Consulta!$A:$DD,MATCH('ZM01'!$C16,Consulta!$D:$D,0),'ZM01'!DA$2),"")=0,"",IFERROR(INDEX(Consulta!$A:$DD,MATCH('ZM01'!$C16,Consulta!$D:$D,0),'ZM01'!DA$2),""))</f>
        <v/>
      </c>
      <c r="DB16" s="43" t="str">
        <f>IF(IFERROR(INDEX(Consulta!$A:$DD,MATCH('ZM01'!$C16,Consulta!$D:$D,0),'ZM01'!DB$2),"")=0,"",IFERROR(INDEX(Consulta!$A:$DD,MATCH('ZM01'!$C16,Consulta!$D:$D,0),'ZM01'!DB$2),""))</f>
        <v/>
      </c>
      <c r="DC16" s="45">
        <v>0</v>
      </c>
      <c r="DD16" s="45">
        <v>0</v>
      </c>
      <c r="DE16" s="43" t="str">
        <f>IF(IFERROR(INDEX(Consulta!$A:$DD,MATCH('ZM01'!$C16,Consulta!$D:$D,0),'ZM01'!DE$2),"")=0,"",IFERROR(TEXT(VALUE(INDEX(Consulta!$A:$DD,MATCH('ZM01'!$C16,Consulta!$D:$D,0),'ZM01'!DE$2))/100,"0,00"),""))</f>
        <v/>
      </c>
      <c r="DG16" s="43">
        <f t="shared" si="49"/>
        <v>1</v>
      </c>
      <c r="DH16" s="43" t="str">
        <f>IF(IFERROR(INDEX(Consulta!$A:$DD,MATCH('ZM01'!$C16,Consulta!$D:$D,0),'ZM01'!DH$2),"")=0,"",IFERROR(VLOOKUP(INDEX(Consulta!$A:$DD,MATCH('ZM01'!$C16,Consulta!$D:$D,0),'ZM01'!DH$2),'Listas de Dados'!BU:BW,3,0),""))</f>
        <v/>
      </c>
      <c r="DI16" s="43" t="str">
        <f t="shared" ca="1" si="50"/>
        <v>11.02.2022</v>
      </c>
      <c r="DJ16" s="43" t="str">
        <f t="shared" si="51"/>
        <v>31.12.9999</v>
      </c>
      <c r="DL16" s="44">
        <v>1</v>
      </c>
      <c r="DM16" s="44" t="s">
        <v>1039</v>
      </c>
      <c r="DN16" s="44">
        <v>1</v>
      </c>
      <c r="DO16" s="43">
        <f t="shared" si="33"/>
        <v>1</v>
      </c>
      <c r="DP16" s="43" t="str">
        <f t="shared" si="34"/>
        <v>PC</v>
      </c>
      <c r="DQ16" s="43" t="str">
        <f t="shared" si="35"/>
        <v/>
      </c>
      <c r="DR16" s="44">
        <v>100</v>
      </c>
      <c r="DS16" s="71">
        <f t="shared" si="20"/>
        <v>1</v>
      </c>
      <c r="DT16" s="43">
        <f t="shared" si="52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3">
      <c r="A17" s="7" t="str">
        <f t="shared" si="2"/>
        <v>Execução 13</v>
      </c>
      <c r="B17" s="79"/>
      <c r="C17" s="85"/>
      <c r="D17" s="71" t="str">
        <f t="shared" si="36"/>
        <v/>
      </c>
      <c r="E17" s="71" t="str">
        <f t="shared" si="37"/>
        <v/>
      </c>
      <c r="F17" s="43" t="str">
        <f>IF(IFERROR(INDEX(Consulta!$A:$DD,MATCH('ZM01'!$C17,Consulta!$D:$D,0),'ZM01'!F$2),"")=0,"",IFERROR(INDEX(Consulta!$A:$DD,MATCH('ZM01'!$C17,Consulta!$D:$D,0),'ZM01'!F$2),""))</f>
        <v/>
      </c>
      <c r="G17" s="43" t="str">
        <f>IF(IFERROR(INDEX(Consulta!$A:$DD,MATCH('ZM01'!$C17,Consulta!$D:$D,0),'ZM01'!G$2),"")=0,"",IFERROR(INDEX(Consulta!$A:$DD,MATCH('ZM01'!$C17,Consulta!$D:$D,0),'ZM01'!G$2),""))</f>
        <v/>
      </c>
      <c r="H17" s="43" t="str">
        <f t="shared" si="22"/>
        <v/>
      </c>
      <c r="I17" s="44" t="s">
        <v>100</v>
      </c>
      <c r="J17" s="43" t="str">
        <f>IF(IFERROR(INDEX(Consulta!$A:$DD,MATCH('ZM01'!$C17,Consulta!$D:$D,0),'ZM01'!J$2),"")=0,"",IFERROR(INDEX(Consulta!$A:$DD,MATCH('ZM01'!$C17,Consulta!$D:$D,0),'ZM01'!J$2),""))</f>
        <v/>
      </c>
      <c r="K17" s="43" t="str">
        <f>IF(IFERROR(INDEX(Consulta!$A:$DD,MATCH('ZM01'!$C17,Consulta!$D:$D,0),'ZM01'!K$2),"")=0,"",IFERROR(INDEX(Consulta!$A:$DD,MATCH('ZM01'!$C17,Consulta!$D:$D,0),'ZM01'!K$2),""))</f>
        <v/>
      </c>
      <c r="L17" s="43" t="str">
        <f t="shared" si="38"/>
        <v/>
      </c>
      <c r="M17" s="43" t="str">
        <f>IF(IFERROR(INDEX(Consulta!$A:$DD,MATCH('ZM01'!$C17,Consulta!$D:$D,0),'ZM01'!M$2),"")=0,"",IFERROR(INDEX(Consulta!$A:$DD,MATCH('ZM01'!$C17,Consulta!$D:$D,0),'ZM01'!M$2),""))</f>
        <v/>
      </c>
      <c r="N17" s="43" t="str">
        <f t="shared" si="39"/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IF(IFERROR(INDEX(Consulta!$A:$DD,MATCH('ZM01'!$C17,Consulta!$D:$D,0),'ZM01'!AS$2),"")=0,"",IFERROR(INDEX(Consulta!$A:$DD,MATCH('ZM01'!$C17,Consulta!$D:$D,0),'ZM01'!AS$2),""))</f>
        <v/>
      </c>
      <c r="AT17" s="45"/>
      <c r="AU17" s="43" t="str">
        <f>IF(IFERROR(INDEX(Consulta!$A:$DD,MATCH('ZM01'!$C17,Consulta!$D:$D,0),'ZM01'!AU$2),"")=0,"",IFERROR(INDEX(Consulta!$A:$DD,MATCH('ZM01'!$C17,Consulta!$D:$D,0),'ZM01'!AU$2),""))</f>
        <v/>
      </c>
      <c r="AV17" s="43" t="str">
        <f>IF(IFERROR(INDEX(Consulta!$A:$DD,MATCH('ZM01'!$C17,Consulta!$D:$D,0),'ZM01'!AV$2),"")=0,"",IFERROR(INDEX(Consulta!$A:$DD,MATCH('ZM01'!$C17,Consulta!$D:$D,0),'ZM01'!AV$2),""))</f>
        <v/>
      </c>
      <c r="AW17" s="45"/>
      <c r="AX17" s="46" t="str">
        <f t="shared" ca="1" si="40"/>
        <v/>
      </c>
      <c r="AY17" s="47" t="s">
        <v>755</v>
      </c>
      <c r="AZ17" s="43" t="str">
        <f>IF(IFERROR(ROUND(INDEX(Consulta!$A:$DD,MATCH('ZM01'!$C17,Consulta!$D:$D,0),'ZM01'!AZ$2),3),"")=0,"",IFERROR(ROUND(INDEX(Consulta!$A:$DD,MATCH('ZM01'!$C17,Consulta!$D:$D,0),'ZM01'!AZ$2),3),""))</f>
        <v/>
      </c>
      <c r="BA17" s="43" t="str">
        <f t="shared" si="41"/>
        <v/>
      </c>
      <c r="BB17" s="48" t="s">
        <v>299</v>
      </c>
      <c r="BC17" s="48"/>
      <c r="BD17" s="43" t="str">
        <f>IF(IFERROR(INDEX(Consulta!$A:$DD,MATCH('ZM01'!$C17,Consulta!$D:$D,0),'ZM01'!BD$2),"")=0,"",IFERROR(INDEX(Consulta!$A:$DD,MATCH('ZM01'!$C17,Consulta!$D:$D,0),'ZM01'!BD$2),""))</f>
        <v/>
      </c>
      <c r="BE17" s="43" t="str">
        <f t="shared" si="0"/>
        <v/>
      </c>
      <c r="BF17" s="43" t="str">
        <f t="shared" si="42"/>
        <v/>
      </c>
      <c r="BG17" s="43" t="str">
        <f t="shared" si="1"/>
        <v/>
      </c>
      <c r="BH17" s="43" t="str">
        <f t="shared" si="43"/>
        <v>PC</v>
      </c>
      <c r="BI17" s="43" t="str">
        <f t="shared" si="23"/>
        <v/>
      </c>
      <c r="BJ17" s="43" t="str">
        <f t="shared" si="24"/>
        <v/>
      </c>
      <c r="BK17" s="43" t="str">
        <f t="shared" si="25"/>
        <v/>
      </c>
      <c r="BL17" s="43" t="str">
        <f t="shared" si="44"/>
        <v>PC</v>
      </c>
      <c r="BN17" s="44"/>
      <c r="BO17" s="44" t="s">
        <v>925</v>
      </c>
      <c r="BP17" s="43" t="str">
        <f>IF(OR(IFERROR(INDEX(Consulta!$A:$DD,MATCH('ZM01'!$C17,Consulta!$D:$D,0),'ZM01'!BP$2),"")=0,IFERROR(INDEX(Consulta!$A:$DD,MATCH('ZM01'!$C17,Consulta!$D:$D,0),'ZM01'!BP$2),"")=AR17),"",IFERROR(INDEX(Consulta!$A:$DD,MATCH('ZM01'!$C17,Consulta!$D:$D,0),'ZM01'!BP$2),""))</f>
        <v/>
      </c>
      <c r="BQ17" s="45"/>
      <c r="BR17" s="46" t="str">
        <f t="shared" ca="1" si="45"/>
        <v/>
      </c>
      <c r="BS17" s="49" t="str">
        <f t="shared" si="46"/>
        <v/>
      </c>
      <c r="BT17" s="50">
        <v>1</v>
      </c>
      <c r="BU17" s="50" t="s">
        <v>194</v>
      </c>
      <c r="BV17" s="50" t="s">
        <v>194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IF(IFERROR(INDEX(Consulta!$A:$DD,MATCH('ZM01'!$C17,Consulta!$D:$D,0),'ZM01'!CB$2),"")=0,"",IFERROR(INDEX(Consulta!$A:$DD,MATCH('ZM01'!$C17,Consulta!$D:$D,0),'ZM01'!CB$2),""))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si="14"/>
        <v/>
      </c>
      <c r="CH17" s="45" t="s">
        <v>430</v>
      </c>
      <c r="CI17" s="44">
        <v>0</v>
      </c>
      <c r="CJ17" s="43" t="str">
        <f t="shared" si="26"/>
        <v>E</v>
      </c>
      <c r="CK17" s="43" t="str">
        <f t="shared" si="27"/>
        <v/>
      </c>
      <c r="CL17" s="44">
        <v>2</v>
      </c>
      <c r="CM17" s="49" t="str">
        <f t="shared" si="47"/>
        <v/>
      </c>
      <c r="CN17" s="49" t="str">
        <f t="shared" si="48"/>
        <v/>
      </c>
      <c r="CO17" s="43" t="str">
        <f t="shared" si="28"/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si="29"/>
        <v>K00_AO_</v>
      </c>
      <c r="CW17" s="43" t="str">
        <f t="shared" si="30"/>
        <v/>
      </c>
      <c r="CX17" s="43" t="str">
        <f t="shared" si="31"/>
        <v/>
      </c>
      <c r="CY17" s="44">
        <v>1</v>
      </c>
      <c r="CZ17" s="43" t="str">
        <f t="shared" si="32"/>
        <v/>
      </c>
      <c r="DA17" s="43" t="str">
        <f>IF(IFERROR(INDEX(Consulta!$A:$DD,MATCH('ZM01'!$C17,Consulta!$D:$D,0),'ZM01'!DA$2),"")=0,"",IFERROR(INDEX(Consulta!$A:$DD,MATCH('ZM01'!$C17,Consulta!$D:$D,0),'ZM01'!DA$2),""))</f>
        <v/>
      </c>
      <c r="DB17" s="43" t="str">
        <f>IF(IFERROR(INDEX(Consulta!$A:$DD,MATCH('ZM01'!$C17,Consulta!$D:$D,0),'ZM01'!DB$2),"")=0,"",IFERROR(INDEX(Consulta!$A:$DD,MATCH('ZM01'!$C17,Consulta!$D:$D,0),'ZM01'!DB$2),""))</f>
        <v/>
      </c>
      <c r="DC17" s="45">
        <v>0</v>
      </c>
      <c r="DD17" s="45">
        <v>0</v>
      </c>
      <c r="DE17" s="43" t="str">
        <f>IF(IFERROR(INDEX(Consulta!$A:$DD,MATCH('ZM01'!$C17,Consulta!$D:$D,0),'ZM01'!DE$2),"")=0,"",IFERROR(TEXT(VALUE(INDEX(Consulta!$A:$DD,MATCH('ZM01'!$C17,Consulta!$D:$D,0),'ZM01'!DE$2))/100,"0,00"),""))</f>
        <v/>
      </c>
      <c r="DG17" s="43">
        <f t="shared" si="49"/>
        <v>1</v>
      </c>
      <c r="DH17" s="43" t="str">
        <f>IF(IFERROR(INDEX(Consulta!$A:$DD,MATCH('ZM01'!$C17,Consulta!$D:$D,0),'ZM01'!DH$2),"")=0,"",IFERROR(VLOOKUP(INDEX(Consulta!$A:$DD,MATCH('ZM01'!$C17,Consulta!$D:$D,0),'ZM01'!DH$2),'Listas de Dados'!BU:BW,3,0),""))</f>
        <v/>
      </c>
      <c r="DI17" s="43" t="str">
        <f t="shared" ca="1" si="50"/>
        <v>11.02.2022</v>
      </c>
      <c r="DJ17" s="43" t="str">
        <f t="shared" si="51"/>
        <v>31.12.9999</v>
      </c>
      <c r="DL17" s="44">
        <v>1</v>
      </c>
      <c r="DM17" s="44" t="s">
        <v>1039</v>
      </c>
      <c r="DN17" s="44">
        <v>1</v>
      </c>
      <c r="DO17" s="43">
        <f t="shared" si="33"/>
        <v>1</v>
      </c>
      <c r="DP17" s="43" t="str">
        <f t="shared" si="34"/>
        <v>PC</v>
      </c>
      <c r="DQ17" s="43" t="str">
        <f t="shared" si="35"/>
        <v/>
      </c>
      <c r="DR17" s="44">
        <v>100</v>
      </c>
      <c r="DS17" s="71">
        <f t="shared" si="20"/>
        <v>1</v>
      </c>
      <c r="DT17" s="43">
        <f t="shared" si="52"/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3">
      <c r="A18" s="7" t="str">
        <f t="shared" si="2"/>
        <v>Execução 14</v>
      </c>
      <c r="B18" s="75"/>
      <c r="C18" s="85"/>
      <c r="D18" s="71" t="str">
        <f t="shared" si="36"/>
        <v/>
      </c>
      <c r="E18" s="71" t="str">
        <f t="shared" si="37"/>
        <v/>
      </c>
      <c r="F18" s="43" t="str">
        <f>IF(IFERROR(INDEX(Consulta!$A:$DD,MATCH('ZM01'!$C18,Consulta!$D:$D,0),'ZM01'!F$2),"")=0,"",IFERROR(INDEX(Consulta!$A:$DD,MATCH('ZM01'!$C18,Consulta!$D:$D,0),'ZM01'!F$2),""))</f>
        <v/>
      </c>
      <c r="G18" s="43" t="str">
        <f>IF(IFERROR(INDEX(Consulta!$A:$DD,MATCH('ZM01'!$C18,Consulta!$D:$D,0),'ZM01'!G$2),"")=0,"",IFERROR(INDEX(Consulta!$A:$DD,MATCH('ZM01'!$C18,Consulta!$D:$D,0),'ZM01'!G$2),""))</f>
        <v/>
      </c>
      <c r="H18" s="43" t="str">
        <f t="shared" si="22"/>
        <v/>
      </c>
      <c r="I18" s="44" t="s">
        <v>100</v>
      </c>
      <c r="J18" s="43" t="str">
        <f>IF(IFERROR(INDEX(Consulta!$A:$DD,MATCH('ZM01'!$C18,Consulta!$D:$D,0),'ZM01'!J$2),"")=0,"",IFERROR(INDEX(Consulta!$A:$DD,MATCH('ZM01'!$C18,Consulta!$D:$D,0),'ZM01'!J$2),""))</f>
        <v/>
      </c>
      <c r="K18" s="43" t="str">
        <f>IF(IFERROR(INDEX(Consulta!$A:$DD,MATCH('ZM01'!$C18,Consulta!$D:$D,0),'ZM01'!K$2),"")=0,"",IFERROR(INDEX(Consulta!$A:$DD,MATCH('ZM01'!$C18,Consulta!$D:$D,0),'ZM01'!K$2),""))</f>
        <v/>
      </c>
      <c r="L18" s="43" t="str">
        <f t="shared" si="38"/>
        <v/>
      </c>
      <c r="M18" s="43" t="str">
        <f>IF(IFERROR(INDEX(Consulta!$A:$DD,MATCH('ZM01'!$C18,Consulta!$D:$D,0),'ZM01'!M$2),"")=0,"",IFERROR(INDEX(Consulta!$A:$DD,MATCH('ZM01'!$C18,Consulta!$D:$D,0),'ZM01'!M$2),""))</f>
        <v/>
      </c>
      <c r="N18" s="43" t="str">
        <f t="shared" si="39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IF(IFERROR(INDEX(Consulta!$A:$DD,MATCH('ZM01'!$C18,Consulta!$D:$D,0),'ZM01'!AS$2),"")=0,"",IFERROR(INDEX(Consulta!$A:$DD,MATCH('ZM01'!$C18,Consulta!$D:$D,0),'ZM01'!AS$2),""))</f>
        <v/>
      </c>
      <c r="AT18" s="45"/>
      <c r="AU18" s="43" t="str">
        <f>IF(IFERROR(INDEX(Consulta!$A:$DD,MATCH('ZM01'!$C18,Consulta!$D:$D,0),'ZM01'!AU$2),"")=0,"",IFERROR(INDEX(Consulta!$A:$DD,MATCH('ZM01'!$C18,Consulta!$D:$D,0),'ZM01'!AU$2),""))</f>
        <v/>
      </c>
      <c r="AV18" s="43" t="str">
        <f>IF(IFERROR(INDEX(Consulta!$A:$DD,MATCH('ZM01'!$C18,Consulta!$D:$D,0),'ZM01'!AV$2),"")=0,"",IFERROR(INDEX(Consulta!$A:$DD,MATCH('ZM01'!$C18,Consulta!$D:$D,0),'ZM01'!AV$2),""))</f>
        <v/>
      </c>
      <c r="AW18" s="45"/>
      <c r="AX18" s="46" t="str">
        <f t="shared" ca="1" si="40"/>
        <v/>
      </c>
      <c r="AY18" s="47" t="s">
        <v>755</v>
      </c>
      <c r="AZ18" s="43" t="str">
        <f>IF(IFERROR(ROUND(INDEX(Consulta!$A:$DD,MATCH('ZM01'!$C18,Consulta!$D:$D,0),'ZM01'!AZ$2),3),"")=0,"",IFERROR(ROUND(INDEX(Consulta!$A:$DD,MATCH('ZM01'!$C18,Consulta!$D:$D,0),'ZM01'!AZ$2),3),""))</f>
        <v/>
      </c>
      <c r="BA18" s="43" t="str">
        <f t="shared" si="41"/>
        <v/>
      </c>
      <c r="BB18" s="48" t="s">
        <v>299</v>
      </c>
      <c r="BC18" s="48"/>
      <c r="BD18" s="43" t="str">
        <f>IF(IFERROR(INDEX(Consulta!$A:$DD,MATCH('ZM01'!$C18,Consulta!$D:$D,0),'ZM01'!BD$2),"")=0,"",IFERROR(INDEX(Consulta!$A:$DD,MATCH('ZM01'!$C18,Consulta!$D:$D,0),'ZM01'!BD$2),""))</f>
        <v/>
      </c>
      <c r="BE18" s="43" t="str">
        <f t="shared" si="0"/>
        <v/>
      </c>
      <c r="BF18" s="43" t="str">
        <f t="shared" si="42"/>
        <v/>
      </c>
      <c r="BG18" s="43" t="str">
        <f t="shared" si="1"/>
        <v/>
      </c>
      <c r="BH18" s="43" t="str">
        <f t="shared" si="43"/>
        <v>PC</v>
      </c>
      <c r="BI18" s="43" t="str">
        <f t="shared" si="23"/>
        <v/>
      </c>
      <c r="BJ18" s="43" t="str">
        <f t="shared" si="24"/>
        <v/>
      </c>
      <c r="BK18" s="43" t="str">
        <f t="shared" si="25"/>
        <v/>
      </c>
      <c r="BL18" s="43" t="str">
        <f t="shared" si="44"/>
        <v>PC</v>
      </c>
      <c r="BN18" s="44"/>
      <c r="BO18" s="44" t="s">
        <v>925</v>
      </c>
      <c r="BP18" s="43" t="str">
        <f>IF(OR(IFERROR(INDEX(Consulta!$A:$DD,MATCH('ZM01'!$C18,Consulta!$D:$D,0),'ZM01'!BP$2),"")=0,IFERROR(INDEX(Consulta!$A:$DD,MATCH('ZM01'!$C18,Consulta!$D:$D,0),'ZM01'!BP$2),"")=AR18),"",IFERROR(INDEX(Consulta!$A:$DD,MATCH('ZM01'!$C18,Consulta!$D:$D,0),'ZM01'!BP$2),""))</f>
        <v/>
      </c>
      <c r="BQ18" s="45"/>
      <c r="BR18" s="46" t="str">
        <f t="shared" ca="1" si="45"/>
        <v/>
      </c>
      <c r="BS18" s="49" t="str">
        <f t="shared" si="46"/>
        <v/>
      </c>
      <c r="BT18" s="50">
        <v>1</v>
      </c>
      <c r="BU18" s="50" t="s">
        <v>194</v>
      </c>
      <c r="BV18" s="50" t="s">
        <v>194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IF(IFERROR(INDEX(Consulta!$A:$DD,MATCH('ZM01'!$C18,Consulta!$D:$D,0),'ZM01'!CB$2),"")=0,"",IFERROR(INDEX(Consulta!$A:$DD,MATCH('ZM01'!$C18,Consulta!$D:$D,0),'ZM01'!CB$2),""))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14"/>
        <v/>
      </c>
      <c r="CH18" s="45" t="s">
        <v>430</v>
      </c>
      <c r="CI18" s="44">
        <v>0</v>
      </c>
      <c r="CJ18" s="43" t="str">
        <f t="shared" si="26"/>
        <v>E</v>
      </c>
      <c r="CK18" s="43" t="str">
        <f t="shared" si="27"/>
        <v/>
      </c>
      <c r="CL18" s="44">
        <v>2</v>
      </c>
      <c r="CM18" s="49" t="str">
        <f t="shared" si="47"/>
        <v/>
      </c>
      <c r="CN18" s="49" t="str">
        <f t="shared" si="48"/>
        <v/>
      </c>
      <c r="CO18" s="43" t="str">
        <f t="shared" si="28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29"/>
        <v>K00_AO_</v>
      </c>
      <c r="CW18" s="43" t="str">
        <f t="shared" si="30"/>
        <v/>
      </c>
      <c r="CX18" s="43" t="str">
        <f t="shared" si="31"/>
        <v/>
      </c>
      <c r="CY18" s="44">
        <v>1</v>
      </c>
      <c r="CZ18" s="43" t="str">
        <f t="shared" si="32"/>
        <v/>
      </c>
      <c r="DA18" s="43" t="str">
        <f>IF(IFERROR(INDEX(Consulta!$A:$DD,MATCH('ZM01'!$C18,Consulta!$D:$D,0),'ZM01'!DA$2),"")=0,"",IFERROR(INDEX(Consulta!$A:$DD,MATCH('ZM01'!$C18,Consulta!$D:$D,0),'ZM01'!DA$2),""))</f>
        <v/>
      </c>
      <c r="DB18" s="43" t="str">
        <f>IF(IFERROR(INDEX(Consulta!$A:$DD,MATCH('ZM01'!$C18,Consulta!$D:$D,0),'ZM01'!DB$2),"")=0,"",IFERROR(INDEX(Consulta!$A:$DD,MATCH('ZM01'!$C18,Consulta!$D:$D,0),'ZM01'!DB$2),""))</f>
        <v/>
      </c>
      <c r="DC18" s="45">
        <v>0</v>
      </c>
      <c r="DD18" s="45">
        <v>0</v>
      </c>
      <c r="DE18" s="43" t="str">
        <f>IF(IFERROR(INDEX(Consulta!$A:$DD,MATCH('ZM01'!$C18,Consulta!$D:$D,0),'ZM01'!DE$2),"")=0,"",IFERROR(TEXT(VALUE(INDEX(Consulta!$A:$DD,MATCH('ZM01'!$C18,Consulta!$D:$D,0),'ZM01'!DE$2))/100,"0,00"),""))</f>
        <v/>
      </c>
      <c r="DG18" s="43">
        <f t="shared" si="49"/>
        <v>1</v>
      </c>
      <c r="DH18" s="43" t="str">
        <f>IF(IFERROR(INDEX(Consulta!$A:$DD,MATCH('ZM01'!$C18,Consulta!$D:$D,0),'ZM01'!DH$2),"")=0,"",IFERROR(VLOOKUP(INDEX(Consulta!$A:$DD,MATCH('ZM01'!$C18,Consulta!$D:$D,0),'ZM01'!DH$2),'Listas de Dados'!BU:BW,3,0),""))</f>
        <v/>
      </c>
      <c r="DI18" s="43" t="str">
        <f t="shared" ca="1" si="50"/>
        <v>11.02.2022</v>
      </c>
      <c r="DJ18" s="43" t="str">
        <f t="shared" si="51"/>
        <v>31.12.9999</v>
      </c>
      <c r="DL18" s="44">
        <v>1</v>
      </c>
      <c r="DM18" s="44" t="s">
        <v>1039</v>
      </c>
      <c r="DN18" s="44">
        <v>1</v>
      </c>
      <c r="DO18" s="43">
        <f t="shared" si="33"/>
        <v>1</v>
      </c>
      <c r="DP18" s="43" t="str">
        <f t="shared" si="34"/>
        <v>PC</v>
      </c>
      <c r="DQ18" s="43" t="str">
        <f t="shared" si="35"/>
        <v/>
      </c>
      <c r="DR18" s="44">
        <v>100</v>
      </c>
      <c r="DS18" s="71">
        <f t="shared" si="20"/>
        <v>1</v>
      </c>
      <c r="DT18" s="43">
        <f t="shared" si="52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3">
      <c r="A19" s="7" t="str">
        <f t="shared" si="2"/>
        <v>Execução 15</v>
      </c>
      <c r="B19" s="79"/>
      <c r="C19" s="85"/>
      <c r="D19" s="71" t="str">
        <f t="shared" si="36"/>
        <v/>
      </c>
      <c r="E19" s="71" t="str">
        <f t="shared" si="37"/>
        <v/>
      </c>
      <c r="F19" s="43" t="str">
        <f>IF(IFERROR(INDEX(Consulta!$A:$DD,MATCH('ZM01'!$C19,Consulta!$D:$D,0),'ZM01'!F$2),"")=0,"",IFERROR(INDEX(Consulta!$A:$DD,MATCH('ZM01'!$C19,Consulta!$D:$D,0),'ZM01'!F$2),""))</f>
        <v/>
      </c>
      <c r="G19" s="43" t="str">
        <f>IF(IFERROR(INDEX(Consulta!$A:$DD,MATCH('ZM01'!$C19,Consulta!$D:$D,0),'ZM01'!G$2),"")=0,"",IFERROR(INDEX(Consulta!$A:$DD,MATCH('ZM01'!$C19,Consulta!$D:$D,0),'ZM01'!G$2),""))</f>
        <v/>
      </c>
      <c r="H19" s="43" t="str">
        <f t="shared" si="22"/>
        <v/>
      </c>
      <c r="I19" s="44" t="s">
        <v>100</v>
      </c>
      <c r="J19" s="43" t="str">
        <f>IF(IFERROR(INDEX(Consulta!$A:$DD,MATCH('ZM01'!$C19,Consulta!$D:$D,0),'ZM01'!J$2),"")=0,"",IFERROR(INDEX(Consulta!$A:$DD,MATCH('ZM01'!$C19,Consulta!$D:$D,0),'ZM01'!J$2),""))</f>
        <v/>
      </c>
      <c r="K19" s="43" t="str">
        <f>IF(IFERROR(INDEX(Consulta!$A:$DD,MATCH('ZM01'!$C19,Consulta!$D:$D,0),'ZM01'!K$2),"")=0,"",IFERROR(INDEX(Consulta!$A:$DD,MATCH('ZM01'!$C19,Consulta!$D:$D,0),'ZM01'!K$2),""))</f>
        <v/>
      </c>
      <c r="L19" s="43" t="str">
        <f t="shared" si="38"/>
        <v/>
      </c>
      <c r="M19" s="43" t="str">
        <f>IF(IFERROR(INDEX(Consulta!$A:$DD,MATCH('ZM01'!$C19,Consulta!$D:$D,0),'ZM01'!M$2),"")=0,"",IFERROR(INDEX(Consulta!$A:$DD,MATCH('ZM01'!$C19,Consulta!$D:$D,0),'ZM01'!M$2),""))</f>
        <v/>
      </c>
      <c r="N19" s="43" t="str">
        <f t="shared" si="39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IF(IFERROR(INDEX(Consulta!$A:$DD,MATCH('ZM01'!$C19,Consulta!$D:$D,0),'ZM01'!AS$2),"")=0,"",IFERROR(INDEX(Consulta!$A:$DD,MATCH('ZM01'!$C19,Consulta!$D:$D,0),'ZM01'!AS$2),""))</f>
        <v/>
      </c>
      <c r="AT19" s="45"/>
      <c r="AU19" s="43" t="str">
        <f>IF(IFERROR(INDEX(Consulta!$A:$DD,MATCH('ZM01'!$C19,Consulta!$D:$D,0),'ZM01'!AU$2),"")=0,"",IFERROR(INDEX(Consulta!$A:$DD,MATCH('ZM01'!$C19,Consulta!$D:$D,0),'ZM01'!AU$2),""))</f>
        <v/>
      </c>
      <c r="AV19" s="43" t="str">
        <f>IF(IFERROR(INDEX(Consulta!$A:$DD,MATCH('ZM01'!$C19,Consulta!$D:$D,0),'ZM01'!AV$2),"")=0,"",IFERROR(INDEX(Consulta!$A:$DD,MATCH('ZM01'!$C19,Consulta!$D:$D,0),'ZM01'!AV$2),""))</f>
        <v/>
      </c>
      <c r="AW19" s="45"/>
      <c r="AX19" s="46" t="str">
        <f t="shared" ca="1" si="40"/>
        <v/>
      </c>
      <c r="AY19" s="47" t="s">
        <v>755</v>
      </c>
      <c r="AZ19" s="43" t="str">
        <f>IF(IFERROR(ROUND(INDEX(Consulta!$A:$DD,MATCH('ZM01'!$C19,Consulta!$D:$D,0),'ZM01'!AZ$2),3),"")=0,"",IFERROR(ROUND(INDEX(Consulta!$A:$DD,MATCH('ZM01'!$C19,Consulta!$D:$D,0),'ZM01'!AZ$2),3),""))</f>
        <v/>
      </c>
      <c r="BA19" s="43" t="str">
        <f t="shared" si="41"/>
        <v/>
      </c>
      <c r="BB19" s="48" t="s">
        <v>299</v>
      </c>
      <c r="BC19" s="48"/>
      <c r="BD19" s="43" t="str">
        <f>IF(IFERROR(INDEX(Consulta!$A:$DD,MATCH('ZM01'!$C19,Consulta!$D:$D,0),'ZM01'!BD$2),"")=0,"",IFERROR(INDEX(Consulta!$A:$DD,MATCH('ZM01'!$C19,Consulta!$D:$D,0),'ZM01'!BD$2),""))</f>
        <v/>
      </c>
      <c r="BE19" s="43" t="str">
        <f t="shared" si="0"/>
        <v/>
      </c>
      <c r="BF19" s="43" t="str">
        <f t="shared" si="42"/>
        <v/>
      </c>
      <c r="BG19" s="43" t="str">
        <f t="shared" si="1"/>
        <v/>
      </c>
      <c r="BH19" s="43" t="str">
        <f t="shared" si="43"/>
        <v>PC</v>
      </c>
      <c r="BI19" s="43" t="str">
        <f t="shared" si="23"/>
        <v/>
      </c>
      <c r="BJ19" s="43" t="str">
        <f t="shared" si="24"/>
        <v/>
      </c>
      <c r="BK19" s="43" t="str">
        <f t="shared" si="25"/>
        <v/>
      </c>
      <c r="BL19" s="43" t="str">
        <f t="shared" si="44"/>
        <v>PC</v>
      </c>
      <c r="BN19" s="44"/>
      <c r="BO19" s="44" t="s">
        <v>925</v>
      </c>
      <c r="BP19" s="43" t="str">
        <f>IF(OR(IFERROR(INDEX(Consulta!$A:$DD,MATCH('ZM01'!$C19,Consulta!$D:$D,0),'ZM01'!BP$2),"")=0,IFERROR(INDEX(Consulta!$A:$DD,MATCH('ZM01'!$C19,Consulta!$D:$D,0),'ZM01'!BP$2),"")=AR19),"",IFERROR(INDEX(Consulta!$A:$DD,MATCH('ZM01'!$C19,Consulta!$D:$D,0),'ZM01'!BP$2),""))</f>
        <v/>
      </c>
      <c r="BQ19" s="45"/>
      <c r="BR19" s="46" t="str">
        <f t="shared" ca="1" si="45"/>
        <v/>
      </c>
      <c r="BS19" s="49" t="str">
        <f t="shared" si="46"/>
        <v/>
      </c>
      <c r="BT19" s="50">
        <v>1</v>
      </c>
      <c r="BU19" s="50" t="s">
        <v>194</v>
      </c>
      <c r="BV19" s="50" t="s">
        <v>194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IF(IFERROR(INDEX(Consulta!$A:$DD,MATCH('ZM01'!$C19,Consulta!$D:$D,0),'ZM01'!CB$2),"")=0,"",IFERROR(INDEX(Consulta!$A:$DD,MATCH('ZM01'!$C19,Consulta!$D:$D,0),'ZM01'!CB$2),""))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14"/>
        <v/>
      </c>
      <c r="CH19" s="45" t="s">
        <v>430</v>
      </c>
      <c r="CI19" s="44">
        <v>0</v>
      </c>
      <c r="CJ19" s="43" t="str">
        <f t="shared" si="26"/>
        <v>E</v>
      </c>
      <c r="CK19" s="43" t="str">
        <f t="shared" si="27"/>
        <v/>
      </c>
      <c r="CL19" s="44">
        <v>2</v>
      </c>
      <c r="CM19" s="49" t="str">
        <f t="shared" si="47"/>
        <v/>
      </c>
      <c r="CN19" s="49" t="str">
        <f t="shared" si="48"/>
        <v/>
      </c>
      <c r="CO19" s="43" t="str">
        <f t="shared" si="28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29"/>
        <v>K00_AO_</v>
      </c>
      <c r="CW19" s="43" t="str">
        <f t="shared" si="30"/>
        <v/>
      </c>
      <c r="CX19" s="43" t="str">
        <f t="shared" si="31"/>
        <v/>
      </c>
      <c r="CY19" s="44">
        <v>1</v>
      </c>
      <c r="CZ19" s="43" t="str">
        <f t="shared" si="32"/>
        <v/>
      </c>
      <c r="DA19" s="43" t="str">
        <f>IF(IFERROR(INDEX(Consulta!$A:$DD,MATCH('ZM01'!$C19,Consulta!$D:$D,0),'ZM01'!DA$2),"")=0,"",IFERROR(INDEX(Consulta!$A:$DD,MATCH('ZM01'!$C19,Consulta!$D:$D,0),'ZM01'!DA$2),""))</f>
        <v/>
      </c>
      <c r="DB19" s="43" t="str">
        <f>IF(IFERROR(INDEX(Consulta!$A:$DD,MATCH('ZM01'!$C19,Consulta!$D:$D,0),'ZM01'!DB$2),"")=0,"",IFERROR(INDEX(Consulta!$A:$DD,MATCH('ZM01'!$C19,Consulta!$D:$D,0),'ZM01'!DB$2),""))</f>
        <v/>
      </c>
      <c r="DC19" s="45">
        <v>0</v>
      </c>
      <c r="DD19" s="45">
        <v>0</v>
      </c>
      <c r="DE19" s="43" t="str">
        <f>IF(IFERROR(INDEX(Consulta!$A:$DD,MATCH('ZM01'!$C19,Consulta!$D:$D,0),'ZM01'!DE$2),"")=0,"",IFERROR(TEXT(VALUE(INDEX(Consulta!$A:$DD,MATCH('ZM01'!$C19,Consulta!$D:$D,0),'ZM01'!DE$2))/100,"0,00"),""))</f>
        <v/>
      </c>
      <c r="DG19" s="43">
        <f t="shared" si="49"/>
        <v>1</v>
      </c>
      <c r="DH19" s="43" t="str">
        <f>IF(IFERROR(INDEX(Consulta!$A:$DD,MATCH('ZM01'!$C19,Consulta!$D:$D,0),'ZM01'!DH$2),"")=0,"",IFERROR(VLOOKUP(INDEX(Consulta!$A:$DD,MATCH('ZM01'!$C19,Consulta!$D:$D,0),'ZM01'!DH$2),'Listas de Dados'!BU:BW,3,0),""))</f>
        <v/>
      </c>
      <c r="DI19" s="43" t="str">
        <f t="shared" ca="1" si="50"/>
        <v>11.02.2022</v>
      </c>
      <c r="DJ19" s="43" t="str">
        <f t="shared" si="51"/>
        <v>31.12.9999</v>
      </c>
      <c r="DL19" s="44">
        <v>1</v>
      </c>
      <c r="DM19" s="44" t="s">
        <v>1039</v>
      </c>
      <c r="DN19" s="44">
        <v>1</v>
      </c>
      <c r="DO19" s="43">
        <f t="shared" si="33"/>
        <v>1</v>
      </c>
      <c r="DP19" s="43" t="str">
        <f t="shared" si="34"/>
        <v>PC</v>
      </c>
      <c r="DQ19" s="43" t="str">
        <f t="shared" si="35"/>
        <v/>
      </c>
      <c r="DR19" s="44">
        <v>100</v>
      </c>
      <c r="DS19" s="71">
        <f t="shared" si="20"/>
        <v>1</v>
      </c>
      <c r="DT19" s="43">
        <f t="shared" si="52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3">
      <c r="A20" s="7" t="str">
        <f t="shared" si="2"/>
        <v>Execução 16</v>
      </c>
      <c r="B20" s="75"/>
      <c r="C20" s="85"/>
      <c r="D20" s="71" t="str">
        <f t="shared" si="36"/>
        <v/>
      </c>
      <c r="E20" s="71" t="str">
        <f t="shared" si="37"/>
        <v/>
      </c>
      <c r="F20" s="43" t="str">
        <f>IF(IFERROR(INDEX(Consulta!$A:$DD,MATCH('ZM01'!$C20,Consulta!$D:$D,0),'ZM01'!F$2),"")=0,"",IFERROR(INDEX(Consulta!$A:$DD,MATCH('ZM01'!$C20,Consulta!$D:$D,0),'ZM01'!F$2),""))</f>
        <v/>
      </c>
      <c r="G20" s="43" t="str">
        <f>IF(IFERROR(INDEX(Consulta!$A:$DD,MATCH('ZM01'!$C20,Consulta!$D:$D,0),'ZM01'!G$2),"")=0,"",IFERROR(INDEX(Consulta!$A:$DD,MATCH('ZM01'!$C20,Consulta!$D:$D,0),'ZM01'!G$2),""))</f>
        <v/>
      </c>
      <c r="H20" s="43" t="str">
        <f t="shared" si="22"/>
        <v/>
      </c>
      <c r="I20" s="44" t="s">
        <v>100</v>
      </c>
      <c r="J20" s="43" t="str">
        <f>IF(IFERROR(INDEX(Consulta!$A:$DD,MATCH('ZM01'!$C20,Consulta!$D:$D,0),'ZM01'!J$2),"")=0,"",IFERROR(INDEX(Consulta!$A:$DD,MATCH('ZM01'!$C20,Consulta!$D:$D,0),'ZM01'!J$2),""))</f>
        <v/>
      </c>
      <c r="K20" s="43" t="str">
        <f>IF(IFERROR(INDEX(Consulta!$A:$DD,MATCH('ZM01'!$C20,Consulta!$D:$D,0),'ZM01'!K$2),"")=0,"",IFERROR(INDEX(Consulta!$A:$DD,MATCH('ZM01'!$C20,Consulta!$D:$D,0),'ZM01'!K$2),""))</f>
        <v/>
      </c>
      <c r="L20" s="43" t="str">
        <f t="shared" si="38"/>
        <v/>
      </c>
      <c r="M20" s="43" t="str">
        <f>IF(IFERROR(INDEX(Consulta!$A:$DD,MATCH('ZM01'!$C20,Consulta!$D:$D,0),'ZM01'!M$2),"")=0,"",IFERROR(INDEX(Consulta!$A:$DD,MATCH('ZM01'!$C20,Consulta!$D:$D,0),'ZM01'!M$2),""))</f>
        <v/>
      </c>
      <c r="N20" s="43" t="str">
        <f t="shared" si="39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IF(IFERROR(INDEX(Consulta!$A:$DD,MATCH('ZM01'!$C20,Consulta!$D:$D,0),'ZM01'!AS$2),"")=0,"",IFERROR(INDEX(Consulta!$A:$DD,MATCH('ZM01'!$C20,Consulta!$D:$D,0),'ZM01'!AS$2),""))</f>
        <v/>
      </c>
      <c r="AT20" s="45"/>
      <c r="AU20" s="43" t="str">
        <f>IF(IFERROR(INDEX(Consulta!$A:$DD,MATCH('ZM01'!$C20,Consulta!$D:$D,0),'ZM01'!AU$2),"")=0,"",IFERROR(INDEX(Consulta!$A:$DD,MATCH('ZM01'!$C20,Consulta!$D:$D,0),'ZM01'!AU$2),""))</f>
        <v/>
      </c>
      <c r="AV20" s="43" t="str">
        <f>IF(IFERROR(INDEX(Consulta!$A:$DD,MATCH('ZM01'!$C20,Consulta!$D:$D,0),'ZM01'!AV$2),"")=0,"",IFERROR(INDEX(Consulta!$A:$DD,MATCH('ZM01'!$C20,Consulta!$D:$D,0),'ZM01'!AV$2),""))</f>
        <v/>
      </c>
      <c r="AW20" s="45"/>
      <c r="AX20" s="46" t="str">
        <f t="shared" ca="1" si="40"/>
        <v/>
      </c>
      <c r="AY20" s="47" t="s">
        <v>755</v>
      </c>
      <c r="AZ20" s="43" t="str">
        <f>IF(IFERROR(ROUND(INDEX(Consulta!$A:$DD,MATCH('ZM01'!$C20,Consulta!$D:$D,0),'ZM01'!AZ$2),3),"")=0,"",IFERROR(ROUND(INDEX(Consulta!$A:$DD,MATCH('ZM01'!$C20,Consulta!$D:$D,0),'ZM01'!AZ$2),3),""))</f>
        <v/>
      </c>
      <c r="BA20" s="43" t="str">
        <f t="shared" si="41"/>
        <v/>
      </c>
      <c r="BB20" s="48" t="s">
        <v>299</v>
      </c>
      <c r="BC20" s="48"/>
      <c r="BD20" s="43" t="str">
        <f>IF(IFERROR(INDEX(Consulta!$A:$DD,MATCH('ZM01'!$C20,Consulta!$D:$D,0),'ZM01'!BD$2),"")=0,"",IFERROR(INDEX(Consulta!$A:$DD,MATCH('ZM01'!$C20,Consulta!$D:$D,0),'ZM01'!BD$2),""))</f>
        <v/>
      </c>
      <c r="BE20" s="43" t="str">
        <f t="shared" si="0"/>
        <v/>
      </c>
      <c r="BF20" s="43" t="str">
        <f t="shared" si="42"/>
        <v/>
      </c>
      <c r="BG20" s="43" t="str">
        <f t="shared" si="1"/>
        <v/>
      </c>
      <c r="BH20" s="43" t="str">
        <f t="shared" si="43"/>
        <v>PC</v>
      </c>
      <c r="BI20" s="43" t="str">
        <f t="shared" si="23"/>
        <v/>
      </c>
      <c r="BJ20" s="43" t="str">
        <f t="shared" si="24"/>
        <v/>
      </c>
      <c r="BK20" s="43" t="str">
        <f t="shared" si="25"/>
        <v/>
      </c>
      <c r="BL20" s="43" t="str">
        <f t="shared" si="44"/>
        <v>PC</v>
      </c>
      <c r="BN20" s="44"/>
      <c r="BO20" s="44" t="s">
        <v>925</v>
      </c>
      <c r="BP20" s="43" t="str">
        <f>IF(OR(IFERROR(INDEX(Consulta!$A:$DD,MATCH('ZM01'!$C20,Consulta!$D:$D,0),'ZM01'!BP$2),"")=0,IFERROR(INDEX(Consulta!$A:$DD,MATCH('ZM01'!$C20,Consulta!$D:$D,0),'ZM01'!BP$2),"")=AR20),"",IFERROR(INDEX(Consulta!$A:$DD,MATCH('ZM01'!$C20,Consulta!$D:$D,0),'ZM01'!BP$2),""))</f>
        <v/>
      </c>
      <c r="BQ20" s="45"/>
      <c r="BR20" s="46" t="str">
        <f t="shared" ca="1" si="45"/>
        <v/>
      </c>
      <c r="BS20" s="49" t="str">
        <f t="shared" si="46"/>
        <v/>
      </c>
      <c r="BT20" s="50">
        <v>1</v>
      </c>
      <c r="BU20" s="50" t="s">
        <v>194</v>
      </c>
      <c r="BV20" s="50" t="s">
        <v>194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IF(IFERROR(INDEX(Consulta!$A:$DD,MATCH('ZM01'!$C20,Consulta!$D:$D,0),'ZM01'!CB$2),"")=0,"",IFERROR(INDEX(Consulta!$A:$DD,MATCH('ZM01'!$C20,Consulta!$D:$D,0),'ZM01'!CB$2),""))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14"/>
        <v/>
      </c>
      <c r="CH20" s="45" t="s">
        <v>430</v>
      </c>
      <c r="CI20" s="44">
        <v>0</v>
      </c>
      <c r="CJ20" s="43" t="str">
        <f t="shared" si="26"/>
        <v>E</v>
      </c>
      <c r="CK20" s="43" t="str">
        <f t="shared" si="27"/>
        <v/>
      </c>
      <c r="CL20" s="44">
        <v>2</v>
      </c>
      <c r="CM20" s="49" t="str">
        <f t="shared" si="47"/>
        <v/>
      </c>
      <c r="CN20" s="49" t="str">
        <f t="shared" si="48"/>
        <v/>
      </c>
      <c r="CO20" s="43" t="str">
        <f t="shared" si="28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29"/>
        <v>K00_AO_</v>
      </c>
      <c r="CW20" s="43" t="str">
        <f t="shared" si="30"/>
        <v/>
      </c>
      <c r="CX20" s="43" t="str">
        <f t="shared" si="31"/>
        <v/>
      </c>
      <c r="CY20" s="44">
        <v>1</v>
      </c>
      <c r="CZ20" s="43" t="str">
        <f t="shared" si="32"/>
        <v/>
      </c>
      <c r="DA20" s="43" t="str">
        <f>IF(IFERROR(INDEX(Consulta!$A:$DD,MATCH('ZM01'!$C20,Consulta!$D:$D,0),'ZM01'!DA$2),"")=0,"",IFERROR(INDEX(Consulta!$A:$DD,MATCH('ZM01'!$C20,Consulta!$D:$D,0),'ZM01'!DA$2),""))</f>
        <v/>
      </c>
      <c r="DB20" s="43" t="str">
        <f>IF(IFERROR(INDEX(Consulta!$A:$DD,MATCH('ZM01'!$C20,Consulta!$D:$D,0),'ZM01'!DB$2),"")=0,"",IFERROR(INDEX(Consulta!$A:$DD,MATCH('ZM01'!$C20,Consulta!$D:$D,0),'ZM01'!DB$2),""))</f>
        <v/>
      </c>
      <c r="DC20" s="45">
        <v>0</v>
      </c>
      <c r="DD20" s="45">
        <v>0</v>
      </c>
      <c r="DE20" s="43" t="str">
        <f>IF(IFERROR(INDEX(Consulta!$A:$DD,MATCH('ZM01'!$C20,Consulta!$D:$D,0),'ZM01'!DE$2),"")=0,"",IFERROR(TEXT(VALUE(INDEX(Consulta!$A:$DD,MATCH('ZM01'!$C20,Consulta!$D:$D,0),'ZM01'!DE$2))/100,"0,00"),""))</f>
        <v/>
      </c>
      <c r="DG20" s="43">
        <f t="shared" si="49"/>
        <v>1</v>
      </c>
      <c r="DH20" s="43" t="str">
        <f>IF(IFERROR(INDEX(Consulta!$A:$DD,MATCH('ZM01'!$C20,Consulta!$D:$D,0),'ZM01'!DH$2),"")=0,"",IFERROR(VLOOKUP(INDEX(Consulta!$A:$DD,MATCH('ZM01'!$C20,Consulta!$D:$D,0),'ZM01'!DH$2),'Listas de Dados'!BU:BW,3,0),""))</f>
        <v/>
      </c>
      <c r="DI20" s="43" t="str">
        <f t="shared" ca="1" si="50"/>
        <v>11.02.2022</v>
      </c>
      <c r="DJ20" s="43" t="str">
        <f t="shared" si="51"/>
        <v>31.12.9999</v>
      </c>
      <c r="DL20" s="44">
        <v>1</v>
      </c>
      <c r="DM20" s="44" t="s">
        <v>1039</v>
      </c>
      <c r="DN20" s="44">
        <v>1</v>
      </c>
      <c r="DO20" s="43">
        <f t="shared" si="33"/>
        <v>1</v>
      </c>
      <c r="DP20" s="43" t="str">
        <f t="shared" si="34"/>
        <v>PC</v>
      </c>
      <c r="DQ20" s="43" t="str">
        <f t="shared" si="35"/>
        <v/>
      </c>
      <c r="DR20" s="44">
        <v>100</v>
      </c>
      <c r="DS20" s="71">
        <f t="shared" si="20"/>
        <v>1</v>
      </c>
      <c r="DT20" s="43">
        <f t="shared" si="52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3">
      <c r="A21" s="7" t="str">
        <f t="shared" si="2"/>
        <v>Execução 17</v>
      </c>
      <c r="B21" s="79"/>
      <c r="C21" s="85"/>
      <c r="D21" s="71" t="str">
        <f t="shared" si="36"/>
        <v/>
      </c>
      <c r="E21" s="71" t="str">
        <f t="shared" si="37"/>
        <v/>
      </c>
      <c r="F21" s="43" t="str">
        <f>IF(IFERROR(INDEX(Consulta!$A:$DD,MATCH('ZM01'!$C21,Consulta!$D:$D,0),'ZM01'!F$2),"")=0,"",IFERROR(INDEX(Consulta!$A:$DD,MATCH('ZM01'!$C21,Consulta!$D:$D,0),'ZM01'!F$2),""))</f>
        <v/>
      </c>
      <c r="G21" s="43" t="str">
        <f>IF(IFERROR(INDEX(Consulta!$A:$DD,MATCH('ZM01'!$C21,Consulta!$D:$D,0),'ZM01'!G$2),"")=0,"",IFERROR(INDEX(Consulta!$A:$DD,MATCH('ZM01'!$C21,Consulta!$D:$D,0),'ZM01'!G$2),""))</f>
        <v/>
      </c>
      <c r="H21" s="43" t="str">
        <f t="shared" si="22"/>
        <v/>
      </c>
      <c r="I21" s="44" t="s">
        <v>100</v>
      </c>
      <c r="J21" s="43" t="str">
        <f>IF(IFERROR(INDEX(Consulta!$A:$DD,MATCH('ZM01'!$C21,Consulta!$D:$D,0),'ZM01'!J$2),"")=0,"",IFERROR(INDEX(Consulta!$A:$DD,MATCH('ZM01'!$C21,Consulta!$D:$D,0),'ZM01'!J$2),""))</f>
        <v/>
      </c>
      <c r="K21" s="43" t="str">
        <f>IF(IFERROR(INDEX(Consulta!$A:$DD,MATCH('ZM01'!$C21,Consulta!$D:$D,0),'ZM01'!K$2),"")=0,"",IFERROR(INDEX(Consulta!$A:$DD,MATCH('ZM01'!$C21,Consulta!$D:$D,0),'ZM01'!K$2),""))</f>
        <v/>
      </c>
      <c r="L21" s="43" t="str">
        <f t="shared" si="38"/>
        <v/>
      </c>
      <c r="M21" s="43" t="str">
        <f>IF(IFERROR(INDEX(Consulta!$A:$DD,MATCH('ZM01'!$C21,Consulta!$D:$D,0),'ZM01'!M$2),"")=0,"",IFERROR(INDEX(Consulta!$A:$DD,MATCH('ZM01'!$C21,Consulta!$D:$D,0),'ZM01'!M$2),""))</f>
        <v/>
      </c>
      <c r="N21" s="43" t="str">
        <f t="shared" si="39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IF(IFERROR(INDEX(Consulta!$A:$DD,MATCH('ZM01'!$C21,Consulta!$D:$D,0),'ZM01'!AS$2),"")=0,"",IFERROR(INDEX(Consulta!$A:$DD,MATCH('ZM01'!$C21,Consulta!$D:$D,0),'ZM01'!AS$2),""))</f>
        <v/>
      </c>
      <c r="AT21" s="45"/>
      <c r="AU21" s="43" t="str">
        <f>IF(IFERROR(INDEX(Consulta!$A:$DD,MATCH('ZM01'!$C21,Consulta!$D:$D,0),'ZM01'!AU$2),"")=0,"",IFERROR(INDEX(Consulta!$A:$DD,MATCH('ZM01'!$C21,Consulta!$D:$D,0),'ZM01'!AU$2),""))</f>
        <v/>
      </c>
      <c r="AV21" s="43" t="str">
        <f>IF(IFERROR(INDEX(Consulta!$A:$DD,MATCH('ZM01'!$C21,Consulta!$D:$D,0),'ZM01'!AV$2),"")=0,"",IFERROR(INDEX(Consulta!$A:$DD,MATCH('ZM01'!$C21,Consulta!$D:$D,0),'ZM01'!AV$2),""))</f>
        <v/>
      </c>
      <c r="AW21" s="45"/>
      <c r="AX21" s="46" t="str">
        <f t="shared" ca="1" si="40"/>
        <v/>
      </c>
      <c r="AY21" s="47" t="s">
        <v>755</v>
      </c>
      <c r="AZ21" s="43" t="str">
        <f>IF(IFERROR(ROUND(INDEX(Consulta!$A:$DD,MATCH('ZM01'!$C21,Consulta!$D:$D,0),'ZM01'!AZ$2),3),"")=0,"",IFERROR(ROUND(INDEX(Consulta!$A:$DD,MATCH('ZM01'!$C21,Consulta!$D:$D,0),'ZM01'!AZ$2),3),""))</f>
        <v/>
      </c>
      <c r="BA21" s="43" t="str">
        <f t="shared" si="41"/>
        <v/>
      </c>
      <c r="BB21" s="48" t="s">
        <v>299</v>
      </c>
      <c r="BC21" s="48"/>
      <c r="BD21" s="43" t="str">
        <f>IF(IFERROR(INDEX(Consulta!$A:$DD,MATCH('ZM01'!$C21,Consulta!$D:$D,0),'ZM01'!BD$2),"")=0,"",IFERROR(INDEX(Consulta!$A:$DD,MATCH('ZM01'!$C21,Consulta!$D:$D,0),'ZM01'!BD$2),""))</f>
        <v/>
      </c>
      <c r="BE21" s="43" t="str">
        <f t="shared" si="0"/>
        <v/>
      </c>
      <c r="BF21" s="43" t="str">
        <f t="shared" si="42"/>
        <v/>
      </c>
      <c r="BG21" s="43" t="str">
        <f t="shared" si="1"/>
        <v/>
      </c>
      <c r="BH21" s="43" t="str">
        <f t="shared" si="43"/>
        <v>PC</v>
      </c>
      <c r="BI21" s="43" t="str">
        <f t="shared" si="23"/>
        <v/>
      </c>
      <c r="BJ21" s="43" t="str">
        <f t="shared" si="24"/>
        <v/>
      </c>
      <c r="BK21" s="43" t="str">
        <f t="shared" si="25"/>
        <v/>
      </c>
      <c r="BL21" s="43" t="str">
        <f t="shared" si="44"/>
        <v>PC</v>
      </c>
      <c r="BN21" s="44"/>
      <c r="BO21" s="44" t="s">
        <v>925</v>
      </c>
      <c r="BP21" s="43" t="str">
        <f>IF(OR(IFERROR(INDEX(Consulta!$A:$DD,MATCH('ZM01'!$C21,Consulta!$D:$D,0),'ZM01'!BP$2),"")=0,IFERROR(INDEX(Consulta!$A:$DD,MATCH('ZM01'!$C21,Consulta!$D:$D,0),'ZM01'!BP$2),"")=AR21),"",IFERROR(INDEX(Consulta!$A:$DD,MATCH('ZM01'!$C21,Consulta!$D:$D,0),'ZM01'!BP$2),""))</f>
        <v/>
      </c>
      <c r="BQ21" s="45"/>
      <c r="BR21" s="46" t="str">
        <f t="shared" ca="1" si="45"/>
        <v/>
      </c>
      <c r="BS21" s="49" t="str">
        <f t="shared" si="46"/>
        <v/>
      </c>
      <c r="BT21" s="50">
        <v>1</v>
      </c>
      <c r="BU21" s="50" t="s">
        <v>194</v>
      </c>
      <c r="BV21" s="50" t="s">
        <v>194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IF(IFERROR(INDEX(Consulta!$A:$DD,MATCH('ZM01'!$C21,Consulta!$D:$D,0),'ZM01'!CB$2),"")=0,"",IFERROR(INDEX(Consulta!$A:$DD,MATCH('ZM01'!$C21,Consulta!$D:$D,0),'ZM01'!CB$2),""))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14"/>
        <v/>
      </c>
      <c r="CH21" s="45" t="s">
        <v>430</v>
      </c>
      <c r="CI21" s="44">
        <v>0</v>
      </c>
      <c r="CJ21" s="43" t="str">
        <f t="shared" si="26"/>
        <v>E</v>
      </c>
      <c r="CK21" s="43" t="str">
        <f t="shared" si="27"/>
        <v/>
      </c>
      <c r="CL21" s="44">
        <v>2</v>
      </c>
      <c r="CM21" s="49" t="str">
        <f t="shared" si="47"/>
        <v/>
      </c>
      <c r="CN21" s="49" t="str">
        <f t="shared" si="48"/>
        <v/>
      </c>
      <c r="CO21" s="43" t="str">
        <f t="shared" si="28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29"/>
        <v>K00_AO_</v>
      </c>
      <c r="CW21" s="43" t="str">
        <f t="shared" si="30"/>
        <v/>
      </c>
      <c r="CX21" s="43" t="str">
        <f t="shared" si="31"/>
        <v/>
      </c>
      <c r="CY21" s="44">
        <v>1</v>
      </c>
      <c r="CZ21" s="43" t="str">
        <f t="shared" si="32"/>
        <v/>
      </c>
      <c r="DA21" s="43" t="str">
        <f>IF(IFERROR(INDEX(Consulta!$A:$DD,MATCH('ZM01'!$C21,Consulta!$D:$D,0),'ZM01'!DA$2),"")=0,"",IFERROR(INDEX(Consulta!$A:$DD,MATCH('ZM01'!$C21,Consulta!$D:$D,0),'ZM01'!DA$2),""))</f>
        <v/>
      </c>
      <c r="DB21" s="43" t="str">
        <f>IF(IFERROR(INDEX(Consulta!$A:$DD,MATCH('ZM01'!$C21,Consulta!$D:$D,0),'ZM01'!DB$2),"")=0,"",IFERROR(INDEX(Consulta!$A:$DD,MATCH('ZM01'!$C21,Consulta!$D:$D,0),'ZM01'!DB$2),""))</f>
        <v/>
      </c>
      <c r="DC21" s="45">
        <v>0</v>
      </c>
      <c r="DD21" s="45">
        <v>0</v>
      </c>
      <c r="DE21" s="43" t="str">
        <f>IF(IFERROR(INDEX(Consulta!$A:$DD,MATCH('ZM01'!$C21,Consulta!$D:$D,0),'ZM01'!DE$2),"")=0,"",IFERROR(TEXT(VALUE(INDEX(Consulta!$A:$DD,MATCH('ZM01'!$C21,Consulta!$D:$D,0),'ZM01'!DE$2))/100,"0,00"),""))</f>
        <v/>
      </c>
      <c r="DG21" s="43">
        <f t="shared" si="49"/>
        <v>1</v>
      </c>
      <c r="DH21" s="43" t="str">
        <f>IF(IFERROR(INDEX(Consulta!$A:$DD,MATCH('ZM01'!$C21,Consulta!$D:$D,0),'ZM01'!DH$2),"")=0,"",IFERROR(VLOOKUP(INDEX(Consulta!$A:$DD,MATCH('ZM01'!$C21,Consulta!$D:$D,0),'ZM01'!DH$2),'Listas de Dados'!BU:BW,3,0),""))</f>
        <v/>
      </c>
      <c r="DI21" s="43" t="str">
        <f t="shared" ca="1" si="50"/>
        <v>11.02.2022</v>
      </c>
      <c r="DJ21" s="43" t="str">
        <f t="shared" si="51"/>
        <v>31.12.9999</v>
      </c>
      <c r="DL21" s="44">
        <v>1</v>
      </c>
      <c r="DM21" s="44" t="s">
        <v>1039</v>
      </c>
      <c r="DN21" s="44">
        <v>1</v>
      </c>
      <c r="DO21" s="43">
        <f t="shared" si="33"/>
        <v>1</v>
      </c>
      <c r="DP21" s="43" t="str">
        <f t="shared" si="34"/>
        <v>PC</v>
      </c>
      <c r="DQ21" s="43" t="str">
        <f t="shared" si="35"/>
        <v/>
      </c>
      <c r="DR21" s="44">
        <v>100</v>
      </c>
      <c r="DS21" s="71">
        <f t="shared" si="20"/>
        <v>1</v>
      </c>
      <c r="DT21" s="43">
        <f t="shared" si="52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3">
      <c r="A22" s="7" t="str">
        <f t="shared" si="2"/>
        <v>Execução 18</v>
      </c>
      <c r="B22" s="75"/>
      <c r="C22" s="85"/>
      <c r="D22" s="71" t="str">
        <f t="shared" si="36"/>
        <v/>
      </c>
      <c r="E22" s="71" t="str">
        <f t="shared" si="37"/>
        <v/>
      </c>
      <c r="F22" s="43" t="str">
        <f>IF(IFERROR(INDEX(Consulta!$A:$DD,MATCH('ZM01'!$C22,Consulta!$D:$D,0),'ZM01'!F$2),"")=0,"",IFERROR(INDEX(Consulta!$A:$DD,MATCH('ZM01'!$C22,Consulta!$D:$D,0),'ZM01'!F$2),""))</f>
        <v/>
      </c>
      <c r="G22" s="43" t="str">
        <f>IF(IFERROR(INDEX(Consulta!$A:$DD,MATCH('ZM01'!$C22,Consulta!$D:$D,0),'ZM01'!G$2),"")=0,"",IFERROR(INDEX(Consulta!$A:$DD,MATCH('ZM01'!$C22,Consulta!$D:$D,0),'ZM01'!G$2),""))</f>
        <v/>
      </c>
      <c r="H22" s="43" t="str">
        <f t="shared" si="22"/>
        <v/>
      </c>
      <c r="I22" s="44" t="s">
        <v>100</v>
      </c>
      <c r="J22" s="43" t="str">
        <f>IF(IFERROR(INDEX(Consulta!$A:$DD,MATCH('ZM01'!$C22,Consulta!$D:$D,0),'ZM01'!J$2),"")=0,"",IFERROR(INDEX(Consulta!$A:$DD,MATCH('ZM01'!$C22,Consulta!$D:$D,0),'ZM01'!J$2),""))</f>
        <v/>
      </c>
      <c r="K22" s="43" t="str">
        <f>IF(IFERROR(INDEX(Consulta!$A:$DD,MATCH('ZM01'!$C22,Consulta!$D:$D,0),'ZM01'!K$2),"")=0,"",IFERROR(INDEX(Consulta!$A:$DD,MATCH('ZM01'!$C22,Consulta!$D:$D,0),'ZM01'!K$2),""))</f>
        <v/>
      </c>
      <c r="L22" s="43" t="str">
        <f t="shared" si="38"/>
        <v/>
      </c>
      <c r="M22" s="43" t="str">
        <f>IF(IFERROR(INDEX(Consulta!$A:$DD,MATCH('ZM01'!$C22,Consulta!$D:$D,0),'ZM01'!M$2),"")=0,"",IFERROR(INDEX(Consulta!$A:$DD,MATCH('ZM01'!$C22,Consulta!$D:$D,0),'ZM01'!M$2),""))</f>
        <v/>
      </c>
      <c r="N22" s="43" t="str">
        <f t="shared" si="39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IF(IFERROR(INDEX(Consulta!$A:$DD,MATCH('ZM01'!$C22,Consulta!$D:$D,0),'ZM01'!AS$2),"")=0,"",IFERROR(INDEX(Consulta!$A:$DD,MATCH('ZM01'!$C22,Consulta!$D:$D,0),'ZM01'!AS$2),""))</f>
        <v/>
      </c>
      <c r="AT22" s="45"/>
      <c r="AU22" s="43" t="str">
        <f>IF(IFERROR(INDEX(Consulta!$A:$DD,MATCH('ZM01'!$C22,Consulta!$D:$D,0),'ZM01'!AU$2),"")=0,"",IFERROR(INDEX(Consulta!$A:$DD,MATCH('ZM01'!$C22,Consulta!$D:$D,0),'ZM01'!AU$2),""))</f>
        <v/>
      </c>
      <c r="AV22" s="43" t="str">
        <f>IF(IFERROR(INDEX(Consulta!$A:$DD,MATCH('ZM01'!$C22,Consulta!$D:$D,0),'ZM01'!AV$2),"")=0,"",IFERROR(INDEX(Consulta!$A:$DD,MATCH('ZM01'!$C22,Consulta!$D:$D,0),'ZM01'!AV$2),""))</f>
        <v/>
      </c>
      <c r="AW22" s="45"/>
      <c r="AX22" s="46" t="str">
        <f t="shared" ca="1" si="40"/>
        <v/>
      </c>
      <c r="AY22" s="47" t="s">
        <v>755</v>
      </c>
      <c r="AZ22" s="43" t="str">
        <f>IF(IFERROR(ROUND(INDEX(Consulta!$A:$DD,MATCH('ZM01'!$C22,Consulta!$D:$D,0),'ZM01'!AZ$2),3),"")=0,"",IFERROR(ROUND(INDEX(Consulta!$A:$DD,MATCH('ZM01'!$C22,Consulta!$D:$D,0),'ZM01'!AZ$2),3),""))</f>
        <v/>
      </c>
      <c r="BA22" s="43" t="str">
        <f t="shared" si="41"/>
        <v/>
      </c>
      <c r="BB22" s="48" t="s">
        <v>299</v>
      </c>
      <c r="BC22" s="48"/>
      <c r="BD22" s="43" t="str">
        <f>IF(IFERROR(INDEX(Consulta!$A:$DD,MATCH('ZM01'!$C22,Consulta!$D:$D,0),'ZM01'!BD$2),"")=0,"",IFERROR(INDEX(Consulta!$A:$DD,MATCH('ZM01'!$C22,Consulta!$D:$D,0),'ZM01'!BD$2),""))</f>
        <v/>
      </c>
      <c r="BE22" s="43" t="str">
        <f t="shared" si="0"/>
        <v/>
      </c>
      <c r="BF22" s="43" t="str">
        <f t="shared" si="42"/>
        <v/>
      </c>
      <c r="BG22" s="43" t="str">
        <f t="shared" si="1"/>
        <v/>
      </c>
      <c r="BH22" s="43" t="str">
        <f t="shared" si="43"/>
        <v>PC</v>
      </c>
      <c r="BI22" s="43" t="str">
        <f t="shared" si="23"/>
        <v/>
      </c>
      <c r="BJ22" s="43" t="str">
        <f t="shared" si="24"/>
        <v/>
      </c>
      <c r="BK22" s="43" t="str">
        <f t="shared" si="25"/>
        <v/>
      </c>
      <c r="BL22" s="43" t="str">
        <f t="shared" si="44"/>
        <v>PC</v>
      </c>
      <c r="BN22" s="44"/>
      <c r="BO22" s="44" t="s">
        <v>925</v>
      </c>
      <c r="BP22" s="43" t="str">
        <f>IF(OR(IFERROR(INDEX(Consulta!$A:$DD,MATCH('ZM01'!$C22,Consulta!$D:$D,0),'ZM01'!BP$2),"")=0,IFERROR(INDEX(Consulta!$A:$DD,MATCH('ZM01'!$C22,Consulta!$D:$D,0),'ZM01'!BP$2),"")=AR22),"",IFERROR(INDEX(Consulta!$A:$DD,MATCH('ZM01'!$C22,Consulta!$D:$D,0),'ZM01'!BP$2),""))</f>
        <v/>
      </c>
      <c r="BQ22" s="45"/>
      <c r="BR22" s="46" t="str">
        <f t="shared" ca="1" si="45"/>
        <v/>
      </c>
      <c r="BS22" s="49" t="str">
        <f t="shared" si="46"/>
        <v/>
      </c>
      <c r="BT22" s="50">
        <v>1</v>
      </c>
      <c r="BU22" s="50" t="s">
        <v>194</v>
      </c>
      <c r="BV22" s="50" t="s">
        <v>194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IF(IFERROR(INDEX(Consulta!$A:$DD,MATCH('ZM01'!$C22,Consulta!$D:$D,0),'ZM01'!CB$2),"")=0,"",IFERROR(INDEX(Consulta!$A:$DD,MATCH('ZM01'!$C22,Consulta!$D:$D,0),'ZM01'!CB$2),""))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14"/>
        <v/>
      </c>
      <c r="CH22" s="45" t="s">
        <v>430</v>
      </c>
      <c r="CI22" s="44">
        <v>0</v>
      </c>
      <c r="CJ22" s="43" t="str">
        <f t="shared" si="26"/>
        <v>E</v>
      </c>
      <c r="CK22" s="43" t="str">
        <f t="shared" si="27"/>
        <v/>
      </c>
      <c r="CL22" s="44">
        <v>2</v>
      </c>
      <c r="CM22" s="49" t="str">
        <f t="shared" si="47"/>
        <v/>
      </c>
      <c r="CN22" s="49" t="str">
        <f t="shared" si="48"/>
        <v/>
      </c>
      <c r="CO22" s="43" t="str">
        <f t="shared" si="28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29"/>
        <v>K00_AO_</v>
      </c>
      <c r="CW22" s="43" t="str">
        <f t="shared" si="30"/>
        <v/>
      </c>
      <c r="CX22" s="43" t="str">
        <f t="shared" si="31"/>
        <v/>
      </c>
      <c r="CY22" s="44">
        <v>1</v>
      </c>
      <c r="CZ22" s="43" t="str">
        <f t="shared" si="32"/>
        <v/>
      </c>
      <c r="DA22" s="43" t="str">
        <f>IF(IFERROR(INDEX(Consulta!$A:$DD,MATCH('ZM01'!$C22,Consulta!$D:$D,0),'ZM01'!DA$2),"")=0,"",IFERROR(INDEX(Consulta!$A:$DD,MATCH('ZM01'!$C22,Consulta!$D:$D,0),'ZM01'!DA$2),""))</f>
        <v/>
      </c>
      <c r="DB22" s="43" t="str">
        <f>IF(IFERROR(INDEX(Consulta!$A:$DD,MATCH('ZM01'!$C22,Consulta!$D:$D,0),'ZM01'!DB$2),"")=0,"",IFERROR(INDEX(Consulta!$A:$DD,MATCH('ZM01'!$C22,Consulta!$D:$D,0),'ZM01'!DB$2),""))</f>
        <v/>
      </c>
      <c r="DC22" s="45">
        <v>0</v>
      </c>
      <c r="DD22" s="45">
        <v>0</v>
      </c>
      <c r="DE22" s="43" t="str">
        <f>IF(IFERROR(INDEX(Consulta!$A:$DD,MATCH('ZM01'!$C22,Consulta!$D:$D,0),'ZM01'!DE$2),"")=0,"",IFERROR(TEXT(VALUE(INDEX(Consulta!$A:$DD,MATCH('ZM01'!$C22,Consulta!$D:$D,0),'ZM01'!DE$2))/100,"0,00"),""))</f>
        <v/>
      </c>
      <c r="DG22" s="43">
        <f t="shared" si="49"/>
        <v>1</v>
      </c>
      <c r="DH22" s="43" t="str">
        <f>IF(IFERROR(INDEX(Consulta!$A:$DD,MATCH('ZM01'!$C22,Consulta!$D:$D,0),'ZM01'!DH$2),"")=0,"",IFERROR(VLOOKUP(INDEX(Consulta!$A:$DD,MATCH('ZM01'!$C22,Consulta!$D:$D,0),'ZM01'!DH$2),'Listas de Dados'!BU:BW,3,0),""))</f>
        <v/>
      </c>
      <c r="DI22" s="43" t="str">
        <f t="shared" ca="1" si="50"/>
        <v>11.02.2022</v>
      </c>
      <c r="DJ22" s="43" t="str">
        <f t="shared" si="51"/>
        <v>31.12.9999</v>
      </c>
      <c r="DL22" s="44">
        <v>1</v>
      </c>
      <c r="DM22" s="44" t="s">
        <v>1039</v>
      </c>
      <c r="DN22" s="44">
        <v>1</v>
      </c>
      <c r="DO22" s="43">
        <f t="shared" si="33"/>
        <v>1</v>
      </c>
      <c r="DP22" s="43" t="str">
        <f t="shared" si="34"/>
        <v>PC</v>
      </c>
      <c r="DQ22" s="43" t="str">
        <f t="shared" si="35"/>
        <v/>
      </c>
      <c r="DR22" s="44">
        <v>100</v>
      </c>
      <c r="DS22" s="71">
        <f t="shared" si="20"/>
        <v>1</v>
      </c>
      <c r="DT22" s="43">
        <f t="shared" si="52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3">
      <c r="A23" s="7" t="str">
        <f t="shared" si="2"/>
        <v>Execução 19</v>
      </c>
      <c r="B23" s="79"/>
      <c r="C23" s="85"/>
      <c r="D23" s="71" t="str">
        <f t="shared" si="36"/>
        <v/>
      </c>
      <c r="E23" s="71" t="str">
        <f t="shared" si="37"/>
        <v/>
      </c>
      <c r="F23" s="43" t="str">
        <f>IF(IFERROR(INDEX(Consulta!$A:$DD,MATCH('ZM01'!$C23,Consulta!$D:$D,0),'ZM01'!F$2),"")=0,"",IFERROR(INDEX(Consulta!$A:$DD,MATCH('ZM01'!$C23,Consulta!$D:$D,0),'ZM01'!F$2),""))</f>
        <v/>
      </c>
      <c r="G23" s="43" t="str">
        <f>IF(IFERROR(INDEX(Consulta!$A:$DD,MATCH('ZM01'!$C23,Consulta!$D:$D,0),'ZM01'!G$2),"")=0,"",IFERROR(INDEX(Consulta!$A:$DD,MATCH('ZM01'!$C23,Consulta!$D:$D,0),'ZM01'!G$2),""))</f>
        <v/>
      </c>
      <c r="H23" s="43" t="str">
        <f t="shared" si="22"/>
        <v/>
      </c>
      <c r="I23" s="44" t="s">
        <v>100</v>
      </c>
      <c r="J23" s="43" t="str">
        <f>IF(IFERROR(INDEX(Consulta!$A:$DD,MATCH('ZM01'!$C23,Consulta!$D:$D,0),'ZM01'!J$2),"")=0,"",IFERROR(INDEX(Consulta!$A:$DD,MATCH('ZM01'!$C23,Consulta!$D:$D,0),'ZM01'!J$2),""))</f>
        <v/>
      </c>
      <c r="K23" s="43" t="str">
        <f>IF(IFERROR(INDEX(Consulta!$A:$DD,MATCH('ZM01'!$C23,Consulta!$D:$D,0),'ZM01'!K$2),"")=0,"",IFERROR(INDEX(Consulta!$A:$DD,MATCH('ZM01'!$C23,Consulta!$D:$D,0),'ZM01'!K$2),""))</f>
        <v/>
      </c>
      <c r="L23" s="43" t="str">
        <f t="shared" si="38"/>
        <v/>
      </c>
      <c r="M23" s="43" t="str">
        <f>IF(IFERROR(INDEX(Consulta!$A:$DD,MATCH('ZM01'!$C23,Consulta!$D:$D,0),'ZM01'!M$2),"")=0,"",IFERROR(INDEX(Consulta!$A:$DD,MATCH('ZM01'!$C23,Consulta!$D:$D,0),'ZM01'!M$2),""))</f>
        <v/>
      </c>
      <c r="N23" s="43" t="str">
        <f t="shared" si="39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IF(IFERROR(INDEX(Consulta!$A:$DD,MATCH('ZM01'!$C23,Consulta!$D:$D,0),'ZM01'!AS$2),"")=0,"",IFERROR(INDEX(Consulta!$A:$DD,MATCH('ZM01'!$C23,Consulta!$D:$D,0),'ZM01'!AS$2),""))</f>
        <v/>
      </c>
      <c r="AT23" s="45"/>
      <c r="AU23" s="43" t="str">
        <f>IF(IFERROR(INDEX(Consulta!$A:$DD,MATCH('ZM01'!$C23,Consulta!$D:$D,0),'ZM01'!AU$2),"")=0,"",IFERROR(INDEX(Consulta!$A:$DD,MATCH('ZM01'!$C23,Consulta!$D:$D,0),'ZM01'!AU$2),""))</f>
        <v/>
      </c>
      <c r="AV23" s="43" t="str">
        <f>IF(IFERROR(INDEX(Consulta!$A:$DD,MATCH('ZM01'!$C23,Consulta!$D:$D,0),'ZM01'!AV$2),"")=0,"",IFERROR(INDEX(Consulta!$A:$DD,MATCH('ZM01'!$C23,Consulta!$D:$D,0),'ZM01'!AV$2),""))</f>
        <v/>
      </c>
      <c r="AW23" s="45"/>
      <c r="AX23" s="46" t="str">
        <f t="shared" ca="1" si="40"/>
        <v/>
      </c>
      <c r="AY23" s="47" t="s">
        <v>755</v>
      </c>
      <c r="AZ23" s="43" t="str">
        <f>IF(IFERROR(ROUND(INDEX(Consulta!$A:$DD,MATCH('ZM01'!$C23,Consulta!$D:$D,0),'ZM01'!AZ$2),3),"")=0,"",IFERROR(ROUND(INDEX(Consulta!$A:$DD,MATCH('ZM01'!$C23,Consulta!$D:$D,0),'ZM01'!AZ$2),3),""))</f>
        <v/>
      </c>
      <c r="BA23" s="43" t="str">
        <f t="shared" si="41"/>
        <v/>
      </c>
      <c r="BB23" s="48" t="s">
        <v>299</v>
      </c>
      <c r="BC23" s="48"/>
      <c r="BD23" s="43" t="str">
        <f>IF(IFERROR(INDEX(Consulta!$A:$DD,MATCH('ZM01'!$C23,Consulta!$D:$D,0),'ZM01'!BD$2),"")=0,"",IFERROR(INDEX(Consulta!$A:$DD,MATCH('ZM01'!$C23,Consulta!$D:$D,0),'ZM01'!BD$2),""))</f>
        <v/>
      </c>
      <c r="BE23" s="43" t="str">
        <f t="shared" si="0"/>
        <v/>
      </c>
      <c r="BF23" s="43" t="str">
        <f t="shared" si="42"/>
        <v/>
      </c>
      <c r="BG23" s="43" t="str">
        <f t="shared" si="1"/>
        <v/>
      </c>
      <c r="BH23" s="43" t="str">
        <f t="shared" si="43"/>
        <v>PC</v>
      </c>
      <c r="BI23" s="43" t="str">
        <f t="shared" si="23"/>
        <v/>
      </c>
      <c r="BJ23" s="43" t="str">
        <f t="shared" si="24"/>
        <v/>
      </c>
      <c r="BK23" s="43" t="str">
        <f t="shared" si="25"/>
        <v/>
      </c>
      <c r="BL23" s="43" t="str">
        <f t="shared" si="44"/>
        <v>PC</v>
      </c>
      <c r="BN23" s="44"/>
      <c r="BO23" s="44" t="s">
        <v>925</v>
      </c>
      <c r="BP23" s="43" t="str">
        <f>IF(OR(IFERROR(INDEX(Consulta!$A:$DD,MATCH('ZM01'!$C23,Consulta!$D:$D,0),'ZM01'!BP$2),"")=0,IFERROR(INDEX(Consulta!$A:$DD,MATCH('ZM01'!$C23,Consulta!$D:$D,0),'ZM01'!BP$2),"")=AR23),"",IFERROR(INDEX(Consulta!$A:$DD,MATCH('ZM01'!$C23,Consulta!$D:$D,0),'ZM01'!BP$2),""))</f>
        <v/>
      </c>
      <c r="BQ23" s="45"/>
      <c r="BR23" s="46" t="str">
        <f t="shared" ca="1" si="45"/>
        <v/>
      </c>
      <c r="BS23" s="49" t="str">
        <f t="shared" si="46"/>
        <v/>
      </c>
      <c r="BT23" s="50">
        <v>1</v>
      </c>
      <c r="BU23" s="50" t="s">
        <v>194</v>
      </c>
      <c r="BV23" s="50" t="s">
        <v>194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IF(IFERROR(INDEX(Consulta!$A:$DD,MATCH('ZM01'!$C23,Consulta!$D:$D,0),'ZM01'!CB$2),"")=0,"",IFERROR(INDEX(Consulta!$A:$DD,MATCH('ZM01'!$C23,Consulta!$D:$D,0),'ZM01'!CB$2),""))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14"/>
        <v/>
      </c>
      <c r="CH23" s="45" t="s">
        <v>430</v>
      </c>
      <c r="CI23" s="44">
        <v>0</v>
      </c>
      <c r="CJ23" s="43" t="str">
        <f t="shared" si="26"/>
        <v>E</v>
      </c>
      <c r="CK23" s="43" t="str">
        <f t="shared" si="27"/>
        <v/>
      </c>
      <c r="CL23" s="44">
        <v>2</v>
      </c>
      <c r="CM23" s="49" t="str">
        <f t="shared" si="47"/>
        <v/>
      </c>
      <c r="CN23" s="49" t="str">
        <f t="shared" si="48"/>
        <v/>
      </c>
      <c r="CO23" s="43" t="str">
        <f t="shared" si="28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29"/>
        <v>K00_AO_</v>
      </c>
      <c r="CW23" s="43" t="str">
        <f t="shared" si="30"/>
        <v/>
      </c>
      <c r="CX23" s="43" t="str">
        <f t="shared" si="31"/>
        <v/>
      </c>
      <c r="CY23" s="44">
        <v>1</v>
      </c>
      <c r="CZ23" s="43" t="str">
        <f t="shared" si="32"/>
        <v/>
      </c>
      <c r="DA23" s="43" t="str">
        <f>IF(IFERROR(INDEX(Consulta!$A:$DD,MATCH('ZM01'!$C23,Consulta!$D:$D,0),'ZM01'!DA$2),"")=0,"",IFERROR(INDEX(Consulta!$A:$DD,MATCH('ZM01'!$C23,Consulta!$D:$D,0),'ZM01'!DA$2),""))</f>
        <v/>
      </c>
      <c r="DB23" s="43" t="str">
        <f>IF(IFERROR(INDEX(Consulta!$A:$DD,MATCH('ZM01'!$C23,Consulta!$D:$D,0),'ZM01'!DB$2),"")=0,"",IFERROR(INDEX(Consulta!$A:$DD,MATCH('ZM01'!$C23,Consulta!$D:$D,0),'ZM01'!DB$2),""))</f>
        <v/>
      </c>
      <c r="DC23" s="45">
        <v>0</v>
      </c>
      <c r="DD23" s="45">
        <v>0</v>
      </c>
      <c r="DE23" s="43" t="str">
        <f>IF(IFERROR(INDEX(Consulta!$A:$DD,MATCH('ZM01'!$C23,Consulta!$D:$D,0),'ZM01'!DE$2),"")=0,"",IFERROR(TEXT(VALUE(INDEX(Consulta!$A:$DD,MATCH('ZM01'!$C23,Consulta!$D:$D,0),'ZM01'!DE$2))/100,"0,00"),""))</f>
        <v/>
      </c>
      <c r="DG23" s="43">
        <f t="shared" si="49"/>
        <v>1</v>
      </c>
      <c r="DH23" s="43" t="str">
        <f>IF(IFERROR(INDEX(Consulta!$A:$DD,MATCH('ZM01'!$C23,Consulta!$D:$D,0),'ZM01'!DH$2),"")=0,"",IFERROR(VLOOKUP(INDEX(Consulta!$A:$DD,MATCH('ZM01'!$C23,Consulta!$D:$D,0),'ZM01'!DH$2),'Listas de Dados'!BU:BW,3,0),""))</f>
        <v/>
      </c>
      <c r="DI23" s="43" t="str">
        <f t="shared" ca="1" si="50"/>
        <v>11.02.2022</v>
      </c>
      <c r="DJ23" s="43" t="str">
        <f t="shared" si="51"/>
        <v>31.12.9999</v>
      </c>
      <c r="DL23" s="44">
        <v>1</v>
      </c>
      <c r="DM23" s="44" t="s">
        <v>1039</v>
      </c>
      <c r="DN23" s="44">
        <v>1</v>
      </c>
      <c r="DO23" s="43">
        <f t="shared" si="33"/>
        <v>1</v>
      </c>
      <c r="DP23" s="43" t="str">
        <f t="shared" si="34"/>
        <v>PC</v>
      </c>
      <c r="DQ23" s="43" t="str">
        <f t="shared" si="35"/>
        <v/>
      </c>
      <c r="DR23" s="44">
        <v>100</v>
      </c>
      <c r="DS23" s="71">
        <f t="shared" si="20"/>
        <v>1</v>
      </c>
      <c r="DT23" s="43">
        <f t="shared" si="52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3">
      <c r="A24" s="7" t="str">
        <f t="shared" si="2"/>
        <v>Execução 20</v>
      </c>
      <c r="B24" s="75"/>
      <c r="C24" s="85"/>
      <c r="D24" s="71" t="str">
        <f t="shared" si="36"/>
        <v/>
      </c>
      <c r="E24" s="71" t="str">
        <f t="shared" si="37"/>
        <v/>
      </c>
      <c r="F24" s="43" t="str">
        <f>IF(IFERROR(INDEX(Consulta!$A:$DD,MATCH('ZM01'!$C24,Consulta!$D:$D,0),'ZM01'!F$2),"")=0,"",IFERROR(INDEX(Consulta!$A:$DD,MATCH('ZM01'!$C24,Consulta!$D:$D,0),'ZM01'!F$2),""))</f>
        <v/>
      </c>
      <c r="G24" s="43" t="str">
        <f>IF(IFERROR(INDEX(Consulta!$A:$DD,MATCH('ZM01'!$C24,Consulta!$D:$D,0),'ZM01'!G$2),"")=0,"",IFERROR(INDEX(Consulta!$A:$DD,MATCH('ZM01'!$C24,Consulta!$D:$D,0),'ZM01'!G$2),""))</f>
        <v/>
      </c>
      <c r="H24" s="43" t="str">
        <f t="shared" si="22"/>
        <v/>
      </c>
      <c r="I24" s="44" t="s">
        <v>100</v>
      </c>
      <c r="J24" s="43" t="str">
        <f>IF(IFERROR(INDEX(Consulta!$A:$DD,MATCH('ZM01'!$C24,Consulta!$D:$D,0),'ZM01'!J$2),"")=0,"",IFERROR(INDEX(Consulta!$A:$DD,MATCH('ZM01'!$C24,Consulta!$D:$D,0),'ZM01'!J$2),""))</f>
        <v/>
      </c>
      <c r="K24" s="43" t="str">
        <f>IF(IFERROR(INDEX(Consulta!$A:$DD,MATCH('ZM01'!$C24,Consulta!$D:$D,0),'ZM01'!K$2),"")=0,"",IFERROR(INDEX(Consulta!$A:$DD,MATCH('ZM01'!$C24,Consulta!$D:$D,0),'ZM01'!K$2),""))</f>
        <v/>
      </c>
      <c r="L24" s="43" t="str">
        <f t="shared" si="38"/>
        <v/>
      </c>
      <c r="M24" s="43" t="str">
        <f>IF(IFERROR(INDEX(Consulta!$A:$DD,MATCH('ZM01'!$C24,Consulta!$D:$D,0),'ZM01'!M$2),"")=0,"",IFERROR(INDEX(Consulta!$A:$DD,MATCH('ZM01'!$C24,Consulta!$D:$D,0),'ZM01'!M$2),""))</f>
        <v/>
      </c>
      <c r="N24" s="43" t="str">
        <f t="shared" si="39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IF(IFERROR(INDEX(Consulta!$A:$DD,MATCH('ZM01'!$C24,Consulta!$D:$D,0),'ZM01'!AS$2),"")=0,"",IFERROR(INDEX(Consulta!$A:$DD,MATCH('ZM01'!$C24,Consulta!$D:$D,0),'ZM01'!AS$2),""))</f>
        <v/>
      </c>
      <c r="AT24" s="45"/>
      <c r="AU24" s="43" t="str">
        <f>IF(IFERROR(INDEX(Consulta!$A:$DD,MATCH('ZM01'!$C24,Consulta!$D:$D,0),'ZM01'!AU$2),"")=0,"",IFERROR(INDEX(Consulta!$A:$DD,MATCH('ZM01'!$C24,Consulta!$D:$D,0),'ZM01'!AU$2),""))</f>
        <v/>
      </c>
      <c r="AV24" s="43" t="str">
        <f>IF(IFERROR(INDEX(Consulta!$A:$DD,MATCH('ZM01'!$C24,Consulta!$D:$D,0),'ZM01'!AV$2),"")=0,"",IFERROR(INDEX(Consulta!$A:$DD,MATCH('ZM01'!$C24,Consulta!$D:$D,0),'ZM01'!AV$2),""))</f>
        <v/>
      </c>
      <c r="AW24" s="45"/>
      <c r="AX24" s="46" t="str">
        <f t="shared" ca="1" si="40"/>
        <v/>
      </c>
      <c r="AY24" s="47" t="s">
        <v>755</v>
      </c>
      <c r="AZ24" s="43" t="str">
        <f>IF(IFERROR(ROUND(INDEX(Consulta!$A:$DD,MATCH('ZM01'!$C24,Consulta!$D:$D,0),'ZM01'!AZ$2),3),"")=0,"",IFERROR(ROUND(INDEX(Consulta!$A:$DD,MATCH('ZM01'!$C24,Consulta!$D:$D,0),'ZM01'!AZ$2),3),""))</f>
        <v/>
      </c>
      <c r="BA24" s="43" t="str">
        <f t="shared" si="41"/>
        <v/>
      </c>
      <c r="BB24" s="48" t="s">
        <v>299</v>
      </c>
      <c r="BC24" s="48"/>
      <c r="BD24" s="43" t="str">
        <f>IF(IFERROR(INDEX(Consulta!$A:$DD,MATCH('ZM01'!$C24,Consulta!$D:$D,0),'ZM01'!BD$2),"")=0,"",IFERROR(INDEX(Consulta!$A:$DD,MATCH('ZM01'!$C24,Consulta!$D:$D,0),'ZM01'!BD$2),""))</f>
        <v/>
      </c>
      <c r="BE24" s="43" t="str">
        <f t="shared" si="0"/>
        <v/>
      </c>
      <c r="BF24" s="43" t="str">
        <f t="shared" si="42"/>
        <v/>
      </c>
      <c r="BG24" s="43" t="str">
        <f t="shared" si="1"/>
        <v/>
      </c>
      <c r="BH24" s="43" t="str">
        <f t="shared" si="43"/>
        <v>PC</v>
      </c>
      <c r="BI24" s="43" t="str">
        <f t="shared" si="23"/>
        <v/>
      </c>
      <c r="BJ24" s="43" t="str">
        <f t="shared" si="24"/>
        <v/>
      </c>
      <c r="BK24" s="43" t="str">
        <f t="shared" si="25"/>
        <v/>
      </c>
      <c r="BL24" s="43" t="str">
        <f t="shared" si="44"/>
        <v>PC</v>
      </c>
      <c r="BN24" s="44"/>
      <c r="BO24" s="44" t="s">
        <v>925</v>
      </c>
      <c r="BP24" s="43" t="str">
        <f>IF(OR(IFERROR(INDEX(Consulta!$A:$DD,MATCH('ZM01'!$C24,Consulta!$D:$D,0),'ZM01'!BP$2),"")=0,IFERROR(INDEX(Consulta!$A:$DD,MATCH('ZM01'!$C24,Consulta!$D:$D,0),'ZM01'!BP$2),"")=AR24),"",IFERROR(INDEX(Consulta!$A:$DD,MATCH('ZM01'!$C24,Consulta!$D:$D,0),'ZM01'!BP$2),""))</f>
        <v/>
      </c>
      <c r="BQ24" s="45"/>
      <c r="BR24" s="46" t="str">
        <f t="shared" ca="1" si="45"/>
        <v/>
      </c>
      <c r="BS24" s="49" t="str">
        <f t="shared" si="46"/>
        <v/>
      </c>
      <c r="BT24" s="50">
        <v>1</v>
      </c>
      <c r="BU24" s="50" t="s">
        <v>194</v>
      </c>
      <c r="BV24" s="50" t="s">
        <v>194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IF(IFERROR(INDEX(Consulta!$A:$DD,MATCH('ZM01'!$C24,Consulta!$D:$D,0),'ZM01'!CB$2),"")=0,"",IFERROR(INDEX(Consulta!$A:$DD,MATCH('ZM01'!$C24,Consulta!$D:$D,0),'ZM01'!CB$2),""))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14"/>
        <v/>
      </c>
      <c r="CH24" s="45" t="s">
        <v>430</v>
      </c>
      <c r="CI24" s="44">
        <v>0</v>
      </c>
      <c r="CJ24" s="43" t="str">
        <f t="shared" si="26"/>
        <v>E</v>
      </c>
      <c r="CK24" s="43" t="str">
        <f t="shared" si="27"/>
        <v/>
      </c>
      <c r="CL24" s="44">
        <v>2</v>
      </c>
      <c r="CM24" s="49" t="str">
        <f t="shared" si="47"/>
        <v/>
      </c>
      <c r="CN24" s="49" t="str">
        <f t="shared" si="48"/>
        <v/>
      </c>
      <c r="CO24" s="43" t="str">
        <f t="shared" si="28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29"/>
        <v>K00_AO_</v>
      </c>
      <c r="CW24" s="43" t="str">
        <f t="shared" si="30"/>
        <v/>
      </c>
      <c r="CX24" s="43" t="str">
        <f t="shared" si="31"/>
        <v/>
      </c>
      <c r="CY24" s="44">
        <v>1</v>
      </c>
      <c r="CZ24" s="43" t="str">
        <f t="shared" si="32"/>
        <v/>
      </c>
      <c r="DA24" s="43" t="str">
        <f>IF(IFERROR(INDEX(Consulta!$A:$DD,MATCH('ZM01'!$C24,Consulta!$D:$D,0),'ZM01'!DA$2),"")=0,"",IFERROR(INDEX(Consulta!$A:$DD,MATCH('ZM01'!$C24,Consulta!$D:$D,0),'ZM01'!DA$2),""))</f>
        <v/>
      </c>
      <c r="DB24" s="43" t="str">
        <f>IF(IFERROR(INDEX(Consulta!$A:$DD,MATCH('ZM01'!$C24,Consulta!$D:$D,0),'ZM01'!DB$2),"")=0,"",IFERROR(INDEX(Consulta!$A:$DD,MATCH('ZM01'!$C24,Consulta!$D:$D,0),'ZM01'!DB$2),""))</f>
        <v/>
      </c>
      <c r="DC24" s="45">
        <v>0</v>
      </c>
      <c r="DD24" s="45">
        <v>0</v>
      </c>
      <c r="DE24" s="43" t="str">
        <f>IF(IFERROR(INDEX(Consulta!$A:$DD,MATCH('ZM01'!$C24,Consulta!$D:$D,0),'ZM01'!DE$2),"")=0,"",IFERROR(TEXT(VALUE(INDEX(Consulta!$A:$DD,MATCH('ZM01'!$C24,Consulta!$D:$D,0),'ZM01'!DE$2))/100,"0,00"),""))</f>
        <v/>
      </c>
      <c r="DG24" s="43">
        <f t="shared" si="49"/>
        <v>1</v>
      </c>
      <c r="DH24" s="43" t="str">
        <f>IF(IFERROR(INDEX(Consulta!$A:$DD,MATCH('ZM01'!$C24,Consulta!$D:$D,0),'ZM01'!DH$2),"")=0,"",IFERROR(VLOOKUP(INDEX(Consulta!$A:$DD,MATCH('ZM01'!$C24,Consulta!$D:$D,0),'ZM01'!DH$2),'Listas de Dados'!BU:BW,3,0),""))</f>
        <v/>
      </c>
      <c r="DI24" s="43" t="str">
        <f t="shared" ca="1" si="50"/>
        <v>11.02.2022</v>
      </c>
      <c r="DJ24" s="43" t="str">
        <f t="shared" si="51"/>
        <v>31.12.9999</v>
      </c>
      <c r="DL24" s="44">
        <v>1</v>
      </c>
      <c r="DM24" s="44" t="s">
        <v>1039</v>
      </c>
      <c r="DN24" s="44">
        <v>1</v>
      </c>
      <c r="DO24" s="43">
        <f t="shared" si="33"/>
        <v>1</v>
      </c>
      <c r="DP24" s="43" t="str">
        <f t="shared" si="34"/>
        <v>PC</v>
      </c>
      <c r="DQ24" s="43" t="str">
        <f t="shared" si="35"/>
        <v/>
      </c>
      <c r="DR24" s="44">
        <v>100</v>
      </c>
      <c r="DS24" s="71">
        <f t="shared" si="20"/>
        <v>1</v>
      </c>
      <c r="DT24" s="43">
        <f t="shared" si="52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3">
      <c r="A25" s="7" t="str">
        <f t="shared" si="2"/>
        <v>Execução 21</v>
      </c>
      <c r="B25" s="79"/>
      <c r="C25" s="85"/>
      <c r="D25" s="71" t="str">
        <f t="shared" si="36"/>
        <v/>
      </c>
      <c r="E25" s="71" t="str">
        <f t="shared" si="37"/>
        <v/>
      </c>
      <c r="F25" s="43" t="str">
        <f>IF(IFERROR(INDEX(Consulta!$A:$DD,MATCH('ZM01'!$C25,Consulta!$D:$D,0),'ZM01'!F$2),"")=0,"",IFERROR(INDEX(Consulta!$A:$DD,MATCH('ZM01'!$C25,Consulta!$D:$D,0),'ZM01'!F$2),""))</f>
        <v/>
      </c>
      <c r="G25" s="43" t="str">
        <f>IF(IFERROR(INDEX(Consulta!$A:$DD,MATCH('ZM01'!$C25,Consulta!$D:$D,0),'ZM01'!G$2),"")=0,"",IFERROR(INDEX(Consulta!$A:$DD,MATCH('ZM01'!$C25,Consulta!$D:$D,0),'ZM01'!G$2),""))</f>
        <v/>
      </c>
      <c r="H25" s="43" t="str">
        <f t="shared" si="22"/>
        <v/>
      </c>
      <c r="I25" s="44" t="s">
        <v>100</v>
      </c>
      <c r="J25" s="43" t="str">
        <f>IF(IFERROR(INDEX(Consulta!$A:$DD,MATCH('ZM01'!$C25,Consulta!$D:$D,0),'ZM01'!J$2),"")=0,"",IFERROR(INDEX(Consulta!$A:$DD,MATCH('ZM01'!$C25,Consulta!$D:$D,0),'ZM01'!J$2),""))</f>
        <v/>
      </c>
      <c r="K25" s="43" t="str">
        <f>IF(IFERROR(INDEX(Consulta!$A:$DD,MATCH('ZM01'!$C25,Consulta!$D:$D,0),'ZM01'!K$2),"")=0,"",IFERROR(INDEX(Consulta!$A:$DD,MATCH('ZM01'!$C25,Consulta!$D:$D,0),'ZM01'!K$2),""))</f>
        <v/>
      </c>
      <c r="L25" s="43" t="str">
        <f t="shared" si="38"/>
        <v/>
      </c>
      <c r="M25" s="43" t="str">
        <f>IF(IFERROR(INDEX(Consulta!$A:$DD,MATCH('ZM01'!$C25,Consulta!$D:$D,0),'ZM01'!M$2),"")=0,"",IFERROR(INDEX(Consulta!$A:$DD,MATCH('ZM01'!$C25,Consulta!$D:$D,0),'ZM01'!M$2),""))</f>
        <v/>
      </c>
      <c r="N25" s="43" t="str">
        <f t="shared" si="39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IF(IFERROR(INDEX(Consulta!$A:$DD,MATCH('ZM01'!$C25,Consulta!$D:$D,0),'ZM01'!AS$2),"")=0,"",IFERROR(INDEX(Consulta!$A:$DD,MATCH('ZM01'!$C25,Consulta!$D:$D,0),'ZM01'!AS$2),""))</f>
        <v/>
      </c>
      <c r="AT25" s="45"/>
      <c r="AU25" s="43" t="str">
        <f>IF(IFERROR(INDEX(Consulta!$A:$DD,MATCH('ZM01'!$C25,Consulta!$D:$D,0),'ZM01'!AU$2),"")=0,"",IFERROR(INDEX(Consulta!$A:$DD,MATCH('ZM01'!$C25,Consulta!$D:$D,0),'ZM01'!AU$2),""))</f>
        <v/>
      </c>
      <c r="AV25" s="43" t="str">
        <f>IF(IFERROR(INDEX(Consulta!$A:$DD,MATCH('ZM01'!$C25,Consulta!$D:$D,0),'ZM01'!AV$2),"")=0,"",IFERROR(INDEX(Consulta!$A:$DD,MATCH('ZM01'!$C25,Consulta!$D:$D,0),'ZM01'!AV$2),""))</f>
        <v/>
      </c>
      <c r="AW25" s="45"/>
      <c r="AX25" s="46" t="str">
        <f t="shared" ca="1" si="40"/>
        <v/>
      </c>
      <c r="AY25" s="47" t="s">
        <v>755</v>
      </c>
      <c r="AZ25" s="43" t="str">
        <f>IF(IFERROR(ROUND(INDEX(Consulta!$A:$DD,MATCH('ZM01'!$C25,Consulta!$D:$D,0),'ZM01'!AZ$2),3),"")=0,"",IFERROR(ROUND(INDEX(Consulta!$A:$DD,MATCH('ZM01'!$C25,Consulta!$D:$D,0),'ZM01'!AZ$2),3),""))</f>
        <v/>
      </c>
      <c r="BA25" s="43" t="str">
        <f t="shared" si="41"/>
        <v/>
      </c>
      <c r="BB25" s="48" t="s">
        <v>299</v>
      </c>
      <c r="BC25" s="48"/>
      <c r="BD25" s="43" t="str">
        <f>IF(IFERROR(INDEX(Consulta!$A:$DD,MATCH('ZM01'!$C25,Consulta!$D:$D,0),'ZM01'!BD$2),"")=0,"",IFERROR(INDEX(Consulta!$A:$DD,MATCH('ZM01'!$C25,Consulta!$D:$D,0),'ZM01'!BD$2),""))</f>
        <v/>
      </c>
      <c r="BE25" s="43" t="str">
        <f t="shared" si="0"/>
        <v/>
      </c>
      <c r="BF25" s="43" t="str">
        <f t="shared" si="42"/>
        <v/>
      </c>
      <c r="BG25" s="43" t="str">
        <f t="shared" si="1"/>
        <v/>
      </c>
      <c r="BH25" s="43" t="str">
        <f t="shared" si="43"/>
        <v>PC</v>
      </c>
      <c r="BI25" s="43" t="str">
        <f t="shared" si="23"/>
        <v/>
      </c>
      <c r="BJ25" s="43" t="str">
        <f t="shared" si="24"/>
        <v/>
      </c>
      <c r="BK25" s="43" t="str">
        <f t="shared" si="25"/>
        <v/>
      </c>
      <c r="BL25" s="43" t="str">
        <f t="shared" si="44"/>
        <v>PC</v>
      </c>
      <c r="BN25" s="44"/>
      <c r="BO25" s="44" t="s">
        <v>925</v>
      </c>
      <c r="BP25" s="43" t="str">
        <f>IF(OR(IFERROR(INDEX(Consulta!$A:$DD,MATCH('ZM01'!$C25,Consulta!$D:$D,0),'ZM01'!BP$2),"")=0,IFERROR(INDEX(Consulta!$A:$DD,MATCH('ZM01'!$C25,Consulta!$D:$D,0),'ZM01'!BP$2),"")=AR25),"",IFERROR(INDEX(Consulta!$A:$DD,MATCH('ZM01'!$C25,Consulta!$D:$D,0),'ZM01'!BP$2),""))</f>
        <v/>
      </c>
      <c r="BQ25" s="45"/>
      <c r="BR25" s="46" t="str">
        <f t="shared" ca="1" si="45"/>
        <v/>
      </c>
      <c r="BS25" s="49" t="str">
        <f t="shared" si="46"/>
        <v/>
      </c>
      <c r="BT25" s="50">
        <v>1</v>
      </c>
      <c r="BU25" s="50" t="s">
        <v>194</v>
      </c>
      <c r="BV25" s="50" t="s">
        <v>194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IF(IFERROR(INDEX(Consulta!$A:$DD,MATCH('ZM01'!$C25,Consulta!$D:$D,0),'ZM01'!CB$2),"")=0,"",IFERROR(INDEX(Consulta!$A:$DD,MATCH('ZM01'!$C25,Consulta!$D:$D,0),'ZM01'!CB$2),""))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14"/>
        <v/>
      </c>
      <c r="CH25" s="45" t="s">
        <v>430</v>
      </c>
      <c r="CI25" s="44">
        <v>0</v>
      </c>
      <c r="CJ25" s="43" t="str">
        <f t="shared" si="26"/>
        <v>E</v>
      </c>
      <c r="CK25" s="43" t="str">
        <f t="shared" si="27"/>
        <v/>
      </c>
      <c r="CL25" s="44">
        <v>2</v>
      </c>
      <c r="CM25" s="49" t="str">
        <f t="shared" si="47"/>
        <v/>
      </c>
      <c r="CN25" s="49" t="str">
        <f t="shared" si="48"/>
        <v/>
      </c>
      <c r="CO25" s="43" t="str">
        <f t="shared" si="28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29"/>
        <v>K00_AO_</v>
      </c>
      <c r="CW25" s="43" t="str">
        <f t="shared" si="30"/>
        <v/>
      </c>
      <c r="CX25" s="43" t="str">
        <f t="shared" si="31"/>
        <v/>
      </c>
      <c r="CY25" s="44">
        <v>1</v>
      </c>
      <c r="CZ25" s="43" t="str">
        <f t="shared" si="32"/>
        <v/>
      </c>
      <c r="DA25" s="43" t="str">
        <f>IF(IFERROR(INDEX(Consulta!$A:$DD,MATCH('ZM01'!$C25,Consulta!$D:$D,0),'ZM01'!DA$2),"")=0,"",IFERROR(INDEX(Consulta!$A:$DD,MATCH('ZM01'!$C25,Consulta!$D:$D,0),'ZM01'!DA$2),""))</f>
        <v/>
      </c>
      <c r="DB25" s="43" t="str">
        <f>IF(IFERROR(INDEX(Consulta!$A:$DD,MATCH('ZM01'!$C25,Consulta!$D:$D,0),'ZM01'!DB$2),"")=0,"",IFERROR(INDEX(Consulta!$A:$DD,MATCH('ZM01'!$C25,Consulta!$D:$D,0),'ZM01'!DB$2),""))</f>
        <v/>
      </c>
      <c r="DC25" s="45">
        <v>0</v>
      </c>
      <c r="DD25" s="45">
        <v>0</v>
      </c>
      <c r="DE25" s="43" t="str">
        <f>IF(IFERROR(INDEX(Consulta!$A:$DD,MATCH('ZM01'!$C25,Consulta!$D:$D,0),'ZM01'!DE$2),"")=0,"",IFERROR(TEXT(VALUE(INDEX(Consulta!$A:$DD,MATCH('ZM01'!$C25,Consulta!$D:$D,0),'ZM01'!DE$2))/100,"0,00"),""))</f>
        <v/>
      </c>
      <c r="DG25" s="43">
        <f t="shared" si="49"/>
        <v>1</v>
      </c>
      <c r="DH25" s="43" t="str">
        <f>IF(IFERROR(INDEX(Consulta!$A:$DD,MATCH('ZM01'!$C25,Consulta!$D:$D,0),'ZM01'!DH$2),"")=0,"",IFERROR(VLOOKUP(INDEX(Consulta!$A:$DD,MATCH('ZM01'!$C25,Consulta!$D:$D,0),'ZM01'!DH$2),'Listas de Dados'!BU:BW,3,0),""))</f>
        <v/>
      </c>
      <c r="DI25" s="43" t="str">
        <f t="shared" ca="1" si="50"/>
        <v>11.02.2022</v>
      </c>
      <c r="DJ25" s="43" t="str">
        <f t="shared" si="51"/>
        <v>31.12.9999</v>
      </c>
      <c r="DL25" s="44">
        <v>1</v>
      </c>
      <c r="DM25" s="44" t="s">
        <v>1039</v>
      </c>
      <c r="DN25" s="44">
        <v>1</v>
      </c>
      <c r="DO25" s="43">
        <f t="shared" si="33"/>
        <v>1</v>
      </c>
      <c r="DP25" s="43" t="str">
        <f t="shared" si="34"/>
        <v>PC</v>
      </c>
      <c r="DQ25" s="43" t="str">
        <f t="shared" si="35"/>
        <v/>
      </c>
      <c r="DR25" s="44">
        <v>100</v>
      </c>
      <c r="DS25" s="71">
        <f t="shared" si="20"/>
        <v>1</v>
      </c>
      <c r="DT25" s="43">
        <f t="shared" si="52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3">
      <c r="A26" s="7" t="str">
        <f t="shared" si="2"/>
        <v>Execução 22</v>
      </c>
      <c r="B26" s="75"/>
      <c r="C26" s="85"/>
      <c r="D26" s="71" t="str">
        <f t="shared" si="36"/>
        <v/>
      </c>
      <c r="E26" s="71" t="str">
        <f t="shared" si="37"/>
        <v/>
      </c>
      <c r="F26" s="43" t="str">
        <f>IF(IFERROR(INDEX(Consulta!$A:$DD,MATCH('ZM01'!$C26,Consulta!$D:$D,0),'ZM01'!F$2),"")=0,"",IFERROR(INDEX(Consulta!$A:$DD,MATCH('ZM01'!$C26,Consulta!$D:$D,0),'ZM01'!F$2),""))</f>
        <v/>
      </c>
      <c r="G26" s="43" t="str">
        <f>IF(IFERROR(INDEX(Consulta!$A:$DD,MATCH('ZM01'!$C26,Consulta!$D:$D,0),'ZM01'!G$2),"")=0,"",IFERROR(INDEX(Consulta!$A:$DD,MATCH('ZM01'!$C26,Consulta!$D:$D,0),'ZM01'!G$2),""))</f>
        <v/>
      </c>
      <c r="H26" s="43" t="str">
        <f t="shared" si="22"/>
        <v/>
      </c>
      <c r="I26" s="44" t="s">
        <v>100</v>
      </c>
      <c r="J26" s="43" t="str">
        <f>IF(IFERROR(INDEX(Consulta!$A:$DD,MATCH('ZM01'!$C26,Consulta!$D:$D,0),'ZM01'!J$2),"")=0,"",IFERROR(INDEX(Consulta!$A:$DD,MATCH('ZM01'!$C26,Consulta!$D:$D,0),'ZM01'!J$2),""))</f>
        <v/>
      </c>
      <c r="K26" s="43" t="str">
        <f>IF(IFERROR(INDEX(Consulta!$A:$DD,MATCH('ZM01'!$C26,Consulta!$D:$D,0),'ZM01'!K$2),"")=0,"",IFERROR(INDEX(Consulta!$A:$DD,MATCH('ZM01'!$C26,Consulta!$D:$D,0),'ZM01'!K$2),""))</f>
        <v/>
      </c>
      <c r="L26" s="43" t="str">
        <f t="shared" si="38"/>
        <v/>
      </c>
      <c r="M26" s="43" t="str">
        <f>IF(IFERROR(INDEX(Consulta!$A:$DD,MATCH('ZM01'!$C26,Consulta!$D:$D,0),'ZM01'!M$2),"")=0,"",IFERROR(INDEX(Consulta!$A:$DD,MATCH('ZM01'!$C26,Consulta!$D:$D,0),'ZM01'!M$2),""))</f>
        <v/>
      </c>
      <c r="N26" s="43" t="str">
        <f t="shared" si="39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IF(IFERROR(INDEX(Consulta!$A:$DD,MATCH('ZM01'!$C26,Consulta!$D:$D,0),'ZM01'!AS$2),"")=0,"",IFERROR(INDEX(Consulta!$A:$DD,MATCH('ZM01'!$C26,Consulta!$D:$D,0),'ZM01'!AS$2),""))</f>
        <v/>
      </c>
      <c r="AT26" s="45"/>
      <c r="AU26" s="43" t="str">
        <f>IF(IFERROR(INDEX(Consulta!$A:$DD,MATCH('ZM01'!$C26,Consulta!$D:$D,0),'ZM01'!AU$2),"")=0,"",IFERROR(INDEX(Consulta!$A:$DD,MATCH('ZM01'!$C26,Consulta!$D:$D,0),'ZM01'!AU$2),""))</f>
        <v/>
      </c>
      <c r="AV26" s="43" t="str">
        <f>IF(IFERROR(INDEX(Consulta!$A:$DD,MATCH('ZM01'!$C26,Consulta!$D:$D,0),'ZM01'!AV$2),"")=0,"",IFERROR(INDEX(Consulta!$A:$DD,MATCH('ZM01'!$C26,Consulta!$D:$D,0),'ZM01'!AV$2),""))</f>
        <v/>
      </c>
      <c r="AW26" s="45"/>
      <c r="AX26" s="46" t="str">
        <f t="shared" ca="1" si="40"/>
        <v/>
      </c>
      <c r="AY26" s="47" t="s">
        <v>755</v>
      </c>
      <c r="AZ26" s="43" t="str">
        <f>IF(IFERROR(ROUND(INDEX(Consulta!$A:$DD,MATCH('ZM01'!$C26,Consulta!$D:$D,0),'ZM01'!AZ$2),3),"")=0,"",IFERROR(ROUND(INDEX(Consulta!$A:$DD,MATCH('ZM01'!$C26,Consulta!$D:$D,0),'ZM01'!AZ$2),3),""))</f>
        <v/>
      </c>
      <c r="BA26" s="43" t="str">
        <f t="shared" si="41"/>
        <v/>
      </c>
      <c r="BB26" s="48" t="s">
        <v>299</v>
      </c>
      <c r="BC26" s="48"/>
      <c r="BD26" s="43" t="str">
        <f>IF(IFERROR(INDEX(Consulta!$A:$DD,MATCH('ZM01'!$C26,Consulta!$D:$D,0),'ZM01'!BD$2),"")=0,"",IFERROR(INDEX(Consulta!$A:$DD,MATCH('ZM01'!$C26,Consulta!$D:$D,0),'ZM01'!BD$2),""))</f>
        <v/>
      </c>
      <c r="BE26" s="43" t="str">
        <f t="shared" si="0"/>
        <v/>
      </c>
      <c r="BF26" s="43" t="str">
        <f t="shared" si="42"/>
        <v/>
      </c>
      <c r="BG26" s="43" t="str">
        <f t="shared" si="1"/>
        <v/>
      </c>
      <c r="BH26" s="43" t="str">
        <f t="shared" si="43"/>
        <v>PC</v>
      </c>
      <c r="BI26" s="43" t="str">
        <f t="shared" si="23"/>
        <v/>
      </c>
      <c r="BJ26" s="43" t="str">
        <f t="shared" si="24"/>
        <v/>
      </c>
      <c r="BK26" s="43" t="str">
        <f t="shared" si="25"/>
        <v/>
      </c>
      <c r="BL26" s="43" t="str">
        <f t="shared" si="44"/>
        <v>PC</v>
      </c>
      <c r="BN26" s="44"/>
      <c r="BO26" s="44" t="s">
        <v>925</v>
      </c>
      <c r="BP26" s="43" t="str">
        <f>IF(OR(IFERROR(INDEX(Consulta!$A:$DD,MATCH('ZM01'!$C26,Consulta!$D:$D,0),'ZM01'!BP$2),"")=0,IFERROR(INDEX(Consulta!$A:$DD,MATCH('ZM01'!$C26,Consulta!$D:$D,0),'ZM01'!BP$2),"")=AR26),"",IFERROR(INDEX(Consulta!$A:$DD,MATCH('ZM01'!$C26,Consulta!$D:$D,0),'ZM01'!BP$2),""))</f>
        <v/>
      </c>
      <c r="BQ26" s="45"/>
      <c r="BR26" s="46" t="str">
        <f t="shared" ca="1" si="45"/>
        <v/>
      </c>
      <c r="BS26" s="49" t="str">
        <f t="shared" si="46"/>
        <v/>
      </c>
      <c r="BT26" s="50">
        <v>1</v>
      </c>
      <c r="BU26" s="50" t="s">
        <v>194</v>
      </c>
      <c r="BV26" s="50" t="s">
        <v>194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IF(IFERROR(INDEX(Consulta!$A:$DD,MATCH('ZM01'!$C26,Consulta!$D:$D,0),'ZM01'!CB$2),"")=0,"",IFERROR(INDEX(Consulta!$A:$DD,MATCH('ZM01'!$C26,Consulta!$D:$D,0),'ZM01'!CB$2),""))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14"/>
        <v/>
      </c>
      <c r="CH26" s="45" t="s">
        <v>430</v>
      </c>
      <c r="CI26" s="44">
        <v>0</v>
      </c>
      <c r="CJ26" s="43" t="str">
        <f t="shared" si="26"/>
        <v>E</v>
      </c>
      <c r="CK26" s="43" t="str">
        <f t="shared" si="27"/>
        <v/>
      </c>
      <c r="CL26" s="44">
        <v>2</v>
      </c>
      <c r="CM26" s="49" t="str">
        <f t="shared" si="47"/>
        <v/>
      </c>
      <c r="CN26" s="49" t="str">
        <f t="shared" si="48"/>
        <v/>
      </c>
      <c r="CO26" s="43" t="str">
        <f t="shared" si="28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29"/>
        <v>K00_AO_</v>
      </c>
      <c r="CW26" s="43" t="str">
        <f t="shared" si="30"/>
        <v/>
      </c>
      <c r="CX26" s="43" t="str">
        <f t="shared" si="31"/>
        <v/>
      </c>
      <c r="CY26" s="44">
        <v>1</v>
      </c>
      <c r="CZ26" s="43" t="str">
        <f t="shared" si="32"/>
        <v/>
      </c>
      <c r="DA26" s="43" t="str">
        <f>IF(IFERROR(INDEX(Consulta!$A:$DD,MATCH('ZM01'!$C26,Consulta!$D:$D,0),'ZM01'!DA$2),"")=0,"",IFERROR(INDEX(Consulta!$A:$DD,MATCH('ZM01'!$C26,Consulta!$D:$D,0),'ZM01'!DA$2),""))</f>
        <v/>
      </c>
      <c r="DB26" s="43" t="str">
        <f>IF(IFERROR(INDEX(Consulta!$A:$DD,MATCH('ZM01'!$C26,Consulta!$D:$D,0),'ZM01'!DB$2),"")=0,"",IFERROR(INDEX(Consulta!$A:$DD,MATCH('ZM01'!$C26,Consulta!$D:$D,0),'ZM01'!DB$2),""))</f>
        <v/>
      </c>
      <c r="DC26" s="45">
        <v>0</v>
      </c>
      <c r="DD26" s="45">
        <v>0</v>
      </c>
      <c r="DE26" s="43" t="str">
        <f>IF(IFERROR(INDEX(Consulta!$A:$DD,MATCH('ZM01'!$C26,Consulta!$D:$D,0),'ZM01'!DE$2),"")=0,"",IFERROR(TEXT(VALUE(INDEX(Consulta!$A:$DD,MATCH('ZM01'!$C26,Consulta!$D:$D,0),'ZM01'!DE$2))/100,"0,00"),""))</f>
        <v/>
      </c>
      <c r="DG26" s="43">
        <f t="shared" si="49"/>
        <v>1</v>
      </c>
      <c r="DH26" s="43" t="str">
        <f>IF(IFERROR(INDEX(Consulta!$A:$DD,MATCH('ZM01'!$C26,Consulta!$D:$D,0),'ZM01'!DH$2),"")=0,"",IFERROR(VLOOKUP(INDEX(Consulta!$A:$DD,MATCH('ZM01'!$C26,Consulta!$D:$D,0),'ZM01'!DH$2),'Listas de Dados'!BU:BW,3,0),""))</f>
        <v/>
      </c>
      <c r="DI26" s="43" t="str">
        <f t="shared" ca="1" si="50"/>
        <v>11.02.2022</v>
      </c>
      <c r="DJ26" s="43" t="str">
        <f t="shared" si="51"/>
        <v>31.12.9999</v>
      </c>
      <c r="DL26" s="44">
        <v>1</v>
      </c>
      <c r="DM26" s="44" t="s">
        <v>1039</v>
      </c>
      <c r="DN26" s="44">
        <v>1</v>
      </c>
      <c r="DO26" s="43">
        <f t="shared" si="33"/>
        <v>1</v>
      </c>
      <c r="DP26" s="43" t="str">
        <f t="shared" si="34"/>
        <v>PC</v>
      </c>
      <c r="DQ26" s="43" t="str">
        <f t="shared" si="35"/>
        <v/>
      </c>
      <c r="DR26" s="44">
        <v>100</v>
      </c>
      <c r="DS26" s="71">
        <f t="shared" si="20"/>
        <v>1</v>
      </c>
      <c r="DT26" s="43">
        <f t="shared" si="52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3">
      <c r="A27" s="7" t="str">
        <f t="shared" si="2"/>
        <v>Execução 23</v>
      </c>
      <c r="B27" s="79"/>
      <c r="C27" s="85"/>
      <c r="D27" s="71" t="str">
        <f t="shared" si="36"/>
        <v/>
      </c>
      <c r="E27" s="71" t="str">
        <f t="shared" si="37"/>
        <v/>
      </c>
      <c r="F27" s="43" t="str">
        <f>IF(IFERROR(INDEX(Consulta!$A:$DD,MATCH('ZM01'!$C27,Consulta!$D:$D,0),'ZM01'!F$2),"")=0,"",IFERROR(INDEX(Consulta!$A:$DD,MATCH('ZM01'!$C27,Consulta!$D:$D,0),'ZM01'!F$2),""))</f>
        <v/>
      </c>
      <c r="G27" s="43" t="str">
        <f>IF(IFERROR(INDEX(Consulta!$A:$DD,MATCH('ZM01'!$C27,Consulta!$D:$D,0),'ZM01'!G$2),"")=0,"",IFERROR(INDEX(Consulta!$A:$DD,MATCH('ZM01'!$C27,Consulta!$D:$D,0),'ZM01'!G$2),""))</f>
        <v/>
      </c>
      <c r="H27" s="43" t="str">
        <f t="shared" si="22"/>
        <v/>
      </c>
      <c r="I27" s="44" t="s">
        <v>100</v>
      </c>
      <c r="J27" s="43" t="str">
        <f>IF(IFERROR(INDEX(Consulta!$A:$DD,MATCH('ZM01'!$C27,Consulta!$D:$D,0),'ZM01'!J$2),"")=0,"",IFERROR(INDEX(Consulta!$A:$DD,MATCH('ZM01'!$C27,Consulta!$D:$D,0),'ZM01'!J$2),""))</f>
        <v/>
      </c>
      <c r="K27" s="43" t="str">
        <f>IF(IFERROR(INDEX(Consulta!$A:$DD,MATCH('ZM01'!$C27,Consulta!$D:$D,0),'ZM01'!K$2),"")=0,"",IFERROR(INDEX(Consulta!$A:$DD,MATCH('ZM01'!$C27,Consulta!$D:$D,0),'ZM01'!K$2),""))</f>
        <v/>
      </c>
      <c r="L27" s="43" t="str">
        <f t="shared" si="38"/>
        <v/>
      </c>
      <c r="M27" s="43" t="str">
        <f>IF(IFERROR(INDEX(Consulta!$A:$DD,MATCH('ZM01'!$C27,Consulta!$D:$D,0),'ZM01'!M$2),"")=0,"",IFERROR(INDEX(Consulta!$A:$DD,MATCH('ZM01'!$C27,Consulta!$D:$D,0),'ZM01'!M$2),""))</f>
        <v/>
      </c>
      <c r="N27" s="43" t="str">
        <f t="shared" si="39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IF(IFERROR(INDEX(Consulta!$A:$DD,MATCH('ZM01'!$C27,Consulta!$D:$D,0),'ZM01'!AS$2),"")=0,"",IFERROR(INDEX(Consulta!$A:$DD,MATCH('ZM01'!$C27,Consulta!$D:$D,0),'ZM01'!AS$2),""))</f>
        <v/>
      </c>
      <c r="AT27" s="45"/>
      <c r="AU27" s="43" t="str">
        <f>IF(IFERROR(INDEX(Consulta!$A:$DD,MATCH('ZM01'!$C27,Consulta!$D:$D,0),'ZM01'!AU$2),"")=0,"",IFERROR(INDEX(Consulta!$A:$DD,MATCH('ZM01'!$C27,Consulta!$D:$D,0),'ZM01'!AU$2),""))</f>
        <v/>
      </c>
      <c r="AV27" s="43" t="str">
        <f>IF(IFERROR(INDEX(Consulta!$A:$DD,MATCH('ZM01'!$C27,Consulta!$D:$D,0),'ZM01'!AV$2),"")=0,"",IFERROR(INDEX(Consulta!$A:$DD,MATCH('ZM01'!$C27,Consulta!$D:$D,0),'ZM01'!AV$2),""))</f>
        <v/>
      </c>
      <c r="AW27" s="45"/>
      <c r="AX27" s="46" t="str">
        <f t="shared" ca="1" si="40"/>
        <v/>
      </c>
      <c r="AY27" s="47" t="s">
        <v>755</v>
      </c>
      <c r="AZ27" s="43" t="str">
        <f>IF(IFERROR(ROUND(INDEX(Consulta!$A:$DD,MATCH('ZM01'!$C27,Consulta!$D:$D,0),'ZM01'!AZ$2),3),"")=0,"",IFERROR(ROUND(INDEX(Consulta!$A:$DD,MATCH('ZM01'!$C27,Consulta!$D:$D,0),'ZM01'!AZ$2),3),""))</f>
        <v/>
      </c>
      <c r="BA27" s="43" t="str">
        <f t="shared" si="41"/>
        <v/>
      </c>
      <c r="BB27" s="48" t="s">
        <v>299</v>
      </c>
      <c r="BC27" s="48"/>
      <c r="BD27" s="43" t="str">
        <f>IF(IFERROR(INDEX(Consulta!$A:$DD,MATCH('ZM01'!$C27,Consulta!$D:$D,0),'ZM01'!BD$2),"")=0,"",IFERROR(INDEX(Consulta!$A:$DD,MATCH('ZM01'!$C27,Consulta!$D:$D,0),'ZM01'!BD$2),""))</f>
        <v/>
      </c>
      <c r="BE27" s="43" t="str">
        <f t="shared" si="0"/>
        <v/>
      </c>
      <c r="BF27" s="43" t="str">
        <f t="shared" si="42"/>
        <v/>
      </c>
      <c r="BG27" s="43" t="str">
        <f t="shared" si="1"/>
        <v/>
      </c>
      <c r="BH27" s="43" t="str">
        <f t="shared" si="43"/>
        <v>PC</v>
      </c>
      <c r="BI27" s="43" t="str">
        <f t="shared" si="23"/>
        <v/>
      </c>
      <c r="BJ27" s="43" t="str">
        <f t="shared" si="24"/>
        <v/>
      </c>
      <c r="BK27" s="43" t="str">
        <f t="shared" si="25"/>
        <v/>
      </c>
      <c r="BL27" s="43" t="str">
        <f t="shared" si="44"/>
        <v>PC</v>
      </c>
      <c r="BN27" s="44"/>
      <c r="BO27" s="44" t="s">
        <v>925</v>
      </c>
      <c r="BP27" s="43" t="str">
        <f>IF(OR(IFERROR(INDEX(Consulta!$A:$DD,MATCH('ZM01'!$C27,Consulta!$D:$D,0),'ZM01'!BP$2),"")=0,IFERROR(INDEX(Consulta!$A:$DD,MATCH('ZM01'!$C27,Consulta!$D:$D,0),'ZM01'!BP$2),"")=AR27),"",IFERROR(INDEX(Consulta!$A:$DD,MATCH('ZM01'!$C27,Consulta!$D:$D,0),'ZM01'!BP$2),""))</f>
        <v/>
      </c>
      <c r="BQ27" s="45"/>
      <c r="BR27" s="46" t="str">
        <f t="shared" ca="1" si="45"/>
        <v/>
      </c>
      <c r="BS27" s="49" t="str">
        <f t="shared" si="46"/>
        <v/>
      </c>
      <c r="BT27" s="50">
        <v>1</v>
      </c>
      <c r="BU27" s="50" t="s">
        <v>194</v>
      </c>
      <c r="BV27" s="50" t="s">
        <v>194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IF(IFERROR(INDEX(Consulta!$A:$DD,MATCH('ZM01'!$C27,Consulta!$D:$D,0),'ZM01'!CB$2),"")=0,"",IFERROR(INDEX(Consulta!$A:$DD,MATCH('ZM01'!$C27,Consulta!$D:$D,0),'ZM01'!CB$2),""))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14"/>
        <v/>
      </c>
      <c r="CH27" s="45" t="s">
        <v>430</v>
      </c>
      <c r="CI27" s="44">
        <v>0</v>
      </c>
      <c r="CJ27" s="43" t="str">
        <f t="shared" si="26"/>
        <v>E</v>
      </c>
      <c r="CK27" s="43" t="str">
        <f t="shared" si="27"/>
        <v/>
      </c>
      <c r="CL27" s="44">
        <v>2</v>
      </c>
      <c r="CM27" s="49" t="str">
        <f t="shared" si="47"/>
        <v/>
      </c>
      <c r="CN27" s="49" t="str">
        <f t="shared" si="48"/>
        <v/>
      </c>
      <c r="CO27" s="43" t="str">
        <f t="shared" si="28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29"/>
        <v>K00_AO_</v>
      </c>
      <c r="CW27" s="43" t="str">
        <f t="shared" si="30"/>
        <v/>
      </c>
      <c r="CX27" s="43" t="str">
        <f t="shared" si="31"/>
        <v/>
      </c>
      <c r="CY27" s="44">
        <v>1</v>
      </c>
      <c r="CZ27" s="43" t="str">
        <f t="shared" si="32"/>
        <v/>
      </c>
      <c r="DA27" s="43" t="str">
        <f>IF(IFERROR(INDEX(Consulta!$A:$DD,MATCH('ZM01'!$C27,Consulta!$D:$D,0),'ZM01'!DA$2),"")=0,"",IFERROR(INDEX(Consulta!$A:$DD,MATCH('ZM01'!$C27,Consulta!$D:$D,0),'ZM01'!DA$2),""))</f>
        <v/>
      </c>
      <c r="DB27" s="43" t="str">
        <f>IF(IFERROR(INDEX(Consulta!$A:$DD,MATCH('ZM01'!$C27,Consulta!$D:$D,0),'ZM01'!DB$2),"")=0,"",IFERROR(INDEX(Consulta!$A:$DD,MATCH('ZM01'!$C27,Consulta!$D:$D,0),'ZM01'!DB$2),""))</f>
        <v/>
      </c>
      <c r="DC27" s="45">
        <v>0</v>
      </c>
      <c r="DD27" s="45">
        <v>0</v>
      </c>
      <c r="DE27" s="43" t="str">
        <f>IF(IFERROR(INDEX(Consulta!$A:$DD,MATCH('ZM01'!$C27,Consulta!$D:$D,0),'ZM01'!DE$2),"")=0,"",IFERROR(TEXT(VALUE(INDEX(Consulta!$A:$DD,MATCH('ZM01'!$C27,Consulta!$D:$D,0),'ZM01'!DE$2))/100,"0,00"),""))</f>
        <v/>
      </c>
      <c r="DG27" s="43">
        <f t="shared" si="49"/>
        <v>1</v>
      </c>
      <c r="DH27" s="43" t="str">
        <f>IF(IFERROR(INDEX(Consulta!$A:$DD,MATCH('ZM01'!$C27,Consulta!$D:$D,0),'ZM01'!DH$2),"")=0,"",IFERROR(VLOOKUP(INDEX(Consulta!$A:$DD,MATCH('ZM01'!$C27,Consulta!$D:$D,0),'ZM01'!DH$2),'Listas de Dados'!BU:BW,3,0),""))</f>
        <v/>
      </c>
      <c r="DI27" s="43" t="str">
        <f t="shared" ca="1" si="50"/>
        <v>11.02.2022</v>
      </c>
      <c r="DJ27" s="43" t="str">
        <f t="shared" si="51"/>
        <v>31.12.9999</v>
      </c>
      <c r="DL27" s="44">
        <v>1</v>
      </c>
      <c r="DM27" s="44" t="s">
        <v>1039</v>
      </c>
      <c r="DN27" s="44">
        <v>1</v>
      </c>
      <c r="DO27" s="43">
        <f t="shared" si="33"/>
        <v>1</v>
      </c>
      <c r="DP27" s="43" t="str">
        <f t="shared" si="34"/>
        <v>PC</v>
      </c>
      <c r="DQ27" s="43" t="str">
        <f t="shared" si="35"/>
        <v/>
      </c>
      <c r="DR27" s="44">
        <v>100</v>
      </c>
      <c r="DS27" s="71">
        <f t="shared" si="20"/>
        <v>1</v>
      </c>
      <c r="DT27" s="43">
        <f t="shared" si="52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3">
      <c r="A28" s="7" t="str">
        <f t="shared" si="2"/>
        <v>Execução 24</v>
      </c>
      <c r="B28" s="75"/>
      <c r="C28" s="85"/>
      <c r="D28" s="71" t="str">
        <f t="shared" si="36"/>
        <v/>
      </c>
      <c r="E28" s="71" t="str">
        <f t="shared" si="37"/>
        <v/>
      </c>
      <c r="F28" s="43" t="str">
        <f>IF(IFERROR(INDEX(Consulta!$A:$DD,MATCH('ZM01'!$C28,Consulta!$D:$D,0),'ZM01'!F$2),"")=0,"",IFERROR(INDEX(Consulta!$A:$DD,MATCH('ZM01'!$C28,Consulta!$D:$D,0),'ZM01'!F$2),""))</f>
        <v/>
      </c>
      <c r="G28" s="43" t="str">
        <f>IF(IFERROR(INDEX(Consulta!$A:$DD,MATCH('ZM01'!$C28,Consulta!$D:$D,0),'ZM01'!G$2),"")=0,"",IFERROR(INDEX(Consulta!$A:$DD,MATCH('ZM01'!$C28,Consulta!$D:$D,0),'ZM01'!G$2),""))</f>
        <v/>
      </c>
      <c r="H28" s="43" t="str">
        <f t="shared" si="22"/>
        <v/>
      </c>
      <c r="I28" s="44" t="s">
        <v>100</v>
      </c>
      <c r="J28" s="43" t="str">
        <f>IF(IFERROR(INDEX(Consulta!$A:$DD,MATCH('ZM01'!$C28,Consulta!$D:$D,0),'ZM01'!J$2),"")=0,"",IFERROR(INDEX(Consulta!$A:$DD,MATCH('ZM01'!$C28,Consulta!$D:$D,0),'ZM01'!J$2),""))</f>
        <v/>
      </c>
      <c r="K28" s="43" t="str">
        <f>IF(IFERROR(INDEX(Consulta!$A:$DD,MATCH('ZM01'!$C28,Consulta!$D:$D,0),'ZM01'!K$2),"")=0,"",IFERROR(INDEX(Consulta!$A:$DD,MATCH('ZM01'!$C28,Consulta!$D:$D,0),'ZM01'!K$2),""))</f>
        <v/>
      </c>
      <c r="L28" s="43" t="str">
        <f t="shared" si="38"/>
        <v/>
      </c>
      <c r="M28" s="43" t="str">
        <f>IF(IFERROR(INDEX(Consulta!$A:$DD,MATCH('ZM01'!$C28,Consulta!$D:$D,0),'ZM01'!M$2),"")=0,"",IFERROR(INDEX(Consulta!$A:$DD,MATCH('ZM01'!$C28,Consulta!$D:$D,0),'ZM01'!M$2),""))</f>
        <v/>
      </c>
      <c r="N28" s="43" t="str">
        <f t="shared" si="39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IF(IFERROR(INDEX(Consulta!$A:$DD,MATCH('ZM01'!$C28,Consulta!$D:$D,0),'ZM01'!AS$2),"")=0,"",IFERROR(INDEX(Consulta!$A:$DD,MATCH('ZM01'!$C28,Consulta!$D:$D,0),'ZM01'!AS$2),""))</f>
        <v/>
      </c>
      <c r="AT28" s="45"/>
      <c r="AU28" s="43" t="str">
        <f>IF(IFERROR(INDEX(Consulta!$A:$DD,MATCH('ZM01'!$C28,Consulta!$D:$D,0),'ZM01'!AU$2),"")=0,"",IFERROR(INDEX(Consulta!$A:$DD,MATCH('ZM01'!$C28,Consulta!$D:$D,0),'ZM01'!AU$2),""))</f>
        <v/>
      </c>
      <c r="AV28" s="43" t="str">
        <f>IF(IFERROR(INDEX(Consulta!$A:$DD,MATCH('ZM01'!$C28,Consulta!$D:$D,0),'ZM01'!AV$2),"")=0,"",IFERROR(INDEX(Consulta!$A:$DD,MATCH('ZM01'!$C28,Consulta!$D:$D,0),'ZM01'!AV$2),""))</f>
        <v/>
      </c>
      <c r="AW28" s="45"/>
      <c r="AX28" s="46" t="str">
        <f t="shared" ca="1" si="40"/>
        <v/>
      </c>
      <c r="AY28" s="47" t="s">
        <v>755</v>
      </c>
      <c r="AZ28" s="43" t="str">
        <f>IF(IFERROR(ROUND(INDEX(Consulta!$A:$DD,MATCH('ZM01'!$C28,Consulta!$D:$D,0),'ZM01'!AZ$2),3),"")=0,"",IFERROR(ROUND(INDEX(Consulta!$A:$DD,MATCH('ZM01'!$C28,Consulta!$D:$D,0),'ZM01'!AZ$2),3),""))</f>
        <v/>
      </c>
      <c r="BA28" s="43" t="str">
        <f t="shared" si="41"/>
        <v/>
      </c>
      <c r="BB28" s="48" t="s">
        <v>299</v>
      </c>
      <c r="BC28" s="48"/>
      <c r="BD28" s="43" t="str">
        <f>IF(IFERROR(INDEX(Consulta!$A:$DD,MATCH('ZM01'!$C28,Consulta!$D:$D,0),'ZM01'!BD$2),"")=0,"",IFERROR(INDEX(Consulta!$A:$DD,MATCH('ZM01'!$C28,Consulta!$D:$D,0),'ZM01'!BD$2),""))</f>
        <v/>
      </c>
      <c r="BE28" s="43" t="str">
        <f t="shared" si="0"/>
        <v/>
      </c>
      <c r="BF28" s="43" t="str">
        <f t="shared" si="42"/>
        <v/>
      </c>
      <c r="BG28" s="43" t="str">
        <f t="shared" si="1"/>
        <v/>
      </c>
      <c r="BH28" s="43" t="str">
        <f t="shared" si="43"/>
        <v>PC</v>
      </c>
      <c r="BI28" s="43" t="str">
        <f t="shared" si="23"/>
        <v/>
      </c>
      <c r="BJ28" s="43" t="str">
        <f t="shared" si="24"/>
        <v/>
      </c>
      <c r="BK28" s="43" t="str">
        <f t="shared" si="25"/>
        <v/>
      </c>
      <c r="BL28" s="43" t="str">
        <f t="shared" si="44"/>
        <v>PC</v>
      </c>
      <c r="BN28" s="44"/>
      <c r="BO28" s="44" t="s">
        <v>925</v>
      </c>
      <c r="BP28" s="43" t="str">
        <f>IF(OR(IFERROR(INDEX(Consulta!$A:$DD,MATCH('ZM01'!$C28,Consulta!$D:$D,0),'ZM01'!BP$2),"")=0,IFERROR(INDEX(Consulta!$A:$DD,MATCH('ZM01'!$C28,Consulta!$D:$D,0),'ZM01'!BP$2),"")=AR28),"",IFERROR(INDEX(Consulta!$A:$DD,MATCH('ZM01'!$C28,Consulta!$D:$D,0),'ZM01'!BP$2),""))</f>
        <v/>
      </c>
      <c r="BQ28" s="45"/>
      <c r="BR28" s="46" t="str">
        <f t="shared" ca="1" si="45"/>
        <v/>
      </c>
      <c r="BS28" s="49" t="str">
        <f t="shared" si="46"/>
        <v/>
      </c>
      <c r="BT28" s="50">
        <v>1</v>
      </c>
      <c r="BU28" s="50" t="s">
        <v>194</v>
      </c>
      <c r="BV28" s="50" t="s">
        <v>194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IF(IFERROR(INDEX(Consulta!$A:$DD,MATCH('ZM01'!$C28,Consulta!$D:$D,0),'ZM01'!CB$2),"")=0,"",IFERROR(INDEX(Consulta!$A:$DD,MATCH('ZM01'!$C28,Consulta!$D:$D,0),'ZM01'!CB$2),""))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14"/>
        <v/>
      </c>
      <c r="CH28" s="45" t="s">
        <v>430</v>
      </c>
      <c r="CI28" s="44">
        <v>0</v>
      </c>
      <c r="CJ28" s="43" t="str">
        <f t="shared" si="26"/>
        <v>E</v>
      </c>
      <c r="CK28" s="43" t="str">
        <f t="shared" si="27"/>
        <v/>
      </c>
      <c r="CL28" s="44">
        <v>2</v>
      </c>
      <c r="CM28" s="49" t="str">
        <f t="shared" si="47"/>
        <v/>
      </c>
      <c r="CN28" s="49" t="str">
        <f t="shared" si="48"/>
        <v/>
      </c>
      <c r="CO28" s="43" t="str">
        <f t="shared" si="28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29"/>
        <v>K00_AO_</v>
      </c>
      <c r="CW28" s="43" t="str">
        <f t="shared" si="30"/>
        <v/>
      </c>
      <c r="CX28" s="43" t="str">
        <f t="shared" si="31"/>
        <v/>
      </c>
      <c r="CY28" s="44">
        <v>1</v>
      </c>
      <c r="CZ28" s="43" t="str">
        <f t="shared" si="32"/>
        <v/>
      </c>
      <c r="DA28" s="43" t="str">
        <f>IF(IFERROR(INDEX(Consulta!$A:$DD,MATCH('ZM01'!$C28,Consulta!$D:$D,0),'ZM01'!DA$2),"")=0,"",IFERROR(INDEX(Consulta!$A:$DD,MATCH('ZM01'!$C28,Consulta!$D:$D,0),'ZM01'!DA$2),""))</f>
        <v/>
      </c>
      <c r="DB28" s="43" t="str">
        <f>IF(IFERROR(INDEX(Consulta!$A:$DD,MATCH('ZM01'!$C28,Consulta!$D:$D,0),'ZM01'!DB$2),"")=0,"",IFERROR(INDEX(Consulta!$A:$DD,MATCH('ZM01'!$C28,Consulta!$D:$D,0),'ZM01'!DB$2),""))</f>
        <v/>
      </c>
      <c r="DC28" s="45">
        <v>0</v>
      </c>
      <c r="DD28" s="45">
        <v>0</v>
      </c>
      <c r="DE28" s="43" t="str">
        <f>IF(IFERROR(INDEX(Consulta!$A:$DD,MATCH('ZM01'!$C28,Consulta!$D:$D,0),'ZM01'!DE$2),"")=0,"",IFERROR(TEXT(VALUE(INDEX(Consulta!$A:$DD,MATCH('ZM01'!$C28,Consulta!$D:$D,0),'ZM01'!DE$2))/100,"0,00"),""))</f>
        <v/>
      </c>
      <c r="DG28" s="43">
        <f t="shared" si="49"/>
        <v>1</v>
      </c>
      <c r="DH28" s="43" t="str">
        <f>IF(IFERROR(INDEX(Consulta!$A:$DD,MATCH('ZM01'!$C28,Consulta!$D:$D,0),'ZM01'!DH$2),"")=0,"",IFERROR(VLOOKUP(INDEX(Consulta!$A:$DD,MATCH('ZM01'!$C28,Consulta!$D:$D,0),'ZM01'!DH$2),'Listas de Dados'!BU:BW,3,0),""))</f>
        <v/>
      </c>
      <c r="DI28" s="43" t="str">
        <f t="shared" ca="1" si="50"/>
        <v>11.02.2022</v>
      </c>
      <c r="DJ28" s="43" t="str">
        <f t="shared" si="51"/>
        <v>31.12.9999</v>
      </c>
      <c r="DL28" s="44">
        <v>1</v>
      </c>
      <c r="DM28" s="44" t="s">
        <v>1039</v>
      </c>
      <c r="DN28" s="44">
        <v>1</v>
      </c>
      <c r="DO28" s="43">
        <f t="shared" si="33"/>
        <v>1</v>
      </c>
      <c r="DP28" s="43" t="str">
        <f t="shared" si="34"/>
        <v>PC</v>
      </c>
      <c r="DQ28" s="43" t="str">
        <f t="shared" si="35"/>
        <v/>
      </c>
      <c r="DR28" s="44">
        <v>100</v>
      </c>
      <c r="DS28" s="71">
        <f t="shared" si="20"/>
        <v>1</v>
      </c>
      <c r="DT28" s="43">
        <f t="shared" si="52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3">
      <c r="A29" s="7" t="str">
        <f t="shared" si="2"/>
        <v>Execução 25</v>
      </c>
      <c r="B29" s="79"/>
      <c r="C29" s="85"/>
      <c r="D29" s="71" t="str">
        <f t="shared" si="36"/>
        <v/>
      </c>
      <c r="E29" s="71" t="str">
        <f t="shared" si="37"/>
        <v/>
      </c>
      <c r="F29" s="43" t="str">
        <f>IF(IFERROR(INDEX(Consulta!$A:$DD,MATCH('ZM01'!$C29,Consulta!$D:$D,0),'ZM01'!F$2),"")=0,"",IFERROR(INDEX(Consulta!$A:$DD,MATCH('ZM01'!$C29,Consulta!$D:$D,0),'ZM01'!F$2),""))</f>
        <v/>
      </c>
      <c r="G29" s="43" t="str">
        <f>IF(IFERROR(INDEX(Consulta!$A:$DD,MATCH('ZM01'!$C29,Consulta!$D:$D,0),'ZM01'!G$2),"")=0,"",IFERROR(INDEX(Consulta!$A:$DD,MATCH('ZM01'!$C29,Consulta!$D:$D,0),'ZM01'!G$2),""))</f>
        <v/>
      </c>
      <c r="H29" s="43" t="str">
        <f t="shared" si="22"/>
        <v/>
      </c>
      <c r="I29" s="44" t="s">
        <v>100</v>
      </c>
      <c r="J29" s="43" t="str">
        <f>IF(IFERROR(INDEX(Consulta!$A:$DD,MATCH('ZM01'!$C29,Consulta!$D:$D,0),'ZM01'!J$2),"")=0,"",IFERROR(INDEX(Consulta!$A:$DD,MATCH('ZM01'!$C29,Consulta!$D:$D,0),'ZM01'!J$2),""))</f>
        <v/>
      </c>
      <c r="K29" s="43" t="str">
        <f>IF(IFERROR(INDEX(Consulta!$A:$DD,MATCH('ZM01'!$C29,Consulta!$D:$D,0),'ZM01'!K$2),"")=0,"",IFERROR(INDEX(Consulta!$A:$DD,MATCH('ZM01'!$C29,Consulta!$D:$D,0),'ZM01'!K$2),""))</f>
        <v/>
      </c>
      <c r="L29" s="43" t="str">
        <f t="shared" si="38"/>
        <v/>
      </c>
      <c r="M29" s="43" t="str">
        <f>IF(IFERROR(INDEX(Consulta!$A:$DD,MATCH('ZM01'!$C29,Consulta!$D:$D,0),'ZM01'!M$2),"")=0,"",IFERROR(INDEX(Consulta!$A:$DD,MATCH('ZM01'!$C29,Consulta!$D:$D,0),'ZM01'!M$2),""))</f>
        <v/>
      </c>
      <c r="N29" s="43" t="str">
        <f t="shared" si="39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IF(IFERROR(INDEX(Consulta!$A:$DD,MATCH('ZM01'!$C29,Consulta!$D:$D,0),'ZM01'!AS$2),"")=0,"",IFERROR(INDEX(Consulta!$A:$DD,MATCH('ZM01'!$C29,Consulta!$D:$D,0),'ZM01'!AS$2),""))</f>
        <v/>
      </c>
      <c r="AT29" s="45"/>
      <c r="AU29" s="43" t="str">
        <f>IF(IFERROR(INDEX(Consulta!$A:$DD,MATCH('ZM01'!$C29,Consulta!$D:$D,0),'ZM01'!AU$2),"")=0,"",IFERROR(INDEX(Consulta!$A:$DD,MATCH('ZM01'!$C29,Consulta!$D:$D,0),'ZM01'!AU$2),""))</f>
        <v/>
      </c>
      <c r="AV29" s="43" t="str">
        <f>IF(IFERROR(INDEX(Consulta!$A:$DD,MATCH('ZM01'!$C29,Consulta!$D:$D,0),'ZM01'!AV$2),"")=0,"",IFERROR(INDEX(Consulta!$A:$DD,MATCH('ZM01'!$C29,Consulta!$D:$D,0),'ZM01'!AV$2),""))</f>
        <v/>
      </c>
      <c r="AW29" s="45"/>
      <c r="AX29" s="46" t="str">
        <f t="shared" ca="1" si="40"/>
        <v/>
      </c>
      <c r="AY29" s="47" t="s">
        <v>755</v>
      </c>
      <c r="AZ29" s="43" t="str">
        <f>IF(IFERROR(ROUND(INDEX(Consulta!$A:$DD,MATCH('ZM01'!$C29,Consulta!$D:$D,0),'ZM01'!AZ$2),3),"")=0,"",IFERROR(ROUND(INDEX(Consulta!$A:$DD,MATCH('ZM01'!$C29,Consulta!$D:$D,0),'ZM01'!AZ$2),3),""))</f>
        <v/>
      </c>
      <c r="BA29" s="43" t="str">
        <f t="shared" si="41"/>
        <v/>
      </c>
      <c r="BB29" s="48" t="s">
        <v>299</v>
      </c>
      <c r="BC29" s="48"/>
      <c r="BD29" s="43" t="str">
        <f>IF(IFERROR(INDEX(Consulta!$A:$DD,MATCH('ZM01'!$C29,Consulta!$D:$D,0),'ZM01'!BD$2),"")=0,"",IFERROR(INDEX(Consulta!$A:$DD,MATCH('ZM01'!$C29,Consulta!$D:$D,0),'ZM01'!BD$2),""))</f>
        <v/>
      </c>
      <c r="BE29" s="43" t="str">
        <f t="shared" si="0"/>
        <v/>
      </c>
      <c r="BF29" s="43" t="str">
        <f t="shared" si="42"/>
        <v/>
      </c>
      <c r="BG29" s="43" t="str">
        <f t="shared" si="1"/>
        <v/>
      </c>
      <c r="BH29" s="43" t="str">
        <f t="shared" si="43"/>
        <v>PC</v>
      </c>
      <c r="BI29" s="43" t="str">
        <f t="shared" si="23"/>
        <v/>
      </c>
      <c r="BJ29" s="43" t="str">
        <f t="shared" si="24"/>
        <v/>
      </c>
      <c r="BK29" s="43" t="str">
        <f t="shared" si="25"/>
        <v/>
      </c>
      <c r="BL29" s="43" t="str">
        <f t="shared" si="44"/>
        <v>PC</v>
      </c>
      <c r="BN29" s="44"/>
      <c r="BO29" s="44" t="s">
        <v>925</v>
      </c>
      <c r="BP29" s="43" t="str">
        <f>IF(OR(IFERROR(INDEX(Consulta!$A:$DD,MATCH('ZM01'!$C29,Consulta!$D:$D,0),'ZM01'!BP$2),"")=0,IFERROR(INDEX(Consulta!$A:$DD,MATCH('ZM01'!$C29,Consulta!$D:$D,0),'ZM01'!BP$2),"")=AR29),"",IFERROR(INDEX(Consulta!$A:$DD,MATCH('ZM01'!$C29,Consulta!$D:$D,0),'ZM01'!BP$2),""))</f>
        <v/>
      </c>
      <c r="BQ29" s="45"/>
      <c r="BR29" s="46" t="str">
        <f t="shared" ca="1" si="45"/>
        <v/>
      </c>
      <c r="BS29" s="49" t="str">
        <f t="shared" si="46"/>
        <v/>
      </c>
      <c r="BT29" s="50">
        <v>1</v>
      </c>
      <c r="BU29" s="50" t="s">
        <v>194</v>
      </c>
      <c r="BV29" s="50" t="s">
        <v>194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IF(IFERROR(INDEX(Consulta!$A:$DD,MATCH('ZM01'!$C29,Consulta!$D:$D,0),'ZM01'!CB$2),"")=0,"",IFERROR(INDEX(Consulta!$A:$DD,MATCH('ZM01'!$C29,Consulta!$D:$D,0),'ZM01'!CB$2),""))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14"/>
        <v/>
      </c>
      <c r="CH29" s="45" t="s">
        <v>430</v>
      </c>
      <c r="CI29" s="44">
        <v>0</v>
      </c>
      <c r="CJ29" s="43" t="str">
        <f t="shared" si="26"/>
        <v>E</v>
      </c>
      <c r="CK29" s="43" t="str">
        <f t="shared" si="27"/>
        <v/>
      </c>
      <c r="CL29" s="44">
        <v>2</v>
      </c>
      <c r="CM29" s="49" t="str">
        <f t="shared" si="47"/>
        <v/>
      </c>
      <c r="CN29" s="49" t="str">
        <f t="shared" si="48"/>
        <v/>
      </c>
      <c r="CO29" s="43" t="str">
        <f t="shared" si="28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29"/>
        <v>K00_AO_</v>
      </c>
      <c r="CW29" s="43" t="str">
        <f t="shared" si="30"/>
        <v/>
      </c>
      <c r="CX29" s="43" t="str">
        <f t="shared" si="31"/>
        <v/>
      </c>
      <c r="CY29" s="44">
        <v>1</v>
      </c>
      <c r="CZ29" s="43" t="str">
        <f t="shared" si="32"/>
        <v/>
      </c>
      <c r="DA29" s="43" t="str">
        <f>IF(IFERROR(INDEX(Consulta!$A:$DD,MATCH('ZM01'!$C29,Consulta!$D:$D,0),'ZM01'!DA$2),"")=0,"",IFERROR(INDEX(Consulta!$A:$DD,MATCH('ZM01'!$C29,Consulta!$D:$D,0),'ZM01'!DA$2),""))</f>
        <v/>
      </c>
      <c r="DB29" s="43" t="str">
        <f>IF(IFERROR(INDEX(Consulta!$A:$DD,MATCH('ZM01'!$C29,Consulta!$D:$D,0),'ZM01'!DB$2),"")=0,"",IFERROR(INDEX(Consulta!$A:$DD,MATCH('ZM01'!$C29,Consulta!$D:$D,0),'ZM01'!DB$2),""))</f>
        <v/>
      </c>
      <c r="DC29" s="45">
        <v>0</v>
      </c>
      <c r="DD29" s="45">
        <v>0</v>
      </c>
      <c r="DE29" s="43" t="str">
        <f>IF(IFERROR(INDEX(Consulta!$A:$DD,MATCH('ZM01'!$C29,Consulta!$D:$D,0),'ZM01'!DE$2),"")=0,"",IFERROR(TEXT(VALUE(INDEX(Consulta!$A:$DD,MATCH('ZM01'!$C29,Consulta!$D:$D,0),'ZM01'!DE$2))/100,"0,00"),""))</f>
        <v/>
      </c>
      <c r="DG29" s="43">
        <f t="shared" si="49"/>
        <v>1</v>
      </c>
      <c r="DH29" s="43" t="str">
        <f>IF(IFERROR(INDEX(Consulta!$A:$DD,MATCH('ZM01'!$C29,Consulta!$D:$D,0),'ZM01'!DH$2),"")=0,"",IFERROR(VLOOKUP(INDEX(Consulta!$A:$DD,MATCH('ZM01'!$C29,Consulta!$D:$D,0),'ZM01'!DH$2),'Listas de Dados'!BU:BW,3,0),""))</f>
        <v/>
      </c>
      <c r="DI29" s="43" t="str">
        <f t="shared" ca="1" si="50"/>
        <v>11.02.2022</v>
      </c>
      <c r="DJ29" s="43" t="str">
        <f t="shared" si="51"/>
        <v>31.12.9999</v>
      </c>
      <c r="DL29" s="44">
        <v>1</v>
      </c>
      <c r="DM29" s="44" t="s">
        <v>1039</v>
      </c>
      <c r="DN29" s="44">
        <v>1</v>
      </c>
      <c r="DO29" s="43">
        <f t="shared" si="33"/>
        <v>1</v>
      </c>
      <c r="DP29" s="43" t="str">
        <f t="shared" si="34"/>
        <v>PC</v>
      </c>
      <c r="DQ29" s="43" t="str">
        <f t="shared" si="35"/>
        <v/>
      </c>
      <c r="DR29" s="44">
        <v>100</v>
      </c>
      <c r="DS29" s="71">
        <f t="shared" si="20"/>
        <v>1</v>
      </c>
      <c r="DT29" s="43">
        <f t="shared" si="52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3">
      <c r="A30" s="7" t="str">
        <f t="shared" si="2"/>
        <v>Execução 26</v>
      </c>
      <c r="B30" s="75"/>
      <c r="C30" s="85"/>
      <c r="D30" s="71" t="str">
        <f t="shared" si="36"/>
        <v/>
      </c>
      <c r="E30" s="71" t="str">
        <f t="shared" si="37"/>
        <v/>
      </c>
      <c r="F30" s="43" t="str">
        <f>IF(IFERROR(INDEX(Consulta!$A:$DD,MATCH('ZM01'!$C30,Consulta!$D:$D,0),'ZM01'!F$2),"")=0,"",IFERROR(INDEX(Consulta!$A:$DD,MATCH('ZM01'!$C30,Consulta!$D:$D,0),'ZM01'!F$2),""))</f>
        <v/>
      </c>
      <c r="G30" s="43" t="str">
        <f>IF(IFERROR(INDEX(Consulta!$A:$DD,MATCH('ZM01'!$C30,Consulta!$D:$D,0),'ZM01'!G$2),"")=0,"",IFERROR(INDEX(Consulta!$A:$DD,MATCH('ZM01'!$C30,Consulta!$D:$D,0),'ZM01'!G$2),""))</f>
        <v/>
      </c>
      <c r="H30" s="43" t="str">
        <f t="shared" si="22"/>
        <v/>
      </c>
      <c r="I30" s="44" t="s">
        <v>100</v>
      </c>
      <c r="J30" s="43" t="str">
        <f>IF(IFERROR(INDEX(Consulta!$A:$DD,MATCH('ZM01'!$C30,Consulta!$D:$D,0),'ZM01'!J$2),"")=0,"",IFERROR(INDEX(Consulta!$A:$DD,MATCH('ZM01'!$C30,Consulta!$D:$D,0),'ZM01'!J$2),""))</f>
        <v/>
      </c>
      <c r="K30" s="43" t="str">
        <f>IF(IFERROR(INDEX(Consulta!$A:$DD,MATCH('ZM01'!$C30,Consulta!$D:$D,0),'ZM01'!K$2),"")=0,"",IFERROR(INDEX(Consulta!$A:$DD,MATCH('ZM01'!$C30,Consulta!$D:$D,0),'ZM01'!K$2),""))</f>
        <v/>
      </c>
      <c r="L30" s="43" t="str">
        <f t="shared" si="38"/>
        <v/>
      </c>
      <c r="M30" s="43" t="str">
        <f>IF(IFERROR(INDEX(Consulta!$A:$DD,MATCH('ZM01'!$C30,Consulta!$D:$D,0),'ZM01'!M$2),"")=0,"",IFERROR(INDEX(Consulta!$A:$DD,MATCH('ZM01'!$C30,Consulta!$D:$D,0),'ZM01'!M$2),""))</f>
        <v/>
      </c>
      <c r="N30" s="43" t="str">
        <f t="shared" si="39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IF(IFERROR(INDEX(Consulta!$A:$DD,MATCH('ZM01'!$C30,Consulta!$D:$D,0),'ZM01'!AS$2),"")=0,"",IFERROR(INDEX(Consulta!$A:$DD,MATCH('ZM01'!$C30,Consulta!$D:$D,0),'ZM01'!AS$2),""))</f>
        <v/>
      </c>
      <c r="AT30" s="45"/>
      <c r="AU30" s="43" t="str">
        <f>IF(IFERROR(INDEX(Consulta!$A:$DD,MATCH('ZM01'!$C30,Consulta!$D:$D,0),'ZM01'!AU$2),"")=0,"",IFERROR(INDEX(Consulta!$A:$DD,MATCH('ZM01'!$C30,Consulta!$D:$D,0),'ZM01'!AU$2),""))</f>
        <v/>
      </c>
      <c r="AV30" s="43" t="str">
        <f>IF(IFERROR(INDEX(Consulta!$A:$DD,MATCH('ZM01'!$C30,Consulta!$D:$D,0),'ZM01'!AV$2),"")=0,"",IFERROR(INDEX(Consulta!$A:$DD,MATCH('ZM01'!$C30,Consulta!$D:$D,0),'ZM01'!AV$2),""))</f>
        <v/>
      </c>
      <c r="AW30" s="45"/>
      <c r="AX30" s="46" t="str">
        <f t="shared" ca="1" si="40"/>
        <v/>
      </c>
      <c r="AY30" s="47" t="s">
        <v>755</v>
      </c>
      <c r="AZ30" s="43" t="str">
        <f>IF(IFERROR(ROUND(INDEX(Consulta!$A:$DD,MATCH('ZM01'!$C30,Consulta!$D:$D,0),'ZM01'!AZ$2),3),"")=0,"",IFERROR(ROUND(INDEX(Consulta!$A:$DD,MATCH('ZM01'!$C30,Consulta!$D:$D,0),'ZM01'!AZ$2),3),""))</f>
        <v/>
      </c>
      <c r="BA30" s="43" t="str">
        <f t="shared" si="41"/>
        <v/>
      </c>
      <c r="BB30" s="48" t="s">
        <v>299</v>
      </c>
      <c r="BC30" s="48"/>
      <c r="BD30" s="43" t="str">
        <f>IF(IFERROR(INDEX(Consulta!$A:$DD,MATCH('ZM01'!$C30,Consulta!$D:$D,0),'ZM01'!BD$2),"")=0,"",IFERROR(INDEX(Consulta!$A:$DD,MATCH('ZM01'!$C30,Consulta!$D:$D,0),'ZM01'!BD$2),""))</f>
        <v/>
      </c>
      <c r="BE30" s="43" t="str">
        <f t="shared" si="0"/>
        <v/>
      </c>
      <c r="BF30" s="43" t="str">
        <f t="shared" si="42"/>
        <v/>
      </c>
      <c r="BG30" s="43" t="str">
        <f t="shared" si="1"/>
        <v/>
      </c>
      <c r="BH30" s="43" t="str">
        <f t="shared" si="43"/>
        <v>PC</v>
      </c>
      <c r="BI30" s="43" t="str">
        <f t="shared" si="23"/>
        <v/>
      </c>
      <c r="BJ30" s="43" t="str">
        <f t="shared" si="24"/>
        <v/>
      </c>
      <c r="BK30" s="43" t="str">
        <f t="shared" si="25"/>
        <v/>
      </c>
      <c r="BL30" s="43" t="str">
        <f t="shared" si="44"/>
        <v>PC</v>
      </c>
      <c r="BN30" s="44"/>
      <c r="BO30" s="44" t="s">
        <v>925</v>
      </c>
      <c r="BP30" s="43" t="str">
        <f>IF(OR(IFERROR(INDEX(Consulta!$A:$DD,MATCH('ZM01'!$C30,Consulta!$D:$D,0),'ZM01'!BP$2),"")=0,IFERROR(INDEX(Consulta!$A:$DD,MATCH('ZM01'!$C30,Consulta!$D:$D,0),'ZM01'!BP$2),"")=AR30),"",IFERROR(INDEX(Consulta!$A:$DD,MATCH('ZM01'!$C30,Consulta!$D:$D,0),'ZM01'!BP$2),""))</f>
        <v/>
      </c>
      <c r="BQ30" s="45"/>
      <c r="BR30" s="46" t="str">
        <f t="shared" ca="1" si="45"/>
        <v/>
      </c>
      <c r="BS30" s="49" t="str">
        <f t="shared" si="46"/>
        <v/>
      </c>
      <c r="BT30" s="50">
        <v>1</v>
      </c>
      <c r="BU30" s="50" t="s">
        <v>194</v>
      </c>
      <c r="BV30" s="50" t="s">
        <v>194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IF(IFERROR(INDEX(Consulta!$A:$DD,MATCH('ZM01'!$C30,Consulta!$D:$D,0),'ZM01'!CB$2),"")=0,"",IFERROR(INDEX(Consulta!$A:$DD,MATCH('ZM01'!$C30,Consulta!$D:$D,0),'ZM01'!CB$2),""))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14"/>
        <v/>
      </c>
      <c r="CH30" s="45" t="s">
        <v>430</v>
      </c>
      <c r="CI30" s="44">
        <v>0</v>
      </c>
      <c r="CJ30" s="43" t="str">
        <f t="shared" si="26"/>
        <v>E</v>
      </c>
      <c r="CK30" s="43" t="str">
        <f t="shared" si="27"/>
        <v/>
      </c>
      <c r="CL30" s="44">
        <v>2</v>
      </c>
      <c r="CM30" s="49" t="str">
        <f t="shared" si="47"/>
        <v/>
      </c>
      <c r="CN30" s="49" t="str">
        <f t="shared" si="48"/>
        <v/>
      </c>
      <c r="CO30" s="43" t="str">
        <f t="shared" si="28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29"/>
        <v>K00_AO_</v>
      </c>
      <c r="CW30" s="43" t="str">
        <f t="shared" si="30"/>
        <v/>
      </c>
      <c r="CX30" s="43" t="str">
        <f t="shared" si="31"/>
        <v/>
      </c>
      <c r="CY30" s="44">
        <v>1</v>
      </c>
      <c r="CZ30" s="43" t="str">
        <f t="shared" si="32"/>
        <v/>
      </c>
      <c r="DA30" s="43" t="str">
        <f>IF(IFERROR(INDEX(Consulta!$A:$DD,MATCH('ZM01'!$C30,Consulta!$D:$D,0),'ZM01'!DA$2),"")=0,"",IFERROR(INDEX(Consulta!$A:$DD,MATCH('ZM01'!$C30,Consulta!$D:$D,0),'ZM01'!DA$2),""))</f>
        <v/>
      </c>
      <c r="DB30" s="43" t="str">
        <f>IF(IFERROR(INDEX(Consulta!$A:$DD,MATCH('ZM01'!$C30,Consulta!$D:$D,0),'ZM01'!DB$2),"")=0,"",IFERROR(INDEX(Consulta!$A:$DD,MATCH('ZM01'!$C30,Consulta!$D:$D,0),'ZM01'!DB$2),""))</f>
        <v/>
      </c>
      <c r="DC30" s="45">
        <v>0</v>
      </c>
      <c r="DD30" s="45">
        <v>0</v>
      </c>
      <c r="DE30" s="43" t="str">
        <f>IF(IFERROR(INDEX(Consulta!$A:$DD,MATCH('ZM01'!$C30,Consulta!$D:$D,0),'ZM01'!DE$2),"")=0,"",IFERROR(TEXT(VALUE(INDEX(Consulta!$A:$DD,MATCH('ZM01'!$C30,Consulta!$D:$D,0),'ZM01'!DE$2))/100,"0,00"),""))</f>
        <v/>
      </c>
      <c r="DG30" s="43">
        <f t="shared" si="49"/>
        <v>1</v>
      </c>
      <c r="DH30" s="43" t="str">
        <f>IF(IFERROR(INDEX(Consulta!$A:$DD,MATCH('ZM01'!$C30,Consulta!$D:$D,0),'ZM01'!DH$2),"")=0,"",IFERROR(VLOOKUP(INDEX(Consulta!$A:$DD,MATCH('ZM01'!$C30,Consulta!$D:$D,0),'ZM01'!DH$2),'Listas de Dados'!BU:BW,3,0),""))</f>
        <v/>
      </c>
      <c r="DI30" s="43" t="str">
        <f t="shared" ca="1" si="50"/>
        <v>11.02.2022</v>
      </c>
      <c r="DJ30" s="43" t="str">
        <f t="shared" si="51"/>
        <v>31.12.9999</v>
      </c>
      <c r="DL30" s="44">
        <v>1</v>
      </c>
      <c r="DM30" s="44" t="s">
        <v>1039</v>
      </c>
      <c r="DN30" s="44">
        <v>1</v>
      </c>
      <c r="DO30" s="43">
        <f t="shared" si="33"/>
        <v>1</v>
      </c>
      <c r="DP30" s="43" t="str">
        <f t="shared" si="34"/>
        <v>PC</v>
      </c>
      <c r="DQ30" s="43" t="str">
        <f t="shared" si="35"/>
        <v/>
      </c>
      <c r="DR30" s="44">
        <v>100</v>
      </c>
      <c r="DS30" s="71">
        <f t="shared" si="20"/>
        <v>1</v>
      </c>
      <c r="DT30" s="43">
        <f t="shared" si="52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3">
      <c r="A31" s="7" t="str">
        <f t="shared" si="2"/>
        <v>Execução 27</v>
      </c>
      <c r="B31" s="79"/>
      <c r="C31" s="85"/>
      <c r="D31" s="71" t="str">
        <f t="shared" si="36"/>
        <v/>
      </c>
      <c r="E31" s="71" t="str">
        <f t="shared" si="37"/>
        <v/>
      </c>
      <c r="F31" s="43" t="str">
        <f>IF(IFERROR(INDEX(Consulta!$A:$DD,MATCH('ZM01'!$C31,Consulta!$D:$D,0),'ZM01'!F$2),"")=0,"",IFERROR(INDEX(Consulta!$A:$DD,MATCH('ZM01'!$C31,Consulta!$D:$D,0),'ZM01'!F$2),""))</f>
        <v/>
      </c>
      <c r="G31" s="43" t="str">
        <f>IF(IFERROR(INDEX(Consulta!$A:$DD,MATCH('ZM01'!$C31,Consulta!$D:$D,0),'ZM01'!G$2),"")=0,"",IFERROR(INDEX(Consulta!$A:$DD,MATCH('ZM01'!$C31,Consulta!$D:$D,0),'ZM01'!G$2),""))</f>
        <v/>
      </c>
      <c r="H31" s="43" t="str">
        <f t="shared" si="22"/>
        <v/>
      </c>
      <c r="I31" s="44" t="s">
        <v>100</v>
      </c>
      <c r="J31" s="43" t="str">
        <f>IF(IFERROR(INDEX(Consulta!$A:$DD,MATCH('ZM01'!$C31,Consulta!$D:$D,0),'ZM01'!J$2),"")=0,"",IFERROR(INDEX(Consulta!$A:$DD,MATCH('ZM01'!$C31,Consulta!$D:$D,0),'ZM01'!J$2),""))</f>
        <v/>
      </c>
      <c r="K31" s="43" t="str">
        <f>IF(IFERROR(INDEX(Consulta!$A:$DD,MATCH('ZM01'!$C31,Consulta!$D:$D,0),'ZM01'!K$2),"")=0,"",IFERROR(INDEX(Consulta!$A:$DD,MATCH('ZM01'!$C31,Consulta!$D:$D,0),'ZM01'!K$2),""))</f>
        <v/>
      </c>
      <c r="L31" s="43" t="str">
        <f t="shared" si="38"/>
        <v/>
      </c>
      <c r="M31" s="43" t="str">
        <f>IF(IFERROR(INDEX(Consulta!$A:$DD,MATCH('ZM01'!$C31,Consulta!$D:$D,0),'ZM01'!M$2),"")=0,"",IFERROR(INDEX(Consulta!$A:$DD,MATCH('ZM01'!$C31,Consulta!$D:$D,0),'ZM01'!M$2),""))</f>
        <v/>
      </c>
      <c r="N31" s="43" t="str">
        <f t="shared" si="39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IF(IFERROR(INDEX(Consulta!$A:$DD,MATCH('ZM01'!$C31,Consulta!$D:$D,0),'ZM01'!AS$2),"")=0,"",IFERROR(INDEX(Consulta!$A:$DD,MATCH('ZM01'!$C31,Consulta!$D:$D,0),'ZM01'!AS$2),""))</f>
        <v/>
      </c>
      <c r="AT31" s="45"/>
      <c r="AU31" s="43" t="str">
        <f>IF(IFERROR(INDEX(Consulta!$A:$DD,MATCH('ZM01'!$C31,Consulta!$D:$D,0),'ZM01'!AU$2),"")=0,"",IFERROR(INDEX(Consulta!$A:$DD,MATCH('ZM01'!$C31,Consulta!$D:$D,0),'ZM01'!AU$2),""))</f>
        <v/>
      </c>
      <c r="AV31" s="43" t="str">
        <f>IF(IFERROR(INDEX(Consulta!$A:$DD,MATCH('ZM01'!$C31,Consulta!$D:$D,0),'ZM01'!AV$2),"")=0,"",IFERROR(INDEX(Consulta!$A:$DD,MATCH('ZM01'!$C31,Consulta!$D:$D,0),'ZM01'!AV$2),""))</f>
        <v/>
      </c>
      <c r="AW31" s="45"/>
      <c r="AX31" s="46" t="str">
        <f t="shared" ca="1" si="40"/>
        <v/>
      </c>
      <c r="AY31" s="47" t="s">
        <v>755</v>
      </c>
      <c r="AZ31" s="43" t="str">
        <f>IF(IFERROR(ROUND(INDEX(Consulta!$A:$DD,MATCH('ZM01'!$C31,Consulta!$D:$D,0),'ZM01'!AZ$2),3),"")=0,"",IFERROR(ROUND(INDEX(Consulta!$A:$DD,MATCH('ZM01'!$C31,Consulta!$D:$D,0),'ZM01'!AZ$2),3),""))</f>
        <v/>
      </c>
      <c r="BA31" s="43" t="str">
        <f t="shared" si="41"/>
        <v/>
      </c>
      <c r="BB31" s="48" t="s">
        <v>299</v>
      </c>
      <c r="BC31" s="48"/>
      <c r="BD31" s="43" t="str">
        <f>IF(IFERROR(INDEX(Consulta!$A:$DD,MATCH('ZM01'!$C31,Consulta!$D:$D,0),'ZM01'!BD$2),"")=0,"",IFERROR(INDEX(Consulta!$A:$DD,MATCH('ZM01'!$C31,Consulta!$D:$D,0),'ZM01'!BD$2),""))</f>
        <v/>
      </c>
      <c r="BE31" s="43" t="str">
        <f t="shared" si="0"/>
        <v/>
      </c>
      <c r="BF31" s="43" t="str">
        <f t="shared" si="42"/>
        <v/>
      </c>
      <c r="BG31" s="43" t="str">
        <f t="shared" si="1"/>
        <v/>
      </c>
      <c r="BH31" s="43" t="str">
        <f t="shared" si="43"/>
        <v>PC</v>
      </c>
      <c r="BI31" s="43" t="str">
        <f t="shared" si="23"/>
        <v/>
      </c>
      <c r="BJ31" s="43" t="str">
        <f t="shared" si="24"/>
        <v/>
      </c>
      <c r="BK31" s="43" t="str">
        <f t="shared" si="25"/>
        <v/>
      </c>
      <c r="BL31" s="43" t="str">
        <f t="shared" si="44"/>
        <v>PC</v>
      </c>
      <c r="BN31" s="44"/>
      <c r="BO31" s="44" t="s">
        <v>925</v>
      </c>
      <c r="BP31" s="43" t="str">
        <f>IF(OR(IFERROR(INDEX(Consulta!$A:$DD,MATCH('ZM01'!$C31,Consulta!$D:$D,0),'ZM01'!BP$2),"")=0,IFERROR(INDEX(Consulta!$A:$DD,MATCH('ZM01'!$C31,Consulta!$D:$D,0),'ZM01'!BP$2),"")=AR31),"",IFERROR(INDEX(Consulta!$A:$DD,MATCH('ZM01'!$C31,Consulta!$D:$D,0),'ZM01'!BP$2),""))</f>
        <v/>
      </c>
      <c r="BQ31" s="45"/>
      <c r="BR31" s="46" t="str">
        <f t="shared" ca="1" si="45"/>
        <v/>
      </c>
      <c r="BS31" s="49" t="str">
        <f t="shared" si="46"/>
        <v/>
      </c>
      <c r="BT31" s="50">
        <v>1</v>
      </c>
      <c r="BU31" s="50" t="s">
        <v>194</v>
      </c>
      <c r="BV31" s="50" t="s">
        <v>194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IF(IFERROR(INDEX(Consulta!$A:$DD,MATCH('ZM01'!$C31,Consulta!$D:$D,0),'ZM01'!CB$2),"")=0,"",IFERROR(INDEX(Consulta!$A:$DD,MATCH('ZM01'!$C31,Consulta!$D:$D,0),'ZM01'!CB$2),""))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14"/>
        <v/>
      </c>
      <c r="CH31" s="45" t="s">
        <v>430</v>
      </c>
      <c r="CI31" s="44">
        <v>0</v>
      </c>
      <c r="CJ31" s="43" t="str">
        <f t="shared" si="26"/>
        <v>E</v>
      </c>
      <c r="CK31" s="43" t="str">
        <f t="shared" si="27"/>
        <v/>
      </c>
      <c r="CL31" s="44">
        <v>2</v>
      </c>
      <c r="CM31" s="49" t="str">
        <f t="shared" si="47"/>
        <v/>
      </c>
      <c r="CN31" s="49" t="str">
        <f t="shared" si="48"/>
        <v/>
      </c>
      <c r="CO31" s="43" t="str">
        <f t="shared" si="28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29"/>
        <v>K00_AO_</v>
      </c>
      <c r="CW31" s="43" t="str">
        <f t="shared" si="30"/>
        <v/>
      </c>
      <c r="CX31" s="43" t="str">
        <f t="shared" si="31"/>
        <v/>
      </c>
      <c r="CY31" s="44">
        <v>1</v>
      </c>
      <c r="CZ31" s="43" t="str">
        <f t="shared" si="32"/>
        <v/>
      </c>
      <c r="DA31" s="43" t="str">
        <f>IF(IFERROR(INDEX(Consulta!$A:$DD,MATCH('ZM01'!$C31,Consulta!$D:$D,0),'ZM01'!DA$2),"")=0,"",IFERROR(INDEX(Consulta!$A:$DD,MATCH('ZM01'!$C31,Consulta!$D:$D,0),'ZM01'!DA$2),""))</f>
        <v/>
      </c>
      <c r="DB31" s="43" t="str">
        <f>IF(IFERROR(INDEX(Consulta!$A:$DD,MATCH('ZM01'!$C31,Consulta!$D:$D,0),'ZM01'!DB$2),"")=0,"",IFERROR(INDEX(Consulta!$A:$DD,MATCH('ZM01'!$C31,Consulta!$D:$D,0),'ZM01'!DB$2),""))</f>
        <v/>
      </c>
      <c r="DC31" s="45">
        <v>0</v>
      </c>
      <c r="DD31" s="45">
        <v>0</v>
      </c>
      <c r="DE31" s="43" t="str">
        <f>IF(IFERROR(INDEX(Consulta!$A:$DD,MATCH('ZM01'!$C31,Consulta!$D:$D,0),'ZM01'!DE$2),"")=0,"",IFERROR(TEXT(VALUE(INDEX(Consulta!$A:$DD,MATCH('ZM01'!$C31,Consulta!$D:$D,0),'ZM01'!DE$2))/100,"0,00"),""))</f>
        <v/>
      </c>
      <c r="DG31" s="43">
        <f t="shared" si="49"/>
        <v>1</v>
      </c>
      <c r="DH31" s="43" t="str">
        <f>IF(IFERROR(INDEX(Consulta!$A:$DD,MATCH('ZM01'!$C31,Consulta!$D:$D,0),'ZM01'!DH$2),"")=0,"",IFERROR(VLOOKUP(INDEX(Consulta!$A:$DD,MATCH('ZM01'!$C31,Consulta!$D:$D,0),'ZM01'!DH$2),'Listas de Dados'!BU:BW,3,0),""))</f>
        <v/>
      </c>
      <c r="DI31" s="43" t="str">
        <f t="shared" ca="1" si="50"/>
        <v>11.02.2022</v>
      </c>
      <c r="DJ31" s="43" t="str">
        <f t="shared" si="51"/>
        <v>31.12.9999</v>
      </c>
      <c r="DL31" s="44">
        <v>1</v>
      </c>
      <c r="DM31" s="44" t="s">
        <v>1039</v>
      </c>
      <c r="DN31" s="44">
        <v>1</v>
      </c>
      <c r="DO31" s="43">
        <f t="shared" si="33"/>
        <v>1</v>
      </c>
      <c r="DP31" s="43" t="str">
        <f t="shared" si="34"/>
        <v>PC</v>
      </c>
      <c r="DQ31" s="43" t="str">
        <f t="shared" si="35"/>
        <v/>
      </c>
      <c r="DR31" s="44">
        <v>100</v>
      </c>
      <c r="DS31" s="71">
        <f t="shared" si="20"/>
        <v>1</v>
      </c>
      <c r="DT31" s="43">
        <f t="shared" si="52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3">
      <c r="A32" s="7" t="str">
        <f t="shared" si="2"/>
        <v>Execução 28</v>
      </c>
      <c r="B32" s="75"/>
      <c r="C32" s="85"/>
      <c r="D32" s="71" t="str">
        <f t="shared" si="36"/>
        <v/>
      </c>
      <c r="E32" s="71" t="str">
        <f t="shared" si="37"/>
        <v/>
      </c>
      <c r="F32" s="43" t="str">
        <f>IF(IFERROR(INDEX(Consulta!$A:$DD,MATCH('ZM01'!$C32,Consulta!$D:$D,0),'ZM01'!F$2),"")=0,"",IFERROR(INDEX(Consulta!$A:$DD,MATCH('ZM01'!$C32,Consulta!$D:$D,0),'ZM01'!F$2),""))</f>
        <v/>
      </c>
      <c r="G32" s="43" t="str">
        <f>IF(IFERROR(INDEX(Consulta!$A:$DD,MATCH('ZM01'!$C32,Consulta!$D:$D,0),'ZM01'!G$2),"")=0,"",IFERROR(INDEX(Consulta!$A:$DD,MATCH('ZM01'!$C32,Consulta!$D:$D,0),'ZM01'!G$2),""))</f>
        <v/>
      </c>
      <c r="H32" s="43" t="str">
        <f t="shared" si="22"/>
        <v/>
      </c>
      <c r="I32" s="44" t="s">
        <v>100</v>
      </c>
      <c r="J32" s="43" t="str">
        <f>IF(IFERROR(INDEX(Consulta!$A:$DD,MATCH('ZM01'!$C32,Consulta!$D:$D,0),'ZM01'!J$2),"")=0,"",IFERROR(INDEX(Consulta!$A:$DD,MATCH('ZM01'!$C32,Consulta!$D:$D,0),'ZM01'!J$2),""))</f>
        <v/>
      </c>
      <c r="K32" s="43" t="str">
        <f>IF(IFERROR(INDEX(Consulta!$A:$DD,MATCH('ZM01'!$C32,Consulta!$D:$D,0),'ZM01'!K$2),"")=0,"",IFERROR(INDEX(Consulta!$A:$DD,MATCH('ZM01'!$C32,Consulta!$D:$D,0),'ZM01'!K$2),""))</f>
        <v/>
      </c>
      <c r="L32" s="43" t="str">
        <f t="shared" si="38"/>
        <v/>
      </c>
      <c r="M32" s="43" t="str">
        <f>IF(IFERROR(INDEX(Consulta!$A:$DD,MATCH('ZM01'!$C32,Consulta!$D:$D,0),'ZM01'!M$2),"")=0,"",IFERROR(INDEX(Consulta!$A:$DD,MATCH('ZM01'!$C32,Consulta!$D:$D,0),'ZM01'!M$2),""))</f>
        <v/>
      </c>
      <c r="N32" s="43" t="str">
        <f t="shared" si="39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IF(IFERROR(INDEX(Consulta!$A:$DD,MATCH('ZM01'!$C32,Consulta!$D:$D,0),'ZM01'!AS$2),"")=0,"",IFERROR(INDEX(Consulta!$A:$DD,MATCH('ZM01'!$C32,Consulta!$D:$D,0),'ZM01'!AS$2),""))</f>
        <v/>
      </c>
      <c r="AT32" s="45"/>
      <c r="AU32" s="43" t="str">
        <f>IF(IFERROR(INDEX(Consulta!$A:$DD,MATCH('ZM01'!$C32,Consulta!$D:$D,0),'ZM01'!AU$2),"")=0,"",IFERROR(INDEX(Consulta!$A:$DD,MATCH('ZM01'!$C32,Consulta!$D:$D,0),'ZM01'!AU$2),""))</f>
        <v/>
      </c>
      <c r="AV32" s="43" t="str">
        <f>IF(IFERROR(INDEX(Consulta!$A:$DD,MATCH('ZM01'!$C32,Consulta!$D:$D,0),'ZM01'!AV$2),"")=0,"",IFERROR(INDEX(Consulta!$A:$DD,MATCH('ZM01'!$C32,Consulta!$D:$D,0),'ZM01'!AV$2),""))</f>
        <v/>
      </c>
      <c r="AW32" s="45"/>
      <c r="AX32" s="46" t="str">
        <f t="shared" ca="1" si="40"/>
        <v/>
      </c>
      <c r="AY32" s="47" t="s">
        <v>755</v>
      </c>
      <c r="AZ32" s="43" t="str">
        <f>IF(IFERROR(ROUND(INDEX(Consulta!$A:$DD,MATCH('ZM01'!$C32,Consulta!$D:$D,0),'ZM01'!AZ$2),3),"")=0,"",IFERROR(ROUND(INDEX(Consulta!$A:$DD,MATCH('ZM01'!$C32,Consulta!$D:$D,0),'ZM01'!AZ$2),3),""))</f>
        <v/>
      </c>
      <c r="BA32" s="43" t="str">
        <f t="shared" si="41"/>
        <v/>
      </c>
      <c r="BB32" s="48" t="s">
        <v>299</v>
      </c>
      <c r="BC32" s="48"/>
      <c r="BD32" s="43" t="str">
        <f>IF(IFERROR(INDEX(Consulta!$A:$DD,MATCH('ZM01'!$C32,Consulta!$D:$D,0),'ZM01'!BD$2),"")=0,"",IFERROR(INDEX(Consulta!$A:$DD,MATCH('ZM01'!$C32,Consulta!$D:$D,0),'ZM01'!BD$2),""))</f>
        <v/>
      </c>
      <c r="BE32" s="43" t="str">
        <f t="shared" si="0"/>
        <v/>
      </c>
      <c r="BF32" s="43" t="str">
        <f t="shared" si="42"/>
        <v/>
      </c>
      <c r="BG32" s="43" t="str">
        <f t="shared" si="1"/>
        <v/>
      </c>
      <c r="BH32" s="43" t="str">
        <f t="shared" si="43"/>
        <v>PC</v>
      </c>
      <c r="BI32" s="43" t="str">
        <f t="shared" si="23"/>
        <v/>
      </c>
      <c r="BJ32" s="43" t="str">
        <f t="shared" si="24"/>
        <v/>
      </c>
      <c r="BK32" s="43" t="str">
        <f t="shared" si="25"/>
        <v/>
      </c>
      <c r="BL32" s="43" t="str">
        <f t="shared" si="44"/>
        <v>PC</v>
      </c>
      <c r="BN32" s="44"/>
      <c r="BO32" s="44" t="s">
        <v>925</v>
      </c>
      <c r="BP32" s="43" t="str">
        <f>IF(OR(IFERROR(INDEX(Consulta!$A:$DD,MATCH('ZM01'!$C32,Consulta!$D:$D,0),'ZM01'!BP$2),"")=0,IFERROR(INDEX(Consulta!$A:$DD,MATCH('ZM01'!$C32,Consulta!$D:$D,0),'ZM01'!BP$2),"")=AR32),"",IFERROR(INDEX(Consulta!$A:$DD,MATCH('ZM01'!$C32,Consulta!$D:$D,0),'ZM01'!BP$2),""))</f>
        <v/>
      </c>
      <c r="BQ32" s="45"/>
      <c r="BR32" s="46" t="str">
        <f t="shared" ca="1" si="45"/>
        <v/>
      </c>
      <c r="BS32" s="49" t="str">
        <f t="shared" si="46"/>
        <v/>
      </c>
      <c r="BT32" s="50">
        <v>1</v>
      </c>
      <c r="BU32" s="50" t="s">
        <v>194</v>
      </c>
      <c r="BV32" s="50" t="s">
        <v>194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IF(IFERROR(INDEX(Consulta!$A:$DD,MATCH('ZM01'!$C32,Consulta!$D:$D,0),'ZM01'!CB$2),"")=0,"",IFERROR(INDEX(Consulta!$A:$DD,MATCH('ZM01'!$C32,Consulta!$D:$D,0),'ZM01'!CB$2),""))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14"/>
        <v/>
      </c>
      <c r="CH32" s="45" t="s">
        <v>430</v>
      </c>
      <c r="CI32" s="44">
        <v>0</v>
      </c>
      <c r="CJ32" s="43" t="str">
        <f t="shared" si="26"/>
        <v>E</v>
      </c>
      <c r="CK32" s="43" t="str">
        <f t="shared" si="27"/>
        <v/>
      </c>
      <c r="CL32" s="44">
        <v>2</v>
      </c>
      <c r="CM32" s="49" t="str">
        <f t="shared" si="47"/>
        <v/>
      </c>
      <c r="CN32" s="49" t="str">
        <f t="shared" si="48"/>
        <v/>
      </c>
      <c r="CO32" s="43" t="str">
        <f t="shared" si="28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29"/>
        <v>K00_AO_</v>
      </c>
      <c r="CW32" s="43" t="str">
        <f t="shared" si="30"/>
        <v/>
      </c>
      <c r="CX32" s="43" t="str">
        <f t="shared" si="31"/>
        <v/>
      </c>
      <c r="CY32" s="44">
        <v>1</v>
      </c>
      <c r="CZ32" s="43" t="str">
        <f t="shared" si="32"/>
        <v/>
      </c>
      <c r="DA32" s="43" t="str">
        <f>IF(IFERROR(INDEX(Consulta!$A:$DD,MATCH('ZM01'!$C32,Consulta!$D:$D,0),'ZM01'!DA$2),"")=0,"",IFERROR(INDEX(Consulta!$A:$DD,MATCH('ZM01'!$C32,Consulta!$D:$D,0),'ZM01'!DA$2),""))</f>
        <v/>
      </c>
      <c r="DB32" s="43" t="str">
        <f>IF(IFERROR(INDEX(Consulta!$A:$DD,MATCH('ZM01'!$C32,Consulta!$D:$D,0),'ZM01'!DB$2),"")=0,"",IFERROR(INDEX(Consulta!$A:$DD,MATCH('ZM01'!$C32,Consulta!$D:$D,0),'ZM01'!DB$2),""))</f>
        <v/>
      </c>
      <c r="DC32" s="45">
        <v>0</v>
      </c>
      <c r="DD32" s="45">
        <v>0</v>
      </c>
      <c r="DE32" s="43" t="str">
        <f>IF(IFERROR(INDEX(Consulta!$A:$DD,MATCH('ZM01'!$C32,Consulta!$D:$D,0),'ZM01'!DE$2),"")=0,"",IFERROR(TEXT(VALUE(INDEX(Consulta!$A:$DD,MATCH('ZM01'!$C32,Consulta!$D:$D,0),'ZM01'!DE$2))/100,"0,00"),""))</f>
        <v/>
      </c>
      <c r="DG32" s="43">
        <f t="shared" si="49"/>
        <v>1</v>
      </c>
      <c r="DH32" s="43" t="str">
        <f>IF(IFERROR(INDEX(Consulta!$A:$DD,MATCH('ZM01'!$C32,Consulta!$D:$D,0),'ZM01'!DH$2),"")=0,"",IFERROR(VLOOKUP(INDEX(Consulta!$A:$DD,MATCH('ZM01'!$C32,Consulta!$D:$D,0),'ZM01'!DH$2),'Listas de Dados'!BU:BW,3,0),""))</f>
        <v/>
      </c>
      <c r="DI32" s="43" t="str">
        <f t="shared" ca="1" si="50"/>
        <v>11.02.2022</v>
      </c>
      <c r="DJ32" s="43" t="str">
        <f t="shared" si="51"/>
        <v>31.12.9999</v>
      </c>
      <c r="DL32" s="44">
        <v>1</v>
      </c>
      <c r="DM32" s="44" t="s">
        <v>1039</v>
      </c>
      <c r="DN32" s="44">
        <v>1</v>
      </c>
      <c r="DO32" s="43">
        <f t="shared" si="33"/>
        <v>1</v>
      </c>
      <c r="DP32" s="43" t="str">
        <f t="shared" si="34"/>
        <v>PC</v>
      </c>
      <c r="DQ32" s="43" t="str">
        <f t="shared" si="35"/>
        <v/>
      </c>
      <c r="DR32" s="44">
        <v>100</v>
      </c>
      <c r="DS32" s="71">
        <f t="shared" si="20"/>
        <v>1</v>
      </c>
      <c r="DT32" s="43">
        <f t="shared" si="52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3">
      <c r="A33" s="7" t="str">
        <f t="shared" si="2"/>
        <v>Execução 29</v>
      </c>
      <c r="B33" s="79"/>
      <c r="C33" s="85"/>
      <c r="D33" s="71" t="str">
        <f t="shared" si="36"/>
        <v/>
      </c>
      <c r="E33" s="71" t="str">
        <f t="shared" si="37"/>
        <v/>
      </c>
      <c r="F33" s="43" t="str">
        <f>IF(IFERROR(INDEX(Consulta!$A:$DD,MATCH('ZM01'!$C33,Consulta!$D:$D,0),'ZM01'!F$2),"")=0,"",IFERROR(INDEX(Consulta!$A:$DD,MATCH('ZM01'!$C33,Consulta!$D:$D,0),'ZM01'!F$2),""))</f>
        <v/>
      </c>
      <c r="G33" s="43" t="str">
        <f>IF(IFERROR(INDEX(Consulta!$A:$DD,MATCH('ZM01'!$C33,Consulta!$D:$D,0),'ZM01'!G$2),"")=0,"",IFERROR(INDEX(Consulta!$A:$DD,MATCH('ZM01'!$C33,Consulta!$D:$D,0),'ZM01'!G$2),""))</f>
        <v/>
      </c>
      <c r="H33" s="43" t="str">
        <f t="shared" si="22"/>
        <v/>
      </c>
      <c r="I33" s="44" t="s">
        <v>100</v>
      </c>
      <c r="J33" s="43" t="str">
        <f>IF(IFERROR(INDEX(Consulta!$A:$DD,MATCH('ZM01'!$C33,Consulta!$D:$D,0),'ZM01'!J$2),"")=0,"",IFERROR(INDEX(Consulta!$A:$DD,MATCH('ZM01'!$C33,Consulta!$D:$D,0),'ZM01'!J$2),""))</f>
        <v/>
      </c>
      <c r="K33" s="43" t="str">
        <f>IF(IFERROR(INDEX(Consulta!$A:$DD,MATCH('ZM01'!$C33,Consulta!$D:$D,0),'ZM01'!K$2),"")=0,"",IFERROR(INDEX(Consulta!$A:$DD,MATCH('ZM01'!$C33,Consulta!$D:$D,0),'ZM01'!K$2),""))</f>
        <v/>
      </c>
      <c r="L33" s="43" t="str">
        <f t="shared" si="38"/>
        <v/>
      </c>
      <c r="M33" s="43" t="str">
        <f>IF(IFERROR(INDEX(Consulta!$A:$DD,MATCH('ZM01'!$C33,Consulta!$D:$D,0),'ZM01'!M$2),"")=0,"",IFERROR(INDEX(Consulta!$A:$DD,MATCH('ZM01'!$C33,Consulta!$D:$D,0),'ZM01'!M$2),""))</f>
        <v/>
      </c>
      <c r="N33" s="43" t="str">
        <f t="shared" si="39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IF(IFERROR(INDEX(Consulta!$A:$DD,MATCH('ZM01'!$C33,Consulta!$D:$D,0),'ZM01'!AS$2),"")=0,"",IFERROR(INDEX(Consulta!$A:$DD,MATCH('ZM01'!$C33,Consulta!$D:$D,0),'ZM01'!AS$2),""))</f>
        <v/>
      </c>
      <c r="AT33" s="45"/>
      <c r="AU33" s="43" t="str">
        <f>IF(IFERROR(INDEX(Consulta!$A:$DD,MATCH('ZM01'!$C33,Consulta!$D:$D,0),'ZM01'!AU$2),"")=0,"",IFERROR(INDEX(Consulta!$A:$DD,MATCH('ZM01'!$C33,Consulta!$D:$D,0),'ZM01'!AU$2),""))</f>
        <v/>
      </c>
      <c r="AV33" s="43" t="str">
        <f>IF(IFERROR(INDEX(Consulta!$A:$DD,MATCH('ZM01'!$C33,Consulta!$D:$D,0),'ZM01'!AV$2),"")=0,"",IFERROR(INDEX(Consulta!$A:$DD,MATCH('ZM01'!$C33,Consulta!$D:$D,0),'ZM01'!AV$2),""))</f>
        <v/>
      </c>
      <c r="AW33" s="45"/>
      <c r="AX33" s="46" t="str">
        <f t="shared" ca="1" si="40"/>
        <v/>
      </c>
      <c r="AY33" s="47" t="s">
        <v>755</v>
      </c>
      <c r="AZ33" s="43" t="str">
        <f>IF(IFERROR(ROUND(INDEX(Consulta!$A:$DD,MATCH('ZM01'!$C33,Consulta!$D:$D,0),'ZM01'!AZ$2),3),"")=0,"",IFERROR(ROUND(INDEX(Consulta!$A:$DD,MATCH('ZM01'!$C33,Consulta!$D:$D,0),'ZM01'!AZ$2),3),""))</f>
        <v/>
      </c>
      <c r="BA33" s="43" t="str">
        <f t="shared" si="41"/>
        <v/>
      </c>
      <c r="BB33" s="48" t="s">
        <v>299</v>
      </c>
      <c r="BC33" s="48"/>
      <c r="BD33" s="43" t="str">
        <f>IF(IFERROR(INDEX(Consulta!$A:$DD,MATCH('ZM01'!$C33,Consulta!$D:$D,0),'ZM01'!BD$2),"")=0,"",IFERROR(INDEX(Consulta!$A:$DD,MATCH('ZM01'!$C33,Consulta!$D:$D,0),'ZM01'!BD$2),""))</f>
        <v/>
      </c>
      <c r="BE33" s="43" t="str">
        <f t="shared" si="0"/>
        <v/>
      </c>
      <c r="BF33" s="43" t="str">
        <f t="shared" si="42"/>
        <v/>
      </c>
      <c r="BG33" s="43" t="str">
        <f t="shared" si="1"/>
        <v/>
      </c>
      <c r="BH33" s="43" t="str">
        <f t="shared" si="43"/>
        <v>PC</v>
      </c>
      <c r="BI33" s="43" t="str">
        <f t="shared" si="23"/>
        <v/>
      </c>
      <c r="BJ33" s="43" t="str">
        <f t="shared" si="24"/>
        <v/>
      </c>
      <c r="BK33" s="43" t="str">
        <f t="shared" si="25"/>
        <v/>
      </c>
      <c r="BL33" s="43" t="str">
        <f t="shared" si="44"/>
        <v>PC</v>
      </c>
      <c r="BN33" s="44"/>
      <c r="BO33" s="44" t="s">
        <v>925</v>
      </c>
      <c r="BP33" s="43" t="str">
        <f>IF(OR(IFERROR(INDEX(Consulta!$A:$DD,MATCH('ZM01'!$C33,Consulta!$D:$D,0),'ZM01'!BP$2),"")=0,IFERROR(INDEX(Consulta!$A:$DD,MATCH('ZM01'!$C33,Consulta!$D:$D,0),'ZM01'!BP$2),"")=AR33),"",IFERROR(INDEX(Consulta!$A:$DD,MATCH('ZM01'!$C33,Consulta!$D:$D,0),'ZM01'!BP$2),""))</f>
        <v/>
      </c>
      <c r="BQ33" s="45"/>
      <c r="BR33" s="46" t="str">
        <f t="shared" ca="1" si="45"/>
        <v/>
      </c>
      <c r="BS33" s="49" t="str">
        <f t="shared" si="46"/>
        <v/>
      </c>
      <c r="BT33" s="50">
        <v>1</v>
      </c>
      <c r="BU33" s="50" t="s">
        <v>194</v>
      </c>
      <c r="BV33" s="50" t="s">
        <v>194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IF(IFERROR(INDEX(Consulta!$A:$DD,MATCH('ZM01'!$C33,Consulta!$D:$D,0),'ZM01'!CB$2),"")=0,"",IFERROR(INDEX(Consulta!$A:$DD,MATCH('ZM01'!$C33,Consulta!$D:$D,0),'ZM01'!CB$2),""))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14"/>
        <v/>
      </c>
      <c r="CH33" s="45" t="s">
        <v>430</v>
      </c>
      <c r="CI33" s="44">
        <v>0</v>
      </c>
      <c r="CJ33" s="43" t="str">
        <f t="shared" si="26"/>
        <v>E</v>
      </c>
      <c r="CK33" s="43" t="str">
        <f t="shared" si="27"/>
        <v/>
      </c>
      <c r="CL33" s="44">
        <v>2</v>
      </c>
      <c r="CM33" s="49" t="str">
        <f t="shared" si="47"/>
        <v/>
      </c>
      <c r="CN33" s="49" t="str">
        <f t="shared" si="48"/>
        <v/>
      </c>
      <c r="CO33" s="43" t="str">
        <f t="shared" si="28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29"/>
        <v>K00_AO_</v>
      </c>
      <c r="CW33" s="43" t="str">
        <f t="shared" si="30"/>
        <v/>
      </c>
      <c r="CX33" s="43" t="str">
        <f t="shared" si="31"/>
        <v/>
      </c>
      <c r="CY33" s="44">
        <v>1</v>
      </c>
      <c r="CZ33" s="43" t="str">
        <f t="shared" si="32"/>
        <v/>
      </c>
      <c r="DA33" s="43" t="str">
        <f>IF(IFERROR(INDEX(Consulta!$A:$DD,MATCH('ZM01'!$C33,Consulta!$D:$D,0),'ZM01'!DA$2),"")=0,"",IFERROR(INDEX(Consulta!$A:$DD,MATCH('ZM01'!$C33,Consulta!$D:$D,0),'ZM01'!DA$2),""))</f>
        <v/>
      </c>
      <c r="DB33" s="43" t="str">
        <f>IF(IFERROR(INDEX(Consulta!$A:$DD,MATCH('ZM01'!$C33,Consulta!$D:$D,0),'ZM01'!DB$2),"")=0,"",IFERROR(INDEX(Consulta!$A:$DD,MATCH('ZM01'!$C33,Consulta!$D:$D,0),'ZM01'!DB$2),""))</f>
        <v/>
      </c>
      <c r="DC33" s="45">
        <v>0</v>
      </c>
      <c r="DD33" s="45">
        <v>0</v>
      </c>
      <c r="DE33" s="43" t="str">
        <f>IF(IFERROR(INDEX(Consulta!$A:$DD,MATCH('ZM01'!$C33,Consulta!$D:$D,0),'ZM01'!DE$2),"")=0,"",IFERROR(TEXT(VALUE(INDEX(Consulta!$A:$DD,MATCH('ZM01'!$C33,Consulta!$D:$D,0),'ZM01'!DE$2))/100,"0,00"),""))</f>
        <v/>
      </c>
      <c r="DG33" s="43">
        <f t="shared" si="49"/>
        <v>1</v>
      </c>
      <c r="DH33" s="43" t="str">
        <f>IF(IFERROR(INDEX(Consulta!$A:$DD,MATCH('ZM01'!$C33,Consulta!$D:$D,0),'ZM01'!DH$2),"")=0,"",IFERROR(VLOOKUP(INDEX(Consulta!$A:$DD,MATCH('ZM01'!$C33,Consulta!$D:$D,0),'ZM01'!DH$2),'Listas de Dados'!BU:BW,3,0),""))</f>
        <v/>
      </c>
      <c r="DI33" s="43" t="str">
        <f t="shared" ca="1" si="50"/>
        <v>11.02.2022</v>
      </c>
      <c r="DJ33" s="43" t="str">
        <f t="shared" si="51"/>
        <v>31.12.9999</v>
      </c>
      <c r="DL33" s="44">
        <v>1</v>
      </c>
      <c r="DM33" s="44" t="s">
        <v>1039</v>
      </c>
      <c r="DN33" s="44">
        <v>1</v>
      </c>
      <c r="DO33" s="43">
        <f t="shared" si="33"/>
        <v>1</v>
      </c>
      <c r="DP33" s="43" t="str">
        <f t="shared" si="34"/>
        <v>PC</v>
      </c>
      <c r="DQ33" s="43" t="str">
        <f t="shared" si="35"/>
        <v/>
      </c>
      <c r="DR33" s="44">
        <v>100</v>
      </c>
      <c r="DS33" s="71">
        <f t="shared" si="20"/>
        <v>1</v>
      </c>
      <c r="DT33" s="43">
        <f t="shared" si="52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3">
      <c r="A34" s="7" t="str">
        <f t="shared" si="2"/>
        <v>Execução 30</v>
      </c>
      <c r="B34" s="75"/>
      <c r="C34" s="85"/>
      <c r="D34" s="71" t="str">
        <f t="shared" si="36"/>
        <v/>
      </c>
      <c r="E34" s="71" t="str">
        <f t="shared" si="37"/>
        <v/>
      </c>
      <c r="F34" s="43" t="str">
        <f>IF(IFERROR(INDEX(Consulta!$A:$DD,MATCH('ZM01'!$C34,Consulta!$D:$D,0),'ZM01'!F$2),"")=0,"",IFERROR(INDEX(Consulta!$A:$DD,MATCH('ZM01'!$C34,Consulta!$D:$D,0),'ZM01'!F$2),""))</f>
        <v/>
      </c>
      <c r="G34" s="43" t="str">
        <f>IF(IFERROR(INDEX(Consulta!$A:$DD,MATCH('ZM01'!$C34,Consulta!$D:$D,0),'ZM01'!G$2),"")=0,"",IFERROR(INDEX(Consulta!$A:$DD,MATCH('ZM01'!$C34,Consulta!$D:$D,0),'ZM01'!G$2),""))</f>
        <v/>
      </c>
      <c r="H34" s="43" t="str">
        <f t="shared" si="22"/>
        <v/>
      </c>
      <c r="I34" s="44" t="s">
        <v>100</v>
      </c>
      <c r="J34" s="43" t="str">
        <f>IF(IFERROR(INDEX(Consulta!$A:$DD,MATCH('ZM01'!$C34,Consulta!$D:$D,0),'ZM01'!J$2),"")=0,"",IFERROR(INDEX(Consulta!$A:$DD,MATCH('ZM01'!$C34,Consulta!$D:$D,0),'ZM01'!J$2),""))</f>
        <v/>
      </c>
      <c r="K34" s="43" t="str">
        <f>IF(IFERROR(INDEX(Consulta!$A:$DD,MATCH('ZM01'!$C34,Consulta!$D:$D,0),'ZM01'!K$2),"")=0,"",IFERROR(INDEX(Consulta!$A:$DD,MATCH('ZM01'!$C34,Consulta!$D:$D,0),'ZM01'!K$2),""))</f>
        <v/>
      </c>
      <c r="L34" s="43" t="str">
        <f t="shared" si="38"/>
        <v/>
      </c>
      <c r="M34" s="43" t="str">
        <f>IF(IFERROR(INDEX(Consulta!$A:$DD,MATCH('ZM01'!$C34,Consulta!$D:$D,0),'ZM01'!M$2),"")=0,"",IFERROR(INDEX(Consulta!$A:$DD,MATCH('ZM01'!$C34,Consulta!$D:$D,0),'ZM01'!M$2),""))</f>
        <v/>
      </c>
      <c r="N34" s="43" t="str">
        <f t="shared" si="39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IF(IFERROR(INDEX(Consulta!$A:$DD,MATCH('ZM01'!$C34,Consulta!$D:$D,0),'ZM01'!AS$2),"")=0,"",IFERROR(INDEX(Consulta!$A:$DD,MATCH('ZM01'!$C34,Consulta!$D:$D,0),'ZM01'!AS$2),""))</f>
        <v/>
      </c>
      <c r="AT34" s="45"/>
      <c r="AU34" s="43" t="str">
        <f>IF(IFERROR(INDEX(Consulta!$A:$DD,MATCH('ZM01'!$C34,Consulta!$D:$D,0),'ZM01'!AU$2),"")=0,"",IFERROR(INDEX(Consulta!$A:$DD,MATCH('ZM01'!$C34,Consulta!$D:$D,0),'ZM01'!AU$2),""))</f>
        <v/>
      </c>
      <c r="AV34" s="43" t="str">
        <f>IF(IFERROR(INDEX(Consulta!$A:$DD,MATCH('ZM01'!$C34,Consulta!$D:$D,0),'ZM01'!AV$2),"")=0,"",IFERROR(INDEX(Consulta!$A:$DD,MATCH('ZM01'!$C34,Consulta!$D:$D,0),'ZM01'!AV$2),""))</f>
        <v/>
      </c>
      <c r="AW34" s="45"/>
      <c r="AX34" s="46" t="str">
        <f t="shared" ca="1" si="40"/>
        <v/>
      </c>
      <c r="AY34" s="47" t="s">
        <v>755</v>
      </c>
      <c r="AZ34" s="43" t="str">
        <f>IF(IFERROR(ROUND(INDEX(Consulta!$A:$DD,MATCH('ZM01'!$C34,Consulta!$D:$D,0),'ZM01'!AZ$2),3),"")=0,"",IFERROR(ROUND(INDEX(Consulta!$A:$DD,MATCH('ZM01'!$C34,Consulta!$D:$D,0),'ZM01'!AZ$2),3),""))</f>
        <v/>
      </c>
      <c r="BA34" s="43" t="str">
        <f t="shared" si="41"/>
        <v/>
      </c>
      <c r="BB34" s="48" t="s">
        <v>299</v>
      </c>
      <c r="BC34" s="48"/>
      <c r="BD34" s="43" t="str">
        <f>IF(IFERROR(INDEX(Consulta!$A:$DD,MATCH('ZM01'!$C34,Consulta!$D:$D,0),'ZM01'!BD$2),"")=0,"",IFERROR(INDEX(Consulta!$A:$DD,MATCH('ZM01'!$C34,Consulta!$D:$D,0),'ZM01'!BD$2),""))</f>
        <v/>
      </c>
      <c r="BE34" s="43" t="str">
        <f t="shared" si="0"/>
        <v/>
      </c>
      <c r="BF34" s="43" t="str">
        <f t="shared" si="42"/>
        <v/>
      </c>
      <c r="BG34" s="43" t="str">
        <f t="shared" si="1"/>
        <v/>
      </c>
      <c r="BH34" s="43" t="str">
        <f t="shared" si="43"/>
        <v>PC</v>
      </c>
      <c r="BI34" s="43" t="str">
        <f t="shared" si="23"/>
        <v/>
      </c>
      <c r="BJ34" s="43" t="str">
        <f t="shared" si="24"/>
        <v/>
      </c>
      <c r="BK34" s="43" t="str">
        <f t="shared" si="25"/>
        <v/>
      </c>
      <c r="BL34" s="43" t="str">
        <f t="shared" si="44"/>
        <v>PC</v>
      </c>
      <c r="BN34" s="44"/>
      <c r="BO34" s="44" t="s">
        <v>925</v>
      </c>
      <c r="BP34" s="43" t="str">
        <f>IF(OR(IFERROR(INDEX(Consulta!$A:$DD,MATCH('ZM01'!$C34,Consulta!$D:$D,0),'ZM01'!BP$2),"")=0,IFERROR(INDEX(Consulta!$A:$DD,MATCH('ZM01'!$C34,Consulta!$D:$D,0),'ZM01'!BP$2),"")=AR34),"",IFERROR(INDEX(Consulta!$A:$DD,MATCH('ZM01'!$C34,Consulta!$D:$D,0),'ZM01'!BP$2),""))</f>
        <v/>
      </c>
      <c r="BQ34" s="45"/>
      <c r="BR34" s="46" t="str">
        <f t="shared" ca="1" si="45"/>
        <v/>
      </c>
      <c r="BS34" s="49" t="str">
        <f t="shared" si="46"/>
        <v/>
      </c>
      <c r="BT34" s="50">
        <v>1</v>
      </c>
      <c r="BU34" s="50" t="s">
        <v>194</v>
      </c>
      <c r="BV34" s="50" t="s">
        <v>194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IF(IFERROR(INDEX(Consulta!$A:$DD,MATCH('ZM01'!$C34,Consulta!$D:$D,0),'ZM01'!CB$2),"")=0,"",IFERROR(INDEX(Consulta!$A:$DD,MATCH('ZM01'!$C34,Consulta!$D:$D,0),'ZM01'!CB$2),""))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14"/>
        <v/>
      </c>
      <c r="CH34" s="45" t="s">
        <v>430</v>
      </c>
      <c r="CI34" s="44">
        <v>0</v>
      </c>
      <c r="CJ34" s="43" t="str">
        <f t="shared" si="26"/>
        <v>E</v>
      </c>
      <c r="CK34" s="43" t="str">
        <f t="shared" si="27"/>
        <v/>
      </c>
      <c r="CL34" s="44">
        <v>2</v>
      </c>
      <c r="CM34" s="49" t="str">
        <f t="shared" si="47"/>
        <v/>
      </c>
      <c r="CN34" s="49" t="str">
        <f t="shared" si="48"/>
        <v/>
      </c>
      <c r="CO34" s="43" t="str">
        <f t="shared" si="28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29"/>
        <v>K00_AO_</v>
      </c>
      <c r="CW34" s="43" t="str">
        <f t="shared" si="30"/>
        <v/>
      </c>
      <c r="CX34" s="43" t="str">
        <f t="shared" si="31"/>
        <v/>
      </c>
      <c r="CY34" s="44">
        <v>1</v>
      </c>
      <c r="CZ34" s="43" t="str">
        <f t="shared" si="32"/>
        <v/>
      </c>
      <c r="DA34" s="43" t="str">
        <f>IF(IFERROR(INDEX(Consulta!$A:$DD,MATCH('ZM01'!$C34,Consulta!$D:$D,0),'ZM01'!DA$2),"")=0,"",IFERROR(INDEX(Consulta!$A:$DD,MATCH('ZM01'!$C34,Consulta!$D:$D,0),'ZM01'!DA$2),""))</f>
        <v/>
      </c>
      <c r="DB34" s="43" t="str">
        <f>IF(IFERROR(INDEX(Consulta!$A:$DD,MATCH('ZM01'!$C34,Consulta!$D:$D,0),'ZM01'!DB$2),"")=0,"",IFERROR(INDEX(Consulta!$A:$DD,MATCH('ZM01'!$C34,Consulta!$D:$D,0),'ZM01'!DB$2),""))</f>
        <v/>
      </c>
      <c r="DC34" s="45">
        <v>0</v>
      </c>
      <c r="DD34" s="45">
        <v>0</v>
      </c>
      <c r="DE34" s="43" t="str">
        <f>IF(IFERROR(INDEX(Consulta!$A:$DD,MATCH('ZM01'!$C34,Consulta!$D:$D,0),'ZM01'!DE$2),"")=0,"",IFERROR(TEXT(VALUE(INDEX(Consulta!$A:$DD,MATCH('ZM01'!$C34,Consulta!$D:$D,0),'ZM01'!DE$2))/100,"0,00"),""))</f>
        <v/>
      </c>
      <c r="DG34" s="43">
        <f t="shared" si="49"/>
        <v>1</v>
      </c>
      <c r="DH34" s="43" t="str">
        <f>IF(IFERROR(INDEX(Consulta!$A:$DD,MATCH('ZM01'!$C34,Consulta!$D:$D,0),'ZM01'!DH$2),"")=0,"",IFERROR(VLOOKUP(INDEX(Consulta!$A:$DD,MATCH('ZM01'!$C34,Consulta!$D:$D,0),'ZM01'!DH$2),'Listas de Dados'!BU:BW,3,0),""))</f>
        <v/>
      </c>
      <c r="DI34" s="43" t="str">
        <f t="shared" ca="1" si="50"/>
        <v>11.02.2022</v>
      </c>
      <c r="DJ34" s="43" t="str">
        <f t="shared" si="51"/>
        <v>31.12.9999</v>
      </c>
      <c r="DL34" s="44">
        <v>1</v>
      </c>
      <c r="DM34" s="44" t="s">
        <v>1039</v>
      </c>
      <c r="DN34" s="44">
        <v>1</v>
      </c>
      <c r="DO34" s="43">
        <f t="shared" si="33"/>
        <v>1</v>
      </c>
      <c r="DP34" s="43" t="str">
        <f t="shared" si="34"/>
        <v>PC</v>
      </c>
      <c r="DQ34" s="43" t="str">
        <f t="shared" si="35"/>
        <v/>
      </c>
      <c r="DR34" s="44">
        <v>100</v>
      </c>
      <c r="DS34" s="71">
        <f t="shared" si="20"/>
        <v>1</v>
      </c>
      <c r="DT34" s="43">
        <f t="shared" si="52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3">
      <c r="A35" s="7" t="str">
        <f t="shared" si="2"/>
        <v>Execução 31</v>
      </c>
      <c r="B35" s="79"/>
      <c r="C35" s="85"/>
      <c r="D35" s="71" t="str">
        <f t="shared" si="36"/>
        <v/>
      </c>
      <c r="E35" s="71" t="str">
        <f t="shared" si="37"/>
        <v/>
      </c>
      <c r="F35" s="43" t="str">
        <f>IF(IFERROR(INDEX(Consulta!$A:$DD,MATCH('ZM01'!$C35,Consulta!$D:$D,0),'ZM01'!F$2),"")=0,"",IFERROR(INDEX(Consulta!$A:$DD,MATCH('ZM01'!$C35,Consulta!$D:$D,0),'ZM01'!F$2),""))</f>
        <v/>
      </c>
      <c r="G35" s="43" t="str">
        <f>IF(IFERROR(INDEX(Consulta!$A:$DD,MATCH('ZM01'!$C35,Consulta!$D:$D,0),'ZM01'!G$2),"")=0,"",IFERROR(INDEX(Consulta!$A:$DD,MATCH('ZM01'!$C35,Consulta!$D:$D,0),'ZM01'!G$2),""))</f>
        <v/>
      </c>
      <c r="H35" s="43" t="str">
        <f t="shared" si="22"/>
        <v/>
      </c>
      <c r="I35" s="44" t="s">
        <v>100</v>
      </c>
      <c r="J35" s="43" t="str">
        <f>IF(IFERROR(INDEX(Consulta!$A:$DD,MATCH('ZM01'!$C35,Consulta!$D:$D,0),'ZM01'!J$2),"")=0,"",IFERROR(INDEX(Consulta!$A:$DD,MATCH('ZM01'!$C35,Consulta!$D:$D,0),'ZM01'!J$2),""))</f>
        <v/>
      </c>
      <c r="K35" s="43" t="str">
        <f>IF(IFERROR(INDEX(Consulta!$A:$DD,MATCH('ZM01'!$C35,Consulta!$D:$D,0),'ZM01'!K$2),"")=0,"",IFERROR(INDEX(Consulta!$A:$DD,MATCH('ZM01'!$C35,Consulta!$D:$D,0),'ZM01'!K$2),""))</f>
        <v/>
      </c>
      <c r="L35" s="43" t="str">
        <f t="shared" si="38"/>
        <v/>
      </c>
      <c r="M35" s="43" t="str">
        <f>IF(IFERROR(INDEX(Consulta!$A:$DD,MATCH('ZM01'!$C35,Consulta!$D:$D,0),'ZM01'!M$2),"")=0,"",IFERROR(INDEX(Consulta!$A:$DD,MATCH('ZM01'!$C35,Consulta!$D:$D,0),'ZM01'!M$2),""))</f>
        <v/>
      </c>
      <c r="N35" s="43" t="str">
        <f t="shared" si="39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IF(IFERROR(INDEX(Consulta!$A:$DD,MATCH('ZM01'!$C35,Consulta!$D:$D,0),'ZM01'!AS$2),"")=0,"",IFERROR(INDEX(Consulta!$A:$DD,MATCH('ZM01'!$C35,Consulta!$D:$D,0),'ZM01'!AS$2),""))</f>
        <v/>
      </c>
      <c r="AT35" s="45"/>
      <c r="AU35" s="43" t="str">
        <f>IF(IFERROR(INDEX(Consulta!$A:$DD,MATCH('ZM01'!$C35,Consulta!$D:$D,0),'ZM01'!AU$2),"")=0,"",IFERROR(INDEX(Consulta!$A:$DD,MATCH('ZM01'!$C35,Consulta!$D:$D,0),'ZM01'!AU$2),""))</f>
        <v/>
      </c>
      <c r="AV35" s="43" t="str">
        <f>IF(IFERROR(INDEX(Consulta!$A:$DD,MATCH('ZM01'!$C35,Consulta!$D:$D,0),'ZM01'!AV$2),"")=0,"",IFERROR(INDEX(Consulta!$A:$DD,MATCH('ZM01'!$C35,Consulta!$D:$D,0),'ZM01'!AV$2),""))</f>
        <v/>
      </c>
      <c r="AW35" s="45"/>
      <c r="AX35" s="46" t="str">
        <f t="shared" ca="1" si="40"/>
        <v/>
      </c>
      <c r="AY35" s="47" t="s">
        <v>755</v>
      </c>
      <c r="AZ35" s="43" t="str">
        <f>IF(IFERROR(ROUND(INDEX(Consulta!$A:$DD,MATCH('ZM01'!$C35,Consulta!$D:$D,0),'ZM01'!AZ$2),3),"")=0,"",IFERROR(ROUND(INDEX(Consulta!$A:$DD,MATCH('ZM01'!$C35,Consulta!$D:$D,0),'ZM01'!AZ$2),3),""))</f>
        <v/>
      </c>
      <c r="BA35" s="43" t="str">
        <f t="shared" si="41"/>
        <v/>
      </c>
      <c r="BB35" s="48" t="s">
        <v>299</v>
      </c>
      <c r="BC35" s="48"/>
      <c r="BD35" s="43" t="str">
        <f>IF(IFERROR(INDEX(Consulta!$A:$DD,MATCH('ZM01'!$C35,Consulta!$D:$D,0),'ZM01'!BD$2),"")=0,"",IFERROR(INDEX(Consulta!$A:$DD,MATCH('ZM01'!$C35,Consulta!$D:$D,0),'ZM01'!BD$2),""))</f>
        <v/>
      </c>
      <c r="BE35" s="43" t="str">
        <f t="shared" si="0"/>
        <v/>
      </c>
      <c r="BF35" s="43" t="str">
        <f t="shared" si="42"/>
        <v/>
      </c>
      <c r="BG35" s="43" t="str">
        <f t="shared" si="1"/>
        <v/>
      </c>
      <c r="BH35" s="43" t="str">
        <f t="shared" si="43"/>
        <v>PC</v>
      </c>
      <c r="BI35" s="43" t="str">
        <f t="shared" si="23"/>
        <v/>
      </c>
      <c r="BJ35" s="43" t="str">
        <f t="shared" si="24"/>
        <v/>
      </c>
      <c r="BK35" s="43" t="str">
        <f t="shared" si="25"/>
        <v/>
      </c>
      <c r="BL35" s="43" t="str">
        <f t="shared" si="44"/>
        <v>PC</v>
      </c>
      <c r="BN35" s="44"/>
      <c r="BO35" s="44" t="s">
        <v>925</v>
      </c>
      <c r="BP35" s="43" t="str">
        <f>IF(OR(IFERROR(INDEX(Consulta!$A:$DD,MATCH('ZM01'!$C35,Consulta!$D:$D,0),'ZM01'!BP$2),"")=0,IFERROR(INDEX(Consulta!$A:$DD,MATCH('ZM01'!$C35,Consulta!$D:$D,0),'ZM01'!BP$2),"")=AR35),"",IFERROR(INDEX(Consulta!$A:$DD,MATCH('ZM01'!$C35,Consulta!$D:$D,0),'ZM01'!BP$2),""))</f>
        <v/>
      </c>
      <c r="BQ35" s="45"/>
      <c r="BR35" s="46" t="str">
        <f t="shared" ca="1" si="45"/>
        <v/>
      </c>
      <c r="BS35" s="49" t="str">
        <f t="shared" si="46"/>
        <v/>
      </c>
      <c r="BT35" s="50">
        <v>1</v>
      </c>
      <c r="BU35" s="50" t="s">
        <v>194</v>
      </c>
      <c r="BV35" s="50" t="s">
        <v>194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IF(IFERROR(INDEX(Consulta!$A:$DD,MATCH('ZM01'!$C35,Consulta!$D:$D,0),'ZM01'!CB$2),"")=0,"",IFERROR(INDEX(Consulta!$A:$DD,MATCH('ZM01'!$C35,Consulta!$D:$D,0),'ZM01'!CB$2),""))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14"/>
        <v/>
      </c>
      <c r="CH35" s="45" t="s">
        <v>430</v>
      </c>
      <c r="CI35" s="44">
        <v>0</v>
      </c>
      <c r="CJ35" s="43" t="str">
        <f t="shared" si="26"/>
        <v>E</v>
      </c>
      <c r="CK35" s="43" t="str">
        <f t="shared" si="27"/>
        <v/>
      </c>
      <c r="CL35" s="44">
        <v>2</v>
      </c>
      <c r="CM35" s="49" t="str">
        <f t="shared" si="47"/>
        <v/>
      </c>
      <c r="CN35" s="49" t="str">
        <f t="shared" si="48"/>
        <v/>
      </c>
      <c r="CO35" s="43" t="str">
        <f t="shared" si="28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29"/>
        <v>K00_AO_</v>
      </c>
      <c r="CW35" s="43" t="str">
        <f t="shared" si="30"/>
        <v/>
      </c>
      <c r="CX35" s="43" t="str">
        <f t="shared" si="31"/>
        <v/>
      </c>
      <c r="CY35" s="44">
        <v>1</v>
      </c>
      <c r="CZ35" s="43" t="str">
        <f t="shared" si="32"/>
        <v/>
      </c>
      <c r="DA35" s="43" t="str">
        <f>IF(IFERROR(INDEX(Consulta!$A:$DD,MATCH('ZM01'!$C35,Consulta!$D:$D,0),'ZM01'!DA$2),"")=0,"",IFERROR(INDEX(Consulta!$A:$DD,MATCH('ZM01'!$C35,Consulta!$D:$D,0),'ZM01'!DA$2),""))</f>
        <v/>
      </c>
      <c r="DB35" s="43" t="str">
        <f>IF(IFERROR(INDEX(Consulta!$A:$DD,MATCH('ZM01'!$C35,Consulta!$D:$D,0),'ZM01'!DB$2),"")=0,"",IFERROR(INDEX(Consulta!$A:$DD,MATCH('ZM01'!$C35,Consulta!$D:$D,0),'ZM01'!DB$2),""))</f>
        <v/>
      </c>
      <c r="DC35" s="45">
        <v>0</v>
      </c>
      <c r="DD35" s="45">
        <v>0</v>
      </c>
      <c r="DE35" s="43" t="str">
        <f>IF(IFERROR(INDEX(Consulta!$A:$DD,MATCH('ZM01'!$C35,Consulta!$D:$D,0),'ZM01'!DE$2),"")=0,"",IFERROR(TEXT(VALUE(INDEX(Consulta!$A:$DD,MATCH('ZM01'!$C35,Consulta!$D:$D,0),'ZM01'!DE$2))/100,"0,00"),""))</f>
        <v/>
      </c>
      <c r="DG35" s="43">
        <f t="shared" si="49"/>
        <v>1</v>
      </c>
      <c r="DH35" s="43" t="str">
        <f>IF(IFERROR(INDEX(Consulta!$A:$DD,MATCH('ZM01'!$C35,Consulta!$D:$D,0),'ZM01'!DH$2),"")=0,"",IFERROR(VLOOKUP(INDEX(Consulta!$A:$DD,MATCH('ZM01'!$C35,Consulta!$D:$D,0),'ZM01'!DH$2),'Listas de Dados'!BU:BW,3,0),""))</f>
        <v/>
      </c>
      <c r="DI35" s="43" t="str">
        <f t="shared" ca="1" si="50"/>
        <v>11.02.2022</v>
      </c>
      <c r="DJ35" s="43" t="str">
        <f t="shared" si="51"/>
        <v>31.12.9999</v>
      </c>
      <c r="DL35" s="44">
        <v>1</v>
      </c>
      <c r="DM35" s="44" t="s">
        <v>1039</v>
      </c>
      <c r="DN35" s="44">
        <v>1</v>
      </c>
      <c r="DO35" s="43">
        <f t="shared" si="33"/>
        <v>1</v>
      </c>
      <c r="DP35" s="43" t="str">
        <f t="shared" si="34"/>
        <v>PC</v>
      </c>
      <c r="DQ35" s="43" t="str">
        <f t="shared" si="35"/>
        <v/>
      </c>
      <c r="DR35" s="44">
        <v>100</v>
      </c>
      <c r="DS35" s="71">
        <f t="shared" si="20"/>
        <v>1</v>
      </c>
      <c r="DT35" s="43">
        <f t="shared" si="52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3">
      <c r="A36" s="7" t="str">
        <f t="shared" si="2"/>
        <v>Execução 32</v>
      </c>
      <c r="B36" s="75"/>
      <c r="C36" s="85"/>
      <c r="D36" s="71" t="str">
        <f t="shared" si="36"/>
        <v/>
      </c>
      <c r="E36" s="71" t="str">
        <f t="shared" si="37"/>
        <v/>
      </c>
      <c r="F36" s="43" t="str">
        <f>IF(IFERROR(INDEX(Consulta!$A:$DD,MATCH('ZM01'!$C36,Consulta!$D:$D,0),'ZM01'!F$2),"")=0,"",IFERROR(INDEX(Consulta!$A:$DD,MATCH('ZM01'!$C36,Consulta!$D:$D,0),'ZM01'!F$2),""))</f>
        <v/>
      </c>
      <c r="G36" s="43" t="str">
        <f>IF(IFERROR(INDEX(Consulta!$A:$DD,MATCH('ZM01'!$C36,Consulta!$D:$D,0),'ZM01'!G$2),"")=0,"",IFERROR(INDEX(Consulta!$A:$DD,MATCH('ZM01'!$C36,Consulta!$D:$D,0),'ZM01'!G$2),""))</f>
        <v/>
      </c>
      <c r="H36" s="43" t="str">
        <f t="shared" si="22"/>
        <v/>
      </c>
      <c r="I36" s="44" t="s">
        <v>100</v>
      </c>
      <c r="J36" s="43" t="str">
        <f>IF(IFERROR(INDEX(Consulta!$A:$DD,MATCH('ZM01'!$C36,Consulta!$D:$D,0),'ZM01'!J$2),"")=0,"",IFERROR(INDEX(Consulta!$A:$DD,MATCH('ZM01'!$C36,Consulta!$D:$D,0),'ZM01'!J$2),""))</f>
        <v/>
      </c>
      <c r="K36" s="43" t="str">
        <f>IF(IFERROR(INDEX(Consulta!$A:$DD,MATCH('ZM01'!$C36,Consulta!$D:$D,0),'ZM01'!K$2),"")=0,"",IFERROR(INDEX(Consulta!$A:$DD,MATCH('ZM01'!$C36,Consulta!$D:$D,0),'ZM01'!K$2),""))</f>
        <v/>
      </c>
      <c r="L36" s="43" t="str">
        <f t="shared" si="38"/>
        <v/>
      </c>
      <c r="M36" s="43" t="str">
        <f>IF(IFERROR(INDEX(Consulta!$A:$DD,MATCH('ZM01'!$C36,Consulta!$D:$D,0),'ZM01'!M$2),"")=0,"",IFERROR(INDEX(Consulta!$A:$DD,MATCH('ZM01'!$C36,Consulta!$D:$D,0),'ZM01'!M$2),""))</f>
        <v/>
      </c>
      <c r="N36" s="43" t="str">
        <f t="shared" si="39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IF(IFERROR(INDEX(Consulta!$A:$DD,MATCH('ZM01'!$C36,Consulta!$D:$D,0),'ZM01'!AS$2),"")=0,"",IFERROR(INDEX(Consulta!$A:$DD,MATCH('ZM01'!$C36,Consulta!$D:$D,0),'ZM01'!AS$2),""))</f>
        <v/>
      </c>
      <c r="AT36" s="45"/>
      <c r="AU36" s="43" t="str">
        <f>IF(IFERROR(INDEX(Consulta!$A:$DD,MATCH('ZM01'!$C36,Consulta!$D:$D,0),'ZM01'!AU$2),"")=0,"",IFERROR(INDEX(Consulta!$A:$DD,MATCH('ZM01'!$C36,Consulta!$D:$D,0),'ZM01'!AU$2),""))</f>
        <v/>
      </c>
      <c r="AV36" s="43" t="str">
        <f>IF(IFERROR(INDEX(Consulta!$A:$DD,MATCH('ZM01'!$C36,Consulta!$D:$D,0),'ZM01'!AV$2),"")=0,"",IFERROR(INDEX(Consulta!$A:$DD,MATCH('ZM01'!$C36,Consulta!$D:$D,0),'ZM01'!AV$2),""))</f>
        <v/>
      </c>
      <c r="AW36" s="45"/>
      <c r="AX36" s="46" t="str">
        <f t="shared" ca="1" si="40"/>
        <v/>
      </c>
      <c r="AY36" s="47" t="s">
        <v>755</v>
      </c>
      <c r="AZ36" s="43" t="str">
        <f>IF(IFERROR(ROUND(INDEX(Consulta!$A:$DD,MATCH('ZM01'!$C36,Consulta!$D:$D,0),'ZM01'!AZ$2),3),"")=0,"",IFERROR(ROUND(INDEX(Consulta!$A:$DD,MATCH('ZM01'!$C36,Consulta!$D:$D,0),'ZM01'!AZ$2),3),""))</f>
        <v/>
      </c>
      <c r="BA36" s="43" t="str">
        <f t="shared" si="41"/>
        <v/>
      </c>
      <c r="BB36" s="48" t="s">
        <v>299</v>
      </c>
      <c r="BC36" s="48"/>
      <c r="BD36" s="43" t="str">
        <f>IF(IFERROR(INDEX(Consulta!$A:$DD,MATCH('ZM01'!$C36,Consulta!$D:$D,0),'ZM01'!BD$2),"")=0,"",IFERROR(INDEX(Consulta!$A:$DD,MATCH('ZM01'!$C36,Consulta!$D:$D,0),'ZM01'!BD$2),""))</f>
        <v/>
      </c>
      <c r="BE36" s="43" t="str">
        <f t="shared" si="0"/>
        <v/>
      </c>
      <c r="BF36" s="43" t="str">
        <f t="shared" si="42"/>
        <v/>
      </c>
      <c r="BG36" s="43" t="str">
        <f t="shared" si="1"/>
        <v/>
      </c>
      <c r="BH36" s="43" t="str">
        <f t="shared" si="43"/>
        <v>PC</v>
      </c>
      <c r="BI36" s="43" t="str">
        <f t="shared" si="23"/>
        <v/>
      </c>
      <c r="BJ36" s="43" t="str">
        <f t="shared" si="24"/>
        <v/>
      </c>
      <c r="BK36" s="43" t="str">
        <f t="shared" si="25"/>
        <v/>
      </c>
      <c r="BL36" s="43" t="str">
        <f t="shared" si="44"/>
        <v>PC</v>
      </c>
      <c r="BN36" s="44"/>
      <c r="BO36" s="44" t="s">
        <v>925</v>
      </c>
      <c r="BP36" s="43" t="str">
        <f>IF(OR(IFERROR(INDEX(Consulta!$A:$DD,MATCH('ZM01'!$C36,Consulta!$D:$D,0),'ZM01'!BP$2),"")=0,IFERROR(INDEX(Consulta!$A:$DD,MATCH('ZM01'!$C36,Consulta!$D:$D,0),'ZM01'!BP$2),"")=AR36),"",IFERROR(INDEX(Consulta!$A:$DD,MATCH('ZM01'!$C36,Consulta!$D:$D,0),'ZM01'!BP$2),""))</f>
        <v/>
      </c>
      <c r="BQ36" s="45"/>
      <c r="BR36" s="46" t="str">
        <f t="shared" ca="1" si="45"/>
        <v/>
      </c>
      <c r="BS36" s="49" t="str">
        <f t="shared" si="46"/>
        <v/>
      </c>
      <c r="BT36" s="50">
        <v>1</v>
      </c>
      <c r="BU36" s="50" t="s">
        <v>194</v>
      </c>
      <c r="BV36" s="50" t="s">
        <v>194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IF(IFERROR(INDEX(Consulta!$A:$DD,MATCH('ZM01'!$C36,Consulta!$D:$D,0),'ZM01'!CB$2),"")=0,"",IFERROR(INDEX(Consulta!$A:$DD,MATCH('ZM01'!$C36,Consulta!$D:$D,0),'ZM01'!CB$2),""))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14"/>
        <v/>
      </c>
      <c r="CH36" s="45" t="s">
        <v>430</v>
      </c>
      <c r="CI36" s="44">
        <v>0</v>
      </c>
      <c r="CJ36" s="43" t="str">
        <f t="shared" si="26"/>
        <v>E</v>
      </c>
      <c r="CK36" s="43" t="str">
        <f t="shared" si="27"/>
        <v/>
      </c>
      <c r="CL36" s="44">
        <v>2</v>
      </c>
      <c r="CM36" s="49" t="str">
        <f t="shared" si="47"/>
        <v/>
      </c>
      <c r="CN36" s="49" t="str">
        <f t="shared" si="48"/>
        <v/>
      </c>
      <c r="CO36" s="43" t="str">
        <f t="shared" si="28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29"/>
        <v>K00_AO_</v>
      </c>
      <c r="CW36" s="43" t="str">
        <f t="shared" si="30"/>
        <v/>
      </c>
      <c r="CX36" s="43" t="str">
        <f t="shared" si="31"/>
        <v/>
      </c>
      <c r="CY36" s="44">
        <v>1</v>
      </c>
      <c r="CZ36" s="43" t="str">
        <f t="shared" si="32"/>
        <v/>
      </c>
      <c r="DA36" s="43" t="str">
        <f>IF(IFERROR(INDEX(Consulta!$A:$DD,MATCH('ZM01'!$C36,Consulta!$D:$D,0),'ZM01'!DA$2),"")=0,"",IFERROR(INDEX(Consulta!$A:$DD,MATCH('ZM01'!$C36,Consulta!$D:$D,0),'ZM01'!DA$2),""))</f>
        <v/>
      </c>
      <c r="DB36" s="43" t="str">
        <f>IF(IFERROR(INDEX(Consulta!$A:$DD,MATCH('ZM01'!$C36,Consulta!$D:$D,0),'ZM01'!DB$2),"")=0,"",IFERROR(INDEX(Consulta!$A:$DD,MATCH('ZM01'!$C36,Consulta!$D:$D,0),'ZM01'!DB$2),""))</f>
        <v/>
      </c>
      <c r="DC36" s="45">
        <v>0</v>
      </c>
      <c r="DD36" s="45">
        <v>0</v>
      </c>
      <c r="DE36" s="43" t="str">
        <f>IF(IFERROR(INDEX(Consulta!$A:$DD,MATCH('ZM01'!$C36,Consulta!$D:$D,0),'ZM01'!DE$2),"")=0,"",IFERROR(TEXT(VALUE(INDEX(Consulta!$A:$DD,MATCH('ZM01'!$C36,Consulta!$D:$D,0),'ZM01'!DE$2))/100,"0,00"),""))</f>
        <v/>
      </c>
      <c r="DG36" s="43">
        <f t="shared" si="49"/>
        <v>1</v>
      </c>
      <c r="DH36" s="43" t="str">
        <f>IF(IFERROR(INDEX(Consulta!$A:$DD,MATCH('ZM01'!$C36,Consulta!$D:$D,0),'ZM01'!DH$2),"")=0,"",IFERROR(VLOOKUP(INDEX(Consulta!$A:$DD,MATCH('ZM01'!$C36,Consulta!$D:$D,0),'ZM01'!DH$2),'Listas de Dados'!BU:BW,3,0),""))</f>
        <v/>
      </c>
      <c r="DI36" s="43" t="str">
        <f t="shared" ca="1" si="50"/>
        <v>11.02.2022</v>
      </c>
      <c r="DJ36" s="43" t="str">
        <f t="shared" si="51"/>
        <v>31.12.9999</v>
      </c>
      <c r="DL36" s="44">
        <v>1</v>
      </c>
      <c r="DM36" s="44" t="s">
        <v>1039</v>
      </c>
      <c r="DN36" s="44">
        <v>1</v>
      </c>
      <c r="DO36" s="43">
        <f t="shared" si="33"/>
        <v>1</v>
      </c>
      <c r="DP36" s="43" t="str">
        <f t="shared" si="34"/>
        <v>PC</v>
      </c>
      <c r="DQ36" s="43" t="str">
        <f t="shared" si="35"/>
        <v/>
      </c>
      <c r="DR36" s="44">
        <v>100</v>
      </c>
      <c r="DS36" s="71">
        <f t="shared" si="20"/>
        <v>1</v>
      </c>
      <c r="DT36" s="43">
        <f t="shared" si="52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3">
      <c r="A37" s="7" t="str">
        <f t="shared" si="2"/>
        <v>Execução 33</v>
      </c>
      <c r="B37" s="79"/>
      <c r="C37" s="85"/>
      <c r="D37" s="71" t="str">
        <f t="shared" si="36"/>
        <v/>
      </c>
      <c r="E37" s="71" t="str">
        <f t="shared" si="37"/>
        <v/>
      </c>
      <c r="F37" s="43" t="str">
        <f>IF(IFERROR(INDEX(Consulta!$A:$DD,MATCH('ZM01'!$C37,Consulta!$D:$D,0),'ZM01'!F$2),"")=0,"",IFERROR(INDEX(Consulta!$A:$DD,MATCH('ZM01'!$C37,Consulta!$D:$D,0),'ZM01'!F$2),""))</f>
        <v/>
      </c>
      <c r="G37" s="43" t="str">
        <f>IF(IFERROR(INDEX(Consulta!$A:$DD,MATCH('ZM01'!$C37,Consulta!$D:$D,0),'ZM01'!G$2),"")=0,"",IFERROR(INDEX(Consulta!$A:$DD,MATCH('ZM01'!$C37,Consulta!$D:$D,0),'ZM01'!G$2),""))</f>
        <v/>
      </c>
      <c r="H37" s="43" t="str">
        <f t="shared" si="22"/>
        <v/>
      </c>
      <c r="I37" s="44" t="s">
        <v>100</v>
      </c>
      <c r="J37" s="43" t="str">
        <f>IF(IFERROR(INDEX(Consulta!$A:$DD,MATCH('ZM01'!$C37,Consulta!$D:$D,0),'ZM01'!J$2),"")=0,"",IFERROR(INDEX(Consulta!$A:$DD,MATCH('ZM01'!$C37,Consulta!$D:$D,0),'ZM01'!J$2),""))</f>
        <v/>
      </c>
      <c r="K37" s="43" t="str">
        <f>IF(IFERROR(INDEX(Consulta!$A:$DD,MATCH('ZM01'!$C37,Consulta!$D:$D,0),'ZM01'!K$2),"")=0,"",IFERROR(INDEX(Consulta!$A:$DD,MATCH('ZM01'!$C37,Consulta!$D:$D,0),'ZM01'!K$2),""))</f>
        <v/>
      </c>
      <c r="L37" s="43" t="str">
        <f t="shared" si="38"/>
        <v/>
      </c>
      <c r="M37" s="43" t="str">
        <f>IF(IFERROR(INDEX(Consulta!$A:$DD,MATCH('ZM01'!$C37,Consulta!$D:$D,0),'ZM01'!M$2),"")=0,"",IFERROR(INDEX(Consulta!$A:$DD,MATCH('ZM01'!$C37,Consulta!$D:$D,0),'ZM01'!M$2),""))</f>
        <v/>
      </c>
      <c r="N37" s="43" t="str">
        <f t="shared" si="39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IF(IFERROR(INDEX(Consulta!$A:$DD,MATCH('ZM01'!$C37,Consulta!$D:$D,0),'ZM01'!AS$2),"")=0,"",IFERROR(INDEX(Consulta!$A:$DD,MATCH('ZM01'!$C37,Consulta!$D:$D,0),'ZM01'!AS$2),""))</f>
        <v/>
      </c>
      <c r="AT37" s="45"/>
      <c r="AU37" s="43" t="str">
        <f>IF(IFERROR(INDEX(Consulta!$A:$DD,MATCH('ZM01'!$C37,Consulta!$D:$D,0),'ZM01'!AU$2),"")=0,"",IFERROR(INDEX(Consulta!$A:$DD,MATCH('ZM01'!$C37,Consulta!$D:$D,0),'ZM01'!AU$2),""))</f>
        <v/>
      </c>
      <c r="AV37" s="43" t="str">
        <f>IF(IFERROR(INDEX(Consulta!$A:$DD,MATCH('ZM01'!$C37,Consulta!$D:$D,0),'ZM01'!AV$2),"")=0,"",IFERROR(INDEX(Consulta!$A:$DD,MATCH('ZM01'!$C37,Consulta!$D:$D,0),'ZM01'!AV$2),""))</f>
        <v/>
      </c>
      <c r="AW37" s="45"/>
      <c r="AX37" s="46" t="str">
        <f t="shared" ca="1" si="40"/>
        <v/>
      </c>
      <c r="AY37" s="47" t="s">
        <v>755</v>
      </c>
      <c r="AZ37" s="43" t="str">
        <f>IF(IFERROR(ROUND(INDEX(Consulta!$A:$DD,MATCH('ZM01'!$C37,Consulta!$D:$D,0),'ZM01'!AZ$2),3),"")=0,"",IFERROR(ROUND(INDEX(Consulta!$A:$DD,MATCH('ZM01'!$C37,Consulta!$D:$D,0),'ZM01'!AZ$2),3),""))</f>
        <v/>
      </c>
      <c r="BA37" s="43" t="str">
        <f t="shared" si="41"/>
        <v/>
      </c>
      <c r="BB37" s="48" t="s">
        <v>299</v>
      </c>
      <c r="BC37" s="48"/>
      <c r="BD37" s="43" t="str">
        <f>IF(IFERROR(INDEX(Consulta!$A:$DD,MATCH('ZM01'!$C37,Consulta!$D:$D,0),'ZM01'!BD$2),"")=0,"",IFERROR(INDEX(Consulta!$A:$DD,MATCH('ZM01'!$C37,Consulta!$D:$D,0),'ZM01'!BD$2),""))</f>
        <v/>
      </c>
      <c r="BE37" s="43" t="str">
        <f t="shared" si="0"/>
        <v/>
      </c>
      <c r="BF37" s="43" t="str">
        <f t="shared" si="42"/>
        <v/>
      </c>
      <c r="BG37" s="43" t="str">
        <f t="shared" si="1"/>
        <v/>
      </c>
      <c r="BH37" s="43" t="str">
        <f t="shared" si="43"/>
        <v>PC</v>
      </c>
      <c r="BI37" s="43" t="str">
        <f t="shared" si="23"/>
        <v/>
      </c>
      <c r="BJ37" s="43" t="str">
        <f t="shared" si="24"/>
        <v/>
      </c>
      <c r="BK37" s="43" t="str">
        <f t="shared" si="25"/>
        <v/>
      </c>
      <c r="BL37" s="43" t="str">
        <f t="shared" si="44"/>
        <v>PC</v>
      </c>
      <c r="BN37" s="44"/>
      <c r="BO37" s="44" t="s">
        <v>925</v>
      </c>
      <c r="BP37" s="43" t="str">
        <f>IF(OR(IFERROR(INDEX(Consulta!$A:$DD,MATCH('ZM01'!$C37,Consulta!$D:$D,0),'ZM01'!BP$2),"")=0,IFERROR(INDEX(Consulta!$A:$DD,MATCH('ZM01'!$C37,Consulta!$D:$D,0),'ZM01'!BP$2),"")=AR37),"",IFERROR(INDEX(Consulta!$A:$DD,MATCH('ZM01'!$C37,Consulta!$D:$D,0),'ZM01'!BP$2),""))</f>
        <v/>
      </c>
      <c r="BQ37" s="45"/>
      <c r="BR37" s="46" t="str">
        <f t="shared" ca="1" si="45"/>
        <v/>
      </c>
      <c r="BS37" s="49" t="str">
        <f t="shared" si="46"/>
        <v/>
      </c>
      <c r="BT37" s="50">
        <v>1</v>
      </c>
      <c r="BU37" s="50" t="s">
        <v>194</v>
      </c>
      <c r="BV37" s="50" t="s">
        <v>194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IF(IFERROR(INDEX(Consulta!$A:$DD,MATCH('ZM01'!$C37,Consulta!$D:$D,0),'ZM01'!CB$2),"")=0,"",IFERROR(INDEX(Consulta!$A:$DD,MATCH('ZM01'!$C37,Consulta!$D:$D,0),'ZM01'!CB$2),""))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14"/>
        <v/>
      </c>
      <c r="CH37" s="45" t="s">
        <v>430</v>
      </c>
      <c r="CI37" s="44">
        <v>0</v>
      </c>
      <c r="CJ37" s="43" t="str">
        <f t="shared" si="26"/>
        <v>E</v>
      </c>
      <c r="CK37" s="43" t="str">
        <f t="shared" si="27"/>
        <v/>
      </c>
      <c r="CL37" s="44">
        <v>2</v>
      </c>
      <c r="CM37" s="49" t="str">
        <f t="shared" si="47"/>
        <v/>
      </c>
      <c r="CN37" s="49" t="str">
        <f t="shared" si="48"/>
        <v/>
      </c>
      <c r="CO37" s="43" t="str">
        <f t="shared" si="28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29"/>
        <v>K00_AO_</v>
      </c>
      <c r="CW37" s="43" t="str">
        <f t="shared" si="30"/>
        <v/>
      </c>
      <c r="CX37" s="43" t="str">
        <f t="shared" si="31"/>
        <v/>
      </c>
      <c r="CY37" s="44">
        <v>1</v>
      </c>
      <c r="CZ37" s="43" t="str">
        <f t="shared" si="32"/>
        <v/>
      </c>
      <c r="DA37" s="43" t="str">
        <f>IF(IFERROR(INDEX(Consulta!$A:$DD,MATCH('ZM01'!$C37,Consulta!$D:$D,0),'ZM01'!DA$2),"")=0,"",IFERROR(INDEX(Consulta!$A:$DD,MATCH('ZM01'!$C37,Consulta!$D:$D,0),'ZM01'!DA$2),""))</f>
        <v/>
      </c>
      <c r="DB37" s="43" t="str">
        <f>IF(IFERROR(INDEX(Consulta!$A:$DD,MATCH('ZM01'!$C37,Consulta!$D:$D,0),'ZM01'!DB$2),"")=0,"",IFERROR(INDEX(Consulta!$A:$DD,MATCH('ZM01'!$C37,Consulta!$D:$D,0),'ZM01'!DB$2),""))</f>
        <v/>
      </c>
      <c r="DC37" s="45">
        <v>0</v>
      </c>
      <c r="DD37" s="45">
        <v>0</v>
      </c>
      <c r="DE37" s="43" t="str">
        <f>IF(IFERROR(INDEX(Consulta!$A:$DD,MATCH('ZM01'!$C37,Consulta!$D:$D,0),'ZM01'!DE$2),"")=0,"",IFERROR(TEXT(VALUE(INDEX(Consulta!$A:$DD,MATCH('ZM01'!$C37,Consulta!$D:$D,0),'ZM01'!DE$2))/100,"0,00"),""))</f>
        <v/>
      </c>
      <c r="DG37" s="43">
        <f t="shared" si="49"/>
        <v>1</v>
      </c>
      <c r="DH37" s="43" t="str">
        <f>IF(IFERROR(INDEX(Consulta!$A:$DD,MATCH('ZM01'!$C37,Consulta!$D:$D,0),'ZM01'!DH$2),"")=0,"",IFERROR(VLOOKUP(INDEX(Consulta!$A:$DD,MATCH('ZM01'!$C37,Consulta!$D:$D,0),'ZM01'!DH$2),'Listas de Dados'!BU:BW,3,0),""))</f>
        <v/>
      </c>
      <c r="DI37" s="43" t="str">
        <f t="shared" ca="1" si="50"/>
        <v>11.02.2022</v>
      </c>
      <c r="DJ37" s="43" t="str">
        <f t="shared" si="51"/>
        <v>31.12.9999</v>
      </c>
      <c r="DL37" s="44">
        <v>1</v>
      </c>
      <c r="DM37" s="44" t="s">
        <v>1039</v>
      </c>
      <c r="DN37" s="44">
        <v>1</v>
      </c>
      <c r="DO37" s="43">
        <f t="shared" si="33"/>
        <v>1</v>
      </c>
      <c r="DP37" s="43" t="str">
        <f t="shared" si="34"/>
        <v>PC</v>
      </c>
      <c r="DQ37" s="43" t="str">
        <f t="shared" si="35"/>
        <v/>
      </c>
      <c r="DR37" s="44">
        <v>100</v>
      </c>
      <c r="DS37" s="71">
        <f t="shared" si="20"/>
        <v>1</v>
      </c>
      <c r="DT37" s="43">
        <f t="shared" si="52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3">
      <c r="A38" s="7" t="str">
        <f t="shared" si="2"/>
        <v>Execução 34</v>
      </c>
      <c r="B38" s="75"/>
      <c r="C38" s="85"/>
      <c r="D38" s="71" t="str">
        <f t="shared" si="36"/>
        <v/>
      </c>
      <c r="E38" s="71" t="str">
        <f t="shared" si="37"/>
        <v/>
      </c>
      <c r="F38" s="43" t="str">
        <f>IF(IFERROR(INDEX(Consulta!$A:$DD,MATCH('ZM01'!$C38,Consulta!$D:$D,0),'ZM01'!F$2),"")=0,"",IFERROR(INDEX(Consulta!$A:$DD,MATCH('ZM01'!$C38,Consulta!$D:$D,0),'ZM01'!F$2),""))</f>
        <v/>
      </c>
      <c r="G38" s="43" t="str">
        <f>IF(IFERROR(INDEX(Consulta!$A:$DD,MATCH('ZM01'!$C38,Consulta!$D:$D,0),'ZM01'!G$2),"")=0,"",IFERROR(INDEX(Consulta!$A:$DD,MATCH('ZM01'!$C38,Consulta!$D:$D,0),'ZM01'!G$2),""))</f>
        <v/>
      </c>
      <c r="H38" s="43" t="str">
        <f t="shared" si="22"/>
        <v/>
      </c>
      <c r="I38" s="44" t="s">
        <v>100</v>
      </c>
      <c r="J38" s="43" t="str">
        <f>IF(IFERROR(INDEX(Consulta!$A:$DD,MATCH('ZM01'!$C38,Consulta!$D:$D,0),'ZM01'!J$2),"")=0,"",IFERROR(INDEX(Consulta!$A:$DD,MATCH('ZM01'!$C38,Consulta!$D:$D,0),'ZM01'!J$2),""))</f>
        <v/>
      </c>
      <c r="K38" s="43" t="str">
        <f>IF(IFERROR(INDEX(Consulta!$A:$DD,MATCH('ZM01'!$C38,Consulta!$D:$D,0),'ZM01'!K$2),"")=0,"",IFERROR(INDEX(Consulta!$A:$DD,MATCH('ZM01'!$C38,Consulta!$D:$D,0),'ZM01'!K$2),""))</f>
        <v/>
      </c>
      <c r="L38" s="43" t="str">
        <f t="shared" si="38"/>
        <v/>
      </c>
      <c r="M38" s="43" t="str">
        <f>IF(IFERROR(INDEX(Consulta!$A:$DD,MATCH('ZM01'!$C38,Consulta!$D:$D,0),'ZM01'!M$2),"")=0,"",IFERROR(INDEX(Consulta!$A:$DD,MATCH('ZM01'!$C38,Consulta!$D:$D,0),'ZM01'!M$2),""))</f>
        <v/>
      </c>
      <c r="N38" s="43" t="str">
        <f t="shared" si="39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IF(IFERROR(INDEX(Consulta!$A:$DD,MATCH('ZM01'!$C38,Consulta!$D:$D,0),'ZM01'!AS$2),"")=0,"",IFERROR(INDEX(Consulta!$A:$DD,MATCH('ZM01'!$C38,Consulta!$D:$D,0),'ZM01'!AS$2),""))</f>
        <v/>
      </c>
      <c r="AT38" s="45"/>
      <c r="AU38" s="43" t="str">
        <f>IF(IFERROR(INDEX(Consulta!$A:$DD,MATCH('ZM01'!$C38,Consulta!$D:$D,0),'ZM01'!AU$2),"")=0,"",IFERROR(INDEX(Consulta!$A:$DD,MATCH('ZM01'!$C38,Consulta!$D:$D,0),'ZM01'!AU$2),""))</f>
        <v/>
      </c>
      <c r="AV38" s="43" t="str">
        <f>IF(IFERROR(INDEX(Consulta!$A:$DD,MATCH('ZM01'!$C38,Consulta!$D:$D,0),'ZM01'!AV$2),"")=0,"",IFERROR(INDEX(Consulta!$A:$DD,MATCH('ZM01'!$C38,Consulta!$D:$D,0),'ZM01'!AV$2),""))</f>
        <v/>
      </c>
      <c r="AW38" s="45"/>
      <c r="AX38" s="46" t="str">
        <f t="shared" ca="1" si="40"/>
        <v/>
      </c>
      <c r="AY38" s="47" t="s">
        <v>755</v>
      </c>
      <c r="AZ38" s="43" t="str">
        <f>IF(IFERROR(ROUND(INDEX(Consulta!$A:$DD,MATCH('ZM01'!$C38,Consulta!$D:$D,0),'ZM01'!AZ$2),3),"")=0,"",IFERROR(ROUND(INDEX(Consulta!$A:$DD,MATCH('ZM01'!$C38,Consulta!$D:$D,0),'ZM01'!AZ$2),3),""))</f>
        <v/>
      </c>
      <c r="BA38" s="43" t="str">
        <f t="shared" si="41"/>
        <v/>
      </c>
      <c r="BB38" s="48" t="s">
        <v>299</v>
      </c>
      <c r="BC38" s="48"/>
      <c r="BD38" s="43" t="str">
        <f>IF(IFERROR(INDEX(Consulta!$A:$DD,MATCH('ZM01'!$C38,Consulta!$D:$D,0),'ZM01'!BD$2),"")=0,"",IFERROR(INDEX(Consulta!$A:$DD,MATCH('ZM01'!$C38,Consulta!$D:$D,0),'ZM01'!BD$2),""))</f>
        <v/>
      </c>
      <c r="BE38" s="43" t="str">
        <f t="shared" si="0"/>
        <v/>
      </c>
      <c r="BF38" s="43" t="str">
        <f t="shared" si="42"/>
        <v/>
      </c>
      <c r="BG38" s="43" t="str">
        <f t="shared" si="1"/>
        <v/>
      </c>
      <c r="BH38" s="43" t="str">
        <f t="shared" si="43"/>
        <v>PC</v>
      </c>
      <c r="BI38" s="43" t="str">
        <f t="shared" si="23"/>
        <v/>
      </c>
      <c r="BJ38" s="43" t="str">
        <f t="shared" si="24"/>
        <v/>
      </c>
      <c r="BK38" s="43" t="str">
        <f t="shared" si="25"/>
        <v/>
      </c>
      <c r="BL38" s="43" t="str">
        <f t="shared" si="44"/>
        <v>PC</v>
      </c>
      <c r="BN38" s="44"/>
      <c r="BO38" s="44" t="s">
        <v>925</v>
      </c>
      <c r="BP38" s="43" t="str">
        <f>IF(OR(IFERROR(INDEX(Consulta!$A:$DD,MATCH('ZM01'!$C38,Consulta!$D:$D,0),'ZM01'!BP$2),"")=0,IFERROR(INDEX(Consulta!$A:$DD,MATCH('ZM01'!$C38,Consulta!$D:$D,0),'ZM01'!BP$2),"")=AR38),"",IFERROR(INDEX(Consulta!$A:$DD,MATCH('ZM01'!$C38,Consulta!$D:$D,0),'ZM01'!BP$2),""))</f>
        <v/>
      </c>
      <c r="BQ38" s="45"/>
      <c r="BR38" s="46" t="str">
        <f t="shared" ca="1" si="45"/>
        <v/>
      </c>
      <c r="BS38" s="49" t="str">
        <f t="shared" si="46"/>
        <v/>
      </c>
      <c r="BT38" s="50">
        <v>1</v>
      </c>
      <c r="BU38" s="50" t="s">
        <v>194</v>
      </c>
      <c r="BV38" s="50" t="s">
        <v>194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IF(IFERROR(INDEX(Consulta!$A:$DD,MATCH('ZM01'!$C38,Consulta!$D:$D,0),'ZM01'!CB$2),"")=0,"",IFERROR(INDEX(Consulta!$A:$DD,MATCH('ZM01'!$C38,Consulta!$D:$D,0),'ZM01'!CB$2),""))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14"/>
        <v/>
      </c>
      <c r="CH38" s="45" t="s">
        <v>430</v>
      </c>
      <c r="CI38" s="44">
        <v>0</v>
      </c>
      <c r="CJ38" s="43" t="str">
        <f t="shared" si="26"/>
        <v>E</v>
      </c>
      <c r="CK38" s="43" t="str">
        <f t="shared" si="27"/>
        <v/>
      </c>
      <c r="CL38" s="44">
        <v>2</v>
      </c>
      <c r="CM38" s="49" t="str">
        <f t="shared" si="47"/>
        <v/>
      </c>
      <c r="CN38" s="49" t="str">
        <f t="shared" si="48"/>
        <v/>
      </c>
      <c r="CO38" s="43" t="str">
        <f t="shared" si="28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29"/>
        <v>K00_AO_</v>
      </c>
      <c r="CW38" s="43" t="str">
        <f t="shared" si="30"/>
        <v/>
      </c>
      <c r="CX38" s="43" t="str">
        <f t="shared" si="31"/>
        <v/>
      </c>
      <c r="CY38" s="44">
        <v>1</v>
      </c>
      <c r="CZ38" s="43" t="str">
        <f t="shared" si="32"/>
        <v/>
      </c>
      <c r="DA38" s="43" t="str">
        <f>IF(IFERROR(INDEX(Consulta!$A:$DD,MATCH('ZM01'!$C38,Consulta!$D:$D,0),'ZM01'!DA$2),"")=0,"",IFERROR(INDEX(Consulta!$A:$DD,MATCH('ZM01'!$C38,Consulta!$D:$D,0),'ZM01'!DA$2),""))</f>
        <v/>
      </c>
      <c r="DB38" s="43" t="str">
        <f>IF(IFERROR(INDEX(Consulta!$A:$DD,MATCH('ZM01'!$C38,Consulta!$D:$D,0),'ZM01'!DB$2),"")=0,"",IFERROR(INDEX(Consulta!$A:$DD,MATCH('ZM01'!$C38,Consulta!$D:$D,0),'ZM01'!DB$2),""))</f>
        <v/>
      </c>
      <c r="DC38" s="45">
        <v>0</v>
      </c>
      <c r="DD38" s="45">
        <v>0</v>
      </c>
      <c r="DE38" s="43" t="str">
        <f>IF(IFERROR(INDEX(Consulta!$A:$DD,MATCH('ZM01'!$C38,Consulta!$D:$D,0),'ZM01'!DE$2),"")=0,"",IFERROR(TEXT(VALUE(INDEX(Consulta!$A:$DD,MATCH('ZM01'!$C38,Consulta!$D:$D,0),'ZM01'!DE$2))/100,"0,00"),""))</f>
        <v/>
      </c>
      <c r="DG38" s="43">
        <f t="shared" si="49"/>
        <v>1</v>
      </c>
      <c r="DH38" s="43" t="str">
        <f>IF(IFERROR(INDEX(Consulta!$A:$DD,MATCH('ZM01'!$C38,Consulta!$D:$D,0),'ZM01'!DH$2),"")=0,"",IFERROR(VLOOKUP(INDEX(Consulta!$A:$DD,MATCH('ZM01'!$C38,Consulta!$D:$D,0),'ZM01'!DH$2),'Listas de Dados'!BU:BW,3,0),""))</f>
        <v/>
      </c>
      <c r="DI38" s="43" t="str">
        <f t="shared" ca="1" si="50"/>
        <v>11.02.2022</v>
      </c>
      <c r="DJ38" s="43" t="str">
        <f t="shared" si="51"/>
        <v>31.12.9999</v>
      </c>
      <c r="DL38" s="44">
        <v>1</v>
      </c>
      <c r="DM38" s="44" t="s">
        <v>1039</v>
      </c>
      <c r="DN38" s="44">
        <v>1</v>
      </c>
      <c r="DO38" s="43">
        <f t="shared" si="33"/>
        <v>1</v>
      </c>
      <c r="DP38" s="43" t="str">
        <f t="shared" si="34"/>
        <v>PC</v>
      </c>
      <c r="DQ38" s="43" t="str">
        <f t="shared" si="35"/>
        <v/>
      </c>
      <c r="DR38" s="44">
        <v>100</v>
      </c>
      <c r="DS38" s="71">
        <f t="shared" si="20"/>
        <v>1</v>
      </c>
      <c r="DT38" s="43">
        <f t="shared" si="52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3">
      <c r="A39" s="7" t="str">
        <f t="shared" si="2"/>
        <v>Execução 35</v>
      </c>
      <c r="B39" s="79"/>
      <c r="C39" s="85"/>
      <c r="D39" s="71" t="str">
        <f t="shared" si="36"/>
        <v/>
      </c>
      <c r="E39" s="71" t="str">
        <f t="shared" si="37"/>
        <v/>
      </c>
      <c r="F39" s="43" t="str">
        <f>IF(IFERROR(INDEX(Consulta!$A:$DD,MATCH('ZM01'!$C39,Consulta!$D:$D,0),'ZM01'!F$2),"")=0,"",IFERROR(INDEX(Consulta!$A:$DD,MATCH('ZM01'!$C39,Consulta!$D:$D,0),'ZM01'!F$2),""))</f>
        <v/>
      </c>
      <c r="G39" s="43" t="str">
        <f>IF(IFERROR(INDEX(Consulta!$A:$DD,MATCH('ZM01'!$C39,Consulta!$D:$D,0),'ZM01'!G$2),"")=0,"",IFERROR(INDEX(Consulta!$A:$DD,MATCH('ZM01'!$C39,Consulta!$D:$D,0),'ZM01'!G$2),""))</f>
        <v/>
      </c>
      <c r="H39" s="43" t="str">
        <f t="shared" si="22"/>
        <v/>
      </c>
      <c r="I39" s="44" t="s">
        <v>100</v>
      </c>
      <c r="J39" s="43" t="str">
        <f>IF(IFERROR(INDEX(Consulta!$A:$DD,MATCH('ZM01'!$C39,Consulta!$D:$D,0),'ZM01'!J$2),"")=0,"",IFERROR(INDEX(Consulta!$A:$DD,MATCH('ZM01'!$C39,Consulta!$D:$D,0),'ZM01'!J$2),""))</f>
        <v/>
      </c>
      <c r="K39" s="43" t="str">
        <f>IF(IFERROR(INDEX(Consulta!$A:$DD,MATCH('ZM01'!$C39,Consulta!$D:$D,0),'ZM01'!K$2),"")=0,"",IFERROR(INDEX(Consulta!$A:$DD,MATCH('ZM01'!$C39,Consulta!$D:$D,0),'ZM01'!K$2),""))</f>
        <v/>
      </c>
      <c r="L39" s="43" t="str">
        <f t="shared" si="38"/>
        <v/>
      </c>
      <c r="M39" s="43" t="str">
        <f>IF(IFERROR(INDEX(Consulta!$A:$DD,MATCH('ZM01'!$C39,Consulta!$D:$D,0),'ZM01'!M$2),"")=0,"",IFERROR(INDEX(Consulta!$A:$DD,MATCH('ZM01'!$C39,Consulta!$D:$D,0),'ZM01'!M$2),""))</f>
        <v/>
      </c>
      <c r="N39" s="43" t="str">
        <f t="shared" si="39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IF(IFERROR(INDEX(Consulta!$A:$DD,MATCH('ZM01'!$C39,Consulta!$D:$D,0),'ZM01'!AS$2),"")=0,"",IFERROR(INDEX(Consulta!$A:$DD,MATCH('ZM01'!$C39,Consulta!$D:$D,0),'ZM01'!AS$2),""))</f>
        <v/>
      </c>
      <c r="AT39" s="45"/>
      <c r="AU39" s="43" t="str">
        <f>IF(IFERROR(INDEX(Consulta!$A:$DD,MATCH('ZM01'!$C39,Consulta!$D:$D,0),'ZM01'!AU$2),"")=0,"",IFERROR(INDEX(Consulta!$A:$DD,MATCH('ZM01'!$C39,Consulta!$D:$D,0),'ZM01'!AU$2),""))</f>
        <v/>
      </c>
      <c r="AV39" s="43" t="str">
        <f>IF(IFERROR(INDEX(Consulta!$A:$DD,MATCH('ZM01'!$C39,Consulta!$D:$D,0),'ZM01'!AV$2),"")=0,"",IFERROR(INDEX(Consulta!$A:$DD,MATCH('ZM01'!$C39,Consulta!$D:$D,0),'ZM01'!AV$2),""))</f>
        <v/>
      </c>
      <c r="AW39" s="45"/>
      <c r="AX39" s="46" t="str">
        <f t="shared" ca="1" si="40"/>
        <v/>
      </c>
      <c r="AY39" s="47" t="s">
        <v>755</v>
      </c>
      <c r="AZ39" s="43" t="str">
        <f>IF(IFERROR(ROUND(INDEX(Consulta!$A:$DD,MATCH('ZM01'!$C39,Consulta!$D:$D,0),'ZM01'!AZ$2),3),"")=0,"",IFERROR(ROUND(INDEX(Consulta!$A:$DD,MATCH('ZM01'!$C39,Consulta!$D:$D,0),'ZM01'!AZ$2),3),""))</f>
        <v/>
      </c>
      <c r="BA39" s="43" t="str">
        <f t="shared" si="41"/>
        <v/>
      </c>
      <c r="BB39" s="48" t="s">
        <v>299</v>
      </c>
      <c r="BC39" s="48"/>
      <c r="BD39" s="43" t="str">
        <f>IF(IFERROR(INDEX(Consulta!$A:$DD,MATCH('ZM01'!$C39,Consulta!$D:$D,0),'ZM01'!BD$2),"")=0,"",IFERROR(INDEX(Consulta!$A:$DD,MATCH('ZM01'!$C39,Consulta!$D:$D,0),'ZM01'!BD$2),""))</f>
        <v/>
      </c>
      <c r="BE39" s="43" t="str">
        <f t="shared" si="0"/>
        <v/>
      </c>
      <c r="BF39" s="43" t="str">
        <f t="shared" si="42"/>
        <v/>
      </c>
      <c r="BG39" s="43" t="str">
        <f t="shared" si="1"/>
        <v/>
      </c>
      <c r="BH39" s="43" t="str">
        <f t="shared" si="43"/>
        <v>PC</v>
      </c>
      <c r="BI39" s="43" t="str">
        <f t="shared" si="23"/>
        <v/>
      </c>
      <c r="BJ39" s="43" t="str">
        <f t="shared" si="24"/>
        <v/>
      </c>
      <c r="BK39" s="43" t="str">
        <f t="shared" si="25"/>
        <v/>
      </c>
      <c r="BL39" s="43" t="str">
        <f t="shared" si="44"/>
        <v>PC</v>
      </c>
      <c r="BN39" s="44"/>
      <c r="BO39" s="44" t="s">
        <v>925</v>
      </c>
      <c r="BP39" s="43" t="str">
        <f>IF(OR(IFERROR(INDEX(Consulta!$A:$DD,MATCH('ZM01'!$C39,Consulta!$D:$D,0),'ZM01'!BP$2),"")=0,IFERROR(INDEX(Consulta!$A:$DD,MATCH('ZM01'!$C39,Consulta!$D:$D,0),'ZM01'!BP$2),"")=AR39),"",IFERROR(INDEX(Consulta!$A:$DD,MATCH('ZM01'!$C39,Consulta!$D:$D,0),'ZM01'!BP$2),""))</f>
        <v/>
      </c>
      <c r="BQ39" s="45"/>
      <c r="BR39" s="46" t="str">
        <f t="shared" ca="1" si="45"/>
        <v/>
      </c>
      <c r="BS39" s="49" t="str">
        <f t="shared" si="46"/>
        <v/>
      </c>
      <c r="BT39" s="50">
        <v>1</v>
      </c>
      <c r="BU39" s="50" t="s">
        <v>194</v>
      </c>
      <c r="BV39" s="50" t="s">
        <v>194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IF(IFERROR(INDEX(Consulta!$A:$DD,MATCH('ZM01'!$C39,Consulta!$D:$D,0),'ZM01'!CB$2),"")=0,"",IFERROR(INDEX(Consulta!$A:$DD,MATCH('ZM01'!$C39,Consulta!$D:$D,0),'ZM01'!CB$2),""))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14"/>
        <v/>
      </c>
      <c r="CH39" s="45" t="s">
        <v>430</v>
      </c>
      <c r="CI39" s="44">
        <v>0</v>
      </c>
      <c r="CJ39" s="43" t="str">
        <f t="shared" si="26"/>
        <v>E</v>
      </c>
      <c r="CK39" s="43" t="str">
        <f t="shared" si="27"/>
        <v/>
      </c>
      <c r="CL39" s="44">
        <v>2</v>
      </c>
      <c r="CM39" s="49" t="str">
        <f t="shared" si="47"/>
        <v/>
      </c>
      <c r="CN39" s="49" t="str">
        <f t="shared" si="48"/>
        <v/>
      </c>
      <c r="CO39" s="43" t="str">
        <f t="shared" si="28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29"/>
        <v>K00_AO_</v>
      </c>
      <c r="CW39" s="43" t="str">
        <f t="shared" si="30"/>
        <v/>
      </c>
      <c r="CX39" s="43" t="str">
        <f t="shared" si="31"/>
        <v/>
      </c>
      <c r="CY39" s="44">
        <v>1</v>
      </c>
      <c r="CZ39" s="43" t="str">
        <f t="shared" si="32"/>
        <v/>
      </c>
      <c r="DA39" s="43" t="str">
        <f>IF(IFERROR(INDEX(Consulta!$A:$DD,MATCH('ZM01'!$C39,Consulta!$D:$D,0),'ZM01'!DA$2),"")=0,"",IFERROR(INDEX(Consulta!$A:$DD,MATCH('ZM01'!$C39,Consulta!$D:$D,0),'ZM01'!DA$2),""))</f>
        <v/>
      </c>
      <c r="DB39" s="43" t="str">
        <f>IF(IFERROR(INDEX(Consulta!$A:$DD,MATCH('ZM01'!$C39,Consulta!$D:$D,0),'ZM01'!DB$2),"")=0,"",IFERROR(INDEX(Consulta!$A:$DD,MATCH('ZM01'!$C39,Consulta!$D:$D,0),'ZM01'!DB$2),""))</f>
        <v/>
      </c>
      <c r="DC39" s="45">
        <v>0</v>
      </c>
      <c r="DD39" s="45">
        <v>0</v>
      </c>
      <c r="DE39" s="43" t="str">
        <f>IF(IFERROR(INDEX(Consulta!$A:$DD,MATCH('ZM01'!$C39,Consulta!$D:$D,0),'ZM01'!DE$2),"")=0,"",IFERROR(TEXT(VALUE(INDEX(Consulta!$A:$DD,MATCH('ZM01'!$C39,Consulta!$D:$D,0),'ZM01'!DE$2))/100,"0,00"),""))</f>
        <v/>
      </c>
      <c r="DG39" s="43">
        <f t="shared" si="49"/>
        <v>1</v>
      </c>
      <c r="DH39" s="43" t="str">
        <f>IF(IFERROR(INDEX(Consulta!$A:$DD,MATCH('ZM01'!$C39,Consulta!$D:$D,0),'ZM01'!DH$2),"")=0,"",IFERROR(VLOOKUP(INDEX(Consulta!$A:$DD,MATCH('ZM01'!$C39,Consulta!$D:$D,0),'ZM01'!DH$2),'Listas de Dados'!BU:BW,3,0),""))</f>
        <v/>
      </c>
      <c r="DI39" s="43" t="str">
        <f t="shared" ca="1" si="50"/>
        <v>11.02.2022</v>
      </c>
      <c r="DJ39" s="43" t="str">
        <f t="shared" si="51"/>
        <v>31.12.9999</v>
      </c>
      <c r="DL39" s="44">
        <v>1</v>
      </c>
      <c r="DM39" s="44" t="s">
        <v>1039</v>
      </c>
      <c r="DN39" s="44">
        <v>1</v>
      </c>
      <c r="DO39" s="43">
        <f t="shared" si="33"/>
        <v>1</v>
      </c>
      <c r="DP39" s="43" t="str">
        <f t="shared" si="34"/>
        <v>PC</v>
      </c>
      <c r="DQ39" s="43" t="str">
        <f t="shared" si="35"/>
        <v/>
      </c>
      <c r="DR39" s="44">
        <v>100</v>
      </c>
      <c r="DS39" s="71">
        <f t="shared" si="20"/>
        <v>1</v>
      </c>
      <c r="DT39" s="43">
        <f t="shared" si="52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3">
      <c r="A40" s="7" t="str">
        <f t="shared" si="2"/>
        <v>Execução 36</v>
      </c>
      <c r="B40" s="75"/>
      <c r="C40" s="85"/>
      <c r="D40" s="71" t="str">
        <f t="shared" si="36"/>
        <v/>
      </c>
      <c r="E40" s="71" t="str">
        <f t="shared" si="37"/>
        <v/>
      </c>
      <c r="F40" s="43" t="str">
        <f>IF(IFERROR(INDEX(Consulta!$A:$DD,MATCH('ZM01'!$C40,Consulta!$D:$D,0),'ZM01'!F$2),"")=0,"",IFERROR(INDEX(Consulta!$A:$DD,MATCH('ZM01'!$C40,Consulta!$D:$D,0),'ZM01'!F$2),""))</f>
        <v/>
      </c>
      <c r="G40" s="43" t="str">
        <f>IF(IFERROR(INDEX(Consulta!$A:$DD,MATCH('ZM01'!$C40,Consulta!$D:$D,0),'ZM01'!G$2),"")=0,"",IFERROR(INDEX(Consulta!$A:$DD,MATCH('ZM01'!$C40,Consulta!$D:$D,0),'ZM01'!G$2),""))</f>
        <v/>
      </c>
      <c r="H40" s="43" t="str">
        <f t="shared" si="22"/>
        <v/>
      </c>
      <c r="I40" s="44" t="s">
        <v>100</v>
      </c>
      <c r="J40" s="43" t="str">
        <f>IF(IFERROR(INDEX(Consulta!$A:$DD,MATCH('ZM01'!$C40,Consulta!$D:$D,0),'ZM01'!J$2),"")=0,"",IFERROR(INDEX(Consulta!$A:$DD,MATCH('ZM01'!$C40,Consulta!$D:$D,0),'ZM01'!J$2),""))</f>
        <v/>
      </c>
      <c r="K40" s="43" t="str">
        <f>IF(IFERROR(INDEX(Consulta!$A:$DD,MATCH('ZM01'!$C40,Consulta!$D:$D,0),'ZM01'!K$2),"")=0,"",IFERROR(INDEX(Consulta!$A:$DD,MATCH('ZM01'!$C40,Consulta!$D:$D,0),'ZM01'!K$2),""))</f>
        <v/>
      </c>
      <c r="L40" s="43" t="str">
        <f t="shared" si="38"/>
        <v/>
      </c>
      <c r="M40" s="43" t="str">
        <f>IF(IFERROR(INDEX(Consulta!$A:$DD,MATCH('ZM01'!$C40,Consulta!$D:$D,0),'ZM01'!M$2),"")=0,"",IFERROR(INDEX(Consulta!$A:$DD,MATCH('ZM01'!$C40,Consulta!$D:$D,0),'ZM01'!M$2),""))</f>
        <v/>
      </c>
      <c r="N40" s="43" t="str">
        <f t="shared" si="39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IF(IFERROR(INDEX(Consulta!$A:$DD,MATCH('ZM01'!$C40,Consulta!$D:$D,0),'ZM01'!AS$2),"")=0,"",IFERROR(INDEX(Consulta!$A:$DD,MATCH('ZM01'!$C40,Consulta!$D:$D,0),'ZM01'!AS$2),""))</f>
        <v/>
      </c>
      <c r="AT40" s="45"/>
      <c r="AU40" s="43" t="str">
        <f>IF(IFERROR(INDEX(Consulta!$A:$DD,MATCH('ZM01'!$C40,Consulta!$D:$D,0),'ZM01'!AU$2),"")=0,"",IFERROR(INDEX(Consulta!$A:$DD,MATCH('ZM01'!$C40,Consulta!$D:$D,0),'ZM01'!AU$2),""))</f>
        <v/>
      </c>
      <c r="AV40" s="43" t="str">
        <f>IF(IFERROR(INDEX(Consulta!$A:$DD,MATCH('ZM01'!$C40,Consulta!$D:$D,0),'ZM01'!AV$2),"")=0,"",IFERROR(INDEX(Consulta!$A:$DD,MATCH('ZM01'!$C40,Consulta!$D:$D,0),'ZM01'!AV$2),""))</f>
        <v/>
      </c>
      <c r="AW40" s="45"/>
      <c r="AX40" s="46" t="str">
        <f t="shared" ca="1" si="40"/>
        <v/>
      </c>
      <c r="AY40" s="47" t="s">
        <v>755</v>
      </c>
      <c r="AZ40" s="43" t="str">
        <f>IF(IFERROR(ROUND(INDEX(Consulta!$A:$DD,MATCH('ZM01'!$C40,Consulta!$D:$D,0),'ZM01'!AZ$2),3),"")=0,"",IFERROR(ROUND(INDEX(Consulta!$A:$DD,MATCH('ZM01'!$C40,Consulta!$D:$D,0),'ZM01'!AZ$2),3),""))</f>
        <v/>
      </c>
      <c r="BA40" s="43" t="str">
        <f t="shared" si="41"/>
        <v/>
      </c>
      <c r="BB40" s="48" t="s">
        <v>299</v>
      </c>
      <c r="BC40" s="48"/>
      <c r="BD40" s="43" t="str">
        <f>IF(IFERROR(INDEX(Consulta!$A:$DD,MATCH('ZM01'!$C40,Consulta!$D:$D,0),'ZM01'!BD$2),"")=0,"",IFERROR(INDEX(Consulta!$A:$DD,MATCH('ZM01'!$C40,Consulta!$D:$D,0),'ZM01'!BD$2),""))</f>
        <v/>
      </c>
      <c r="BE40" s="43" t="str">
        <f t="shared" si="0"/>
        <v/>
      </c>
      <c r="BF40" s="43" t="str">
        <f t="shared" si="42"/>
        <v/>
      </c>
      <c r="BG40" s="43" t="str">
        <f t="shared" si="1"/>
        <v/>
      </c>
      <c r="BH40" s="43" t="str">
        <f t="shared" si="43"/>
        <v>PC</v>
      </c>
      <c r="BI40" s="43" t="str">
        <f t="shared" si="23"/>
        <v/>
      </c>
      <c r="BJ40" s="43" t="str">
        <f t="shared" si="24"/>
        <v/>
      </c>
      <c r="BK40" s="43" t="str">
        <f t="shared" si="25"/>
        <v/>
      </c>
      <c r="BL40" s="43" t="str">
        <f t="shared" si="44"/>
        <v>PC</v>
      </c>
      <c r="BN40" s="44"/>
      <c r="BO40" s="44" t="s">
        <v>925</v>
      </c>
      <c r="BP40" s="43" t="str">
        <f>IF(OR(IFERROR(INDEX(Consulta!$A:$DD,MATCH('ZM01'!$C40,Consulta!$D:$D,0),'ZM01'!BP$2),"")=0,IFERROR(INDEX(Consulta!$A:$DD,MATCH('ZM01'!$C40,Consulta!$D:$D,0),'ZM01'!BP$2),"")=AR40),"",IFERROR(INDEX(Consulta!$A:$DD,MATCH('ZM01'!$C40,Consulta!$D:$D,0),'ZM01'!BP$2),""))</f>
        <v/>
      </c>
      <c r="BQ40" s="45"/>
      <c r="BR40" s="46" t="str">
        <f t="shared" ca="1" si="45"/>
        <v/>
      </c>
      <c r="BS40" s="49" t="str">
        <f t="shared" si="46"/>
        <v/>
      </c>
      <c r="BT40" s="50">
        <v>1</v>
      </c>
      <c r="BU40" s="50" t="s">
        <v>194</v>
      </c>
      <c r="BV40" s="50" t="s">
        <v>194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IF(IFERROR(INDEX(Consulta!$A:$DD,MATCH('ZM01'!$C40,Consulta!$D:$D,0),'ZM01'!CB$2),"")=0,"",IFERROR(INDEX(Consulta!$A:$DD,MATCH('ZM01'!$C40,Consulta!$D:$D,0),'ZM01'!CB$2),""))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14"/>
        <v/>
      </c>
      <c r="CH40" s="45" t="s">
        <v>430</v>
      </c>
      <c r="CI40" s="44">
        <v>0</v>
      </c>
      <c r="CJ40" s="43" t="str">
        <f t="shared" si="26"/>
        <v>E</v>
      </c>
      <c r="CK40" s="43" t="str">
        <f t="shared" si="27"/>
        <v/>
      </c>
      <c r="CL40" s="44">
        <v>2</v>
      </c>
      <c r="CM40" s="49" t="str">
        <f t="shared" si="47"/>
        <v/>
      </c>
      <c r="CN40" s="49" t="str">
        <f t="shared" si="48"/>
        <v/>
      </c>
      <c r="CO40" s="43" t="str">
        <f t="shared" si="28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29"/>
        <v>K00_AO_</v>
      </c>
      <c r="CW40" s="43" t="str">
        <f t="shared" si="30"/>
        <v/>
      </c>
      <c r="CX40" s="43" t="str">
        <f t="shared" si="31"/>
        <v/>
      </c>
      <c r="CY40" s="44">
        <v>1</v>
      </c>
      <c r="CZ40" s="43" t="str">
        <f t="shared" si="32"/>
        <v/>
      </c>
      <c r="DA40" s="43" t="str">
        <f>IF(IFERROR(INDEX(Consulta!$A:$DD,MATCH('ZM01'!$C40,Consulta!$D:$D,0),'ZM01'!DA$2),"")=0,"",IFERROR(INDEX(Consulta!$A:$DD,MATCH('ZM01'!$C40,Consulta!$D:$D,0),'ZM01'!DA$2),""))</f>
        <v/>
      </c>
      <c r="DB40" s="43" t="str">
        <f>IF(IFERROR(INDEX(Consulta!$A:$DD,MATCH('ZM01'!$C40,Consulta!$D:$D,0),'ZM01'!DB$2),"")=0,"",IFERROR(INDEX(Consulta!$A:$DD,MATCH('ZM01'!$C40,Consulta!$D:$D,0),'ZM01'!DB$2),""))</f>
        <v/>
      </c>
      <c r="DC40" s="45">
        <v>0</v>
      </c>
      <c r="DD40" s="45">
        <v>0</v>
      </c>
      <c r="DE40" s="43" t="str">
        <f>IF(IFERROR(INDEX(Consulta!$A:$DD,MATCH('ZM01'!$C40,Consulta!$D:$D,0),'ZM01'!DE$2),"")=0,"",IFERROR(TEXT(VALUE(INDEX(Consulta!$A:$DD,MATCH('ZM01'!$C40,Consulta!$D:$D,0),'ZM01'!DE$2))/100,"0,00"),""))</f>
        <v/>
      </c>
      <c r="DG40" s="43">
        <f t="shared" si="49"/>
        <v>1</v>
      </c>
      <c r="DH40" s="43" t="str">
        <f>IF(IFERROR(INDEX(Consulta!$A:$DD,MATCH('ZM01'!$C40,Consulta!$D:$D,0),'ZM01'!DH$2),"")=0,"",IFERROR(VLOOKUP(INDEX(Consulta!$A:$DD,MATCH('ZM01'!$C40,Consulta!$D:$D,0),'ZM01'!DH$2),'Listas de Dados'!BU:BW,3,0),""))</f>
        <v/>
      </c>
      <c r="DI40" s="43" t="str">
        <f t="shared" ca="1" si="50"/>
        <v>11.02.2022</v>
      </c>
      <c r="DJ40" s="43" t="str">
        <f t="shared" si="51"/>
        <v>31.12.9999</v>
      </c>
      <c r="DL40" s="44">
        <v>1</v>
      </c>
      <c r="DM40" s="44" t="s">
        <v>1039</v>
      </c>
      <c r="DN40" s="44">
        <v>1</v>
      </c>
      <c r="DO40" s="43">
        <f t="shared" si="33"/>
        <v>1</v>
      </c>
      <c r="DP40" s="43" t="str">
        <f t="shared" si="34"/>
        <v>PC</v>
      </c>
      <c r="DQ40" s="43" t="str">
        <f t="shared" si="35"/>
        <v/>
      </c>
      <c r="DR40" s="44">
        <v>100</v>
      </c>
      <c r="DS40" s="71">
        <f t="shared" si="20"/>
        <v>1</v>
      </c>
      <c r="DT40" s="43">
        <f t="shared" si="52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211" priority="175" operator="beginsWith" text="L">
      <formula>LEFT(B5,LEN("L"))="L"</formula>
    </cfRule>
  </conditionalFormatting>
  <conditionalFormatting sqref="D6">
    <cfRule type="beginsWith" dxfId="210" priority="143" operator="beginsWith" text="L">
      <formula>LEFT(D6,LEN("L"))="L"</formula>
    </cfRule>
  </conditionalFormatting>
  <conditionalFormatting sqref="B6:C6">
    <cfRule type="beginsWith" dxfId="209" priority="113" operator="beginsWith" text="L">
      <formula>LEFT(B6,LEN("L"))="L"</formula>
    </cfRule>
  </conditionalFormatting>
  <conditionalFormatting sqref="F5:F6">
    <cfRule type="beginsWith" dxfId="208" priority="91" operator="beginsWith" text="L">
      <formula>LEFT(F5,LEN("L"))="L"</formula>
    </cfRule>
  </conditionalFormatting>
  <conditionalFormatting sqref="DZ1:DZ6 DZ41:DZ1048576">
    <cfRule type="containsText" dxfId="207" priority="92" operator="containsText" text="criadas">
      <formula>NOT(ISERROR(SEARCH("criadas",DZ1)))</formula>
    </cfRule>
    <cfRule type="containsText" dxfId="206" priority="94" operator="containsText" text="é gravado">
      <formula>NOT(ISERROR(SEARCH("é gravado",DZ1)))</formula>
    </cfRule>
    <cfRule type="containsText" dxfId="205" priority="95" operator="containsText" text="é modificado">
      <formula>NOT(ISERROR(SEARCH("é modificado",DZ1)))</formula>
    </cfRule>
    <cfRule type="containsText" dxfId="204" priority="96" operator="containsText" text="Error">
      <formula>NOT(ISERROR(SEARCH("Error",DZ1)))</formula>
    </cfRule>
    <cfRule type="containsText" dxfId="203" priority="97" operator="containsText" text="é criado">
      <formula>NOT(ISERROR(SEARCH("é criado",DZ1)))</formula>
    </cfRule>
  </conditionalFormatting>
  <conditionalFormatting sqref="G5:G6">
    <cfRule type="beginsWith" dxfId="202" priority="90" operator="beginsWith" text="L">
      <formula>LEFT(G5,LEN("L"))="L"</formula>
    </cfRule>
  </conditionalFormatting>
  <conditionalFormatting sqref="AS5:AS6">
    <cfRule type="beginsWith" dxfId="201" priority="89" operator="beginsWith" text="L">
      <formula>LEFT(AS5,LEN("L"))="L"</formula>
    </cfRule>
  </conditionalFormatting>
  <conditionalFormatting sqref="AV5:AV6">
    <cfRule type="beginsWith" dxfId="200" priority="88" operator="beginsWith" text="L">
      <formula>LEFT(AV5,LEN("L"))="L"</formula>
    </cfRule>
  </conditionalFormatting>
  <conditionalFormatting sqref="AZ5:AZ6">
    <cfRule type="beginsWith" dxfId="199" priority="87" operator="beginsWith" text="L">
      <formula>LEFT(AZ5,LEN("L"))="L"</formula>
    </cfRule>
  </conditionalFormatting>
  <conditionalFormatting sqref="BD5:BD6">
    <cfRule type="beginsWith" dxfId="198" priority="86" operator="beginsWith" text="L">
      <formula>LEFT(BD5,LEN("L"))="L"</formula>
    </cfRule>
  </conditionalFormatting>
  <conditionalFormatting sqref="BP5:BP6">
    <cfRule type="beginsWith" dxfId="197" priority="85" operator="beginsWith" text="L">
      <formula>LEFT(BP5,LEN("L"))="L"</formula>
    </cfRule>
  </conditionalFormatting>
  <conditionalFormatting sqref="CB5:CB6">
    <cfRule type="beginsWith" dxfId="196" priority="84" operator="beginsWith" text="L">
      <formula>LEFT(CB5,LEN("L"))="L"</formula>
    </cfRule>
  </conditionalFormatting>
  <conditionalFormatting sqref="M5:M6">
    <cfRule type="beginsWith" dxfId="195" priority="77" operator="beginsWith" text="L">
      <formula>LEFT(M5,LEN("L"))="L"</formula>
    </cfRule>
  </conditionalFormatting>
  <conditionalFormatting sqref="DE5:DE6">
    <cfRule type="beginsWith" dxfId="194" priority="82" operator="beginsWith" text="L">
      <formula>LEFT(DE5,LEN("L"))="L"</formula>
    </cfRule>
  </conditionalFormatting>
  <conditionalFormatting sqref="N5:N6">
    <cfRule type="beginsWith" dxfId="193" priority="75" operator="beginsWith" text="L">
      <formula>LEFT(N5,LEN("L"))="L"</formula>
    </cfRule>
  </conditionalFormatting>
  <conditionalFormatting sqref="C5">
    <cfRule type="beginsWith" dxfId="192" priority="74" operator="beginsWith" text="L">
      <formula>LEFT(C5,LEN("L"))="L"</formula>
    </cfRule>
  </conditionalFormatting>
  <conditionalFormatting sqref="J5:J6">
    <cfRule type="beginsWith" dxfId="191" priority="79" operator="beginsWith" text="L">
      <formula>LEFT(J5,LEN("L"))="L"</formula>
    </cfRule>
  </conditionalFormatting>
  <conditionalFormatting sqref="K5:K6">
    <cfRule type="beginsWith" dxfId="190" priority="78" operator="beginsWith" text="L">
      <formula>LEFT(K5,LEN("L"))="L"</formula>
    </cfRule>
  </conditionalFormatting>
  <conditionalFormatting sqref="L5:L6">
    <cfRule type="beginsWith" dxfId="189" priority="76" operator="beginsWith" text="L">
      <formula>LEFT(L5,LEN("L"))="L"</formula>
    </cfRule>
  </conditionalFormatting>
  <conditionalFormatting sqref="AU5">
    <cfRule type="beginsWith" dxfId="188" priority="73" operator="beginsWith" text="L">
      <formula>LEFT(AU5,LEN("L"))="L"</formula>
    </cfRule>
  </conditionalFormatting>
  <conditionalFormatting sqref="AU6">
    <cfRule type="beginsWith" dxfId="187" priority="72" operator="beginsWith" text="L">
      <formula>LEFT(AU6,LEN("L"))="L"</formula>
    </cfRule>
  </conditionalFormatting>
  <conditionalFormatting sqref="CK5:CK6">
    <cfRule type="expression" dxfId="186" priority="71">
      <formula>(CJ5="F")</formula>
    </cfRule>
  </conditionalFormatting>
  <conditionalFormatting sqref="DB5">
    <cfRule type="beginsWith" dxfId="185" priority="66" operator="beginsWith" text="L">
      <formula>LEFT(DB5,LEN("L"))="L"</formula>
    </cfRule>
  </conditionalFormatting>
  <conditionalFormatting sqref="DH5:DH6">
    <cfRule type="beginsWith" dxfId="184" priority="64" operator="beginsWith" text="L">
      <formula>LEFT(DH5,LEN("L"))="L"</formula>
    </cfRule>
  </conditionalFormatting>
  <conditionalFormatting sqref="DA5">
    <cfRule type="beginsWith" dxfId="183" priority="68" operator="beginsWith" text="L">
      <formula>LEFT(DA5,LEN("L"))="L"</formula>
    </cfRule>
  </conditionalFormatting>
  <conditionalFormatting sqref="DA6">
    <cfRule type="beginsWith" dxfId="182" priority="67" operator="beginsWith" text="L">
      <formula>LEFT(DA6,LEN("L"))="L"</formula>
    </cfRule>
  </conditionalFormatting>
  <conditionalFormatting sqref="DB6">
    <cfRule type="beginsWith" dxfId="181" priority="65" operator="beginsWith" text="L">
      <formula>LEFT(DB6,LEN("L"))="L"</formula>
    </cfRule>
  </conditionalFormatting>
  <conditionalFormatting sqref="B7 B9 B11 B13 B15 B17 B19 E8 E10 E12 E14 E16 E18 E20 D7:E7 D9:E9 D11:E11 D13:E13 D15:E15 D17:E17 D19:E19">
    <cfRule type="beginsWith" dxfId="180" priority="62" operator="beginsWith" text="L">
      <formula>LEFT(B7,LEN("L"))="L"</formula>
    </cfRule>
  </conditionalFormatting>
  <conditionalFormatting sqref="D8 D10 D12 D14 D16 D18 D20">
    <cfRule type="beginsWith" dxfId="179" priority="61" operator="beginsWith" text="L">
      <formula>LEFT(D8,LEN("L"))="L"</formula>
    </cfRule>
  </conditionalFormatting>
  <conditionalFormatting sqref="B8:C8 B10:C10 B12:C12 B14:C14 B16:C16 B18:C18 B20:C20">
    <cfRule type="beginsWith" dxfId="178" priority="60" operator="beginsWith" text="L">
      <formula>LEFT(B8,LEN("L"))="L"</formula>
    </cfRule>
  </conditionalFormatting>
  <conditionalFormatting sqref="F7:F20">
    <cfRule type="beginsWith" dxfId="177" priority="54" operator="beginsWith" text="L">
      <formula>LEFT(F7,LEN("L"))="L"</formula>
    </cfRule>
  </conditionalFormatting>
  <conditionalFormatting sqref="DZ7:DZ20">
    <cfRule type="containsText" dxfId="176" priority="55" operator="containsText" text="criadas">
      <formula>NOT(ISERROR(SEARCH("criadas",DZ7)))</formula>
    </cfRule>
    <cfRule type="containsText" dxfId="175" priority="56" operator="containsText" text="é gravado">
      <formula>NOT(ISERROR(SEARCH("é gravado",DZ7)))</formula>
    </cfRule>
    <cfRule type="containsText" dxfId="174" priority="57" operator="containsText" text="é modificado">
      <formula>NOT(ISERROR(SEARCH("é modificado",DZ7)))</formula>
    </cfRule>
    <cfRule type="containsText" dxfId="173" priority="58" operator="containsText" text="Error">
      <formula>NOT(ISERROR(SEARCH("Error",DZ7)))</formula>
    </cfRule>
    <cfRule type="containsText" dxfId="172" priority="59" operator="containsText" text="é criado">
      <formula>NOT(ISERROR(SEARCH("é criado",DZ7)))</formula>
    </cfRule>
  </conditionalFormatting>
  <conditionalFormatting sqref="G7:G20">
    <cfRule type="beginsWith" dxfId="171" priority="53" operator="beginsWith" text="L">
      <formula>LEFT(G7,LEN("L"))="L"</formula>
    </cfRule>
  </conditionalFormatting>
  <conditionalFormatting sqref="AS7:AS20">
    <cfRule type="beginsWith" dxfId="170" priority="52" operator="beginsWith" text="L">
      <formula>LEFT(AS7,LEN("L"))="L"</formula>
    </cfRule>
  </conditionalFormatting>
  <conditionalFormatting sqref="AV7:AV20">
    <cfRule type="beginsWith" dxfId="169" priority="51" operator="beginsWith" text="L">
      <formula>LEFT(AV7,LEN("L"))="L"</formula>
    </cfRule>
  </conditionalFormatting>
  <conditionalFormatting sqref="AZ7:AZ20">
    <cfRule type="beginsWith" dxfId="168" priority="50" operator="beginsWith" text="L">
      <formula>LEFT(AZ7,LEN("L"))="L"</formula>
    </cfRule>
  </conditionalFormatting>
  <conditionalFormatting sqref="BD7:BD20">
    <cfRule type="beginsWith" dxfId="167" priority="49" operator="beginsWith" text="L">
      <formula>LEFT(BD7,LEN("L"))="L"</formula>
    </cfRule>
  </conditionalFormatting>
  <conditionalFormatting sqref="BP7:BP20">
    <cfRule type="beginsWith" dxfId="166" priority="48" operator="beginsWith" text="L">
      <formula>LEFT(BP7,LEN("L"))="L"</formula>
    </cfRule>
  </conditionalFormatting>
  <conditionalFormatting sqref="CB7:CB20">
    <cfRule type="beginsWith" dxfId="165" priority="47" operator="beginsWith" text="L">
      <formula>LEFT(CB7,LEN("L"))="L"</formula>
    </cfRule>
  </conditionalFormatting>
  <conditionalFormatting sqref="M7:M20">
    <cfRule type="beginsWith" dxfId="164" priority="43" operator="beginsWith" text="L">
      <formula>LEFT(M7,LEN("L"))="L"</formula>
    </cfRule>
  </conditionalFormatting>
  <conditionalFormatting sqref="DE7:DE20">
    <cfRule type="beginsWith" dxfId="163" priority="46" operator="beginsWith" text="L">
      <formula>LEFT(DE7,LEN("L"))="L"</formula>
    </cfRule>
  </conditionalFormatting>
  <conditionalFormatting sqref="N7:N20">
    <cfRule type="beginsWith" dxfId="162" priority="41" operator="beginsWith" text="L">
      <formula>LEFT(N7,LEN("L"))="L"</formula>
    </cfRule>
  </conditionalFormatting>
  <conditionalFormatting sqref="C7 C9 C11 C13 C15 C17 C19">
    <cfRule type="beginsWith" dxfId="161" priority="40" operator="beginsWith" text="L">
      <formula>LEFT(C7,LEN("L"))="L"</formula>
    </cfRule>
  </conditionalFormatting>
  <conditionalFormatting sqref="J7:J20">
    <cfRule type="beginsWith" dxfId="160" priority="45" operator="beginsWith" text="L">
      <formula>LEFT(J7,LEN("L"))="L"</formula>
    </cfRule>
  </conditionalFormatting>
  <conditionalFormatting sqref="K7:K20">
    <cfRule type="beginsWith" dxfId="159" priority="44" operator="beginsWith" text="L">
      <formula>LEFT(K7,LEN("L"))="L"</formula>
    </cfRule>
  </conditionalFormatting>
  <conditionalFormatting sqref="L7:L20">
    <cfRule type="beginsWith" dxfId="158" priority="42" operator="beginsWith" text="L">
      <formula>LEFT(L7,LEN("L"))="L"</formula>
    </cfRule>
  </conditionalFormatting>
  <conditionalFormatting sqref="AU7 AU9 AU11 AU13 AU15 AU17 AU19">
    <cfRule type="beginsWith" dxfId="157" priority="39" operator="beginsWith" text="L">
      <formula>LEFT(AU7,LEN("L"))="L"</formula>
    </cfRule>
  </conditionalFormatting>
  <conditionalFormatting sqref="AU8 AU10 AU12 AU14 AU16 AU18 AU20">
    <cfRule type="beginsWith" dxfId="156" priority="38" operator="beginsWith" text="L">
      <formula>LEFT(AU8,LEN("L"))="L"</formula>
    </cfRule>
  </conditionalFormatting>
  <conditionalFormatting sqref="CK7:CK20">
    <cfRule type="expression" dxfId="155" priority="37">
      <formula>(CJ7="F")</formula>
    </cfRule>
  </conditionalFormatting>
  <conditionalFormatting sqref="DB7 DB9 DB11 DB13 DB15 DB17 DB19">
    <cfRule type="beginsWith" dxfId="154" priority="34" operator="beginsWith" text="L">
      <formula>LEFT(DB7,LEN("L"))="L"</formula>
    </cfRule>
  </conditionalFormatting>
  <conditionalFormatting sqref="DH7:DH20">
    <cfRule type="beginsWith" dxfId="153" priority="32" operator="beginsWith" text="L">
      <formula>LEFT(DH7,LEN("L"))="L"</formula>
    </cfRule>
  </conditionalFormatting>
  <conditionalFormatting sqref="DA7 DA9 DA11 DA13 DA15 DA17 DA19">
    <cfRule type="beginsWith" dxfId="152" priority="36" operator="beginsWith" text="L">
      <formula>LEFT(DA7,LEN("L"))="L"</formula>
    </cfRule>
  </conditionalFormatting>
  <conditionalFormatting sqref="DA8 DA10 DA12 DA14 DA16 DA18 DA20">
    <cfRule type="beginsWith" dxfId="151" priority="35" operator="beginsWith" text="L">
      <formula>LEFT(DA8,LEN("L"))="L"</formula>
    </cfRule>
  </conditionalFormatting>
  <conditionalFormatting sqref="DB8 DB10 DB12 DB14 DB16 DB18 DB20">
    <cfRule type="beginsWith" dxfId="150" priority="33" operator="beginsWith" text="L">
      <formula>LEFT(DB8,LEN("L"))="L"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149" priority="31" operator="beginsWith" text="L">
      <formula>LEFT(B21,LEN("L"))="L"</formula>
    </cfRule>
  </conditionalFormatting>
  <conditionalFormatting sqref="D22 D24 D26 D28 D30 D32 D34 D36 D38 D40">
    <cfRule type="beginsWith" dxfId="148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147" priority="29" operator="beginsWith" text="L">
      <formula>LEFT(B22,LEN("L"))="L"</formula>
    </cfRule>
  </conditionalFormatting>
  <conditionalFormatting sqref="F21:F40">
    <cfRule type="beginsWith" dxfId="146" priority="23" operator="beginsWith" text="L">
      <formula>LEFT(F21,LEN("L"))="L"</formula>
    </cfRule>
  </conditionalFormatting>
  <conditionalFormatting sqref="DZ21:DZ40">
    <cfRule type="containsText" dxfId="145" priority="24" operator="containsText" text="criadas">
      <formula>NOT(ISERROR(SEARCH("criadas",DZ21)))</formula>
    </cfRule>
    <cfRule type="containsText" dxfId="144" priority="25" operator="containsText" text="é gravado">
      <formula>NOT(ISERROR(SEARCH("é gravado",DZ21)))</formula>
    </cfRule>
    <cfRule type="containsText" dxfId="143" priority="26" operator="containsText" text="é modificado">
      <formula>NOT(ISERROR(SEARCH("é modificado",DZ21)))</formula>
    </cfRule>
    <cfRule type="containsText" dxfId="142" priority="27" operator="containsText" text="Error">
      <formula>NOT(ISERROR(SEARCH("Error",DZ21)))</formula>
    </cfRule>
    <cfRule type="containsText" dxfId="141" priority="28" operator="containsText" text="é criado">
      <formula>NOT(ISERROR(SEARCH("é criado",DZ21)))</formula>
    </cfRule>
  </conditionalFormatting>
  <conditionalFormatting sqref="G21:G40">
    <cfRule type="beginsWith" dxfId="140" priority="22" operator="beginsWith" text="L">
      <formula>LEFT(G21,LEN("L"))="L"</formula>
    </cfRule>
  </conditionalFormatting>
  <conditionalFormatting sqref="AS21:AS40">
    <cfRule type="beginsWith" dxfId="139" priority="21" operator="beginsWith" text="L">
      <formula>LEFT(AS21,LEN("L"))="L"</formula>
    </cfRule>
  </conditionalFormatting>
  <conditionalFormatting sqref="AV21:AV40">
    <cfRule type="beginsWith" dxfId="138" priority="20" operator="beginsWith" text="L">
      <formula>LEFT(AV21,LEN("L"))="L"</formula>
    </cfRule>
  </conditionalFormatting>
  <conditionalFormatting sqref="AZ21:AZ40">
    <cfRule type="beginsWith" dxfId="137" priority="19" operator="beginsWith" text="L">
      <formula>LEFT(AZ21,LEN("L"))="L"</formula>
    </cfRule>
  </conditionalFormatting>
  <conditionalFormatting sqref="BD21:BD40">
    <cfRule type="beginsWith" dxfId="136" priority="18" operator="beginsWith" text="L">
      <formula>LEFT(BD21,LEN("L"))="L"</formula>
    </cfRule>
  </conditionalFormatting>
  <conditionalFormatting sqref="BP21:BP40">
    <cfRule type="beginsWith" dxfId="135" priority="17" operator="beginsWith" text="L">
      <formula>LEFT(BP21,LEN("L"))="L"</formula>
    </cfRule>
  </conditionalFormatting>
  <conditionalFormatting sqref="CB21:CB40">
    <cfRule type="beginsWith" dxfId="134" priority="16" operator="beginsWith" text="L">
      <formula>LEFT(CB21,LEN("L"))="L"</formula>
    </cfRule>
  </conditionalFormatting>
  <conditionalFormatting sqref="M21:M40">
    <cfRule type="beginsWith" dxfId="133" priority="12" operator="beginsWith" text="L">
      <formula>LEFT(M21,LEN("L"))="L"</formula>
    </cfRule>
  </conditionalFormatting>
  <conditionalFormatting sqref="DE21:DE40">
    <cfRule type="beginsWith" dxfId="132" priority="15" operator="beginsWith" text="L">
      <formula>LEFT(DE21,LEN("L"))="L"</formula>
    </cfRule>
  </conditionalFormatting>
  <conditionalFormatting sqref="N21:N40">
    <cfRule type="beginsWith" dxfId="131" priority="10" operator="beginsWith" text="L">
      <formula>LEFT(N21,LEN("L"))="L"</formula>
    </cfRule>
  </conditionalFormatting>
  <conditionalFormatting sqref="C21 C23 C25 C27 C29 C31 C33 C35 C37 C39">
    <cfRule type="beginsWith" dxfId="130" priority="9" operator="beginsWith" text="L">
      <formula>LEFT(C21,LEN("L"))="L"</formula>
    </cfRule>
  </conditionalFormatting>
  <conditionalFormatting sqref="J21:J40">
    <cfRule type="beginsWith" dxfId="129" priority="14" operator="beginsWith" text="L">
      <formula>LEFT(J21,LEN("L"))="L"</formula>
    </cfRule>
  </conditionalFormatting>
  <conditionalFormatting sqref="K21:K40">
    <cfRule type="beginsWith" dxfId="128" priority="13" operator="beginsWith" text="L">
      <formula>LEFT(K21,LEN("L"))="L"</formula>
    </cfRule>
  </conditionalFormatting>
  <conditionalFormatting sqref="L21:L40">
    <cfRule type="beginsWith" dxfId="127" priority="11" operator="beginsWith" text="L">
      <formula>LEFT(L21,LEN("L"))="L"</formula>
    </cfRule>
  </conditionalFormatting>
  <conditionalFormatting sqref="AU21 AU23 AU25 AU27 AU29 AU31 AU33 AU35 AU37 AU39">
    <cfRule type="beginsWith" dxfId="126" priority="8" operator="beginsWith" text="L">
      <formula>LEFT(AU21,LEN("L"))="L"</formula>
    </cfRule>
  </conditionalFormatting>
  <conditionalFormatting sqref="AU22 AU24 AU26 AU28 AU30 AU32 AU34 AU36 AU38 AU40">
    <cfRule type="beginsWith" dxfId="125" priority="7" operator="beginsWith" text="L">
      <formula>LEFT(AU22,LEN("L"))="L"</formula>
    </cfRule>
  </conditionalFormatting>
  <conditionalFormatting sqref="CK21:CK40">
    <cfRule type="expression" dxfId="124" priority="6">
      <formula>(CJ21="F")</formula>
    </cfRule>
  </conditionalFormatting>
  <conditionalFormatting sqref="DB21 DB23 DB25 DB27 DB29 DB31 DB33 DB35 DB37 DB39">
    <cfRule type="beginsWith" dxfId="123" priority="3" operator="beginsWith" text="L">
      <formula>LEFT(DB21,LEN("L"))="L"</formula>
    </cfRule>
  </conditionalFormatting>
  <conditionalFormatting sqref="DH21:DH40">
    <cfRule type="beginsWith" dxfId="122" priority="1" operator="beginsWith" text="L">
      <formula>LEFT(DH21,LEN("L"))="L"</formula>
    </cfRule>
  </conditionalFormatting>
  <conditionalFormatting sqref="DA21 DA23 DA25 DA27 DA29 DA31 DA33 DA35 DA37 DA39">
    <cfRule type="beginsWith" dxfId="121" priority="5" operator="beginsWith" text="L">
      <formula>LEFT(DA21,LEN("L"))="L"</formula>
    </cfRule>
  </conditionalFormatting>
  <conditionalFormatting sqref="DA22 DA24 DA26 DA28 DA30 DA32 DA34 DA36 DA38 DA40">
    <cfRule type="beginsWith" dxfId="120" priority="4" operator="beginsWith" text="L">
      <formula>LEFT(DA22,LEN("L"))="L"</formula>
    </cfRule>
  </conditionalFormatting>
  <conditionalFormatting sqref="DB22 DB24 DB26 DB28 DB30 DB32 DB34 DB36 DB38 DB40">
    <cfRule type="beginsWith" dxfId="119" priority="2" operator="beginsWith" text="L">
      <formula>LEFT(DB22,LEN("L"))="L"</formula>
    </cfRule>
  </conditionalFormatting>
  <dataValidations count="2">
    <dataValidation type="list" allowBlank="1" showInputMessage="1" showErrorMessage="1" sqref="CI5:CI40 BX5:BX40">
      <formula1>"0,1"</formula1>
    </dataValidation>
    <dataValidation type="list" allowBlank="1" showInputMessage="1" showErrorMessage="1" sqref="DL5:DL40 DX5:DX4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P5:AP40</xm:sqref>
        </x14:dataValidation>
        <x14:dataValidation type="list" allowBlank="1" showInputMessage="1" showErrorMessage="1">
          <x14:formula1>
            <xm:f>'Listas de Dados'!$AA$4:$AA$5</xm:f>
          </x14:formula1>
          <xm:sqref>BQ5:BQ40 AW5:AW40</xm:sqref>
        </x14:dataValidation>
        <x14:dataValidation type="list" allowBlank="1" showInputMessage="1" showErrorMessage="1">
          <x14:formula1>
            <xm:f>'Listas de Dados'!$AI$4:$AI$11</xm:f>
          </x14:formula1>
          <xm:sqref>BY5:BY40</xm:sqref>
        </x14:dataValidation>
        <x14:dataValidation type="list" allowBlank="1" showInputMessage="1" showErrorMessage="1">
          <x14:formula1>
            <xm:f>'Listas de Dados'!$AL$4:$AL$10</xm:f>
          </x14:formula1>
          <xm:sqref>CE5:CE40</xm:sqref>
        </x14:dataValidation>
        <x14:dataValidation type="list" allowBlank="1" showInputMessage="1" showErrorMessage="1">
          <x14:formula1>
            <xm:f>'Listas de Dados'!$AO$4:$AO$32</xm:f>
          </x14:formula1>
          <xm:sqref>CF5:CF40</xm:sqref>
        </x14:dataValidation>
        <x14:dataValidation type="list" allowBlank="1" showInputMessage="1" showErrorMessage="1">
          <x14:formula1>
            <xm:f>'Listas de Dados'!$AU$4:$AU$35</xm:f>
          </x14:formula1>
          <xm:sqref>CH5:CH40</xm:sqref>
        </x14:dataValidation>
        <x14:dataValidation type="list" allowBlank="1" showInputMessage="1" showErrorMessage="1">
          <x14:formula1>
            <xm:f>'Listas de Dados'!$AR$4:$AR$11</xm:f>
          </x14:formula1>
          <xm:sqref>CG5:CG40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45.7109375" style="6" customWidth="1"/>
    <col min="4" max="4" width="17.5703125" style="6" bestFit="1" customWidth="1"/>
    <col min="5" max="5" width="21" style="6" bestFit="1" customWidth="1"/>
    <col min="6" max="6" width="21.85546875" style="6" bestFit="1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3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3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3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3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3" t="str">
        <f>IFERROR(INDEX('Listas de Dados'!$BU:$BU,MATCH(INDEX('ZM01'!DH:DH,MATCH(B5,'ZM01'!B:B,0)),'Listas de Dados'!$BW:$BW,0)),"")</f>
        <v/>
      </c>
      <c r="F5" s="43" t="str">
        <f>IFERROR(INDEX('ZM01'!DH:DH,MATCH(B5,'ZM01'!B:B,0)),"")</f>
        <v/>
      </c>
      <c r="G5" s="44" t="s">
        <v>992</v>
      </c>
      <c r="H5" s="44">
        <v>1000</v>
      </c>
      <c r="I5" s="43" t="str">
        <f>IF(IFERROR(INDEX(Consulta!$A:$DD,MATCH($C5,Consulta!$D:$D,0),I$2),"")=0,"",IFERROR(INDEX(Consulta!$A:$DD,MATCH($C5,Consulta!$D:$D,0),I$2),""))</f>
        <v/>
      </c>
      <c r="J5" s="43" t="str">
        <f>IF(IFERROR(INDEX(Consulta!$A:$DD,MATCH($C5,Consulta!$D:$D,0),J$2),"")=0,"",IFERROR(INDEX(Consulta!$A:$DD,MATCH($C5,Consulta!$D:$D,0),J$2),""))</f>
        <v/>
      </c>
      <c r="K5" s="44" t="s">
        <v>999</v>
      </c>
      <c r="L5" s="60"/>
      <c r="M5" s="43" t="str">
        <f>IFERROR(VALUE(MID(L5,FIND("5",L5),8)),"")</f>
        <v/>
      </c>
    </row>
    <row r="6" spans="1:13" x14ac:dyDescent="0.3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IF(IFERROR(INDEX(Consulta!$A:$DD,MATCH($C6,Consulta!$D:$D,0),I$2),"")=0,"",IFERROR(INDEX(Consulta!$A:$DD,MATCH($C6,Consulta!$D:$D,0),I$2),""))</f>
        <v/>
      </c>
      <c r="J6" s="43" t="str">
        <f>IF(IFERROR(INDEX(Consulta!$A:$DD,MATCH($C6,Consulta!$D:$D,0),J$2),"")=0,"",IFERROR(INDEX(Consulta!$A:$DD,MATCH($C6,Consulta!$D:$D,0),J$2),""))</f>
        <v/>
      </c>
      <c r="K6" s="44" t="s">
        <v>999</v>
      </c>
      <c r="L6" s="61"/>
      <c r="M6" s="43" t="str">
        <f t="shared" ref="M6:M54" si="1">IFERROR(VALUE(MID(L6,FIND("5",L6),8)),"")</f>
        <v/>
      </c>
    </row>
    <row r="7" spans="1:13" x14ac:dyDescent="0.3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IF(IFERROR(INDEX(Consulta!$A:$DD,MATCH($C7,Consulta!$D:$D,0),I$2),"")=0,"",IFERROR(INDEX(Consulta!$A:$DD,MATCH($C7,Consulta!$D:$D,0),I$2),""))</f>
        <v/>
      </c>
      <c r="J7" s="43" t="str">
        <f>IF(IFERROR(INDEX(Consulta!$A:$DD,MATCH($C7,Consulta!$D:$D,0),J$2),"")=0,"",IFERROR(INDEX(Consulta!$A:$DD,MATCH($C7,Consulta!$D:$D,0),J$2),""))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3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IF(IFERROR(INDEX(Consulta!$A:$DD,MATCH($C8,Consulta!$D:$D,0),I$2),"")=0,"",IFERROR(INDEX(Consulta!$A:$DD,MATCH($C8,Consulta!$D:$D,0),I$2),""))</f>
        <v/>
      </c>
      <c r="J8" s="43" t="str">
        <f>IF(IFERROR(INDEX(Consulta!$A:$DD,MATCH($C8,Consulta!$D:$D,0),J$2),"")=0,"",IFERROR(INDEX(Consulta!$A:$DD,MATCH($C8,Consulta!$D:$D,0),J$2),""))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3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IF(IFERROR(INDEX(Consulta!$A:$DD,MATCH($C9,Consulta!$D:$D,0),I$2),"")=0,"",IFERROR(INDEX(Consulta!$A:$DD,MATCH($C9,Consulta!$D:$D,0),I$2),""))</f>
        <v/>
      </c>
      <c r="J9" s="43" t="str">
        <f>IF(IFERROR(INDEX(Consulta!$A:$DD,MATCH($C9,Consulta!$D:$D,0),J$2),"")=0,"",IFERROR(INDEX(Consulta!$A:$DD,MATCH($C9,Consulta!$D:$D,0),J$2),""))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3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IF(IFERROR(INDEX(Consulta!$A:$DD,MATCH($C10,Consulta!$D:$D,0),I$2),"")=0,"",IFERROR(INDEX(Consulta!$A:$DD,MATCH($C10,Consulta!$D:$D,0),I$2),""))</f>
        <v/>
      </c>
      <c r="J10" s="43" t="str">
        <f>IF(IFERROR(INDEX(Consulta!$A:$DD,MATCH($C10,Consulta!$D:$D,0),J$2),"")=0,"",IFERROR(INDEX(Consulta!$A:$DD,MATCH($C10,Consulta!$D:$D,0),J$2),""))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3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IF(IFERROR(INDEX(Consulta!$A:$DD,MATCH($C11,Consulta!$D:$D,0),I$2),"")=0,"",IFERROR(INDEX(Consulta!$A:$DD,MATCH($C11,Consulta!$D:$D,0),I$2),""))</f>
        <v/>
      </c>
      <c r="J11" s="43" t="str">
        <f>IF(IFERROR(INDEX(Consulta!$A:$DD,MATCH($C11,Consulta!$D:$D,0),J$2),"")=0,"",IFERROR(INDEX(Consulta!$A:$DD,MATCH($C11,Consulta!$D:$D,0),J$2),""))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3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IF(IFERROR(INDEX(Consulta!$A:$DD,MATCH($C12,Consulta!$D:$D,0),I$2),"")=0,"",IFERROR(INDEX(Consulta!$A:$DD,MATCH($C12,Consulta!$D:$D,0),I$2),""))</f>
        <v/>
      </c>
      <c r="J12" s="43" t="str">
        <f>IF(IFERROR(INDEX(Consulta!$A:$DD,MATCH($C12,Consulta!$D:$D,0),J$2),"")=0,"",IFERROR(INDEX(Consulta!$A:$DD,MATCH($C12,Consulta!$D:$D,0),J$2),""))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3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IF(IFERROR(INDEX(Consulta!$A:$DD,MATCH($C13,Consulta!$D:$D,0),I$2),"")=0,"",IFERROR(INDEX(Consulta!$A:$DD,MATCH($C13,Consulta!$D:$D,0),I$2),""))</f>
        <v/>
      </c>
      <c r="J13" s="43" t="str">
        <f>IF(IFERROR(INDEX(Consulta!$A:$DD,MATCH($C13,Consulta!$D:$D,0),J$2),"")=0,"",IFERROR(INDEX(Consulta!$A:$DD,MATCH($C13,Consulta!$D:$D,0),J$2),""))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3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IF(IFERROR(INDEX(Consulta!$A:$DD,MATCH($C14,Consulta!$D:$D,0),I$2),"")=0,"",IFERROR(INDEX(Consulta!$A:$DD,MATCH($C14,Consulta!$D:$D,0),I$2),""))</f>
        <v/>
      </c>
      <c r="J14" s="43" t="str">
        <f>IF(IFERROR(INDEX(Consulta!$A:$DD,MATCH($C14,Consulta!$D:$D,0),J$2),"")=0,"",IFERROR(INDEX(Consulta!$A:$DD,MATCH($C14,Consulta!$D:$D,0),J$2),""))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3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IF(IFERROR(INDEX(Consulta!$A:$DD,MATCH($C15,Consulta!$D:$D,0),I$2),"")=0,"",IFERROR(INDEX(Consulta!$A:$DD,MATCH($C15,Consulta!$D:$D,0),I$2),""))</f>
        <v/>
      </c>
      <c r="J15" s="43" t="str">
        <f>IF(IFERROR(INDEX(Consulta!$A:$DD,MATCH($C15,Consulta!$D:$D,0),J$2),"")=0,"",IFERROR(INDEX(Consulta!$A:$DD,MATCH($C15,Consulta!$D:$D,0),J$2),""))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3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IF(IFERROR(INDEX(Consulta!$A:$DD,MATCH($C16,Consulta!$D:$D,0),I$2),"")=0,"",IFERROR(INDEX(Consulta!$A:$DD,MATCH($C16,Consulta!$D:$D,0),I$2),""))</f>
        <v/>
      </c>
      <c r="J16" s="43" t="str">
        <f>IF(IFERROR(INDEX(Consulta!$A:$DD,MATCH($C16,Consulta!$D:$D,0),J$2),"")=0,"",IFERROR(INDEX(Consulta!$A:$DD,MATCH($C16,Consulta!$D:$D,0),J$2),""))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3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IF(IFERROR(INDEX(Consulta!$A:$DD,MATCH($C17,Consulta!$D:$D,0),I$2),"")=0,"",IFERROR(INDEX(Consulta!$A:$DD,MATCH($C17,Consulta!$D:$D,0),I$2),""))</f>
        <v/>
      </c>
      <c r="J17" s="43" t="str">
        <f>IF(IFERROR(INDEX(Consulta!$A:$DD,MATCH($C17,Consulta!$D:$D,0),J$2),"")=0,"",IFERROR(INDEX(Consulta!$A:$DD,MATCH($C17,Consulta!$D:$D,0),J$2),""))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3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IF(IFERROR(INDEX(Consulta!$A:$DD,MATCH($C18,Consulta!$D:$D,0),I$2),"")=0,"",IFERROR(INDEX(Consulta!$A:$DD,MATCH($C18,Consulta!$D:$D,0),I$2),""))</f>
        <v/>
      </c>
      <c r="J18" s="43" t="str">
        <f>IF(IFERROR(INDEX(Consulta!$A:$DD,MATCH($C18,Consulta!$D:$D,0),J$2),"")=0,"",IFERROR(INDEX(Consulta!$A:$DD,MATCH($C18,Consulta!$D:$D,0),J$2),""))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3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IF(IFERROR(INDEX(Consulta!$A:$DD,MATCH($C19,Consulta!$D:$D,0),I$2),"")=0,"",IFERROR(INDEX(Consulta!$A:$DD,MATCH($C19,Consulta!$D:$D,0),I$2),""))</f>
        <v/>
      </c>
      <c r="J19" s="43" t="str">
        <f>IF(IFERROR(INDEX(Consulta!$A:$DD,MATCH($C19,Consulta!$D:$D,0),J$2),"")=0,"",IFERROR(INDEX(Consulta!$A:$DD,MATCH($C19,Consulta!$D:$D,0),J$2),""))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3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IF(IFERROR(INDEX(Consulta!$A:$DD,MATCH($C20,Consulta!$D:$D,0),I$2),"")=0,"",IFERROR(INDEX(Consulta!$A:$DD,MATCH($C20,Consulta!$D:$D,0),I$2),""))</f>
        <v/>
      </c>
      <c r="J20" s="43" t="str">
        <f>IF(IFERROR(INDEX(Consulta!$A:$DD,MATCH($C20,Consulta!$D:$D,0),J$2),"")=0,"",IFERROR(INDEX(Consulta!$A:$DD,MATCH($C20,Consulta!$D:$D,0),J$2),""))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3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IF(IFERROR(INDEX(Consulta!$A:$DD,MATCH($C21,Consulta!$D:$D,0),I$2),"")=0,"",IFERROR(INDEX(Consulta!$A:$DD,MATCH($C21,Consulta!$D:$D,0),I$2),""))</f>
        <v/>
      </c>
      <c r="J21" s="43" t="str">
        <f>IF(IFERROR(INDEX(Consulta!$A:$DD,MATCH($C21,Consulta!$D:$D,0),J$2),"")=0,"",IFERROR(INDEX(Consulta!$A:$DD,MATCH($C21,Consulta!$D:$D,0),J$2),""))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3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IF(IFERROR(INDEX(Consulta!$A:$DD,MATCH($C22,Consulta!$D:$D,0),I$2),"")=0,"",IFERROR(INDEX(Consulta!$A:$DD,MATCH($C22,Consulta!$D:$D,0),I$2),""))</f>
        <v/>
      </c>
      <c r="J22" s="43" t="str">
        <f>IF(IFERROR(INDEX(Consulta!$A:$DD,MATCH($C22,Consulta!$D:$D,0),J$2),"")=0,"",IFERROR(INDEX(Consulta!$A:$DD,MATCH($C22,Consulta!$D:$D,0),J$2),""))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3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IF(IFERROR(INDEX(Consulta!$A:$DD,MATCH($C23,Consulta!$D:$D,0),I$2),"")=0,"",IFERROR(INDEX(Consulta!$A:$DD,MATCH($C23,Consulta!$D:$D,0),I$2),""))</f>
        <v/>
      </c>
      <c r="J23" s="43" t="str">
        <f>IF(IFERROR(INDEX(Consulta!$A:$DD,MATCH($C23,Consulta!$D:$D,0),J$2),"")=0,"",IFERROR(INDEX(Consulta!$A:$DD,MATCH($C23,Consulta!$D:$D,0),J$2),""))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3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IF(IFERROR(INDEX(Consulta!$A:$DD,MATCH($C24,Consulta!$D:$D,0),I$2),"")=0,"",IFERROR(INDEX(Consulta!$A:$DD,MATCH($C24,Consulta!$D:$D,0),I$2),""))</f>
        <v/>
      </c>
      <c r="J24" s="43" t="str">
        <f>IF(IFERROR(INDEX(Consulta!$A:$DD,MATCH($C24,Consulta!$D:$D,0),J$2),"")=0,"",IFERROR(INDEX(Consulta!$A:$DD,MATCH($C24,Consulta!$D:$D,0),J$2),""))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3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IF(IFERROR(INDEX(Consulta!$A:$DD,MATCH($C25,Consulta!$D:$D,0),I$2),"")=0,"",IFERROR(INDEX(Consulta!$A:$DD,MATCH($C25,Consulta!$D:$D,0),I$2),""))</f>
        <v/>
      </c>
      <c r="J25" s="43" t="str">
        <f>IF(IFERROR(INDEX(Consulta!$A:$DD,MATCH($C25,Consulta!$D:$D,0),J$2),"")=0,"",IFERROR(INDEX(Consulta!$A:$DD,MATCH($C25,Consulta!$D:$D,0),J$2),""))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3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IF(IFERROR(INDEX(Consulta!$A:$DD,MATCH($C26,Consulta!$D:$D,0),I$2),"")=0,"",IFERROR(INDEX(Consulta!$A:$DD,MATCH($C26,Consulta!$D:$D,0),I$2),""))</f>
        <v/>
      </c>
      <c r="J26" s="43" t="str">
        <f>IF(IFERROR(INDEX(Consulta!$A:$DD,MATCH($C26,Consulta!$D:$D,0),J$2),"")=0,"",IFERROR(INDEX(Consulta!$A:$DD,MATCH($C26,Consulta!$D:$D,0),J$2),""))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3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IF(IFERROR(INDEX(Consulta!$A:$DD,MATCH($C27,Consulta!$D:$D,0),I$2),"")=0,"",IFERROR(INDEX(Consulta!$A:$DD,MATCH($C27,Consulta!$D:$D,0),I$2),""))</f>
        <v/>
      </c>
      <c r="J27" s="43" t="str">
        <f>IF(IFERROR(INDEX(Consulta!$A:$DD,MATCH($C27,Consulta!$D:$D,0),J$2),"")=0,"",IFERROR(INDEX(Consulta!$A:$DD,MATCH($C27,Consulta!$D:$D,0),J$2),""))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3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IF(IFERROR(INDEX(Consulta!$A:$DD,MATCH($C28,Consulta!$D:$D,0),I$2),"")=0,"",IFERROR(INDEX(Consulta!$A:$DD,MATCH($C28,Consulta!$D:$D,0),I$2),""))</f>
        <v/>
      </c>
      <c r="J28" s="43" t="str">
        <f>IF(IFERROR(INDEX(Consulta!$A:$DD,MATCH($C28,Consulta!$D:$D,0),J$2),"")=0,"",IFERROR(INDEX(Consulta!$A:$DD,MATCH($C28,Consulta!$D:$D,0),J$2),""))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3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IF(IFERROR(INDEX(Consulta!$A:$DD,MATCH($C29,Consulta!$D:$D,0),I$2),"")=0,"",IFERROR(INDEX(Consulta!$A:$DD,MATCH($C29,Consulta!$D:$D,0),I$2),""))</f>
        <v/>
      </c>
      <c r="J29" s="43" t="str">
        <f>IF(IFERROR(INDEX(Consulta!$A:$DD,MATCH($C29,Consulta!$D:$D,0),J$2),"")=0,"",IFERROR(INDEX(Consulta!$A:$DD,MATCH($C29,Consulta!$D:$D,0),J$2),""))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3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IF(IFERROR(INDEX(Consulta!$A:$DD,MATCH($C30,Consulta!$D:$D,0),I$2),"")=0,"",IFERROR(INDEX(Consulta!$A:$DD,MATCH($C30,Consulta!$D:$D,0),I$2),""))</f>
        <v/>
      </c>
      <c r="J30" s="43" t="str">
        <f>IF(IFERROR(INDEX(Consulta!$A:$DD,MATCH($C30,Consulta!$D:$D,0),J$2),"")=0,"",IFERROR(INDEX(Consulta!$A:$DD,MATCH($C30,Consulta!$D:$D,0),J$2),""))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3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IF(IFERROR(INDEX(Consulta!$A:$DD,MATCH($C31,Consulta!$D:$D,0),I$2),"")=0,"",IFERROR(INDEX(Consulta!$A:$DD,MATCH($C31,Consulta!$D:$D,0),I$2),""))</f>
        <v/>
      </c>
      <c r="J31" s="43" t="str">
        <f>IF(IFERROR(INDEX(Consulta!$A:$DD,MATCH($C31,Consulta!$D:$D,0),J$2),"")=0,"",IFERROR(INDEX(Consulta!$A:$DD,MATCH($C31,Consulta!$D:$D,0),J$2),""))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3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IF(IFERROR(INDEX(Consulta!$A:$DD,MATCH($C32,Consulta!$D:$D,0),I$2),"")=0,"",IFERROR(INDEX(Consulta!$A:$DD,MATCH($C32,Consulta!$D:$D,0),I$2),""))</f>
        <v/>
      </c>
      <c r="J32" s="43" t="str">
        <f>IF(IFERROR(INDEX(Consulta!$A:$DD,MATCH($C32,Consulta!$D:$D,0),J$2),"")=0,"",IFERROR(INDEX(Consulta!$A:$DD,MATCH($C32,Consulta!$D:$D,0),J$2),""))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3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IF(IFERROR(INDEX(Consulta!$A:$DD,MATCH($C33,Consulta!$D:$D,0),I$2),"")=0,"",IFERROR(INDEX(Consulta!$A:$DD,MATCH($C33,Consulta!$D:$D,0),I$2),""))</f>
        <v/>
      </c>
      <c r="J33" s="43" t="str">
        <f>IF(IFERROR(INDEX(Consulta!$A:$DD,MATCH($C33,Consulta!$D:$D,0),J$2),"")=0,"",IFERROR(INDEX(Consulta!$A:$DD,MATCH($C33,Consulta!$D:$D,0),J$2),""))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3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IF(IFERROR(INDEX(Consulta!$A:$DD,MATCH($C34,Consulta!$D:$D,0),I$2),"")=0,"",IFERROR(INDEX(Consulta!$A:$DD,MATCH($C34,Consulta!$D:$D,0),I$2),""))</f>
        <v/>
      </c>
      <c r="J34" s="43" t="str">
        <f>IF(IFERROR(INDEX(Consulta!$A:$DD,MATCH($C34,Consulta!$D:$D,0),J$2),"")=0,"",IFERROR(INDEX(Consulta!$A:$DD,MATCH($C34,Consulta!$D:$D,0),J$2),""))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3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IF(IFERROR(INDEX(Consulta!$A:$DD,MATCH($C35,Consulta!$D:$D,0),I$2),"")=0,"",IFERROR(INDEX(Consulta!$A:$DD,MATCH($C35,Consulta!$D:$D,0),I$2),""))</f>
        <v/>
      </c>
      <c r="J35" s="43" t="str">
        <f>IF(IFERROR(INDEX(Consulta!$A:$DD,MATCH($C35,Consulta!$D:$D,0),J$2),"")=0,"",IFERROR(INDEX(Consulta!$A:$DD,MATCH($C35,Consulta!$D:$D,0),J$2),""))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3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IF(IFERROR(INDEX(Consulta!$A:$DD,MATCH($C36,Consulta!$D:$D,0),I$2),"")=0,"",IFERROR(INDEX(Consulta!$A:$DD,MATCH($C36,Consulta!$D:$D,0),I$2),""))</f>
        <v/>
      </c>
      <c r="J36" s="43" t="str">
        <f>IF(IFERROR(INDEX(Consulta!$A:$DD,MATCH($C36,Consulta!$D:$D,0),J$2),"")=0,"",IFERROR(INDEX(Consulta!$A:$DD,MATCH($C36,Consulta!$D:$D,0),J$2),""))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3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IF(IFERROR(INDEX(Consulta!$A:$DD,MATCH($C37,Consulta!$D:$D,0),I$2),"")=0,"",IFERROR(INDEX(Consulta!$A:$DD,MATCH($C37,Consulta!$D:$D,0),I$2),""))</f>
        <v/>
      </c>
      <c r="J37" s="43" t="str">
        <f>IF(IFERROR(INDEX(Consulta!$A:$DD,MATCH($C37,Consulta!$D:$D,0),J$2),"")=0,"",IFERROR(INDEX(Consulta!$A:$DD,MATCH($C37,Consulta!$D:$D,0),J$2),""))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3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IF(IFERROR(INDEX(Consulta!$A:$DD,MATCH($C38,Consulta!$D:$D,0),I$2),"")=0,"",IFERROR(INDEX(Consulta!$A:$DD,MATCH($C38,Consulta!$D:$D,0),I$2),""))</f>
        <v/>
      </c>
      <c r="J38" s="43" t="str">
        <f>IF(IFERROR(INDEX(Consulta!$A:$DD,MATCH($C38,Consulta!$D:$D,0),J$2),"")=0,"",IFERROR(INDEX(Consulta!$A:$DD,MATCH($C38,Consulta!$D:$D,0),J$2),""))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3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IF(IFERROR(INDEX(Consulta!$A:$DD,MATCH($C39,Consulta!$D:$D,0),I$2),"")=0,"",IFERROR(INDEX(Consulta!$A:$DD,MATCH($C39,Consulta!$D:$D,0),I$2),""))</f>
        <v/>
      </c>
      <c r="J39" s="43" t="str">
        <f>IF(IFERROR(INDEX(Consulta!$A:$DD,MATCH($C39,Consulta!$D:$D,0),J$2),"")=0,"",IFERROR(INDEX(Consulta!$A:$DD,MATCH($C39,Consulta!$D:$D,0),J$2),""))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3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IF(IFERROR(INDEX(Consulta!$A:$DD,MATCH($C40,Consulta!$D:$D,0),I$2),"")=0,"",IFERROR(INDEX(Consulta!$A:$DD,MATCH($C40,Consulta!$D:$D,0),I$2),""))</f>
        <v/>
      </c>
      <c r="J40" s="43" t="str">
        <f>IF(IFERROR(INDEX(Consulta!$A:$DD,MATCH($C40,Consulta!$D:$D,0),J$2),"")=0,"",IFERROR(INDEX(Consulta!$A:$DD,MATCH($C40,Consulta!$D:$D,0),J$2),""))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3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IF(IFERROR(INDEX(Consulta!$A:$DD,MATCH($C41,Consulta!$D:$D,0),I$2),"")=0,"",IFERROR(INDEX(Consulta!$A:$DD,MATCH($C41,Consulta!$D:$D,0),I$2),""))</f>
        <v/>
      </c>
      <c r="J41" s="43" t="str">
        <f>IF(IFERROR(INDEX(Consulta!$A:$DD,MATCH($C41,Consulta!$D:$D,0),J$2),"")=0,"",IFERROR(INDEX(Consulta!$A:$DD,MATCH($C41,Consulta!$D:$D,0),J$2),""))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3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IF(IFERROR(INDEX(Consulta!$A:$DD,MATCH($C42,Consulta!$D:$D,0),I$2),"")=0,"",IFERROR(INDEX(Consulta!$A:$DD,MATCH($C42,Consulta!$D:$D,0),I$2),""))</f>
        <v/>
      </c>
      <c r="J42" s="43" t="str">
        <f>IF(IFERROR(INDEX(Consulta!$A:$DD,MATCH($C42,Consulta!$D:$D,0),J$2),"")=0,"",IFERROR(INDEX(Consulta!$A:$DD,MATCH($C42,Consulta!$D:$D,0),J$2),""))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3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IF(IFERROR(INDEX(Consulta!$A:$DD,MATCH($C43,Consulta!$D:$D,0),I$2),"")=0,"",IFERROR(INDEX(Consulta!$A:$DD,MATCH($C43,Consulta!$D:$D,0),I$2),""))</f>
        <v/>
      </c>
      <c r="J43" s="43" t="str">
        <f>IF(IFERROR(INDEX(Consulta!$A:$DD,MATCH($C43,Consulta!$D:$D,0),J$2),"")=0,"",IFERROR(INDEX(Consulta!$A:$DD,MATCH($C43,Consulta!$D:$D,0),J$2),""))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3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IF(IFERROR(INDEX(Consulta!$A:$DD,MATCH($C44,Consulta!$D:$D,0),I$2),"")=0,"",IFERROR(INDEX(Consulta!$A:$DD,MATCH($C44,Consulta!$D:$D,0),I$2),""))</f>
        <v/>
      </c>
      <c r="J44" s="43" t="str">
        <f>IF(IFERROR(INDEX(Consulta!$A:$DD,MATCH($C44,Consulta!$D:$D,0),J$2),"")=0,"",IFERROR(INDEX(Consulta!$A:$DD,MATCH($C44,Consulta!$D:$D,0),J$2),""))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3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IF(IFERROR(INDEX(Consulta!$A:$DD,MATCH($C45,Consulta!$D:$D,0),I$2),"")=0,"",IFERROR(INDEX(Consulta!$A:$DD,MATCH($C45,Consulta!$D:$D,0),I$2),""))</f>
        <v/>
      </c>
      <c r="J45" s="43" t="str">
        <f>IF(IFERROR(INDEX(Consulta!$A:$DD,MATCH($C45,Consulta!$D:$D,0),J$2),"")=0,"",IFERROR(INDEX(Consulta!$A:$DD,MATCH($C45,Consulta!$D:$D,0),J$2),""))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3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IF(IFERROR(INDEX(Consulta!$A:$DD,MATCH($C46,Consulta!$D:$D,0),I$2),"")=0,"",IFERROR(INDEX(Consulta!$A:$DD,MATCH($C46,Consulta!$D:$D,0),I$2),""))</f>
        <v/>
      </c>
      <c r="J46" s="43" t="str">
        <f>IF(IFERROR(INDEX(Consulta!$A:$DD,MATCH($C46,Consulta!$D:$D,0),J$2),"")=0,"",IFERROR(INDEX(Consulta!$A:$DD,MATCH($C46,Consulta!$D:$D,0),J$2),""))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3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IF(IFERROR(INDEX(Consulta!$A:$DD,MATCH($C47,Consulta!$D:$D,0),I$2),"")=0,"",IFERROR(INDEX(Consulta!$A:$DD,MATCH($C47,Consulta!$D:$D,0),I$2),""))</f>
        <v/>
      </c>
      <c r="J47" s="43" t="str">
        <f>IF(IFERROR(INDEX(Consulta!$A:$DD,MATCH($C47,Consulta!$D:$D,0),J$2),"")=0,"",IFERROR(INDEX(Consulta!$A:$DD,MATCH($C47,Consulta!$D:$D,0),J$2),""))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3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IF(IFERROR(INDEX(Consulta!$A:$DD,MATCH($C48,Consulta!$D:$D,0),I$2),"")=0,"",IFERROR(INDEX(Consulta!$A:$DD,MATCH($C48,Consulta!$D:$D,0),I$2),""))</f>
        <v/>
      </c>
      <c r="J48" s="43" t="str">
        <f>IF(IFERROR(INDEX(Consulta!$A:$DD,MATCH($C48,Consulta!$D:$D,0),J$2),"")=0,"",IFERROR(INDEX(Consulta!$A:$DD,MATCH($C48,Consulta!$D:$D,0),J$2),""))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3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IF(IFERROR(INDEX(Consulta!$A:$DD,MATCH($C49,Consulta!$D:$D,0),I$2),"")=0,"",IFERROR(INDEX(Consulta!$A:$DD,MATCH($C49,Consulta!$D:$D,0),I$2),""))</f>
        <v/>
      </c>
      <c r="J49" s="43" t="str">
        <f>IF(IFERROR(INDEX(Consulta!$A:$DD,MATCH($C49,Consulta!$D:$D,0),J$2),"")=0,"",IFERROR(INDEX(Consulta!$A:$DD,MATCH($C49,Consulta!$D:$D,0),J$2),""))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3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IF(IFERROR(INDEX(Consulta!$A:$DD,MATCH($C50,Consulta!$D:$D,0),I$2),"")=0,"",IFERROR(INDEX(Consulta!$A:$DD,MATCH($C50,Consulta!$D:$D,0),I$2),""))</f>
        <v/>
      </c>
      <c r="J50" s="43" t="str">
        <f>IF(IFERROR(INDEX(Consulta!$A:$DD,MATCH($C50,Consulta!$D:$D,0),J$2),"")=0,"",IFERROR(INDEX(Consulta!$A:$DD,MATCH($C50,Consulta!$D:$D,0),J$2),""))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3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IF(IFERROR(INDEX(Consulta!$A:$DD,MATCH($C51,Consulta!$D:$D,0),I$2),"")=0,"",IFERROR(INDEX(Consulta!$A:$DD,MATCH($C51,Consulta!$D:$D,0),I$2),""))</f>
        <v/>
      </c>
      <c r="J51" s="43" t="str">
        <f>IF(IFERROR(INDEX(Consulta!$A:$DD,MATCH($C51,Consulta!$D:$D,0),J$2),"")=0,"",IFERROR(INDEX(Consulta!$A:$DD,MATCH($C51,Consulta!$D:$D,0),J$2),""))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3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IF(IFERROR(INDEX(Consulta!$A:$DD,MATCH($C52,Consulta!$D:$D,0),I$2),"")=0,"",IFERROR(INDEX(Consulta!$A:$DD,MATCH($C52,Consulta!$D:$D,0),I$2),""))</f>
        <v/>
      </c>
      <c r="J52" s="43" t="str">
        <f>IF(IFERROR(INDEX(Consulta!$A:$DD,MATCH($C52,Consulta!$D:$D,0),J$2),"")=0,"",IFERROR(INDEX(Consulta!$A:$DD,MATCH($C52,Consulta!$D:$D,0),J$2),""))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3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IF(IFERROR(INDEX(Consulta!$A:$DD,MATCH($C53,Consulta!$D:$D,0),I$2),"")=0,"",IFERROR(INDEX(Consulta!$A:$DD,MATCH($C53,Consulta!$D:$D,0),I$2),""))</f>
        <v/>
      </c>
      <c r="J53" s="43" t="str">
        <f>IF(IFERROR(INDEX(Consulta!$A:$DD,MATCH($C53,Consulta!$D:$D,0),J$2),"")=0,"",IFERROR(INDEX(Consulta!$A:$DD,MATCH($C53,Consulta!$D:$D,0),J$2),""))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3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IF(IFERROR(INDEX(Consulta!$A:$DD,MATCH($C54,Consulta!$D:$D,0),I$2),"")=0,"",IFERROR(INDEX(Consulta!$A:$DD,MATCH($C54,Consulta!$D:$D,0),I$2),""))</f>
        <v/>
      </c>
      <c r="J54" s="43" t="str">
        <f>IF(IFERROR(INDEX(Consulta!$A:$DD,MATCH($C54,Consulta!$D:$D,0),J$2),"")=0,"",IFERROR(INDEX(Consulta!$A:$DD,MATCH($C54,Consulta!$D:$D,0),J$2),""))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118" priority="68" operator="beginsWith" text="L">
      <formula>LEFT(B5,LEN("L"))="L"</formula>
    </cfRule>
  </conditionalFormatting>
  <conditionalFormatting sqref="B6:B14">
    <cfRule type="beginsWith" dxfId="117" priority="52" operator="beginsWith" text="L">
      <formula>LEFT(B6,LEN("L"))="L"</formula>
    </cfRule>
  </conditionalFormatting>
  <conditionalFormatting sqref="B15:B54">
    <cfRule type="beginsWith" dxfId="116" priority="38" operator="beginsWith" text="L">
      <formula>LEFT(B15,LEN("L"))="L"</formula>
    </cfRule>
  </conditionalFormatting>
  <conditionalFormatting sqref="L1:L1048576">
    <cfRule type="containsText" dxfId="115" priority="13" operator="containsText" text="criadas">
      <formula>NOT(ISERROR(SEARCH("criadas",L1)))</formula>
    </cfRule>
    <cfRule type="containsText" dxfId="114" priority="14" operator="containsText" text="é gravado">
      <formula>NOT(ISERROR(SEARCH("é gravado",L1)))</formula>
    </cfRule>
    <cfRule type="containsText" dxfId="113" priority="15" operator="containsText" text="é modificado">
      <formula>NOT(ISERROR(SEARCH("é modificado",L1)))</formula>
    </cfRule>
    <cfRule type="containsText" dxfId="112" priority="16" operator="containsText" text="Error">
      <formula>NOT(ISERROR(SEARCH("Error",L1)))</formula>
    </cfRule>
    <cfRule type="containsText" dxfId="111" priority="17" operator="containsText" text="é criado">
      <formula>NOT(ISERROR(SEARCH("é criado",L1)))</formula>
    </cfRule>
  </conditionalFormatting>
  <conditionalFormatting sqref="G5:G54">
    <cfRule type="beginsWith" dxfId="110" priority="12" operator="beginsWith" text="L">
      <formula>LEFT(G5,LEN("L"))="L"</formula>
    </cfRule>
  </conditionalFormatting>
  <conditionalFormatting sqref="H5:H54">
    <cfRule type="beginsWith" dxfId="109" priority="11" operator="beginsWith" text="L">
      <formula>LEFT(H5,LEN("L"))="L"</formula>
    </cfRule>
  </conditionalFormatting>
  <conditionalFormatting sqref="K5:K54">
    <cfRule type="beginsWith" dxfId="108" priority="9" operator="beginsWith" text="L">
      <formula>LEFT(K5,LEN("L"))="L"</formula>
    </cfRule>
  </conditionalFormatting>
  <conditionalFormatting sqref="I5:I54">
    <cfRule type="beginsWith" dxfId="107" priority="6" operator="beginsWith" text="L">
      <formula>LEFT(I5,LEN("L"))="L"</formula>
    </cfRule>
  </conditionalFormatting>
  <conditionalFormatting sqref="J5:J54">
    <cfRule type="beginsWith" dxfId="106" priority="2" operator="beginsWith" text="L">
      <formula>LEFT(J5,LEN("L"))="L"</formula>
    </cfRule>
  </conditionalFormatting>
  <conditionalFormatting sqref="M5:M54">
    <cfRule type="beginsWith" dxfId="105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C5" sqref="C5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45.7109375" style="6" customWidth="1"/>
    <col min="4" max="4" width="17.5703125" style="6" bestFit="1" customWidth="1"/>
    <col min="5" max="5" width="21.85546875" style="6" hidden="1" customWidth="1"/>
    <col min="6" max="6" width="23.42578125" style="6" hidden="1" customWidth="1"/>
    <col min="7" max="7" width="21" style="6" bestFit="1" customWidth="1"/>
    <col min="8" max="8" width="20.7109375" style="6" bestFit="1" customWidth="1"/>
    <col min="9" max="11" width="20.28515625" style="6" bestFit="1" customWidth="1"/>
    <col min="12" max="12" width="75.7109375" style="1" customWidth="1"/>
    <col min="13" max="13" width="22" style="1" bestFit="1" customWidth="1"/>
    <col min="14" max="16384" width="9.140625" style="1"/>
  </cols>
  <sheetData>
    <row r="1" spans="1:12" s="80" customFormat="1" x14ac:dyDescent="0.3">
      <c r="A1" s="7" t="s">
        <v>28</v>
      </c>
    </row>
    <row r="2" spans="1:12" s="41" customFormat="1" x14ac:dyDescent="0.3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3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3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3">
      <c r="A5" s="7" t="str">
        <f>"Execução "&amp;ROW()-4</f>
        <v>Execução 1</v>
      </c>
      <c r="B5" s="42"/>
      <c r="C5" s="84" t="str">
        <f>IFERROR(VLOOKUP(B5,'ZM01'!B:C,2,0),"")</f>
        <v/>
      </c>
      <c r="D5" s="49" t="str">
        <f>IFERROR(VLOOKUP(B5,'ZM01'!B:J,9,0),"")</f>
        <v/>
      </c>
      <c r="E5" s="44">
        <v>1</v>
      </c>
      <c r="F5" s="44" t="s">
        <v>1008</v>
      </c>
      <c r="G5" s="43" t="str">
        <f>IF(IFERROR(INDEX(Consulta!$A:$DD,MATCH($C5,Consulta!$D:$D,0),G$2),"")=0,"",IFERROR(INDEX(Consulta!$A:$DD,MATCH($C5,Consulta!$D:$D,0),G$2),""))</f>
        <v/>
      </c>
      <c r="H5" s="44" t="s">
        <v>1020</v>
      </c>
      <c r="I5" s="43" t="str">
        <f>IF(IFERROR(INDEX(Consulta!$A:$DD,MATCH($C5,Consulta!$D:$D,0),IF(OR(LEFT(G5,4)="M058",LEFT(G5,4)="F058",LEFT(G5,4)="D058"),31,30)),"")=0,"",IFERROR(ROUND(INDEX(Consulta!$A:$DD,MATCH($C5,Consulta!$D:$D,0),IF(OR(LEFT(G5,4)="M058",LEFT(G5,4)="F058",LEFT(G5,4)="D058"),31,30)),2),""))</f>
        <v/>
      </c>
      <c r="J5" s="43" t="str">
        <f>IF(I5="","",IF(OR(LEFT(G5,4)="M058",LEFT(G5,4)="F058",LEFT(G5,4)="D058"),"PC","M"))</f>
        <v/>
      </c>
      <c r="K5" s="43" t="str">
        <f>IF(IFERROR(INDEX(Consulta!$A:$DD,MATCH($C5,Consulta!$D:$D,0),K$2),"")=0,"",IFERROR(INDEX(Consulta!$A:$DD,MATCH($C5,Consulta!$D:$D,0),K$2),""))</f>
        <v/>
      </c>
      <c r="L5" s="65"/>
    </row>
    <row r="6" spans="1:12" x14ac:dyDescent="0.3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IF(IFERROR(INDEX(Consulta!$A:$DD,MATCH($C6,Consulta!$D:$D,0),G$2),"")=0,"",IFERROR(INDEX(Consulta!$A:$DD,MATCH($C6,Consulta!$D:$D,0),G$2),""))</f>
        <v/>
      </c>
      <c r="H6" s="44" t="s">
        <v>1020</v>
      </c>
      <c r="I6" s="43" t="str">
        <f>IF(IFERROR(INDEX(Consulta!$A:$DD,MATCH($C6,Consulta!$D:$D,0),IF(OR(LEFT(G6,4)="M058",LEFT(G6,4)="F058",LEFT(G6,4)="D058"),31,30)),"")=0,"",IFERROR(ROUND(INDEX(Consulta!$A:$DD,MATCH($C6,Consulta!$D:$D,0),IF(OR(LEFT(G6,4)="M058",LEFT(G6,4)="F058",LEFT(G6,4)="D058"),31,30)),2),""))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IF(IFERROR(INDEX(Consulta!$A:$DD,MATCH($C6,Consulta!$D:$D,0),K$2),"")=0,"",IFERROR(INDEX(Consulta!$A:$DD,MATCH($C6,Consulta!$D:$D,0),K$2),""))</f>
        <v/>
      </c>
      <c r="L6" s="66"/>
    </row>
    <row r="7" spans="1:12" x14ac:dyDescent="0.3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IF(IFERROR(INDEX(Consulta!$A:$DD,MATCH($C7,Consulta!$D:$D,0),G$2),"")=0,"",IFERROR(INDEX(Consulta!$A:$DD,MATCH($C7,Consulta!$D:$D,0),G$2),""))</f>
        <v/>
      </c>
      <c r="H7" s="44" t="s">
        <v>1020</v>
      </c>
      <c r="I7" s="43" t="str">
        <f>IF(IFERROR(INDEX(Consulta!$A:$DD,MATCH($C7,Consulta!$D:$D,0),IF(OR(LEFT(G7,4)="M058",LEFT(G7,4)="F058",LEFT(G7,4)="D058"),31,30)),"")=0,"",IFERROR(ROUND(INDEX(Consulta!$A:$DD,MATCH($C7,Consulta!$D:$D,0),IF(OR(LEFT(G7,4)="M058",LEFT(G7,4)="F058",LEFT(G7,4)="D058"),31,30)),2),""))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IF(IFERROR(INDEX(Consulta!$A:$DD,MATCH($C7,Consulta!$D:$D,0),K$2),"")=0,"",IFERROR(INDEX(Consulta!$A:$DD,MATCH($C7,Consulta!$D:$D,0),K$2),""))</f>
        <v/>
      </c>
      <c r="L7" s="66"/>
    </row>
    <row r="8" spans="1:12" x14ac:dyDescent="0.3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IF(IFERROR(INDEX(Consulta!$A:$DD,MATCH($C8,Consulta!$D:$D,0),G$2),"")=0,"",IFERROR(INDEX(Consulta!$A:$DD,MATCH($C8,Consulta!$D:$D,0),G$2),""))</f>
        <v/>
      </c>
      <c r="H8" s="44" t="s">
        <v>1020</v>
      </c>
      <c r="I8" s="43" t="str">
        <f>IF(IFERROR(INDEX(Consulta!$A:$DD,MATCH($C8,Consulta!$D:$D,0),IF(OR(LEFT(G8,4)="M058",LEFT(G8,4)="F058",LEFT(G8,4)="D058"),31,30)),"")=0,"",IFERROR(ROUND(INDEX(Consulta!$A:$DD,MATCH($C8,Consulta!$D:$D,0),IF(OR(LEFT(G8,4)="M058",LEFT(G8,4)="F058",LEFT(G8,4)="D058"),31,30)),2),""))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IF(IFERROR(INDEX(Consulta!$A:$DD,MATCH($C8,Consulta!$D:$D,0),K$2),"")=0,"",IFERROR(INDEX(Consulta!$A:$DD,MATCH($C8,Consulta!$D:$D,0),K$2),""))</f>
        <v/>
      </c>
      <c r="L8" s="66"/>
    </row>
    <row r="9" spans="1:12" x14ac:dyDescent="0.3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IF(IFERROR(INDEX(Consulta!$A:$DD,MATCH($C9,Consulta!$D:$D,0),G$2),"")=0,"",IFERROR(INDEX(Consulta!$A:$DD,MATCH($C9,Consulta!$D:$D,0),G$2),""))</f>
        <v/>
      </c>
      <c r="H9" s="44" t="s">
        <v>1020</v>
      </c>
      <c r="I9" s="43" t="str">
        <f>IF(IFERROR(INDEX(Consulta!$A:$DD,MATCH($C9,Consulta!$D:$D,0),IF(OR(LEFT(G9,4)="M058",LEFT(G9,4)="F058",LEFT(G9,4)="D058"),31,30)),"")=0,"",IFERROR(ROUND(INDEX(Consulta!$A:$DD,MATCH($C9,Consulta!$D:$D,0),IF(OR(LEFT(G9,4)="M058",LEFT(G9,4)="F058",LEFT(G9,4)="D058"),31,30)),2),""))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IF(IFERROR(INDEX(Consulta!$A:$DD,MATCH($C9,Consulta!$D:$D,0),K$2),"")=0,"",IFERROR(INDEX(Consulta!$A:$DD,MATCH($C9,Consulta!$D:$D,0),K$2),""))</f>
        <v/>
      </c>
      <c r="L9" s="66"/>
    </row>
    <row r="10" spans="1:12" x14ac:dyDescent="0.3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IF(IFERROR(INDEX(Consulta!$A:$DD,MATCH($C10,Consulta!$D:$D,0),G$2),"")=0,"",IFERROR(INDEX(Consulta!$A:$DD,MATCH($C10,Consulta!$D:$D,0),G$2),""))</f>
        <v/>
      </c>
      <c r="H10" s="44" t="s">
        <v>1020</v>
      </c>
      <c r="I10" s="43" t="str">
        <f>IF(IFERROR(INDEX(Consulta!$A:$DD,MATCH($C10,Consulta!$D:$D,0),IF(OR(LEFT(G10,4)="M058",LEFT(G10,4)="F058",LEFT(G10,4)="D058"),31,30)),"")=0,"",IFERROR(ROUND(INDEX(Consulta!$A:$DD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IF(IFERROR(INDEX(Consulta!$A:$DD,MATCH($C10,Consulta!$D:$D,0),K$2),"")=0,"",IFERROR(INDEX(Consulta!$A:$DD,MATCH($C10,Consulta!$D:$D,0),K$2),""))</f>
        <v/>
      </c>
      <c r="L10" s="66"/>
    </row>
    <row r="11" spans="1:12" x14ac:dyDescent="0.3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IF(IFERROR(INDEX(Consulta!$A:$DD,MATCH($C11,Consulta!$D:$D,0),G$2),"")=0,"",IFERROR(INDEX(Consulta!$A:$DD,MATCH($C11,Consulta!$D:$D,0),G$2),""))</f>
        <v/>
      </c>
      <c r="H11" s="44" t="s">
        <v>1020</v>
      </c>
      <c r="I11" s="43" t="str">
        <f>IF(IFERROR(INDEX(Consulta!$A:$DD,MATCH($C11,Consulta!$D:$D,0),IF(OR(LEFT(G11,4)="M058",LEFT(G11,4)="F058",LEFT(G11,4)="D058"),31,30)),"")=0,"",IFERROR(ROUND(INDEX(Consulta!$A:$DD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IF(IFERROR(INDEX(Consulta!$A:$DD,MATCH($C11,Consulta!$D:$D,0),K$2),"")=0,"",IFERROR(INDEX(Consulta!$A:$DD,MATCH($C11,Consulta!$D:$D,0),K$2),""))</f>
        <v/>
      </c>
      <c r="L11" s="66"/>
    </row>
    <row r="12" spans="1:12" x14ac:dyDescent="0.3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IF(IFERROR(INDEX(Consulta!$A:$DD,MATCH($C12,Consulta!$D:$D,0),G$2),"")=0,"",IFERROR(INDEX(Consulta!$A:$DD,MATCH($C12,Consulta!$D:$D,0),G$2),""))</f>
        <v/>
      </c>
      <c r="H12" s="44" t="s">
        <v>1020</v>
      </c>
      <c r="I12" s="43" t="str">
        <f>IF(IFERROR(INDEX(Consulta!$A:$DD,MATCH($C12,Consulta!$D:$D,0),IF(OR(LEFT(G12,4)="M058",LEFT(G12,4)="F058",LEFT(G12,4)="D058"),31,30)),"")=0,"",IFERROR(ROUND(INDEX(Consulta!$A:$DD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IF(IFERROR(INDEX(Consulta!$A:$DD,MATCH($C12,Consulta!$D:$D,0),K$2),"")=0,"",IFERROR(INDEX(Consulta!$A:$DD,MATCH($C12,Consulta!$D:$D,0),K$2),""))</f>
        <v/>
      </c>
      <c r="L12" s="66"/>
    </row>
    <row r="13" spans="1:12" x14ac:dyDescent="0.3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IF(IFERROR(INDEX(Consulta!$A:$DD,MATCH($C13,Consulta!$D:$D,0),G$2),"")=0,"",IFERROR(INDEX(Consulta!$A:$DD,MATCH($C13,Consulta!$D:$D,0),G$2),""))</f>
        <v/>
      </c>
      <c r="H13" s="44" t="s">
        <v>1020</v>
      </c>
      <c r="I13" s="43" t="str">
        <f>IF(IFERROR(INDEX(Consulta!$A:$DD,MATCH($C13,Consulta!$D:$D,0),IF(OR(LEFT(G13,4)="M058",LEFT(G13,4)="F058",LEFT(G13,4)="D058"),31,30)),"")=0,"",IFERROR(ROUND(INDEX(Consulta!$A:$DD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IF(IFERROR(INDEX(Consulta!$A:$DD,MATCH($C13,Consulta!$D:$D,0),K$2),"")=0,"",IFERROR(INDEX(Consulta!$A:$DD,MATCH($C13,Consulta!$D:$D,0),K$2),""))</f>
        <v/>
      </c>
      <c r="L13" s="66"/>
    </row>
    <row r="14" spans="1:12" x14ac:dyDescent="0.3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IF(IFERROR(INDEX(Consulta!$A:$DD,MATCH($C14,Consulta!$D:$D,0),G$2),"")=0,"",IFERROR(INDEX(Consulta!$A:$DD,MATCH($C14,Consulta!$D:$D,0),G$2),""))</f>
        <v/>
      </c>
      <c r="H14" s="44" t="s">
        <v>1020</v>
      </c>
      <c r="I14" s="43" t="str">
        <f>IF(IFERROR(INDEX(Consulta!$A:$DD,MATCH($C14,Consulta!$D:$D,0),IF(OR(LEFT(G14,4)="M058",LEFT(G14,4)="F058",LEFT(G14,4)="D058"),31,30)),"")=0,"",IFERROR(ROUND(INDEX(Consulta!$A:$DD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IF(IFERROR(INDEX(Consulta!$A:$DD,MATCH($C14,Consulta!$D:$D,0),K$2),"")=0,"",IFERROR(INDEX(Consulta!$A:$DD,MATCH($C14,Consulta!$D:$D,0),K$2),""))</f>
        <v/>
      </c>
      <c r="L14" s="66"/>
    </row>
    <row r="15" spans="1:12" x14ac:dyDescent="0.3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IF(IFERROR(INDEX(Consulta!$A:$DD,MATCH($C15,Consulta!$D:$D,0),G$2),"")=0,"",IFERROR(INDEX(Consulta!$A:$DD,MATCH($C15,Consulta!$D:$D,0),G$2),""))</f>
        <v/>
      </c>
      <c r="H15" s="44" t="s">
        <v>1020</v>
      </c>
      <c r="I15" s="43" t="str">
        <f>IF(IFERROR(INDEX(Consulta!$A:$DD,MATCH($C15,Consulta!$D:$D,0),IF(OR(LEFT(G15,4)="M058",LEFT(G15,4)="F058",LEFT(G15,4)="D058"),31,30)),"")=0,"",IFERROR(ROUND(INDEX(Consulta!$A:$DD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IF(IFERROR(INDEX(Consulta!$A:$DD,MATCH($C15,Consulta!$D:$D,0),K$2),"")=0,"",IFERROR(INDEX(Consulta!$A:$DD,MATCH($C15,Consulta!$D:$D,0),K$2),""))</f>
        <v/>
      </c>
      <c r="L15" s="66"/>
    </row>
    <row r="16" spans="1:12" x14ac:dyDescent="0.3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IF(IFERROR(INDEX(Consulta!$A:$DD,MATCH($C16,Consulta!$D:$D,0),G$2),"")=0,"",IFERROR(INDEX(Consulta!$A:$DD,MATCH($C16,Consulta!$D:$D,0),G$2),""))</f>
        <v/>
      </c>
      <c r="H16" s="44" t="s">
        <v>1020</v>
      </c>
      <c r="I16" s="43" t="str">
        <f>IF(IFERROR(INDEX(Consulta!$A:$DD,MATCH($C16,Consulta!$D:$D,0),IF(OR(LEFT(G16,4)="M058",LEFT(G16,4)="F058",LEFT(G16,4)="D058"),31,30)),"")=0,"",IFERROR(ROUND(INDEX(Consulta!$A:$DD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IF(IFERROR(INDEX(Consulta!$A:$DD,MATCH($C16,Consulta!$D:$D,0),K$2),"")=0,"",IFERROR(INDEX(Consulta!$A:$DD,MATCH($C16,Consulta!$D:$D,0),K$2),""))</f>
        <v/>
      </c>
      <c r="L16" s="66"/>
    </row>
    <row r="17" spans="1:12" x14ac:dyDescent="0.3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IF(IFERROR(INDEX(Consulta!$A:$DD,MATCH($C17,Consulta!$D:$D,0),G$2),"")=0,"",IFERROR(INDEX(Consulta!$A:$DD,MATCH($C17,Consulta!$D:$D,0),G$2),""))</f>
        <v/>
      </c>
      <c r="H17" s="44" t="s">
        <v>1020</v>
      </c>
      <c r="I17" s="43" t="str">
        <f>IF(IFERROR(INDEX(Consulta!$A:$DD,MATCH($C17,Consulta!$D:$D,0),IF(OR(LEFT(G17,4)="M058",LEFT(G17,4)="F058",LEFT(G17,4)="D058"),31,30)),"")=0,"",IFERROR(ROUND(INDEX(Consulta!$A:$DD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IF(IFERROR(INDEX(Consulta!$A:$DD,MATCH($C17,Consulta!$D:$D,0),K$2),"")=0,"",IFERROR(INDEX(Consulta!$A:$DD,MATCH($C17,Consulta!$D:$D,0),K$2),""))</f>
        <v/>
      </c>
      <c r="L17" s="66"/>
    </row>
    <row r="18" spans="1:12" x14ac:dyDescent="0.3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IF(IFERROR(INDEX(Consulta!$A:$DD,MATCH($C18,Consulta!$D:$D,0),G$2),"")=0,"",IFERROR(INDEX(Consulta!$A:$DD,MATCH($C18,Consulta!$D:$D,0),G$2),""))</f>
        <v/>
      </c>
      <c r="H18" s="44" t="s">
        <v>1020</v>
      </c>
      <c r="I18" s="43" t="str">
        <f>IF(IFERROR(INDEX(Consulta!$A:$DD,MATCH($C18,Consulta!$D:$D,0),IF(OR(LEFT(G18,4)="M058",LEFT(G18,4)="F058",LEFT(G18,4)="D058"),31,30)),"")=0,"",IFERROR(ROUND(INDEX(Consulta!$A:$DD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IF(IFERROR(INDEX(Consulta!$A:$DD,MATCH($C18,Consulta!$D:$D,0),K$2),"")=0,"",IFERROR(INDEX(Consulta!$A:$DD,MATCH($C18,Consulta!$D:$D,0),K$2),""))</f>
        <v/>
      </c>
      <c r="L18" s="66"/>
    </row>
    <row r="19" spans="1:12" x14ac:dyDescent="0.3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IF(IFERROR(INDEX(Consulta!$A:$DD,MATCH($C19,Consulta!$D:$D,0),G$2),"")=0,"",IFERROR(INDEX(Consulta!$A:$DD,MATCH($C19,Consulta!$D:$D,0),G$2),""))</f>
        <v/>
      </c>
      <c r="H19" s="44" t="s">
        <v>1020</v>
      </c>
      <c r="I19" s="43" t="str">
        <f>IF(IFERROR(INDEX(Consulta!$A:$DD,MATCH($C19,Consulta!$D:$D,0),IF(OR(LEFT(G19,4)="M058",LEFT(G19,4)="F058",LEFT(G19,4)="D058"),31,30)),"")=0,"",IFERROR(ROUND(INDEX(Consulta!$A:$DD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IF(IFERROR(INDEX(Consulta!$A:$DD,MATCH($C19,Consulta!$D:$D,0),K$2),"")=0,"",IFERROR(INDEX(Consulta!$A:$DD,MATCH($C19,Consulta!$D:$D,0),K$2),""))</f>
        <v/>
      </c>
      <c r="L19" s="66"/>
    </row>
    <row r="20" spans="1:12" x14ac:dyDescent="0.3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IF(IFERROR(INDEX(Consulta!$A:$DD,MATCH($C20,Consulta!$D:$D,0),G$2),"")=0,"",IFERROR(INDEX(Consulta!$A:$DD,MATCH($C20,Consulta!$D:$D,0),G$2),""))</f>
        <v/>
      </c>
      <c r="H20" s="44" t="s">
        <v>1020</v>
      </c>
      <c r="I20" s="43" t="str">
        <f>IF(IFERROR(INDEX(Consulta!$A:$DD,MATCH($C20,Consulta!$D:$D,0),IF(OR(LEFT(G20,4)="M058",LEFT(G20,4)="F058",LEFT(G20,4)="D058"),31,30)),"")=0,"",IFERROR(ROUND(INDEX(Consulta!$A:$DD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IF(IFERROR(INDEX(Consulta!$A:$DD,MATCH($C20,Consulta!$D:$D,0),K$2),"")=0,"",IFERROR(INDEX(Consulta!$A:$DD,MATCH($C20,Consulta!$D:$D,0),K$2),""))</f>
        <v/>
      </c>
      <c r="L20" s="66"/>
    </row>
    <row r="21" spans="1:12" x14ac:dyDescent="0.3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IF(IFERROR(INDEX(Consulta!$A:$DD,MATCH($C21,Consulta!$D:$D,0),G$2),"")=0,"",IFERROR(INDEX(Consulta!$A:$DD,MATCH($C21,Consulta!$D:$D,0),G$2),""))</f>
        <v/>
      </c>
      <c r="H21" s="44" t="s">
        <v>1020</v>
      </c>
      <c r="I21" s="43" t="str">
        <f>IF(IFERROR(INDEX(Consulta!$A:$DD,MATCH($C21,Consulta!$D:$D,0),IF(OR(LEFT(G21,4)="M058",LEFT(G21,4)="F058",LEFT(G21,4)="D058"),31,30)),"")=0,"",IFERROR(ROUND(INDEX(Consulta!$A:$DD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IF(IFERROR(INDEX(Consulta!$A:$DD,MATCH($C21,Consulta!$D:$D,0),K$2),"")=0,"",IFERROR(INDEX(Consulta!$A:$DD,MATCH($C21,Consulta!$D:$D,0),K$2),""))</f>
        <v/>
      </c>
      <c r="L21" s="66"/>
    </row>
    <row r="22" spans="1:12" x14ac:dyDescent="0.3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IF(IFERROR(INDEX(Consulta!$A:$DD,MATCH($C22,Consulta!$D:$D,0),G$2),"")=0,"",IFERROR(INDEX(Consulta!$A:$DD,MATCH($C22,Consulta!$D:$D,0),G$2),""))</f>
        <v/>
      </c>
      <c r="H22" s="44" t="s">
        <v>1020</v>
      </c>
      <c r="I22" s="43" t="str">
        <f>IF(IFERROR(INDEX(Consulta!$A:$DD,MATCH($C22,Consulta!$D:$D,0),IF(OR(LEFT(G22,4)="M058",LEFT(G22,4)="F058",LEFT(G22,4)="D058"),31,30)),"")=0,"",IFERROR(ROUND(INDEX(Consulta!$A:$DD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IF(IFERROR(INDEX(Consulta!$A:$DD,MATCH($C22,Consulta!$D:$D,0),K$2),"")=0,"",IFERROR(INDEX(Consulta!$A:$DD,MATCH($C22,Consulta!$D:$D,0),K$2),""))</f>
        <v/>
      </c>
      <c r="L22" s="66"/>
    </row>
    <row r="23" spans="1:12" x14ac:dyDescent="0.3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IF(IFERROR(INDEX(Consulta!$A:$DD,MATCH($C23,Consulta!$D:$D,0),G$2),"")=0,"",IFERROR(INDEX(Consulta!$A:$DD,MATCH($C23,Consulta!$D:$D,0),G$2),""))</f>
        <v/>
      </c>
      <c r="H23" s="44" t="s">
        <v>1020</v>
      </c>
      <c r="I23" s="43" t="str">
        <f>IF(IFERROR(INDEX(Consulta!$A:$DD,MATCH($C23,Consulta!$D:$D,0),IF(OR(LEFT(G23,4)="M058",LEFT(G23,4)="F058",LEFT(G23,4)="D058"),31,30)),"")=0,"",IFERROR(ROUND(INDEX(Consulta!$A:$DD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IF(IFERROR(INDEX(Consulta!$A:$DD,MATCH($C23,Consulta!$D:$D,0),K$2),"")=0,"",IFERROR(INDEX(Consulta!$A:$DD,MATCH($C23,Consulta!$D:$D,0),K$2),""))</f>
        <v/>
      </c>
      <c r="L23" s="66"/>
    </row>
    <row r="24" spans="1:12" x14ac:dyDescent="0.3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IF(IFERROR(INDEX(Consulta!$A:$DD,MATCH($C24,Consulta!$D:$D,0),G$2),"")=0,"",IFERROR(INDEX(Consulta!$A:$DD,MATCH($C24,Consulta!$D:$D,0),G$2),""))</f>
        <v/>
      </c>
      <c r="H24" s="44" t="s">
        <v>1020</v>
      </c>
      <c r="I24" s="43" t="str">
        <f>IF(IFERROR(INDEX(Consulta!$A:$DD,MATCH($C24,Consulta!$D:$D,0),IF(OR(LEFT(G24,4)="M058",LEFT(G24,4)="F058",LEFT(G24,4)="D058"),31,30)),"")=0,"",IFERROR(ROUND(INDEX(Consulta!$A:$DD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IF(IFERROR(INDEX(Consulta!$A:$DD,MATCH($C24,Consulta!$D:$D,0),K$2),"")=0,"",IFERROR(INDEX(Consulta!$A:$DD,MATCH($C24,Consulta!$D:$D,0),K$2),""))</f>
        <v/>
      </c>
      <c r="L24" s="66"/>
    </row>
    <row r="25" spans="1:12" x14ac:dyDescent="0.3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IF(IFERROR(INDEX(Consulta!$A:$DD,MATCH($C25,Consulta!$D:$D,0),G$2),"")=0,"",IFERROR(INDEX(Consulta!$A:$DD,MATCH($C25,Consulta!$D:$D,0),G$2),""))</f>
        <v/>
      </c>
      <c r="H25" s="44" t="s">
        <v>1020</v>
      </c>
      <c r="I25" s="43" t="str">
        <f>IF(IFERROR(INDEX(Consulta!$A:$DD,MATCH($C25,Consulta!$D:$D,0),IF(OR(LEFT(G25,4)="M058",LEFT(G25,4)="F058",LEFT(G25,4)="D058"),31,30)),"")=0,"",IFERROR(ROUND(INDEX(Consulta!$A:$DD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IF(IFERROR(INDEX(Consulta!$A:$DD,MATCH($C25,Consulta!$D:$D,0),K$2),"")=0,"",IFERROR(INDEX(Consulta!$A:$DD,MATCH($C25,Consulta!$D:$D,0),K$2),""))</f>
        <v/>
      </c>
      <c r="L25" s="66"/>
    </row>
    <row r="26" spans="1:12" x14ac:dyDescent="0.3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IF(IFERROR(INDEX(Consulta!$A:$DD,MATCH($C26,Consulta!$D:$D,0),G$2),"")=0,"",IFERROR(INDEX(Consulta!$A:$DD,MATCH($C26,Consulta!$D:$D,0),G$2),""))</f>
        <v/>
      </c>
      <c r="H26" s="44" t="s">
        <v>1020</v>
      </c>
      <c r="I26" s="43" t="str">
        <f>IF(IFERROR(INDEX(Consulta!$A:$DD,MATCH($C26,Consulta!$D:$D,0),IF(OR(LEFT(G26,4)="M058",LEFT(G26,4)="F058",LEFT(G26,4)="D058"),31,30)),"")=0,"",IFERROR(ROUND(INDEX(Consulta!$A:$DD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IF(IFERROR(INDEX(Consulta!$A:$DD,MATCH($C26,Consulta!$D:$D,0),K$2),"")=0,"",IFERROR(INDEX(Consulta!$A:$DD,MATCH($C26,Consulta!$D:$D,0),K$2),""))</f>
        <v/>
      </c>
      <c r="L26" s="66"/>
    </row>
    <row r="27" spans="1:12" x14ac:dyDescent="0.3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IF(IFERROR(INDEX(Consulta!$A:$DD,MATCH($C27,Consulta!$D:$D,0),G$2),"")=0,"",IFERROR(INDEX(Consulta!$A:$DD,MATCH($C27,Consulta!$D:$D,0),G$2),""))</f>
        <v/>
      </c>
      <c r="H27" s="44" t="s">
        <v>1020</v>
      </c>
      <c r="I27" s="43" t="str">
        <f>IF(IFERROR(INDEX(Consulta!$A:$DD,MATCH($C27,Consulta!$D:$D,0),IF(OR(LEFT(G27,4)="M058",LEFT(G27,4)="F058",LEFT(G27,4)="D058"),31,30)),"")=0,"",IFERROR(ROUND(INDEX(Consulta!$A:$DD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IF(IFERROR(INDEX(Consulta!$A:$DD,MATCH($C27,Consulta!$D:$D,0),K$2),"")=0,"",IFERROR(INDEX(Consulta!$A:$DD,MATCH($C27,Consulta!$D:$D,0),K$2),""))</f>
        <v/>
      </c>
      <c r="L27" s="66"/>
    </row>
    <row r="28" spans="1:12" x14ac:dyDescent="0.3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IF(IFERROR(INDEX(Consulta!$A:$DD,MATCH($C28,Consulta!$D:$D,0),G$2),"")=0,"",IFERROR(INDEX(Consulta!$A:$DD,MATCH($C28,Consulta!$D:$D,0),G$2),""))</f>
        <v/>
      </c>
      <c r="H28" s="44" t="s">
        <v>1020</v>
      </c>
      <c r="I28" s="43" t="str">
        <f>IF(IFERROR(INDEX(Consulta!$A:$DD,MATCH($C28,Consulta!$D:$D,0),IF(OR(LEFT(G28,4)="M058",LEFT(G28,4)="F058",LEFT(G28,4)="D058"),31,30)),"")=0,"",IFERROR(ROUND(INDEX(Consulta!$A:$DD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IF(IFERROR(INDEX(Consulta!$A:$DD,MATCH($C28,Consulta!$D:$D,0),K$2),"")=0,"",IFERROR(INDEX(Consulta!$A:$DD,MATCH($C28,Consulta!$D:$D,0),K$2),""))</f>
        <v/>
      </c>
      <c r="L28" s="66"/>
    </row>
    <row r="29" spans="1:12" x14ac:dyDescent="0.3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IF(IFERROR(INDEX(Consulta!$A:$DD,MATCH($C29,Consulta!$D:$D,0),G$2),"")=0,"",IFERROR(INDEX(Consulta!$A:$DD,MATCH($C29,Consulta!$D:$D,0),G$2),""))</f>
        <v/>
      </c>
      <c r="H29" s="44" t="s">
        <v>1020</v>
      </c>
      <c r="I29" s="43" t="str">
        <f>IF(IFERROR(INDEX(Consulta!$A:$DD,MATCH($C29,Consulta!$D:$D,0),IF(OR(LEFT(G29,4)="M058",LEFT(G29,4)="F058",LEFT(G29,4)="D058"),31,30)),"")=0,"",IFERROR(ROUND(INDEX(Consulta!$A:$DD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IF(IFERROR(INDEX(Consulta!$A:$DD,MATCH($C29,Consulta!$D:$D,0),K$2),"")=0,"",IFERROR(INDEX(Consulta!$A:$DD,MATCH($C29,Consulta!$D:$D,0),K$2),""))</f>
        <v/>
      </c>
      <c r="L29" s="66"/>
    </row>
    <row r="30" spans="1:12" x14ac:dyDescent="0.3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IF(IFERROR(INDEX(Consulta!$A:$DD,MATCH($C30,Consulta!$D:$D,0),G$2),"")=0,"",IFERROR(INDEX(Consulta!$A:$DD,MATCH($C30,Consulta!$D:$D,0),G$2),""))</f>
        <v/>
      </c>
      <c r="H30" s="44" t="s">
        <v>1020</v>
      </c>
      <c r="I30" s="43" t="str">
        <f>IF(IFERROR(INDEX(Consulta!$A:$DD,MATCH($C30,Consulta!$D:$D,0),IF(OR(LEFT(G30,4)="M058",LEFT(G30,4)="F058",LEFT(G30,4)="D058"),31,30)),"")=0,"",IFERROR(ROUND(INDEX(Consulta!$A:$DD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IF(IFERROR(INDEX(Consulta!$A:$DD,MATCH($C30,Consulta!$D:$D,0),K$2),"")=0,"",IFERROR(INDEX(Consulta!$A:$DD,MATCH($C30,Consulta!$D:$D,0),K$2),""))</f>
        <v/>
      </c>
      <c r="L30" s="66"/>
    </row>
    <row r="31" spans="1:12" x14ac:dyDescent="0.3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IF(IFERROR(INDEX(Consulta!$A:$DD,MATCH($C31,Consulta!$D:$D,0),G$2),"")=0,"",IFERROR(INDEX(Consulta!$A:$DD,MATCH($C31,Consulta!$D:$D,0),G$2),""))</f>
        <v/>
      </c>
      <c r="H31" s="44" t="s">
        <v>1020</v>
      </c>
      <c r="I31" s="43" t="str">
        <f>IF(IFERROR(INDEX(Consulta!$A:$DD,MATCH($C31,Consulta!$D:$D,0),IF(OR(LEFT(G31,4)="M058",LEFT(G31,4)="F058",LEFT(G31,4)="D058"),31,30)),"")=0,"",IFERROR(ROUND(INDEX(Consulta!$A:$DD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IF(IFERROR(INDEX(Consulta!$A:$DD,MATCH($C31,Consulta!$D:$D,0),K$2),"")=0,"",IFERROR(INDEX(Consulta!$A:$DD,MATCH($C31,Consulta!$D:$D,0),K$2),""))</f>
        <v/>
      </c>
      <c r="L31" s="66"/>
    </row>
    <row r="32" spans="1:12" x14ac:dyDescent="0.3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IF(IFERROR(INDEX(Consulta!$A:$DD,MATCH($C32,Consulta!$D:$D,0),G$2),"")=0,"",IFERROR(INDEX(Consulta!$A:$DD,MATCH($C32,Consulta!$D:$D,0),G$2),""))</f>
        <v/>
      </c>
      <c r="H32" s="44" t="s">
        <v>1020</v>
      </c>
      <c r="I32" s="43" t="str">
        <f>IF(IFERROR(INDEX(Consulta!$A:$DD,MATCH($C32,Consulta!$D:$D,0),IF(OR(LEFT(G32,4)="M058",LEFT(G32,4)="F058",LEFT(G32,4)="D058"),31,30)),"")=0,"",IFERROR(ROUND(INDEX(Consulta!$A:$DD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IF(IFERROR(INDEX(Consulta!$A:$DD,MATCH($C32,Consulta!$D:$D,0),K$2),"")=0,"",IFERROR(INDEX(Consulta!$A:$DD,MATCH($C32,Consulta!$D:$D,0),K$2),""))</f>
        <v/>
      </c>
      <c r="L32" s="66"/>
    </row>
    <row r="33" spans="1:12" x14ac:dyDescent="0.3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IF(IFERROR(INDEX(Consulta!$A:$DD,MATCH($C33,Consulta!$D:$D,0),G$2),"")=0,"",IFERROR(INDEX(Consulta!$A:$DD,MATCH($C33,Consulta!$D:$D,0),G$2),""))</f>
        <v/>
      </c>
      <c r="H33" s="44" t="s">
        <v>1020</v>
      </c>
      <c r="I33" s="43" t="str">
        <f>IF(IFERROR(INDEX(Consulta!$A:$DD,MATCH($C33,Consulta!$D:$D,0),IF(OR(LEFT(G33,4)="M058",LEFT(G33,4)="F058",LEFT(G33,4)="D058"),31,30)),"")=0,"",IFERROR(ROUND(INDEX(Consulta!$A:$DD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IF(IFERROR(INDEX(Consulta!$A:$DD,MATCH($C33,Consulta!$D:$D,0),K$2),"")=0,"",IFERROR(INDEX(Consulta!$A:$DD,MATCH($C33,Consulta!$D:$D,0),K$2),""))</f>
        <v/>
      </c>
      <c r="L33" s="66"/>
    </row>
    <row r="34" spans="1:12" x14ac:dyDescent="0.3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IF(IFERROR(INDEX(Consulta!$A:$DD,MATCH($C34,Consulta!$D:$D,0),G$2),"")=0,"",IFERROR(INDEX(Consulta!$A:$DD,MATCH($C34,Consulta!$D:$D,0),G$2),""))</f>
        <v/>
      </c>
      <c r="H34" s="44" t="s">
        <v>1020</v>
      </c>
      <c r="I34" s="43" t="str">
        <f>IF(IFERROR(INDEX(Consulta!$A:$DD,MATCH($C34,Consulta!$D:$D,0),IF(OR(LEFT(G34,4)="M058",LEFT(G34,4)="F058",LEFT(G34,4)="D058"),31,30)),"")=0,"",IFERROR(ROUND(INDEX(Consulta!$A:$DD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IF(IFERROR(INDEX(Consulta!$A:$DD,MATCH($C34,Consulta!$D:$D,0),K$2),"")=0,"",IFERROR(INDEX(Consulta!$A:$DD,MATCH($C34,Consulta!$D:$D,0),K$2),""))</f>
        <v/>
      </c>
      <c r="L34" s="66"/>
    </row>
    <row r="35" spans="1:12" x14ac:dyDescent="0.3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IF(IFERROR(INDEX(Consulta!$A:$DD,MATCH($C35,Consulta!$D:$D,0),G$2),"")=0,"",IFERROR(INDEX(Consulta!$A:$DD,MATCH($C35,Consulta!$D:$D,0),G$2),""))</f>
        <v/>
      </c>
      <c r="H35" s="44" t="s">
        <v>1020</v>
      </c>
      <c r="I35" s="43" t="str">
        <f>IF(IFERROR(INDEX(Consulta!$A:$DD,MATCH($C35,Consulta!$D:$D,0),IF(OR(LEFT(G35,4)="M058",LEFT(G35,4)="F058",LEFT(G35,4)="D058"),31,30)),"")=0,"",IFERROR(ROUND(INDEX(Consulta!$A:$DD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IF(IFERROR(INDEX(Consulta!$A:$DD,MATCH($C35,Consulta!$D:$D,0),K$2),"")=0,"",IFERROR(INDEX(Consulta!$A:$DD,MATCH($C35,Consulta!$D:$D,0),K$2),""))</f>
        <v/>
      </c>
      <c r="L35" s="66"/>
    </row>
    <row r="36" spans="1:12" x14ac:dyDescent="0.3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IF(IFERROR(INDEX(Consulta!$A:$DD,MATCH($C36,Consulta!$D:$D,0),G$2),"")=0,"",IFERROR(INDEX(Consulta!$A:$DD,MATCH($C36,Consulta!$D:$D,0),G$2),""))</f>
        <v/>
      </c>
      <c r="H36" s="44" t="s">
        <v>1020</v>
      </c>
      <c r="I36" s="43" t="str">
        <f>IF(IFERROR(INDEX(Consulta!$A:$DD,MATCH($C36,Consulta!$D:$D,0),IF(OR(LEFT(G36,4)="M058",LEFT(G36,4)="F058",LEFT(G36,4)="D058"),31,30)),"")=0,"",IFERROR(ROUND(INDEX(Consulta!$A:$DD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IF(IFERROR(INDEX(Consulta!$A:$DD,MATCH($C36,Consulta!$D:$D,0),K$2),"")=0,"",IFERROR(INDEX(Consulta!$A:$DD,MATCH($C36,Consulta!$D:$D,0),K$2),""))</f>
        <v/>
      </c>
      <c r="L36" s="66"/>
    </row>
    <row r="37" spans="1:12" x14ac:dyDescent="0.3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IF(IFERROR(INDEX(Consulta!$A:$DD,MATCH($C37,Consulta!$D:$D,0),G$2),"")=0,"",IFERROR(INDEX(Consulta!$A:$DD,MATCH($C37,Consulta!$D:$D,0),G$2),""))</f>
        <v/>
      </c>
      <c r="H37" s="44" t="s">
        <v>1020</v>
      </c>
      <c r="I37" s="43" t="str">
        <f>IF(IFERROR(INDEX(Consulta!$A:$DD,MATCH($C37,Consulta!$D:$D,0),IF(OR(LEFT(G37,4)="M058",LEFT(G37,4)="F058",LEFT(G37,4)="D058"),31,30)),"")=0,"",IFERROR(ROUND(INDEX(Consulta!$A:$DD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IF(IFERROR(INDEX(Consulta!$A:$DD,MATCH($C37,Consulta!$D:$D,0),K$2),"")=0,"",IFERROR(INDEX(Consulta!$A:$DD,MATCH($C37,Consulta!$D:$D,0),K$2),""))</f>
        <v/>
      </c>
      <c r="L37" s="66"/>
    </row>
    <row r="38" spans="1:12" x14ac:dyDescent="0.3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IF(IFERROR(INDEX(Consulta!$A:$DD,MATCH($C38,Consulta!$D:$D,0),G$2),"")=0,"",IFERROR(INDEX(Consulta!$A:$DD,MATCH($C38,Consulta!$D:$D,0),G$2),""))</f>
        <v/>
      </c>
      <c r="H38" s="44" t="s">
        <v>1020</v>
      </c>
      <c r="I38" s="43" t="str">
        <f>IF(IFERROR(INDEX(Consulta!$A:$DD,MATCH($C38,Consulta!$D:$D,0),IF(OR(LEFT(G38,4)="M058",LEFT(G38,4)="F058",LEFT(G38,4)="D058"),31,30)),"")=0,"",IFERROR(ROUND(INDEX(Consulta!$A:$DD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IF(IFERROR(INDEX(Consulta!$A:$DD,MATCH($C38,Consulta!$D:$D,0),K$2),"")=0,"",IFERROR(INDEX(Consulta!$A:$DD,MATCH($C38,Consulta!$D:$D,0),K$2),""))</f>
        <v/>
      </c>
      <c r="L38" s="66"/>
    </row>
    <row r="39" spans="1:12" x14ac:dyDescent="0.3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IF(IFERROR(INDEX(Consulta!$A:$DD,MATCH($C39,Consulta!$D:$D,0),G$2),"")=0,"",IFERROR(INDEX(Consulta!$A:$DD,MATCH($C39,Consulta!$D:$D,0),G$2),""))</f>
        <v/>
      </c>
      <c r="H39" s="44" t="s">
        <v>1020</v>
      </c>
      <c r="I39" s="43" t="str">
        <f>IF(IFERROR(INDEX(Consulta!$A:$DD,MATCH($C39,Consulta!$D:$D,0),IF(OR(LEFT(G39,4)="M058",LEFT(G39,4)="F058",LEFT(G39,4)="D058"),31,30)),"")=0,"",IFERROR(ROUND(INDEX(Consulta!$A:$DD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IF(IFERROR(INDEX(Consulta!$A:$DD,MATCH($C39,Consulta!$D:$D,0),K$2),"")=0,"",IFERROR(INDEX(Consulta!$A:$DD,MATCH($C39,Consulta!$D:$D,0),K$2),""))</f>
        <v/>
      </c>
      <c r="L39" s="66"/>
    </row>
    <row r="40" spans="1:12" x14ac:dyDescent="0.3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IF(IFERROR(INDEX(Consulta!$A:$DD,MATCH($C40,Consulta!$D:$D,0),G$2),"")=0,"",IFERROR(INDEX(Consulta!$A:$DD,MATCH($C40,Consulta!$D:$D,0),G$2),""))</f>
        <v/>
      </c>
      <c r="H40" s="44" t="s">
        <v>1020</v>
      </c>
      <c r="I40" s="43" t="str">
        <f>IF(IFERROR(INDEX(Consulta!$A:$DD,MATCH($C40,Consulta!$D:$D,0),IF(OR(LEFT(G40,4)="M058",LEFT(G40,4)="F058",LEFT(G40,4)="D058"),31,30)),"")=0,"",IFERROR(ROUND(INDEX(Consulta!$A:$DD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IF(IFERROR(INDEX(Consulta!$A:$DD,MATCH($C40,Consulta!$D:$D,0),K$2),"")=0,"",IFERROR(INDEX(Consulta!$A:$DD,MATCH($C40,Consulta!$D:$D,0),K$2),""))</f>
        <v/>
      </c>
      <c r="L40" s="66"/>
    </row>
    <row r="41" spans="1:12" x14ac:dyDescent="0.3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IF(IFERROR(INDEX(Consulta!$A:$DD,MATCH($C41,Consulta!$D:$D,0),G$2),"")=0,"",IFERROR(INDEX(Consulta!$A:$DD,MATCH($C41,Consulta!$D:$D,0),G$2),""))</f>
        <v/>
      </c>
      <c r="H41" s="44" t="s">
        <v>1020</v>
      </c>
      <c r="I41" s="43" t="str">
        <f>IF(IFERROR(INDEX(Consulta!$A:$DD,MATCH($C41,Consulta!$D:$D,0),IF(OR(LEFT(G41,4)="M058",LEFT(G41,4)="F058",LEFT(G41,4)="D058"),31,30)),"")=0,"",IFERROR(ROUND(INDEX(Consulta!$A:$DD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IF(IFERROR(INDEX(Consulta!$A:$DD,MATCH($C41,Consulta!$D:$D,0),K$2),"")=0,"",IFERROR(INDEX(Consulta!$A:$DD,MATCH($C41,Consulta!$D:$D,0),K$2),""))</f>
        <v/>
      </c>
      <c r="L41" s="66"/>
    </row>
    <row r="42" spans="1:12" x14ac:dyDescent="0.3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IF(IFERROR(INDEX(Consulta!$A:$DD,MATCH($C42,Consulta!$D:$D,0),G$2),"")=0,"",IFERROR(INDEX(Consulta!$A:$DD,MATCH($C42,Consulta!$D:$D,0),G$2),""))</f>
        <v/>
      </c>
      <c r="H42" s="44" t="s">
        <v>1020</v>
      </c>
      <c r="I42" s="43" t="str">
        <f>IF(IFERROR(INDEX(Consulta!$A:$DD,MATCH($C42,Consulta!$D:$D,0),IF(OR(LEFT(G42,4)="M058",LEFT(G42,4)="F058",LEFT(G42,4)="D058"),31,30)),"")=0,"",IFERROR(ROUND(INDEX(Consulta!$A:$DD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IF(IFERROR(INDEX(Consulta!$A:$DD,MATCH($C42,Consulta!$D:$D,0),K$2),"")=0,"",IFERROR(INDEX(Consulta!$A:$DD,MATCH($C42,Consulta!$D:$D,0),K$2),""))</f>
        <v/>
      </c>
      <c r="L42" s="66"/>
    </row>
    <row r="43" spans="1:12" x14ac:dyDescent="0.3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IF(IFERROR(INDEX(Consulta!$A:$DD,MATCH($C43,Consulta!$D:$D,0),G$2),"")=0,"",IFERROR(INDEX(Consulta!$A:$DD,MATCH($C43,Consulta!$D:$D,0),G$2),""))</f>
        <v/>
      </c>
      <c r="H43" s="44" t="s">
        <v>1020</v>
      </c>
      <c r="I43" s="43" t="str">
        <f>IF(IFERROR(INDEX(Consulta!$A:$DD,MATCH($C43,Consulta!$D:$D,0),IF(OR(LEFT(G43,4)="M058",LEFT(G43,4)="F058",LEFT(G43,4)="D058"),31,30)),"")=0,"",IFERROR(ROUND(INDEX(Consulta!$A:$DD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IF(IFERROR(INDEX(Consulta!$A:$DD,MATCH($C43,Consulta!$D:$D,0),K$2),"")=0,"",IFERROR(INDEX(Consulta!$A:$DD,MATCH($C43,Consulta!$D:$D,0),K$2),""))</f>
        <v/>
      </c>
      <c r="L43" s="66"/>
    </row>
    <row r="44" spans="1:12" x14ac:dyDescent="0.3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IF(IFERROR(INDEX(Consulta!$A:$DD,MATCH($C44,Consulta!$D:$D,0),G$2),"")=0,"",IFERROR(INDEX(Consulta!$A:$DD,MATCH($C44,Consulta!$D:$D,0),G$2),""))</f>
        <v/>
      </c>
      <c r="H44" s="44" t="s">
        <v>1020</v>
      </c>
      <c r="I44" s="43" t="str">
        <f>IF(IFERROR(INDEX(Consulta!$A:$DD,MATCH($C44,Consulta!$D:$D,0),IF(OR(LEFT(G44,4)="M058",LEFT(G44,4)="F058",LEFT(G44,4)="D058"),31,30)),"")=0,"",IFERROR(ROUND(INDEX(Consulta!$A:$DD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IF(IFERROR(INDEX(Consulta!$A:$DD,MATCH($C44,Consulta!$D:$D,0),K$2),"")=0,"",IFERROR(INDEX(Consulta!$A:$DD,MATCH($C44,Consulta!$D:$D,0),K$2),""))</f>
        <v/>
      </c>
      <c r="L44" s="66"/>
    </row>
    <row r="45" spans="1:12" x14ac:dyDescent="0.3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IF(IFERROR(INDEX(Consulta!$A:$DD,MATCH($C45,Consulta!$D:$D,0),G$2),"")=0,"",IFERROR(INDEX(Consulta!$A:$DD,MATCH($C45,Consulta!$D:$D,0),G$2),""))</f>
        <v/>
      </c>
      <c r="H45" s="44" t="s">
        <v>1020</v>
      </c>
      <c r="I45" s="43" t="str">
        <f>IF(IFERROR(INDEX(Consulta!$A:$DD,MATCH($C45,Consulta!$D:$D,0),IF(OR(LEFT(G45,4)="M058",LEFT(G45,4)="F058",LEFT(G45,4)="D058"),31,30)),"")=0,"",IFERROR(ROUND(INDEX(Consulta!$A:$DD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IF(IFERROR(INDEX(Consulta!$A:$DD,MATCH($C45,Consulta!$D:$D,0),K$2),"")=0,"",IFERROR(INDEX(Consulta!$A:$DD,MATCH($C45,Consulta!$D:$D,0),K$2),""))</f>
        <v/>
      </c>
      <c r="L45" s="66"/>
    </row>
    <row r="46" spans="1:12" x14ac:dyDescent="0.3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IF(IFERROR(INDEX(Consulta!$A:$DD,MATCH($C46,Consulta!$D:$D,0),G$2),"")=0,"",IFERROR(INDEX(Consulta!$A:$DD,MATCH($C46,Consulta!$D:$D,0),G$2),""))</f>
        <v/>
      </c>
      <c r="H46" s="44" t="s">
        <v>1020</v>
      </c>
      <c r="I46" s="43" t="str">
        <f>IF(IFERROR(INDEX(Consulta!$A:$DD,MATCH($C46,Consulta!$D:$D,0),IF(OR(LEFT(G46,4)="M058",LEFT(G46,4)="F058",LEFT(G46,4)="D058"),31,30)),"")=0,"",IFERROR(ROUND(INDEX(Consulta!$A:$DD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IF(IFERROR(INDEX(Consulta!$A:$DD,MATCH($C46,Consulta!$D:$D,0),K$2),"")=0,"",IFERROR(INDEX(Consulta!$A:$DD,MATCH($C46,Consulta!$D:$D,0),K$2),""))</f>
        <v/>
      </c>
      <c r="L46" s="66"/>
    </row>
    <row r="47" spans="1:12" x14ac:dyDescent="0.3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IF(IFERROR(INDEX(Consulta!$A:$DD,MATCH($C47,Consulta!$D:$D,0),G$2),"")=0,"",IFERROR(INDEX(Consulta!$A:$DD,MATCH($C47,Consulta!$D:$D,0),G$2),""))</f>
        <v/>
      </c>
      <c r="H47" s="44" t="s">
        <v>1020</v>
      </c>
      <c r="I47" s="43" t="str">
        <f>IF(IFERROR(INDEX(Consulta!$A:$DD,MATCH($C47,Consulta!$D:$D,0),IF(OR(LEFT(G47,4)="M058",LEFT(G47,4)="F058",LEFT(G47,4)="D058"),31,30)),"")=0,"",IFERROR(ROUND(INDEX(Consulta!$A:$DD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IF(IFERROR(INDEX(Consulta!$A:$DD,MATCH($C47,Consulta!$D:$D,0),K$2),"")=0,"",IFERROR(INDEX(Consulta!$A:$DD,MATCH($C47,Consulta!$D:$D,0),K$2),""))</f>
        <v/>
      </c>
      <c r="L47" s="66"/>
    </row>
    <row r="48" spans="1:12" x14ac:dyDescent="0.3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IF(IFERROR(INDEX(Consulta!$A:$DD,MATCH($C48,Consulta!$D:$D,0),G$2),"")=0,"",IFERROR(INDEX(Consulta!$A:$DD,MATCH($C48,Consulta!$D:$D,0),G$2),""))</f>
        <v/>
      </c>
      <c r="H48" s="44" t="s">
        <v>1020</v>
      </c>
      <c r="I48" s="43" t="str">
        <f>IF(IFERROR(INDEX(Consulta!$A:$DD,MATCH($C48,Consulta!$D:$D,0),IF(OR(LEFT(G48,4)="M058",LEFT(G48,4)="F058",LEFT(G48,4)="D058"),31,30)),"")=0,"",IFERROR(ROUND(INDEX(Consulta!$A:$DD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IF(IFERROR(INDEX(Consulta!$A:$DD,MATCH($C48,Consulta!$D:$D,0),K$2),"")=0,"",IFERROR(INDEX(Consulta!$A:$DD,MATCH($C48,Consulta!$D:$D,0),K$2),""))</f>
        <v/>
      </c>
      <c r="L48" s="66"/>
    </row>
    <row r="49" spans="1:12" x14ac:dyDescent="0.3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IF(IFERROR(INDEX(Consulta!$A:$DD,MATCH($C49,Consulta!$D:$D,0),G$2),"")=0,"",IFERROR(INDEX(Consulta!$A:$DD,MATCH($C49,Consulta!$D:$D,0),G$2),""))</f>
        <v/>
      </c>
      <c r="H49" s="44" t="s">
        <v>1020</v>
      </c>
      <c r="I49" s="43" t="str">
        <f>IF(IFERROR(INDEX(Consulta!$A:$DD,MATCH($C49,Consulta!$D:$D,0),IF(OR(LEFT(G49,4)="M058",LEFT(G49,4)="F058",LEFT(G49,4)="D058"),31,30)),"")=0,"",IFERROR(ROUND(INDEX(Consulta!$A:$DD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IF(IFERROR(INDEX(Consulta!$A:$DD,MATCH($C49,Consulta!$D:$D,0),K$2),"")=0,"",IFERROR(INDEX(Consulta!$A:$DD,MATCH($C49,Consulta!$D:$D,0),K$2),""))</f>
        <v/>
      </c>
      <c r="L49" s="66"/>
    </row>
    <row r="50" spans="1:12" x14ac:dyDescent="0.3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IF(IFERROR(INDEX(Consulta!$A:$DD,MATCH($C50,Consulta!$D:$D,0),G$2),"")=0,"",IFERROR(INDEX(Consulta!$A:$DD,MATCH($C50,Consulta!$D:$D,0),G$2),""))</f>
        <v/>
      </c>
      <c r="H50" s="44" t="s">
        <v>1020</v>
      </c>
      <c r="I50" s="43" t="str">
        <f>IF(IFERROR(INDEX(Consulta!$A:$DD,MATCH($C50,Consulta!$D:$D,0),IF(OR(LEFT(G50,4)="M058",LEFT(G50,4)="F058",LEFT(G50,4)="D058"),31,30)),"")=0,"",IFERROR(ROUND(INDEX(Consulta!$A:$DD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IF(IFERROR(INDEX(Consulta!$A:$DD,MATCH($C50,Consulta!$D:$D,0),K$2),"")=0,"",IFERROR(INDEX(Consulta!$A:$DD,MATCH($C50,Consulta!$D:$D,0),K$2),""))</f>
        <v/>
      </c>
      <c r="L50" s="66"/>
    </row>
    <row r="51" spans="1:12" x14ac:dyDescent="0.3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IF(IFERROR(INDEX(Consulta!$A:$DD,MATCH($C51,Consulta!$D:$D,0),G$2),"")=0,"",IFERROR(INDEX(Consulta!$A:$DD,MATCH($C51,Consulta!$D:$D,0),G$2),""))</f>
        <v/>
      </c>
      <c r="H51" s="44" t="s">
        <v>1020</v>
      </c>
      <c r="I51" s="43" t="str">
        <f>IF(IFERROR(INDEX(Consulta!$A:$DD,MATCH($C51,Consulta!$D:$D,0),IF(OR(LEFT(G51,4)="M058",LEFT(G51,4)="F058",LEFT(G51,4)="D058"),31,30)),"")=0,"",IFERROR(ROUND(INDEX(Consulta!$A:$DD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IF(IFERROR(INDEX(Consulta!$A:$DD,MATCH($C51,Consulta!$D:$D,0),K$2),"")=0,"",IFERROR(INDEX(Consulta!$A:$DD,MATCH($C51,Consulta!$D:$D,0),K$2),""))</f>
        <v/>
      </c>
      <c r="L51" s="66"/>
    </row>
    <row r="52" spans="1:12" x14ac:dyDescent="0.3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IF(IFERROR(INDEX(Consulta!$A:$DD,MATCH($C52,Consulta!$D:$D,0),G$2),"")=0,"",IFERROR(INDEX(Consulta!$A:$DD,MATCH($C52,Consulta!$D:$D,0),G$2),""))</f>
        <v/>
      </c>
      <c r="H52" s="44" t="s">
        <v>1020</v>
      </c>
      <c r="I52" s="43" t="str">
        <f>IF(IFERROR(INDEX(Consulta!$A:$DD,MATCH($C52,Consulta!$D:$D,0),IF(OR(LEFT(G52,4)="M058",LEFT(G52,4)="F058",LEFT(G52,4)="D058"),31,30)),"")=0,"",IFERROR(ROUND(INDEX(Consulta!$A:$DD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IF(IFERROR(INDEX(Consulta!$A:$DD,MATCH($C52,Consulta!$D:$D,0),K$2),"")=0,"",IFERROR(INDEX(Consulta!$A:$DD,MATCH($C52,Consulta!$D:$D,0),K$2),""))</f>
        <v/>
      </c>
      <c r="L52" s="66"/>
    </row>
    <row r="53" spans="1:12" x14ac:dyDescent="0.3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IF(IFERROR(INDEX(Consulta!$A:$DD,MATCH($C53,Consulta!$D:$D,0),G$2),"")=0,"",IFERROR(INDEX(Consulta!$A:$DD,MATCH($C53,Consulta!$D:$D,0),G$2),""))</f>
        <v/>
      </c>
      <c r="H53" s="44" t="s">
        <v>1020</v>
      </c>
      <c r="I53" s="43" t="str">
        <f>IF(IFERROR(INDEX(Consulta!$A:$DD,MATCH($C53,Consulta!$D:$D,0),IF(OR(LEFT(G53,4)="M058",LEFT(G53,4)="F058",LEFT(G53,4)="D058"),31,30)),"")=0,"",IFERROR(ROUND(INDEX(Consulta!$A:$DD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IF(IFERROR(INDEX(Consulta!$A:$DD,MATCH($C53,Consulta!$D:$D,0),K$2),"")=0,"",IFERROR(INDEX(Consulta!$A:$DD,MATCH($C53,Consulta!$D:$D,0),K$2),""))</f>
        <v/>
      </c>
      <c r="L53" s="66"/>
    </row>
    <row r="54" spans="1:12" x14ac:dyDescent="0.3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IF(IFERROR(INDEX(Consulta!$A:$DD,MATCH($C54,Consulta!$D:$D,0),G$2),"")=0,"",IFERROR(INDEX(Consulta!$A:$DD,MATCH($C54,Consulta!$D:$D,0),G$2),""))</f>
        <v/>
      </c>
      <c r="H54" s="44" t="s">
        <v>1020</v>
      </c>
      <c r="I54" s="43" t="str">
        <f>IF(IFERROR(INDEX(Consulta!$A:$DD,MATCH($C54,Consulta!$D:$D,0),IF(OR(LEFT(G54,4)="M058",LEFT(G54,4)="F058",LEFT(G54,4)="D058"),31,30)),"")=0,"",IFERROR(ROUND(INDEX(Consulta!$A:$DD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IF(IFERROR(INDEX(Consulta!$A:$DD,MATCH($C54,Consulta!$D:$D,0),K$2),"")=0,"",IFERROR(INDEX(Consulta!$A:$DD,MATCH($C54,Consulta!$D:$D,0),K$2),""))</f>
        <v/>
      </c>
      <c r="L54" s="67"/>
    </row>
  </sheetData>
  <conditionalFormatting sqref="B5:C5 C6:C54">
    <cfRule type="beginsWith" dxfId="104" priority="20" operator="beginsWith" text="L">
      <formula>LEFT(B5,LEN("L"))="L"</formula>
    </cfRule>
  </conditionalFormatting>
  <conditionalFormatting sqref="B6:B14">
    <cfRule type="beginsWith" dxfId="103" priority="19" operator="beginsWith" text="L">
      <formula>LEFT(B6,LEN("L"))="L"</formula>
    </cfRule>
  </conditionalFormatting>
  <conditionalFormatting sqref="B15:B54">
    <cfRule type="beginsWith" dxfId="102" priority="18" operator="beginsWith" text="L">
      <formula>LEFT(B15,LEN("L"))="L"</formula>
    </cfRule>
  </conditionalFormatting>
  <conditionalFormatting sqref="L1:L1048576">
    <cfRule type="containsText" dxfId="101" priority="13" operator="containsText" text="criada">
      <formula>NOT(ISERROR(SEARCH("criada",L1)))</formula>
    </cfRule>
    <cfRule type="containsText" dxfId="100" priority="14" operator="containsText" text="é gravado">
      <formula>NOT(ISERROR(SEARCH("é gravado",L1)))</formula>
    </cfRule>
    <cfRule type="containsText" dxfId="99" priority="15" operator="containsText" text="é modificado">
      <formula>NOT(ISERROR(SEARCH("é modificado",L1)))</formula>
    </cfRule>
    <cfRule type="containsText" dxfId="98" priority="16" operator="containsText" text="Error">
      <formula>NOT(ISERROR(SEARCH("Error",L1)))</formula>
    </cfRule>
    <cfRule type="containsText" dxfId="97" priority="17" operator="containsText" text="é criado">
      <formula>NOT(ISERROR(SEARCH("é criado",L1)))</formula>
    </cfRule>
  </conditionalFormatting>
  <conditionalFormatting sqref="E5:E54">
    <cfRule type="beginsWith" dxfId="96" priority="10" operator="beginsWith" text="L">
      <formula>LEFT(E5,LEN("L"))="L"</formula>
    </cfRule>
  </conditionalFormatting>
  <conditionalFormatting sqref="G5:G54">
    <cfRule type="beginsWith" dxfId="95" priority="6" operator="beginsWith" text="L">
      <formula>LEFT(G5,LEN("L"))="L"</formula>
    </cfRule>
  </conditionalFormatting>
  <conditionalFormatting sqref="I5:I54">
    <cfRule type="beginsWith" dxfId="94" priority="2" operator="beginsWith" text="L">
      <formula>LEFT(I5,LEN("L"))="L"</formula>
    </cfRule>
  </conditionalFormatting>
  <conditionalFormatting sqref="K5:K54">
    <cfRule type="beginsWith" dxfId="93" priority="4" operator="beginsWith" text="L">
      <formula>LEFT(K5,LEN("L"))="L"</formula>
    </cfRule>
  </conditionalFormatting>
  <conditionalFormatting sqref="J5:J54">
    <cfRule type="beginsWith" dxfId="92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bestFit="1" customWidth="1"/>
    <col min="3" max="3" width="17.5703125" style="6" bestFit="1" customWidth="1"/>
    <col min="4" max="4" width="85.7109375" style="1" customWidth="1"/>
    <col min="5" max="5" width="22" style="1" bestFit="1" customWidth="1"/>
    <col min="6" max="16384" width="9.140625" style="1"/>
  </cols>
  <sheetData>
    <row r="1" spans="1:4" s="51" customFormat="1" x14ac:dyDescent="0.3">
      <c r="A1" s="7" t="s">
        <v>28</v>
      </c>
      <c r="D1" s="59"/>
    </row>
    <row r="2" spans="1:4" s="41" customFormat="1" x14ac:dyDescent="0.3">
      <c r="A2" s="7"/>
      <c r="B2" s="40"/>
      <c r="C2" s="51"/>
    </row>
    <row r="3" spans="1:4" s="51" customFormat="1" ht="15" customHeight="1" x14ac:dyDescent="0.3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3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3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3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3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3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3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3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3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3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3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3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3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3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3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3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3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3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3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3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3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3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3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3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3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3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3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3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3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3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3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3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3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3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3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3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3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3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3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3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3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3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3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3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3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3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3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3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3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3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3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3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91" priority="33" operator="beginsWith" text="L">
      <formula>LEFT(B5,LEN("L"))="L"</formula>
    </cfRule>
  </conditionalFormatting>
  <conditionalFormatting sqref="B6:B14">
    <cfRule type="beginsWith" dxfId="90" priority="30" operator="beginsWith" text="L">
      <formula>LEFT(B6,LEN("L"))="L"</formula>
    </cfRule>
  </conditionalFormatting>
  <conditionalFormatting sqref="B15:B54">
    <cfRule type="beginsWith" dxfId="89" priority="29" operator="beginsWith" text="L">
      <formula>LEFT(B15,LEN("L"))="L"</formula>
    </cfRule>
  </conditionalFormatting>
  <conditionalFormatting sqref="D1:D1048576">
    <cfRule type="containsText" dxfId="88" priority="1" operator="containsText" text="será criado">
      <formula>NOT(ISERROR(SEARCH("será criado",D1)))</formula>
    </cfRule>
    <cfRule type="containsText" dxfId="87" priority="2" operator="containsText" text="criadas">
      <formula>NOT(ISERROR(SEARCH("criadas",D1)))</formula>
    </cfRule>
    <cfRule type="containsText" dxfId="86" priority="3" operator="containsText" text="é gravado">
      <formula>NOT(ISERROR(SEARCH("é gravado",D1)))</formula>
    </cfRule>
    <cfRule type="containsText" dxfId="85" priority="4" operator="containsText" text="é modificado">
      <formula>NOT(ISERROR(SEARCH("é modificado",D1)))</formula>
    </cfRule>
    <cfRule type="containsText" dxfId="84" priority="5" operator="containsText" text="Error">
      <formula>NOT(ISERROR(SEARCH("Error",D1)))</formula>
    </cfRule>
    <cfRule type="containsText" dxfId="83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3"/>
  <cols>
    <col min="1" max="1" width="11.7109375" style="7" bestFit="1" customWidth="1"/>
    <col min="2" max="2" width="18.5703125" style="6" customWidth="1"/>
    <col min="3" max="3" width="18.140625" style="6" bestFit="1" customWidth="1"/>
    <col min="4" max="4" width="30.140625" style="6" bestFit="1" customWidth="1"/>
    <col min="5" max="6" width="30.5703125" style="6" bestFit="1" customWidth="1"/>
    <col min="7" max="7" width="29.28515625" style="6" bestFit="1" customWidth="1"/>
    <col min="8" max="8" width="29.85546875" style="6" bestFit="1" customWidth="1"/>
    <col min="9" max="9" width="30" style="6" bestFit="1" customWidth="1"/>
    <col min="10" max="10" width="75.7109375" style="1" customWidth="1"/>
    <col min="11" max="11" width="22" style="1" bestFit="1" customWidth="1"/>
    <col min="12" max="16384" width="9.140625" style="1"/>
  </cols>
  <sheetData>
    <row r="1" spans="1:10" s="87" customFormat="1" x14ac:dyDescent="0.3">
      <c r="A1" s="7" t="s">
        <v>28</v>
      </c>
    </row>
    <row r="2" spans="1:10" s="41" customFormat="1" x14ac:dyDescent="0.3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3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3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3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11.02.2022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3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11.02.2022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3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11.02.2022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3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11.02.2022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3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11.02.2022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3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11.02.2022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3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11.02.2022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3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11.02.2022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3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11.02.2022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3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11.02.2022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3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11.02.2022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3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11.02.2022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3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11.02.2022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3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11.02.2022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3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11.02.2022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3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11.02.2022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3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11.02.2022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3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11.02.2022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3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11.02.2022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3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11.02.2022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3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11.02.2022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3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11.02.2022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3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11.02.2022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3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11.02.2022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3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11.02.2022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3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11.02.2022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3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11.02.2022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3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11.02.2022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3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11.02.2022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3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11.02.2022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3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11.02.2022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3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11.02.2022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3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11.02.2022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3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11.02.2022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3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11.02.2022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3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11.02.2022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3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11.02.2022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3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11.02.2022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3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11.02.2022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3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11.02.2022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3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11.02.2022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3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11.02.2022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3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11.02.2022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3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11.02.2022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3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11.02.2022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3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11.02.2022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3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11.02.2022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3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11.02.2022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3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11.02.2022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3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11.02.2022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82" priority="8" operator="beginsWith" text="L">
      <formula>LEFT(B5,LEN("L"))="L"</formula>
    </cfRule>
  </conditionalFormatting>
  <conditionalFormatting sqref="B6:B14">
    <cfRule type="beginsWith" dxfId="81" priority="7" operator="beginsWith" text="L">
      <formula>LEFT(B6,LEN("L"))="L"</formula>
    </cfRule>
  </conditionalFormatting>
  <conditionalFormatting sqref="B15:B54">
    <cfRule type="beginsWith" dxfId="80" priority="6" operator="beginsWith" text="L">
      <formula>LEFT(B15,LEN("L"))="L"</formula>
    </cfRule>
  </conditionalFormatting>
  <conditionalFormatting sqref="J1:J1048576">
    <cfRule type="containsText" dxfId="79" priority="1" operator="containsText" text="criadas">
      <formula>NOT(ISERROR(SEARCH("criadas",J1)))</formula>
    </cfRule>
    <cfRule type="containsText" dxfId="78" priority="2" operator="containsText" text="é gravado">
      <formula>NOT(ISERROR(SEARCH("é gravado",J1)))</formula>
    </cfRule>
    <cfRule type="containsText" dxfId="77" priority="3" operator="containsText" text="é modificado">
      <formula>NOT(ISERROR(SEARCH("é modificado",J1)))</formula>
    </cfRule>
    <cfRule type="containsText" dxfId="76" priority="4" operator="containsText" text="Error">
      <formula>NOT(ISERROR(SEARCH("Error",J1)))</formula>
    </cfRule>
    <cfRule type="containsText" dxfId="75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L659"/>
  <sheetViews>
    <sheetView showGridLines="0" showRowColHeaders="0" workbookViewId="0">
      <selection sqref="A1:BS4"/>
    </sheetView>
  </sheetViews>
  <sheetFormatPr defaultColWidth="0" defaultRowHeight="15" zeroHeight="1" x14ac:dyDescent="0.3"/>
  <cols>
    <col min="1" max="1" width="6.28515625" customWidth="1"/>
    <col min="2" max="2" width="6.42578125" bestFit="1" customWidth="1"/>
    <col min="3" max="3" width="14.140625" customWidth="1"/>
    <col min="4" max="4" width="34.85546875" customWidth="1"/>
    <col min="5" max="5" width="14.140625" customWidth="1"/>
    <col min="6" max="6" width="33.5703125" customWidth="1"/>
    <col min="7" max="7" width="8.85546875" bestFit="1" customWidth="1"/>
    <col min="8" max="8" width="14.5703125" bestFit="1" customWidth="1"/>
    <col min="9" max="9" width="12.28515625" bestFit="1" customWidth="1"/>
    <col min="10" max="10" width="19" customWidth="1"/>
    <col min="11" max="11" width="13.7109375" customWidth="1"/>
    <col min="12" max="13" width="13.7109375" bestFit="1" customWidth="1"/>
    <col min="14" max="14" width="15.5703125" customWidth="1"/>
    <col min="15" max="15" width="18.5703125" customWidth="1"/>
    <col min="16" max="16" width="16.85546875" customWidth="1"/>
    <col min="17" max="17" width="11" bestFit="1" customWidth="1"/>
    <col min="18" max="18" width="18.85546875" bestFit="1" customWidth="1"/>
    <col min="19" max="19" width="17.140625" bestFit="1" customWidth="1"/>
    <col min="20" max="20" width="18.28515625" bestFit="1" customWidth="1"/>
    <col min="21" max="21" width="10.42578125" customWidth="1"/>
    <col min="22" max="22" width="11.42578125" bestFit="1" customWidth="1"/>
    <col min="23" max="23" width="19" bestFit="1" customWidth="1"/>
    <col min="24" max="24" width="9" bestFit="1" customWidth="1"/>
    <col min="25" max="25" width="11.5703125" bestFit="1" customWidth="1"/>
    <col min="26" max="26" width="10.5703125" bestFit="1" customWidth="1"/>
    <col min="27" max="27" width="22.5703125" customWidth="1"/>
    <col min="28" max="28" width="25.7109375" customWidth="1"/>
    <col min="29" max="29" width="64.7109375" bestFit="1" customWidth="1"/>
    <col min="30" max="30" width="62.7109375" bestFit="1" customWidth="1"/>
    <col min="31" max="31" width="61.5703125" bestFit="1" customWidth="1"/>
    <col min="32" max="32" width="12" customWidth="1"/>
    <col min="33" max="33" width="13.42578125" customWidth="1"/>
    <col min="34" max="34" width="18.85546875" bestFit="1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bestFit="1" customWidth="1"/>
    <col min="41" max="41" width="12.140625" customWidth="1"/>
    <col min="42" max="42" width="7.42578125" customWidth="1"/>
    <col min="43" max="43" width="24.140625" bestFit="1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bestFit="1" customWidth="1"/>
    <col min="50" max="50" width="24.28515625" customWidth="1"/>
    <col min="51" max="51" width="25.28515625" bestFit="1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3" width="11.42578125" customWidth="1"/>
    <col min="74" max="89" width="9.85546875" hidden="1" customWidth="1"/>
    <col min="90" max="90" width="0" hidden="1" customWidth="1"/>
    <col min="91" max="16384" width="9.140625" hidden="1"/>
  </cols>
  <sheetData>
    <row r="1" spans="1:90" ht="45" x14ac:dyDescent="0.3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1040</v>
      </c>
      <c r="BS1" s="38" t="s">
        <v>1041</v>
      </c>
      <c r="CB1" s="38"/>
      <c r="CC1" s="38"/>
      <c r="CD1" s="38"/>
      <c r="CE1" s="38"/>
      <c r="CF1" s="38"/>
      <c r="CG1" s="38"/>
      <c r="CH1" s="38"/>
      <c r="CI1" s="38"/>
      <c r="CJ1" s="38"/>
      <c r="CK1" s="38"/>
    </row>
    <row r="2" spans="1:90" x14ac:dyDescent="0.3">
      <c r="A2" s="38"/>
      <c r="B2" s="38" t="s">
        <v>1042</v>
      </c>
      <c r="C2" s="38" t="s">
        <v>1064</v>
      </c>
      <c r="D2" s="38" t="s">
        <v>1051</v>
      </c>
      <c r="E2" s="38" t="s">
        <v>1052</v>
      </c>
      <c r="F2" s="38" t="s">
        <v>1051</v>
      </c>
      <c r="G2" s="38" t="s">
        <v>9</v>
      </c>
      <c r="H2" s="38">
        <v>2400</v>
      </c>
      <c r="I2" s="38">
        <v>2.597</v>
      </c>
      <c r="J2" s="38" t="s">
        <v>1053</v>
      </c>
      <c r="K2" s="38" t="s">
        <v>193</v>
      </c>
      <c r="L2" s="38" t="s">
        <v>195</v>
      </c>
      <c r="M2" s="38" t="s">
        <v>196</v>
      </c>
      <c r="N2" s="38" t="s">
        <v>198</v>
      </c>
      <c r="O2" s="38" t="s">
        <v>199</v>
      </c>
      <c r="P2" s="38" t="s">
        <v>1054</v>
      </c>
      <c r="Q2" s="38" t="s">
        <v>864</v>
      </c>
      <c r="R2" s="38" t="s">
        <v>1055</v>
      </c>
      <c r="S2" s="38" t="s">
        <v>1056</v>
      </c>
      <c r="T2" s="38" t="s">
        <v>1049</v>
      </c>
      <c r="U2" s="38" t="s">
        <v>1043</v>
      </c>
      <c r="V2" s="38">
        <v>140</v>
      </c>
      <c r="W2" s="38" t="s">
        <v>690</v>
      </c>
      <c r="X2" s="38">
        <v>900</v>
      </c>
      <c r="Y2" s="38">
        <v>9060</v>
      </c>
      <c r="Z2" s="38">
        <v>1.5</v>
      </c>
      <c r="AA2" s="38" t="s">
        <v>1057</v>
      </c>
      <c r="AB2" s="38">
        <v>7250</v>
      </c>
      <c r="AC2" s="38" t="s">
        <v>1058</v>
      </c>
      <c r="AD2" s="38" t="s">
        <v>1059</v>
      </c>
      <c r="AE2" s="38" t="s">
        <v>1060</v>
      </c>
      <c r="AF2" s="38"/>
      <c r="AG2" s="38"/>
      <c r="AH2" s="38"/>
      <c r="AI2" s="38"/>
      <c r="AJ2" s="38"/>
      <c r="AK2" s="38" t="s">
        <v>1044</v>
      </c>
      <c r="AL2" s="38" t="s">
        <v>1044</v>
      </c>
      <c r="AM2" s="38"/>
      <c r="AN2" s="38" t="s">
        <v>1044</v>
      </c>
      <c r="AO2" s="38"/>
      <c r="AP2" s="38" t="s">
        <v>1044</v>
      </c>
      <c r="AQ2" s="38" t="s">
        <v>1044</v>
      </c>
      <c r="AR2" s="38" t="s">
        <v>1044</v>
      </c>
      <c r="AS2" s="38"/>
      <c r="AT2" s="38"/>
      <c r="AU2" s="38"/>
      <c r="AV2" s="38" t="s">
        <v>1044</v>
      </c>
      <c r="AW2" s="38" t="s">
        <v>1044</v>
      </c>
      <c r="AX2" s="38" t="s">
        <v>1044</v>
      </c>
      <c r="AY2" s="38" t="s">
        <v>1044</v>
      </c>
      <c r="AZ2" s="38"/>
      <c r="BA2" s="38"/>
      <c r="BB2" s="38"/>
      <c r="BC2" s="64" t="s">
        <v>9</v>
      </c>
      <c r="BD2" s="38" t="s">
        <v>1061</v>
      </c>
      <c r="BE2" s="38" t="s">
        <v>5</v>
      </c>
      <c r="BF2" s="38" t="s">
        <v>1045</v>
      </c>
      <c r="BG2" s="38" t="s">
        <v>6</v>
      </c>
      <c r="BH2" s="38" t="s">
        <v>1046</v>
      </c>
      <c r="BI2" s="38"/>
      <c r="BJ2" s="38" t="s">
        <v>1048</v>
      </c>
      <c r="BK2" s="38"/>
      <c r="BL2" s="38" t="s">
        <v>826</v>
      </c>
      <c r="BM2" s="38"/>
      <c r="BN2" s="38" t="s">
        <v>600</v>
      </c>
      <c r="BO2" s="38" t="s">
        <v>532</v>
      </c>
      <c r="BP2" s="38" t="s">
        <v>532</v>
      </c>
      <c r="BQ2" s="38"/>
      <c r="BR2" s="38"/>
      <c r="BS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</row>
    <row r="3" spans="1:90" hidden="1" x14ac:dyDescent="0.3">
      <c r="A3" s="38"/>
      <c r="B3" s="38" t="s">
        <v>1062</v>
      </c>
      <c r="C3" s="38" t="s">
        <v>1057</v>
      </c>
      <c r="D3" s="38" t="s">
        <v>1063</v>
      </c>
      <c r="E3" s="38"/>
      <c r="F3" s="38"/>
      <c r="G3" s="38"/>
      <c r="H3" s="38">
        <v>7250</v>
      </c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</row>
    <row r="4" spans="1:90" x14ac:dyDescent="0.3">
      <c r="A4" s="38" t="s">
        <v>820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>
        <f>SUBTOTAL(103,Estrutura_P01[Column71])</f>
        <v>0</v>
      </c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</row>
    <row r="5" spans="1:90" x14ac:dyDescent="0.3">
      <c r="A5" t="s">
        <v>532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</row>
    <row r="6" spans="1:90" x14ac:dyDescent="0.3"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</row>
    <row r="7" spans="1:90" x14ac:dyDescent="0.3"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</row>
    <row r="8" spans="1:90" x14ac:dyDescent="0.3"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</row>
    <row r="9" spans="1:90" x14ac:dyDescent="0.3"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</row>
    <row r="10" spans="1:90" x14ac:dyDescent="0.3"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</row>
    <row r="11" spans="1:90" x14ac:dyDescent="0.3"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</row>
    <row r="12" spans="1:90" x14ac:dyDescent="0.3"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</row>
    <row r="13" spans="1:90" x14ac:dyDescent="0.3"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</row>
    <row r="14" spans="1:90" x14ac:dyDescent="0.3"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</row>
    <row r="15" spans="1:90" x14ac:dyDescent="0.3"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</row>
    <row r="16" spans="1:90" x14ac:dyDescent="0.3"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</row>
    <row r="17" spans="80:90" x14ac:dyDescent="0.3"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</row>
    <row r="18" spans="80:90" x14ac:dyDescent="0.3"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</row>
    <row r="19" spans="80:90" x14ac:dyDescent="0.3"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</row>
    <row r="20" spans="80:90" x14ac:dyDescent="0.3"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</row>
    <row r="21" spans="80:90" x14ac:dyDescent="0.3"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</row>
    <row r="22" spans="80:90" x14ac:dyDescent="0.3"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</row>
    <row r="23" spans="80:90" x14ac:dyDescent="0.3"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</row>
    <row r="24" spans="80:90" x14ac:dyDescent="0.3"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</row>
    <row r="25" spans="80:90" x14ac:dyDescent="0.3"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</row>
    <row r="26" spans="80:90" x14ac:dyDescent="0.3"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</row>
    <row r="27" spans="80:90" x14ac:dyDescent="0.3"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</row>
    <row r="28" spans="80:90" x14ac:dyDescent="0.3"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</row>
    <row r="29" spans="80:90" x14ac:dyDescent="0.3"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</row>
    <row r="30" spans="80:90" x14ac:dyDescent="0.3"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</row>
    <row r="31" spans="80:90" x14ac:dyDescent="0.3"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</row>
    <row r="32" spans="80:90" x14ac:dyDescent="0.3">
      <c r="CH32" s="38"/>
      <c r="CI32" s="38"/>
      <c r="CJ32" s="38"/>
      <c r="CK32" s="38"/>
      <c r="CL32" s="38"/>
    </row>
    <row r="33" spans="86:90" x14ac:dyDescent="0.3">
      <c r="CH33" s="38"/>
      <c r="CI33" s="38"/>
      <c r="CJ33" s="38"/>
      <c r="CK33" s="38"/>
      <c r="CL33" s="38"/>
    </row>
    <row r="34" spans="86:90" x14ac:dyDescent="0.3">
      <c r="CH34" s="38"/>
      <c r="CI34" s="38"/>
      <c r="CJ34" s="38"/>
      <c r="CK34" s="38"/>
      <c r="CL34" s="38"/>
    </row>
    <row r="35" spans="86:90" x14ac:dyDescent="0.3">
      <c r="CH35" s="38"/>
      <c r="CI35" s="38"/>
      <c r="CJ35" s="38"/>
      <c r="CK35" s="38"/>
      <c r="CL35" s="38"/>
    </row>
    <row r="36" spans="86:90" x14ac:dyDescent="0.3">
      <c r="CH36" s="38"/>
      <c r="CI36" s="38"/>
      <c r="CJ36" s="38"/>
      <c r="CK36" s="38"/>
      <c r="CL36" s="38"/>
    </row>
    <row r="37" spans="86:90" x14ac:dyDescent="0.3">
      <c r="CH37" s="38"/>
      <c r="CI37" s="38"/>
      <c r="CJ37" s="38"/>
      <c r="CK37" s="38"/>
      <c r="CL37" s="38"/>
    </row>
    <row r="38" spans="86:90" x14ac:dyDescent="0.3"/>
    <row r="39" spans="86:90" x14ac:dyDescent="0.3"/>
    <row r="40" spans="86:90" x14ac:dyDescent="0.3"/>
    <row r="41" spans="86:90" x14ac:dyDescent="0.3"/>
    <row r="42" spans="86:90" x14ac:dyDescent="0.3"/>
    <row r="43" spans="86:90" x14ac:dyDescent="0.3"/>
    <row r="44" spans="86:90" x14ac:dyDescent="0.3"/>
    <row r="45" spans="86:90" x14ac:dyDescent="0.3"/>
    <row r="46" spans="86:90" x14ac:dyDescent="0.3"/>
    <row r="47" spans="86:90" x14ac:dyDescent="0.3"/>
    <row r="48" spans="86:90" x14ac:dyDescent="0.3"/>
    <row r="49" spans="89:89" hidden="1" x14ac:dyDescent="0.3"/>
    <row r="50" spans="89:89" hidden="1" x14ac:dyDescent="0.3"/>
    <row r="51" spans="89:89" hidden="1" x14ac:dyDescent="0.3"/>
    <row r="52" spans="89:89" hidden="1" x14ac:dyDescent="0.3"/>
    <row r="53" spans="89:89" hidden="1" x14ac:dyDescent="0.3">
      <c r="CK53" t="e">
        <f>SUBTOTAL(103,#REF!)</f>
        <v>#REF!</v>
      </c>
    </row>
    <row r="54" spans="89:89" hidden="1" x14ac:dyDescent="0.3"/>
    <row r="55" spans="89:89" hidden="1" x14ac:dyDescent="0.3"/>
    <row r="56" spans="89:89" hidden="1" x14ac:dyDescent="0.3"/>
    <row r="57" spans="89:89" hidden="1" x14ac:dyDescent="0.3"/>
    <row r="58" spans="89:89" hidden="1" x14ac:dyDescent="0.3"/>
    <row r="59" spans="89:89" hidden="1" x14ac:dyDescent="0.3"/>
    <row r="60" spans="89:89" hidden="1" x14ac:dyDescent="0.3"/>
    <row r="61" spans="89:89" hidden="1" x14ac:dyDescent="0.3"/>
    <row r="62" spans="89:89" hidden="1" x14ac:dyDescent="0.3"/>
    <row r="63" spans="89:89" hidden="1" x14ac:dyDescent="0.3"/>
    <row r="64" spans="89:89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11" sqref="A11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71" width="2.5703125" style="6" customWidth="1"/>
    <col min="72" max="72" width="7" style="83" bestFit="1" customWidth="1"/>
    <col min="73" max="73" width="15.7109375" style="83" bestFit="1" customWidth="1"/>
    <col min="74" max="75" width="33.5703125" style="83" bestFit="1" customWidth="1"/>
    <col min="76" max="16384" width="9.140625" style="6"/>
  </cols>
  <sheetData>
    <row r="1" spans="1:75" s="2" customFormat="1" ht="17.100000000000001" customHeight="1" x14ac:dyDescent="0.3">
      <c r="A1" s="92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3">
      <c r="A2" s="92"/>
      <c r="B2" s="92" t="s">
        <v>10</v>
      </c>
      <c r="C2" s="92"/>
      <c r="D2" s="92"/>
      <c r="E2" s="92"/>
      <c r="F2" s="15"/>
      <c r="G2" s="92" t="s">
        <v>33</v>
      </c>
      <c r="H2" s="92"/>
      <c r="I2" s="15"/>
      <c r="J2" s="92" t="s">
        <v>127</v>
      </c>
      <c r="K2" s="92"/>
      <c r="L2" s="15"/>
      <c r="M2" s="92" t="s">
        <v>172</v>
      </c>
      <c r="N2" s="92"/>
      <c r="O2" s="15"/>
      <c r="P2" s="92" t="s">
        <v>186</v>
      </c>
      <c r="Q2" s="92"/>
      <c r="R2" s="92"/>
      <c r="S2" s="92"/>
      <c r="T2" s="92"/>
      <c r="U2" s="92"/>
      <c r="V2" s="92"/>
      <c r="W2" s="92"/>
      <c r="X2" s="92"/>
      <c r="Y2" s="92"/>
      <c r="Z2" s="34"/>
      <c r="AA2" s="92" t="s">
        <v>292</v>
      </c>
      <c r="AB2" s="92"/>
      <c r="AC2" s="15"/>
      <c r="AD2" s="92" t="s">
        <v>323</v>
      </c>
      <c r="AE2" s="92"/>
      <c r="AF2" s="19"/>
      <c r="AG2" s="19" t="s">
        <v>323</v>
      </c>
      <c r="AH2" s="22"/>
      <c r="AI2" s="92" t="s">
        <v>373</v>
      </c>
      <c r="AJ2" s="92"/>
      <c r="AK2" s="22"/>
      <c r="AL2" s="92" t="s">
        <v>410</v>
      </c>
      <c r="AM2" s="92"/>
      <c r="AN2" s="22"/>
      <c r="AO2" s="92" t="s">
        <v>33</v>
      </c>
      <c r="AP2" s="92"/>
      <c r="AQ2" s="22"/>
      <c r="AR2" s="92" t="s">
        <v>413</v>
      </c>
      <c r="AS2" s="92"/>
      <c r="AT2" s="22"/>
      <c r="AU2" s="92" t="s">
        <v>428</v>
      </c>
      <c r="AV2" s="92"/>
      <c r="AW2" s="22"/>
      <c r="AX2" s="92" t="s">
        <v>493</v>
      </c>
      <c r="AY2" s="92"/>
      <c r="AZ2" s="25"/>
      <c r="BA2" s="92" t="s">
        <v>530</v>
      </c>
      <c r="BB2" s="92"/>
      <c r="BC2" s="92"/>
      <c r="BD2" s="92"/>
      <c r="BE2" s="28"/>
      <c r="BF2" s="92" t="s">
        <v>687</v>
      </c>
      <c r="BG2" s="92"/>
      <c r="BH2" s="92"/>
      <c r="BI2" s="37"/>
      <c r="BJ2" s="92" t="s">
        <v>817</v>
      </c>
      <c r="BK2" s="92"/>
      <c r="BL2" s="53"/>
      <c r="BM2" s="53" t="s">
        <v>99</v>
      </c>
      <c r="BN2" s="53"/>
      <c r="BO2" s="92" t="s">
        <v>891</v>
      </c>
      <c r="BP2" s="92"/>
      <c r="BQ2" s="53"/>
      <c r="BR2" s="53" t="s">
        <v>892</v>
      </c>
      <c r="BS2" s="73"/>
      <c r="BT2" s="93" t="s">
        <v>941</v>
      </c>
      <c r="BU2" s="93"/>
      <c r="BV2" s="93"/>
      <c r="BW2" s="93"/>
    </row>
    <row r="3" spans="1:75" s="2" customFormat="1" ht="17.100000000000001" customHeight="1" x14ac:dyDescent="0.3">
      <c r="A3" s="9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3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3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3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3">
      <c r="A7" s="78" t="s">
        <v>1050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ht="15" x14ac:dyDescent="0.3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ht="15" x14ac:dyDescent="0.3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ht="15" x14ac:dyDescent="0.3">
      <c r="A10" s="77" t="s">
        <v>1047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ht="15" x14ac:dyDescent="0.3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ht="15" x14ac:dyDescent="0.3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ht="15" x14ac:dyDescent="0.3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ht="15" x14ac:dyDescent="0.3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ht="15" x14ac:dyDescent="0.3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ht="15" x14ac:dyDescent="0.3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ht="15" x14ac:dyDescent="0.3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ht="15" x14ac:dyDescent="0.3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ht="15" x14ac:dyDescent="0.3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ht="15" x14ac:dyDescent="0.3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ht="15" x14ac:dyDescent="0.3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ht="15" x14ac:dyDescent="0.3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ht="15" x14ac:dyDescent="0.3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ht="15" x14ac:dyDescent="0.3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698</v>
      </c>
      <c r="BG24" s="17" t="s">
        <v>699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698</v>
      </c>
      <c r="BV24" s="17" t="s">
        <v>966</v>
      </c>
      <c r="BW24" s="17" t="s">
        <v>966</v>
      </c>
    </row>
    <row r="25" spans="1:75" ht="15" x14ac:dyDescent="0.3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700</v>
      </c>
      <c r="BG25" s="17" t="s">
        <v>701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704</v>
      </c>
      <c r="BV25" s="17" t="s">
        <v>967</v>
      </c>
      <c r="BW25" s="17" t="s">
        <v>967</v>
      </c>
    </row>
    <row r="26" spans="1:75" ht="15" x14ac:dyDescent="0.3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702</v>
      </c>
      <c r="BG26" s="17" t="s">
        <v>703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706</v>
      </c>
      <c r="BV26" s="17" t="s">
        <v>968</v>
      </c>
      <c r="BW26" s="17" t="s">
        <v>968</v>
      </c>
    </row>
    <row r="27" spans="1:75" ht="15" x14ac:dyDescent="0.3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704</v>
      </c>
      <c r="BG27" s="17" t="s">
        <v>705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708</v>
      </c>
      <c r="BV27" s="17" t="s">
        <v>969</v>
      </c>
      <c r="BW27" s="17" t="s">
        <v>969</v>
      </c>
    </row>
    <row r="28" spans="1:75" ht="15" x14ac:dyDescent="0.3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706</v>
      </c>
      <c r="BG28" s="17" t="s">
        <v>707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710</v>
      </c>
      <c r="BV28" s="17" t="s">
        <v>970</v>
      </c>
      <c r="BW28" s="17" t="s">
        <v>970</v>
      </c>
    </row>
    <row r="29" spans="1:75" ht="15" x14ac:dyDescent="0.3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708</v>
      </c>
      <c r="BG29" s="17" t="s">
        <v>709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712</v>
      </c>
      <c r="BV29" s="17" t="s">
        <v>971</v>
      </c>
      <c r="BW29" s="17" t="s">
        <v>971</v>
      </c>
    </row>
    <row r="30" spans="1:75" ht="15" x14ac:dyDescent="0.3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710</v>
      </c>
      <c r="BG30" s="17" t="s">
        <v>711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972</v>
      </c>
      <c r="BV30" s="17" t="s">
        <v>973</v>
      </c>
      <c r="BW30" s="17" t="s">
        <v>973</v>
      </c>
    </row>
    <row r="31" spans="1:75" ht="15" x14ac:dyDescent="0.3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712</v>
      </c>
      <c r="BG31" s="17" t="s">
        <v>713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700</v>
      </c>
      <c r="BV31" s="17" t="s">
        <v>974</v>
      </c>
      <c r="BW31" s="17" t="s">
        <v>974</v>
      </c>
    </row>
    <row r="32" spans="1:75" ht="15" x14ac:dyDescent="0.3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714</v>
      </c>
      <c r="BG32" s="17" t="s">
        <v>715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718</v>
      </c>
      <c r="BV32" s="17" t="s">
        <v>975</v>
      </c>
      <c r="BW32" s="17" t="s">
        <v>718</v>
      </c>
    </row>
    <row r="33" spans="1:75" ht="15" x14ac:dyDescent="0.3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716</v>
      </c>
      <c r="BG33" s="17" t="s">
        <v>717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714</v>
      </c>
      <c r="BV33" s="17" t="s">
        <v>976</v>
      </c>
      <c r="BW33" s="17" t="s">
        <v>714</v>
      </c>
    </row>
    <row r="34" spans="1:75" ht="15" x14ac:dyDescent="0.3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718</v>
      </c>
      <c r="BG34" s="17" t="s">
        <v>719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720</v>
      </c>
      <c r="BV34" s="17" t="s">
        <v>977</v>
      </c>
      <c r="BW34" s="17" t="s">
        <v>720</v>
      </c>
    </row>
    <row r="35" spans="1:75" ht="15" x14ac:dyDescent="0.3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720</v>
      </c>
      <c r="BG35" s="17" t="s">
        <v>721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722</v>
      </c>
      <c r="BV35" s="17" t="s">
        <v>978</v>
      </c>
      <c r="BW35" s="17" t="s">
        <v>722</v>
      </c>
    </row>
    <row r="36" spans="1:75" ht="15" x14ac:dyDescent="0.3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722</v>
      </c>
      <c r="BG36" s="17" t="s">
        <v>723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724</v>
      </c>
      <c r="BV36" s="17" t="s">
        <v>979</v>
      </c>
      <c r="BW36" s="17" t="s">
        <v>724</v>
      </c>
    </row>
    <row r="37" spans="1:75" ht="15" x14ac:dyDescent="0.3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724</v>
      </c>
      <c r="BG37" s="17" t="s">
        <v>725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726</v>
      </c>
      <c r="BV37" s="17" t="s">
        <v>980</v>
      </c>
      <c r="BW37" s="17" t="s">
        <v>726</v>
      </c>
    </row>
    <row r="38" spans="1:75" ht="15" x14ac:dyDescent="0.3">
      <c r="BA38" s="17"/>
      <c r="BB38" s="17" t="s">
        <v>593</v>
      </c>
      <c r="BC38" s="23"/>
      <c r="BD38" s="23"/>
      <c r="BF38" s="17" t="s">
        <v>726</v>
      </c>
      <c r="BG38" s="17" t="s">
        <v>727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685</v>
      </c>
      <c r="BV38" s="17" t="s">
        <v>686</v>
      </c>
      <c r="BW38" s="17" t="s">
        <v>686</v>
      </c>
    </row>
    <row r="39" spans="1:75" ht="15" x14ac:dyDescent="0.3">
      <c r="BA39" s="17"/>
      <c r="BB39" s="17" t="s">
        <v>594</v>
      </c>
      <c r="BC39" s="23"/>
      <c r="BD39" s="23"/>
      <c r="BF39" s="17" t="s">
        <v>685</v>
      </c>
      <c r="BG39" s="17" t="s">
        <v>686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ht="15" x14ac:dyDescent="0.3">
      <c r="A40" s="56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ht="15" x14ac:dyDescent="0.3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ht="15" x14ac:dyDescent="0.3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ht="15" x14ac:dyDescent="0.3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ht="15" x14ac:dyDescent="0.3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ht="15" x14ac:dyDescent="0.3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ht="15" x14ac:dyDescent="0.3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ht="15" x14ac:dyDescent="0.3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ht="15" x14ac:dyDescent="0.3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ht="15" x14ac:dyDescent="0.3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ht="15" x14ac:dyDescent="0.3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ht="15" x14ac:dyDescent="0.3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ht="15" x14ac:dyDescent="0.3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ht="15" x14ac:dyDescent="0.3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ht="15" x14ac:dyDescent="0.3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ht="15" x14ac:dyDescent="0.3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ht="15" x14ac:dyDescent="0.3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ht="15" x14ac:dyDescent="0.3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ht="15" x14ac:dyDescent="0.3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ht="15" x14ac:dyDescent="0.3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ht="15" x14ac:dyDescent="0.3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ht="15" x14ac:dyDescent="0.3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ht="15" x14ac:dyDescent="0.3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ht="15" x14ac:dyDescent="0.3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ht="15" x14ac:dyDescent="0.3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ht="15" x14ac:dyDescent="0.3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ht="15" x14ac:dyDescent="0.3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ht="15" x14ac:dyDescent="0.3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ht="15" x14ac:dyDescent="0.3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ht="15" x14ac:dyDescent="0.3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ht="15" x14ac:dyDescent="0.3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ht="15" x14ac:dyDescent="0.3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ht="15" x14ac:dyDescent="0.3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ht="15" x14ac:dyDescent="0.3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ht="15" x14ac:dyDescent="0.3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ht="15" x14ac:dyDescent="0.3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ht="15" x14ac:dyDescent="0.3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ht="15" x14ac:dyDescent="0.3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ht="15" x14ac:dyDescent="0.3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ht="15" x14ac:dyDescent="0.3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ht="15" x14ac:dyDescent="0.3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ht="15" x14ac:dyDescent="0.3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ht="15" x14ac:dyDescent="0.3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ht="15" x14ac:dyDescent="0.3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ht="15" x14ac:dyDescent="0.3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ht="15" x14ac:dyDescent="0.3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ht="15" x14ac:dyDescent="0.3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ht="15" x14ac:dyDescent="0.3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F44C500-3865-4414-A18C-0530D0677C6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2022-02-11T19:44:09Z</dcterms:modified>
</cp:coreProperties>
</file>