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3035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Consulta!$A$1:$CB$9</definedName>
  </definedNames>
  <calcPr calcId="162913"/>
</workbook>
</file>

<file path=xl/calcChain.xml><?xml version="1.0" encoding="utf-8"?>
<calcChain xmlns="http://schemas.openxmlformats.org/spreadsheetml/2006/main">
  <c r="BR6" i="6" l="1"/>
  <c r="BR7" i="6"/>
  <c r="BR8" i="6"/>
  <c r="BR9" i="6"/>
  <c r="BR10" i="6"/>
  <c r="BR11" i="6"/>
  <c r="BR12" i="6"/>
  <c r="BR13" i="6"/>
  <c r="BR14" i="6"/>
  <c r="BR15" i="6"/>
  <c r="BR16" i="6"/>
  <c r="BR17" i="6"/>
  <c r="BR18" i="6"/>
  <c r="BR19" i="6"/>
  <c r="BR20" i="6"/>
  <c r="BR21" i="6"/>
  <c r="BR22" i="6"/>
  <c r="BR23" i="6"/>
  <c r="BR24" i="6"/>
  <c r="BR25" i="6"/>
  <c r="BR26" i="6"/>
  <c r="BR27" i="6"/>
  <c r="BR28" i="6"/>
  <c r="BR29" i="6"/>
  <c r="BR30" i="6"/>
  <c r="BR31" i="6"/>
  <c r="BR32" i="6"/>
  <c r="BR33" i="6"/>
  <c r="BR34" i="6"/>
  <c r="BR35" i="6"/>
  <c r="BR36" i="6"/>
  <c r="BR37" i="6"/>
  <c r="BR38" i="6"/>
  <c r="BR39" i="6"/>
  <c r="BR40" i="6"/>
  <c r="BR41" i="6"/>
  <c r="BR42" i="6"/>
  <c r="BR43" i="6"/>
  <c r="BR44" i="6"/>
  <c r="BR45" i="6"/>
  <c r="BR46" i="6"/>
  <c r="BR47" i="6"/>
  <c r="BR48" i="6"/>
  <c r="BR49" i="6"/>
  <c r="BR50" i="6"/>
  <c r="BR51" i="6"/>
  <c r="BR52" i="6"/>
  <c r="BR53" i="6"/>
  <c r="BR54" i="6"/>
  <c r="BR55" i="6"/>
  <c r="BR56" i="6"/>
  <c r="BR57" i="6"/>
  <c r="BR58" i="6"/>
  <c r="BR59" i="6"/>
  <c r="BR60" i="6"/>
  <c r="BR61" i="6"/>
  <c r="BR62" i="6"/>
  <c r="BR63" i="6"/>
  <c r="BR64" i="6"/>
  <c r="BR65" i="6"/>
  <c r="BR66" i="6"/>
  <c r="BR67" i="6"/>
  <c r="BR68" i="6"/>
  <c r="BR69" i="6"/>
  <c r="BR70" i="6"/>
  <c r="BR71" i="6"/>
  <c r="BR72" i="6"/>
  <c r="BR73" i="6"/>
  <c r="BR74" i="6"/>
  <c r="BR75" i="6"/>
  <c r="BR76" i="6"/>
  <c r="BR77" i="6"/>
  <c r="BR78" i="6"/>
  <c r="BR79" i="6"/>
  <c r="BR80" i="6"/>
  <c r="BR81" i="6"/>
  <c r="BR82" i="6"/>
  <c r="BR83" i="6"/>
  <c r="BR84" i="6"/>
  <c r="BR85" i="6"/>
  <c r="BR86" i="6"/>
  <c r="BR87" i="6"/>
  <c r="BR88" i="6"/>
  <c r="BR89" i="6"/>
  <c r="BR90" i="6"/>
  <c r="BR91" i="6"/>
  <c r="BR92" i="6"/>
  <c r="BR93" i="6"/>
  <c r="BR94" i="6"/>
  <c r="BR95" i="6"/>
  <c r="BR96" i="6"/>
  <c r="BR97" i="6"/>
  <c r="BR98" i="6"/>
  <c r="BR99" i="6"/>
  <c r="BR100" i="6"/>
  <c r="BR101" i="6"/>
  <c r="BR102" i="6"/>
  <c r="BR103" i="6"/>
  <c r="BR104" i="6"/>
  <c r="BR105" i="6"/>
  <c r="BR106" i="6"/>
  <c r="BR107" i="6"/>
  <c r="BR108" i="6"/>
  <c r="BR109" i="6"/>
  <c r="BR110" i="6"/>
  <c r="BR111" i="6"/>
  <c r="BR112" i="6"/>
  <c r="BR113" i="6"/>
  <c r="BR114" i="6"/>
  <c r="BR115" i="6"/>
  <c r="BR116" i="6"/>
  <c r="BR117" i="6"/>
  <c r="BR118" i="6"/>
  <c r="BR119" i="6"/>
  <c r="BR120" i="6"/>
  <c r="BR121" i="6"/>
  <c r="BR122" i="6"/>
  <c r="BR123" i="6"/>
  <c r="BR124" i="6"/>
  <c r="BR125" i="6"/>
  <c r="BR126" i="6"/>
  <c r="BR127" i="6"/>
  <c r="BR128" i="6"/>
  <c r="BR129" i="6"/>
  <c r="BR130" i="6"/>
  <c r="BR131" i="6"/>
  <c r="BR132" i="6"/>
  <c r="BR133" i="6"/>
  <c r="BR134" i="6"/>
  <c r="BR135" i="6"/>
  <c r="BR136" i="6"/>
  <c r="BR137" i="6"/>
  <c r="BR138" i="6"/>
  <c r="BR139" i="6"/>
  <c r="BR140" i="6"/>
  <c r="BR141" i="6"/>
  <c r="BR142" i="6"/>
  <c r="BR143" i="6"/>
  <c r="BR144" i="6"/>
  <c r="BR145" i="6"/>
  <c r="BR146" i="6"/>
  <c r="BR147" i="6"/>
  <c r="BR148" i="6"/>
  <c r="BR149" i="6"/>
  <c r="BR150" i="6"/>
  <c r="BR151" i="6"/>
  <c r="BR152" i="6"/>
  <c r="BR153" i="6"/>
  <c r="BR154" i="6"/>
  <c r="BR5" i="6"/>
  <c r="CB10" i="7" l="1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S154" i="6" s="1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S153" i="6" s="1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S152" i="6" s="1"/>
  <c r="AP152" i="6"/>
  <c r="J152" i="6"/>
  <c r="H152" i="6"/>
  <c r="CI152" i="6" s="1"/>
  <c r="G152" i="6"/>
  <c r="CR152" i="6" s="1"/>
  <c r="E152" i="6"/>
  <c r="DB152" i="6" s="1"/>
  <c r="D152" i="6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AS151" i="6" s="1"/>
  <c r="AP151" i="6"/>
  <c r="J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AS150" i="6" s="1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S149" i="6" s="1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S148" i="6" s="1"/>
  <c r="AP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S147" i="6" s="1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S146" i="6" s="1"/>
  <c r="AP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S145" i="6" s="1"/>
  <c r="AP145" i="6"/>
  <c r="J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AS144" i="6" s="1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AS143" i="6" s="1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AS142" i="6" s="1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AS141" i="6" s="1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S140" i="6" s="1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S139" i="6" s="1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S138" i="6" s="1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AS137" i="6" s="1"/>
  <c r="AP137" i="6"/>
  <c r="J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S136" i="6" s="1"/>
  <c r="AP136" i="6"/>
  <c r="J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S135" i="6" s="1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S134" i="6" s="1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S133" i="6" s="1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S132" i="6" s="1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S131" i="6" s="1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S130" i="6" s="1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S129" i="6" s="1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AS128" i="6" s="1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AS127" i="6" s="1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S126" i="6" s="1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S125" i="6" s="1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S124" i="6" s="1"/>
  <c r="AP124" i="6"/>
  <c r="J124" i="6"/>
  <c r="H124" i="6"/>
  <c r="CJ124" i="6" s="1"/>
  <c r="G124" i="6"/>
  <c r="CC124" i="6" s="1"/>
  <c r="E124" i="6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S123" i="6" s="1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S122" i="6" s="1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S121" i="6" s="1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S120" i="6" s="1"/>
  <c r="AP120" i="6"/>
  <c r="J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AS119" i="6" s="1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AS118" i="6" s="1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S117" i="6" s="1"/>
  <c r="AP117" i="6"/>
  <c r="J117" i="6"/>
  <c r="H117" i="6"/>
  <c r="CJ117" i="6" s="1"/>
  <c r="G117" i="6"/>
  <c r="CC117" i="6" s="1"/>
  <c r="E117" i="6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AS116" i="6" s="1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S115" i="6" s="1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S114" i="6" s="1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S113" i="6" s="1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S112" i="6" s="1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S111" i="6" s="1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S110" i="6" s="1"/>
  <c r="AP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AS109" i="6" s="1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S108" i="6" s="1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S107" i="6" s="1"/>
  <c r="AP107" i="6"/>
  <c r="J107" i="6"/>
  <c r="H107" i="6"/>
  <c r="CJ107" i="6" s="1"/>
  <c r="G107" i="6"/>
  <c r="I107" i="6" s="1"/>
  <c r="E107" i="6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AS106" i="6" s="1"/>
  <c r="AP106" i="6"/>
  <c r="J106" i="6"/>
  <c r="H106" i="6"/>
  <c r="CJ106" i="6" s="1"/>
  <c r="G106" i="6"/>
  <c r="I106" i="6" s="1"/>
  <c r="E106" i="6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S105" i="6" s="1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S104" i="6" s="1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AS103" i="6" s="1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S102" i="6" s="1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AS101" i="6" s="1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S100" i="6" s="1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S99" i="6" s="1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S98" i="6" s="1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AS97" i="6" s="1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AS96" i="6" s="1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AS95" i="6" s="1"/>
  <c r="AP95" i="6"/>
  <c r="J95" i="6"/>
  <c r="H95" i="6"/>
  <c r="CJ95" i="6" s="1"/>
  <c r="G95" i="6"/>
  <c r="I95" i="6" s="1"/>
  <c r="E95" i="6"/>
  <c r="DB95" i="6" s="1"/>
  <c r="D95" i="6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S94" i="6" s="1"/>
  <c r="AP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S93" i="6" s="1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AS92" i="6" s="1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S91" i="6" s="1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S90" i="6" s="1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S89" i="6" s="1"/>
  <c r="AP89" i="6"/>
  <c r="J89" i="6"/>
  <c r="H89" i="6"/>
  <c r="CJ89" i="6" s="1"/>
  <c r="G89" i="6"/>
  <c r="I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S88" i="6" s="1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S87" i="6" s="1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S86" i="6" s="1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AS85" i="6" s="1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S84" i="6" s="1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S83" i="6" s="1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S82" i="6" s="1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S81" i="6" s="1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S80" i="6" s="1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AS79" i="6" s="1"/>
  <c r="AP79" i="6"/>
  <c r="J79" i="6"/>
  <c r="H79" i="6"/>
  <c r="CJ79" i="6" s="1"/>
  <c r="G79" i="6"/>
  <c r="I79" i="6" s="1"/>
  <c r="E79" i="6"/>
  <c r="DB79" i="6" s="1"/>
  <c r="D79" i="6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S78" i="6" s="1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AS77" i="6" s="1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S76" i="6" s="1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S75" i="6" s="1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S74" i="6" s="1"/>
  <c r="AP74" i="6"/>
  <c r="J74" i="6"/>
  <c r="H74" i="6"/>
  <c r="CJ74" i="6" s="1"/>
  <c r="G74" i="6"/>
  <c r="I74" i="6" s="1"/>
  <c r="E74" i="6"/>
  <c r="DB74" i="6" s="1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S73" i="6" s="1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S72" i="6" s="1"/>
  <c r="AP72" i="6"/>
  <c r="J72" i="6"/>
  <c r="H72" i="6"/>
  <c r="CJ72" i="6" s="1"/>
  <c r="G72" i="6"/>
  <c r="I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S71" i="6" s="1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AS70" i="6" s="1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AS69" i="6" s="1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AS68" i="6" s="1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S67" i="6" s="1"/>
  <c r="AP67" i="6"/>
  <c r="J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AS66" i="6" s="1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AS65" i="6" s="1"/>
  <c r="AP65" i="6"/>
  <c r="J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AS64" i="6" s="1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AS63" i="6" s="1"/>
  <c r="AP63" i="6"/>
  <c r="J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S62" i="6" s="1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S61" i="6" s="1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S60" i="6" s="1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AS59" i="6" s="1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S58" i="6" s="1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AS57" i="6" s="1"/>
  <c r="AP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S56" i="6" s="1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S55" i="6" s="1"/>
  <c r="AP55" i="6"/>
  <c r="J55" i="6"/>
  <c r="H55" i="6"/>
  <c r="CJ55" i="6" s="1"/>
  <c r="G55" i="6"/>
  <c r="I55" i="6" s="1"/>
  <c r="E55" i="6"/>
  <c r="DB55" i="6" s="1"/>
  <c r="D55" i="6"/>
  <c r="CZ55" i="6" s="1"/>
  <c r="C55" i="6"/>
  <c r="A55" i="6"/>
  <c r="BH89" i="6" l="1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BH117" i="6"/>
  <c r="BF117" i="6" s="1"/>
  <c r="BG117" i="6" s="1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BH107" i="6"/>
  <c r="BF107" i="6" s="1"/>
  <c r="BG107" i="6" s="1"/>
  <c r="CX122" i="6"/>
  <c r="CR128" i="6"/>
  <c r="I63" i="6"/>
  <c r="CR63" i="6"/>
  <c r="I120" i="6"/>
  <c r="I151" i="6"/>
  <c r="BO151" i="6"/>
  <c r="K94" i="6"/>
  <c r="AX69" i="6"/>
  <c r="BH124" i="6"/>
  <c r="BF124" i="6" s="1"/>
  <c r="BG124" i="6" s="1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BC95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BC9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BD96" i="6"/>
  <c r="BC96" i="6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C97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D87" i="6" l="1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E6" i="6" l="1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<sst xmlns="http://schemas.openxmlformats.org/spreadsheetml/2006/main" count="7666" uniqueCount="1043">
  <si>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</si>
  <si>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</si>
  <si>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</si>
  <si>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</si>
  <si>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</si>
  <si>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</si>
  <si>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</si>
  <si>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</si>
  <si>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</si>
  <si>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</si>
  <si>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</si>
  <si>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</si>
  <si>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</si>
  <si>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</si>
  <si>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</si>
  <si>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</si>
  <si>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</si>
  <si>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</si>
  <si>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</si>
  <si>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</si>
  <si>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</si>
  <si>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</si>
  <si>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</si>
  <si>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</si>
  <si>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</si>
  <si>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</si>
  <si>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</si>
  <si>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</si>
  <si>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</si>
  <si>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</si>
  <si>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</si>
  <si>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</si>
  <si>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</si>
  <si>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</si>
  <si>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</si>
  <si>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</si>
  <si>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</si>
  <si>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</si>
  <si>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</si>
  <si>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</si>
  <si>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</si>
  <si>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</si>
  <si>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</si>
  <si>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</si>
  <si>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</si>
  <si>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</si>
  <si>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</si>
  <si>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</si>
  <si>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</si>
  <si>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</si>
  <si>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</si>
  <si>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</si>
  <si>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</si>
  <si>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</si>
  <si>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</si>
  <si>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</si>
  <si>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</si>
  <si>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</si>
  <si>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</si>
  <si>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</si>
  <si>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</si>
  <si>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</si>
  <si>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</si>
  <si>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</si>
  <si>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</si>
  <si>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</si>
  <si>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</si>
  <si>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</si>
  <si>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</si>
  <si>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</si>
  <si>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</si>
  <si>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</si>
  <si>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</si>
  <si>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</si>
  <si>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</si>
  <si>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</si>
  <si>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</si>
  <si>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</si>
  <si>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</si>
  <si>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</si>
  <si>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</si>
  <si>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</si>
  <si>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</si>
  <si>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</si>
  <si>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</si>
  <si>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</si>
  <si>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</si>
  <si>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</si>
  <si>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</si>
  <si>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</si>
  <si>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</si>
  <si>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</si>
  <si>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</si>
  <si>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</si>
  <si>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</si>
  <si>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</si>
  <si>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</si>
  <si>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</si>
  <si>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</si>
  <si>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</si>
  <si>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</si>
  <si>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</si>
  <si>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</si>
  <si>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</si>
  <si>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</si>
  <si>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</si>
  <si>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</si>
  <si>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</si>
  <si>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</si>
  <si>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</si>
  <si>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</si>
  <si>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</si>
  <si>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</si>
  <si>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</si>
  <si>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</si>
  <si>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</si>
  <si>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</si>
  <si>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</si>
  <si>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</si>
  <si>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</si>
  <si>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</si>
  <si>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</si>
  <si>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</si>
  <si>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</si>
  <si>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</si>
  <si>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</si>
  <si>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</si>
  <si>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</si>
  <si>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</si>
  <si>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</si>
  <si>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</si>
  <si>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</si>
  <si>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</si>
  <si>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</si>
  <si>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</si>
  <si>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</si>
  <si>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</si>
  <si>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</si>
  <si>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</si>
  <si>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</si>
  <si>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</si>
  <si>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</si>
  <si>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</si>
  <si>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</si>
  <si>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</si>
  <si>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</si>
  <si>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</si>
  <si>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</si>
  <si>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</si>
  <si>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</si>
  <si>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</si>
  <si>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</si>
  <si>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</si>
  <si>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</si>
  <si>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</si>
  <si>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</si>
  <si>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</si>
  <si>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</si>
  <si>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</si>
  <si>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</si>
  <si>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</si>
  <si>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</si>
  <si>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</si>
  <si>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</si>
  <si>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</si>
  <si>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</si>
  <si>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</si>
  <si>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</si>
  <si>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</si>
  <si>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</si>
  <si>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</si>
  <si>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</si>
  <si>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</si>
  <si>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</si>
  <si>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</si>
  <si>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</si>
  <si>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</si>
  <si>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</si>
  <si>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</si>
  <si>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</si>
  <si>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</si>
  <si>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</si>
  <si>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</si>
  <si>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</si>
  <si>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</si>
  <si>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</si>
  <si>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</si>
  <si>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</si>
  <si>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</si>
  <si>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</si>
  <si>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</si>
  <si>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</si>
  <si>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</si>
  <si>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</si>
  <si>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</si>
  <si>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</si>
  <si>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</si>
  <si>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</si>
  <si>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</si>
  <si>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</si>
  <si>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</si>
  <si>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</si>
  <si>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</si>
  <si>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</si>
  <si>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</si>
  <si>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</si>
  <si>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</si>
  <si>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</si>
  <si>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</si>
  <si>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</si>
  <si>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</si>
  <si>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</si>
  <si>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</si>
  <si>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</si>
  <si>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</si>
  <si>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</si>
  <si>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</si>
  <si>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</si>
  <si>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</si>
  <si>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</si>
  <si>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</si>
  <si>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</si>
  <si>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</si>
  <si>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</si>
  <si>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</si>
  <si>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</si>
  <si>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</si>
  <si>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</si>
  <si>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</si>
  <si>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</si>
  <si>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</si>
  <si>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</si>
  <si>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</si>
  <si>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</si>
  <si>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</si>
  <si>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</si>
  <si>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</si>
  <si>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</si>
  <si>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</si>
  <si>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</si>
  <si>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</si>
  <si>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</si>
  <si>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</si>
  <si>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</si>
  <si>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</si>
  <si>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</si>
  <si>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</si>
  <si>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</si>
  <si>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</si>
  <si>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</si>
  <si>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</si>
  <si>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</si>
  <si>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</si>
  <si>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</si>
  <si>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</si>
  <si>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</si>
  <si>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</si>
  <si>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</si>
  <si>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</si>
  <si>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</si>
  <si>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</si>
  <si>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</si>
  <si>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</si>
  <si>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</si>
  <si>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</si>
  <si>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</si>
  <si>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</si>
  <si>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</si>
  <si>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</si>
  <si>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</si>
  <si>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</si>
  <si>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</si>
  <si>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</si>
  <si>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</si>
  <si>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</si>
  <si>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</si>
  <si>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</si>
  <si>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</si>
  <si>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</si>
  <si>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</si>
  <si>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</si>
  <si>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</si>
  <si>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</si>
  <si>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</si>
  <si>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</si>
  <si>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</si>
  <si>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</si>
  <si>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</si>
  <si>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</si>
  <si>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</si>
  <si>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</si>
  <si>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</si>
  <si>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</si>
  <si>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</si>
  <si>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</si>
  <si>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</si>
  <si>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</si>
  <si>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</si>
  <si>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</si>
  <si>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</si>
  <si>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</si>
  <si>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</si>
  <si>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</si>
  <si>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</si>
  <si>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</si>
  <si>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</si>
  <si>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</si>
  <si>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</si>
  <si>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</si>
  <si>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</si>
  <si>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</si>
  <si>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</si>
  <si>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</si>
  <si>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</si>
  <si>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</si>
  <si>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</si>
  <si>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</si>
  <si>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</si>
  <si>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</si>
  <si>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</si>
  <si>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</si>
  <si>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</si>
  <si>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</si>
  <si>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</si>
  <si>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</si>
  <si>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</si>
  <si>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</si>
  <si>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</si>
  <si>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</si>
  <si>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</si>
  <si>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</si>
  <si>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</si>
  <si>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</si>
  <si>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</si>
  <si>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</si>
  <si>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</si>
  <si>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</si>
  <si>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</si>
  <si>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</si>
  <si>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</si>
  <si>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</si>
  <si>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</si>
  <si>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</si>
  <si>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</si>
  <si>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</si>
  <si>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</si>
  <si>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</si>
  <si>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</si>
  <si>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</si>
  <si>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</si>
  <si>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</si>
  <si>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</si>
  <si>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</si>
  <si>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</si>
  <si>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</si>
  <si>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</si>
  <si>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</si>
  <si>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</si>
  <si>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</si>
  <si>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</si>
  <si>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</si>
  <si>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</si>
  <si>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</si>
  <si>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</si>
  <si>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</si>
  <si>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</si>
  <si>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</si>
  <si>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</si>
  <si>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</si>
  <si>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</si>
  <si>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</si>
  <si>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</si>
  <si>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</si>
  <si>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</si>
  <si>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</si>
  <si>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</si>
  <si>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</si>
  <si>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</si>
  <si>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</si>
  <si>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</si>
  <si>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</si>
  <si>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</si>
  <si>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</si>
  <si>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</si>
  <si>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</si>
  <si>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</si>
  <si>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</si>
  <si>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</si>
  <si>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</si>
  <si>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</si>
  <si>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</si>
  <si>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</si>
  <si>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</si>
  <si>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</si>
  <si>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</si>
  <si>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</si>
  <si>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</si>
  <si>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</si>
  <si>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</si>
  <si>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</si>
  <si>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</si>
  <si>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</si>
  <si>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</si>
  <si>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</si>
  <si>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</si>
  <si>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</si>
  <si>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</si>
  <si>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</si>
  <si>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</si>
  <si>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</si>
  <si>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</si>
  <si>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</si>
  <si>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</si>
  <si>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</si>
  <si>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</si>
  <si>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</si>
  <si>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</si>
  <si>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</si>
  <si>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</si>
  <si>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</si>
  <si>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</si>
  <si>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</si>
  <si>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</si>
  <si>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</si>
  <si>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</si>
  <si>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</si>
  <si>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</si>
  <si>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</si>
  <si>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</si>
  <si>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</si>
  <si>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</si>
  <si>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</si>
  <si>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</si>
  <si>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</si>
  <si>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</si>
  <si>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</si>
  <si>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</si>
  <si>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</si>
  <si>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</si>
  <si>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</si>
  <si>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</si>
  <si>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</si>
  <si>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</si>
  <si>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</si>
  <si>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</si>
  <si>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</si>
  <si>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</si>
  <si>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</si>
  <si>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</si>
  <si>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</si>
  <si>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</si>
  <si>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</si>
  <si>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</si>
  <si>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</si>
  <si>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</si>
  <si>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</si>
  <si>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</si>
  <si>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</si>
  <si>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</si>
  <si>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</si>
  <si>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</si>
  <si>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</si>
  <si>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</si>
  <si>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</si>
  <si>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</si>
  <si>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</si>
  <si>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</si>
  <si>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</si>
  <si>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</si>
  <si>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</si>
  <si>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</si>
  <si>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</si>
  <si>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</si>
  <si>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</si>
  <si>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</si>
  <si>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</si>
  <si>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</si>
  <si>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</si>
  <si>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</si>
  <si>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</si>
  <si>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</si>
  <si>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</si>
  <si>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</si>
  <si>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</si>
  <si>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</si>
  <si>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</si>
  <si>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</si>
  <si>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</si>
  <si>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</si>
  <si>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</si>
  <si>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</si>
  <si>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</si>
  <si>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</si>
  <si>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</si>
  <si>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</si>
  <si>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</si>
  <si>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</si>
  <si>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</si>
  <si>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</si>
  <si>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</si>
  <si>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</si>
  <si>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</si>
  <si>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</si>
  <si>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</si>
  <si>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</si>
  <si>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</si>
  <si>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</si>
  <si>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</si>
  <si>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</si>
  <si>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</si>
  <si>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</si>
  <si>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</si>
  <si>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</si>
  <si>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</si>
  <si>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</si>
  <si>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</si>
  <si>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</si>
  <si>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</si>
  <si>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</si>
  <si>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</si>
  <si>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</si>
  <si>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</si>
  <si>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</si>
  <si>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</si>
  <si>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</si>
  <si>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</si>
  <si>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</si>
  <si>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</si>
  <si>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</si>
  <si>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</si>
  <si>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</si>
  <si>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</si>
  <si>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</si>
  <si>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</si>
  <si>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</si>
  <si>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</si>
  <si>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</si>
  <si>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</si>
  <si>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</si>
  <si>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</si>
  <si>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</si>
  <si>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</si>
  <si>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</si>
  <si>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</si>
  <si>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</si>
  <si>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</si>
  <si>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</si>
  <si>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</si>
  <si>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</si>
  <si>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</si>
  <si>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</si>
  <si>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</si>
  <si>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</si>
  <si>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</si>
  <si>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</si>
  <si>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</si>
  <si>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</si>
  <si>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</si>
  <si>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</si>
  <si>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</si>
  <si>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</si>
  <si>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</si>
  <si>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</si>
  <si>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</si>
  <si>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</si>
  <si>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</si>
  <si>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</si>
  <si>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</si>
  <si>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</si>
  <si>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</si>
  <si>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</si>
  <si>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</si>
  <si>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</si>
  <si>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</si>
  <si>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</si>
  <si>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</si>
  <si>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</si>
  <si>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</si>
  <si>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</si>
  <si>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</si>
  <si>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</si>
  <si>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</si>
  <si>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</si>
  <si>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</si>
  <si>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</si>
  <si>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</si>
  <si>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</si>
  <si>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</si>
  <si>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</si>
  <si>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</si>
  <si>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</si>
  <si>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</si>
  <si>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</si>
  <si>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</si>
  <si>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</si>
  <si>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</si>
  <si>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</si>
  <si>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</si>
  <si>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</si>
  <si>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</si>
  <si>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</si>
  <si>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</si>
  <si>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</si>
  <si>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</si>
  <si>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</si>
  <si>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</si>
  <si>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</si>
  <si>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</si>
  <si>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</si>
  <si>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</si>
  <si>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</si>
  <si>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</si>
  <si>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</si>
  <si>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</si>
  <si>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</si>
  <si>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</si>
  <si>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</si>
  <si>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</si>
  <si>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</si>
  <si>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</si>
  <si>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</si>
  <si>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</si>
  <si>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</si>
  <si>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</si>
  <si>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</si>
  <si>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</si>
  <si>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</si>
  <si>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</si>
  <si>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</si>
  <si>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</si>
  <si>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</si>
  <si>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</si>
  <si>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</si>
  <si>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</si>
  <si>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</si>
  <si>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</si>
  <si>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</si>
  <si>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</si>
  <si>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</si>
  <si>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</si>
  <si>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</si>
  <si>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</si>
  <si>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</si>
  <si>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</si>
  <si>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</si>
  <si>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</si>
  <si>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</si>
  <si>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</si>
  <si>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</si>
  <si>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</si>
  <si>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</si>
  <si>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</si>
  <si>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</si>
  <si>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</si>
  <si>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</si>
  <si>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</si>
  <si>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</si>
  <si>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</si>
  <si>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</si>
  <si>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</si>
  <si>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</si>
  <si>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</si>
  <si>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</si>
  <si>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</si>
  <si>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</si>
  <si>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</si>
  <si>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</si>
  <si>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</si>
  <si>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</si>
  <si>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</si>
  <si>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</si>
  <si>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</si>
  <si>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</si>
  <si>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</si>
  <si>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</si>
  <si>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</si>
  <si>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</si>
  <si>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</si>
  <si>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</si>
  <si>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</si>
  <si>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</si>
  <si>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</si>
  <si>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</si>
  <si>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</si>
  <si>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</si>
  <si>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</si>
  <si>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</si>
  <si>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</si>
  <si>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</si>
  <si>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</si>
  <si>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</si>
  <si>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</si>
  <si>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</si>
  <si>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</si>
  <si>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</si>
  <si>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</si>
  <si>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</si>
  <si>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</si>
  <si>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</si>
  <si>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</si>
  <si>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</si>
  <si>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</si>
  <si>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</si>
  <si>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</si>
  <si>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</si>
  <si>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</si>
  <si>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</si>
  <si>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</si>
  <si>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</si>
  <si>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</si>
  <si>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</si>
  <si>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</si>
  <si>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</si>
  <si>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</si>
  <si>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</si>
  <si>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</si>
  <si>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</si>
  <si>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</si>
  <si>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</si>
  <si>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</si>
  <si>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</si>
  <si>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</si>
  <si>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</si>
  <si>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</si>
  <si>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</si>
  <si>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</si>
  <si>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</si>
  <si>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</si>
  <si>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</si>
  <si>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</si>
  <si>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</si>
  <si>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</si>
  <si>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</si>
  <si>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</si>
  <si>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</si>
  <si>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</si>
  <si>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</si>
  <si>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</si>
  <si>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</si>
  <si>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</si>
  <si>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</si>
  <si>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</si>
  <si>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</si>
  <si>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</si>
  <si>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</si>
  <si>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</si>
  <si>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</si>
  <si>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</si>
  <si>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</si>
  <si>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</si>
  <si>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</si>
  <si>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</si>
  <si>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</si>
  <si>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</si>
  <si>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</si>
  <si>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</si>
  <si>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</si>
  <si>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</si>
  <si>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</si>
  <si>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</si>
  <si>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</si>
  <si>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</si>
  <si>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</si>
  <si>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</si>
  <si>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</si>
  <si>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</si>
  <si>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</si>
  <si>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</si>
  <si>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</si>
  <si>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</si>
  <si>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</si>
  <si>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</si>
  <si>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</si>
  <si>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</si>
  <si>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</si>
  <si>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</si>
  <si>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</si>
  <si>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</si>
  <si>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</si>
  <si>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</si>
  <si>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</si>
  <si>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</si>
  <si>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</si>
  <si>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</si>
  <si>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</si>
  <si>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</si>
  <si>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</si>
  <si>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</si>
  <si>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</si>
  <si>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</si>
  <si>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</si>
  <si>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</si>
  <si>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</si>
  <si>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</si>
  <si>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</si>
  <si>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</si>
  <si>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</si>
  <si>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</si>
  <si>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</si>
  <si>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</si>
  <si>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</si>
  <si>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</si>
  <si>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</si>
  <si>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</si>
  <si>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</si>
  <si>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</si>
  <si>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</si>
  <si>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</si>
  <si>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</si>
  <si>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</si>
  <si>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</si>
  <si>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</si>
  <si>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</si>
  <si>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</si>
  <si>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</si>
  <si>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</si>
  <si>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</si>
  <si>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</si>
  <si>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</si>
  <si>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</si>
  <si>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</si>
  <si>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</si>
  <si>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</si>
  <si>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</si>
  <si>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</si>
  <si>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</si>
  <si>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</si>
  <si>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</si>
  <si>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</si>
  <si>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</si>
  <si>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</si>
  <si>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</si>
  <si>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</si>
  <si>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</si>
  <si>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</si>
  <si>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</si>
  <si>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</si>
  <si>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</si>
  <si>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</si>
  <si>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</si>
  <si>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</si>
  <si>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</si>
  <si>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</si>
  <si>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</si>
  <si>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</si>
  <si>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</si>
  <si>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</si>
  <si>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</si>
  <si>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</si>
  <si>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</si>
  <si>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</si>
  <si>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</si>
  <si>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</si>
  <si>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</si>
  <si>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</si>
  <si>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</si>
  <si>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</si>
  <si>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</si>
  <si>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</si>
  <si>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</si>
  <si>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</si>
  <si>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</si>
  <si>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</si>
  <si>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</si>
  <si>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</si>
  <si>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</si>
  <si>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</si>
  <si>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</si>
  <si>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</si>
  <si>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</si>
  <si>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</si>
  <si>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</si>
  <si>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</si>
  <si>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</si>
  <si>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</si>
  <si>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</si>
  <si>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</si>
  <si>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</si>
  <si>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</si>
  <si>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</si>
  <si>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</si>
  <si>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</si>
  <si>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</si>
  <si>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</si>
  <si>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</si>
  <si>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</si>
  <si>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</si>
  <si>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</si>
  <si>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</si>
  <si>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</si>
  <si>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</si>
  <si>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</si>
  <si>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</si>
  <si>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</si>
  <si>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</si>
  <si>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</si>
  <si>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</si>
  <si>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</si>
  <si>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</si>
  <si>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</si>
  <si>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</si>
  <si>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</si>
  <si>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</si>
  <si>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</si>
  <si>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</si>
  <si>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</si>
  <si>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</si>
  <si>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</si>
  <si>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</si>
  <si>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</si>
  <si>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</si>
  <si>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</si>
  <si>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</si>
  <si>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</si>
  <si>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</si>
  <si>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</si>
  <si>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</si>
  <si>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</si>
  <si>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</si>
  <si>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</si>
  <si>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</si>
  <si>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</si>
  <si>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</si>
  <si>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</si>
  <si>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</si>
  <si>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</si>
  <si>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</si>
  <si>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</si>
  <si>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</si>
  <si>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</si>
  <si>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</si>
  <si>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</si>
  <si>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</si>
  <si>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</si>
  <si>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</si>
  <si>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</si>
  <si>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</si>
  <si>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</si>
  <si>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</si>
  <si>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</si>
  <si>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</si>
  <si>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</si>
  <si>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</si>
  <si>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</si>
  <si>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</si>
  <si>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</si>
  <si>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</si>
  <si>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</si>
  <si>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</si>
  <si>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</si>
  <si>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</si>
  <si>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</si>
  <si>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</si>
  <si>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</si>
  <si>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</si>
  <si>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</si>
  <si>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</si>
  <si>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</si>
  <si>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</si>
  <si>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</si>
  <si>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</si>
  <si>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</si>
  <si>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</si>
  <si>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</si>
  <si>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</si>
  <si>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</si>
  <si>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</si>
  <si>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</si>
  <si>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</si>
  <si>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</si>
  <si>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</si>
  <si>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</si>
  <si>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</si>
  <si>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</si>
  <si>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</si>
  <si>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</si>
  <si>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</si>
  <si>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</si>
  <si>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</si>
  <si>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</si>
  <si>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</si>
  <si>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</si>
  <si>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</si>
  <si>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</si>
  <si>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</si>
  <si>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</si>
  <si>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</si>
  <si>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</si>
  <si>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</si>
  <si>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</si>
  <si>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</si>
  <si>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</si>
  <si>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</si>
  <si>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</si>
  <si>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Q:\Trabalhos em Andamento\Arthur Boff\8. Planilhas\12.1. Cadastros Novos P01 (Estruturas)\2022-02-11_AB_Estrutura P01 (TUBO RED 88,9X1,90 BF).xlsm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</si>
  <si>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</si>
  <si>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</si>
  <si>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</si>
  <si>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</si>
  <si>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</si>
  <si>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</si>
  <si>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</si>
  <si>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</si>
  <si>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</si>
  <si>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</si>
  <si>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</si>
  <si>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</si>
  <si>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>K060074</t>
  </si>
  <si>
    <t>TUBO RED 88,9X1,90 BF</t>
  </si>
  <si>
    <t>K001484</t>
  </si>
  <si>
    <t>TUBO RED 88,9X1,50 BF</t>
  </si>
  <si>
    <t/>
  </si>
  <si>
    <t>5101010003</t>
  </si>
  <si>
    <t>TUBO 3.1/2</t>
  </si>
  <si>
    <t>116</t>
  </si>
  <si>
    <t>7306.30.00</t>
  </si>
  <si>
    <t>L060074</t>
  </si>
  <si>
    <t>BF</t>
  </si>
  <si>
    <t>1,71</t>
  </si>
  <si>
    <t>2,09</t>
  </si>
  <si>
    <t>F03_MM03</t>
  </si>
  <si>
    <t>NAVE B</t>
  </si>
  <si>
    <t>1,4</t>
  </si>
  <si>
    <t>42</t>
  </si>
  <si>
    <t>I</t>
  </si>
  <si>
    <t>1114</t>
  </si>
  <si>
    <t>777</t>
  </si>
  <si>
    <t>1110</t>
  </si>
  <si>
    <t>944</t>
  </si>
  <si>
    <t>Meincol 1</t>
  </si>
  <si>
    <t>Produto Acabado</t>
  </si>
  <si>
    <t>Industria</t>
  </si>
  <si>
    <t>Comum</t>
  </si>
  <si>
    <t>OLD</t>
  </si>
  <si>
    <t>V104462</t>
  </si>
  <si>
    <t>BOBINA 1,90 BF SAEJ403 1010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</si>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</sst>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35"/>
      <tableStyleElement type="headerRow" dxfId="234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82"/>
      <queryTableField id="2" name="STS" tableColumnId="83"/>
      <queryTableField id="3" name="Código P01" tableColumnId="84"/>
      <queryTableField id="4" name="Descrição P01" tableColumnId="85"/>
      <queryTableField id="5" name="Modelo" tableColumnId="86"/>
      <queryTableField id="6" name="Descrição do Modelo" tableColumnId="87"/>
      <queryTableField id="7" name="Centro" tableColumnId="88"/>
      <queryTableField id="8" name="Comprimento_x000a_Final" tableColumnId="89"/>
      <queryTableField id="9" name="Peso Kg/m" tableColumnId="90"/>
      <queryTableField id="10" name="KG/PC" tableColumnId="91"/>
      <queryTableField id="11" name="Hierarquia 1" tableColumnId="92"/>
      <queryTableField id="12" name="Hierarquia 2" tableColumnId="93"/>
      <queryTableField id="13" name="Hierarquia 3" tableColumnId="94"/>
      <queryTableField id="14" name="Hierarquia 4" tableColumnId="95"/>
      <queryTableField id="15" name="Hierarquia 5" tableColumnId="96"/>
      <queryTableField id="16" name="Hierarquia Final" tableColumnId="97"/>
      <queryTableField id="17" name="GrPMerc." tableColumnId="98"/>
      <queryTableField id="18" name="Bitola de Produção_x000a_          Descrição" tableColumnId="99"/>
      <queryTableField id="19" name="N° SAP da Bitola" tableColumnId="100"/>
      <queryTableField id="20" name="Unidade de Venda" tableColumnId="101"/>
      <queryTableField id="21" name="NCM" tableColumnId="102"/>
      <queryTableField id="22" name="Peças por _x000a_Amarrado" tableColumnId="103"/>
      <queryTableField id="23" name="Centro de trabalho" tableColumnId="104"/>
      <queryTableField id="24" name="Tempo_x000a_Setup" tableColumnId="105"/>
      <queryTableField id="25" name="Tempo de_x000a_Operação" tableColumnId="106"/>
      <queryTableField id="26" name="Perda de _x000a_Processo" tableColumnId="107"/>
      <queryTableField id="27" name="Código do componente" tableColumnId="108"/>
      <queryTableField id="28" name="Comprimento _x000a_do Multiplo" tableColumnId="109"/>
      <queryTableField id="29" name="Perda em Kg para fabricar 1000 peças do tubo cortado (perda inerente)" tableColumnId="110"/>
      <queryTableField id="30" name="Quantidade em metros para fabricar 1000 peças + perda de processo" tableColumnId="111"/>
      <queryTableField id="31" name="Quantidade em peças para fabricar 1000 peças + perda de processo" tableColumnId="112"/>
      <queryTableField id="32" name="DADOS AO" tableColumnId="113"/>
      <queryTableField id="33" name="Chave LNTR" tableColumnId="114"/>
      <queryTableField id="34" name="Espessura nominal" tableColumnId="115"/>
      <queryTableField id="35" name="Laminação" tableColumnId="116"/>
      <queryTableField id="36" name="MTH?_x000a_MTL?" tableColumnId="117"/>
      <queryTableField id="37" name="Espessura Mínima" tableColumnId="118"/>
      <queryTableField id="38" name="Espessura Máxima" tableColumnId="119"/>
      <queryTableField id="39" name="Máquina" tableColumnId="120"/>
      <queryTableField id="40" name="Mapa/Plano de montagem" tableColumnId="121"/>
      <queryTableField id="41" name="Velocidade_x000a_(m/hr)" tableColumnId="122"/>
      <queryTableField id="42" name="Nave" tableColumnId="123"/>
      <queryTableField id="43" name="Tempo de _x000a_pré-instalação" tableColumnId="124"/>
      <queryTableField id="44" name="Sucata (m)" tableColumnId="125"/>
      <queryTableField id="45" name="Perda (%)" tableColumnId="126"/>
      <queryTableField id="46" name="Largura da tira" tableColumnId="127"/>
      <queryTableField id="47" name="Bobina_x000a_ configuravel?" tableColumnId="128"/>
      <queryTableField id="48" name="Largura ideal" tableColumnId="129"/>
      <queryTableField id="49" name="Velocidade_x000a_3000 até 4999" tableColumnId="130"/>
      <queryTableField id="50" name="Velocidade_x000a_5000 até 8000" tableColumnId="131"/>
      <queryTableField id="51" name="Velocidade_x000a_8001 até 14000" tableColumnId="132"/>
      <queryTableField id="52" name="DADOS LNP" tableColumnId="133"/>
      <queryTableField id="53" name="Cliente" tableColumnId="134"/>
      <queryTableField id="54" name="Preço de terceirização " tableColumnId="135"/>
      <queryTableField id="55" name="Centro de Produção" tableColumnId="136"/>
      <queryTableField id="56" name="Column56" tableColumnId="137"/>
      <queryTableField id="57" name="Depósito de produção" tableColumnId="138"/>
      <queryTableField id="58" name="Column58" tableColumnId="139"/>
      <queryTableField id="59" name="Canal de Distribuição" tableColumnId="140"/>
      <queryTableField id="60" name="Column60" tableColumnId="141"/>
      <queryTableField id="61" name="Setor de Atividade" tableColumnId="142"/>
      <queryTableField id="62" name="Column62" tableColumnId="143"/>
      <queryTableField id="63" name="Níveis Organizacionais SAP" tableColumnId="144"/>
      <queryTableField id="64" name="Tipo de Material PROF" tableColumnId="145"/>
      <queryTableField id="65" name="Geometria CHAR" tableColumnId="146"/>
      <queryTableField id="66" name="Espessura CHAR" tableColumnId="147"/>
      <queryTableField id="67" name="Raspagem Interna?" tableColumnId="148"/>
      <queryTableField id="68" name="Metalização?" tableColumnId="149"/>
      <queryTableField id="69" name="DADOS VARIANT" tableColumnId="150"/>
      <queryTableField id="70" name="Descrição CAM" tableColumnId="151"/>
      <queryTableField id="71" name="Enrijecedor Superior (mm)" tableColumnId="152"/>
      <queryTableField id="72" name="Enrijecedor Inferior (mm)" tableColumnId="153"/>
      <queryTableField id="73" name="Aba Superior (mm)" tableColumnId="154"/>
      <queryTableField id="74" name="Aba Inferior (mm)" tableColumnId="155"/>
      <queryTableField id="75" name="DIM 1 (mm)" tableColumnId="156"/>
      <queryTableField id="76" name="DIM 2 (mm)" tableColumnId="157"/>
      <queryTableField id="77" name="DIM 3 (mm)" tableColumnId="158"/>
      <queryTableField id="78" name="Alavanca 1 (mm)" tableColumnId="159"/>
      <queryTableField id="79" name="Alavanca 2 (mm)" tableColumnId="160"/>
      <queryTableField id="80" name="DADOS PURLINS" tableColumnId="16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0" tableType="queryTable" totalsRowCount="1">
  <autoFilter ref="A1:CB9">
    <filterColumn colId="1">
      <filters>
        <filter val="NEW"/>
      </filters>
    </filterColumn>
  </autoFilter>
  <tableColumns count="80">
    <tableColumn id="82" uniqueName="82" name="PJT" totalsRowLabel="Total" queryTableFieldId="1"/>
    <tableColumn id="83" uniqueName="83" name="STS" queryTableFieldId="2"/>
    <tableColumn id="84" uniqueName="84" name="Código P01" queryTableFieldId="3"/>
    <tableColumn id="85" uniqueName="85" name="Descrição P01" queryTableFieldId="4"/>
    <tableColumn id="86" uniqueName="86" name="Modelo" queryTableFieldId="5"/>
    <tableColumn id="87" uniqueName="87" name="Descrição do Modelo" queryTableFieldId="6"/>
    <tableColumn id="88" uniqueName="88" name="Centro" queryTableFieldId="7"/>
    <tableColumn id="89" uniqueName="89" name="Comprimento_x000a_Final" queryTableFieldId="8"/>
    <tableColumn id="90" uniqueName="90" name="Peso Kg/m" queryTableFieldId="9"/>
    <tableColumn id="91" uniqueName="91" name="KG/PC" queryTableFieldId="10"/>
    <tableColumn id="92" uniqueName="92" name="Hierarquia 1" queryTableFieldId="11"/>
    <tableColumn id="93" uniqueName="93" name="Hierarquia 2" queryTableFieldId="12"/>
    <tableColumn id="94" uniqueName="94" name="Hierarquia 3" queryTableFieldId="13"/>
    <tableColumn id="95" uniqueName="95" name="Hierarquia 4" queryTableFieldId="14"/>
    <tableColumn id="96" uniqueName="96" name="Hierarquia 5" queryTableFieldId="15"/>
    <tableColumn id="97" uniqueName="97" name="Hierarquia Final" queryTableFieldId="16"/>
    <tableColumn id="98" uniqueName="98" name="GrPMerc." queryTableFieldId="17"/>
    <tableColumn id="99" uniqueName="99" name="Bitola de Produção_x000a_          Descrição" queryTableFieldId="18"/>
    <tableColumn id="100" uniqueName="100" name="N° SAP da Bitola" queryTableFieldId="19"/>
    <tableColumn id="101" uniqueName="101" name="Unidade de Venda" queryTableFieldId="20"/>
    <tableColumn id="102" uniqueName="102" name="NCM" queryTableFieldId="21"/>
    <tableColumn id="103" uniqueName="103" name="Peças por _x000a_Amarrado" queryTableFieldId="22"/>
    <tableColumn id="104" uniqueName="104" name="Centro de trabalho" queryTableFieldId="23"/>
    <tableColumn id="105" uniqueName="105" name="Tempo_x000a_Setup" queryTableFieldId="24"/>
    <tableColumn id="106" uniqueName="106" name="Tempo de_x000a_Operação" queryTableFieldId="25"/>
    <tableColumn id="107" uniqueName="107" name="Perda de _x000a_Processo" queryTableFieldId="26"/>
    <tableColumn id="108" uniqueName="108" name="Código do componente" queryTableFieldId="27"/>
    <tableColumn id="109" uniqueName="109" name="Comprimento _x000a_do Multiplo" queryTableFieldId="28"/>
    <tableColumn id="110" uniqueName="110" name="Perda em Kg para fabricar 1000 peças do tubo cortado (perda inerente)" queryTableFieldId="29"/>
    <tableColumn id="111" uniqueName="111" name="Quantidade em metros para fabricar 1000 peças + perda de processo" queryTableFieldId="30"/>
    <tableColumn id="112" uniqueName="112" name="Quantidade em peças para fabricar 1000 peças + perda de processo" queryTableFieldId="31"/>
    <tableColumn id="113" uniqueName="113" name="DADOS AO" queryTableFieldId="32"/>
    <tableColumn id="114" uniqueName="114" name="Chave LNTR" queryTableFieldId="33"/>
    <tableColumn id="115" uniqueName="115" name="Espessura nominal" queryTableFieldId="34"/>
    <tableColumn id="116" uniqueName="116" name="Laminação" queryTableFieldId="35"/>
    <tableColumn id="117" uniqueName="117" name="MTH?_x000a_MTL?" queryTableFieldId="36"/>
    <tableColumn id="118" uniqueName="118" name="Espessura Mínima" queryTableFieldId="37"/>
    <tableColumn id="119" uniqueName="119" name="Espessura Máxima" queryTableFieldId="38"/>
    <tableColumn id="120" uniqueName="120" name="Máquina" queryTableFieldId="39"/>
    <tableColumn id="121" uniqueName="121" name="Mapa/Plano de montagem" queryTableFieldId="40"/>
    <tableColumn id="122" uniqueName="122" name="Velocidade_x000a_(m/hr)" queryTableFieldId="41"/>
    <tableColumn id="123" uniqueName="123" name="Nave" queryTableFieldId="42"/>
    <tableColumn id="124" uniqueName="124" name="Tempo de _x000a_pré-instalação" queryTableFieldId="43"/>
    <tableColumn id="125" uniqueName="125" name="Sucata (m)" queryTableFieldId="44"/>
    <tableColumn id="126" uniqueName="126" name="Perda (%)" queryTableFieldId="45"/>
    <tableColumn id="127" uniqueName="127" name="Largura da tira" queryTableFieldId="46"/>
    <tableColumn id="128" uniqueName="128" name="Bobina_x000a_ configuravel?" queryTableFieldId="47"/>
    <tableColumn id="129" uniqueName="129" name="Largura ideal" queryTableFieldId="48"/>
    <tableColumn id="130" uniqueName="130" name="Velocidade_x000a_3000 até 4999" queryTableFieldId="49"/>
    <tableColumn id="131" uniqueName="131" name="Velocidade_x000a_5000 até 8000" queryTableFieldId="50"/>
    <tableColumn id="132" uniqueName="132" name="Velocidade_x000a_8001 até 14000" queryTableFieldId="51"/>
    <tableColumn id="133" uniqueName="133" name="DADOS LNP" queryTableFieldId="52"/>
    <tableColumn id="134" uniqueName="134" name="Cliente" queryTableFieldId="53"/>
    <tableColumn id="135" uniqueName="135" name="Preço de terceirização " queryTableFieldId="54"/>
    <tableColumn id="136" uniqueName="136" name="Centro de Produção" queryTableFieldId="55"/>
    <tableColumn id="137" uniqueName="137" name="Column56" queryTableFieldId="56"/>
    <tableColumn id="138" uniqueName="138" name="Depósito de produção" queryTableFieldId="57"/>
    <tableColumn id="139" uniqueName="139" name="Column58" queryTableFieldId="58"/>
    <tableColumn id="140" uniqueName="140" name="Canal de Distribuição" queryTableFieldId="59"/>
    <tableColumn id="141" uniqueName="141" name="Column60" queryTableFieldId="60"/>
    <tableColumn id="142" uniqueName="142" name="Setor de Atividade" queryTableFieldId="61"/>
    <tableColumn id="143" uniqueName="143" name="Column62" queryTableFieldId="62"/>
    <tableColumn id="144" uniqueName="144" name="Níveis Organizacionais SAP" queryTableFieldId="63"/>
    <tableColumn id="145" uniqueName="145" name="Tipo de Material PROF" queryTableFieldId="64"/>
    <tableColumn id="146" uniqueName="146" name="Geometria CHAR" queryTableFieldId="65"/>
    <tableColumn id="147" uniqueName="147" name="Espessura CHAR" queryTableFieldId="66"/>
    <tableColumn id="148" uniqueName="148" name="Raspagem Interna?" queryTableFieldId="67"/>
    <tableColumn id="149" uniqueName="149" name="Metalização?" queryTableFieldId="68"/>
    <tableColumn id="150" uniqueName="150" name="DADOS VARIANT" queryTableFieldId="69"/>
    <tableColumn id="151" uniqueName="151" name="Descrição CAM" queryTableFieldId="70"/>
    <tableColumn id="152" uniqueName="152" name="Enrijecedor Superior (mm)" queryTableFieldId="71"/>
    <tableColumn id="153" uniqueName="153" name="Enrijecedor Inferior (mm)" queryTableFieldId="72"/>
    <tableColumn id="154" uniqueName="154" name="Aba Superior (mm)" queryTableFieldId="73"/>
    <tableColumn id="155" uniqueName="155" name="Aba Inferior (mm)" queryTableFieldId="74"/>
    <tableColumn id="156" uniqueName="156" name="DIM 1 (mm)" queryTableFieldId="75"/>
    <tableColumn id="157" uniqueName="157" name="DIM 2 (mm)" queryTableFieldId="76"/>
    <tableColumn id="158" uniqueName="158" name="DIM 3 (mm)" queryTableFieldId="77"/>
    <tableColumn id="159" uniqueName="159" name="Alavanca 1 (mm)" queryTableFieldId="78"/>
    <tableColumn id="160" uniqueName="160" name="Alavanca 2 (mm)" queryTableFieldId="79"/>
    <tableColumn id="161" uniqueName="161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tabSelected="1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1042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IF(IFERROR(INDEX(Consulta!$A:$DP,MATCH('MM01'!$B5,Consulta!$C:$C,0),'MM01'!D$2),"")=0,"",IFERROR(INDEX(Consulta!$A:$DP,MATCH('MM01'!$B5,Consulta!$C:$C,0),'MM01'!D$2),""))</f>
        <v/>
      </c>
      <c r="E5" s="43" t="str">
        <f>IF(IFERROR(INDEX(Consulta!$A:$DP,MATCH('MM01'!$B5,Consulta!$C:$C,0),'MM01'!E$2),"")=0,"",IFERROR(INDEX(Consulta!$A:$DP,MATCH('MM01'!$B5,Consulta!$C:$C,0),'MM01'!E$2),""))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79" t="str">
        <f>IF(AR5=68,20,"01")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429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14.03.2022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IF(IFERROR(INDEX(Consulta!$A:$DP,MATCH('MM01'!$B6,Consulta!$C:$C,0),'MM01'!D$2),"")=0,"",IFERROR(INDEX(Consulta!$A:$DP,MATCH('MM01'!$B6,Consulta!$C:$C,0),'MM01'!D$2),""))</f>
        <v/>
      </c>
      <c r="E6" s="43" t="str">
        <f>IF(IFERROR(INDEX(Consulta!$A:$DP,MATCH('MM01'!$B6,Consulta!$C:$C,0),'MM01'!E$2),"")=0,"",IFERROR(INDEX(Consulta!$A:$DP,MATCH('MM01'!$B6,Consulta!$C:$C,0),'MM01'!E$2),""))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/>
      <c r="BN6" s="46" t="str">
        <f t="shared" ref="BN6:BN54" ca="1" si="13">IF(BM6&lt;&gt;0,TEXT(TODAY(),"DD.MM.AAAA"),"")</f>
        <v/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IF(AR6=68,20,"01")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429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14.03.2022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IF(IFERROR(INDEX(Consulta!$A:$DP,MATCH('MM01'!$B7,Consulta!$C:$C,0),'MM01'!D$2),"")=0,"",IFERROR(INDEX(Consulta!$A:$DP,MATCH('MM01'!$B7,Consulta!$C:$C,0),'MM01'!D$2),""))</f>
        <v/>
      </c>
      <c r="E7" s="43" t="str">
        <f>IF(IFERROR(INDEX(Consulta!$A:$DP,MATCH('MM01'!$B7,Consulta!$C:$C,0),'MM01'!E$2),"")=0,"",IFERROR(INDEX(Consulta!$A:$DP,MATCH('MM01'!$B7,Consulta!$C:$C,0),'MM01'!E$2),""))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/>
      <c r="BN7" s="46" t="str">
        <f t="shared" ca="1" si="13"/>
        <v/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429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IF(IFERROR(INDEX(Consulta!$A:$DP,MATCH('MM01'!$B8,Consulta!$C:$C,0),'MM01'!D$2),"")=0,"",IFERROR(INDEX(Consulta!$A:$DP,MATCH('MM01'!$B8,Consulta!$C:$C,0),'MM01'!D$2),""))</f>
        <v/>
      </c>
      <c r="E8" s="43" t="str">
        <f>IF(IFERROR(INDEX(Consulta!$A:$DP,MATCH('MM01'!$B8,Consulta!$C:$C,0),'MM01'!E$2),"")=0,"",IFERROR(INDEX(Consulta!$A:$DP,MATCH('MM01'!$B8,Consulta!$C:$C,0),'MM01'!E$2),""))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/>
      <c r="BN8" s="46" t="str">
        <f t="shared" ca="1" si="13"/>
        <v/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429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IF(IFERROR(INDEX(Consulta!$A:$DP,MATCH('MM01'!$B9,Consulta!$C:$C,0),'MM01'!D$2),"")=0,"",IFERROR(INDEX(Consulta!$A:$DP,MATCH('MM01'!$B9,Consulta!$C:$C,0),'MM01'!D$2),""))</f>
        <v/>
      </c>
      <c r="E9" s="43" t="str">
        <f>IF(IFERROR(INDEX(Consulta!$A:$DP,MATCH('MM01'!$B9,Consulta!$C:$C,0),'MM01'!E$2),"")=0,"",IFERROR(INDEX(Consulta!$A:$DP,MATCH('MM01'!$B9,Consulta!$C:$C,0),'MM01'!E$2),""))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/>
      <c r="BN9" s="46" t="str">
        <f t="shared" ca="1" si="13"/>
        <v/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429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IF(IFERROR(INDEX(Consulta!$A:$DP,MATCH('MM01'!$B10,Consulta!$C:$C,0),'MM01'!D$2),"")=0,"",IFERROR(INDEX(Consulta!$A:$DP,MATCH('MM01'!$B10,Consulta!$C:$C,0),'MM01'!D$2),""))</f>
        <v/>
      </c>
      <c r="E10" s="43" t="str">
        <f>IF(IFERROR(INDEX(Consulta!$A:$DP,MATCH('MM01'!$B10,Consulta!$C:$C,0),'MM01'!E$2),"")=0,"",IFERROR(INDEX(Consulta!$A:$DP,MATCH('MM01'!$B10,Consulta!$C:$C,0),'MM01'!E$2),""))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/>
      <c r="BN10" s="46" t="str">
        <f t="shared" ca="1" si="13"/>
        <v/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429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IF(IFERROR(INDEX(Consulta!$A:$DP,MATCH('MM01'!$B11,Consulta!$C:$C,0),'MM01'!D$2),"")=0,"",IFERROR(INDEX(Consulta!$A:$DP,MATCH('MM01'!$B11,Consulta!$C:$C,0),'MM01'!D$2),""))</f>
        <v/>
      </c>
      <c r="E11" s="43" t="str">
        <f>IF(IFERROR(INDEX(Consulta!$A:$DP,MATCH('MM01'!$B11,Consulta!$C:$C,0),'MM01'!E$2),"")=0,"",IFERROR(INDEX(Consulta!$A:$DP,MATCH('MM01'!$B11,Consulta!$C:$C,0),'MM01'!E$2),""))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/>
      <c r="BN11" s="46" t="str">
        <f t="shared" ca="1" si="13"/>
        <v/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429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IF(IFERROR(INDEX(Consulta!$A:$DP,MATCH('MM01'!$B12,Consulta!$C:$C,0),'MM01'!D$2),"")=0,"",IFERROR(INDEX(Consulta!$A:$DP,MATCH('MM01'!$B12,Consulta!$C:$C,0),'MM01'!D$2),""))</f>
        <v/>
      </c>
      <c r="E12" s="43" t="str">
        <f>IF(IFERROR(INDEX(Consulta!$A:$DP,MATCH('MM01'!$B12,Consulta!$C:$C,0),'MM01'!E$2),"")=0,"",IFERROR(INDEX(Consulta!$A:$DP,MATCH('MM01'!$B12,Consulta!$C:$C,0),'MM01'!E$2),""))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/>
      <c r="BN12" s="46" t="str">
        <f t="shared" ca="1" si="13"/>
        <v/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429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IF(IFERROR(INDEX(Consulta!$A:$DP,MATCH('MM01'!$B13,Consulta!$C:$C,0),'MM01'!D$2),"")=0,"",IFERROR(INDEX(Consulta!$A:$DP,MATCH('MM01'!$B13,Consulta!$C:$C,0),'MM01'!D$2),""))</f>
        <v/>
      </c>
      <c r="E13" s="43" t="str">
        <f>IF(IFERROR(INDEX(Consulta!$A:$DP,MATCH('MM01'!$B13,Consulta!$C:$C,0),'MM01'!E$2),"")=0,"",IFERROR(INDEX(Consulta!$A:$DP,MATCH('MM01'!$B13,Consulta!$C:$C,0),'MM01'!E$2),""))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/>
      <c r="BN13" s="46" t="str">
        <f t="shared" ca="1" si="13"/>
        <v/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429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IF(IFERROR(INDEX(Consulta!$A:$DP,MATCH('MM01'!$B14,Consulta!$C:$C,0),'MM01'!D$2),"")=0,"",IFERROR(INDEX(Consulta!$A:$DP,MATCH('MM01'!$B14,Consulta!$C:$C,0),'MM01'!D$2),""))</f>
        <v/>
      </c>
      <c r="E14" s="43" t="str">
        <f>IF(IFERROR(INDEX(Consulta!$A:$DP,MATCH('MM01'!$B14,Consulta!$C:$C,0),'MM01'!E$2),"")=0,"",IFERROR(INDEX(Consulta!$A:$DP,MATCH('MM01'!$B14,Consulta!$C:$C,0),'MM01'!E$2),""))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/>
      <c r="BN14" s="46" t="str">
        <f t="shared" ca="1" si="13"/>
        <v/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429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IF(IFERROR(INDEX(Consulta!$A:$DP,MATCH('MM01'!$B15,Consulta!$C:$C,0),'MM01'!D$2),"")=0,"",IFERROR(INDEX(Consulta!$A:$DP,MATCH('MM01'!$B15,Consulta!$C:$C,0),'MM01'!D$2),""))</f>
        <v/>
      </c>
      <c r="E15" s="43" t="str">
        <f>IF(IFERROR(INDEX(Consulta!$A:$DP,MATCH('MM01'!$B15,Consulta!$C:$C,0),'MM01'!E$2),"")=0,"",IFERROR(INDEX(Consulta!$A:$DP,MATCH('MM01'!$B15,Consulta!$C:$C,0),'MM01'!E$2),""))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/>
      <c r="BN15" s="46" t="str">
        <f t="shared" ca="1" si="13"/>
        <v/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429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IF(IFERROR(INDEX(Consulta!$A:$DP,MATCH('MM01'!$B16,Consulta!$C:$C,0),'MM01'!D$2),"")=0,"",IFERROR(INDEX(Consulta!$A:$DP,MATCH('MM01'!$B16,Consulta!$C:$C,0),'MM01'!D$2),""))</f>
        <v/>
      </c>
      <c r="E16" s="43" t="str">
        <f>IF(IFERROR(INDEX(Consulta!$A:$DP,MATCH('MM01'!$B16,Consulta!$C:$C,0),'MM01'!E$2),"")=0,"",IFERROR(INDEX(Consulta!$A:$DP,MATCH('MM01'!$B16,Consulta!$C:$C,0),'MM01'!E$2),""))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/>
      <c r="BN16" s="46" t="str">
        <f t="shared" ca="1" si="13"/>
        <v/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429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IF(IFERROR(INDEX(Consulta!$A:$DP,MATCH('MM01'!$B17,Consulta!$C:$C,0),'MM01'!D$2),"")=0,"",IFERROR(INDEX(Consulta!$A:$DP,MATCH('MM01'!$B17,Consulta!$C:$C,0),'MM01'!D$2),""))</f>
        <v/>
      </c>
      <c r="E17" s="43" t="str">
        <f>IF(IFERROR(INDEX(Consulta!$A:$DP,MATCH('MM01'!$B17,Consulta!$C:$C,0),'MM01'!E$2),"")=0,"",IFERROR(INDEX(Consulta!$A:$DP,MATCH('MM01'!$B17,Consulta!$C:$C,0),'MM01'!E$2),""))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/>
      <c r="BN17" s="46" t="str">
        <f t="shared" ca="1" si="13"/>
        <v/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429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IF(IFERROR(INDEX(Consulta!$A:$DP,MATCH('MM01'!$B18,Consulta!$C:$C,0),'MM01'!D$2),"")=0,"",IFERROR(INDEX(Consulta!$A:$DP,MATCH('MM01'!$B18,Consulta!$C:$C,0),'MM01'!D$2),""))</f>
        <v/>
      </c>
      <c r="E18" s="43" t="str">
        <f>IF(IFERROR(INDEX(Consulta!$A:$DP,MATCH('MM01'!$B18,Consulta!$C:$C,0),'MM01'!E$2),"")=0,"",IFERROR(INDEX(Consulta!$A:$DP,MATCH('MM01'!$B18,Consulta!$C:$C,0),'MM01'!E$2),""))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/>
      <c r="BN18" s="46" t="str">
        <f t="shared" ca="1" si="13"/>
        <v/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429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IF(IFERROR(INDEX(Consulta!$A:$DP,MATCH('MM01'!$B19,Consulta!$C:$C,0),'MM01'!D$2),"")=0,"",IFERROR(INDEX(Consulta!$A:$DP,MATCH('MM01'!$B19,Consulta!$C:$C,0),'MM01'!D$2),""))</f>
        <v/>
      </c>
      <c r="E19" s="43" t="str">
        <f>IF(IFERROR(INDEX(Consulta!$A:$DP,MATCH('MM01'!$B19,Consulta!$C:$C,0),'MM01'!E$2),"")=0,"",IFERROR(INDEX(Consulta!$A:$DP,MATCH('MM01'!$B19,Consulta!$C:$C,0),'MM01'!E$2),""))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/>
      <c r="BN19" s="46" t="str">
        <f t="shared" ca="1" si="13"/>
        <v/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429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IF(IFERROR(INDEX(Consulta!$A:$DP,MATCH('MM01'!$B20,Consulta!$C:$C,0),'MM01'!D$2),"")=0,"",IFERROR(INDEX(Consulta!$A:$DP,MATCH('MM01'!$B20,Consulta!$C:$C,0),'MM01'!D$2),""))</f>
        <v/>
      </c>
      <c r="E20" s="43" t="str">
        <f>IF(IFERROR(INDEX(Consulta!$A:$DP,MATCH('MM01'!$B20,Consulta!$C:$C,0),'MM01'!E$2),"")=0,"",IFERROR(INDEX(Consulta!$A:$DP,MATCH('MM01'!$B20,Consulta!$C:$C,0),'MM01'!E$2),""))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/>
      <c r="BN20" s="46" t="str">
        <f t="shared" ca="1" si="13"/>
        <v/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429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IF(IFERROR(INDEX(Consulta!$A:$DP,MATCH('MM01'!$B21,Consulta!$C:$C,0),'MM01'!D$2),"")=0,"",IFERROR(INDEX(Consulta!$A:$DP,MATCH('MM01'!$B21,Consulta!$C:$C,0),'MM01'!D$2),""))</f>
        <v/>
      </c>
      <c r="E21" s="43" t="str">
        <f>IF(IFERROR(INDEX(Consulta!$A:$DP,MATCH('MM01'!$B21,Consulta!$C:$C,0),'MM01'!E$2),"")=0,"",IFERROR(INDEX(Consulta!$A:$DP,MATCH('MM01'!$B21,Consulta!$C:$C,0),'MM01'!E$2),""))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/>
      <c r="BN21" s="46" t="str">
        <f t="shared" ca="1" si="13"/>
        <v/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429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IF(IFERROR(INDEX(Consulta!$A:$DP,MATCH('MM01'!$B22,Consulta!$C:$C,0),'MM01'!D$2),"")=0,"",IFERROR(INDEX(Consulta!$A:$DP,MATCH('MM01'!$B22,Consulta!$C:$C,0),'MM01'!D$2),""))</f>
        <v/>
      </c>
      <c r="E22" s="43" t="str">
        <f>IF(IFERROR(INDEX(Consulta!$A:$DP,MATCH('MM01'!$B22,Consulta!$C:$C,0),'MM01'!E$2),"")=0,"",IFERROR(INDEX(Consulta!$A:$DP,MATCH('MM01'!$B22,Consulta!$C:$C,0),'MM01'!E$2),""))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/>
      <c r="BN22" s="46" t="str">
        <f t="shared" ca="1" si="13"/>
        <v/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429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IF(IFERROR(INDEX(Consulta!$A:$DP,MATCH('MM01'!$B23,Consulta!$C:$C,0),'MM01'!D$2),"")=0,"",IFERROR(INDEX(Consulta!$A:$DP,MATCH('MM01'!$B23,Consulta!$C:$C,0),'MM01'!D$2),""))</f>
        <v/>
      </c>
      <c r="E23" s="43" t="str">
        <f>IF(IFERROR(INDEX(Consulta!$A:$DP,MATCH('MM01'!$B23,Consulta!$C:$C,0),'MM01'!E$2),"")=0,"",IFERROR(INDEX(Consulta!$A:$DP,MATCH('MM01'!$B23,Consulta!$C:$C,0),'MM01'!E$2),""))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/>
      <c r="BN23" s="46" t="str">
        <f t="shared" ca="1" si="13"/>
        <v/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429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IF(IFERROR(INDEX(Consulta!$A:$DP,MATCH('MM01'!$B24,Consulta!$C:$C,0),'MM01'!D$2),"")=0,"",IFERROR(INDEX(Consulta!$A:$DP,MATCH('MM01'!$B24,Consulta!$C:$C,0),'MM01'!D$2),""))</f>
        <v/>
      </c>
      <c r="E24" s="43" t="str">
        <f>IF(IFERROR(INDEX(Consulta!$A:$DP,MATCH('MM01'!$B24,Consulta!$C:$C,0),'MM01'!E$2),"")=0,"",IFERROR(INDEX(Consulta!$A:$DP,MATCH('MM01'!$B24,Consulta!$C:$C,0),'MM01'!E$2),""))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/>
      <c r="BN24" s="46" t="str">
        <f t="shared" ca="1" si="13"/>
        <v/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429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IF(IFERROR(INDEX(Consulta!$A:$DP,MATCH('MM01'!$B25,Consulta!$C:$C,0),'MM01'!D$2),"")=0,"",IFERROR(INDEX(Consulta!$A:$DP,MATCH('MM01'!$B25,Consulta!$C:$C,0),'MM01'!D$2),""))</f>
        <v/>
      </c>
      <c r="E25" s="43" t="str">
        <f>IF(IFERROR(INDEX(Consulta!$A:$DP,MATCH('MM01'!$B25,Consulta!$C:$C,0),'MM01'!E$2),"")=0,"",IFERROR(INDEX(Consulta!$A:$DP,MATCH('MM01'!$B25,Consulta!$C:$C,0),'MM01'!E$2),""))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/>
      <c r="BN25" s="46" t="str">
        <f t="shared" ca="1" si="13"/>
        <v/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429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IF(IFERROR(INDEX(Consulta!$A:$DP,MATCH('MM01'!$B26,Consulta!$C:$C,0),'MM01'!D$2),"")=0,"",IFERROR(INDEX(Consulta!$A:$DP,MATCH('MM01'!$B26,Consulta!$C:$C,0),'MM01'!D$2),""))</f>
        <v/>
      </c>
      <c r="E26" s="43" t="str">
        <f>IF(IFERROR(INDEX(Consulta!$A:$DP,MATCH('MM01'!$B26,Consulta!$C:$C,0),'MM01'!E$2),"")=0,"",IFERROR(INDEX(Consulta!$A:$DP,MATCH('MM01'!$B26,Consulta!$C:$C,0),'MM01'!E$2),""))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/>
      <c r="BN26" s="46" t="str">
        <f t="shared" ca="1" si="13"/>
        <v/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429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IF(IFERROR(INDEX(Consulta!$A:$DP,MATCH('MM01'!$B27,Consulta!$C:$C,0),'MM01'!D$2),"")=0,"",IFERROR(INDEX(Consulta!$A:$DP,MATCH('MM01'!$B27,Consulta!$C:$C,0),'MM01'!D$2),""))</f>
        <v/>
      </c>
      <c r="E27" s="43" t="str">
        <f>IF(IFERROR(INDEX(Consulta!$A:$DP,MATCH('MM01'!$B27,Consulta!$C:$C,0),'MM01'!E$2),"")=0,"",IFERROR(INDEX(Consulta!$A:$DP,MATCH('MM01'!$B27,Consulta!$C:$C,0),'MM01'!E$2),""))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/>
      <c r="BN27" s="46" t="str">
        <f t="shared" ca="1" si="13"/>
        <v/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429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IF(IFERROR(INDEX(Consulta!$A:$DP,MATCH('MM01'!$B28,Consulta!$C:$C,0),'MM01'!D$2),"")=0,"",IFERROR(INDEX(Consulta!$A:$DP,MATCH('MM01'!$B28,Consulta!$C:$C,0),'MM01'!D$2),""))</f>
        <v/>
      </c>
      <c r="E28" s="43" t="str">
        <f>IF(IFERROR(INDEX(Consulta!$A:$DP,MATCH('MM01'!$B28,Consulta!$C:$C,0),'MM01'!E$2),"")=0,"",IFERROR(INDEX(Consulta!$A:$DP,MATCH('MM01'!$B28,Consulta!$C:$C,0),'MM01'!E$2),""))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/>
      <c r="BN28" s="46" t="str">
        <f t="shared" ca="1" si="13"/>
        <v/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429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IF(IFERROR(INDEX(Consulta!$A:$DP,MATCH('MM01'!$B29,Consulta!$C:$C,0),'MM01'!D$2),"")=0,"",IFERROR(INDEX(Consulta!$A:$DP,MATCH('MM01'!$B29,Consulta!$C:$C,0),'MM01'!D$2),""))</f>
        <v/>
      </c>
      <c r="E29" s="43" t="str">
        <f>IF(IFERROR(INDEX(Consulta!$A:$DP,MATCH('MM01'!$B29,Consulta!$C:$C,0),'MM01'!E$2),"")=0,"",IFERROR(INDEX(Consulta!$A:$DP,MATCH('MM01'!$B29,Consulta!$C:$C,0),'MM01'!E$2),""))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/>
      <c r="BN29" s="46" t="str">
        <f t="shared" ca="1" si="13"/>
        <v/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429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IF(IFERROR(INDEX(Consulta!$A:$DP,MATCH('MM01'!$B30,Consulta!$C:$C,0),'MM01'!D$2),"")=0,"",IFERROR(INDEX(Consulta!$A:$DP,MATCH('MM01'!$B30,Consulta!$C:$C,0),'MM01'!D$2),""))</f>
        <v/>
      </c>
      <c r="E30" s="43" t="str">
        <f>IF(IFERROR(INDEX(Consulta!$A:$DP,MATCH('MM01'!$B30,Consulta!$C:$C,0),'MM01'!E$2),"")=0,"",IFERROR(INDEX(Consulta!$A:$DP,MATCH('MM01'!$B30,Consulta!$C:$C,0),'MM01'!E$2),""))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/>
      <c r="BN30" s="46" t="str">
        <f t="shared" ca="1" si="13"/>
        <v/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429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IF(IFERROR(INDEX(Consulta!$A:$DP,MATCH('MM01'!$B31,Consulta!$C:$C,0),'MM01'!D$2),"")=0,"",IFERROR(INDEX(Consulta!$A:$DP,MATCH('MM01'!$B31,Consulta!$C:$C,0),'MM01'!D$2),""))</f>
        <v/>
      </c>
      <c r="E31" s="43" t="str">
        <f>IF(IFERROR(INDEX(Consulta!$A:$DP,MATCH('MM01'!$B31,Consulta!$C:$C,0),'MM01'!E$2),"")=0,"",IFERROR(INDEX(Consulta!$A:$DP,MATCH('MM01'!$B31,Consulta!$C:$C,0),'MM01'!E$2),""))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/>
      <c r="BN31" s="46" t="str">
        <f t="shared" ca="1" si="13"/>
        <v/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429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IF(IFERROR(INDEX(Consulta!$A:$DP,MATCH('MM01'!$B32,Consulta!$C:$C,0),'MM01'!D$2),"")=0,"",IFERROR(INDEX(Consulta!$A:$DP,MATCH('MM01'!$B32,Consulta!$C:$C,0),'MM01'!D$2),""))</f>
        <v/>
      </c>
      <c r="E32" s="43" t="str">
        <f>IF(IFERROR(INDEX(Consulta!$A:$DP,MATCH('MM01'!$B32,Consulta!$C:$C,0),'MM01'!E$2),"")=0,"",IFERROR(INDEX(Consulta!$A:$DP,MATCH('MM01'!$B32,Consulta!$C:$C,0),'MM01'!E$2),""))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/>
      <c r="BN32" s="46" t="str">
        <f t="shared" ca="1" si="13"/>
        <v/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429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IF(IFERROR(INDEX(Consulta!$A:$DP,MATCH('MM01'!$B33,Consulta!$C:$C,0),'MM01'!D$2),"")=0,"",IFERROR(INDEX(Consulta!$A:$DP,MATCH('MM01'!$B33,Consulta!$C:$C,0),'MM01'!D$2),""))</f>
        <v/>
      </c>
      <c r="E33" s="43" t="str">
        <f>IF(IFERROR(INDEX(Consulta!$A:$DP,MATCH('MM01'!$B33,Consulta!$C:$C,0),'MM01'!E$2),"")=0,"",IFERROR(INDEX(Consulta!$A:$DP,MATCH('MM01'!$B33,Consulta!$C:$C,0),'MM01'!E$2),""))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/>
      <c r="BN33" s="46" t="str">
        <f t="shared" ca="1" si="13"/>
        <v/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429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IF(IFERROR(INDEX(Consulta!$A:$DP,MATCH('MM01'!$B34,Consulta!$C:$C,0),'MM01'!D$2),"")=0,"",IFERROR(INDEX(Consulta!$A:$DP,MATCH('MM01'!$B34,Consulta!$C:$C,0),'MM01'!D$2),""))</f>
        <v/>
      </c>
      <c r="E34" s="43" t="str">
        <f>IF(IFERROR(INDEX(Consulta!$A:$DP,MATCH('MM01'!$B34,Consulta!$C:$C,0),'MM01'!E$2),"")=0,"",IFERROR(INDEX(Consulta!$A:$DP,MATCH('MM01'!$B34,Consulta!$C:$C,0),'MM01'!E$2),""))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/>
      <c r="BN34" s="46" t="str">
        <f t="shared" ca="1" si="13"/>
        <v/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429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IF(IFERROR(INDEX(Consulta!$A:$DP,MATCH('MM01'!$B35,Consulta!$C:$C,0),'MM01'!D$2),"")=0,"",IFERROR(INDEX(Consulta!$A:$DP,MATCH('MM01'!$B35,Consulta!$C:$C,0),'MM01'!D$2),""))</f>
        <v/>
      </c>
      <c r="E35" s="43" t="str">
        <f>IF(IFERROR(INDEX(Consulta!$A:$DP,MATCH('MM01'!$B35,Consulta!$C:$C,0),'MM01'!E$2),"")=0,"",IFERROR(INDEX(Consulta!$A:$DP,MATCH('MM01'!$B35,Consulta!$C:$C,0),'MM01'!E$2),""))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/>
      <c r="BN35" s="46" t="str">
        <f t="shared" ca="1" si="13"/>
        <v/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429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IF(IFERROR(INDEX(Consulta!$A:$DP,MATCH('MM01'!$B36,Consulta!$C:$C,0),'MM01'!D$2),"")=0,"",IFERROR(INDEX(Consulta!$A:$DP,MATCH('MM01'!$B36,Consulta!$C:$C,0),'MM01'!D$2),""))</f>
        <v/>
      </c>
      <c r="E36" s="43" t="str">
        <f>IF(IFERROR(INDEX(Consulta!$A:$DP,MATCH('MM01'!$B36,Consulta!$C:$C,0),'MM01'!E$2),"")=0,"",IFERROR(INDEX(Consulta!$A:$DP,MATCH('MM01'!$B36,Consulta!$C:$C,0),'MM01'!E$2),""))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/>
      <c r="BN36" s="46" t="str">
        <f t="shared" ca="1" si="13"/>
        <v/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429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IF(IFERROR(INDEX(Consulta!$A:$DP,MATCH('MM01'!$B37,Consulta!$C:$C,0),'MM01'!D$2),"")=0,"",IFERROR(INDEX(Consulta!$A:$DP,MATCH('MM01'!$B37,Consulta!$C:$C,0),'MM01'!D$2),""))</f>
        <v/>
      </c>
      <c r="E37" s="43" t="str">
        <f>IF(IFERROR(INDEX(Consulta!$A:$DP,MATCH('MM01'!$B37,Consulta!$C:$C,0),'MM01'!E$2),"")=0,"",IFERROR(INDEX(Consulta!$A:$DP,MATCH('MM01'!$B37,Consulta!$C:$C,0),'MM01'!E$2),""))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/>
      <c r="BN37" s="46" t="str">
        <f t="shared" ca="1" si="13"/>
        <v/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429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IF(IFERROR(INDEX(Consulta!$A:$DP,MATCH('MM01'!$B38,Consulta!$C:$C,0),'MM01'!D$2),"")=0,"",IFERROR(INDEX(Consulta!$A:$DP,MATCH('MM01'!$B38,Consulta!$C:$C,0),'MM01'!D$2),""))</f>
        <v/>
      </c>
      <c r="E38" s="43" t="str">
        <f>IF(IFERROR(INDEX(Consulta!$A:$DP,MATCH('MM01'!$B38,Consulta!$C:$C,0),'MM01'!E$2),"")=0,"",IFERROR(INDEX(Consulta!$A:$DP,MATCH('MM01'!$B38,Consulta!$C:$C,0),'MM01'!E$2),""))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/>
      <c r="BN38" s="46" t="str">
        <f t="shared" ca="1" si="13"/>
        <v/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429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IF(IFERROR(INDEX(Consulta!$A:$DP,MATCH('MM01'!$B39,Consulta!$C:$C,0),'MM01'!D$2),"")=0,"",IFERROR(INDEX(Consulta!$A:$DP,MATCH('MM01'!$B39,Consulta!$C:$C,0),'MM01'!D$2),""))</f>
        <v/>
      </c>
      <c r="E39" s="43" t="str">
        <f>IF(IFERROR(INDEX(Consulta!$A:$DP,MATCH('MM01'!$B39,Consulta!$C:$C,0),'MM01'!E$2),"")=0,"",IFERROR(INDEX(Consulta!$A:$DP,MATCH('MM01'!$B39,Consulta!$C:$C,0),'MM01'!E$2),""))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/>
      <c r="BN39" s="46" t="str">
        <f t="shared" ca="1" si="13"/>
        <v/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429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IF(IFERROR(INDEX(Consulta!$A:$DP,MATCH('MM01'!$B40,Consulta!$C:$C,0),'MM01'!D$2),"")=0,"",IFERROR(INDEX(Consulta!$A:$DP,MATCH('MM01'!$B40,Consulta!$C:$C,0),'MM01'!D$2),""))</f>
        <v/>
      </c>
      <c r="E40" s="43" t="str">
        <f>IF(IFERROR(INDEX(Consulta!$A:$DP,MATCH('MM01'!$B40,Consulta!$C:$C,0),'MM01'!E$2),"")=0,"",IFERROR(INDEX(Consulta!$A:$DP,MATCH('MM01'!$B40,Consulta!$C:$C,0),'MM01'!E$2),""))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/>
      <c r="BN40" s="46" t="str">
        <f t="shared" ca="1" si="13"/>
        <v/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429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IF(IFERROR(INDEX(Consulta!$A:$DP,MATCH('MM01'!$B41,Consulta!$C:$C,0),'MM01'!D$2),"")=0,"",IFERROR(INDEX(Consulta!$A:$DP,MATCH('MM01'!$B41,Consulta!$C:$C,0),'MM01'!D$2),""))</f>
        <v/>
      </c>
      <c r="E41" s="43" t="str">
        <f>IF(IFERROR(INDEX(Consulta!$A:$DP,MATCH('MM01'!$B41,Consulta!$C:$C,0),'MM01'!E$2),"")=0,"",IFERROR(INDEX(Consulta!$A:$DP,MATCH('MM01'!$B41,Consulta!$C:$C,0),'MM01'!E$2),""))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/>
      <c r="BN41" s="46" t="str">
        <f t="shared" ca="1" si="13"/>
        <v/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429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IF(IFERROR(INDEX(Consulta!$A:$DP,MATCH('MM01'!$B42,Consulta!$C:$C,0),'MM01'!D$2),"")=0,"",IFERROR(INDEX(Consulta!$A:$DP,MATCH('MM01'!$B42,Consulta!$C:$C,0),'MM01'!D$2),""))</f>
        <v/>
      </c>
      <c r="E42" s="43" t="str">
        <f>IF(IFERROR(INDEX(Consulta!$A:$DP,MATCH('MM01'!$B42,Consulta!$C:$C,0),'MM01'!E$2),"")=0,"",IFERROR(INDEX(Consulta!$A:$DP,MATCH('MM01'!$B42,Consulta!$C:$C,0),'MM01'!E$2),""))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/>
      <c r="BN42" s="46" t="str">
        <f t="shared" ca="1" si="13"/>
        <v/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429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IF(IFERROR(INDEX(Consulta!$A:$DP,MATCH('MM01'!$B43,Consulta!$C:$C,0),'MM01'!D$2),"")=0,"",IFERROR(INDEX(Consulta!$A:$DP,MATCH('MM01'!$B43,Consulta!$C:$C,0),'MM01'!D$2),""))</f>
        <v/>
      </c>
      <c r="E43" s="43" t="str">
        <f>IF(IFERROR(INDEX(Consulta!$A:$DP,MATCH('MM01'!$B43,Consulta!$C:$C,0),'MM01'!E$2),"")=0,"",IFERROR(INDEX(Consulta!$A:$DP,MATCH('MM01'!$B43,Consulta!$C:$C,0),'MM01'!E$2),""))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/>
      <c r="BN43" s="46" t="str">
        <f t="shared" ca="1" si="13"/>
        <v/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429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IF(IFERROR(INDEX(Consulta!$A:$DP,MATCH('MM01'!$B44,Consulta!$C:$C,0),'MM01'!D$2),"")=0,"",IFERROR(INDEX(Consulta!$A:$DP,MATCH('MM01'!$B44,Consulta!$C:$C,0),'MM01'!D$2),""))</f>
        <v/>
      </c>
      <c r="E44" s="43" t="str">
        <f>IF(IFERROR(INDEX(Consulta!$A:$DP,MATCH('MM01'!$B44,Consulta!$C:$C,0),'MM01'!E$2),"")=0,"",IFERROR(INDEX(Consulta!$A:$DP,MATCH('MM01'!$B44,Consulta!$C:$C,0),'MM01'!E$2),""))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/>
      <c r="BN44" s="46" t="str">
        <f t="shared" ca="1" si="13"/>
        <v/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429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IF(IFERROR(INDEX(Consulta!$A:$DP,MATCH('MM01'!$B45,Consulta!$C:$C,0),'MM01'!D$2),"")=0,"",IFERROR(INDEX(Consulta!$A:$DP,MATCH('MM01'!$B45,Consulta!$C:$C,0),'MM01'!D$2),""))</f>
        <v/>
      </c>
      <c r="E45" s="43" t="str">
        <f>IF(IFERROR(INDEX(Consulta!$A:$DP,MATCH('MM01'!$B45,Consulta!$C:$C,0),'MM01'!E$2),"")=0,"",IFERROR(INDEX(Consulta!$A:$DP,MATCH('MM01'!$B45,Consulta!$C:$C,0),'MM01'!E$2),""))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/>
      <c r="BN45" s="46" t="str">
        <f t="shared" ca="1" si="13"/>
        <v/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429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IF(IFERROR(INDEX(Consulta!$A:$DP,MATCH('MM01'!$B46,Consulta!$C:$C,0),'MM01'!D$2),"")=0,"",IFERROR(INDEX(Consulta!$A:$DP,MATCH('MM01'!$B46,Consulta!$C:$C,0),'MM01'!D$2),""))</f>
        <v/>
      </c>
      <c r="E46" s="43" t="str">
        <f>IF(IFERROR(INDEX(Consulta!$A:$DP,MATCH('MM01'!$B46,Consulta!$C:$C,0),'MM01'!E$2),"")=0,"",IFERROR(INDEX(Consulta!$A:$DP,MATCH('MM01'!$B46,Consulta!$C:$C,0),'MM01'!E$2),""))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/>
      <c r="BN46" s="46" t="str">
        <f t="shared" ca="1" si="13"/>
        <v/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429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IF(IFERROR(INDEX(Consulta!$A:$DP,MATCH('MM01'!$B47,Consulta!$C:$C,0),'MM01'!D$2),"")=0,"",IFERROR(INDEX(Consulta!$A:$DP,MATCH('MM01'!$B47,Consulta!$C:$C,0),'MM01'!D$2),""))</f>
        <v/>
      </c>
      <c r="E47" s="43" t="str">
        <f>IF(IFERROR(INDEX(Consulta!$A:$DP,MATCH('MM01'!$B47,Consulta!$C:$C,0),'MM01'!E$2),"")=0,"",IFERROR(INDEX(Consulta!$A:$DP,MATCH('MM01'!$B47,Consulta!$C:$C,0),'MM01'!E$2),""))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/>
      <c r="BN47" s="46" t="str">
        <f t="shared" ca="1" si="13"/>
        <v/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429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IF(IFERROR(INDEX(Consulta!$A:$DP,MATCH('MM01'!$B48,Consulta!$C:$C,0),'MM01'!D$2),"")=0,"",IFERROR(INDEX(Consulta!$A:$DP,MATCH('MM01'!$B48,Consulta!$C:$C,0),'MM01'!D$2),""))</f>
        <v/>
      </c>
      <c r="E48" s="43" t="str">
        <f>IF(IFERROR(INDEX(Consulta!$A:$DP,MATCH('MM01'!$B48,Consulta!$C:$C,0),'MM01'!E$2),"")=0,"",IFERROR(INDEX(Consulta!$A:$DP,MATCH('MM01'!$B48,Consulta!$C:$C,0),'MM01'!E$2),""))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/>
      <c r="BN48" s="46" t="str">
        <f t="shared" ca="1" si="13"/>
        <v/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429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IF(IFERROR(INDEX(Consulta!$A:$DP,MATCH('MM01'!$B49,Consulta!$C:$C,0),'MM01'!D$2),"")=0,"",IFERROR(INDEX(Consulta!$A:$DP,MATCH('MM01'!$B49,Consulta!$C:$C,0),'MM01'!D$2),""))</f>
        <v/>
      </c>
      <c r="E49" s="43" t="str">
        <f>IF(IFERROR(INDEX(Consulta!$A:$DP,MATCH('MM01'!$B49,Consulta!$C:$C,0),'MM01'!E$2),"")=0,"",IFERROR(INDEX(Consulta!$A:$DP,MATCH('MM01'!$B49,Consulta!$C:$C,0),'MM01'!E$2),""))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/>
      <c r="BN49" s="46" t="str">
        <f t="shared" ca="1" si="13"/>
        <v/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429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IF(IFERROR(INDEX(Consulta!$A:$DP,MATCH('MM01'!$B50,Consulta!$C:$C,0),'MM01'!D$2),"")=0,"",IFERROR(INDEX(Consulta!$A:$DP,MATCH('MM01'!$B50,Consulta!$C:$C,0),'MM01'!D$2),""))</f>
        <v/>
      </c>
      <c r="E50" s="43" t="str">
        <f>IF(IFERROR(INDEX(Consulta!$A:$DP,MATCH('MM01'!$B50,Consulta!$C:$C,0),'MM01'!E$2),"")=0,"",IFERROR(INDEX(Consulta!$A:$DP,MATCH('MM01'!$B50,Consulta!$C:$C,0),'MM01'!E$2),""))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/>
      <c r="BN50" s="46" t="str">
        <f t="shared" ca="1" si="13"/>
        <v/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429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IF(IFERROR(INDEX(Consulta!$A:$DP,MATCH('MM01'!$B51,Consulta!$C:$C,0),'MM01'!D$2),"")=0,"",IFERROR(INDEX(Consulta!$A:$DP,MATCH('MM01'!$B51,Consulta!$C:$C,0),'MM01'!D$2),""))</f>
        <v/>
      </c>
      <c r="E51" s="43" t="str">
        <f>IF(IFERROR(INDEX(Consulta!$A:$DP,MATCH('MM01'!$B51,Consulta!$C:$C,0),'MM01'!E$2),"")=0,"",IFERROR(INDEX(Consulta!$A:$DP,MATCH('MM01'!$B51,Consulta!$C:$C,0),'MM01'!E$2),""))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/>
      <c r="BN51" s="46" t="str">
        <f t="shared" ca="1" si="13"/>
        <v/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429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IF(IFERROR(INDEX(Consulta!$A:$DP,MATCH('MM01'!$B52,Consulta!$C:$C,0),'MM01'!D$2),"")=0,"",IFERROR(INDEX(Consulta!$A:$DP,MATCH('MM01'!$B52,Consulta!$C:$C,0),'MM01'!D$2),""))</f>
        <v/>
      </c>
      <c r="E52" s="43" t="str">
        <f>IF(IFERROR(INDEX(Consulta!$A:$DP,MATCH('MM01'!$B52,Consulta!$C:$C,0),'MM01'!E$2),"")=0,"",IFERROR(INDEX(Consulta!$A:$DP,MATCH('MM01'!$B52,Consulta!$C:$C,0),'MM01'!E$2),""))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/>
      <c r="BN52" s="46" t="str">
        <f t="shared" ca="1" si="13"/>
        <v/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429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IF(IFERROR(INDEX(Consulta!$A:$DP,MATCH('MM01'!$B53,Consulta!$C:$C,0),'MM01'!D$2),"")=0,"",IFERROR(INDEX(Consulta!$A:$DP,MATCH('MM01'!$B53,Consulta!$C:$C,0),'MM01'!D$2),""))</f>
        <v/>
      </c>
      <c r="E53" s="43" t="str">
        <f>IF(IFERROR(INDEX(Consulta!$A:$DP,MATCH('MM01'!$B53,Consulta!$C:$C,0),'MM01'!E$2),"")=0,"",IFERROR(INDEX(Consulta!$A:$DP,MATCH('MM01'!$B53,Consulta!$C:$C,0),'MM01'!E$2),""))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/>
      <c r="BN53" s="46" t="str">
        <f t="shared" ca="1" si="13"/>
        <v/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429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IF(IFERROR(INDEX(Consulta!$A:$DP,MATCH('MM01'!$B54,Consulta!$C:$C,0),'MM01'!D$2),"")=0,"",IFERROR(INDEX(Consulta!$A:$DP,MATCH('MM01'!$B54,Consulta!$C:$C,0),'MM01'!D$2),""))</f>
        <v/>
      </c>
      <c r="E54" s="43" t="str">
        <f>IF(IFERROR(INDEX(Consulta!$A:$DP,MATCH('MM01'!$B54,Consulta!$C:$C,0),'MM01'!E$2),"")=0,"",IFERROR(INDEX(Consulta!$A:$DP,MATCH('MM01'!$B54,Consulta!$C:$C,0),'MM01'!E$2),""))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/>
      <c r="BN54" s="46" t="str">
        <f t="shared" ca="1" si="13"/>
        <v/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429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IF(IFERROR(INDEX(Consulta!$A:$DP,MATCH('MM01'!$B55,Consulta!$C:$C,0),'MM01'!D$2),"")=0,"",IFERROR(INDEX(Consulta!$A:$DP,MATCH('MM01'!$B55,Consulta!$C:$C,0),'MM01'!D$2),""))</f>
        <v/>
      </c>
      <c r="E55" s="43" t="str">
        <f>IF(IFERROR(INDEX(Consulta!$A:$DP,MATCH('MM01'!$B55,Consulta!$C:$C,0),'MM01'!E$2),"")=0,"",IFERROR(INDEX(Consulta!$A:$DP,MATCH('MM01'!$B55,Consulta!$C:$C,0),'MM01'!E$2),""))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429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14.03.2022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IF(IFERROR(INDEX(Consulta!$A:$DP,MATCH('MM01'!$B56,Consulta!$C:$C,0),'MM01'!D$2),"")=0,"",IFERROR(INDEX(Consulta!$A:$DP,MATCH('MM01'!$B56,Consulta!$C:$C,0),'MM01'!D$2),""))</f>
        <v/>
      </c>
      <c r="E56" s="43" t="str">
        <f>IF(IFERROR(INDEX(Consulta!$A:$DP,MATCH('MM01'!$B56,Consulta!$C:$C,0),'MM01'!E$2),"")=0,"",IFERROR(INDEX(Consulta!$A:$DP,MATCH('MM01'!$B56,Consulta!$C:$C,0),'MM01'!E$2),""))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/>
      <c r="BN56" s="46" t="str">
        <f t="shared" ref="BN56:BN104" ca="1" si="53">IF(BM56&lt;&gt;0,TEXT(TODAY(),"DD.MM.AAAA"),"")</f>
        <v/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429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14.03.2022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IF(IFERROR(INDEX(Consulta!$A:$DP,MATCH('MM01'!$B57,Consulta!$C:$C,0),'MM01'!D$2),"")=0,"",IFERROR(INDEX(Consulta!$A:$DP,MATCH('MM01'!$B57,Consulta!$C:$C,0),'MM01'!D$2),""))</f>
        <v/>
      </c>
      <c r="E57" s="43" t="str">
        <f>IF(IFERROR(INDEX(Consulta!$A:$DP,MATCH('MM01'!$B57,Consulta!$C:$C,0),'MM01'!E$2),"")=0,"",IFERROR(INDEX(Consulta!$A:$DP,MATCH('MM01'!$B57,Consulta!$C:$C,0),'MM01'!E$2),""))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/>
      <c r="BN57" s="46" t="str">
        <f t="shared" ca="1" si="53"/>
        <v/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429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IF(IFERROR(INDEX(Consulta!$A:$DP,MATCH('MM01'!$B58,Consulta!$C:$C,0),'MM01'!D$2),"")=0,"",IFERROR(INDEX(Consulta!$A:$DP,MATCH('MM01'!$B58,Consulta!$C:$C,0),'MM01'!D$2),""))</f>
        <v/>
      </c>
      <c r="E58" s="43" t="str">
        <f>IF(IFERROR(INDEX(Consulta!$A:$DP,MATCH('MM01'!$B58,Consulta!$C:$C,0),'MM01'!E$2),"")=0,"",IFERROR(INDEX(Consulta!$A:$DP,MATCH('MM01'!$B58,Consulta!$C:$C,0),'MM01'!E$2),""))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/>
      <c r="BN58" s="46" t="str">
        <f t="shared" ca="1" si="53"/>
        <v/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429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IF(IFERROR(INDEX(Consulta!$A:$DP,MATCH('MM01'!$B59,Consulta!$C:$C,0),'MM01'!D$2),"")=0,"",IFERROR(INDEX(Consulta!$A:$DP,MATCH('MM01'!$B59,Consulta!$C:$C,0),'MM01'!D$2),""))</f>
        <v/>
      </c>
      <c r="E59" s="43" t="str">
        <f>IF(IFERROR(INDEX(Consulta!$A:$DP,MATCH('MM01'!$B59,Consulta!$C:$C,0),'MM01'!E$2),"")=0,"",IFERROR(INDEX(Consulta!$A:$DP,MATCH('MM01'!$B59,Consulta!$C:$C,0),'MM01'!E$2),""))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/>
      <c r="BN59" s="46" t="str">
        <f t="shared" ca="1" si="53"/>
        <v/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429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IF(IFERROR(INDEX(Consulta!$A:$DP,MATCH('MM01'!$B60,Consulta!$C:$C,0),'MM01'!D$2),"")=0,"",IFERROR(INDEX(Consulta!$A:$DP,MATCH('MM01'!$B60,Consulta!$C:$C,0),'MM01'!D$2),""))</f>
        <v/>
      </c>
      <c r="E60" s="43" t="str">
        <f>IF(IFERROR(INDEX(Consulta!$A:$DP,MATCH('MM01'!$B60,Consulta!$C:$C,0),'MM01'!E$2),"")=0,"",IFERROR(INDEX(Consulta!$A:$DP,MATCH('MM01'!$B60,Consulta!$C:$C,0),'MM01'!E$2),""))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/>
      <c r="BN60" s="46" t="str">
        <f t="shared" ca="1" si="53"/>
        <v/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429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IF(IFERROR(INDEX(Consulta!$A:$DP,MATCH('MM01'!$B61,Consulta!$C:$C,0),'MM01'!D$2),"")=0,"",IFERROR(INDEX(Consulta!$A:$DP,MATCH('MM01'!$B61,Consulta!$C:$C,0),'MM01'!D$2),""))</f>
        <v/>
      </c>
      <c r="E61" s="43" t="str">
        <f>IF(IFERROR(INDEX(Consulta!$A:$DP,MATCH('MM01'!$B61,Consulta!$C:$C,0),'MM01'!E$2),"")=0,"",IFERROR(INDEX(Consulta!$A:$DP,MATCH('MM01'!$B61,Consulta!$C:$C,0),'MM01'!E$2),""))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/>
      <c r="BN61" s="46" t="str">
        <f t="shared" ca="1" si="53"/>
        <v/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429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IF(IFERROR(INDEX(Consulta!$A:$DP,MATCH('MM01'!$B62,Consulta!$C:$C,0),'MM01'!D$2),"")=0,"",IFERROR(INDEX(Consulta!$A:$DP,MATCH('MM01'!$B62,Consulta!$C:$C,0),'MM01'!D$2),""))</f>
        <v/>
      </c>
      <c r="E62" s="43" t="str">
        <f>IF(IFERROR(INDEX(Consulta!$A:$DP,MATCH('MM01'!$B62,Consulta!$C:$C,0),'MM01'!E$2),"")=0,"",IFERROR(INDEX(Consulta!$A:$DP,MATCH('MM01'!$B62,Consulta!$C:$C,0),'MM01'!E$2),""))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/>
      <c r="BN62" s="46" t="str">
        <f t="shared" ca="1" si="53"/>
        <v/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429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IF(IFERROR(INDEX(Consulta!$A:$DP,MATCH('MM01'!$B63,Consulta!$C:$C,0),'MM01'!D$2),"")=0,"",IFERROR(INDEX(Consulta!$A:$DP,MATCH('MM01'!$B63,Consulta!$C:$C,0),'MM01'!D$2),""))</f>
        <v/>
      </c>
      <c r="E63" s="43" t="str">
        <f>IF(IFERROR(INDEX(Consulta!$A:$DP,MATCH('MM01'!$B63,Consulta!$C:$C,0),'MM01'!E$2),"")=0,"",IFERROR(INDEX(Consulta!$A:$DP,MATCH('MM01'!$B63,Consulta!$C:$C,0),'MM01'!E$2),""))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/>
      <c r="BN63" s="46" t="str">
        <f t="shared" ca="1" si="53"/>
        <v/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429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IF(IFERROR(INDEX(Consulta!$A:$DP,MATCH('MM01'!$B64,Consulta!$C:$C,0),'MM01'!D$2),"")=0,"",IFERROR(INDEX(Consulta!$A:$DP,MATCH('MM01'!$B64,Consulta!$C:$C,0),'MM01'!D$2),""))</f>
        <v/>
      </c>
      <c r="E64" s="43" t="str">
        <f>IF(IFERROR(INDEX(Consulta!$A:$DP,MATCH('MM01'!$B64,Consulta!$C:$C,0),'MM01'!E$2),"")=0,"",IFERROR(INDEX(Consulta!$A:$DP,MATCH('MM01'!$B64,Consulta!$C:$C,0),'MM01'!E$2),""))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/>
      <c r="BN64" s="46" t="str">
        <f t="shared" ca="1" si="53"/>
        <v/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429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IF(IFERROR(INDEX(Consulta!$A:$DP,MATCH('MM01'!$B65,Consulta!$C:$C,0),'MM01'!D$2),"")=0,"",IFERROR(INDEX(Consulta!$A:$DP,MATCH('MM01'!$B65,Consulta!$C:$C,0),'MM01'!D$2),""))</f>
        <v/>
      </c>
      <c r="E65" s="43" t="str">
        <f>IF(IFERROR(INDEX(Consulta!$A:$DP,MATCH('MM01'!$B65,Consulta!$C:$C,0),'MM01'!E$2),"")=0,"",IFERROR(INDEX(Consulta!$A:$DP,MATCH('MM01'!$B65,Consulta!$C:$C,0),'MM01'!E$2),""))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/>
      <c r="BN65" s="46" t="str">
        <f t="shared" ca="1" si="53"/>
        <v/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429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IF(IFERROR(INDEX(Consulta!$A:$DP,MATCH('MM01'!$B66,Consulta!$C:$C,0),'MM01'!D$2),"")=0,"",IFERROR(INDEX(Consulta!$A:$DP,MATCH('MM01'!$B66,Consulta!$C:$C,0),'MM01'!D$2),""))</f>
        <v/>
      </c>
      <c r="E66" s="43" t="str">
        <f>IF(IFERROR(INDEX(Consulta!$A:$DP,MATCH('MM01'!$B66,Consulta!$C:$C,0),'MM01'!E$2),"")=0,"",IFERROR(INDEX(Consulta!$A:$DP,MATCH('MM01'!$B66,Consulta!$C:$C,0),'MM01'!E$2),""))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/>
      <c r="BN66" s="46" t="str">
        <f t="shared" ca="1" si="53"/>
        <v/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429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IF(IFERROR(INDEX(Consulta!$A:$DP,MATCH('MM01'!$B67,Consulta!$C:$C,0),'MM01'!D$2),"")=0,"",IFERROR(INDEX(Consulta!$A:$DP,MATCH('MM01'!$B67,Consulta!$C:$C,0),'MM01'!D$2),""))</f>
        <v/>
      </c>
      <c r="E67" s="43" t="str">
        <f>IF(IFERROR(INDEX(Consulta!$A:$DP,MATCH('MM01'!$B67,Consulta!$C:$C,0),'MM01'!E$2),"")=0,"",IFERROR(INDEX(Consulta!$A:$DP,MATCH('MM01'!$B67,Consulta!$C:$C,0),'MM01'!E$2),""))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/>
      <c r="BN67" s="46" t="str">
        <f t="shared" ca="1" si="53"/>
        <v/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429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IF(IFERROR(INDEX(Consulta!$A:$DP,MATCH('MM01'!$B68,Consulta!$C:$C,0),'MM01'!D$2),"")=0,"",IFERROR(INDEX(Consulta!$A:$DP,MATCH('MM01'!$B68,Consulta!$C:$C,0),'MM01'!D$2),""))</f>
        <v/>
      </c>
      <c r="E68" s="43" t="str">
        <f>IF(IFERROR(INDEX(Consulta!$A:$DP,MATCH('MM01'!$B68,Consulta!$C:$C,0),'MM01'!E$2),"")=0,"",IFERROR(INDEX(Consulta!$A:$DP,MATCH('MM01'!$B68,Consulta!$C:$C,0),'MM01'!E$2),""))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/>
      <c r="BN68" s="46" t="str">
        <f t="shared" ca="1" si="53"/>
        <v/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429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IF(IFERROR(INDEX(Consulta!$A:$DP,MATCH('MM01'!$B69,Consulta!$C:$C,0),'MM01'!D$2),"")=0,"",IFERROR(INDEX(Consulta!$A:$DP,MATCH('MM01'!$B69,Consulta!$C:$C,0),'MM01'!D$2),""))</f>
        <v/>
      </c>
      <c r="E69" s="43" t="str">
        <f>IF(IFERROR(INDEX(Consulta!$A:$DP,MATCH('MM01'!$B69,Consulta!$C:$C,0),'MM01'!E$2),"")=0,"",IFERROR(INDEX(Consulta!$A:$DP,MATCH('MM01'!$B69,Consulta!$C:$C,0),'MM01'!E$2),""))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/>
      <c r="BN69" s="46" t="str">
        <f t="shared" ca="1" si="53"/>
        <v/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429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IF(IFERROR(INDEX(Consulta!$A:$DP,MATCH('MM01'!$B70,Consulta!$C:$C,0),'MM01'!D$2),"")=0,"",IFERROR(INDEX(Consulta!$A:$DP,MATCH('MM01'!$B70,Consulta!$C:$C,0),'MM01'!D$2),""))</f>
        <v/>
      </c>
      <c r="E70" s="43" t="str">
        <f>IF(IFERROR(INDEX(Consulta!$A:$DP,MATCH('MM01'!$B70,Consulta!$C:$C,0),'MM01'!E$2),"")=0,"",IFERROR(INDEX(Consulta!$A:$DP,MATCH('MM01'!$B70,Consulta!$C:$C,0),'MM01'!E$2),""))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/>
      <c r="BN70" s="46" t="str">
        <f t="shared" ca="1" si="53"/>
        <v/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IF(AR70=68,20,"01")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429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IF(IFERROR(INDEX(Consulta!$A:$DP,MATCH('MM01'!$B71,Consulta!$C:$C,0),'MM01'!D$2),"")=0,"",IFERROR(INDEX(Consulta!$A:$DP,MATCH('MM01'!$B71,Consulta!$C:$C,0),'MM01'!D$2),""))</f>
        <v/>
      </c>
      <c r="E71" s="43" t="str">
        <f>IF(IFERROR(INDEX(Consulta!$A:$DP,MATCH('MM01'!$B71,Consulta!$C:$C,0),'MM01'!E$2),"")=0,"",IFERROR(INDEX(Consulta!$A:$DP,MATCH('MM01'!$B71,Consulta!$C:$C,0),'MM01'!E$2),""))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/>
      <c r="BN71" s="46" t="str">
        <f t="shared" ca="1" si="53"/>
        <v/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429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IF(IFERROR(INDEX(Consulta!$A:$DP,MATCH('MM01'!$B72,Consulta!$C:$C,0),'MM01'!D$2),"")=0,"",IFERROR(INDEX(Consulta!$A:$DP,MATCH('MM01'!$B72,Consulta!$C:$C,0),'MM01'!D$2),""))</f>
        <v/>
      </c>
      <c r="E72" s="43" t="str">
        <f>IF(IFERROR(INDEX(Consulta!$A:$DP,MATCH('MM01'!$B72,Consulta!$C:$C,0),'MM01'!E$2),"")=0,"",IFERROR(INDEX(Consulta!$A:$DP,MATCH('MM01'!$B72,Consulta!$C:$C,0),'MM01'!E$2),""))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/>
      <c r="BN72" s="46" t="str">
        <f t="shared" ca="1" si="53"/>
        <v/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429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IF(IFERROR(INDEX(Consulta!$A:$DP,MATCH('MM01'!$B73,Consulta!$C:$C,0),'MM01'!D$2),"")=0,"",IFERROR(INDEX(Consulta!$A:$DP,MATCH('MM01'!$B73,Consulta!$C:$C,0),'MM01'!D$2),""))</f>
        <v/>
      </c>
      <c r="E73" s="43" t="str">
        <f>IF(IFERROR(INDEX(Consulta!$A:$DP,MATCH('MM01'!$B73,Consulta!$C:$C,0),'MM01'!E$2),"")=0,"",IFERROR(INDEX(Consulta!$A:$DP,MATCH('MM01'!$B73,Consulta!$C:$C,0),'MM01'!E$2),""))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/>
      <c r="BN73" s="46" t="str">
        <f t="shared" ca="1" si="53"/>
        <v/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429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IF(IFERROR(INDEX(Consulta!$A:$DP,MATCH('MM01'!$B74,Consulta!$C:$C,0),'MM01'!D$2),"")=0,"",IFERROR(INDEX(Consulta!$A:$DP,MATCH('MM01'!$B74,Consulta!$C:$C,0),'MM01'!D$2),""))</f>
        <v/>
      </c>
      <c r="E74" s="43" t="str">
        <f>IF(IFERROR(INDEX(Consulta!$A:$DP,MATCH('MM01'!$B74,Consulta!$C:$C,0),'MM01'!E$2),"")=0,"",IFERROR(INDEX(Consulta!$A:$DP,MATCH('MM01'!$B74,Consulta!$C:$C,0),'MM01'!E$2),""))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/>
      <c r="BN74" s="46" t="str">
        <f t="shared" ca="1" si="53"/>
        <v/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429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IF(IFERROR(INDEX(Consulta!$A:$DP,MATCH('MM01'!$B75,Consulta!$C:$C,0),'MM01'!D$2),"")=0,"",IFERROR(INDEX(Consulta!$A:$DP,MATCH('MM01'!$B75,Consulta!$C:$C,0),'MM01'!D$2),""))</f>
        <v/>
      </c>
      <c r="E75" s="43" t="str">
        <f>IF(IFERROR(INDEX(Consulta!$A:$DP,MATCH('MM01'!$B75,Consulta!$C:$C,0),'MM01'!E$2),"")=0,"",IFERROR(INDEX(Consulta!$A:$DP,MATCH('MM01'!$B75,Consulta!$C:$C,0),'MM01'!E$2),""))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/>
      <c r="BN75" s="46" t="str">
        <f t="shared" ca="1" si="53"/>
        <v/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429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IF(IFERROR(INDEX(Consulta!$A:$DP,MATCH('MM01'!$B76,Consulta!$C:$C,0),'MM01'!D$2),"")=0,"",IFERROR(INDEX(Consulta!$A:$DP,MATCH('MM01'!$B76,Consulta!$C:$C,0),'MM01'!D$2),""))</f>
        <v/>
      </c>
      <c r="E76" s="43" t="str">
        <f>IF(IFERROR(INDEX(Consulta!$A:$DP,MATCH('MM01'!$B76,Consulta!$C:$C,0),'MM01'!E$2),"")=0,"",IFERROR(INDEX(Consulta!$A:$DP,MATCH('MM01'!$B76,Consulta!$C:$C,0),'MM01'!E$2),""))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/>
      <c r="BN76" s="46" t="str">
        <f t="shared" ca="1" si="53"/>
        <v/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429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IF(IFERROR(INDEX(Consulta!$A:$DP,MATCH('MM01'!$B77,Consulta!$C:$C,0),'MM01'!D$2),"")=0,"",IFERROR(INDEX(Consulta!$A:$DP,MATCH('MM01'!$B77,Consulta!$C:$C,0),'MM01'!D$2),""))</f>
        <v/>
      </c>
      <c r="E77" s="43" t="str">
        <f>IF(IFERROR(INDEX(Consulta!$A:$DP,MATCH('MM01'!$B77,Consulta!$C:$C,0),'MM01'!E$2),"")=0,"",IFERROR(INDEX(Consulta!$A:$DP,MATCH('MM01'!$B77,Consulta!$C:$C,0),'MM01'!E$2),""))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/>
      <c r="BN77" s="46" t="str">
        <f t="shared" ca="1" si="53"/>
        <v/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429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IF(IFERROR(INDEX(Consulta!$A:$DP,MATCH('MM01'!$B78,Consulta!$C:$C,0),'MM01'!D$2),"")=0,"",IFERROR(INDEX(Consulta!$A:$DP,MATCH('MM01'!$B78,Consulta!$C:$C,0),'MM01'!D$2),""))</f>
        <v/>
      </c>
      <c r="E78" s="43" t="str">
        <f>IF(IFERROR(INDEX(Consulta!$A:$DP,MATCH('MM01'!$B78,Consulta!$C:$C,0),'MM01'!E$2),"")=0,"",IFERROR(INDEX(Consulta!$A:$DP,MATCH('MM01'!$B78,Consulta!$C:$C,0),'MM01'!E$2),""))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/>
      <c r="BN78" s="46" t="str">
        <f t="shared" ca="1" si="53"/>
        <v/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429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IF(IFERROR(INDEX(Consulta!$A:$DP,MATCH('MM01'!$B79,Consulta!$C:$C,0),'MM01'!D$2),"")=0,"",IFERROR(INDEX(Consulta!$A:$DP,MATCH('MM01'!$B79,Consulta!$C:$C,0),'MM01'!D$2),""))</f>
        <v/>
      </c>
      <c r="E79" s="43" t="str">
        <f>IF(IFERROR(INDEX(Consulta!$A:$DP,MATCH('MM01'!$B79,Consulta!$C:$C,0),'MM01'!E$2),"")=0,"",IFERROR(INDEX(Consulta!$A:$DP,MATCH('MM01'!$B79,Consulta!$C:$C,0),'MM01'!E$2),""))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/>
      <c r="BN79" s="46" t="str">
        <f t="shared" ca="1" si="53"/>
        <v/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429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IF(IFERROR(INDEX(Consulta!$A:$DP,MATCH('MM01'!$B80,Consulta!$C:$C,0),'MM01'!D$2),"")=0,"",IFERROR(INDEX(Consulta!$A:$DP,MATCH('MM01'!$B80,Consulta!$C:$C,0),'MM01'!D$2),""))</f>
        <v/>
      </c>
      <c r="E80" s="43" t="str">
        <f>IF(IFERROR(INDEX(Consulta!$A:$DP,MATCH('MM01'!$B80,Consulta!$C:$C,0),'MM01'!E$2),"")=0,"",IFERROR(INDEX(Consulta!$A:$DP,MATCH('MM01'!$B80,Consulta!$C:$C,0),'MM01'!E$2),""))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/>
      <c r="BN80" s="46" t="str">
        <f t="shared" ca="1" si="53"/>
        <v/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429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IF(IFERROR(INDEX(Consulta!$A:$DP,MATCH('MM01'!$B81,Consulta!$C:$C,0),'MM01'!D$2),"")=0,"",IFERROR(INDEX(Consulta!$A:$DP,MATCH('MM01'!$B81,Consulta!$C:$C,0),'MM01'!D$2),""))</f>
        <v/>
      </c>
      <c r="E81" s="43" t="str">
        <f>IF(IFERROR(INDEX(Consulta!$A:$DP,MATCH('MM01'!$B81,Consulta!$C:$C,0),'MM01'!E$2),"")=0,"",IFERROR(INDEX(Consulta!$A:$DP,MATCH('MM01'!$B81,Consulta!$C:$C,0),'MM01'!E$2),""))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/>
      <c r="BN81" s="46" t="str">
        <f t="shared" ca="1" si="53"/>
        <v/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429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IF(IFERROR(INDEX(Consulta!$A:$DP,MATCH('MM01'!$B82,Consulta!$C:$C,0),'MM01'!D$2),"")=0,"",IFERROR(INDEX(Consulta!$A:$DP,MATCH('MM01'!$B82,Consulta!$C:$C,0),'MM01'!D$2),""))</f>
        <v/>
      </c>
      <c r="E82" s="43" t="str">
        <f>IF(IFERROR(INDEX(Consulta!$A:$DP,MATCH('MM01'!$B82,Consulta!$C:$C,0),'MM01'!E$2),"")=0,"",IFERROR(INDEX(Consulta!$A:$DP,MATCH('MM01'!$B82,Consulta!$C:$C,0),'MM01'!E$2),""))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/>
      <c r="BN82" s="46" t="str">
        <f t="shared" ca="1" si="53"/>
        <v/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429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IF(IFERROR(INDEX(Consulta!$A:$DP,MATCH('MM01'!$B83,Consulta!$C:$C,0),'MM01'!D$2),"")=0,"",IFERROR(INDEX(Consulta!$A:$DP,MATCH('MM01'!$B83,Consulta!$C:$C,0),'MM01'!D$2),""))</f>
        <v/>
      </c>
      <c r="E83" s="43" t="str">
        <f>IF(IFERROR(INDEX(Consulta!$A:$DP,MATCH('MM01'!$B83,Consulta!$C:$C,0),'MM01'!E$2),"")=0,"",IFERROR(INDEX(Consulta!$A:$DP,MATCH('MM01'!$B83,Consulta!$C:$C,0),'MM01'!E$2),""))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/>
      <c r="BN83" s="46" t="str">
        <f t="shared" ca="1" si="53"/>
        <v/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429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IF(IFERROR(INDEX(Consulta!$A:$DP,MATCH('MM01'!$B84,Consulta!$C:$C,0),'MM01'!D$2),"")=0,"",IFERROR(INDEX(Consulta!$A:$DP,MATCH('MM01'!$B84,Consulta!$C:$C,0),'MM01'!D$2),""))</f>
        <v/>
      </c>
      <c r="E84" s="43" t="str">
        <f>IF(IFERROR(INDEX(Consulta!$A:$DP,MATCH('MM01'!$B84,Consulta!$C:$C,0),'MM01'!E$2),"")=0,"",IFERROR(INDEX(Consulta!$A:$DP,MATCH('MM01'!$B84,Consulta!$C:$C,0),'MM01'!E$2),""))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/>
      <c r="BN84" s="46" t="str">
        <f t="shared" ca="1" si="53"/>
        <v/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429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IF(IFERROR(INDEX(Consulta!$A:$DP,MATCH('MM01'!$B85,Consulta!$C:$C,0),'MM01'!D$2),"")=0,"",IFERROR(INDEX(Consulta!$A:$DP,MATCH('MM01'!$B85,Consulta!$C:$C,0),'MM01'!D$2),""))</f>
        <v/>
      </c>
      <c r="E85" s="43" t="str">
        <f>IF(IFERROR(INDEX(Consulta!$A:$DP,MATCH('MM01'!$B85,Consulta!$C:$C,0),'MM01'!E$2),"")=0,"",IFERROR(INDEX(Consulta!$A:$DP,MATCH('MM01'!$B85,Consulta!$C:$C,0),'MM01'!E$2),""))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/>
      <c r="BN85" s="46" t="str">
        <f t="shared" ca="1" si="53"/>
        <v/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429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IF(IFERROR(INDEX(Consulta!$A:$DP,MATCH('MM01'!$B86,Consulta!$C:$C,0),'MM01'!D$2),"")=0,"",IFERROR(INDEX(Consulta!$A:$DP,MATCH('MM01'!$B86,Consulta!$C:$C,0),'MM01'!D$2),""))</f>
        <v/>
      </c>
      <c r="E86" s="43" t="str">
        <f>IF(IFERROR(INDEX(Consulta!$A:$DP,MATCH('MM01'!$B86,Consulta!$C:$C,0),'MM01'!E$2),"")=0,"",IFERROR(INDEX(Consulta!$A:$DP,MATCH('MM01'!$B86,Consulta!$C:$C,0),'MM01'!E$2),""))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/>
      <c r="BN86" s="46" t="str">
        <f t="shared" ca="1" si="53"/>
        <v/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429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IF(IFERROR(INDEX(Consulta!$A:$DP,MATCH('MM01'!$B87,Consulta!$C:$C,0),'MM01'!D$2),"")=0,"",IFERROR(INDEX(Consulta!$A:$DP,MATCH('MM01'!$B87,Consulta!$C:$C,0),'MM01'!D$2),""))</f>
        <v/>
      </c>
      <c r="E87" s="43" t="str">
        <f>IF(IFERROR(INDEX(Consulta!$A:$DP,MATCH('MM01'!$B87,Consulta!$C:$C,0),'MM01'!E$2),"")=0,"",IFERROR(INDEX(Consulta!$A:$DP,MATCH('MM01'!$B87,Consulta!$C:$C,0),'MM01'!E$2),""))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/>
      <c r="BN87" s="46" t="str">
        <f t="shared" ca="1" si="53"/>
        <v/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429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IF(IFERROR(INDEX(Consulta!$A:$DP,MATCH('MM01'!$B88,Consulta!$C:$C,0),'MM01'!D$2),"")=0,"",IFERROR(INDEX(Consulta!$A:$DP,MATCH('MM01'!$B88,Consulta!$C:$C,0),'MM01'!D$2),""))</f>
        <v/>
      </c>
      <c r="E88" s="43" t="str">
        <f>IF(IFERROR(INDEX(Consulta!$A:$DP,MATCH('MM01'!$B88,Consulta!$C:$C,0),'MM01'!E$2),"")=0,"",IFERROR(INDEX(Consulta!$A:$DP,MATCH('MM01'!$B88,Consulta!$C:$C,0),'MM01'!E$2),""))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/>
      <c r="BN88" s="46" t="str">
        <f t="shared" ca="1" si="53"/>
        <v/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429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IF(IFERROR(INDEX(Consulta!$A:$DP,MATCH('MM01'!$B89,Consulta!$C:$C,0),'MM01'!D$2),"")=0,"",IFERROR(INDEX(Consulta!$A:$DP,MATCH('MM01'!$B89,Consulta!$C:$C,0),'MM01'!D$2),""))</f>
        <v/>
      </c>
      <c r="E89" s="43" t="str">
        <f>IF(IFERROR(INDEX(Consulta!$A:$DP,MATCH('MM01'!$B89,Consulta!$C:$C,0),'MM01'!E$2),"")=0,"",IFERROR(INDEX(Consulta!$A:$DP,MATCH('MM01'!$B89,Consulta!$C:$C,0),'MM01'!E$2),""))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/>
      <c r="BN89" s="46" t="str">
        <f t="shared" ca="1" si="53"/>
        <v/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429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IF(IFERROR(INDEX(Consulta!$A:$DP,MATCH('MM01'!$B90,Consulta!$C:$C,0),'MM01'!D$2),"")=0,"",IFERROR(INDEX(Consulta!$A:$DP,MATCH('MM01'!$B90,Consulta!$C:$C,0),'MM01'!D$2),""))</f>
        <v/>
      </c>
      <c r="E90" s="43" t="str">
        <f>IF(IFERROR(INDEX(Consulta!$A:$DP,MATCH('MM01'!$B90,Consulta!$C:$C,0),'MM01'!E$2),"")=0,"",IFERROR(INDEX(Consulta!$A:$DP,MATCH('MM01'!$B90,Consulta!$C:$C,0),'MM01'!E$2),""))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/>
      <c r="BN90" s="46" t="str">
        <f t="shared" ca="1" si="53"/>
        <v/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429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IF(IFERROR(INDEX(Consulta!$A:$DP,MATCH('MM01'!$B91,Consulta!$C:$C,0),'MM01'!D$2),"")=0,"",IFERROR(INDEX(Consulta!$A:$DP,MATCH('MM01'!$B91,Consulta!$C:$C,0),'MM01'!D$2),""))</f>
        <v/>
      </c>
      <c r="E91" s="43" t="str">
        <f>IF(IFERROR(INDEX(Consulta!$A:$DP,MATCH('MM01'!$B91,Consulta!$C:$C,0),'MM01'!E$2),"")=0,"",IFERROR(INDEX(Consulta!$A:$DP,MATCH('MM01'!$B91,Consulta!$C:$C,0),'MM01'!E$2),""))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/>
      <c r="BN91" s="46" t="str">
        <f t="shared" ca="1" si="53"/>
        <v/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429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IF(IFERROR(INDEX(Consulta!$A:$DP,MATCH('MM01'!$B92,Consulta!$C:$C,0),'MM01'!D$2),"")=0,"",IFERROR(INDEX(Consulta!$A:$DP,MATCH('MM01'!$B92,Consulta!$C:$C,0),'MM01'!D$2),""))</f>
        <v/>
      </c>
      <c r="E92" s="43" t="str">
        <f>IF(IFERROR(INDEX(Consulta!$A:$DP,MATCH('MM01'!$B92,Consulta!$C:$C,0),'MM01'!E$2),"")=0,"",IFERROR(INDEX(Consulta!$A:$DP,MATCH('MM01'!$B92,Consulta!$C:$C,0),'MM01'!E$2),""))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/>
      <c r="BN92" s="46" t="str">
        <f t="shared" ca="1" si="53"/>
        <v/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429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IF(IFERROR(INDEX(Consulta!$A:$DP,MATCH('MM01'!$B93,Consulta!$C:$C,0),'MM01'!D$2),"")=0,"",IFERROR(INDEX(Consulta!$A:$DP,MATCH('MM01'!$B93,Consulta!$C:$C,0),'MM01'!D$2),""))</f>
        <v/>
      </c>
      <c r="E93" s="43" t="str">
        <f>IF(IFERROR(INDEX(Consulta!$A:$DP,MATCH('MM01'!$B93,Consulta!$C:$C,0),'MM01'!E$2),"")=0,"",IFERROR(INDEX(Consulta!$A:$DP,MATCH('MM01'!$B93,Consulta!$C:$C,0),'MM01'!E$2),""))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/>
      <c r="BN93" s="46" t="str">
        <f t="shared" ca="1" si="53"/>
        <v/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429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IF(IFERROR(INDEX(Consulta!$A:$DP,MATCH('MM01'!$B94,Consulta!$C:$C,0),'MM01'!D$2),"")=0,"",IFERROR(INDEX(Consulta!$A:$DP,MATCH('MM01'!$B94,Consulta!$C:$C,0),'MM01'!D$2),""))</f>
        <v/>
      </c>
      <c r="E94" s="43" t="str">
        <f>IF(IFERROR(INDEX(Consulta!$A:$DP,MATCH('MM01'!$B94,Consulta!$C:$C,0),'MM01'!E$2),"")=0,"",IFERROR(INDEX(Consulta!$A:$DP,MATCH('MM01'!$B94,Consulta!$C:$C,0),'MM01'!E$2),""))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/>
      <c r="BN94" s="46" t="str">
        <f t="shared" ca="1" si="53"/>
        <v/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429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IF(IFERROR(INDEX(Consulta!$A:$DP,MATCH('MM01'!$B95,Consulta!$C:$C,0),'MM01'!D$2),"")=0,"",IFERROR(INDEX(Consulta!$A:$DP,MATCH('MM01'!$B95,Consulta!$C:$C,0),'MM01'!D$2),""))</f>
        <v/>
      </c>
      <c r="E95" s="43" t="str">
        <f>IF(IFERROR(INDEX(Consulta!$A:$DP,MATCH('MM01'!$B95,Consulta!$C:$C,0),'MM01'!E$2),"")=0,"",IFERROR(INDEX(Consulta!$A:$DP,MATCH('MM01'!$B95,Consulta!$C:$C,0),'MM01'!E$2),""))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/>
      <c r="BN95" s="46" t="str">
        <f t="shared" ca="1" si="53"/>
        <v/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429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IF(IFERROR(INDEX(Consulta!$A:$DP,MATCH('MM01'!$B96,Consulta!$C:$C,0),'MM01'!D$2),"")=0,"",IFERROR(INDEX(Consulta!$A:$DP,MATCH('MM01'!$B96,Consulta!$C:$C,0),'MM01'!D$2),""))</f>
        <v/>
      </c>
      <c r="E96" s="43" t="str">
        <f>IF(IFERROR(INDEX(Consulta!$A:$DP,MATCH('MM01'!$B96,Consulta!$C:$C,0),'MM01'!E$2),"")=0,"",IFERROR(INDEX(Consulta!$A:$DP,MATCH('MM01'!$B96,Consulta!$C:$C,0),'MM01'!E$2),""))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/>
      <c r="BN96" s="46" t="str">
        <f t="shared" ca="1" si="53"/>
        <v/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429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IF(IFERROR(INDEX(Consulta!$A:$DP,MATCH('MM01'!$B97,Consulta!$C:$C,0),'MM01'!D$2),"")=0,"",IFERROR(INDEX(Consulta!$A:$DP,MATCH('MM01'!$B97,Consulta!$C:$C,0),'MM01'!D$2),""))</f>
        <v/>
      </c>
      <c r="E97" s="43" t="str">
        <f>IF(IFERROR(INDEX(Consulta!$A:$DP,MATCH('MM01'!$B97,Consulta!$C:$C,0),'MM01'!E$2),"")=0,"",IFERROR(INDEX(Consulta!$A:$DP,MATCH('MM01'!$B97,Consulta!$C:$C,0),'MM01'!E$2),""))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/>
      <c r="BN97" s="46" t="str">
        <f t="shared" ca="1" si="53"/>
        <v/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429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IF(IFERROR(INDEX(Consulta!$A:$DP,MATCH('MM01'!$B98,Consulta!$C:$C,0),'MM01'!D$2),"")=0,"",IFERROR(INDEX(Consulta!$A:$DP,MATCH('MM01'!$B98,Consulta!$C:$C,0),'MM01'!D$2),""))</f>
        <v/>
      </c>
      <c r="E98" s="43" t="str">
        <f>IF(IFERROR(INDEX(Consulta!$A:$DP,MATCH('MM01'!$B98,Consulta!$C:$C,0),'MM01'!E$2),"")=0,"",IFERROR(INDEX(Consulta!$A:$DP,MATCH('MM01'!$B98,Consulta!$C:$C,0),'MM01'!E$2),""))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/>
      <c r="BN98" s="46" t="str">
        <f t="shared" ca="1" si="53"/>
        <v/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429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IF(IFERROR(INDEX(Consulta!$A:$DP,MATCH('MM01'!$B99,Consulta!$C:$C,0),'MM01'!D$2),"")=0,"",IFERROR(INDEX(Consulta!$A:$DP,MATCH('MM01'!$B99,Consulta!$C:$C,0),'MM01'!D$2),""))</f>
        <v/>
      </c>
      <c r="E99" s="43" t="str">
        <f>IF(IFERROR(INDEX(Consulta!$A:$DP,MATCH('MM01'!$B99,Consulta!$C:$C,0),'MM01'!E$2),"")=0,"",IFERROR(INDEX(Consulta!$A:$DP,MATCH('MM01'!$B99,Consulta!$C:$C,0),'MM01'!E$2),""))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/>
      <c r="BN99" s="46" t="str">
        <f t="shared" ca="1" si="53"/>
        <v/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429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IF(IFERROR(INDEX(Consulta!$A:$DP,MATCH('MM01'!$B100,Consulta!$C:$C,0),'MM01'!D$2),"")=0,"",IFERROR(INDEX(Consulta!$A:$DP,MATCH('MM01'!$B100,Consulta!$C:$C,0),'MM01'!D$2),""))</f>
        <v/>
      </c>
      <c r="E100" s="43" t="str">
        <f>IF(IFERROR(INDEX(Consulta!$A:$DP,MATCH('MM01'!$B100,Consulta!$C:$C,0),'MM01'!E$2),"")=0,"",IFERROR(INDEX(Consulta!$A:$DP,MATCH('MM01'!$B100,Consulta!$C:$C,0),'MM01'!E$2),""))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/>
      <c r="BN100" s="46" t="str">
        <f t="shared" ca="1" si="53"/>
        <v/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429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IF(IFERROR(INDEX(Consulta!$A:$DP,MATCH('MM01'!$B101,Consulta!$C:$C,0),'MM01'!D$2),"")=0,"",IFERROR(INDEX(Consulta!$A:$DP,MATCH('MM01'!$B101,Consulta!$C:$C,0),'MM01'!D$2),""))</f>
        <v/>
      </c>
      <c r="E101" s="43" t="str">
        <f>IF(IFERROR(INDEX(Consulta!$A:$DP,MATCH('MM01'!$B101,Consulta!$C:$C,0),'MM01'!E$2),"")=0,"",IFERROR(INDEX(Consulta!$A:$DP,MATCH('MM01'!$B101,Consulta!$C:$C,0),'MM01'!E$2),""))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/>
      <c r="BN101" s="46" t="str">
        <f t="shared" ca="1" si="53"/>
        <v/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429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IF(IFERROR(INDEX(Consulta!$A:$DP,MATCH('MM01'!$B102,Consulta!$C:$C,0),'MM01'!D$2),"")=0,"",IFERROR(INDEX(Consulta!$A:$DP,MATCH('MM01'!$B102,Consulta!$C:$C,0),'MM01'!D$2),""))</f>
        <v/>
      </c>
      <c r="E102" s="43" t="str">
        <f>IF(IFERROR(INDEX(Consulta!$A:$DP,MATCH('MM01'!$B102,Consulta!$C:$C,0),'MM01'!E$2),"")=0,"",IFERROR(INDEX(Consulta!$A:$DP,MATCH('MM01'!$B102,Consulta!$C:$C,0),'MM01'!E$2),""))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/>
      <c r="BN102" s="46" t="str">
        <f t="shared" ca="1" si="53"/>
        <v/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429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IF(IFERROR(INDEX(Consulta!$A:$DP,MATCH('MM01'!$B103,Consulta!$C:$C,0),'MM01'!D$2),"")=0,"",IFERROR(INDEX(Consulta!$A:$DP,MATCH('MM01'!$B103,Consulta!$C:$C,0),'MM01'!D$2),""))</f>
        <v/>
      </c>
      <c r="E103" s="43" t="str">
        <f>IF(IFERROR(INDEX(Consulta!$A:$DP,MATCH('MM01'!$B103,Consulta!$C:$C,0),'MM01'!E$2),"")=0,"",IFERROR(INDEX(Consulta!$A:$DP,MATCH('MM01'!$B103,Consulta!$C:$C,0),'MM01'!E$2),""))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/>
      <c r="BN103" s="46" t="str">
        <f t="shared" ca="1" si="53"/>
        <v/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429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IF(IFERROR(INDEX(Consulta!$A:$DP,MATCH('MM01'!$B104,Consulta!$C:$C,0),'MM01'!D$2),"")=0,"",IFERROR(INDEX(Consulta!$A:$DP,MATCH('MM01'!$B104,Consulta!$C:$C,0),'MM01'!D$2),""))</f>
        <v/>
      </c>
      <c r="E104" s="43" t="str">
        <f>IF(IFERROR(INDEX(Consulta!$A:$DP,MATCH('MM01'!$B104,Consulta!$C:$C,0),'MM01'!E$2),"")=0,"",IFERROR(INDEX(Consulta!$A:$DP,MATCH('MM01'!$B104,Consulta!$C:$C,0),'MM01'!E$2),""))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/>
      <c r="BN104" s="46" t="str">
        <f t="shared" ca="1" si="53"/>
        <v/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429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IF(IFERROR(INDEX(Consulta!$A:$DP,MATCH('MM01'!$B105,Consulta!$C:$C,0),'MM01'!D$2),"")=0,"",IFERROR(INDEX(Consulta!$A:$DP,MATCH('MM01'!$B105,Consulta!$C:$C,0),'MM01'!D$2),""))</f>
        <v/>
      </c>
      <c r="E105" s="43" t="str">
        <f>IF(IFERROR(INDEX(Consulta!$A:$DP,MATCH('MM01'!$B105,Consulta!$C:$C,0),'MM01'!E$2),"")=0,"",IFERROR(INDEX(Consulta!$A:$DP,MATCH('MM01'!$B105,Consulta!$C:$C,0),'MM01'!E$2),""))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429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14.03.2022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IF(IFERROR(INDEX(Consulta!$A:$DP,MATCH('MM01'!$B106,Consulta!$C:$C,0),'MM01'!D$2),"")=0,"",IFERROR(INDEX(Consulta!$A:$DP,MATCH('MM01'!$B106,Consulta!$C:$C,0),'MM01'!D$2),""))</f>
        <v/>
      </c>
      <c r="E106" s="43" t="str">
        <f>IF(IFERROR(INDEX(Consulta!$A:$DP,MATCH('MM01'!$B106,Consulta!$C:$C,0),'MM01'!E$2),"")=0,"",IFERROR(INDEX(Consulta!$A:$DP,MATCH('MM01'!$B106,Consulta!$C:$C,0),'MM01'!E$2),""))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/>
      <c r="BN106" s="46" t="str">
        <f t="shared" ref="BN106:BN154" ca="1" si="95">IF(BM106&lt;&gt;0,TEXT(TODAY(),"DD.MM.AAAA"),"")</f>
        <v/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429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14.03.2022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IF(IFERROR(INDEX(Consulta!$A:$DP,MATCH('MM01'!$B107,Consulta!$C:$C,0),'MM01'!D$2),"")=0,"",IFERROR(INDEX(Consulta!$A:$DP,MATCH('MM01'!$B107,Consulta!$C:$C,0),'MM01'!D$2),""))</f>
        <v/>
      </c>
      <c r="E107" s="43" t="str">
        <f>IF(IFERROR(INDEX(Consulta!$A:$DP,MATCH('MM01'!$B107,Consulta!$C:$C,0),'MM01'!E$2),"")=0,"",IFERROR(INDEX(Consulta!$A:$DP,MATCH('MM01'!$B107,Consulta!$C:$C,0),'MM01'!E$2),""))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/>
      <c r="BN107" s="46" t="str">
        <f t="shared" ca="1" si="95"/>
        <v/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429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IF(IFERROR(INDEX(Consulta!$A:$DP,MATCH('MM01'!$B108,Consulta!$C:$C,0),'MM01'!D$2),"")=0,"",IFERROR(INDEX(Consulta!$A:$DP,MATCH('MM01'!$B108,Consulta!$C:$C,0),'MM01'!D$2),""))</f>
        <v/>
      </c>
      <c r="E108" s="43" t="str">
        <f>IF(IFERROR(INDEX(Consulta!$A:$DP,MATCH('MM01'!$B108,Consulta!$C:$C,0),'MM01'!E$2),"")=0,"",IFERROR(INDEX(Consulta!$A:$DP,MATCH('MM01'!$B108,Consulta!$C:$C,0),'MM01'!E$2),""))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/>
      <c r="BN108" s="46" t="str">
        <f t="shared" ca="1" si="95"/>
        <v/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429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IF(IFERROR(INDEX(Consulta!$A:$DP,MATCH('MM01'!$B109,Consulta!$C:$C,0),'MM01'!D$2),"")=0,"",IFERROR(INDEX(Consulta!$A:$DP,MATCH('MM01'!$B109,Consulta!$C:$C,0),'MM01'!D$2),""))</f>
        <v/>
      </c>
      <c r="E109" s="43" t="str">
        <f>IF(IFERROR(INDEX(Consulta!$A:$DP,MATCH('MM01'!$B109,Consulta!$C:$C,0),'MM01'!E$2),"")=0,"",IFERROR(INDEX(Consulta!$A:$DP,MATCH('MM01'!$B109,Consulta!$C:$C,0),'MM01'!E$2),""))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/>
      <c r="BN109" s="46" t="str">
        <f t="shared" ca="1" si="95"/>
        <v/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429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IF(IFERROR(INDEX(Consulta!$A:$DP,MATCH('MM01'!$B110,Consulta!$C:$C,0),'MM01'!D$2),"")=0,"",IFERROR(INDEX(Consulta!$A:$DP,MATCH('MM01'!$B110,Consulta!$C:$C,0),'MM01'!D$2),""))</f>
        <v/>
      </c>
      <c r="E110" s="43" t="str">
        <f>IF(IFERROR(INDEX(Consulta!$A:$DP,MATCH('MM01'!$B110,Consulta!$C:$C,0),'MM01'!E$2),"")=0,"",IFERROR(INDEX(Consulta!$A:$DP,MATCH('MM01'!$B110,Consulta!$C:$C,0),'MM01'!E$2),""))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/>
      <c r="BN110" s="46" t="str">
        <f t="shared" ca="1" si="95"/>
        <v/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429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IF(IFERROR(INDEX(Consulta!$A:$DP,MATCH('MM01'!$B111,Consulta!$C:$C,0),'MM01'!D$2),"")=0,"",IFERROR(INDEX(Consulta!$A:$DP,MATCH('MM01'!$B111,Consulta!$C:$C,0),'MM01'!D$2),""))</f>
        <v/>
      </c>
      <c r="E111" s="43" t="str">
        <f>IF(IFERROR(INDEX(Consulta!$A:$DP,MATCH('MM01'!$B111,Consulta!$C:$C,0),'MM01'!E$2),"")=0,"",IFERROR(INDEX(Consulta!$A:$DP,MATCH('MM01'!$B111,Consulta!$C:$C,0),'MM01'!E$2),""))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/>
      <c r="BN111" s="46" t="str">
        <f t="shared" ca="1" si="95"/>
        <v/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429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IF(IFERROR(INDEX(Consulta!$A:$DP,MATCH('MM01'!$B112,Consulta!$C:$C,0),'MM01'!D$2),"")=0,"",IFERROR(INDEX(Consulta!$A:$DP,MATCH('MM01'!$B112,Consulta!$C:$C,0),'MM01'!D$2),""))</f>
        <v/>
      </c>
      <c r="E112" s="43" t="str">
        <f>IF(IFERROR(INDEX(Consulta!$A:$DP,MATCH('MM01'!$B112,Consulta!$C:$C,0),'MM01'!E$2),"")=0,"",IFERROR(INDEX(Consulta!$A:$DP,MATCH('MM01'!$B112,Consulta!$C:$C,0),'MM01'!E$2),""))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/>
      <c r="BN112" s="46" t="str">
        <f t="shared" ca="1" si="95"/>
        <v/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429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IF(IFERROR(INDEX(Consulta!$A:$DP,MATCH('MM01'!$B113,Consulta!$C:$C,0),'MM01'!D$2),"")=0,"",IFERROR(INDEX(Consulta!$A:$DP,MATCH('MM01'!$B113,Consulta!$C:$C,0),'MM01'!D$2),""))</f>
        <v/>
      </c>
      <c r="E113" s="43" t="str">
        <f>IF(IFERROR(INDEX(Consulta!$A:$DP,MATCH('MM01'!$B113,Consulta!$C:$C,0),'MM01'!E$2),"")=0,"",IFERROR(INDEX(Consulta!$A:$DP,MATCH('MM01'!$B113,Consulta!$C:$C,0),'MM01'!E$2),""))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/>
      <c r="BN113" s="46" t="str">
        <f t="shared" ca="1" si="95"/>
        <v/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429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IF(IFERROR(INDEX(Consulta!$A:$DP,MATCH('MM01'!$B114,Consulta!$C:$C,0),'MM01'!D$2),"")=0,"",IFERROR(INDEX(Consulta!$A:$DP,MATCH('MM01'!$B114,Consulta!$C:$C,0),'MM01'!D$2),""))</f>
        <v/>
      </c>
      <c r="E114" s="43" t="str">
        <f>IF(IFERROR(INDEX(Consulta!$A:$DP,MATCH('MM01'!$B114,Consulta!$C:$C,0),'MM01'!E$2),"")=0,"",IFERROR(INDEX(Consulta!$A:$DP,MATCH('MM01'!$B114,Consulta!$C:$C,0),'MM01'!E$2),""))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/>
      <c r="BN114" s="46" t="str">
        <f t="shared" ca="1" si="95"/>
        <v/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429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IF(IFERROR(INDEX(Consulta!$A:$DP,MATCH('MM01'!$B115,Consulta!$C:$C,0),'MM01'!D$2),"")=0,"",IFERROR(INDEX(Consulta!$A:$DP,MATCH('MM01'!$B115,Consulta!$C:$C,0),'MM01'!D$2),""))</f>
        <v/>
      </c>
      <c r="E115" s="43" t="str">
        <f>IF(IFERROR(INDEX(Consulta!$A:$DP,MATCH('MM01'!$B115,Consulta!$C:$C,0),'MM01'!E$2),"")=0,"",IFERROR(INDEX(Consulta!$A:$DP,MATCH('MM01'!$B115,Consulta!$C:$C,0),'MM01'!E$2),""))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/>
      <c r="BN115" s="46" t="str">
        <f t="shared" ca="1" si="95"/>
        <v/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429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IF(IFERROR(INDEX(Consulta!$A:$DP,MATCH('MM01'!$B116,Consulta!$C:$C,0),'MM01'!D$2),"")=0,"",IFERROR(INDEX(Consulta!$A:$DP,MATCH('MM01'!$B116,Consulta!$C:$C,0),'MM01'!D$2),""))</f>
        <v/>
      </c>
      <c r="E116" s="43" t="str">
        <f>IF(IFERROR(INDEX(Consulta!$A:$DP,MATCH('MM01'!$B116,Consulta!$C:$C,0),'MM01'!E$2),"")=0,"",IFERROR(INDEX(Consulta!$A:$DP,MATCH('MM01'!$B116,Consulta!$C:$C,0),'MM01'!E$2),""))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/>
      <c r="BN116" s="46" t="str">
        <f t="shared" ca="1" si="95"/>
        <v/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429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IF(IFERROR(INDEX(Consulta!$A:$DP,MATCH('MM01'!$B117,Consulta!$C:$C,0),'MM01'!D$2),"")=0,"",IFERROR(INDEX(Consulta!$A:$DP,MATCH('MM01'!$B117,Consulta!$C:$C,0),'MM01'!D$2),""))</f>
        <v/>
      </c>
      <c r="E117" s="43" t="str">
        <f>IF(IFERROR(INDEX(Consulta!$A:$DP,MATCH('MM01'!$B117,Consulta!$C:$C,0),'MM01'!E$2),"")=0,"",IFERROR(INDEX(Consulta!$A:$DP,MATCH('MM01'!$B117,Consulta!$C:$C,0),'MM01'!E$2),""))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/>
      <c r="BN117" s="46" t="str">
        <f t="shared" ca="1" si="95"/>
        <v/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429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IF(IFERROR(INDEX(Consulta!$A:$DP,MATCH('MM01'!$B118,Consulta!$C:$C,0),'MM01'!D$2),"")=0,"",IFERROR(INDEX(Consulta!$A:$DP,MATCH('MM01'!$B118,Consulta!$C:$C,0),'MM01'!D$2),""))</f>
        <v/>
      </c>
      <c r="E118" s="43" t="str">
        <f>IF(IFERROR(INDEX(Consulta!$A:$DP,MATCH('MM01'!$B118,Consulta!$C:$C,0),'MM01'!E$2),"")=0,"",IFERROR(INDEX(Consulta!$A:$DP,MATCH('MM01'!$B118,Consulta!$C:$C,0),'MM01'!E$2),""))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/>
      <c r="BN118" s="46" t="str">
        <f t="shared" ca="1" si="95"/>
        <v/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429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IF(IFERROR(INDEX(Consulta!$A:$DP,MATCH('MM01'!$B119,Consulta!$C:$C,0),'MM01'!D$2),"")=0,"",IFERROR(INDEX(Consulta!$A:$DP,MATCH('MM01'!$B119,Consulta!$C:$C,0),'MM01'!D$2),""))</f>
        <v/>
      </c>
      <c r="E119" s="43" t="str">
        <f>IF(IFERROR(INDEX(Consulta!$A:$DP,MATCH('MM01'!$B119,Consulta!$C:$C,0),'MM01'!E$2),"")=0,"",IFERROR(INDEX(Consulta!$A:$DP,MATCH('MM01'!$B119,Consulta!$C:$C,0),'MM01'!E$2),""))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/>
      <c r="BN119" s="46" t="str">
        <f t="shared" ca="1" si="95"/>
        <v/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429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IF(IFERROR(INDEX(Consulta!$A:$DP,MATCH('MM01'!$B120,Consulta!$C:$C,0),'MM01'!D$2),"")=0,"",IFERROR(INDEX(Consulta!$A:$DP,MATCH('MM01'!$B120,Consulta!$C:$C,0),'MM01'!D$2),""))</f>
        <v/>
      </c>
      <c r="E120" s="43" t="str">
        <f>IF(IFERROR(INDEX(Consulta!$A:$DP,MATCH('MM01'!$B120,Consulta!$C:$C,0),'MM01'!E$2),"")=0,"",IFERROR(INDEX(Consulta!$A:$DP,MATCH('MM01'!$B120,Consulta!$C:$C,0),'MM01'!E$2),""))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/>
      <c r="BN120" s="46" t="str">
        <f t="shared" ca="1" si="95"/>
        <v/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429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IF(IFERROR(INDEX(Consulta!$A:$DP,MATCH('MM01'!$B121,Consulta!$C:$C,0),'MM01'!D$2),"")=0,"",IFERROR(INDEX(Consulta!$A:$DP,MATCH('MM01'!$B121,Consulta!$C:$C,0),'MM01'!D$2),""))</f>
        <v/>
      </c>
      <c r="E121" s="43" t="str">
        <f>IF(IFERROR(INDEX(Consulta!$A:$DP,MATCH('MM01'!$B121,Consulta!$C:$C,0),'MM01'!E$2),"")=0,"",IFERROR(INDEX(Consulta!$A:$DP,MATCH('MM01'!$B121,Consulta!$C:$C,0),'MM01'!E$2),""))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/>
      <c r="BN121" s="46" t="str">
        <f t="shared" ca="1" si="95"/>
        <v/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429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IF(IFERROR(INDEX(Consulta!$A:$DP,MATCH('MM01'!$B122,Consulta!$C:$C,0),'MM01'!D$2),"")=0,"",IFERROR(INDEX(Consulta!$A:$DP,MATCH('MM01'!$B122,Consulta!$C:$C,0),'MM01'!D$2),""))</f>
        <v/>
      </c>
      <c r="E122" s="43" t="str">
        <f>IF(IFERROR(INDEX(Consulta!$A:$DP,MATCH('MM01'!$B122,Consulta!$C:$C,0),'MM01'!E$2),"")=0,"",IFERROR(INDEX(Consulta!$A:$DP,MATCH('MM01'!$B122,Consulta!$C:$C,0),'MM01'!E$2),""))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/>
      <c r="BN122" s="46" t="str">
        <f t="shared" ca="1" si="95"/>
        <v/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429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IF(IFERROR(INDEX(Consulta!$A:$DP,MATCH('MM01'!$B123,Consulta!$C:$C,0),'MM01'!D$2),"")=0,"",IFERROR(INDEX(Consulta!$A:$DP,MATCH('MM01'!$B123,Consulta!$C:$C,0),'MM01'!D$2),""))</f>
        <v/>
      </c>
      <c r="E123" s="43" t="str">
        <f>IF(IFERROR(INDEX(Consulta!$A:$DP,MATCH('MM01'!$B123,Consulta!$C:$C,0),'MM01'!E$2),"")=0,"",IFERROR(INDEX(Consulta!$A:$DP,MATCH('MM01'!$B123,Consulta!$C:$C,0),'MM01'!E$2),""))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/>
      <c r="BN123" s="46" t="str">
        <f t="shared" ca="1" si="95"/>
        <v/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429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IF(IFERROR(INDEX(Consulta!$A:$DP,MATCH('MM01'!$B124,Consulta!$C:$C,0),'MM01'!D$2),"")=0,"",IFERROR(INDEX(Consulta!$A:$DP,MATCH('MM01'!$B124,Consulta!$C:$C,0),'MM01'!D$2),""))</f>
        <v/>
      </c>
      <c r="E124" s="43" t="str">
        <f>IF(IFERROR(INDEX(Consulta!$A:$DP,MATCH('MM01'!$B124,Consulta!$C:$C,0),'MM01'!E$2),"")=0,"",IFERROR(INDEX(Consulta!$A:$DP,MATCH('MM01'!$B124,Consulta!$C:$C,0),'MM01'!E$2),""))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/>
      <c r="BN124" s="46" t="str">
        <f t="shared" ca="1" si="95"/>
        <v/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429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IF(IFERROR(INDEX(Consulta!$A:$DP,MATCH('MM01'!$B125,Consulta!$C:$C,0),'MM01'!D$2),"")=0,"",IFERROR(INDEX(Consulta!$A:$DP,MATCH('MM01'!$B125,Consulta!$C:$C,0),'MM01'!D$2),""))</f>
        <v/>
      </c>
      <c r="E125" s="43" t="str">
        <f>IF(IFERROR(INDEX(Consulta!$A:$DP,MATCH('MM01'!$B125,Consulta!$C:$C,0),'MM01'!E$2),"")=0,"",IFERROR(INDEX(Consulta!$A:$DP,MATCH('MM01'!$B125,Consulta!$C:$C,0),'MM01'!E$2),""))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/>
      <c r="BN125" s="46" t="str">
        <f t="shared" ca="1" si="95"/>
        <v/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429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IF(IFERROR(INDEX(Consulta!$A:$DP,MATCH('MM01'!$B126,Consulta!$C:$C,0),'MM01'!D$2),"")=0,"",IFERROR(INDEX(Consulta!$A:$DP,MATCH('MM01'!$B126,Consulta!$C:$C,0),'MM01'!D$2),""))</f>
        <v/>
      </c>
      <c r="E126" s="43" t="str">
        <f>IF(IFERROR(INDEX(Consulta!$A:$DP,MATCH('MM01'!$B126,Consulta!$C:$C,0),'MM01'!E$2),"")=0,"",IFERROR(INDEX(Consulta!$A:$DP,MATCH('MM01'!$B126,Consulta!$C:$C,0),'MM01'!E$2),""))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/>
      <c r="BN126" s="46" t="str">
        <f t="shared" ca="1" si="95"/>
        <v/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429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IF(IFERROR(INDEX(Consulta!$A:$DP,MATCH('MM01'!$B127,Consulta!$C:$C,0),'MM01'!D$2),"")=0,"",IFERROR(INDEX(Consulta!$A:$DP,MATCH('MM01'!$B127,Consulta!$C:$C,0),'MM01'!D$2),""))</f>
        <v/>
      </c>
      <c r="E127" s="43" t="str">
        <f>IF(IFERROR(INDEX(Consulta!$A:$DP,MATCH('MM01'!$B127,Consulta!$C:$C,0),'MM01'!E$2),"")=0,"",IFERROR(INDEX(Consulta!$A:$DP,MATCH('MM01'!$B127,Consulta!$C:$C,0),'MM01'!E$2),""))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/>
      <c r="BN127" s="46" t="str">
        <f t="shared" ca="1" si="95"/>
        <v/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429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IF(IFERROR(INDEX(Consulta!$A:$DP,MATCH('MM01'!$B128,Consulta!$C:$C,0),'MM01'!D$2),"")=0,"",IFERROR(INDEX(Consulta!$A:$DP,MATCH('MM01'!$B128,Consulta!$C:$C,0),'MM01'!D$2),""))</f>
        <v/>
      </c>
      <c r="E128" s="43" t="str">
        <f>IF(IFERROR(INDEX(Consulta!$A:$DP,MATCH('MM01'!$B128,Consulta!$C:$C,0),'MM01'!E$2),"")=0,"",IFERROR(INDEX(Consulta!$A:$DP,MATCH('MM01'!$B128,Consulta!$C:$C,0),'MM01'!E$2),""))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/>
      <c r="BN128" s="46" t="str">
        <f t="shared" ca="1" si="95"/>
        <v/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429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IF(IFERROR(INDEX(Consulta!$A:$DP,MATCH('MM01'!$B129,Consulta!$C:$C,0),'MM01'!D$2),"")=0,"",IFERROR(INDEX(Consulta!$A:$DP,MATCH('MM01'!$B129,Consulta!$C:$C,0),'MM01'!D$2),""))</f>
        <v/>
      </c>
      <c r="E129" s="43" t="str">
        <f>IF(IFERROR(INDEX(Consulta!$A:$DP,MATCH('MM01'!$B129,Consulta!$C:$C,0),'MM01'!E$2),"")=0,"",IFERROR(INDEX(Consulta!$A:$DP,MATCH('MM01'!$B129,Consulta!$C:$C,0),'MM01'!E$2),""))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/>
      <c r="BN129" s="46" t="str">
        <f t="shared" ca="1" si="95"/>
        <v/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429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IF(IFERROR(INDEX(Consulta!$A:$DP,MATCH('MM01'!$B130,Consulta!$C:$C,0),'MM01'!D$2),"")=0,"",IFERROR(INDEX(Consulta!$A:$DP,MATCH('MM01'!$B130,Consulta!$C:$C,0),'MM01'!D$2),""))</f>
        <v/>
      </c>
      <c r="E130" s="43" t="str">
        <f>IF(IFERROR(INDEX(Consulta!$A:$DP,MATCH('MM01'!$B130,Consulta!$C:$C,0),'MM01'!E$2),"")=0,"",IFERROR(INDEX(Consulta!$A:$DP,MATCH('MM01'!$B130,Consulta!$C:$C,0),'MM01'!E$2),""))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/>
      <c r="BN130" s="46" t="str">
        <f t="shared" ca="1" si="95"/>
        <v/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429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IF(IFERROR(INDEX(Consulta!$A:$DP,MATCH('MM01'!$B131,Consulta!$C:$C,0),'MM01'!D$2),"")=0,"",IFERROR(INDEX(Consulta!$A:$DP,MATCH('MM01'!$B131,Consulta!$C:$C,0),'MM01'!D$2),""))</f>
        <v/>
      </c>
      <c r="E131" s="43" t="str">
        <f>IF(IFERROR(INDEX(Consulta!$A:$DP,MATCH('MM01'!$B131,Consulta!$C:$C,0),'MM01'!E$2),"")=0,"",IFERROR(INDEX(Consulta!$A:$DP,MATCH('MM01'!$B131,Consulta!$C:$C,0),'MM01'!E$2),""))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/>
      <c r="BN131" s="46" t="str">
        <f t="shared" ca="1" si="95"/>
        <v/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429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IF(IFERROR(INDEX(Consulta!$A:$DP,MATCH('MM01'!$B132,Consulta!$C:$C,0),'MM01'!D$2),"")=0,"",IFERROR(INDEX(Consulta!$A:$DP,MATCH('MM01'!$B132,Consulta!$C:$C,0),'MM01'!D$2),""))</f>
        <v/>
      </c>
      <c r="E132" s="43" t="str">
        <f>IF(IFERROR(INDEX(Consulta!$A:$DP,MATCH('MM01'!$B132,Consulta!$C:$C,0),'MM01'!E$2),"")=0,"",IFERROR(INDEX(Consulta!$A:$DP,MATCH('MM01'!$B132,Consulta!$C:$C,0),'MM01'!E$2),""))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/>
      <c r="BN132" s="46" t="str">
        <f t="shared" ca="1" si="95"/>
        <v/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429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IF(IFERROR(INDEX(Consulta!$A:$DP,MATCH('MM01'!$B133,Consulta!$C:$C,0),'MM01'!D$2),"")=0,"",IFERROR(INDEX(Consulta!$A:$DP,MATCH('MM01'!$B133,Consulta!$C:$C,0),'MM01'!D$2),""))</f>
        <v/>
      </c>
      <c r="E133" s="43" t="str">
        <f>IF(IFERROR(INDEX(Consulta!$A:$DP,MATCH('MM01'!$B133,Consulta!$C:$C,0),'MM01'!E$2),"")=0,"",IFERROR(INDEX(Consulta!$A:$DP,MATCH('MM01'!$B133,Consulta!$C:$C,0),'MM01'!E$2),""))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/>
      <c r="BN133" s="46" t="str">
        <f t="shared" ca="1" si="95"/>
        <v/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429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IF(IFERROR(INDEX(Consulta!$A:$DP,MATCH('MM01'!$B134,Consulta!$C:$C,0),'MM01'!D$2),"")=0,"",IFERROR(INDEX(Consulta!$A:$DP,MATCH('MM01'!$B134,Consulta!$C:$C,0),'MM01'!D$2),""))</f>
        <v/>
      </c>
      <c r="E134" s="43" t="str">
        <f>IF(IFERROR(INDEX(Consulta!$A:$DP,MATCH('MM01'!$B134,Consulta!$C:$C,0),'MM01'!E$2),"")=0,"",IFERROR(INDEX(Consulta!$A:$DP,MATCH('MM01'!$B134,Consulta!$C:$C,0),'MM01'!E$2),""))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/>
      <c r="BN134" s="46" t="str">
        <f t="shared" ca="1" si="95"/>
        <v/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IF(AR134=68,20,"01")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429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IF(IFERROR(INDEX(Consulta!$A:$DP,MATCH('MM01'!$B135,Consulta!$C:$C,0),'MM01'!D$2),"")=0,"",IFERROR(INDEX(Consulta!$A:$DP,MATCH('MM01'!$B135,Consulta!$C:$C,0),'MM01'!D$2),""))</f>
        <v/>
      </c>
      <c r="E135" s="43" t="str">
        <f>IF(IFERROR(INDEX(Consulta!$A:$DP,MATCH('MM01'!$B135,Consulta!$C:$C,0),'MM01'!E$2),"")=0,"",IFERROR(INDEX(Consulta!$A:$DP,MATCH('MM01'!$B135,Consulta!$C:$C,0),'MM01'!E$2),""))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/>
      <c r="BN135" s="46" t="str">
        <f t="shared" ca="1" si="95"/>
        <v/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429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IF(IFERROR(INDEX(Consulta!$A:$DP,MATCH('MM01'!$B136,Consulta!$C:$C,0),'MM01'!D$2),"")=0,"",IFERROR(INDEX(Consulta!$A:$DP,MATCH('MM01'!$B136,Consulta!$C:$C,0),'MM01'!D$2),""))</f>
        <v/>
      </c>
      <c r="E136" s="43" t="str">
        <f>IF(IFERROR(INDEX(Consulta!$A:$DP,MATCH('MM01'!$B136,Consulta!$C:$C,0),'MM01'!E$2),"")=0,"",IFERROR(INDEX(Consulta!$A:$DP,MATCH('MM01'!$B136,Consulta!$C:$C,0),'MM01'!E$2),""))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/>
      <c r="BN136" s="46" t="str">
        <f t="shared" ca="1" si="95"/>
        <v/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429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IF(IFERROR(INDEX(Consulta!$A:$DP,MATCH('MM01'!$B137,Consulta!$C:$C,0),'MM01'!D$2),"")=0,"",IFERROR(INDEX(Consulta!$A:$DP,MATCH('MM01'!$B137,Consulta!$C:$C,0),'MM01'!D$2),""))</f>
        <v/>
      </c>
      <c r="E137" s="43" t="str">
        <f>IF(IFERROR(INDEX(Consulta!$A:$DP,MATCH('MM01'!$B137,Consulta!$C:$C,0),'MM01'!E$2),"")=0,"",IFERROR(INDEX(Consulta!$A:$DP,MATCH('MM01'!$B137,Consulta!$C:$C,0),'MM01'!E$2),""))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/>
      <c r="BN137" s="46" t="str">
        <f t="shared" ca="1" si="95"/>
        <v/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429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IF(IFERROR(INDEX(Consulta!$A:$DP,MATCH('MM01'!$B138,Consulta!$C:$C,0),'MM01'!D$2),"")=0,"",IFERROR(INDEX(Consulta!$A:$DP,MATCH('MM01'!$B138,Consulta!$C:$C,0),'MM01'!D$2),""))</f>
        <v/>
      </c>
      <c r="E138" s="43" t="str">
        <f>IF(IFERROR(INDEX(Consulta!$A:$DP,MATCH('MM01'!$B138,Consulta!$C:$C,0),'MM01'!E$2),"")=0,"",IFERROR(INDEX(Consulta!$A:$DP,MATCH('MM01'!$B138,Consulta!$C:$C,0),'MM01'!E$2),""))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/>
      <c r="BN138" s="46" t="str">
        <f t="shared" ca="1" si="95"/>
        <v/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429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IF(IFERROR(INDEX(Consulta!$A:$DP,MATCH('MM01'!$B139,Consulta!$C:$C,0),'MM01'!D$2),"")=0,"",IFERROR(INDEX(Consulta!$A:$DP,MATCH('MM01'!$B139,Consulta!$C:$C,0),'MM01'!D$2),""))</f>
        <v/>
      </c>
      <c r="E139" s="43" t="str">
        <f>IF(IFERROR(INDEX(Consulta!$A:$DP,MATCH('MM01'!$B139,Consulta!$C:$C,0),'MM01'!E$2),"")=0,"",IFERROR(INDEX(Consulta!$A:$DP,MATCH('MM01'!$B139,Consulta!$C:$C,0),'MM01'!E$2),""))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/>
      <c r="BN139" s="46" t="str">
        <f t="shared" ca="1" si="95"/>
        <v/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429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IF(IFERROR(INDEX(Consulta!$A:$DP,MATCH('MM01'!$B140,Consulta!$C:$C,0),'MM01'!D$2),"")=0,"",IFERROR(INDEX(Consulta!$A:$DP,MATCH('MM01'!$B140,Consulta!$C:$C,0),'MM01'!D$2),""))</f>
        <v/>
      </c>
      <c r="E140" s="43" t="str">
        <f>IF(IFERROR(INDEX(Consulta!$A:$DP,MATCH('MM01'!$B140,Consulta!$C:$C,0),'MM01'!E$2),"")=0,"",IFERROR(INDEX(Consulta!$A:$DP,MATCH('MM01'!$B140,Consulta!$C:$C,0),'MM01'!E$2),""))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/>
      <c r="BN140" s="46" t="str">
        <f t="shared" ca="1" si="95"/>
        <v/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429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IF(IFERROR(INDEX(Consulta!$A:$DP,MATCH('MM01'!$B141,Consulta!$C:$C,0),'MM01'!D$2),"")=0,"",IFERROR(INDEX(Consulta!$A:$DP,MATCH('MM01'!$B141,Consulta!$C:$C,0),'MM01'!D$2),""))</f>
        <v/>
      </c>
      <c r="E141" s="43" t="str">
        <f>IF(IFERROR(INDEX(Consulta!$A:$DP,MATCH('MM01'!$B141,Consulta!$C:$C,0),'MM01'!E$2),"")=0,"",IFERROR(INDEX(Consulta!$A:$DP,MATCH('MM01'!$B141,Consulta!$C:$C,0),'MM01'!E$2),""))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/>
      <c r="BN141" s="46" t="str">
        <f t="shared" ca="1" si="95"/>
        <v/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429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IF(IFERROR(INDEX(Consulta!$A:$DP,MATCH('MM01'!$B142,Consulta!$C:$C,0),'MM01'!D$2),"")=0,"",IFERROR(INDEX(Consulta!$A:$DP,MATCH('MM01'!$B142,Consulta!$C:$C,0),'MM01'!D$2),""))</f>
        <v/>
      </c>
      <c r="E142" s="43" t="str">
        <f>IF(IFERROR(INDEX(Consulta!$A:$DP,MATCH('MM01'!$B142,Consulta!$C:$C,0),'MM01'!E$2),"")=0,"",IFERROR(INDEX(Consulta!$A:$DP,MATCH('MM01'!$B142,Consulta!$C:$C,0),'MM01'!E$2),""))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/>
      <c r="BN142" s="46" t="str">
        <f t="shared" ca="1" si="95"/>
        <v/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429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IF(IFERROR(INDEX(Consulta!$A:$DP,MATCH('MM01'!$B143,Consulta!$C:$C,0),'MM01'!D$2),"")=0,"",IFERROR(INDEX(Consulta!$A:$DP,MATCH('MM01'!$B143,Consulta!$C:$C,0),'MM01'!D$2),""))</f>
        <v/>
      </c>
      <c r="E143" s="43" t="str">
        <f>IF(IFERROR(INDEX(Consulta!$A:$DP,MATCH('MM01'!$B143,Consulta!$C:$C,0),'MM01'!E$2),"")=0,"",IFERROR(INDEX(Consulta!$A:$DP,MATCH('MM01'!$B143,Consulta!$C:$C,0),'MM01'!E$2),""))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/>
      <c r="BN143" s="46" t="str">
        <f t="shared" ca="1" si="95"/>
        <v/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429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IF(IFERROR(INDEX(Consulta!$A:$DP,MATCH('MM01'!$B144,Consulta!$C:$C,0),'MM01'!D$2),"")=0,"",IFERROR(INDEX(Consulta!$A:$DP,MATCH('MM01'!$B144,Consulta!$C:$C,0),'MM01'!D$2),""))</f>
        <v/>
      </c>
      <c r="E144" s="43" t="str">
        <f>IF(IFERROR(INDEX(Consulta!$A:$DP,MATCH('MM01'!$B144,Consulta!$C:$C,0),'MM01'!E$2),"")=0,"",IFERROR(INDEX(Consulta!$A:$DP,MATCH('MM01'!$B144,Consulta!$C:$C,0),'MM01'!E$2),""))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/>
      <c r="BN144" s="46" t="str">
        <f t="shared" ca="1" si="95"/>
        <v/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429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IF(IFERROR(INDEX(Consulta!$A:$DP,MATCH('MM01'!$B145,Consulta!$C:$C,0),'MM01'!D$2),"")=0,"",IFERROR(INDEX(Consulta!$A:$DP,MATCH('MM01'!$B145,Consulta!$C:$C,0),'MM01'!D$2),""))</f>
        <v/>
      </c>
      <c r="E145" s="43" t="str">
        <f>IF(IFERROR(INDEX(Consulta!$A:$DP,MATCH('MM01'!$B145,Consulta!$C:$C,0),'MM01'!E$2),"")=0,"",IFERROR(INDEX(Consulta!$A:$DP,MATCH('MM01'!$B145,Consulta!$C:$C,0),'MM01'!E$2),""))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/>
      <c r="BN145" s="46" t="str">
        <f t="shared" ca="1" si="95"/>
        <v/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429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IF(IFERROR(INDEX(Consulta!$A:$DP,MATCH('MM01'!$B146,Consulta!$C:$C,0),'MM01'!D$2),"")=0,"",IFERROR(INDEX(Consulta!$A:$DP,MATCH('MM01'!$B146,Consulta!$C:$C,0),'MM01'!D$2),""))</f>
        <v/>
      </c>
      <c r="E146" s="43" t="str">
        <f>IF(IFERROR(INDEX(Consulta!$A:$DP,MATCH('MM01'!$B146,Consulta!$C:$C,0),'MM01'!E$2),"")=0,"",IFERROR(INDEX(Consulta!$A:$DP,MATCH('MM01'!$B146,Consulta!$C:$C,0),'MM01'!E$2),""))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/>
      <c r="BN146" s="46" t="str">
        <f t="shared" ca="1" si="95"/>
        <v/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429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IF(IFERROR(INDEX(Consulta!$A:$DP,MATCH('MM01'!$B147,Consulta!$C:$C,0),'MM01'!D$2),"")=0,"",IFERROR(INDEX(Consulta!$A:$DP,MATCH('MM01'!$B147,Consulta!$C:$C,0),'MM01'!D$2),""))</f>
        <v/>
      </c>
      <c r="E147" s="43" t="str">
        <f>IF(IFERROR(INDEX(Consulta!$A:$DP,MATCH('MM01'!$B147,Consulta!$C:$C,0),'MM01'!E$2),"")=0,"",IFERROR(INDEX(Consulta!$A:$DP,MATCH('MM01'!$B147,Consulta!$C:$C,0),'MM01'!E$2),""))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/>
      <c r="BN147" s="46" t="str">
        <f t="shared" ca="1" si="95"/>
        <v/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429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IF(IFERROR(INDEX(Consulta!$A:$DP,MATCH('MM01'!$B148,Consulta!$C:$C,0),'MM01'!D$2),"")=0,"",IFERROR(INDEX(Consulta!$A:$DP,MATCH('MM01'!$B148,Consulta!$C:$C,0),'MM01'!D$2),""))</f>
        <v/>
      </c>
      <c r="E148" s="43" t="str">
        <f>IF(IFERROR(INDEX(Consulta!$A:$DP,MATCH('MM01'!$B148,Consulta!$C:$C,0),'MM01'!E$2),"")=0,"",IFERROR(INDEX(Consulta!$A:$DP,MATCH('MM01'!$B148,Consulta!$C:$C,0),'MM01'!E$2),""))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/>
      <c r="BN148" s="46" t="str">
        <f t="shared" ca="1" si="95"/>
        <v/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429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IF(IFERROR(INDEX(Consulta!$A:$DP,MATCH('MM01'!$B149,Consulta!$C:$C,0),'MM01'!D$2),"")=0,"",IFERROR(INDEX(Consulta!$A:$DP,MATCH('MM01'!$B149,Consulta!$C:$C,0),'MM01'!D$2),""))</f>
        <v/>
      </c>
      <c r="E149" s="43" t="str">
        <f>IF(IFERROR(INDEX(Consulta!$A:$DP,MATCH('MM01'!$B149,Consulta!$C:$C,0),'MM01'!E$2),"")=0,"",IFERROR(INDEX(Consulta!$A:$DP,MATCH('MM01'!$B149,Consulta!$C:$C,0),'MM01'!E$2),""))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/>
      <c r="BN149" s="46" t="str">
        <f t="shared" ca="1" si="95"/>
        <v/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429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IF(IFERROR(INDEX(Consulta!$A:$DP,MATCH('MM01'!$B150,Consulta!$C:$C,0),'MM01'!D$2),"")=0,"",IFERROR(INDEX(Consulta!$A:$DP,MATCH('MM01'!$B150,Consulta!$C:$C,0),'MM01'!D$2),""))</f>
        <v/>
      </c>
      <c r="E150" s="43" t="str">
        <f>IF(IFERROR(INDEX(Consulta!$A:$DP,MATCH('MM01'!$B150,Consulta!$C:$C,0),'MM01'!E$2),"")=0,"",IFERROR(INDEX(Consulta!$A:$DP,MATCH('MM01'!$B150,Consulta!$C:$C,0),'MM01'!E$2),""))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/>
      <c r="BN150" s="46" t="str">
        <f t="shared" ca="1" si="95"/>
        <v/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429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IF(IFERROR(INDEX(Consulta!$A:$DP,MATCH('MM01'!$B151,Consulta!$C:$C,0),'MM01'!D$2),"")=0,"",IFERROR(INDEX(Consulta!$A:$DP,MATCH('MM01'!$B151,Consulta!$C:$C,0),'MM01'!D$2),""))</f>
        <v/>
      </c>
      <c r="E151" s="43" t="str">
        <f>IF(IFERROR(INDEX(Consulta!$A:$DP,MATCH('MM01'!$B151,Consulta!$C:$C,0),'MM01'!E$2),"")=0,"",IFERROR(INDEX(Consulta!$A:$DP,MATCH('MM01'!$B151,Consulta!$C:$C,0),'MM01'!E$2),""))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/>
      <c r="BN151" s="46" t="str">
        <f t="shared" ca="1" si="95"/>
        <v/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429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IF(IFERROR(INDEX(Consulta!$A:$DP,MATCH('MM01'!$B152,Consulta!$C:$C,0),'MM01'!D$2),"")=0,"",IFERROR(INDEX(Consulta!$A:$DP,MATCH('MM01'!$B152,Consulta!$C:$C,0),'MM01'!D$2),""))</f>
        <v/>
      </c>
      <c r="E152" s="43" t="str">
        <f>IF(IFERROR(INDEX(Consulta!$A:$DP,MATCH('MM01'!$B152,Consulta!$C:$C,0),'MM01'!E$2),"")=0,"",IFERROR(INDEX(Consulta!$A:$DP,MATCH('MM01'!$B152,Consulta!$C:$C,0),'MM01'!E$2),""))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/>
      <c r="BN152" s="46" t="str">
        <f t="shared" ca="1" si="95"/>
        <v/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429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IF(IFERROR(INDEX(Consulta!$A:$DP,MATCH('MM01'!$B153,Consulta!$C:$C,0),'MM01'!D$2),"")=0,"",IFERROR(INDEX(Consulta!$A:$DP,MATCH('MM01'!$B153,Consulta!$C:$C,0),'MM01'!D$2),""))</f>
        <v/>
      </c>
      <c r="E153" s="43" t="str">
        <f>IF(IFERROR(INDEX(Consulta!$A:$DP,MATCH('MM01'!$B153,Consulta!$C:$C,0),'MM01'!E$2),"")=0,"",IFERROR(INDEX(Consulta!$A:$DP,MATCH('MM01'!$B153,Consulta!$C:$C,0),'MM01'!E$2),""))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/>
      <c r="BN153" s="46" t="str">
        <f t="shared" ca="1" si="95"/>
        <v/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429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IF(IFERROR(INDEX(Consulta!$A:$DP,MATCH('MM01'!$B154,Consulta!$C:$C,0),'MM01'!D$2),"")=0,"",IFERROR(INDEX(Consulta!$A:$DP,MATCH('MM01'!$B154,Consulta!$C:$C,0),'MM01'!D$2),""))</f>
        <v/>
      </c>
      <c r="E154" s="43" t="str">
        <f>IF(IFERROR(INDEX(Consulta!$A:$DP,MATCH('MM01'!$B154,Consulta!$C:$C,0),'MM01'!E$2),"")=0,"",IFERROR(INDEX(Consulta!$A:$DP,MATCH('MM01'!$B154,Consulta!$C:$C,0),'MM01'!E$2),""))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/>
      <c r="BN154" s="46" t="str">
        <f t="shared" ca="1" si="95"/>
        <v/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429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233" priority="164" operator="beginsWith" text="L">
      <formula>LEFT(B5,LEN("L"))="L"</formula>
    </cfRule>
  </conditionalFormatting>
  <conditionalFormatting sqref="D5">
    <cfRule type="beginsWith" dxfId="232" priority="133" operator="beginsWith" text="L">
      <formula>LEFT(D5,LEN("L"))="L"</formula>
    </cfRule>
  </conditionalFormatting>
  <conditionalFormatting sqref="E5:E54">
    <cfRule type="beginsWith" dxfId="231" priority="132" operator="beginsWith" text="L">
      <formula>LEFT(E5,LEN("L"))="L"</formula>
    </cfRule>
  </conditionalFormatting>
  <conditionalFormatting sqref="AP5">
    <cfRule type="beginsWith" dxfId="230" priority="131" operator="beginsWith" text="L">
      <formula>LEFT(AP5,LEN("L"))="L"</formula>
    </cfRule>
  </conditionalFormatting>
  <conditionalFormatting sqref="AS5:AS54">
    <cfRule type="beginsWith" dxfId="229" priority="130" operator="beginsWith" text="L">
      <formula>LEFT(AS5,LEN("L"))="L"</formula>
    </cfRule>
  </conditionalFormatting>
  <conditionalFormatting sqref="AW5">
    <cfRule type="beginsWith" dxfId="228" priority="129" operator="beginsWith" text="L">
      <formula>LEFT(AW5,LEN("L"))="L"</formula>
    </cfRule>
  </conditionalFormatting>
  <conditionalFormatting sqref="BA5">
    <cfRule type="beginsWith" dxfId="227" priority="128" operator="beginsWith" text="L">
      <formula>LEFT(BA5,LEN("L"))="L"</formula>
    </cfRule>
  </conditionalFormatting>
  <conditionalFormatting sqref="BL5">
    <cfRule type="beginsWith" dxfId="226" priority="127" operator="beginsWith" text="L">
      <formula>LEFT(BL5,LEN("L"))="L"</formula>
    </cfRule>
  </conditionalFormatting>
  <conditionalFormatting sqref="BX5">
    <cfRule type="beginsWith" dxfId="225" priority="126" operator="beginsWith" text="L">
      <formula>LEFT(BX5,LEN("L"))="L"</formula>
    </cfRule>
  </conditionalFormatting>
  <conditionalFormatting sqref="CT5">
    <cfRule type="beginsWith" dxfId="224" priority="125" operator="beginsWith" text="L">
      <formula>LEFT(CT5,LEN("L"))="L"</formula>
    </cfRule>
  </conditionalFormatting>
  <conditionalFormatting sqref="CU5">
    <cfRule type="beginsWith" dxfId="223" priority="124" operator="beginsWith" text="L">
      <formula>LEFT(CU5,LEN("L"))="L"</formula>
    </cfRule>
  </conditionalFormatting>
  <conditionalFormatting sqref="CV5">
    <cfRule type="beginsWith" dxfId="222" priority="123" operator="beginsWith" text="L">
      <formula>LEFT(CV5,LEN("L"))="L"</formula>
    </cfRule>
  </conditionalFormatting>
  <conditionalFormatting sqref="CW5">
    <cfRule type="beginsWith" dxfId="221" priority="122" operator="beginsWith" text="L">
      <formula>LEFT(CW5,LEN("L"))="L"</formula>
    </cfRule>
  </conditionalFormatting>
  <conditionalFormatting sqref="DC5">
    <cfRule type="beginsWith" dxfId="220" priority="121" operator="beginsWith" text="L">
      <formula>LEFT(DC5,LEN("L"))="L"</formula>
    </cfRule>
  </conditionalFormatting>
  <conditionalFormatting sqref="B6:C54">
    <cfRule type="beginsWith" dxfId="219" priority="102" operator="beginsWith" text="L">
      <formula>LEFT(B6,LEN("L"))="L"</formula>
    </cfRule>
  </conditionalFormatting>
  <conditionalFormatting sqref="D6:D54">
    <cfRule type="beginsWith" dxfId="218" priority="101" operator="beginsWith" text="L">
      <formula>LEFT(D6,LEN("L"))="L"</formula>
    </cfRule>
  </conditionalFormatting>
  <conditionalFormatting sqref="AP6:AP54">
    <cfRule type="beginsWith" dxfId="217" priority="99" operator="beginsWith" text="L">
      <formula>LEFT(AP6,LEN("L"))="L"</formula>
    </cfRule>
  </conditionalFormatting>
  <conditionalFormatting sqref="BA6:BA54">
    <cfRule type="beginsWith" dxfId="216" priority="96" operator="beginsWith" text="L">
      <formula>LEFT(BA6,LEN("L"))="L"</formula>
    </cfRule>
  </conditionalFormatting>
  <conditionalFormatting sqref="BL6:BL54">
    <cfRule type="beginsWith" dxfId="215" priority="95" operator="beginsWith" text="L">
      <formula>LEFT(BL6,LEN("L"))="L"</formula>
    </cfRule>
  </conditionalFormatting>
  <conditionalFormatting sqref="BX6:BX54">
    <cfRule type="beginsWith" dxfId="214" priority="94" operator="beginsWith" text="L">
      <formula>LEFT(BX6,LEN("L"))="L"</formula>
    </cfRule>
  </conditionalFormatting>
  <conditionalFormatting sqref="CT6:CT54">
    <cfRule type="beginsWith" dxfId="213" priority="93" operator="beginsWith" text="L">
      <formula>LEFT(CT6,LEN("L"))="L"</formula>
    </cfRule>
  </conditionalFormatting>
  <conditionalFormatting sqref="CU6:CU54">
    <cfRule type="beginsWith" dxfId="212" priority="92" operator="beginsWith" text="L">
      <formula>LEFT(CU6,LEN("L"))="L"</formula>
    </cfRule>
  </conditionalFormatting>
  <conditionalFormatting sqref="CV6:CV54">
    <cfRule type="beginsWith" dxfId="211" priority="91" operator="beginsWith" text="L">
      <formula>LEFT(CV6,LEN("L"))="L"</formula>
    </cfRule>
  </conditionalFormatting>
  <conditionalFormatting sqref="CW6:CW54">
    <cfRule type="beginsWith" dxfId="210" priority="90" operator="beginsWith" text="L">
      <formula>LEFT(CW6,LEN("L"))="L"</formula>
    </cfRule>
  </conditionalFormatting>
  <conditionalFormatting sqref="DC6:DC54">
    <cfRule type="beginsWith" dxfId="209" priority="89" operator="beginsWith" text="L">
      <formula>LEFT(DC6,LEN("L"))="L"</formula>
    </cfRule>
  </conditionalFormatting>
  <conditionalFormatting sqref="AW6:AW54">
    <cfRule type="beginsWith" dxfId="208" priority="88" operator="beginsWith" text="L">
      <formula>LEFT(AW6,LEN("L"))="L"</formula>
    </cfRule>
  </conditionalFormatting>
  <conditionalFormatting sqref="EK1:EK54 EK155:EK1048576">
    <cfRule type="containsText" dxfId="207" priority="81" operator="containsText" text="criadas">
      <formula>NOT(ISERROR(SEARCH("criadas",EK1)))</formula>
    </cfRule>
    <cfRule type="containsText" dxfId="206" priority="83" operator="containsText" text="é gravado">
      <formula>NOT(ISERROR(SEARCH("é gravado",EK1)))</formula>
    </cfRule>
    <cfRule type="containsText" dxfId="205" priority="84" operator="containsText" text="é modificado">
      <formula>NOT(ISERROR(SEARCH("é modificado",EK1)))</formula>
    </cfRule>
    <cfRule type="containsText" dxfId="204" priority="85" operator="containsText" text="Error">
      <formula>NOT(ISERROR(SEARCH("Error",EK1)))</formula>
    </cfRule>
    <cfRule type="containsText" dxfId="203" priority="86" operator="containsText" text="é criado">
      <formula>NOT(ISERROR(SEARCH("é criado",EK1)))</formula>
    </cfRule>
  </conditionalFormatting>
  <conditionalFormatting sqref="DA5:DA54">
    <cfRule type="beginsWith" dxfId="202" priority="80" operator="beginsWith" text="L">
      <formula>LEFT(DA5,LEN("L"))="L"</formula>
    </cfRule>
  </conditionalFormatting>
  <conditionalFormatting sqref="EB5:EB54">
    <cfRule type="beginsWith" dxfId="201" priority="79" operator="beginsWith" text="L">
      <formula>LEFT(EB5,LEN("L"))="L"</formula>
    </cfRule>
  </conditionalFormatting>
  <conditionalFormatting sqref="G5:G54">
    <cfRule type="beginsWith" dxfId="200" priority="78" operator="beginsWith" text="L">
      <formula>LEFT(G5,LEN("L"))="L"</formula>
    </cfRule>
  </conditionalFormatting>
  <conditionalFormatting sqref="H5:H54">
    <cfRule type="beginsWith" dxfId="199" priority="77" operator="beginsWith" text="L">
      <formula>LEFT(H5,LEN("L"))="L"</formula>
    </cfRule>
  </conditionalFormatting>
  <conditionalFormatting sqref="J5:J54">
    <cfRule type="beginsWith" dxfId="198" priority="76" operator="beginsWith" text="L">
      <formula>LEFT(J5,LEN("L"))="L"</formula>
    </cfRule>
  </conditionalFormatting>
  <conditionalFormatting sqref="AR5:AR54">
    <cfRule type="beginsWith" dxfId="197" priority="75" operator="beginsWith" text="L">
      <formula>LEFT(AR5,LEN("L"))="L"</formula>
    </cfRule>
  </conditionalFormatting>
  <conditionalFormatting sqref="B55:C55">
    <cfRule type="beginsWith" dxfId="196" priority="74" operator="beginsWith" text="L">
      <formula>LEFT(B55,LEN("L"))="L"</formula>
    </cfRule>
  </conditionalFormatting>
  <conditionalFormatting sqref="D55">
    <cfRule type="beginsWith" dxfId="195" priority="73" operator="beginsWith" text="L">
      <formula>LEFT(D55,LEN("L"))="L"</formula>
    </cfRule>
  </conditionalFormatting>
  <conditionalFormatting sqref="E55:E104">
    <cfRule type="beginsWith" dxfId="194" priority="72" operator="beginsWith" text="L">
      <formula>LEFT(E55,LEN("L"))="L"</formula>
    </cfRule>
  </conditionalFormatting>
  <conditionalFormatting sqref="AP55">
    <cfRule type="beginsWith" dxfId="193" priority="71" operator="beginsWith" text="L">
      <formula>LEFT(AP55,LEN("L"))="L"</formula>
    </cfRule>
  </conditionalFormatting>
  <conditionalFormatting sqref="AS55:AS104">
    <cfRule type="beginsWith" dxfId="192" priority="70" operator="beginsWith" text="L">
      <formula>LEFT(AS55,LEN("L"))="L"</formula>
    </cfRule>
  </conditionalFormatting>
  <conditionalFormatting sqref="AW55">
    <cfRule type="beginsWith" dxfId="191" priority="69" operator="beginsWith" text="L">
      <formula>LEFT(AW55,LEN("L"))="L"</formula>
    </cfRule>
  </conditionalFormatting>
  <conditionalFormatting sqref="BA55">
    <cfRule type="beginsWith" dxfId="190" priority="68" operator="beginsWith" text="L">
      <formula>LEFT(BA55,LEN("L"))="L"</formula>
    </cfRule>
  </conditionalFormatting>
  <conditionalFormatting sqref="BL55">
    <cfRule type="beginsWith" dxfId="189" priority="67" operator="beginsWith" text="L">
      <formula>LEFT(BL55,LEN("L"))="L"</formula>
    </cfRule>
  </conditionalFormatting>
  <conditionalFormatting sqref="BX55">
    <cfRule type="beginsWith" dxfId="188" priority="66" operator="beginsWith" text="L">
      <formula>LEFT(BX55,LEN("L"))="L"</formula>
    </cfRule>
  </conditionalFormatting>
  <conditionalFormatting sqref="CT55">
    <cfRule type="beginsWith" dxfId="187" priority="65" operator="beginsWith" text="L">
      <formula>LEFT(CT55,LEN("L"))="L"</formula>
    </cfRule>
  </conditionalFormatting>
  <conditionalFormatting sqref="CU55">
    <cfRule type="beginsWith" dxfId="186" priority="64" operator="beginsWith" text="L">
      <formula>LEFT(CU55,LEN("L"))="L"</formula>
    </cfRule>
  </conditionalFormatting>
  <conditionalFormatting sqref="CV55">
    <cfRule type="beginsWith" dxfId="185" priority="63" operator="beginsWith" text="L">
      <formula>LEFT(CV55,LEN("L"))="L"</formula>
    </cfRule>
  </conditionalFormatting>
  <conditionalFormatting sqref="CW55">
    <cfRule type="beginsWith" dxfId="184" priority="62" operator="beginsWith" text="L">
      <formula>LEFT(CW55,LEN("L"))="L"</formula>
    </cfRule>
  </conditionalFormatting>
  <conditionalFormatting sqref="DC55">
    <cfRule type="beginsWith" dxfId="183" priority="61" operator="beginsWith" text="L">
      <formula>LEFT(DC55,LEN("L"))="L"</formula>
    </cfRule>
  </conditionalFormatting>
  <conditionalFormatting sqref="B56:C104">
    <cfRule type="beginsWith" dxfId="182" priority="60" operator="beginsWith" text="L">
      <formula>LEFT(B56,LEN("L"))="L"</formula>
    </cfRule>
  </conditionalFormatting>
  <conditionalFormatting sqref="D56:D104">
    <cfRule type="beginsWith" dxfId="181" priority="59" operator="beginsWith" text="L">
      <formula>LEFT(D56,LEN("L"))="L"</formula>
    </cfRule>
  </conditionalFormatting>
  <conditionalFormatting sqref="AP56:AP104">
    <cfRule type="beginsWith" dxfId="180" priority="58" operator="beginsWith" text="L">
      <formula>LEFT(AP56,LEN("L"))="L"</formula>
    </cfRule>
  </conditionalFormatting>
  <conditionalFormatting sqref="BA56:BA104">
    <cfRule type="beginsWith" dxfId="179" priority="57" operator="beginsWith" text="L">
      <formula>LEFT(BA56,LEN("L"))="L"</formula>
    </cfRule>
  </conditionalFormatting>
  <conditionalFormatting sqref="BL56:BL104">
    <cfRule type="beginsWith" dxfId="178" priority="56" operator="beginsWith" text="L">
      <formula>LEFT(BL56,LEN("L"))="L"</formula>
    </cfRule>
  </conditionalFormatting>
  <conditionalFormatting sqref="BX56:BX104">
    <cfRule type="beginsWith" dxfId="177" priority="55" operator="beginsWith" text="L">
      <formula>LEFT(BX56,LEN("L"))="L"</formula>
    </cfRule>
  </conditionalFormatting>
  <conditionalFormatting sqref="CT56:CT104">
    <cfRule type="beginsWith" dxfId="176" priority="54" operator="beginsWith" text="L">
      <formula>LEFT(CT56,LEN("L"))="L"</formula>
    </cfRule>
  </conditionalFormatting>
  <conditionalFormatting sqref="CU56:CU104">
    <cfRule type="beginsWith" dxfId="175" priority="53" operator="beginsWith" text="L">
      <formula>LEFT(CU56,LEN("L"))="L"</formula>
    </cfRule>
  </conditionalFormatting>
  <conditionalFormatting sqref="CV56:CV104">
    <cfRule type="beginsWith" dxfId="174" priority="52" operator="beginsWith" text="L">
      <formula>LEFT(CV56,LEN("L"))="L"</formula>
    </cfRule>
  </conditionalFormatting>
  <conditionalFormatting sqref="CW56:CW104">
    <cfRule type="beginsWith" dxfId="173" priority="51" operator="beginsWith" text="L">
      <formula>LEFT(CW56,LEN("L"))="L"</formula>
    </cfRule>
  </conditionalFormatting>
  <conditionalFormatting sqref="DC56:DC104">
    <cfRule type="beginsWith" dxfId="172" priority="50" operator="beginsWith" text="L">
      <formula>LEFT(DC56,LEN("L"))="L"</formula>
    </cfRule>
  </conditionalFormatting>
  <conditionalFormatting sqref="AW56:AW104">
    <cfRule type="beginsWith" dxfId="171" priority="49" operator="beginsWith" text="L">
      <formula>LEFT(AW56,LEN("L"))="L"</formula>
    </cfRule>
  </conditionalFormatting>
  <conditionalFormatting sqref="EK55:EK104">
    <cfRule type="containsText" dxfId="170" priority="44" operator="containsText" text="criadas">
      <formula>NOT(ISERROR(SEARCH("criadas",EK55)))</formula>
    </cfRule>
    <cfRule type="containsText" dxfId="169" priority="45" operator="containsText" text="é gravado">
      <formula>NOT(ISERROR(SEARCH("é gravado",EK55)))</formula>
    </cfRule>
    <cfRule type="containsText" dxfId="168" priority="46" operator="containsText" text="é modificado">
      <formula>NOT(ISERROR(SEARCH("é modificado",EK55)))</formula>
    </cfRule>
    <cfRule type="containsText" dxfId="167" priority="47" operator="containsText" text="Error">
      <formula>NOT(ISERROR(SEARCH("Error",EK55)))</formula>
    </cfRule>
    <cfRule type="containsText" dxfId="166" priority="48" operator="containsText" text="é criado">
      <formula>NOT(ISERROR(SEARCH("é criado",EK55)))</formula>
    </cfRule>
  </conditionalFormatting>
  <conditionalFormatting sqref="DA55:DA104">
    <cfRule type="beginsWith" dxfId="165" priority="43" operator="beginsWith" text="L">
      <formula>LEFT(DA55,LEN("L"))="L"</formula>
    </cfRule>
  </conditionalFormatting>
  <conditionalFormatting sqref="EB55:EB104">
    <cfRule type="beginsWith" dxfId="164" priority="42" operator="beginsWith" text="L">
      <formula>LEFT(EB55,LEN("L"))="L"</formula>
    </cfRule>
  </conditionalFormatting>
  <conditionalFormatting sqref="G55:G104">
    <cfRule type="beginsWith" dxfId="163" priority="41" operator="beginsWith" text="L">
      <formula>LEFT(G55,LEN("L"))="L"</formula>
    </cfRule>
  </conditionalFormatting>
  <conditionalFormatting sqref="H55:H104">
    <cfRule type="beginsWith" dxfId="162" priority="40" operator="beginsWith" text="L">
      <formula>LEFT(H55,LEN("L"))="L"</formula>
    </cfRule>
  </conditionalFormatting>
  <conditionalFormatting sqref="J55:J104">
    <cfRule type="beginsWith" dxfId="161" priority="39" operator="beginsWith" text="L">
      <formula>LEFT(J55,LEN("L"))="L"</formula>
    </cfRule>
  </conditionalFormatting>
  <conditionalFormatting sqref="AR55:AR104">
    <cfRule type="beginsWith" dxfId="160" priority="38" operator="beginsWith" text="L">
      <formula>LEFT(AR55,LEN("L"))="L"</formula>
    </cfRule>
  </conditionalFormatting>
  <conditionalFormatting sqref="B105:C105">
    <cfRule type="beginsWith" dxfId="159" priority="37" operator="beginsWith" text="L">
      <formula>LEFT(B105,LEN("L"))="L"</formula>
    </cfRule>
  </conditionalFormatting>
  <conditionalFormatting sqref="D105">
    <cfRule type="beginsWith" dxfId="158" priority="36" operator="beginsWith" text="L">
      <formula>LEFT(D105,LEN("L"))="L"</formula>
    </cfRule>
  </conditionalFormatting>
  <conditionalFormatting sqref="E105:E154">
    <cfRule type="beginsWith" dxfId="157" priority="35" operator="beginsWith" text="L">
      <formula>LEFT(E105,LEN("L"))="L"</formula>
    </cfRule>
  </conditionalFormatting>
  <conditionalFormatting sqref="AP105">
    <cfRule type="beginsWith" dxfId="156" priority="34" operator="beginsWith" text="L">
      <formula>LEFT(AP105,LEN("L"))="L"</formula>
    </cfRule>
  </conditionalFormatting>
  <conditionalFormatting sqref="AS105:AS154">
    <cfRule type="beginsWith" dxfId="155" priority="33" operator="beginsWith" text="L">
      <formula>LEFT(AS105,LEN("L"))="L"</formula>
    </cfRule>
  </conditionalFormatting>
  <conditionalFormatting sqref="AW105">
    <cfRule type="beginsWith" dxfId="154" priority="32" operator="beginsWith" text="L">
      <formula>LEFT(AW105,LEN("L"))="L"</formula>
    </cfRule>
  </conditionalFormatting>
  <conditionalFormatting sqref="BA105">
    <cfRule type="beginsWith" dxfId="153" priority="31" operator="beginsWith" text="L">
      <formula>LEFT(BA105,LEN("L"))="L"</formula>
    </cfRule>
  </conditionalFormatting>
  <conditionalFormatting sqref="BL105">
    <cfRule type="beginsWith" dxfId="152" priority="30" operator="beginsWith" text="L">
      <formula>LEFT(BL105,LEN("L"))="L"</formula>
    </cfRule>
  </conditionalFormatting>
  <conditionalFormatting sqref="BX105">
    <cfRule type="beginsWith" dxfId="151" priority="29" operator="beginsWith" text="L">
      <formula>LEFT(BX105,LEN("L"))="L"</formula>
    </cfRule>
  </conditionalFormatting>
  <conditionalFormatting sqref="CT105">
    <cfRule type="beginsWith" dxfId="150" priority="28" operator="beginsWith" text="L">
      <formula>LEFT(CT105,LEN("L"))="L"</formula>
    </cfRule>
  </conditionalFormatting>
  <conditionalFormatting sqref="CU105">
    <cfRule type="beginsWith" dxfId="149" priority="27" operator="beginsWith" text="L">
      <formula>LEFT(CU105,LEN("L"))="L"</formula>
    </cfRule>
  </conditionalFormatting>
  <conditionalFormatting sqref="CV105">
    <cfRule type="beginsWith" dxfId="148" priority="26" operator="beginsWith" text="L">
      <formula>LEFT(CV105,LEN("L"))="L"</formula>
    </cfRule>
  </conditionalFormatting>
  <conditionalFormatting sqref="CW105">
    <cfRule type="beginsWith" dxfId="147" priority="25" operator="beginsWith" text="L">
      <formula>LEFT(CW105,LEN("L"))="L"</formula>
    </cfRule>
  </conditionalFormatting>
  <conditionalFormatting sqref="DC105">
    <cfRule type="beginsWith" dxfId="146" priority="24" operator="beginsWith" text="L">
      <formula>LEFT(DC105,LEN("L"))="L"</formula>
    </cfRule>
  </conditionalFormatting>
  <conditionalFormatting sqref="B106:C154">
    <cfRule type="beginsWith" dxfId="145" priority="23" operator="beginsWith" text="L">
      <formula>LEFT(B106,LEN("L"))="L"</formula>
    </cfRule>
  </conditionalFormatting>
  <conditionalFormatting sqref="D106:D154">
    <cfRule type="beginsWith" dxfId="144" priority="22" operator="beginsWith" text="L">
      <formula>LEFT(D106,LEN("L"))="L"</formula>
    </cfRule>
  </conditionalFormatting>
  <conditionalFormatting sqref="AP106:AP154">
    <cfRule type="beginsWith" dxfId="143" priority="21" operator="beginsWith" text="L">
      <formula>LEFT(AP106,LEN("L"))="L"</formula>
    </cfRule>
  </conditionalFormatting>
  <conditionalFormatting sqref="BA106:BA154">
    <cfRule type="beginsWith" dxfId="142" priority="20" operator="beginsWith" text="L">
      <formula>LEFT(BA106,LEN("L"))="L"</formula>
    </cfRule>
  </conditionalFormatting>
  <conditionalFormatting sqref="BL106:BL154">
    <cfRule type="beginsWith" dxfId="141" priority="19" operator="beginsWith" text="L">
      <formula>LEFT(BL106,LEN("L"))="L"</formula>
    </cfRule>
  </conditionalFormatting>
  <conditionalFormatting sqref="BX106:BX154">
    <cfRule type="beginsWith" dxfId="140" priority="18" operator="beginsWith" text="L">
      <formula>LEFT(BX106,LEN("L"))="L"</formula>
    </cfRule>
  </conditionalFormatting>
  <conditionalFormatting sqref="CT106:CT154">
    <cfRule type="beginsWith" dxfId="139" priority="17" operator="beginsWith" text="L">
      <formula>LEFT(CT106,LEN("L"))="L"</formula>
    </cfRule>
  </conditionalFormatting>
  <conditionalFormatting sqref="CU106:CU154">
    <cfRule type="beginsWith" dxfId="138" priority="16" operator="beginsWith" text="L">
      <formula>LEFT(CU106,LEN("L"))="L"</formula>
    </cfRule>
  </conditionalFormatting>
  <conditionalFormatting sqref="CV106:CV154">
    <cfRule type="beginsWith" dxfId="137" priority="15" operator="beginsWith" text="L">
      <formula>LEFT(CV106,LEN("L"))="L"</formula>
    </cfRule>
  </conditionalFormatting>
  <conditionalFormatting sqref="CW106:CW154">
    <cfRule type="beginsWith" dxfId="136" priority="14" operator="beginsWith" text="L">
      <formula>LEFT(CW106,LEN("L"))="L"</formula>
    </cfRule>
  </conditionalFormatting>
  <conditionalFormatting sqref="DC106:DC154">
    <cfRule type="beginsWith" dxfId="135" priority="13" operator="beginsWith" text="L">
      <formula>LEFT(DC106,LEN("L"))="L"</formula>
    </cfRule>
  </conditionalFormatting>
  <conditionalFormatting sqref="AW106:AW154">
    <cfRule type="beginsWith" dxfId="134" priority="12" operator="beginsWith" text="L">
      <formula>LEFT(AW106,LEN("L"))="L"</formula>
    </cfRule>
  </conditionalFormatting>
  <conditionalFormatting sqref="EK105:EK154">
    <cfRule type="containsText" dxfId="133" priority="7" operator="containsText" text="criadas">
      <formula>NOT(ISERROR(SEARCH("criadas",EK105)))</formula>
    </cfRule>
    <cfRule type="containsText" dxfId="132" priority="8" operator="containsText" text="é gravado">
      <formula>NOT(ISERROR(SEARCH("é gravado",EK105)))</formula>
    </cfRule>
    <cfRule type="containsText" dxfId="131" priority="9" operator="containsText" text="é modificado">
      <formula>NOT(ISERROR(SEARCH("é modificado",EK105)))</formula>
    </cfRule>
    <cfRule type="containsText" dxfId="130" priority="10" operator="containsText" text="Error">
      <formula>NOT(ISERROR(SEARCH("Error",EK105)))</formula>
    </cfRule>
    <cfRule type="containsText" dxfId="129" priority="11" operator="containsText" text="é criado">
      <formula>NOT(ISERROR(SEARCH("é criado",EK105)))</formula>
    </cfRule>
  </conditionalFormatting>
  <conditionalFormatting sqref="DA105:DA154">
    <cfRule type="beginsWith" dxfId="128" priority="6" operator="beginsWith" text="L">
      <formula>LEFT(DA105,LEN("L"))="L"</formula>
    </cfRule>
  </conditionalFormatting>
  <conditionalFormatting sqref="EB105:EB154">
    <cfRule type="beginsWith" dxfId="127" priority="5" operator="beginsWith" text="L">
      <formula>LEFT(EB105,LEN("L"))="L"</formula>
    </cfRule>
  </conditionalFormatting>
  <conditionalFormatting sqref="G105:G154">
    <cfRule type="beginsWith" dxfId="126" priority="4" operator="beginsWith" text="L">
      <formula>LEFT(G105,LEN("L"))="L"</formula>
    </cfRule>
  </conditionalFormatting>
  <conditionalFormatting sqref="H105:H154">
    <cfRule type="beginsWith" dxfId="125" priority="3" operator="beginsWith" text="L">
      <formula>LEFT(H105,LEN("L"))="L"</formula>
    </cfRule>
  </conditionalFormatting>
  <conditionalFormatting sqref="J105:J154">
    <cfRule type="beginsWith" dxfId="124" priority="2" operator="beginsWith" text="L">
      <formula>LEFT(J105,LEN("L"))="L"</formula>
    </cfRule>
  </conditionalFormatting>
  <conditionalFormatting sqref="AR105:AR154">
    <cfRule type="beginsWith" dxfId="123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122" priority="72" operator="beginsWith" text="L">
      <formula>LEFT(B5,LEN("L"))="L"</formula>
    </cfRule>
  </conditionalFormatting>
  <conditionalFormatting sqref="B6:B14">
    <cfRule type="beginsWith" dxfId="121" priority="56" operator="beginsWith" text="L">
      <formula>LEFT(B6,LEN("L"))="L"</formula>
    </cfRule>
  </conditionalFormatting>
  <conditionalFormatting sqref="B15:B54">
    <cfRule type="beginsWith" dxfId="120" priority="42" operator="beginsWith" text="L">
      <formula>LEFT(B15,LEN("L"))="L"</formula>
    </cfRule>
  </conditionalFormatting>
  <conditionalFormatting sqref="E1:E54 E155:E1048576">
    <cfRule type="containsText" dxfId="119" priority="17" operator="containsText" text="criadas">
      <formula>NOT(ISERROR(SEARCH("criadas",E1)))</formula>
    </cfRule>
    <cfRule type="containsText" dxfId="118" priority="18" operator="containsText" text="é gravado">
      <formula>NOT(ISERROR(SEARCH("é gravado",E1)))</formula>
    </cfRule>
    <cfRule type="containsText" dxfId="117" priority="19" operator="containsText" text="é modificado">
      <formula>NOT(ISERROR(SEARCH("é modificado",E1)))</formula>
    </cfRule>
    <cfRule type="containsText" dxfId="116" priority="20" operator="containsText" text="Error">
      <formula>NOT(ISERROR(SEARCH("Error",E1)))</formula>
    </cfRule>
    <cfRule type="containsText" dxfId="115" priority="21" operator="containsText" text="é criado">
      <formula>NOT(ISERROR(SEARCH("é criado",E1)))</formula>
    </cfRule>
  </conditionalFormatting>
  <conditionalFormatting sqref="B55">
    <cfRule type="beginsWith" dxfId="114" priority="16" operator="beginsWith" text="L">
      <formula>LEFT(B55,LEN("L"))="L"</formula>
    </cfRule>
  </conditionalFormatting>
  <conditionalFormatting sqref="B56:B64">
    <cfRule type="beginsWith" dxfId="113" priority="15" operator="beginsWith" text="L">
      <formula>LEFT(B56,LEN("L"))="L"</formula>
    </cfRule>
  </conditionalFormatting>
  <conditionalFormatting sqref="B65:B104">
    <cfRule type="beginsWith" dxfId="112" priority="14" operator="beginsWith" text="L">
      <formula>LEFT(B65,LEN("L"))="L"</formula>
    </cfRule>
  </conditionalFormatting>
  <conditionalFormatting sqref="E55:E104">
    <cfRule type="containsText" dxfId="111" priority="9" operator="containsText" text="criadas">
      <formula>NOT(ISERROR(SEARCH("criadas",E55)))</formula>
    </cfRule>
    <cfRule type="containsText" dxfId="110" priority="10" operator="containsText" text="é gravado">
      <formula>NOT(ISERROR(SEARCH("é gravado",E55)))</formula>
    </cfRule>
    <cfRule type="containsText" dxfId="109" priority="11" operator="containsText" text="é modificado">
      <formula>NOT(ISERROR(SEARCH("é modificado",E55)))</formula>
    </cfRule>
    <cfRule type="containsText" dxfId="108" priority="12" operator="containsText" text="Error">
      <formula>NOT(ISERROR(SEARCH("Error",E55)))</formula>
    </cfRule>
    <cfRule type="containsText" dxfId="107" priority="13" operator="containsText" text="é criado">
      <formula>NOT(ISERROR(SEARCH("é criado",E55)))</formula>
    </cfRule>
  </conditionalFormatting>
  <conditionalFormatting sqref="B105">
    <cfRule type="beginsWith" dxfId="106" priority="8" operator="beginsWith" text="L">
      <formula>LEFT(B105,LEN("L"))="L"</formula>
    </cfRule>
  </conditionalFormatting>
  <conditionalFormatting sqref="B106:B114">
    <cfRule type="beginsWith" dxfId="105" priority="7" operator="beginsWith" text="L">
      <formula>LEFT(B106,LEN("L"))="L"</formula>
    </cfRule>
  </conditionalFormatting>
  <conditionalFormatting sqref="B115:B154">
    <cfRule type="beginsWith" dxfId="104" priority="6" operator="beginsWith" text="L">
      <formula>LEFT(B115,LEN("L"))="L"</formula>
    </cfRule>
  </conditionalFormatting>
  <conditionalFormatting sqref="E105:E154">
    <cfRule type="containsText" dxfId="103" priority="1" operator="containsText" text="criadas">
      <formula>NOT(ISERROR(SEARCH("criadas",E105)))</formula>
    </cfRule>
    <cfRule type="containsText" dxfId="102" priority="2" operator="containsText" text="é gravado">
      <formula>NOT(ISERROR(SEARCH("é gravado",E105)))</formula>
    </cfRule>
    <cfRule type="containsText" dxfId="101" priority="3" operator="containsText" text="é modificado">
      <formula>NOT(ISERROR(SEARCH("é modificado",E105)))</formula>
    </cfRule>
    <cfRule type="containsText" dxfId="100" priority="4" operator="containsText" text="Error">
      <formula>NOT(ISERROR(SEARCH("Error",E105)))</formula>
    </cfRule>
    <cfRule type="containsText" dxfId="99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98" priority="39" operator="beginsWith" text="L">
      <formula>LEFT(B5,LEN("L"))="L"</formula>
    </cfRule>
  </conditionalFormatting>
  <conditionalFormatting sqref="B6:B54">
    <cfRule type="beginsWith" dxfId="97" priority="36" operator="beginsWith" text="L">
      <formula>LEFT(B6,LEN("L"))="L"</formula>
    </cfRule>
  </conditionalFormatting>
  <conditionalFormatting sqref="D1:D54 D155:D1048576">
    <cfRule type="containsText" dxfId="96" priority="15" operator="containsText" text="criadas">
      <formula>NOT(ISERROR(SEARCH("criadas",D1)))</formula>
    </cfRule>
    <cfRule type="containsText" dxfId="95" priority="16" operator="containsText" text="é gravado">
      <formula>NOT(ISERROR(SEARCH("é gravado",D1)))</formula>
    </cfRule>
    <cfRule type="containsText" dxfId="94" priority="17" operator="containsText" text="é modificado">
      <formula>NOT(ISERROR(SEARCH("é modificado",D1)))</formula>
    </cfRule>
    <cfRule type="containsText" dxfId="93" priority="18" operator="containsText" text="Error">
      <formula>NOT(ISERROR(SEARCH("Error",D1)))</formula>
    </cfRule>
    <cfRule type="containsText" dxfId="92" priority="19" operator="containsText" text="é criado">
      <formula>NOT(ISERROR(SEARCH("é criado",D1)))</formula>
    </cfRule>
  </conditionalFormatting>
  <conditionalFormatting sqref="B55">
    <cfRule type="beginsWith" dxfId="91" priority="14" operator="beginsWith" text="L">
      <formula>LEFT(B55,LEN("L"))="L"</formula>
    </cfRule>
  </conditionalFormatting>
  <conditionalFormatting sqref="B56:B104">
    <cfRule type="beginsWith" dxfId="90" priority="13" operator="beginsWith" text="L">
      <formula>LEFT(B56,LEN("L"))="L"</formula>
    </cfRule>
  </conditionalFormatting>
  <conditionalFormatting sqref="D55:D104">
    <cfRule type="containsText" dxfId="89" priority="8" operator="containsText" text="criadas">
      <formula>NOT(ISERROR(SEARCH("criadas",D55)))</formula>
    </cfRule>
    <cfRule type="containsText" dxfId="88" priority="9" operator="containsText" text="é gravado">
      <formula>NOT(ISERROR(SEARCH("é gravado",D55)))</formula>
    </cfRule>
    <cfRule type="containsText" dxfId="87" priority="10" operator="containsText" text="é modificado">
      <formula>NOT(ISERROR(SEARCH("é modificado",D55)))</formula>
    </cfRule>
    <cfRule type="containsText" dxfId="86" priority="11" operator="containsText" text="Error">
      <formula>NOT(ISERROR(SEARCH("Error",D55)))</formula>
    </cfRule>
    <cfRule type="containsText" dxfId="85" priority="12" operator="containsText" text="é criado">
      <formula>NOT(ISERROR(SEARCH("é criado",D55)))</formula>
    </cfRule>
  </conditionalFormatting>
  <conditionalFormatting sqref="B105">
    <cfRule type="beginsWith" dxfId="84" priority="7" operator="beginsWith" text="L">
      <formula>LEFT(B105,LEN("L"))="L"</formula>
    </cfRule>
  </conditionalFormatting>
  <conditionalFormatting sqref="B106:B154">
    <cfRule type="beginsWith" dxfId="83" priority="6" operator="beginsWith" text="L">
      <formula>LEFT(B106,LEN("L"))="L"</formula>
    </cfRule>
  </conditionalFormatting>
  <conditionalFormatting sqref="D105:D154">
    <cfRule type="containsText" dxfId="82" priority="1" operator="containsText" text="criadas">
      <formula>NOT(ISERROR(SEARCH("criadas",D105)))</formula>
    </cfRule>
    <cfRule type="containsText" dxfId="81" priority="2" operator="containsText" text="é gravado">
      <formula>NOT(ISERROR(SEARCH("é gravado",D105)))</formula>
    </cfRule>
    <cfRule type="containsText" dxfId="80" priority="3" operator="containsText" text="é modificado">
      <formula>NOT(ISERROR(SEARCH("é modificado",D105)))</formula>
    </cfRule>
    <cfRule type="containsText" dxfId="79" priority="4" operator="containsText" text="Error">
      <formula>NOT(ISERROR(SEARCH("Error",D105)))</formula>
    </cfRule>
    <cfRule type="containsText" dxfId="78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77" priority="43" operator="beginsWith" text="L">
      <formula>LEFT(B5,LEN("L"))="L"</formula>
    </cfRule>
  </conditionalFormatting>
  <conditionalFormatting sqref="B6:B14">
    <cfRule type="beginsWith" dxfId="76" priority="40" operator="beginsWith" text="L">
      <formula>LEFT(B6,LEN("L"))="L"</formula>
    </cfRule>
  </conditionalFormatting>
  <conditionalFormatting sqref="B15:B54">
    <cfRule type="beginsWith" dxfId="75" priority="37" operator="beginsWith" text="L">
      <formula>LEFT(B15,LEN("L"))="L"</formula>
    </cfRule>
  </conditionalFormatting>
  <conditionalFormatting sqref="D1:D54 D155:D1048576">
    <cfRule type="containsText" dxfId="74" priority="17" operator="containsText" text="criadas">
      <formula>NOT(ISERROR(SEARCH("criadas",D1)))</formula>
    </cfRule>
    <cfRule type="containsText" dxfId="73" priority="18" operator="containsText" text="é gravado">
      <formula>NOT(ISERROR(SEARCH("é gravado",D1)))</formula>
    </cfRule>
    <cfRule type="containsText" dxfId="72" priority="19" operator="containsText" text="é modificado">
      <formula>NOT(ISERROR(SEARCH("é modificado",D1)))</formula>
    </cfRule>
    <cfRule type="containsText" dxfId="71" priority="20" operator="containsText" text="Error">
      <formula>NOT(ISERROR(SEARCH("Error",D1)))</formula>
    </cfRule>
    <cfRule type="containsText" dxfId="70" priority="21" operator="containsText" text="é criado">
      <formula>NOT(ISERROR(SEARCH("é criado",D1)))</formula>
    </cfRule>
  </conditionalFormatting>
  <conditionalFormatting sqref="B55">
    <cfRule type="beginsWith" dxfId="69" priority="16" operator="beginsWith" text="L">
      <formula>LEFT(B55,LEN("L"))="L"</formula>
    </cfRule>
  </conditionalFormatting>
  <conditionalFormatting sqref="B56:B64">
    <cfRule type="beginsWith" dxfId="68" priority="15" operator="beginsWith" text="L">
      <formula>LEFT(B56,LEN("L"))="L"</formula>
    </cfRule>
  </conditionalFormatting>
  <conditionalFormatting sqref="B65:B104">
    <cfRule type="beginsWith" dxfId="67" priority="14" operator="beginsWith" text="L">
      <formula>LEFT(B65,LEN("L"))="L"</formula>
    </cfRule>
  </conditionalFormatting>
  <conditionalFormatting sqref="D55:D104">
    <cfRule type="containsText" dxfId="66" priority="9" operator="containsText" text="criadas">
      <formula>NOT(ISERROR(SEARCH("criadas",D55)))</formula>
    </cfRule>
    <cfRule type="containsText" dxfId="65" priority="10" operator="containsText" text="é gravado">
      <formula>NOT(ISERROR(SEARCH("é gravado",D55)))</formula>
    </cfRule>
    <cfRule type="containsText" dxfId="64" priority="11" operator="containsText" text="é modificado">
      <formula>NOT(ISERROR(SEARCH("é modificado",D55)))</formula>
    </cfRule>
    <cfRule type="containsText" dxfId="63" priority="12" operator="containsText" text="Error">
      <formula>NOT(ISERROR(SEARCH("Error",D55)))</formula>
    </cfRule>
    <cfRule type="containsText" dxfId="62" priority="13" operator="containsText" text="é criado">
      <formula>NOT(ISERROR(SEARCH("é criado",D55)))</formula>
    </cfRule>
  </conditionalFormatting>
  <conditionalFormatting sqref="B105">
    <cfRule type="beginsWith" dxfId="61" priority="8" operator="beginsWith" text="L">
      <formula>LEFT(B105,LEN("L"))="L"</formula>
    </cfRule>
  </conditionalFormatting>
  <conditionalFormatting sqref="B106:B114">
    <cfRule type="beginsWith" dxfId="60" priority="7" operator="beginsWith" text="L">
      <formula>LEFT(B106,LEN("L"))="L"</formula>
    </cfRule>
  </conditionalFormatting>
  <conditionalFormatting sqref="B115:B154">
    <cfRule type="beginsWith" dxfId="59" priority="6" operator="beginsWith" text="L">
      <formula>LEFT(B115,LEN("L"))="L"</formula>
    </cfRule>
  </conditionalFormatting>
  <conditionalFormatting sqref="D105:D154">
    <cfRule type="containsText" dxfId="58" priority="1" operator="containsText" text="criadas">
      <formula>NOT(ISERROR(SEARCH("criadas",D105)))</formula>
    </cfRule>
    <cfRule type="containsText" dxfId="57" priority="2" operator="containsText" text="é gravado">
      <formula>NOT(ISERROR(SEARCH("é gravado",D105)))</formula>
    </cfRule>
    <cfRule type="containsText" dxfId="56" priority="3" operator="containsText" text="é modificado">
      <formula>NOT(ISERROR(SEARCH("é modificado",D105)))</formula>
    </cfRule>
    <cfRule type="containsText" dxfId="55" priority="4" operator="containsText" text="Error">
      <formula>NOT(ISERROR(SEARCH("Error",D105)))</formula>
    </cfRule>
    <cfRule type="containsText" dxfId="54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53" priority="51" operator="beginsWith" text="L">
      <formula>LEFT(B5,LEN("L"))="L"</formula>
    </cfRule>
  </conditionalFormatting>
  <conditionalFormatting sqref="B6:B14">
    <cfRule type="beginsWith" dxfId="52" priority="48" operator="beginsWith" text="L">
      <formula>LEFT(B6,LEN("L"))="L"</formula>
    </cfRule>
  </conditionalFormatting>
  <conditionalFormatting sqref="B15:B54">
    <cfRule type="beginsWith" dxfId="51" priority="47" operator="beginsWith" text="L">
      <formula>LEFT(B15,LEN("L"))="L"</formula>
    </cfRule>
  </conditionalFormatting>
  <conditionalFormatting sqref="D1:D54 D155:D1048576">
    <cfRule type="containsText" dxfId="50" priority="19" operator="containsText" text="será criado">
      <formula>NOT(ISERROR(SEARCH("será criado",D1)))</formula>
    </cfRule>
    <cfRule type="containsText" dxfId="49" priority="20" operator="containsText" text="criadas">
      <formula>NOT(ISERROR(SEARCH("criadas",D1)))</formula>
    </cfRule>
    <cfRule type="containsText" dxfId="48" priority="21" operator="containsText" text="é gravado">
      <formula>NOT(ISERROR(SEARCH("é gravado",D1)))</formula>
    </cfRule>
    <cfRule type="containsText" dxfId="47" priority="22" operator="containsText" text="é modificado">
      <formula>NOT(ISERROR(SEARCH("é modificado",D1)))</formula>
    </cfRule>
    <cfRule type="containsText" dxfId="46" priority="23" operator="containsText" text="Error">
      <formula>NOT(ISERROR(SEARCH("Error",D1)))</formula>
    </cfRule>
    <cfRule type="containsText" dxfId="45" priority="24" operator="containsText" text="é criado">
      <formula>NOT(ISERROR(SEARCH("é criado",D1)))</formula>
    </cfRule>
  </conditionalFormatting>
  <conditionalFormatting sqref="B55">
    <cfRule type="beginsWith" dxfId="44" priority="18" operator="beginsWith" text="L">
      <formula>LEFT(B55,LEN("L"))="L"</formula>
    </cfRule>
  </conditionalFormatting>
  <conditionalFormatting sqref="B56:B64">
    <cfRule type="beginsWith" dxfId="43" priority="17" operator="beginsWith" text="L">
      <formula>LEFT(B56,LEN("L"))="L"</formula>
    </cfRule>
  </conditionalFormatting>
  <conditionalFormatting sqref="B65:B104">
    <cfRule type="beginsWith" dxfId="42" priority="16" operator="beginsWith" text="L">
      <formula>LEFT(B65,LEN("L"))="L"</formula>
    </cfRule>
  </conditionalFormatting>
  <conditionalFormatting sqref="D55:D104">
    <cfRule type="containsText" dxfId="41" priority="10" operator="containsText" text="será criado">
      <formula>NOT(ISERROR(SEARCH("será criado",D55)))</formula>
    </cfRule>
    <cfRule type="containsText" dxfId="40" priority="11" operator="containsText" text="criadas">
      <formula>NOT(ISERROR(SEARCH("criadas",D55)))</formula>
    </cfRule>
    <cfRule type="containsText" dxfId="39" priority="12" operator="containsText" text="é gravado">
      <formula>NOT(ISERROR(SEARCH("é gravado",D55)))</formula>
    </cfRule>
    <cfRule type="containsText" dxfId="38" priority="13" operator="containsText" text="é modificado">
      <formula>NOT(ISERROR(SEARCH("é modificado",D55)))</formula>
    </cfRule>
    <cfRule type="containsText" dxfId="37" priority="14" operator="containsText" text="Error">
      <formula>NOT(ISERROR(SEARCH("Error",D55)))</formula>
    </cfRule>
    <cfRule type="containsText" dxfId="36" priority="15" operator="containsText" text="é criado">
      <formula>NOT(ISERROR(SEARCH("é criado",D55)))</formula>
    </cfRule>
  </conditionalFormatting>
  <conditionalFormatting sqref="B105">
    <cfRule type="beginsWith" dxfId="35" priority="9" operator="beginsWith" text="L">
      <formula>LEFT(B105,LEN("L"))="L"</formula>
    </cfRule>
  </conditionalFormatting>
  <conditionalFormatting sqref="B106:B114">
    <cfRule type="beginsWith" dxfId="34" priority="8" operator="beginsWith" text="L">
      <formula>LEFT(B106,LEN("L"))="L"</formula>
    </cfRule>
  </conditionalFormatting>
  <conditionalFormatting sqref="B115:B154">
    <cfRule type="beginsWith" dxfId="33" priority="7" operator="beginsWith" text="L">
      <formula>LEFT(B115,LEN("L"))="L"</formula>
    </cfRule>
  </conditionalFormatting>
  <conditionalFormatting sqref="D105:D154">
    <cfRule type="containsText" dxfId="32" priority="1" operator="containsText" text="será criado">
      <formula>NOT(ISERROR(SEARCH("será criado",D105)))</formula>
    </cfRule>
    <cfRule type="containsText" dxfId="31" priority="2" operator="containsText" text="criadas">
      <formula>NOT(ISERROR(SEARCH("criadas",D105)))</formula>
    </cfRule>
    <cfRule type="containsText" dxfId="30" priority="3" operator="containsText" text="é gravado">
      <formula>NOT(ISERROR(SEARCH("é gravado",D105)))</formula>
    </cfRule>
    <cfRule type="containsText" dxfId="29" priority="4" operator="containsText" text="é modificado">
      <formula>NOT(ISERROR(SEARCH("é modificado",D105)))</formula>
    </cfRule>
    <cfRule type="containsText" dxfId="28" priority="5" operator="containsText" text="Error">
      <formula>NOT(ISERROR(SEARCH("Error",D105)))</formula>
    </cfRule>
    <cfRule type="containsText" dxfId="27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14.03.2022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14.03.2022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14.03.2022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14.03.2022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14.03.2022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14.03.2022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14.03.2022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14.03.2022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14.03.2022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14.03.2022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14.03.2022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14.03.2022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14.03.2022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14.03.2022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14.03.2022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14.03.2022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14.03.2022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14.03.2022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14.03.2022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14.03.2022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14.03.2022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14.03.2022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14.03.2022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14.03.2022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14.03.2022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14.03.2022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14.03.2022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14.03.2022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14.03.2022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14.03.2022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14.03.2022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14.03.2022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14.03.2022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14.03.2022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14.03.2022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14.03.2022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14.03.2022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14.03.2022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14.03.2022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14.03.2022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14.03.2022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14.03.2022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14.03.2022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14.03.2022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14.03.2022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14.03.2022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14.03.2022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14.03.2022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14.03.2022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14.03.2022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14.03.2022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14.03.2022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14.03.2022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14.03.2022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14.03.2022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14.03.2022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14.03.2022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14.03.2022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14.03.2022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14.03.2022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14.03.2022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14.03.2022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14.03.2022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14.03.2022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14.03.2022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14.03.2022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14.03.2022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14.03.2022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14.03.2022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14.03.2022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14.03.2022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14.03.2022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14.03.2022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14.03.2022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14.03.2022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14.03.2022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14.03.2022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14.03.2022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14.03.2022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14.03.2022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14.03.2022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14.03.2022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14.03.2022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14.03.2022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14.03.2022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14.03.2022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14.03.2022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14.03.2022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14.03.2022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14.03.2022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14.03.2022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14.03.2022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14.03.2022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14.03.2022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14.03.2022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14.03.2022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14.03.2022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14.03.2022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14.03.2022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14.03.2022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14.03.2022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14.03.2022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14.03.2022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14.03.2022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14.03.2022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14.03.2022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14.03.2022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14.03.2022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14.03.2022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14.03.2022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14.03.2022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14.03.2022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14.03.2022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14.03.2022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14.03.2022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14.03.2022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14.03.2022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14.03.2022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14.03.2022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14.03.2022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14.03.2022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14.03.2022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14.03.2022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14.03.2022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14.03.2022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14.03.2022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14.03.2022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14.03.2022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14.03.2022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14.03.2022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14.03.2022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14.03.2022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14.03.2022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14.03.2022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14.03.2022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14.03.2022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14.03.2022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14.03.2022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14.03.2022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14.03.2022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14.03.2022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14.03.2022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14.03.2022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14.03.2022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14.03.2022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14.03.2022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14.03.2022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14.03.2022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14.03.2022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14.03.2022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26" priority="24" operator="beginsWith" text="L">
      <formula>LEFT(B5,LEN("L"))="L"</formula>
    </cfRule>
  </conditionalFormatting>
  <conditionalFormatting sqref="B6:B14">
    <cfRule type="beginsWith" dxfId="25" priority="23" operator="beginsWith" text="L">
      <formula>LEFT(B6,LEN("L"))="L"</formula>
    </cfRule>
  </conditionalFormatting>
  <conditionalFormatting sqref="B15:B54">
    <cfRule type="beginsWith" dxfId="24" priority="22" operator="beginsWith" text="L">
      <formula>LEFT(B15,LEN("L"))="L"</formula>
    </cfRule>
  </conditionalFormatting>
  <conditionalFormatting sqref="J1:J54 J155:J1048576">
    <cfRule type="containsText" dxfId="23" priority="17" operator="containsText" text="criadas">
      <formula>NOT(ISERROR(SEARCH("criadas",J1)))</formula>
    </cfRule>
    <cfRule type="containsText" dxfId="22" priority="18" operator="containsText" text="é gravado">
      <formula>NOT(ISERROR(SEARCH("é gravado",J1)))</formula>
    </cfRule>
    <cfRule type="containsText" dxfId="21" priority="19" operator="containsText" text="é modificado">
      <formula>NOT(ISERROR(SEARCH("é modificado",J1)))</formula>
    </cfRule>
    <cfRule type="containsText" dxfId="20" priority="20" operator="containsText" text="Error">
      <formula>NOT(ISERROR(SEARCH("Error",J1)))</formula>
    </cfRule>
    <cfRule type="containsText" dxfId="19" priority="21" operator="containsText" text="é criado">
      <formula>NOT(ISERROR(SEARCH("é criado",J1)))</formula>
    </cfRule>
  </conditionalFormatting>
  <conditionalFormatting sqref="B55">
    <cfRule type="beginsWith" dxfId="18" priority="16" operator="beginsWith" text="L">
      <formula>LEFT(B55,LEN("L"))="L"</formula>
    </cfRule>
  </conditionalFormatting>
  <conditionalFormatting sqref="B56:B64">
    <cfRule type="beginsWith" dxfId="17" priority="15" operator="beginsWith" text="L">
      <formula>LEFT(B56,LEN("L"))="L"</formula>
    </cfRule>
  </conditionalFormatting>
  <conditionalFormatting sqref="B65:B104">
    <cfRule type="beginsWith" dxfId="16" priority="14" operator="beginsWith" text="L">
      <formula>LEFT(B65,LEN("L"))="L"</formula>
    </cfRule>
  </conditionalFormatting>
  <conditionalFormatting sqref="J55:J104">
    <cfRule type="containsText" dxfId="15" priority="9" operator="containsText" text="criadas">
      <formula>NOT(ISERROR(SEARCH("criadas",J55)))</formula>
    </cfRule>
    <cfRule type="containsText" dxfId="14" priority="10" operator="containsText" text="é gravado">
      <formula>NOT(ISERROR(SEARCH("é gravado",J55)))</formula>
    </cfRule>
    <cfRule type="containsText" dxfId="13" priority="11" operator="containsText" text="é modificado">
      <formula>NOT(ISERROR(SEARCH("é modificado",J55)))</formula>
    </cfRule>
    <cfRule type="containsText" dxfId="12" priority="12" operator="containsText" text="Error">
      <formula>NOT(ISERROR(SEARCH("Error",J55)))</formula>
    </cfRule>
    <cfRule type="containsText" dxfId="11" priority="13" operator="containsText" text="é criado">
      <formula>NOT(ISERROR(SEARCH("é criado",J55)))</formula>
    </cfRule>
  </conditionalFormatting>
  <conditionalFormatting sqref="B105">
    <cfRule type="beginsWith" dxfId="10" priority="8" operator="beginsWith" text="L">
      <formula>LEFT(B105,LEN("L"))="L"</formula>
    </cfRule>
  </conditionalFormatting>
  <conditionalFormatting sqref="B106:B114">
    <cfRule type="beginsWith" dxfId="9" priority="7" operator="beginsWith" text="L">
      <formula>LEFT(B106,LEN("L"))="L"</formula>
    </cfRule>
  </conditionalFormatting>
  <conditionalFormatting sqref="B115:B154">
    <cfRule type="beginsWith" dxfId="8" priority="6" operator="beginsWith" text="L">
      <formula>LEFT(B115,LEN("L"))="L"</formula>
    </cfRule>
  </conditionalFormatting>
  <conditionalFormatting sqref="J105:J154">
    <cfRule type="containsText" dxfId="7" priority="1" operator="containsText" text="criadas">
      <formula>NOT(ISERROR(SEARCH("criadas",J105)))</formula>
    </cfRule>
    <cfRule type="containsText" dxfId="6" priority="2" operator="containsText" text="é gravado">
      <formula>NOT(ISERROR(SEARCH("é gravado",J105)))</formula>
    </cfRule>
    <cfRule type="containsText" dxfId="5" priority="3" operator="containsText" text="é modificado">
      <formula>NOT(ISERROR(SEARCH("é modificado",J105)))</formula>
    </cfRule>
    <cfRule type="containsText" dxfId="4" priority="4" operator="containsText" text="Error">
      <formula>NOT(ISERROR(SEARCH("Error",J105)))</formula>
    </cfRule>
    <cfRule type="containsText" dxfId="3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50"/>
  <sheetViews>
    <sheetView showGridLines="0" showRowColHeaders="0" workbookViewId="0">
      <selection sqref="A1:CB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6.7109375" customWidth="1"/>
    <col min="5" max="5" width="9.140625" customWidth="1"/>
    <col min="6" max="6" width="21.42578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8.85546875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8.2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995</v>
      </c>
      <c r="BS1" s="38" t="s">
        <v>996</v>
      </c>
      <c r="BT1" s="38" t="s">
        <v>997</v>
      </c>
      <c r="BU1" s="38" t="s">
        <v>998</v>
      </c>
      <c r="BV1" s="38" t="s">
        <v>999</v>
      </c>
      <c r="BW1" s="38" t="s">
        <v>1000</v>
      </c>
      <c r="BX1" s="38" t="s">
        <v>1001</v>
      </c>
      <c r="BY1" s="38" t="s">
        <v>1002</v>
      </c>
      <c r="BZ1" s="38" t="s">
        <v>1003</v>
      </c>
      <c r="CA1" s="38" t="s">
        <v>1004</v>
      </c>
      <c r="CB1" s="38" t="s">
        <v>1005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x14ac:dyDescent="0.2">
      <c r="A2" s="38"/>
      <c r="B2" s="38" t="s">
        <v>1006</v>
      </c>
      <c r="C2" s="38" t="s">
        <v>1007</v>
      </c>
      <c r="D2" s="38" t="s">
        <v>1008</v>
      </c>
      <c r="E2" s="38" t="s">
        <v>1009</v>
      </c>
      <c r="F2" s="38" t="s">
        <v>1010</v>
      </c>
      <c r="G2" s="38" t="s">
        <v>4</v>
      </c>
      <c r="H2" s="38"/>
      <c r="I2" s="38">
        <v>4.117</v>
      </c>
      <c r="J2" s="38" t="s">
        <v>1011</v>
      </c>
      <c r="K2" s="38" t="s">
        <v>193</v>
      </c>
      <c r="L2" s="38" t="s">
        <v>195</v>
      </c>
      <c r="M2" s="38" t="s">
        <v>196</v>
      </c>
      <c r="N2" s="38" t="s">
        <v>213</v>
      </c>
      <c r="O2" s="38"/>
      <c r="P2" s="38" t="s">
        <v>1012</v>
      </c>
      <c r="Q2" s="38" t="s">
        <v>891</v>
      </c>
      <c r="R2" s="38" t="s">
        <v>1013</v>
      </c>
      <c r="S2" s="38" t="s">
        <v>1014</v>
      </c>
      <c r="T2" s="38" t="s">
        <v>299</v>
      </c>
      <c r="U2" s="38" t="s">
        <v>1015</v>
      </c>
      <c r="V2" s="38">
        <v>24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1016</v>
      </c>
      <c r="AH2" s="38">
        <v>1.9</v>
      </c>
      <c r="AI2" s="38" t="s">
        <v>1017</v>
      </c>
      <c r="AJ2" s="38"/>
      <c r="AK2" s="38" t="s">
        <v>1018</v>
      </c>
      <c r="AL2" s="38" t="s">
        <v>1019</v>
      </c>
      <c r="AM2" s="38" t="s">
        <v>697</v>
      </c>
      <c r="AN2" s="38" t="s">
        <v>1020</v>
      </c>
      <c r="AO2" s="38">
        <v>1110</v>
      </c>
      <c r="AP2" s="38" t="s">
        <v>1021</v>
      </c>
      <c r="AQ2" s="38" t="s">
        <v>1022</v>
      </c>
      <c r="AR2" s="38" t="s">
        <v>1023</v>
      </c>
      <c r="AS2" s="38">
        <v>4.5</v>
      </c>
      <c r="AT2" s="38">
        <v>276</v>
      </c>
      <c r="AU2" s="38" t="s">
        <v>1024</v>
      </c>
      <c r="AV2" s="38" t="s">
        <v>1025</v>
      </c>
      <c r="AW2" s="38" t="s">
        <v>1026</v>
      </c>
      <c r="AX2" s="38" t="s">
        <v>1027</v>
      </c>
      <c r="AY2" s="38" t="s">
        <v>1028</v>
      </c>
      <c r="AZ2" s="38"/>
      <c r="BA2" s="38"/>
      <c r="BB2" s="67"/>
      <c r="BC2" s="38" t="s">
        <v>4</v>
      </c>
      <c r="BD2" s="67" t="s">
        <v>1029</v>
      </c>
      <c r="BE2" s="38" t="s">
        <v>5</v>
      </c>
      <c r="BF2" s="67" t="s">
        <v>1030</v>
      </c>
      <c r="BG2" s="38" t="s">
        <v>6</v>
      </c>
      <c r="BH2" s="38" t="s">
        <v>1031</v>
      </c>
      <c r="BI2" s="38"/>
      <c r="BJ2" s="38" t="s">
        <v>1032</v>
      </c>
      <c r="BK2" s="38"/>
      <c r="BL2" s="38" t="s">
        <v>875</v>
      </c>
      <c r="BM2" s="38" t="s">
        <v>534</v>
      </c>
      <c r="BN2" s="38" t="s">
        <v>585</v>
      </c>
      <c r="BO2" s="38" t="s">
        <v>533</v>
      </c>
      <c r="BP2" s="38" t="s">
        <v>533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hidden="1" x14ac:dyDescent="0.2">
      <c r="A3" s="38"/>
      <c r="B3" s="38" t="s">
        <v>1033</v>
      </c>
      <c r="C3" s="38" t="s">
        <v>1034</v>
      </c>
      <c r="D3" s="38" t="s">
        <v>1035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/>
      <c r="C4" s="38"/>
      <c r="D4" s="38" t="s">
        <v>1036</v>
      </c>
      <c r="E4" s="38"/>
      <c r="F4" s="38"/>
      <c r="G4" s="38"/>
      <c r="H4" s="38"/>
      <c r="I4" s="38"/>
      <c r="J4" s="38" t="s">
        <v>1011</v>
      </c>
      <c r="K4" s="38"/>
      <c r="L4" s="38"/>
      <c r="M4" s="38"/>
      <c r="N4" s="38"/>
      <c r="O4" s="38"/>
      <c r="P4" s="38" t="s">
        <v>1011</v>
      </c>
      <c r="Q4" s="38"/>
      <c r="R4" s="38"/>
      <c r="S4" s="38" t="s">
        <v>1011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1011</v>
      </c>
      <c r="AL4" s="38" t="s">
        <v>1011</v>
      </c>
      <c r="AM4" s="38"/>
      <c r="AN4" s="38" t="s">
        <v>1011</v>
      </c>
      <c r="AO4" s="38"/>
      <c r="AP4" s="38" t="s">
        <v>1011</v>
      </c>
      <c r="AQ4" s="38" t="s">
        <v>1011</v>
      </c>
      <c r="AR4" s="38" t="s">
        <v>1011</v>
      </c>
      <c r="AS4" s="38"/>
      <c r="AT4" s="38"/>
      <c r="AU4" s="38"/>
      <c r="AV4" s="38" t="s">
        <v>1011</v>
      </c>
      <c r="AW4" s="38" t="s">
        <v>1011</v>
      </c>
      <c r="AX4" s="38" t="s">
        <v>1011</v>
      </c>
      <c r="AY4" s="38" t="s">
        <v>1011</v>
      </c>
      <c r="AZ4" s="38"/>
      <c r="BA4" s="38"/>
      <c r="BB4" s="67"/>
      <c r="BC4" s="38" t="s">
        <v>1011</v>
      </c>
      <c r="BD4" s="67" t="s">
        <v>1011</v>
      </c>
      <c r="BE4" s="38"/>
      <c r="BF4" s="67" t="s">
        <v>1011</v>
      </c>
      <c r="BG4" s="38"/>
      <c r="BH4" s="38" t="s">
        <v>1011</v>
      </c>
      <c r="BI4" s="38"/>
      <c r="BJ4" s="38" t="s">
        <v>1032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2">
      <c r="A5" s="38"/>
      <c r="B5" s="38"/>
      <c r="C5" s="38"/>
      <c r="D5" s="38" t="s">
        <v>1037</v>
      </c>
      <c r="E5" s="38"/>
      <c r="F5" s="38"/>
      <c r="G5" s="38"/>
      <c r="H5" s="38"/>
      <c r="I5" s="38"/>
      <c r="J5" s="38" t="s">
        <v>1011</v>
      </c>
      <c r="K5" s="38"/>
      <c r="L5" s="38"/>
      <c r="M5" s="38"/>
      <c r="N5" s="38"/>
      <c r="O5" s="38"/>
      <c r="P5" s="38" t="s">
        <v>1011</v>
      </c>
      <c r="Q5" s="38"/>
      <c r="R5" s="38"/>
      <c r="S5" s="38" t="s">
        <v>1011</v>
      </c>
      <c r="T5" s="38"/>
      <c r="U5" s="38"/>
      <c r="V5" s="38"/>
      <c r="W5" s="38"/>
      <c r="X5" s="38"/>
      <c r="Y5" s="38"/>
      <c r="Z5" s="38"/>
      <c r="AA5" s="38" t="s">
        <v>1011</v>
      </c>
      <c r="AB5" s="38" t="s">
        <v>1011</v>
      </c>
      <c r="AC5" s="38" t="s">
        <v>1038</v>
      </c>
      <c r="AD5" s="38" t="s">
        <v>1038</v>
      </c>
      <c r="AE5" s="38" t="s">
        <v>1011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1011</v>
      </c>
      <c r="BD5" s="67" t="s">
        <v>1011</v>
      </c>
      <c r="BE5" s="38"/>
      <c r="BF5" s="67" t="s">
        <v>1011</v>
      </c>
      <c r="BG5" s="38"/>
      <c r="BH5" s="38" t="s">
        <v>1011</v>
      </c>
      <c r="BI5" s="38"/>
      <c r="BJ5" s="38" t="s">
        <v>1032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2">
      <c r="A6" s="38"/>
      <c r="B6" s="38"/>
      <c r="C6" s="38"/>
      <c r="D6" s="38" t="s">
        <v>1039</v>
      </c>
      <c r="E6" s="38"/>
      <c r="F6" s="38"/>
      <c r="G6" s="38"/>
      <c r="H6" s="38"/>
      <c r="I6" s="38"/>
      <c r="J6" s="38" t="s">
        <v>1011</v>
      </c>
      <c r="K6" s="38"/>
      <c r="L6" s="38"/>
      <c r="M6" s="38"/>
      <c r="N6" s="38"/>
      <c r="O6" s="38"/>
      <c r="P6" s="38" t="s">
        <v>1011</v>
      </c>
      <c r="Q6" s="38"/>
      <c r="R6" s="38"/>
      <c r="S6" s="38" t="s">
        <v>1011</v>
      </c>
      <c r="T6" s="38"/>
      <c r="U6" s="38"/>
      <c r="V6" s="38"/>
      <c r="W6" s="38"/>
      <c r="X6" s="38"/>
      <c r="Y6" s="38"/>
      <c r="Z6" s="38"/>
      <c r="AA6" s="38"/>
      <c r="AB6" s="38" t="s">
        <v>1011</v>
      </c>
      <c r="AC6" s="38" t="s">
        <v>1038</v>
      </c>
      <c r="AD6" s="38" t="s">
        <v>1038</v>
      </c>
      <c r="AE6" s="38" t="s">
        <v>1011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1011</v>
      </c>
      <c r="BD6" s="67" t="s">
        <v>1011</v>
      </c>
      <c r="BE6" s="38"/>
      <c r="BF6" s="67" t="s">
        <v>1011</v>
      </c>
      <c r="BG6" s="38"/>
      <c r="BH6" s="38" t="s">
        <v>1011</v>
      </c>
      <c r="BI6" s="38"/>
      <c r="BJ6" s="38" t="s">
        <v>1032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/>
      <c r="C7" s="38"/>
      <c r="D7" s="38" t="s">
        <v>1040</v>
      </c>
      <c r="E7" s="38"/>
      <c r="F7" s="38"/>
      <c r="G7" s="38"/>
      <c r="H7" s="38"/>
      <c r="I7" s="38"/>
      <c r="J7" s="38" t="s">
        <v>1011</v>
      </c>
      <c r="K7" s="38"/>
      <c r="L7" s="38"/>
      <c r="M7" s="38"/>
      <c r="N7" s="38"/>
      <c r="O7" s="38"/>
      <c r="P7" s="38" t="s">
        <v>1011</v>
      </c>
      <c r="Q7" s="38"/>
      <c r="R7" s="38"/>
      <c r="S7" s="38" t="s">
        <v>1011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1011</v>
      </c>
      <c r="AL7" s="38" t="s">
        <v>1011</v>
      </c>
      <c r="AM7" s="38"/>
      <c r="AN7" s="38" t="s">
        <v>1011</v>
      </c>
      <c r="AO7" s="38"/>
      <c r="AP7" s="38" t="s">
        <v>1011</v>
      </c>
      <c r="AQ7" s="38" t="s">
        <v>1011</v>
      </c>
      <c r="AR7" s="38" t="s">
        <v>1011</v>
      </c>
      <c r="AS7" s="38"/>
      <c r="AT7" s="38"/>
      <c r="AU7" s="38"/>
      <c r="AV7" s="38" t="s">
        <v>1011</v>
      </c>
      <c r="AW7" s="38" t="s">
        <v>1011</v>
      </c>
      <c r="AX7" s="38" t="s">
        <v>1011</v>
      </c>
      <c r="AY7" s="38" t="s">
        <v>1011</v>
      </c>
      <c r="AZ7" s="38"/>
      <c r="BA7" s="38"/>
      <c r="BB7" s="67"/>
      <c r="BC7" s="38" t="s">
        <v>1011</v>
      </c>
      <c r="BD7" s="67" t="s">
        <v>1011</v>
      </c>
      <c r="BE7" s="38"/>
      <c r="BF7" s="67" t="s">
        <v>1011</v>
      </c>
      <c r="BG7" s="38"/>
      <c r="BH7" s="38" t="s">
        <v>1011</v>
      </c>
      <c r="BI7" s="38"/>
      <c r="BJ7" s="38" t="s">
        <v>1032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hidden="1" x14ac:dyDescent="0.2">
      <c r="A8" s="38"/>
      <c r="B8" s="38"/>
      <c r="C8" s="38"/>
      <c r="D8" s="38" t="s">
        <v>421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2">
      <c r="A9" s="38"/>
      <c r="B9" s="38"/>
      <c r="C9" s="38"/>
      <c r="D9" s="38" t="s">
        <v>1041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1011</v>
      </c>
      <c r="BD9" s="67" t="s">
        <v>1011</v>
      </c>
      <c r="BE9" s="38"/>
      <c r="BF9" s="67" t="s">
        <v>1011</v>
      </c>
      <c r="BG9" s="38"/>
      <c r="BH9" s="38" t="s">
        <v>1011</v>
      </c>
      <c r="BI9" s="38"/>
      <c r="BJ9" s="38" t="s">
        <v>1032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2">
      <c r="A10" s="38" t="s">
        <v>868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>
        <f>SUBTOTAL(103,Estrutura_P01[DADOS PURLINS])</f>
        <v>0</v>
      </c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2">
      <c r="A11" t="s">
        <v>533</v>
      </c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2"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2"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2"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92:102" hidden="1" x14ac:dyDescent="0.2"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92:102" hidden="1" x14ac:dyDescent="0.2"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92:102" hidden="1" x14ac:dyDescent="0.2"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92:102" hidden="1" x14ac:dyDescent="0.2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92:102" hidden="1" x14ac:dyDescent="0.2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92:102" hidden="1" x14ac:dyDescent="0.2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92:102" hidden="1" x14ac:dyDescent="0.2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92:102" hidden="1" x14ac:dyDescent="0.2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92:102" hidden="1" x14ac:dyDescent="0.2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92:102" hidden="1" x14ac:dyDescent="0.2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92:102" hidden="1" x14ac:dyDescent="0.2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92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92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92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92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92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994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F6DE6D-16D6-402C-9983-A504C30BB8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2022-03-14T14:13:05Z</dcterms:modified>
</cp:coreProperties>
</file>