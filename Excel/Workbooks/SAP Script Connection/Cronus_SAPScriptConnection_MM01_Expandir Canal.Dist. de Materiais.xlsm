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Q:\Trabalhos em Andamento\Arthur Boff\19. Programas\22. Cronus\Excel\Workbooks\SAP Script Connection\"/>
    </mc:Choice>
  </mc:AlternateContent>
  <bookViews>
    <workbookView xWindow="10335" yWindow="70200" windowWidth="28800" windowHeight="14130"/>
  </bookViews>
  <sheets>
    <sheet name="MM01" sheetId="6" r:id="rId1"/>
    <sheet name="Listas de Dados" sheetId="2" r:id="rId2"/>
  </sheets>
  <functionGroups builtInGroupCount="18"/>
  <calcPr calcId="162913"/>
</workbook>
</file>

<file path=xl/calcChain.xml><?xml version="1.0" encoding="utf-8"?>
<calcChain xmlns="http://schemas.openxmlformats.org/spreadsheetml/2006/main">
  <c r="AU5" i="6" l="1"/>
  <c r="AU6" i="6"/>
  <c r="AU7" i="6"/>
  <c r="AU8" i="6"/>
  <c r="AU9" i="6"/>
  <c r="AU10" i="6"/>
  <c r="AU11" i="6"/>
  <c r="AU12" i="6"/>
  <c r="AU13" i="6"/>
  <c r="AU14" i="6"/>
  <c r="AU15" i="6"/>
  <c r="AU16" i="6"/>
  <c r="AU17" i="6"/>
  <c r="AU18" i="6"/>
  <c r="AU19" i="6"/>
  <c r="AU20" i="6"/>
  <c r="AU21" i="6"/>
  <c r="AU22" i="6"/>
  <c r="AU23" i="6"/>
  <c r="AU24" i="6"/>
  <c r="AU25" i="6"/>
  <c r="AU26" i="6"/>
  <c r="AU27" i="6"/>
  <c r="AU28" i="6"/>
  <c r="AU29" i="6"/>
  <c r="AU30" i="6"/>
  <c r="AU31" i="6"/>
  <c r="AU32" i="6"/>
  <c r="AU33" i="6"/>
  <c r="AU34" i="6"/>
  <c r="AU35" i="6"/>
  <c r="AU36" i="6"/>
  <c r="AU37" i="6"/>
  <c r="AU38" i="6"/>
  <c r="AU39" i="6"/>
  <c r="AU40" i="6"/>
  <c r="AU41" i="6"/>
  <c r="AU42" i="6"/>
  <c r="AU43" i="6"/>
  <c r="AU44" i="6"/>
  <c r="AU45" i="6"/>
  <c r="AU46" i="6"/>
  <c r="AU47" i="6"/>
  <c r="AU48" i="6"/>
  <c r="AU49" i="6"/>
  <c r="AU50" i="6"/>
  <c r="AU51" i="6"/>
  <c r="AU52" i="6"/>
  <c r="AU53" i="6"/>
  <c r="AU54" i="6"/>
  <c r="AL41" i="6" l="1"/>
  <c r="AL52" i="6"/>
  <c r="AL40" i="6"/>
  <c r="AL28" i="6"/>
  <c r="AL16" i="6"/>
  <c r="AL17" i="6"/>
  <c r="AL39" i="6"/>
  <c r="AL27" i="6"/>
  <c r="AL15" i="6"/>
  <c r="AL51" i="6"/>
  <c r="AL50" i="6"/>
  <c r="AL38" i="6"/>
  <c r="AL26" i="6"/>
  <c r="AL14" i="6"/>
  <c r="AL53" i="6"/>
  <c r="AL49" i="6"/>
  <c r="AL37" i="6"/>
  <c r="AL25" i="6"/>
  <c r="AL13" i="6"/>
  <c r="AL29" i="6"/>
  <c r="AL48" i="6"/>
  <c r="AL36" i="6"/>
  <c r="AL24" i="6"/>
  <c r="AL12" i="6"/>
  <c r="AL47" i="6"/>
  <c r="AL35" i="6"/>
  <c r="AL23" i="6"/>
  <c r="AL11" i="6"/>
  <c r="AL46" i="6"/>
  <c r="AL34" i="6"/>
  <c r="AL22" i="6"/>
  <c r="AL10" i="6"/>
  <c r="AL33" i="6"/>
  <c r="AL21" i="6"/>
  <c r="AL9" i="6"/>
  <c r="AL45" i="6"/>
  <c r="AL32" i="6"/>
  <c r="AL20" i="6"/>
  <c r="AL8" i="6"/>
  <c r="AL5" i="6"/>
  <c r="AL43" i="6"/>
  <c r="AL31" i="6"/>
  <c r="AL19" i="6"/>
  <c r="AL7" i="6"/>
  <c r="AL44" i="6"/>
  <c r="AL54" i="6"/>
  <c r="AL42" i="6"/>
  <c r="AL30" i="6"/>
  <c r="AL18" i="6"/>
  <c r="AL6" i="6"/>
  <c r="D6" i="6" l="1"/>
  <c r="D8" i="6"/>
  <c r="D9" i="6"/>
  <c r="D10" i="6"/>
  <c r="D11" i="6"/>
  <c r="D12" i="6"/>
  <c r="D13" i="6"/>
  <c r="D14" i="6"/>
  <c r="D15" i="6"/>
  <c r="D16" i="6"/>
  <c r="D17" i="6"/>
  <c r="D18" i="6"/>
  <c r="D20" i="6"/>
  <c r="D21" i="6"/>
  <c r="D22" i="6"/>
  <c r="D23" i="6"/>
  <c r="D24" i="6"/>
  <c r="D25" i="6"/>
  <c r="D26" i="6"/>
  <c r="D27" i="6"/>
  <c r="D28" i="6"/>
  <c r="D29" i="6"/>
  <c r="D30" i="6"/>
  <c r="D31" i="6"/>
  <c r="D32" i="6"/>
  <c r="D33" i="6"/>
  <c r="D34" i="6"/>
  <c r="D35" i="6"/>
  <c r="D36" i="6"/>
  <c r="D37" i="6"/>
  <c r="D38" i="6"/>
  <c r="D39" i="6"/>
  <c r="D40" i="6"/>
  <c r="D41" i="6"/>
  <c r="D42" i="6"/>
  <c r="D43" i="6"/>
  <c r="D44" i="6"/>
  <c r="D45" i="6"/>
  <c r="D46" i="6"/>
  <c r="D47" i="6"/>
  <c r="D48" i="6"/>
  <c r="D49" i="6"/>
  <c r="D50" i="6"/>
  <c r="D51" i="6"/>
  <c r="D52" i="6"/>
  <c r="D53" i="6"/>
  <c r="D54" i="6"/>
  <c r="D7" i="6" l="1"/>
  <c r="D19" i="6"/>
  <c r="D5" i="6"/>
  <c r="AK54" i="6" l="1"/>
  <c r="AI54" i="6"/>
  <c r="A54" i="6"/>
  <c r="AK53" i="6"/>
  <c r="AI53" i="6"/>
  <c r="A53" i="6"/>
  <c r="AK52" i="6"/>
  <c r="AI52" i="6"/>
  <c r="A52" i="6"/>
  <c r="AK51" i="6"/>
  <c r="AI51" i="6"/>
  <c r="A51" i="6"/>
  <c r="AK50" i="6"/>
  <c r="AI50" i="6"/>
  <c r="A50" i="6"/>
  <c r="AK49" i="6"/>
  <c r="AI49" i="6"/>
  <c r="A49" i="6"/>
  <c r="AK48" i="6"/>
  <c r="AI48" i="6"/>
  <c r="A48" i="6"/>
  <c r="AK47" i="6"/>
  <c r="AI47" i="6"/>
  <c r="A47" i="6"/>
  <c r="AK46" i="6"/>
  <c r="AI46" i="6"/>
  <c r="A46" i="6"/>
  <c r="AK45" i="6"/>
  <c r="AI45" i="6"/>
  <c r="A45" i="6"/>
  <c r="AK44" i="6"/>
  <c r="AI44" i="6"/>
  <c r="A44" i="6"/>
  <c r="AK43" i="6"/>
  <c r="AI43" i="6"/>
  <c r="A43" i="6"/>
  <c r="AK42" i="6"/>
  <c r="AI42" i="6"/>
  <c r="A42" i="6"/>
  <c r="AK41" i="6"/>
  <c r="AI41" i="6"/>
  <c r="A41" i="6"/>
  <c r="AK40" i="6"/>
  <c r="AI40" i="6"/>
  <c r="A40" i="6"/>
  <c r="AK39" i="6"/>
  <c r="AI39" i="6"/>
  <c r="A39" i="6"/>
  <c r="AK38" i="6"/>
  <c r="AI38" i="6"/>
  <c r="A38" i="6"/>
  <c r="AK37" i="6"/>
  <c r="AI37" i="6"/>
  <c r="A37" i="6"/>
  <c r="AK36" i="6"/>
  <c r="AI36" i="6"/>
  <c r="A36" i="6"/>
  <c r="AK35" i="6"/>
  <c r="AI35" i="6"/>
  <c r="A35" i="6"/>
  <c r="AK34" i="6"/>
  <c r="AI34" i="6"/>
  <c r="A34" i="6"/>
  <c r="AK33" i="6"/>
  <c r="AI33" i="6"/>
  <c r="A33" i="6"/>
  <c r="AK32" i="6"/>
  <c r="AI32" i="6"/>
  <c r="A32" i="6"/>
  <c r="AK31" i="6"/>
  <c r="AI31" i="6"/>
  <c r="A31" i="6"/>
  <c r="AK30" i="6"/>
  <c r="AI30" i="6"/>
  <c r="A30" i="6"/>
  <c r="AK29" i="6"/>
  <c r="AI29" i="6"/>
  <c r="A29" i="6"/>
  <c r="AK28" i="6"/>
  <c r="AI28" i="6"/>
  <c r="A28" i="6"/>
  <c r="AK27" i="6"/>
  <c r="AI27" i="6"/>
  <c r="A27" i="6"/>
  <c r="AK26" i="6"/>
  <c r="AI26" i="6"/>
  <c r="A26" i="6"/>
  <c r="AK25" i="6"/>
  <c r="AI25" i="6"/>
  <c r="A25" i="6"/>
  <c r="AK24" i="6"/>
  <c r="AI24" i="6"/>
  <c r="A24" i="6"/>
  <c r="AK23" i="6"/>
  <c r="AI23" i="6"/>
  <c r="A23" i="6"/>
  <c r="AK22" i="6"/>
  <c r="AI22" i="6"/>
  <c r="A22" i="6"/>
  <c r="AK21" i="6"/>
  <c r="AI21" i="6"/>
  <c r="A21" i="6"/>
  <c r="AK20" i="6"/>
  <c r="AI20" i="6"/>
  <c r="A20" i="6"/>
  <c r="AK19" i="6"/>
  <c r="AI19" i="6"/>
  <c r="A19" i="6"/>
  <c r="AK18" i="6"/>
  <c r="AI18" i="6"/>
  <c r="A18" i="6"/>
  <c r="AK17" i="6"/>
  <c r="AI17" i="6"/>
  <c r="A17" i="6"/>
  <c r="AK16" i="6"/>
  <c r="AI16" i="6"/>
  <c r="A16" i="6"/>
  <c r="AK15" i="6"/>
  <c r="AI15" i="6"/>
  <c r="A15" i="6"/>
  <c r="AK14" i="6"/>
  <c r="AI14" i="6"/>
  <c r="A14" i="6"/>
  <c r="AK13" i="6"/>
  <c r="AI13" i="6"/>
  <c r="A13" i="6"/>
  <c r="AK12" i="6"/>
  <c r="AI12" i="6"/>
  <c r="A12" i="6"/>
  <c r="AK11" i="6"/>
  <c r="AI11" i="6"/>
  <c r="A11" i="6"/>
  <c r="AK10" i="6"/>
  <c r="AI10" i="6"/>
  <c r="A10" i="6"/>
  <c r="AK9" i="6"/>
  <c r="AI9" i="6"/>
  <c r="A9" i="6"/>
  <c r="AK8" i="6"/>
  <c r="AI8" i="6"/>
  <c r="A8" i="6"/>
  <c r="AK7" i="6"/>
  <c r="AI7" i="6"/>
  <c r="A7" i="6"/>
  <c r="AK6" i="6"/>
  <c r="AI6" i="6"/>
  <c r="A6" i="6"/>
  <c r="AI5" i="6" l="1"/>
  <c r="AK5" i="6" l="1"/>
  <c r="A5" i="6" l="1"/>
</calcChain>
</file>

<file path=xl/sharedStrings.xml><?xml version="1.0" encoding="utf-8"?>
<sst xmlns="http://schemas.openxmlformats.org/spreadsheetml/2006/main" count="1417" uniqueCount="735">
  <si>
    <t>CENTRO</t>
  </si>
  <si>
    <t>DEPOSITO</t>
  </si>
  <si>
    <t>CANAL DE DISTRIBUIÇÃO</t>
  </si>
  <si>
    <t>N° DEPOSITO</t>
  </si>
  <si>
    <t>0581</t>
  </si>
  <si>
    <t>0350</t>
  </si>
  <si>
    <t>06</t>
  </si>
  <si>
    <t>08</t>
  </si>
  <si>
    <t>581</t>
  </si>
  <si>
    <t>0582</t>
  </si>
  <si>
    <t>NIVEIS ORGANIZACIONAIS</t>
  </si>
  <si>
    <t>0011</t>
  </si>
  <si>
    <t>0021</t>
  </si>
  <si>
    <t>0022</t>
  </si>
  <si>
    <t>0050</t>
  </si>
  <si>
    <t>0120</t>
  </si>
  <si>
    <t>0180</t>
  </si>
  <si>
    <t>0200</t>
  </si>
  <si>
    <t>0330</t>
  </si>
  <si>
    <t>0340</t>
  </si>
  <si>
    <t>0345</t>
  </si>
  <si>
    <t>0360</t>
  </si>
  <si>
    <t>0380</t>
  </si>
  <si>
    <t>0928</t>
  </si>
  <si>
    <t>07</t>
  </si>
  <si>
    <t>09</t>
  </si>
  <si>
    <t>10</t>
  </si>
  <si>
    <t>582</t>
  </si>
  <si>
    <t>N° Coluna</t>
  </si>
  <si>
    <t>Nome Técnico</t>
  </si>
  <si>
    <t>Nome Usual</t>
  </si>
  <si>
    <t>DIRETORIO SAP</t>
  </si>
  <si>
    <t>MsgHandler</t>
  </si>
  <si>
    <t>TIPO DE MRP</t>
  </si>
  <si>
    <t>M0</t>
  </si>
  <si>
    <t>MPS tipo fix.-0-</t>
  </si>
  <si>
    <t>M1</t>
  </si>
  <si>
    <t>MPS tipo fix.-1-</t>
  </si>
  <si>
    <t>M2</t>
  </si>
  <si>
    <t>MPS tipo fix.-2-</t>
  </si>
  <si>
    <t>M3</t>
  </si>
  <si>
    <t>MPS tipo fix. -3-</t>
  </si>
  <si>
    <t>M4</t>
  </si>
  <si>
    <t>MPS tipo fix. -4-</t>
  </si>
  <si>
    <t>ND</t>
  </si>
  <si>
    <t>Sem MRP</t>
  </si>
  <si>
    <t>P1</t>
  </si>
  <si>
    <t>MRP  tip.fix. -1-</t>
  </si>
  <si>
    <t>P2</t>
  </si>
  <si>
    <t>MRP  tip.fix. -2-</t>
  </si>
  <si>
    <t>P3</t>
  </si>
  <si>
    <t>MRP  tip.fix. -3-</t>
  </si>
  <si>
    <t>P4</t>
  </si>
  <si>
    <t>MRP  tip.fix. -4-</t>
  </si>
  <si>
    <t>PD</t>
  </si>
  <si>
    <t>MRP baseado no planejamento</t>
  </si>
  <si>
    <t>R1</t>
  </si>
  <si>
    <t>MRP cíclico</t>
  </si>
  <si>
    <t>R2</t>
  </si>
  <si>
    <t>Cíclico com ponto reabast.aut.</t>
  </si>
  <si>
    <t>RE</t>
  </si>
  <si>
    <t>Reabastecimento planej.extern.</t>
  </si>
  <si>
    <t>RF</t>
  </si>
  <si>
    <t>Reabast.com estoque teór.din.</t>
  </si>
  <si>
    <t>RP</t>
  </si>
  <si>
    <t>MRP de reaprovisionamento</t>
  </si>
  <si>
    <t>RR</t>
  </si>
  <si>
    <t>Reab.cícl.com estoq.teór.din.</t>
  </si>
  <si>
    <t>RS</t>
  </si>
  <si>
    <t>MRP cíclico de reabastecimento</t>
  </si>
  <si>
    <t>V1</t>
  </si>
  <si>
    <t>Pto.reabast.manual c/nec.ext</t>
  </si>
  <si>
    <t>V2</t>
  </si>
  <si>
    <t>Pto.reabast.autom.c/nec.ext.</t>
  </si>
  <si>
    <t>VB</t>
  </si>
  <si>
    <t>MRP manual ponto reabastecim.</t>
  </si>
  <si>
    <t>VI</t>
  </si>
  <si>
    <t>Vendor Managed Inventory</t>
  </si>
  <si>
    <t>VM</t>
  </si>
  <si>
    <t>MRP automát. ponto reabastec.</t>
  </si>
  <si>
    <t>VS</t>
  </si>
  <si>
    <t>MRP sazonal</t>
  </si>
  <si>
    <t>VV</t>
  </si>
  <si>
    <t>Plan.baseado em previsão</t>
  </si>
  <si>
    <t>X0</t>
  </si>
  <si>
    <t>Sem MRP, com explosão LT</t>
  </si>
  <si>
    <t>X1</t>
  </si>
  <si>
    <t>No planning</t>
  </si>
  <si>
    <t>X2</t>
  </si>
  <si>
    <t>APO planning w/o ATP</t>
  </si>
  <si>
    <t>Z1</t>
  </si>
  <si>
    <t>Man.reord.point all ext.reqs</t>
  </si>
  <si>
    <t>ABREVIAÇÃO</t>
  </si>
  <si>
    <t>DESCRIÇÃO</t>
  </si>
  <si>
    <t>ctxtRMMG1-MATNR</t>
  </si>
  <si>
    <t>CÓDIGO</t>
  </si>
  <si>
    <t>TIPO DE MATERIAL</t>
  </si>
  <si>
    <t>M</t>
  </si>
  <si>
    <t>Dados básicos 1</t>
  </si>
  <si>
    <t>Dados básicos 2</t>
  </si>
  <si>
    <t>Classificação</t>
  </si>
  <si>
    <t>SD: dados org.vendas 1</t>
  </si>
  <si>
    <t>SD: dados org.vendas 2</t>
  </si>
  <si>
    <t>SD: dados gerais/centro</t>
  </si>
  <si>
    <t>Comércio exterior: exportação</t>
  </si>
  <si>
    <t>Texto de SD</t>
  </si>
  <si>
    <t>Compras</t>
  </si>
  <si>
    <t>Comércio exterior: importação</t>
  </si>
  <si>
    <t>Texto pedido compras</t>
  </si>
  <si>
    <t>MRP 1</t>
  </si>
  <si>
    <t>MRP 2</t>
  </si>
  <si>
    <t>MRP 3</t>
  </si>
  <si>
    <t>MRP 4</t>
  </si>
  <si>
    <t>Previsão</t>
  </si>
  <si>
    <t>Esquematização do trabalho</t>
  </si>
  <si>
    <t>Dds.gerais centro/armazen.1</t>
  </si>
  <si>
    <t>Dds.gerais centro/armazen.2</t>
  </si>
  <si>
    <t>Administração de depósitos 1</t>
  </si>
  <si>
    <t>Administração de depósitos 2</t>
  </si>
  <si>
    <t>Administração de qualidade</t>
  </si>
  <si>
    <t>Contabilidade 1</t>
  </si>
  <si>
    <t>Contabilidade 2</t>
  </si>
  <si>
    <t>Cálculo do preço 1</t>
  </si>
  <si>
    <t>Cálculo do preço 2</t>
  </si>
  <si>
    <t>SELEÇÃO DE VISÕES</t>
  </si>
  <si>
    <t>VISÃO 1</t>
  </si>
  <si>
    <t>VISÃO 2</t>
  </si>
  <si>
    <t>VISÃO 3</t>
  </si>
  <si>
    <t>VISÃO 4</t>
  </si>
  <si>
    <t>VISÃO 5</t>
  </si>
  <si>
    <t>VISÃO 6</t>
  </si>
  <si>
    <t>VISÃO 7</t>
  </si>
  <si>
    <t>VISÃO 8</t>
  </si>
  <si>
    <t>VISÃO 9</t>
  </si>
  <si>
    <t>VISÃO 10</t>
  </si>
  <si>
    <t>VISÃO 11</t>
  </si>
  <si>
    <t>VISÃO 12</t>
  </si>
  <si>
    <t>VISÃO 13</t>
  </si>
  <si>
    <t>VISÃO 14</t>
  </si>
  <si>
    <t>VISÃO 15</t>
  </si>
  <si>
    <t>VISÃO 16</t>
  </si>
  <si>
    <t>VISÃO 17</t>
  </si>
  <si>
    <t>VISÃO 18</t>
  </si>
  <si>
    <t>VISÃO 19</t>
  </si>
  <si>
    <t>VISÃO 20</t>
  </si>
  <si>
    <t>VISÃO 21</t>
  </si>
  <si>
    <t>VISÃO 22</t>
  </si>
  <si>
    <t>VISÃO 23</t>
  </si>
  <si>
    <t>VISÃO 24</t>
  </si>
  <si>
    <t>VISÃO 25</t>
  </si>
  <si>
    <t>VISÃO 26</t>
  </si>
  <si>
    <t>VISÃO 27</t>
  </si>
  <si>
    <t>tblSAPLMGMMTC_VIEW</t>
  </si>
  <si>
    <t>ctxtRMMG1-WERKS</t>
  </si>
  <si>
    <t>ctxtRMMG1-VKORG</t>
  </si>
  <si>
    <t>ORG. DE VENDAS</t>
  </si>
  <si>
    <t>ctxtRMMG1-VTWEG</t>
  </si>
  <si>
    <t>NIVEIS ORG.</t>
  </si>
  <si>
    <t>SETOR DE ATIVIDADE</t>
  </si>
  <si>
    <t>Pipes</t>
  </si>
  <si>
    <t>Profiles</t>
  </si>
  <si>
    <t>Leichtbau</t>
  </si>
  <si>
    <t>Tubos Especiais</t>
  </si>
  <si>
    <t>Perfis Especiais</t>
  </si>
  <si>
    <t>Telhas</t>
  </si>
  <si>
    <t>Serviços</t>
  </si>
  <si>
    <t>Purlins</t>
  </si>
  <si>
    <t>Tubos Padrão</t>
  </si>
  <si>
    <t>Perfis Padrão</t>
  </si>
  <si>
    <t>Kanban</t>
  </si>
  <si>
    <t>HIERARQUIA</t>
  </si>
  <si>
    <t>H1</t>
  </si>
  <si>
    <t>H2</t>
  </si>
  <si>
    <t>H3</t>
  </si>
  <si>
    <t>H4</t>
  </si>
  <si>
    <t>H5</t>
  </si>
  <si>
    <t>51</t>
  </si>
  <si>
    <t>Padrão</t>
  </si>
  <si>
    <t>01</t>
  </si>
  <si>
    <t>Venda</t>
  </si>
  <si>
    <t>Tubos</t>
  </si>
  <si>
    <t>0001</t>
  </si>
  <si>
    <t>BQ (Fina Quente)</t>
  </si>
  <si>
    <t>CORTADO EM SERRA</t>
  </si>
  <si>
    <t>52</t>
  </si>
  <si>
    <t>Especial</t>
  </si>
  <si>
    <t>02</t>
  </si>
  <si>
    <t>Serviço</t>
  </si>
  <si>
    <t>Perfis</t>
  </si>
  <si>
    <t>0002</t>
  </si>
  <si>
    <t>BQD (Fina Quente Decol)</t>
  </si>
  <si>
    <t>DOBRADO</t>
  </si>
  <si>
    <t>53</t>
  </si>
  <si>
    <t>Padrão CE</t>
  </si>
  <si>
    <t>03</t>
  </si>
  <si>
    <t>Revenda</t>
  </si>
  <si>
    <t>0003</t>
  </si>
  <si>
    <t>BF (Fina Fria)</t>
  </si>
  <si>
    <t>FURADO</t>
  </si>
  <si>
    <t>54</t>
  </si>
  <si>
    <t>Tubo II</t>
  </si>
  <si>
    <t>04</t>
  </si>
  <si>
    <t>0004</t>
  </si>
  <si>
    <t>BZ (Zincada)</t>
  </si>
  <si>
    <t>CORTADO EM LASER</t>
  </si>
  <si>
    <t>55</t>
  </si>
  <si>
    <t>Perfil II</t>
  </si>
  <si>
    <t>05</t>
  </si>
  <si>
    <t>Conj.Sold.</t>
  </si>
  <si>
    <t>0005</t>
  </si>
  <si>
    <t>BZL  (Zincalume)</t>
  </si>
  <si>
    <t>CORTADO EM ÂNGULO</t>
  </si>
  <si>
    <t>56</t>
  </si>
  <si>
    <t>Sucata</t>
  </si>
  <si>
    <t>0006</t>
  </si>
  <si>
    <t>GF (Galvanizado a Fogo)</t>
  </si>
  <si>
    <t>CORTADO E DOBRADO</t>
  </si>
  <si>
    <t>57</t>
  </si>
  <si>
    <t>Outros</t>
  </si>
  <si>
    <t>CORTADO E FURADO</t>
  </si>
  <si>
    <t>58</t>
  </si>
  <si>
    <t>CORT. EM SERRA E A LASER</t>
  </si>
  <si>
    <t>CORT. EM SERRA E ÂNGULO</t>
  </si>
  <si>
    <t>CORT. DOBRADO E FURADO</t>
  </si>
  <si>
    <t>11</t>
  </si>
  <si>
    <t>CORT. DOBRADO E LASER</t>
  </si>
  <si>
    <t>12</t>
  </si>
  <si>
    <t>CORT. DOBRADO E ÂNGULO</t>
  </si>
  <si>
    <t>13</t>
  </si>
  <si>
    <t>CORT. DOBRADO FURADO E LASER</t>
  </si>
  <si>
    <t>14</t>
  </si>
  <si>
    <t>CORT. DOBRADO FURADO E ÂNGULO</t>
  </si>
  <si>
    <t>15</t>
  </si>
  <si>
    <t>CORT. DOBRADO FURADO LASER E ÂNGULO</t>
  </si>
  <si>
    <t>16</t>
  </si>
  <si>
    <t>DOBRADO E FURADO</t>
  </si>
  <si>
    <t>17</t>
  </si>
  <si>
    <t>DOBRADO E LASER</t>
  </si>
  <si>
    <t>18</t>
  </si>
  <si>
    <t>DOBRADO E ÂNGULO</t>
  </si>
  <si>
    <t>19</t>
  </si>
  <si>
    <t>DOBRADO FURADO E LASER</t>
  </si>
  <si>
    <t>20</t>
  </si>
  <si>
    <t>DOBRADO FURADO E ÂNGULO</t>
  </si>
  <si>
    <t>21</t>
  </si>
  <si>
    <t>DOBRADO FURADO LASER E ÂNGULO</t>
  </si>
  <si>
    <t>22</t>
  </si>
  <si>
    <t>FURADO E LASER</t>
  </si>
  <si>
    <t>23</t>
  </si>
  <si>
    <t>FURADO E ÂNGULO</t>
  </si>
  <si>
    <t>24</t>
  </si>
  <si>
    <t>FURADO LASER ÂNGULO</t>
  </si>
  <si>
    <t>25</t>
  </si>
  <si>
    <t>LASER E ÂNGULO</t>
  </si>
  <si>
    <t>26</t>
  </si>
  <si>
    <t>CARAC. ESPECIAL</t>
  </si>
  <si>
    <t>27</t>
  </si>
  <si>
    <t>CORT A LASER E FEITO ROSCA</t>
  </si>
  <si>
    <t>28</t>
  </si>
  <si>
    <t>FORMADORA 5</t>
  </si>
  <si>
    <t>29</t>
  </si>
  <si>
    <t>TUBO DE CONDUÇÃO</t>
  </si>
  <si>
    <t>30</t>
  </si>
  <si>
    <t>TUBO DE CONDUÇÃO 5</t>
  </si>
  <si>
    <t>31</t>
  </si>
  <si>
    <t>ACES</t>
  </si>
  <si>
    <t>32</t>
  </si>
  <si>
    <t>TPP</t>
  </si>
  <si>
    <t>33</t>
  </si>
  <si>
    <t>POSTE VITICULTURA</t>
  </si>
  <si>
    <t>34</t>
  </si>
  <si>
    <t>CARAC. ESPECIAL CORT.</t>
  </si>
  <si>
    <t>STATUS DE MATERIAL</t>
  </si>
  <si>
    <t>BLOQUEADO</t>
  </si>
  <si>
    <t>KG</t>
  </si>
  <si>
    <t>NORMA DE FABRICAÇÃO</t>
  </si>
  <si>
    <t>NBR 6591</t>
  </si>
  <si>
    <t>ASTM A500</t>
  </si>
  <si>
    <t>ctxtMVKE-VRKME</t>
  </si>
  <si>
    <t>UNI. DE VENDA</t>
  </si>
  <si>
    <t>ctxtMARA-MSTAV</t>
  </si>
  <si>
    <t>ctxtMARA-MSTDV</t>
  </si>
  <si>
    <t>STATUS DE VENDA</t>
  </si>
  <si>
    <t>VALIDADE DO STS DE VENDA</t>
  </si>
  <si>
    <t>ctxtMVKE-DWERK</t>
  </si>
  <si>
    <t>CENTRO FORNECEDOR</t>
  </si>
  <si>
    <t>VISÃO DE SELEÇÃO</t>
  </si>
  <si>
    <t>VISÃO MM</t>
  </si>
  <si>
    <t xml:space="preserve"> Dados básicos 1</t>
  </si>
  <si>
    <t xml:space="preserve"> Dados básicos 2</t>
  </si>
  <si>
    <t xml:space="preserve"> Classificação</t>
  </si>
  <si>
    <t xml:space="preserve"> SD: org.vendas 1</t>
  </si>
  <si>
    <t xml:space="preserve"> SD: org.vendas 2</t>
  </si>
  <si>
    <t xml:space="preserve"> SD: DdsGer/Centr</t>
  </si>
  <si>
    <t xml:space="preserve"> Com.ext.: exportação</t>
  </si>
  <si>
    <t xml:space="preserve"> Texto de SD</t>
  </si>
  <si>
    <t xml:space="preserve"> Compras</t>
  </si>
  <si>
    <t xml:space="preserve"> Com.ext.: importação</t>
  </si>
  <si>
    <t xml:space="preserve"> Texto pedido compras</t>
  </si>
  <si>
    <t xml:space="preserve"> MRP 1</t>
  </si>
  <si>
    <t xml:space="preserve"> MRP 2</t>
  </si>
  <si>
    <t xml:space="preserve"> MRP 3</t>
  </si>
  <si>
    <t xml:space="preserve"> MRP 4</t>
  </si>
  <si>
    <t xml:space="preserve"> Previsão</t>
  </si>
  <si>
    <t xml:space="preserve"> Esquematiz.trabalho</t>
  </si>
  <si>
    <t xml:space="preserve"> Dds.centro/armazen.1</t>
  </si>
  <si>
    <t xml:space="preserve"> Dds.centro/armazen.2</t>
  </si>
  <si>
    <t xml:space="preserve"> Admin.depósitos 1</t>
  </si>
  <si>
    <t xml:space="preserve"> Admin.depósitos 2</t>
  </si>
  <si>
    <t xml:space="preserve"> Admin.qualidade</t>
  </si>
  <si>
    <t xml:space="preserve"> Contabilidade 1</t>
  </si>
  <si>
    <t xml:space="preserve"> Contabilidade 2</t>
  </si>
  <si>
    <t xml:space="preserve"> Cálculo do preço 1</t>
  </si>
  <si>
    <t xml:space="preserve"> Cálculo do preço 2</t>
  </si>
  <si>
    <t>ctxtMVKE-VERSG</t>
  </si>
  <si>
    <t>GRP ESTAT.MAT</t>
  </si>
  <si>
    <t>ctxtMVKE-KONDM</t>
  </si>
  <si>
    <t>GRP DE MAT</t>
  </si>
  <si>
    <t>ctxtMVKE-KTGRM</t>
  </si>
  <si>
    <t>GRP CLASS.CONT</t>
  </si>
  <si>
    <t>chkMARA-XCHPF</t>
  </si>
  <si>
    <t>ADMIN LOT OBRIG</t>
  </si>
  <si>
    <t>ctxtMARC-MTVFP</t>
  </si>
  <si>
    <t>VERIFICAR DISP.</t>
  </si>
  <si>
    <t>ZM</t>
  </si>
  <si>
    <t>VERIFICAR DISPONIBILIDADE</t>
  </si>
  <si>
    <t>Necessidade diária</t>
  </si>
  <si>
    <t>Neces.indiv.</t>
  </si>
  <si>
    <t>CH</t>
  </si>
  <si>
    <t>Lotes</t>
  </si>
  <si>
    <t>DR</t>
  </si>
  <si>
    <t>KP</t>
  </si>
  <si>
    <t>Sem verificação</t>
  </si>
  <si>
    <t>ZL</t>
  </si>
  <si>
    <t>Individ.requirements</t>
  </si>
  <si>
    <t>ZV</t>
  </si>
  <si>
    <t>ctxtMARA-TRAGR</t>
  </si>
  <si>
    <t>GRP TRNSP</t>
  </si>
  <si>
    <t>ctxtMARC-LADGR</t>
  </si>
  <si>
    <t>GRP CARREG.</t>
  </si>
  <si>
    <t>ctxtMARC-STEUC</t>
  </si>
  <si>
    <t>NCM</t>
  </si>
  <si>
    <t>M01</t>
  </si>
  <si>
    <t>Valdemir Bertelli</t>
  </si>
  <si>
    <t>M05</t>
  </si>
  <si>
    <t>Grasiela Rodolfo</t>
  </si>
  <si>
    <t>M07</t>
  </si>
  <si>
    <t>Geovane Pellizzari</t>
  </si>
  <si>
    <t>M08</t>
  </si>
  <si>
    <t>M09</t>
  </si>
  <si>
    <t>Diego Guida</t>
  </si>
  <si>
    <t>M10</t>
  </si>
  <si>
    <t>Sabrina de Paula</t>
  </si>
  <si>
    <t>M12</t>
  </si>
  <si>
    <t>Anelise Casara</t>
  </si>
  <si>
    <t>GRUPO DE COMPRADORES</t>
  </si>
  <si>
    <t>PLANEJADOR MRP</t>
  </si>
  <si>
    <t>003</t>
  </si>
  <si>
    <t>Andre Buffon</t>
  </si>
  <si>
    <t>005</t>
  </si>
  <si>
    <t>Clodoaldo Camassol</t>
  </si>
  <si>
    <t>Grupo 581</t>
  </si>
  <si>
    <t>subcon</t>
  </si>
  <si>
    <t>999</t>
  </si>
  <si>
    <t>BOB</t>
  </si>
  <si>
    <t>Bobina</t>
  </si>
  <si>
    <t>NOS</t>
  </si>
  <si>
    <t>No slitting</t>
  </si>
  <si>
    <t>TIR</t>
  </si>
  <si>
    <t>TIRAS</t>
  </si>
  <si>
    <t>TAMANHO LOTE MRP</t>
  </si>
  <si>
    <t>DY</t>
  </si>
  <si>
    <t>EX</t>
  </si>
  <si>
    <t>FS</t>
  </si>
  <si>
    <t>FX</t>
  </si>
  <si>
    <t>GR</t>
  </si>
  <si>
    <t>HB</t>
  </si>
  <si>
    <t>M5</t>
  </si>
  <si>
    <t>M6</t>
  </si>
  <si>
    <t>M7</t>
  </si>
  <si>
    <t>M8</t>
  </si>
  <si>
    <t>MB</t>
  </si>
  <si>
    <t>PB</t>
  </si>
  <si>
    <t>PK</t>
  </si>
  <si>
    <t>SP</t>
  </si>
  <si>
    <t>TB</t>
  </si>
  <si>
    <t>W2</t>
  </si>
  <si>
    <t>W3</t>
  </si>
  <si>
    <t>W4</t>
  </si>
  <si>
    <t>W5</t>
  </si>
  <si>
    <t>W6</t>
  </si>
  <si>
    <t>W7</t>
  </si>
  <si>
    <t>W8</t>
  </si>
  <si>
    <t>WB</t>
  </si>
  <si>
    <t>WI</t>
  </si>
  <si>
    <t>Z3</t>
  </si>
  <si>
    <t>Z4</t>
  </si>
  <si>
    <t>Z5</t>
  </si>
  <si>
    <t>Z6</t>
  </si>
  <si>
    <t>ZB</t>
  </si>
  <si>
    <t>Cálculo dinâmico de planejamento</t>
  </si>
  <si>
    <t>Cálculo exato do tamanho de lote</t>
  </si>
  <si>
    <t>Fixo/partição</t>
  </si>
  <si>
    <t>Cálculo fixo do tamanho de lote</t>
  </si>
  <si>
    <t>Regr.cálc.tam.lotes seg.Groff</t>
  </si>
  <si>
    <t>Reposição até estoque máximo</t>
  </si>
  <si>
    <t>2-months lot size</t>
  </si>
  <si>
    <t>3-months lot size</t>
  </si>
  <si>
    <t>4-months lot size</t>
  </si>
  <si>
    <t>5-months lot size</t>
  </si>
  <si>
    <t>6-months lot size</t>
  </si>
  <si>
    <t>7-months lot size</t>
  </si>
  <si>
    <t>8-months lot size</t>
  </si>
  <si>
    <t>Tamanho de lote mensal</t>
  </si>
  <si>
    <t>Tam.lote periód.análogo períodoContabil.</t>
  </si>
  <si>
    <t>Tam.lote periód.seg.calendário planej.</t>
  </si>
  <si>
    <t>Método de custos equilibrados</t>
  </si>
  <si>
    <t>Tamanho de lote diário</t>
  </si>
  <si>
    <t>Semana - 2</t>
  </si>
  <si>
    <t>3-weeks lot size</t>
  </si>
  <si>
    <t>4-weeks lot size</t>
  </si>
  <si>
    <t>5-weeks lot size</t>
  </si>
  <si>
    <t>6-weeks lot size</t>
  </si>
  <si>
    <t>7-weeks lot size</t>
  </si>
  <si>
    <t>8-weeks lot size</t>
  </si>
  <si>
    <t>Tamanho de lote semanal</t>
  </si>
  <si>
    <t>Tamanho de lote econômico variável</t>
  </si>
  <si>
    <t>do not use! 3-months lot size</t>
  </si>
  <si>
    <t>do not use!4-months lot size</t>
  </si>
  <si>
    <t>do not use!5-months lot size</t>
  </si>
  <si>
    <t>do not use!6-months lot size</t>
  </si>
  <si>
    <t>Replenish to maximum stock level</t>
  </si>
  <si>
    <t>TIPO DE SUPRIMENTO</t>
  </si>
  <si>
    <t>E</t>
  </si>
  <si>
    <t>Fabricação própria</t>
  </si>
  <si>
    <t>F</t>
  </si>
  <si>
    <t>Suprimento externo</t>
  </si>
  <si>
    <t>SUBCONTRATADO</t>
  </si>
  <si>
    <t>TRANSFERENCIA</t>
  </si>
  <si>
    <t>FABRICAÇÃO INTERNA</t>
  </si>
  <si>
    <t>RIR</t>
  </si>
  <si>
    <t>METALIZAÇÃO</t>
  </si>
  <si>
    <t>GEMETRIA</t>
  </si>
  <si>
    <t>ESPESSUTA</t>
  </si>
  <si>
    <t>VARIAVEL MATRIZ DE SETUP</t>
  </si>
  <si>
    <t>ELIP</t>
  </si>
  <si>
    <t>N</t>
  </si>
  <si>
    <t>RED</t>
  </si>
  <si>
    <t>X</t>
  </si>
  <si>
    <t>J</t>
  </si>
  <si>
    <t>OBL</t>
  </si>
  <si>
    <t>QUA</t>
  </si>
  <si>
    <t>ESP</t>
  </si>
  <si>
    <t>RET 10</t>
  </si>
  <si>
    <t>RET 100</t>
  </si>
  <si>
    <t>RET 101,6</t>
  </si>
  <si>
    <t>RET 110</t>
  </si>
  <si>
    <t>RET 127</t>
  </si>
  <si>
    <t>RET 130</t>
  </si>
  <si>
    <t>RET 15</t>
  </si>
  <si>
    <t>RET 150</t>
  </si>
  <si>
    <t>RET 19</t>
  </si>
  <si>
    <t>RET 20</t>
  </si>
  <si>
    <t>RET 25</t>
  </si>
  <si>
    <t>RET 30</t>
  </si>
  <si>
    <t>RET 35</t>
  </si>
  <si>
    <t>RET 40</t>
  </si>
  <si>
    <t>RET 50</t>
  </si>
  <si>
    <t>RET 50,8</t>
  </si>
  <si>
    <t>RET 54,5</t>
  </si>
  <si>
    <t>RET 60</t>
  </si>
  <si>
    <t>RET 70</t>
  </si>
  <si>
    <t>RET 76,2</t>
  </si>
  <si>
    <t>RET 80</t>
  </si>
  <si>
    <t>RET 90</t>
  </si>
  <si>
    <t>RET 31,8</t>
  </si>
  <si>
    <t>RET 25,4</t>
  </si>
  <si>
    <t>0060</t>
  </si>
  <si>
    <t>0065</t>
  </si>
  <si>
    <t>0070</t>
  </si>
  <si>
    <t>0075</t>
  </si>
  <si>
    <t>0080</t>
  </si>
  <si>
    <t>0090</t>
  </si>
  <si>
    <t>0095</t>
  </si>
  <si>
    <t>0100</t>
  </si>
  <si>
    <t>0106</t>
  </si>
  <si>
    <t>0111</t>
  </si>
  <si>
    <t>0114</t>
  </si>
  <si>
    <t>0125</t>
  </si>
  <si>
    <t>0130</t>
  </si>
  <si>
    <t>0140</t>
  </si>
  <si>
    <t>0143</t>
  </si>
  <si>
    <t>0145</t>
  </si>
  <si>
    <t>0150</t>
  </si>
  <si>
    <t>0155</t>
  </si>
  <si>
    <t>0170</t>
  </si>
  <si>
    <t>0175</t>
  </si>
  <si>
    <t>0185</t>
  </si>
  <si>
    <t>0190</t>
  </si>
  <si>
    <t>0194</t>
  </si>
  <si>
    <t>0195</t>
  </si>
  <si>
    <t>0215</t>
  </si>
  <si>
    <t>0225</t>
  </si>
  <si>
    <t>0230</t>
  </si>
  <si>
    <t>0240</t>
  </si>
  <si>
    <t>0250</t>
  </si>
  <si>
    <t>0260</t>
  </si>
  <si>
    <t>0265</t>
  </si>
  <si>
    <t>0270</t>
  </si>
  <si>
    <t>0275</t>
  </si>
  <si>
    <t>0279</t>
  </si>
  <si>
    <t>0280</t>
  </si>
  <si>
    <t>0285</t>
  </si>
  <si>
    <t>0295</t>
  </si>
  <si>
    <t>0300</t>
  </si>
  <si>
    <t>0304</t>
  </si>
  <si>
    <t>0305</t>
  </si>
  <si>
    <t>0318</t>
  </si>
  <si>
    <t>0320</t>
  </si>
  <si>
    <t>0325</t>
  </si>
  <si>
    <t>0335</t>
  </si>
  <si>
    <t>0355</t>
  </si>
  <si>
    <t>0375</t>
  </si>
  <si>
    <t>0390</t>
  </si>
  <si>
    <t>0400</t>
  </si>
  <si>
    <t>0410</t>
  </si>
  <si>
    <t>0425</t>
  </si>
  <si>
    <t>0430</t>
  </si>
  <si>
    <t>0440</t>
  </si>
  <si>
    <t>0450</t>
  </si>
  <si>
    <t>0475</t>
  </si>
  <si>
    <t>0476</t>
  </si>
  <si>
    <t>0478</t>
  </si>
  <si>
    <t>0500</t>
  </si>
  <si>
    <t>0540</t>
  </si>
  <si>
    <t>0550</t>
  </si>
  <si>
    <t>0560</t>
  </si>
  <si>
    <t>0580</t>
  </si>
  <si>
    <t>0600</t>
  </si>
  <si>
    <t>0602</t>
  </si>
  <si>
    <t>0610</t>
  </si>
  <si>
    <t>0620</t>
  </si>
  <si>
    <t>0630</t>
  </si>
  <si>
    <t>0635</t>
  </si>
  <si>
    <t>0640</t>
  </si>
  <si>
    <t>0650</t>
  </si>
  <si>
    <t>0700</t>
  </si>
  <si>
    <t>0710</t>
  </si>
  <si>
    <t>0730</t>
  </si>
  <si>
    <t>0750</t>
  </si>
  <si>
    <t>0800</t>
  </si>
  <si>
    <t>0818</t>
  </si>
  <si>
    <t>LEGENDA:</t>
  </si>
  <si>
    <t>UTILIZAÇÃO LIVRE</t>
  </si>
  <si>
    <t>TITULOS (NÃO ALTERAR)</t>
  </si>
  <si>
    <t>FORMULAS (NÃO ALTERAR)</t>
  </si>
  <si>
    <t>DADOS PADRÃO (NÃO ALTERAR)</t>
  </si>
  <si>
    <t>DADOS OBRIGATORIOS DE PREENCHIMENTO</t>
  </si>
  <si>
    <t>DADOS OPCIONAIS, PASSIVEIS DE ALTERAÇÃO</t>
  </si>
  <si>
    <t>PREENCHIDO PELO SCRIPT</t>
  </si>
  <si>
    <t>OS_C6</t>
  </si>
  <si>
    <t>2448 Corte Estacionário 6</t>
  </si>
  <si>
    <t>OS_C7</t>
  </si>
  <si>
    <t>2441 Linha de Corte COSEN - C07</t>
  </si>
  <si>
    <t>PER_F01</t>
  </si>
  <si>
    <t>2421 Form. de Tubos 01</t>
  </si>
  <si>
    <t>PER_F02</t>
  </si>
  <si>
    <t>2422 Form. de Tubos 02</t>
  </si>
  <si>
    <t>PER_F03</t>
  </si>
  <si>
    <t>2423 Form. de Tubos 03</t>
  </si>
  <si>
    <t>PER_F04</t>
  </si>
  <si>
    <t>2424 Form. de Tubos 04</t>
  </si>
  <si>
    <t>PER_F05</t>
  </si>
  <si>
    <t>2425 Form. de Tubos 05</t>
  </si>
  <si>
    <t>PER_F06</t>
  </si>
  <si>
    <t>2426 Form. de Tubos 06</t>
  </si>
  <si>
    <t>PER_PF01</t>
  </si>
  <si>
    <t>2461 Perfiladeira 01</t>
  </si>
  <si>
    <t>PER_PF02</t>
  </si>
  <si>
    <t>2462 Perfiladeira 02</t>
  </si>
  <si>
    <t>PER_PF03</t>
  </si>
  <si>
    <t>2463 Perfiladeira 03</t>
  </si>
  <si>
    <t>SL_S01</t>
  </si>
  <si>
    <t>2471 Slitter S01</t>
  </si>
  <si>
    <t>SL_S02</t>
  </si>
  <si>
    <t>2472 Slitter S02</t>
  </si>
  <si>
    <t>SUB_0581</t>
  </si>
  <si>
    <t>2451 Subcontratação 0581</t>
  </si>
  <si>
    <t>LAB0581</t>
  </si>
  <si>
    <t>Laboratório Unidade Fabril</t>
  </si>
  <si>
    <t>MÁQUINAS CADASTRADAS</t>
  </si>
  <si>
    <t>OS_AP01</t>
  </si>
  <si>
    <t>4472 Acessórios Purlins</t>
  </si>
  <si>
    <t>OS_C5</t>
  </si>
  <si>
    <t>4435 Corte Estacionário 5</t>
  </si>
  <si>
    <t>OS_CJD1</t>
  </si>
  <si>
    <t>4424 Célula Jonh Deere</t>
  </si>
  <si>
    <t>OS_CL1</t>
  </si>
  <si>
    <t>4437 Corte Laser 1</t>
  </si>
  <si>
    <t>OS_CL2</t>
  </si>
  <si>
    <t>4461 Corte Laser 02</t>
  </si>
  <si>
    <t>OS_COE1</t>
  </si>
  <si>
    <t>4423 Célula de Operações Especiais</t>
  </si>
  <si>
    <t>OS_CS01</t>
  </si>
  <si>
    <t>4426 Célula de Solda</t>
  </si>
  <si>
    <t>OS_CS02</t>
  </si>
  <si>
    <t>4427 Célula de Solda 2</t>
  </si>
  <si>
    <t>OS_CT1</t>
  </si>
  <si>
    <t>4445 Calandra Tauring CT1</t>
  </si>
  <si>
    <t>OS_CT2</t>
  </si>
  <si>
    <t>4444 Calandra Calfran CT2</t>
  </si>
  <si>
    <t>OS_DT3</t>
  </si>
  <si>
    <t>4443 Dobra Tubos CNC 3</t>
  </si>
  <si>
    <t>OS_DT4</t>
  </si>
  <si>
    <t>4446 Dobra Tubos CNC 4</t>
  </si>
  <si>
    <t>OS_L3D1</t>
  </si>
  <si>
    <t>4438 Corte Laser L3D1</t>
  </si>
  <si>
    <t>PER_F07</t>
  </si>
  <si>
    <t>4411 Formadora 07</t>
  </si>
  <si>
    <t>PER_MD1</t>
  </si>
  <si>
    <t>4455 Multidobra 1</t>
  </si>
  <si>
    <t>PER_PUR</t>
  </si>
  <si>
    <t>4471 Perfiladeira Purlins</t>
  </si>
  <si>
    <t>PER_TE1</t>
  </si>
  <si>
    <t>4451 Formadora de Telhas OND</t>
  </si>
  <si>
    <t>PER_TE2</t>
  </si>
  <si>
    <t>4452 Formadora de Telhas TP40</t>
  </si>
  <si>
    <t>PER_TE3</t>
  </si>
  <si>
    <t>4453 Formadora de Telhas TP25</t>
  </si>
  <si>
    <t>SUB_0582</t>
  </si>
  <si>
    <t>2451 Subcontratação 0582</t>
  </si>
  <si>
    <t>ctxtMVKE-MTPOS</t>
  </si>
  <si>
    <t>GRP.CTGR.ITEM</t>
  </si>
  <si>
    <t>NORM</t>
  </si>
  <si>
    <t>ITENS</t>
  </si>
  <si>
    <t>TUBOS</t>
  </si>
  <si>
    <t>NBR 6355</t>
  </si>
  <si>
    <t>PERFIS</t>
  </si>
  <si>
    <t>NBR 8261</t>
  </si>
  <si>
    <t>NBR 5580</t>
  </si>
  <si>
    <t>NBR 5590</t>
  </si>
  <si>
    <t>MFER</t>
  </si>
  <si>
    <t>K00_P_0581</t>
  </si>
  <si>
    <t>CHAVE</t>
  </si>
  <si>
    <t>K00_P_0582</t>
  </si>
  <si>
    <t>MAX BOL &amp; BOM</t>
  </si>
  <si>
    <t>K00_P_TRIM_0581</t>
  </si>
  <si>
    <t>K00_P_TRIM_0582</t>
  </si>
  <si>
    <t>MC0350612</t>
  </si>
  <si>
    <t>PC</t>
  </si>
  <si>
    <t>MC0350512</t>
  </si>
  <si>
    <t>FERT</t>
  </si>
  <si>
    <t>KMAT</t>
  </si>
  <si>
    <t>DFER</t>
  </si>
  <si>
    <t>HAWZ</t>
  </si>
  <si>
    <t>HAWA</t>
  </si>
  <si>
    <t>MC0130600</t>
  </si>
  <si>
    <t>ACESSORIOS DE COBERTURA</t>
  </si>
  <si>
    <t>MC0330300</t>
  </si>
  <si>
    <t>PERFIL FQ SAE</t>
  </si>
  <si>
    <t>MC0330302</t>
  </si>
  <si>
    <t>PERFIL ZINCADO</t>
  </si>
  <si>
    <t>MC0330303</t>
  </si>
  <si>
    <t>PERFIL ZINCADO TRILHO</t>
  </si>
  <si>
    <t>MC0330313</t>
  </si>
  <si>
    <t>PERFIL II QUALIDADE</t>
  </si>
  <si>
    <t>MC0330400</t>
  </si>
  <si>
    <t>PERFIL ESPECIAL</t>
  </si>
  <si>
    <t>MC0350500</t>
  </si>
  <si>
    <t>TUBO FINA FRIO</t>
  </si>
  <si>
    <t>MC0350501</t>
  </si>
  <si>
    <t>TUBO FINA QUENTE</t>
  </si>
  <si>
    <t>MC0350502</t>
  </si>
  <si>
    <t>TUBO ZINCADO</t>
  </si>
  <si>
    <t>MC0350507</t>
  </si>
  <si>
    <t>TUBO II QUALIDADE</t>
  </si>
  <si>
    <t>MC0350511</t>
  </si>
  <si>
    <t>TUBO ZINCADO PERFURADO</t>
  </si>
  <si>
    <t>TUBOS MAQUINA 5</t>
  </si>
  <si>
    <t>MC0350518</t>
  </si>
  <si>
    <t>TUBO ZINCADO ALTO-RELEVO</t>
  </si>
  <si>
    <t>MC0350520</t>
  </si>
  <si>
    <t>TUBO DE CONDUCAO</t>
  </si>
  <si>
    <t>MC0350527</t>
  </si>
  <si>
    <t>TUBO FINA FRIO PERFURADO</t>
  </si>
  <si>
    <t>MC0350528</t>
  </si>
  <si>
    <t>TUBOS MAQUINA 5 CONDUCAO</t>
  </si>
  <si>
    <t>MC0350600</t>
  </si>
  <si>
    <t>TUBO FINA FRIO CORTADO</t>
  </si>
  <si>
    <t>MC0350601</t>
  </si>
  <si>
    <t>TUBO FINA QUENTE CORTADO</t>
  </si>
  <si>
    <t>MC0350602</t>
  </si>
  <si>
    <t>TUBO ZINCADO CORTADO</t>
  </si>
  <si>
    <t>MC0350608</t>
  </si>
  <si>
    <t>PERFIL FQ SAE CORTADO</t>
  </si>
  <si>
    <t>MC0350609</t>
  </si>
  <si>
    <t>TUBO DE CONDUÇÃO CORTADO</t>
  </si>
  <si>
    <t>MC0350611</t>
  </si>
  <si>
    <t>TUBOS MAQUINAS 5 CONDUCAO CORTADO</t>
  </si>
  <si>
    <t>TUBOS MAQUINAS 5 CORTADO</t>
  </si>
  <si>
    <t>MC0350700</t>
  </si>
  <si>
    <t>TUBO ESPECIAL</t>
  </si>
  <si>
    <t>MC0360600</t>
  </si>
  <si>
    <t>TELHAS ZINCADAS ONDULADAS</t>
  </si>
  <si>
    <t>MC0360601</t>
  </si>
  <si>
    <t>TELHAS ZINCADAS TRAPEZOIDAIS</t>
  </si>
  <si>
    <t>MC0360602</t>
  </si>
  <si>
    <t>TELHAS ZINCALUME ONDULADAS</t>
  </si>
  <si>
    <t>MC0360603</t>
  </si>
  <si>
    <t>TELHAS ZINCALUME TRAPEZOIDAIS</t>
  </si>
  <si>
    <t>MC0360604</t>
  </si>
  <si>
    <t>TELHAS ZINCALUME PRE-PINTADAS</t>
  </si>
  <si>
    <t>MC0360608</t>
  </si>
  <si>
    <t>BLANK</t>
  </si>
  <si>
    <t>MC1010100</t>
  </si>
  <si>
    <t>SUCATA</t>
  </si>
  <si>
    <t>GRUPO DE MERCADORIAS</t>
  </si>
  <si>
    <t>UNIDADE DE VENDA</t>
  </si>
  <si>
    <t>UM</t>
  </si>
  <si>
    <t>DIRETORIO DA CONSULTA (POWER QUERY)</t>
  </si>
  <si>
    <t>Grupo 582</t>
  </si>
  <si>
    <t>C:\Program Files (x86)\SAP\FrontEnd\SapGui\saplogon.exe</t>
  </si>
  <si>
    <t>LIBERADO</t>
  </si>
  <si>
    <t>DIRETÓRIO PARA SALVAR O RELATÓRIO FINAL</t>
  </si>
  <si>
    <t>LOG DE ALTERAÇÃO</t>
  </si>
  <si>
    <t>D:\1. Cadastros P01\2. Relatorios Script</t>
  </si>
  <si>
    <t>0010</t>
  </si>
  <si>
    <t>C223-0581</t>
  </si>
  <si>
    <t>C223-0582</t>
  </si>
  <si>
    <t>Grupo de Planejamento Detalhado</t>
  </si>
  <si>
    <t>50736335</t>
  </si>
  <si>
    <t>50736338</t>
  </si>
  <si>
    <t>Chave PROF para itens da 0581</t>
  </si>
  <si>
    <t>Chave PROF para itens da 0582</t>
  </si>
  <si>
    <t>Z:\Projetos\PROJETOS ESPECIAIS\PJT 2429 (RANDON)\Estrutura\2020-05-01_AB_Estrutura P01 (PJT 2429 RANDON).xlsm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</si>
</sst>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0"/>
      <color theme="1"/>
      <name val="Arial"/>
      <family val="2"/>
    </font>
    <font>
      <sz val="10"/>
      <color theme="1"/>
      <name val="voestalpine"/>
      <family val="2"/>
    </font>
    <font>
      <b/>
      <sz val="10"/>
      <color theme="0"/>
      <name val="voestalpine"/>
      <family val="2"/>
    </font>
    <font>
      <sz val="10"/>
      <color theme="0"/>
      <name val="voestalpine"/>
      <family val="2"/>
    </font>
    <font>
      <sz val="8"/>
      <color theme="0"/>
      <name val="voestalpine"/>
      <family val="2"/>
    </font>
    <font>
      <b/>
      <sz val="8"/>
      <color theme="0"/>
      <name val="voestalpine"/>
      <family val="2"/>
    </font>
    <font>
      <sz val="10"/>
      <color rgb="FF000000"/>
      <name val="voestalpine"/>
      <family val="2"/>
    </font>
    <font>
      <sz val="10"/>
      <color rgb="FF000000"/>
      <name val="Trebuchet MS"/>
      <family val="2"/>
    </font>
    <font>
      <b/>
      <i/>
      <u/>
      <sz val="10"/>
      <color theme="1"/>
      <name val="voestalpine"/>
      <family val="2"/>
    </font>
    <font>
      <b/>
      <sz val="14"/>
      <color theme="0"/>
      <name val="voestalpine"/>
      <family val="2"/>
    </font>
  </fonts>
  <fills count="1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/>
      </top>
      <bottom style="hair">
        <color theme="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/>
      </top>
      <bottom style="hair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auto="1"/>
      </top>
      <bottom style="hair">
        <color auto="1"/>
      </bottom>
      <diagonal/>
    </border>
  </borders>
  <cellStyleXfs count="11">
    <xf numFmtId="0" fontId="0" fillId="0" borderId="0"/>
    <xf numFmtId="0" fontId="1" fillId="10" borderId="9">
      <alignment horizontal="center" vertical="center"/>
    </xf>
    <xf numFmtId="0" fontId="1" fillId="3" borderId="9" applyNumberFormat="0" applyProtection="0">
      <alignment horizontal="center" vertical="center"/>
      <protection locked="0"/>
    </xf>
    <xf numFmtId="49" fontId="1" fillId="5" borderId="9" applyNumberFormat="0">
      <alignment horizontal="center" vertical="center"/>
    </xf>
    <xf numFmtId="0" fontId="1" fillId="11" borderId="9">
      <alignment horizontal="center" vertical="center"/>
      <protection locked="0"/>
    </xf>
    <xf numFmtId="0" fontId="1" fillId="8" borderId="9" applyNumberFormat="0" applyProtection="0">
      <alignment horizontal="center" vertical="center"/>
      <protection locked="0"/>
    </xf>
    <xf numFmtId="0" fontId="3" fillId="2" borderId="2">
      <alignment horizontal="center" vertical="center"/>
    </xf>
    <xf numFmtId="0" fontId="1" fillId="6" borderId="9">
      <alignment horizontal="center" vertical="center"/>
    </xf>
    <xf numFmtId="0" fontId="1" fillId="9" borderId="9">
      <alignment horizontal="center" vertical="center"/>
      <protection locked="0"/>
    </xf>
    <xf numFmtId="0" fontId="3" fillId="4" borderId="2">
      <alignment horizontal="center" vertical="center"/>
    </xf>
    <xf numFmtId="0" fontId="9" fillId="12" borderId="0">
      <alignment horizontal="center" vertical="center"/>
    </xf>
  </cellStyleXfs>
  <cellXfs count="60">
    <xf numFmtId="0" fontId="0" fillId="0" borderId="0" xfId="0"/>
    <xf numFmtId="0" fontId="1" fillId="0" borderId="0" xfId="0" applyFont="1" applyAlignment="1">
      <alignment vertical="center"/>
    </xf>
    <xf numFmtId="0" fontId="3" fillId="2" borderId="0" xfId="0" applyFont="1" applyFill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4" fillId="2" borderId="0" xfId="0" applyFont="1" applyFill="1" applyAlignment="1">
      <alignment horizontal="right" vertical="center"/>
    </xf>
    <xf numFmtId="0" fontId="5" fillId="2" borderId="0" xfId="0" applyFont="1" applyFill="1" applyAlignment="1">
      <alignment horizontal="right" vertical="center"/>
    </xf>
    <xf numFmtId="0" fontId="3" fillId="2" borderId="0" xfId="0" applyFont="1" applyFill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2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49" fontId="1" fillId="3" borderId="3" xfId="0" applyNumberFormat="1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" fillId="3" borderId="3" xfId="0" applyFont="1" applyFill="1" applyBorder="1" applyAlignment="1">
      <alignment horizontal="left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1" fillId="3" borderId="3" xfId="0" applyNumberFormat="1" applyFont="1" applyFill="1" applyBorder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1" fillId="8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left" vertical="center"/>
    </xf>
    <xf numFmtId="0" fontId="3" fillId="2" borderId="0" xfId="0" applyFont="1" applyFill="1" applyAlignment="1">
      <alignment vertical="center"/>
    </xf>
    <xf numFmtId="0" fontId="1" fillId="3" borderId="4" xfId="0" applyFont="1" applyFill="1" applyBorder="1" applyAlignment="1">
      <alignment horizontal="center" vertical="center"/>
    </xf>
    <xf numFmtId="0" fontId="1" fillId="6" borderId="4" xfId="0" applyFont="1" applyFill="1" applyBorder="1" applyAlignment="1">
      <alignment horizontal="center" vertical="center"/>
    </xf>
    <xf numFmtId="0" fontId="1" fillId="0" borderId="4" xfId="0" applyFont="1" applyFill="1" applyBorder="1" applyAlignment="1">
      <alignment horizontal="center" vertical="center"/>
    </xf>
    <xf numFmtId="0" fontId="1" fillId="8" borderId="4" xfId="0" applyFont="1" applyFill="1" applyBorder="1" applyAlignment="1">
      <alignment horizontal="center" vertical="center"/>
    </xf>
    <xf numFmtId="14" fontId="1" fillId="6" borderId="4" xfId="0" applyNumberFormat="1" applyFont="1" applyFill="1" applyBorder="1" applyAlignment="1">
      <alignment horizontal="center" vertical="center"/>
    </xf>
    <xf numFmtId="49" fontId="1" fillId="6" borderId="4" xfId="0" applyNumberFormat="1" applyFont="1" applyFill="1" applyBorder="1" applyAlignment="1">
      <alignment horizontal="center" vertical="center"/>
    </xf>
    <xf numFmtId="49" fontId="1" fillId="0" borderId="4" xfId="0" applyNumberFormat="1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3" fillId="7" borderId="0" xfId="0" applyNumberFormat="1" applyFont="1" applyFill="1" applyAlignment="1">
      <alignment horizontal="right" vertical="center"/>
    </xf>
    <xf numFmtId="49" fontId="3" fillId="7" borderId="0" xfId="0" applyNumberFormat="1" applyFont="1" applyFill="1" applyAlignment="1">
      <alignment horizontal="center" vertical="center"/>
    </xf>
    <xf numFmtId="0" fontId="3" fillId="7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14" fontId="1" fillId="0" borderId="0" xfId="0" applyNumberFormat="1" applyFont="1" applyAlignment="1">
      <alignment horizontal="center" vertical="center"/>
    </xf>
    <xf numFmtId="49" fontId="1" fillId="5" borderId="6" xfId="0" applyNumberFormat="1" applyFont="1" applyFill="1" applyBorder="1" applyAlignment="1">
      <alignment horizontal="left" vertical="center"/>
    </xf>
    <xf numFmtId="49" fontId="1" fillId="5" borderId="7" xfId="0" applyNumberFormat="1" applyFont="1" applyFill="1" applyBorder="1" applyAlignment="1">
      <alignment horizontal="left" vertical="center"/>
    </xf>
    <xf numFmtId="49" fontId="1" fillId="5" borderId="8" xfId="0" applyNumberFormat="1" applyFont="1" applyFill="1" applyBorder="1" applyAlignment="1">
      <alignment horizontal="left" vertical="center"/>
    </xf>
    <xf numFmtId="11" fontId="1" fillId="0" borderId="0" xfId="0" applyNumberFormat="1" applyFont="1" applyAlignment="1">
      <alignment horizontal="center" vertical="center"/>
    </xf>
    <xf numFmtId="11" fontId="1" fillId="0" borderId="0" xfId="0" applyNumberFormat="1" applyFont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49" fontId="1" fillId="3" borderId="9" xfId="2" applyNumberFormat="1" applyProtection="1">
      <alignment horizontal="center" vertical="center"/>
    </xf>
    <xf numFmtId="49" fontId="1" fillId="3" borderId="9" xfId="2" applyNumberFormat="1">
      <alignment horizontal="center" vertical="center"/>
      <protection locked="0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</cellXfs>
  <cellStyles count="11">
    <cellStyle name="Dados Chave" xfId="1"/>
    <cellStyle name="Dados Editáveis" xfId="2"/>
    <cellStyle name="Dados Fixos" xfId="3"/>
    <cellStyle name="Dados Obrigatórios com validação DDs" xfId="4"/>
    <cellStyle name="Dados Opcionais" xfId="5"/>
    <cellStyle name="Fixos" xfId="6"/>
    <cellStyle name="Fórmulas" xfId="7"/>
    <cellStyle name="Normal" xfId="0" builtinId="0" customBuiltin="1"/>
    <cellStyle name="Script" xfId="8"/>
    <cellStyle name="Subtítulos" xfId="9"/>
    <cellStyle name="Títulos" xfId="10"/>
  </cellStyles>
  <dxfs count="2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numFmt numFmtId="30" formatCode="@"/>
      <fill>
        <patternFill patternType="solid">
          <fgColor indexed="64"/>
          <bgColor theme="8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fill>
        <patternFill patternType="solid">
          <fgColor indexed="64"/>
          <bgColor theme="8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0"/>
      </font>
      <fill>
        <patternFill>
          <bgColor theme="1"/>
        </patternFill>
      </fill>
      <border>
        <left/>
        <right/>
        <top/>
        <bottom/>
        <vertical/>
        <horizontal/>
      </border>
    </dxf>
    <dxf>
      <font>
        <b val="0"/>
        <i val="0"/>
        <u val="none"/>
      </font>
      <border>
        <top style="hair">
          <color auto="1"/>
        </top>
        <bottom style="hair">
          <color auto="1"/>
        </bottom>
        <vertical style="thin">
          <color theme="1" tint="0.499984740745262"/>
        </vertical>
        <horizontal style="hair">
          <color auto="1"/>
        </horizontal>
      </border>
    </dxf>
  </dxfs>
  <tableStyles count="1" defaultTableStyle="TableStyleMedium2" defaultPivotStyle="PivotStyleLight16">
    <tableStyle name="Estilo de Tabela 1" pivot="0" count="2">
      <tableStyleElement type="wholeTable" dxfId="20"/>
      <tableStyleElement type="headerRow" dxfId="19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28575</xdr:rowOff>
        </xdr:from>
        <xdr:to>
          <xdr:col>0</xdr:col>
          <xdr:colOff>914400</xdr:colOff>
          <xdr:row>1</xdr:row>
          <xdr:rowOff>38100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Instalar CAS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</xdr:row>
          <xdr:rowOff>0</xdr:rowOff>
        </xdr:from>
        <xdr:to>
          <xdr:col>0</xdr:col>
          <xdr:colOff>1600200</xdr:colOff>
          <xdr:row>6</xdr:row>
          <xdr:rowOff>9525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Selecionar Arquivo raiz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8</xdr:row>
          <xdr:rowOff>0</xdr:rowOff>
        </xdr:from>
        <xdr:to>
          <xdr:col>0</xdr:col>
          <xdr:colOff>1600200</xdr:colOff>
          <xdr:row>9</xdr:row>
          <xdr:rowOff>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Gerar Relatório Final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3" name="Tabela3" displayName="Tabela3" ref="A6:A7" totalsRowShown="0" headerRowDxfId="2" dataDxfId="1">
  <autoFilter ref="A6:A7"/>
  <tableColumns count="1">
    <tableColumn id="1" name="DIRETORIO DA CONSULTA (POWER QUERY)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5">
    <tabColor theme="4" tint="0.79998168889431442"/>
  </sheetPr>
  <dimension ref="A1:AV54"/>
  <sheetViews>
    <sheetView showGridLines="0" showRowColHeaders="0" tabSelected="1" workbookViewId="0">
      <pane xSplit="2" ySplit="4" topLeftCell="C5" activePane="bottomRight" state="frozen"/>
      <selection pane="topRight" activeCell="D1" sqref="D1"/>
      <selection pane="bottomLeft" activeCell="A5" sqref="A5"/>
      <selection pane="bottomRight" activeCell="B5" sqref="B5"/>
    </sheetView>
  </sheetViews>
  <sheetFormatPr defaultRowHeight="12.75" outlineLevelCol="1" x14ac:dyDescent="0.2"/>
  <cols>
    <col min="1" max="1" width="11.7109375" style="7" customWidth="1"/>
    <col min="2" max="2" width="18.5703125" style="6" customWidth="1"/>
    <col min="3" max="3" width="18.140625" style="6" customWidth="1" outlineLevel="1"/>
    <col min="4" max="4" width="18.5703125" style="6" customWidth="1" outlineLevel="1"/>
    <col min="5" max="5" width="23.42578125" style="6" customWidth="1" outlineLevel="1"/>
    <col min="6" max="6" width="11.7109375" style="6" customWidth="1"/>
    <col min="7" max="8" width="21.7109375" style="6" hidden="1" customWidth="1" outlineLevel="1"/>
    <col min="9" max="9" width="22.28515625" style="6" hidden="1" customWidth="1" outlineLevel="1"/>
    <col min="10" max="10" width="28.140625" style="6" hidden="1" customWidth="1" outlineLevel="1"/>
    <col min="11" max="15" width="8" style="6" hidden="1" customWidth="1" outlineLevel="1"/>
    <col min="16" max="33" width="9.140625" style="6" hidden="1" customWidth="1" outlineLevel="1"/>
    <col min="34" max="34" width="19.140625" style="6" customWidth="1" collapsed="1"/>
    <col min="35" max="35" width="16.42578125" style="6" customWidth="1"/>
    <col min="36" max="36" width="17" style="6" customWidth="1"/>
    <col min="37" max="37" width="26.28515625" style="6" hidden="1" customWidth="1"/>
    <col min="38" max="38" width="21.140625" style="6" hidden="1" customWidth="1"/>
    <col min="39" max="39" width="16" style="6" hidden="1" customWidth="1"/>
    <col min="40" max="40" width="17.5703125" style="6" hidden="1" customWidth="1"/>
    <col min="41" max="41" width="16.5703125" style="6" hidden="1" customWidth="1"/>
    <col min="42" max="42" width="16.42578125" style="6" hidden="1" customWidth="1"/>
    <col min="43" max="43" width="17.42578125" style="6" hidden="1" customWidth="1"/>
    <col min="44" max="45" width="16.42578125" style="6" hidden="1" customWidth="1"/>
    <col min="46" max="46" width="16.7109375" style="6" hidden="1" customWidth="1"/>
    <col min="47" max="47" width="16.28515625" style="6" customWidth="1"/>
    <col min="48" max="48" width="75.7109375" style="1" customWidth="1"/>
    <col min="49" max="49" width="22" style="1" customWidth="1"/>
    <col min="50" max="16384" width="9.140625" style="1"/>
  </cols>
  <sheetData>
    <row r="1" spans="1:48" s="30" customFormat="1" x14ac:dyDescent="0.2">
      <c r="A1" s="7" t="s">
        <v>28</v>
      </c>
      <c r="F1" s="59" t="s">
        <v>157</v>
      </c>
      <c r="AH1" s="59" t="s">
        <v>124</v>
      </c>
      <c r="AV1" s="47"/>
    </row>
    <row r="2" spans="1:48" s="35" customFormat="1" x14ac:dyDescent="0.2">
      <c r="A2" s="7"/>
      <c r="B2" s="34"/>
      <c r="C2" s="30"/>
      <c r="D2" s="30"/>
      <c r="E2" s="30"/>
      <c r="F2" s="59"/>
      <c r="G2" s="30"/>
      <c r="H2" s="30"/>
      <c r="I2" s="30"/>
      <c r="J2" s="30"/>
      <c r="K2" s="30"/>
      <c r="L2" s="30"/>
      <c r="M2" s="30"/>
      <c r="N2" s="30"/>
      <c r="O2" s="30"/>
      <c r="P2" s="30"/>
      <c r="Q2" s="30"/>
      <c r="R2" s="30"/>
      <c r="S2" s="30"/>
      <c r="T2" s="30"/>
      <c r="U2" s="30"/>
      <c r="V2" s="30"/>
      <c r="W2" s="30"/>
      <c r="X2" s="30"/>
      <c r="Y2" s="30"/>
      <c r="Z2" s="30"/>
      <c r="AA2" s="30"/>
      <c r="AB2" s="30"/>
      <c r="AC2" s="30"/>
      <c r="AD2" s="30"/>
      <c r="AE2" s="30"/>
      <c r="AF2" s="30"/>
      <c r="AG2" s="30"/>
      <c r="AH2" s="59"/>
      <c r="AI2" s="30">
        <v>20</v>
      </c>
      <c r="AJ2" s="30"/>
      <c r="AK2" s="30"/>
      <c r="AL2" s="30"/>
      <c r="AM2" s="30"/>
      <c r="AN2" s="30"/>
      <c r="AO2" s="30"/>
      <c r="AP2" s="30"/>
      <c r="AQ2" s="30"/>
      <c r="AR2" s="30"/>
      <c r="AS2" s="30"/>
      <c r="AT2" s="30"/>
      <c r="AU2" s="30">
        <v>21</v>
      </c>
    </row>
    <row r="3" spans="1:48" s="9" customFormat="1" ht="15" customHeight="1" x14ac:dyDescent="0.2">
      <c r="A3" s="7" t="s">
        <v>29</v>
      </c>
      <c r="B3" s="4" t="s">
        <v>94</v>
      </c>
      <c r="C3" s="32" t="s">
        <v>153</v>
      </c>
      <c r="D3" s="13" t="s">
        <v>154</v>
      </c>
      <c r="E3" s="13" t="s">
        <v>156</v>
      </c>
      <c r="F3" s="16"/>
      <c r="G3" s="58" t="s">
        <v>152</v>
      </c>
      <c r="H3" s="58"/>
      <c r="I3" s="58"/>
      <c r="J3" s="58"/>
      <c r="K3" s="58"/>
      <c r="L3" s="58"/>
      <c r="M3" s="58"/>
      <c r="N3" s="58"/>
      <c r="O3" s="58"/>
      <c r="P3" s="58"/>
      <c r="Q3" s="58"/>
      <c r="R3" s="58"/>
      <c r="S3" s="58"/>
      <c r="T3" s="58"/>
      <c r="U3" s="58"/>
      <c r="V3" s="58"/>
      <c r="W3" s="58"/>
      <c r="X3" s="58"/>
      <c r="Y3" s="58"/>
      <c r="Z3" s="58"/>
      <c r="AA3" s="58"/>
      <c r="AB3" s="58"/>
      <c r="AC3" s="58"/>
      <c r="AD3" s="58"/>
      <c r="AE3" s="58"/>
      <c r="AF3" s="58"/>
      <c r="AG3" s="58"/>
      <c r="AH3" s="13"/>
      <c r="AI3" s="20" t="s">
        <v>278</v>
      </c>
      <c r="AJ3" s="20" t="s">
        <v>280</v>
      </c>
      <c r="AK3" s="20" t="s">
        <v>281</v>
      </c>
      <c r="AL3" s="20" t="s">
        <v>284</v>
      </c>
      <c r="AM3" s="20" t="s">
        <v>314</v>
      </c>
      <c r="AN3" s="20" t="s">
        <v>316</v>
      </c>
      <c r="AO3" s="20" t="s">
        <v>318</v>
      </c>
      <c r="AP3" s="26" t="s">
        <v>631</v>
      </c>
      <c r="AQ3" s="20" t="s">
        <v>320</v>
      </c>
      <c r="AR3" s="20" t="s">
        <v>322</v>
      </c>
      <c r="AS3" s="20" t="s">
        <v>336</v>
      </c>
      <c r="AT3" s="20" t="s">
        <v>338</v>
      </c>
      <c r="AU3" s="20" t="s">
        <v>340</v>
      </c>
      <c r="AV3" s="47" t="s">
        <v>32</v>
      </c>
    </row>
    <row r="4" spans="1:48" s="5" customFormat="1" ht="15" customHeight="1" x14ac:dyDescent="0.2">
      <c r="A4" s="8" t="s">
        <v>30</v>
      </c>
      <c r="B4" s="3" t="s">
        <v>95</v>
      </c>
      <c r="C4" s="14" t="s">
        <v>0</v>
      </c>
      <c r="D4" s="14" t="s">
        <v>155</v>
      </c>
      <c r="E4" s="14" t="s">
        <v>2</v>
      </c>
      <c r="F4" s="14"/>
      <c r="G4" s="14" t="s">
        <v>125</v>
      </c>
      <c r="H4" s="14" t="s">
        <v>126</v>
      </c>
      <c r="I4" s="14" t="s">
        <v>127</v>
      </c>
      <c r="J4" s="14" t="s">
        <v>128</v>
      </c>
      <c r="K4" s="14" t="s">
        <v>129</v>
      </c>
      <c r="L4" s="14" t="s">
        <v>130</v>
      </c>
      <c r="M4" s="14" t="s">
        <v>131</v>
      </c>
      <c r="N4" s="14" t="s">
        <v>132</v>
      </c>
      <c r="O4" s="14" t="s">
        <v>133</v>
      </c>
      <c r="P4" s="14" t="s">
        <v>134</v>
      </c>
      <c r="Q4" s="14" t="s">
        <v>135</v>
      </c>
      <c r="R4" s="14" t="s">
        <v>136</v>
      </c>
      <c r="S4" s="14" t="s">
        <v>137</v>
      </c>
      <c r="T4" s="14" t="s">
        <v>138</v>
      </c>
      <c r="U4" s="14" t="s">
        <v>139</v>
      </c>
      <c r="V4" s="14" t="s">
        <v>140</v>
      </c>
      <c r="W4" s="14" t="s">
        <v>141</v>
      </c>
      <c r="X4" s="14" t="s">
        <v>142</v>
      </c>
      <c r="Y4" s="14" t="s">
        <v>143</v>
      </c>
      <c r="Z4" s="14" t="s">
        <v>144</v>
      </c>
      <c r="AA4" s="14" t="s">
        <v>145</v>
      </c>
      <c r="AB4" s="14" t="s">
        <v>146</v>
      </c>
      <c r="AC4" s="14" t="s">
        <v>147</v>
      </c>
      <c r="AD4" s="14" t="s">
        <v>148</v>
      </c>
      <c r="AE4" s="14" t="s">
        <v>149</v>
      </c>
      <c r="AF4" s="14" t="s">
        <v>150</v>
      </c>
      <c r="AG4" s="14" t="s">
        <v>151</v>
      </c>
      <c r="AH4" s="14"/>
      <c r="AI4" s="14" t="s">
        <v>279</v>
      </c>
      <c r="AJ4" s="14" t="s">
        <v>282</v>
      </c>
      <c r="AK4" s="14" t="s">
        <v>283</v>
      </c>
      <c r="AL4" s="14" t="s">
        <v>285</v>
      </c>
      <c r="AM4" s="14" t="s">
        <v>315</v>
      </c>
      <c r="AN4" s="14" t="s">
        <v>317</v>
      </c>
      <c r="AO4" s="14" t="s">
        <v>319</v>
      </c>
      <c r="AP4" s="14" t="s">
        <v>632</v>
      </c>
      <c r="AQ4" s="14" t="s">
        <v>321</v>
      </c>
      <c r="AR4" s="14" t="s">
        <v>323</v>
      </c>
      <c r="AS4" s="14" t="s">
        <v>337</v>
      </c>
      <c r="AT4" s="14" t="s">
        <v>339</v>
      </c>
      <c r="AU4" s="14" t="s">
        <v>341</v>
      </c>
      <c r="AV4" s="5" t="s">
        <v>724</v>
      </c>
    </row>
    <row r="5" spans="1:48" x14ac:dyDescent="0.2">
      <c r="A5" s="7" t="str">
        <f>"Execução "&amp;ROW()-4</f>
        <v>Execução 1</v>
      </c>
      <c r="B5" s="36"/>
      <c r="C5" s="57"/>
      <c r="D5" s="41">
        <f t="shared" ref="D5:D36" si="0">C5</f>
        <v>0</v>
      </c>
      <c r="E5" s="56"/>
      <c r="G5" s="39" t="s">
        <v>101</v>
      </c>
      <c r="H5" s="39" t="s">
        <v>102</v>
      </c>
      <c r="I5" s="39" t="s">
        <v>103</v>
      </c>
      <c r="J5" s="39" t="s">
        <v>104</v>
      </c>
      <c r="K5" s="39"/>
      <c r="L5" s="39"/>
      <c r="M5" s="39"/>
      <c r="N5" s="39"/>
      <c r="O5" s="39"/>
      <c r="P5" s="39"/>
      <c r="Q5" s="39"/>
      <c r="R5" s="39"/>
      <c r="S5" s="39"/>
      <c r="T5" s="39"/>
      <c r="U5" s="39"/>
      <c r="V5" s="39"/>
      <c r="W5" s="39"/>
      <c r="X5" s="39"/>
      <c r="Y5" s="39"/>
      <c r="Z5" s="39"/>
      <c r="AA5" s="39"/>
      <c r="AB5" s="39"/>
      <c r="AC5" s="39"/>
      <c r="AD5" s="39"/>
      <c r="AE5" s="39"/>
      <c r="AF5" s="39"/>
      <c r="AG5" s="39"/>
      <c r="AI5" s="37" t="str">
        <f>IF(IFERROR(INDEX(#REF!,MATCH('MM01'!$B5,#REF!,0),'MM01'!AI$2),"")=0,"",IFERROR(INDEX(#REF!,MATCH('MM01'!$B5,#REF!,0),'MM01'!AI$2),""))</f>
        <v/>
      </c>
      <c r="AJ5" s="39"/>
      <c r="AK5" s="40" t="str">
        <f ca="1">IF(AJ5&lt;&gt;0,TEXT(TODAY(),"DD.MM.AAAA"),"")</f>
        <v/>
      </c>
      <c r="AL5" s="41">
        <f t="shared" ref="AL5:AL36" si="1">C5</f>
        <v>0</v>
      </c>
      <c r="AM5" s="42">
        <v>1</v>
      </c>
      <c r="AN5" s="42" t="s">
        <v>178</v>
      </c>
      <c r="AO5" s="42" t="s">
        <v>178</v>
      </c>
      <c r="AP5" s="42" t="s">
        <v>633</v>
      </c>
      <c r="AQ5" s="38">
        <v>1</v>
      </c>
      <c r="AR5" s="38" t="s">
        <v>324</v>
      </c>
      <c r="AS5" s="42" t="s">
        <v>181</v>
      </c>
      <c r="AT5" s="42" t="s">
        <v>181</v>
      </c>
      <c r="AU5" s="37" t="str">
        <f>IF(IFERROR(INDEX(#REF!,MATCH('MM01'!$B5,#REF!,0),'MM01'!AU$2),"")=0,"",IFERROR(INDEX(#REF!,MATCH('MM01'!$B5,#REF!,0),'MM01'!AU$2),""))</f>
        <v/>
      </c>
      <c r="AV5" s="50"/>
    </row>
    <row r="6" spans="1:48" x14ac:dyDescent="0.2">
      <c r="A6" s="7" t="str">
        <f t="shared" ref="A6:A54" si="2">"Execução "&amp;ROW()-4</f>
        <v>Execução 2</v>
      </c>
      <c r="B6" s="36"/>
      <c r="C6" s="57"/>
      <c r="D6" s="41">
        <f t="shared" si="0"/>
        <v>0</v>
      </c>
      <c r="E6" s="56"/>
      <c r="G6" s="39" t="s">
        <v>101</v>
      </c>
      <c r="H6" s="39" t="s">
        <v>102</v>
      </c>
      <c r="I6" s="39" t="s">
        <v>103</v>
      </c>
      <c r="J6" s="39" t="s">
        <v>104</v>
      </c>
      <c r="K6" s="39"/>
      <c r="L6" s="39"/>
      <c r="M6" s="39"/>
      <c r="N6" s="39"/>
      <c r="O6" s="39"/>
      <c r="P6" s="39"/>
      <c r="Q6" s="39"/>
      <c r="R6" s="39"/>
      <c r="S6" s="39"/>
      <c r="T6" s="39"/>
      <c r="U6" s="39"/>
      <c r="V6" s="39"/>
      <c r="W6" s="39"/>
      <c r="X6" s="39"/>
      <c r="Y6" s="39"/>
      <c r="Z6" s="39"/>
      <c r="AA6" s="39"/>
      <c r="AB6" s="39"/>
      <c r="AC6" s="39"/>
      <c r="AD6" s="39"/>
      <c r="AE6" s="39"/>
      <c r="AF6" s="39"/>
      <c r="AG6" s="39"/>
      <c r="AI6" s="37" t="str">
        <f>IF(IFERROR(INDEX(#REF!,MATCH('MM01'!$B6,#REF!,0),'MM01'!AI$2),"")=0,"",IFERROR(INDEX(#REF!,MATCH('MM01'!$B6,#REF!,0),'MM01'!AI$2),""))</f>
        <v/>
      </c>
      <c r="AJ6" s="39"/>
      <c r="AK6" s="40" t="str">
        <f t="shared" ref="AK6:AK54" ca="1" si="3">IF(AJ6&lt;&gt;0,TEXT(TODAY(),"DD.MM.AAAA"),"")</f>
        <v/>
      </c>
      <c r="AL6" s="41">
        <f t="shared" si="1"/>
        <v>0</v>
      </c>
      <c r="AM6" s="42">
        <v>1</v>
      </c>
      <c r="AN6" s="42" t="s">
        <v>178</v>
      </c>
      <c r="AO6" s="42" t="s">
        <v>178</v>
      </c>
      <c r="AP6" s="42" t="s">
        <v>633</v>
      </c>
      <c r="AQ6" s="38">
        <v>1</v>
      </c>
      <c r="AR6" s="38" t="s">
        <v>324</v>
      </c>
      <c r="AS6" s="42" t="s">
        <v>181</v>
      </c>
      <c r="AT6" s="42" t="s">
        <v>181</v>
      </c>
      <c r="AU6" s="37" t="str">
        <f>IF(IFERROR(INDEX(#REF!,MATCH('MM01'!$B6,#REF!,0),'MM01'!AU$2),"")=0,"",IFERROR(INDEX(#REF!,MATCH('MM01'!$B6,#REF!,0),'MM01'!AU$2),""))</f>
        <v/>
      </c>
      <c r="AV6" s="51"/>
    </row>
    <row r="7" spans="1:48" x14ac:dyDescent="0.2">
      <c r="A7" s="7" t="str">
        <f t="shared" si="2"/>
        <v>Execução 3</v>
      </c>
      <c r="B7" s="36"/>
      <c r="C7" s="57"/>
      <c r="D7" s="41">
        <f t="shared" si="0"/>
        <v>0</v>
      </c>
      <c r="E7" s="56"/>
      <c r="G7" s="39" t="s">
        <v>101</v>
      </c>
      <c r="H7" s="39" t="s">
        <v>102</v>
      </c>
      <c r="I7" s="39" t="s">
        <v>103</v>
      </c>
      <c r="J7" s="39" t="s">
        <v>104</v>
      </c>
      <c r="K7" s="39"/>
      <c r="L7" s="39"/>
      <c r="M7" s="39"/>
      <c r="N7" s="39"/>
      <c r="O7" s="39"/>
      <c r="P7" s="39"/>
      <c r="Q7" s="39"/>
      <c r="R7" s="39"/>
      <c r="S7" s="39"/>
      <c r="T7" s="39"/>
      <c r="U7" s="39"/>
      <c r="V7" s="39"/>
      <c r="W7" s="39"/>
      <c r="X7" s="39"/>
      <c r="Y7" s="39"/>
      <c r="Z7" s="39"/>
      <c r="AA7" s="39"/>
      <c r="AB7" s="39"/>
      <c r="AC7" s="39"/>
      <c r="AD7" s="39"/>
      <c r="AE7" s="39"/>
      <c r="AF7" s="39"/>
      <c r="AG7" s="39"/>
      <c r="AI7" s="37" t="str">
        <f>IF(IFERROR(INDEX(#REF!,MATCH('MM01'!$B7,#REF!,0),'MM01'!AI$2),"")=0,"",IFERROR(INDEX(#REF!,MATCH('MM01'!$B7,#REF!,0),'MM01'!AI$2),""))</f>
        <v/>
      </c>
      <c r="AJ7" s="39"/>
      <c r="AK7" s="40" t="str">
        <f t="shared" ca="1" si="3"/>
        <v/>
      </c>
      <c r="AL7" s="41">
        <f t="shared" si="1"/>
        <v>0</v>
      </c>
      <c r="AM7" s="42">
        <v>1</v>
      </c>
      <c r="AN7" s="42" t="s">
        <v>178</v>
      </c>
      <c r="AO7" s="42" t="s">
        <v>178</v>
      </c>
      <c r="AP7" s="42" t="s">
        <v>633</v>
      </c>
      <c r="AQ7" s="38">
        <v>1</v>
      </c>
      <c r="AR7" s="38" t="s">
        <v>324</v>
      </c>
      <c r="AS7" s="42" t="s">
        <v>181</v>
      </c>
      <c r="AT7" s="42" t="s">
        <v>181</v>
      </c>
      <c r="AU7" s="37" t="str">
        <f>IF(IFERROR(INDEX(#REF!,MATCH('MM01'!$B7,#REF!,0),'MM01'!AU$2),"")=0,"",IFERROR(INDEX(#REF!,MATCH('MM01'!$B7,#REF!,0),'MM01'!AU$2),""))</f>
        <v/>
      </c>
      <c r="AV7" s="51"/>
    </row>
    <row r="8" spans="1:48" x14ac:dyDescent="0.2">
      <c r="A8" s="7" t="str">
        <f t="shared" si="2"/>
        <v>Execução 4</v>
      </c>
      <c r="B8" s="36"/>
      <c r="C8" s="57"/>
      <c r="D8" s="41">
        <f t="shared" si="0"/>
        <v>0</v>
      </c>
      <c r="E8" s="56"/>
      <c r="G8" s="39" t="s">
        <v>101</v>
      </c>
      <c r="H8" s="39" t="s">
        <v>102</v>
      </c>
      <c r="I8" s="39" t="s">
        <v>103</v>
      </c>
      <c r="J8" s="39" t="s">
        <v>104</v>
      </c>
      <c r="K8" s="39"/>
      <c r="L8" s="39"/>
      <c r="M8" s="39"/>
      <c r="N8" s="39"/>
      <c r="O8" s="39"/>
      <c r="P8" s="39"/>
      <c r="Q8" s="39"/>
      <c r="R8" s="39"/>
      <c r="S8" s="39"/>
      <c r="T8" s="39"/>
      <c r="U8" s="39"/>
      <c r="V8" s="39"/>
      <c r="W8" s="39"/>
      <c r="X8" s="39"/>
      <c r="Y8" s="39"/>
      <c r="Z8" s="39"/>
      <c r="AA8" s="39"/>
      <c r="AB8" s="39"/>
      <c r="AC8" s="39"/>
      <c r="AD8" s="39"/>
      <c r="AE8" s="39"/>
      <c r="AF8" s="39"/>
      <c r="AG8" s="39"/>
      <c r="AI8" s="37" t="str">
        <f>IF(IFERROR(INDEX(#REF!,MATCH('MM01'!$B8,#REF!,0),'MM01'!AI$2),"")=0,"",IFERROR(INDEX(#REF!,MATCH('MM01'!$B8,#REF!,0),'MM01'!AI$2),""))</f>
        <v/>
      </c>
      <c r="AJ8" s="39"/>
      <c r="AK8" s="40" t="str">
        <f t="shared" ca="1" si="3"/>
        <v/>
      </c>
      <c r="AL8" s="41">
        <f t="shared" si="1"/>
        <v>0</v>
      </c>
      <c r="AM8" s="42">
        <v>1</v>
      </c>
      <c r="AN8" s="42" t="s">
        <v>178</v>
      </c>
      <c r="AO8" s="42" t="s">
        <v>178</v>
      </c>
      <c r="AP8" s="42" t="s">
        <v>633</v>
      </c>
      <c r="AQ8" s="38">
        <v>1</v>
      </c>
      <c r="AR8" s="38" t="s">
        <v>324</v>
      </c>
      <c r="AS8" s="42" t="s">
        <v>181</v>
      </c>
      <c r="AT8" s="42" t="s">
        <v>181</v>
      </c>
      <c r="AU8" s="37" t="str">
        <f>IF(IFERROR(INDEX(#REF!,MATCH('MM01'!$B8,#REF!,0),'MM01'!AU$2),"")=0,"",IFERROR(INDEX(#REF!,MATCH('MM01'!$B8,#REF!,0),'MM01'!AU$2),""))</f>
        <v/>
      </c>
      <c r="AV8" s="51"/>
    </row>
    <row r="9" spans="1:48" x14ac:dyDescent="0.2">
      <c r="A9" s="7" t="str">
        <f t="shared" si="2"/>
        <v>Execução 5</v>
      </c>
      <c r="B9" s="36"/>
      <c r="C9" s="57"/>
      <c r="D9" s="41">
        <f t="shared" si="0"/>
        <v>0</v>
      </c>
      <c r="E9" s="56"/>
      <c r="G9" s="39" t="s">
        <v>101</v>
      </c>
      <c r="H9" s="39" t="s">
        <v>102</v>
      </c>
      <c r="I9" s="39" t="s">
        <v>103</v>
      </c>
      <c r="J9" s="39" t="s">
        <v>104</v>
      </c>
      <c r="K9" s="39"/>
      <c r="L9" s="39"/>
      <c r="M9" s="39"/>
      <c r="N9" s="39"/>
      <c r="O9" s="39"/>
      <c r="P9" s="39"/>
      <c r="Q9" s="39"/>
      <c r="R9" s="39"/>
      <c r="S9" s="39"/>
      <c r="T9" s="39"/>
      <c r="U9" s="39"/>
      <c r="V9" s="39"/>
      <c r="W9" s="39"/>
      <c r="X9" s="39"/>
      <c r="Y9" s="39"/>
      <c r="Z9" s="39"/>
      <c r="AA9" s="39"/>
      <c r="AB9" s="39"/>
      <c r="AC9" s="39"/>
      <c r="AD9" s="39"/>
      <c r="AE9" s="39"/>
      <c r="AF9" s="39"/>
      <c r="AG9" s="39"/>
      <c r="AI9" s="37" t="str">
        <f>IF(IFERROR(INDEX(#REF!,MATCH('MM01'!$B9,#REF!,0),'MM01'!AI$2),"")=0,"",IFERROR(INDEX(#REF!,MATCH('MM01'!$B9,#REF!,0),'MM01'!AI$2),""))</f>
        <v/>
      </c>
      <c r="AJ9" s="39"/>
      <c r="AK9" s="40" t="str">
        <f t="shared" ca="1" si="3"/>
        <v/>
      </c>
      <c r="AL9" s="41">
        <f t="shared" si="1"/>
        <v>0</v>
      </c>
      <c r="AM9" s="42">
        <v>1</v>
      </c>
      <c r="AN9" s="42" t="s">
        <v>178</v>
      </c>
      <c r="AO9" s="42" t="s">
        <v>178</v>
      </c>
      <c r="AP9" s="42" t="s">
        <v>633</v>
      </c>
      <c r="AQ9" s="38">
        <v>1</v>
      </c>
      <c r="AR9" s="38" t="s">
        <v>324</v>
      </c>
      <c r="AS9" s="42" t="s">
        <v>181</v>
      </c>
      <c r="AT9" s="42" t="s">
        <v>181</v>
      </c>
      <c r="AU9" s="37" t="str">
        <f>IF(IFERROR(INDEX(#REF!,MATCH('MM01'!$B9,#REF!,0),'MM01'!AU$2),"")=0,"",IFERROR(INDEX(#REF!,MATCH('MM01'!$B9,#REF!,0),'MM01'!AU$2),""))</f>
        <v/>
      </c>
      <c r="AV9" s="51"/>
    </row>
    <row r="10" spans="1:48" x14ac:dyDescent="0.2">
      <c r="A10" s="7" t="str">
        <f t="shared" si="2"/>
        <v>Execução 6</v>
      </c>
      <c r="B10" s="36"/>
      <c r="C10" s="57"/>
      <c r="D10" s="41">
        <f t="shared" si="0"/>
        <v>0</v>
      </c>
      <c r="E10" s="56"/>
      <c r="G10" s="39" t="s">
        <v>101</v>
      </c>
      <c r="H10" s="39" t="s">
        <v>102</v>
      </c>
      <c r="I10" s="39" t="s">
        <v>103</v>
      </c>
      <c r="J10" s="39" t="s">
        <v>104</v>
      </c>
      <c r="K10" s="39"/>
      <c r="L10" s="39"/>
      <c r="M10" s="39"/>
      <c r="N10" s="39"/>
      <c r="O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  <c r="AA10" s="39"/>
      <c r="AB10" s="39"/>
      <c r="AC10" s="39"/>
      <c r="AD10" s="39"/>
      <c r="AE10" s="39"/>
      <c r="AF10" s="39"/>
      <c r="AG10" s="39"/>
      <c r="AI10" s="37" t="str">
        <f>IF(IFERROR(INDEX(#REF!,MATCH('MM01'!$B10,#REF!,0),'MM01'!AI$2),"")=0,"",IFERROR(INDEX(#REF!,MATCH('MM01'!$B10,#REF!,0),'MM01'!AI$2),""))</f>
        <v/>
      </c>
      <c r="AJ10" s="39"/>
      <c r="AK10" s="40" t="str">
        <f t="shared" ca="1" si="3"/>
        <v/>
      </c>
      <c r="AL10" s="41">
        <f t="shared" si="1"/>
        <v>0</v>
      </c>
      <c r="AM10" s="42">
        <v>1</v>
      </c>
      <c r="AN10" s="42" t="s">
        <v>178</v>
      </c>
      <c r="AO10" s="42" t="s">
        <v>178</v>
      </c>
      <c r="AP10" s="42" t="s">
        <v>633</v>
      </c>
      <c r="AQ10" s="38">
        <v>1</v>
      </c>
      <c r="AR10" s="38" t="s">
        <v>324</v>
      </c>
      <c r="AS10" s="42" t="s">
        <v>181</v>
      </c>
      <c r="AT10" s="42" t="s">
        <v>181</v>
      </c>
      <c r="AU10" s="37" t="str">
        <f>IF(IFERROR(INDEX(#REF!,MATCH('MM01'!$B10,#REF!,0),'MM01'!AU$2),"")=0,"",IFERROR(INDEX(#REF!,MATCH('MM01'!$B10,#REF!,0),'MM01'!AU$2),""))</f>
        <v/>
      </c>
      <c r="AV10" s="51"/>
    </row>
    <row r="11" spans="1:48" x14ac:dyDescent="0.2">
      <c r="A11" s="7" t="str">
        <f t="shared" si="2"/>
        <v>Execução 7</v>
      </c>
      <c r="B11" s="36"/>
      <c r="C11" s="57"/>
      <c r="D11" s="41">
        <f t="shared" si="0"/>
        <v>0</v>
      </c>
      <c r="E11" s="56"/>
      <c r="G11" s="39" t="s">
        <v>101</v>
      </c>
      <c r="H11" s="39" t="s">
        <v>102</v>
      </c>
      <c r="I11" s="39" t="s">
        <v>103</v>
      </c>
      <c r="J11" s="39" t="s">
        <v>104</v>
      </c>
      <c r="K11" s="39"/>
      <c r="L11" s="39"/>
      <c r="M11" s="39"/>
      <c r="N11" s="39"/>
      <c r="O11" s="39"/>
      <c r="P11" s="39"/>
      <c r="Q11" s="39"/>
      <c r="R11" s="39"/>
      <c r="S11" s="39"/>
      <c r="T11" s="39"/>
      <c r="U11" s="39"/>
      <c r="V11" s="39"/>
      <c r="W11" s="39"/>
      <c r="X11" s="39"/>
      <c r="Y11" s="39"/>
      <c r="Z11" s="39"/>
      <c r="AA11" s="39"/>
      <c r="AB11" s="39"/>
      <c r="AC11" s="39"/>
      <c r="AD11" s="39"/>
      <c r="AE11" s="39"/>
      <c r="AF11" s="39"/>
      <c r="AG11" s="39"/>
      <c r="AI11" s="37" t="str">
        <f>IF(IFERROR(INDEX(#REF!,MATCH('MM01'!$B11,#REF!,0),'MM01'!AI$2),"")=0,"",IFERROR(INDEX(#REF!,MATCH('MM01'!$B11,#REF!,0),'MM01'!AI$2),""))</f>
        <v/>
      </c>
      <c r="AJ11" s="39"/>
      <c r="AK11" s="40" t="str">
        <f t="shared" ca="1" si="3"/>
        <v/>
      </c>
      <c r="AL11" s="41">
        <f t="shared" si="1"/>
        <v>0</v>
      </c>
      <c r="AM11" s="42">
        <v>1</v>
      </c>
      <c r="AN11" s="42" t="s">
        <v>178</v>
      </c>
      <c r="AO11" s="42" t="s">
        <v>178</v>
      </c>
      <c r="AP11" s="42" t="s">
        <v>633</v>
      </c>
      <c r="AQ11" s="38">
        <v>1</v>
      </c>
      <c r="AR11" s="38" t="s">
        <v>324</v>
      </c>
      <c r="AS11" s="42" t="s">
        <v>181</v>
      </c>
      <c r="AT11" s="42" t="s">
        <v>181</v>
      </c>
      <c r="AU11" s="37" t="str">
        <f>IF(IFERROR(INDEX(#REF!,MATCH('MM01'!$B11,#REF!,0),'MM01'!AU$2),"")=0,"",IFERROR(INDEX(#REF!,MATCH('MM01'!$B11,#REF!,0),'MM01'!AU$2),""))</f>
        <v/>
      </c>
      <c r="AV11" s="51"/>
    </row>
    <row r="12" spans="1:48" x14ac:dyDescent="0.2">
      <c r="A12" s="7" t="str">
        <f t="shared" si="2"/>
        <v>Execução 8</v>
      </c>
      <c r="B12" s="36"/>
      <c r="C12" s="57"/>
      <c r="D12" s="41">
        <f t="shared" si="0"/>
        <v>0</v>
      </c>
      <c r="E12" s="56"/>
      <c r="G12" s="39" t="s">
        <v>101</v>
      </c>
      <c r="H12" s="39" t="s">
        <v>102</v>
      </c>
      <c r="I12" s="39" t="s">
        <v>103</v>
      </c>
      <c r="J12" s="39" t="s">
        <v>104</v>
      </c>
      <c r="K12" s="39"/>
      <c r="L12" s="39"/>
      <c r="M12" s="39"/>
      <c r="N12" s="39"/>
      <c r="O12" s="39"/>
      <c r="P12" s="39"/>
      <c r="Q12" s="39"/>
      <c r="R12" s="39"/>
      <c r="S12" s="39"/>
      <c r="T12" s="39"/>
      <c r="U12" s="39"/>
      <c r="V12" s="39"/>
      <c r="W12" s="39"/>
      <c r="X12" s="39"/>
      <c r="Y12" s="39"/>
      <c r="Z12" s="39"/>
      <c r="AA12" s="39"/>
      <c r="AB12" s="39"/>
      <c r="AC12" s="39"/>
      <c r="AD12" s="39"/>
      <c r="AE12" s="39"/>
      <c r="AF12" s="39"/>
      <c r="AG12" s="39"/>
      <c r="AI12" s="37" t="str">
        <f>IF(IFERROR(INDEX(#REF!,MATCH('MM01'!$B12,#REF!,0),'MM01'!AI$2),"")=0,"",IFERROR(INDEX(#REF!,MATCH('MM01'!$B12,#REF!,0),'MM01'!AI$2),""))</f>
        <v/>
      </c>
      <c r="AJ12" s="39"/>
      <c r="AK12" s="40" t="str">
        <f t="shared" ca="1" si="3"/>
        <v/>
      </c>
      <c r="AL12" s="41">
        <f t="shared" si="1"/>
        <v>0</v>
      </c>
      <c r="AM12" s="42">
        <v>1</v>
      </c>
      <c r="AN12" s="42" t="s">
        <v>178</v>
      </c>
      <c r="AO12" s="42" t="s">
        <v>178</v>
      </c>
      <c r="AP12" s="42" t="s">
        <v>633</v>
      </c>
      <c r="AQ12" s="38">
        <v>1</v>
      </c>
      <c r="AR12" s="38" t="s">
        <v>324</v>
      </c>
      <c r="AS12" s="42" t="s">
        <v>181</v>
      </c>
      <c r="AT12" s="42" t="s">
        <v>181</v>
      </c>
      <c r="AU12" s="37" t="str">
        <f>IF(IFERROR(INDEX(#REF!,MATCH('MM01'!$B12,#REF!,0),'MM01'!AU$2),"")=0,"",IFERROR(INDEX(#REF!,MATCH('MM01'!$B12,#REF!,0),'MM01'!AU$2),""))</f>
        <v/>
      </c>
      <c r="AV12" s="51"/>
    </row>
    <row r="13" spans="1:48" x14ac:dyDescent="0.2">
      <c r="A13" s="7" t="str">
        <f t="shared" si="2"/>
        <v>Execução 9</v>
      </c>
      <c r="B13" s="36"/>
      <c r="C13" s="57"/>
      <c r="D13" s="41">
        <f t="shared" si="0"/>
        <v>0</v>
      </c>
      <c r="E13" s="56"/>
      <c r="G13" s="39" t="s">
        <v>101</v>
      </c>
      <c r="H13" s="39" t="s">
        <v>102</v>
      </c>
      <c r="I13" s="39" t="s">
        <v>103</v>
      </c>
      <c r="J13" s="39" t="s">
        <v>104</v>
      </c>
      <c r="K13" s="39"/>
      <c r="L13" s="39"/>
      <c r="M13" s="39"/>
      <c r="N13" s="39"/>
      <c r="O13" s="39"/>
      <c r="P13" s="39"/>
      <c r="Q13" s="39"/>
      <c r="R13" s="39"/>
      <c r="S13" s="39"/>
      <c r="T13" s="39"/>
      <c r="U13" s="39"/>
      <c r="V13" s="39"/>
      <c r="W13" s="39"/>
      <c r="X13" s="39"/>
      <c r="Y13" s="39"/>
      <c r="Z13" s="39"/>
      <c r="AA13" s="39"/>
      <c r="AB13" s="39"/>
      <c r="AC13" s="39"/>
      <c r="AD13" s="39"/>
      <c r="AE13" s="39"/>
      <c r="AF13" s="39"/>
      <c r="AG13" s="39"/>
      <c r="AI13" s="37" t="str">
        <f>IF(IFERROR(INDEX(#REF!,MATCH('MM01'!$B13,#REF!,0),'MM01'!AI$2),"")=0,"",IFERROR(INDEX(#REF!,MATCH('MM01'!$B13,#REF!,0),'MM01'!AI$2),""))</f>
        <v/>
      </c>
      <c r="AJ13" s="39"/>
      <c r="AK13" s="40" t="str">
        <f t="shared" ca="1" si="3"/>
        <v/>
      </c>
      <c r="AL13" s="41">
        <f t="shared" si="1"/>
        <v>0</v>
      </c>
      <c r="AM13" s="42">
        <v>1</v>
      </c>
      <c r="AN13" s="42" t="s">
        <v>178</v>
      </c>
      <c r="AO13" s="42" t="s">
        <v>178</v>
      </c>
      <c r="AP13" s="42" t="s">
        <v>633</v>
      </c>
      <c r="AQ13" s="38">
        <v>1</v>
      </c>
      <c r="AR13" s="38" t="s">
        <v>324</v>
      </c>
      <c r="AS13" s="42" t="s">
        <v>181</v>
      </c>
      <c r="AT13" s="42" t="s">
        <v>181</v>
      </c>
      <c r="AU13" s="37" t="str">
        <f>IF(IFERROR(INDEX(#REF!,MATCH('MM01'!$B13,#REF!,0),'MM01'!AU$2),"")=0,"",IFERROR(INDEX(#REF!,MATCH('MM01'!$B13,#REF!,0),'MM01'!AU$2),""))</f>
        <v/>
      </c>
      <c r="AV13" s="51"/>
    </row>
    <row r="14" spans="1:48" x14ac:dyDescent="0.2">
      <c r="A14" s="7" t="str">
        <f t="shared" si="2"/>
        <v>Execução 10</v>
      </c>
      <c r="B14" s="36"/>
      <c r="C14" s="57"/>
      <c r="D14" s="41">
        <f t="shared" si="0"/>
        <v>0</v>
      </c>
      <c r="E14" s="56"/>
      <c r="G14" s="39" t="s">
        <v>101</v>
      </c>
      <c r="H14" s="39" t="s">
        <v>102</v>
      </c>
      <c r="I14" s="39" t="s">
        <v>103</v>
      </c>
      <c r="J14" s="39" t="s">
        <v>104</v>
      </c>
      <c r="K14" s="39"/>
      <c r="L14" s="39"/>
      <c r="M14" s="39"/>
      <c r="N14" s="39"/>
      <c r="O14" s="39"/>
      <c r="P14" s="39"/>
      <c r="Q14" s="39"/>
      <c r="R14" s="39"/>
      <c r="S14" s="39"/>
      <c r="T14" s="39"/>
      <c r="U14" s="39"/>
      <c r="V14" s="39"/>
      <c r="W14" s="39"/>
      <c r="X14" s="39"/>
      <c r="Y14" s="39"/>
      <c r="Z14" s="39"/>
      <c r="AA14" s="39"/>
      <c r="AB14" s="39"/>
      <c r="AC14" s="39"/>
      <c r="AD14" s="39"/>
      <c r="AE14" s="39"/>
      <c r="AF14" s="39"/>
      <c r="AG14" s="39"/>
      <c r="AI14" s="37" t="str">
        <f>IF(IFERROR(INDEX(#REF!,MATCH('MM01'!$B14,#REF!,0),'MM01'!AI$2),"")=0,"",IFERROR(INDEX(#REF!,MATCH('MM01'!$B14,#REF!,0),'MM01'!AI$2),""))</f>
        <v/>
      </c>
      <c r="AJ14" s="39"/>
      <c r="AK14" s="40" t="str">
        <f t="shared" ca="1" si="3"/>
        <v/>
      </c>
      <c r="AL14" s="41">
        <f t="shared" si="1"/>
        <v>0</v>
      </c>
      <c r="AM14" s="42">
        <v>1</v>
      </c>
      <c r="AN14" s="42" t="s">
        <v>178</v>
      </c>
      <c r="AO14" s="42" t="s">
        <v>178</v>
      </c>
      <c r="AP14" s="42" t="s">
        <v>633</v>
      </c>
      <c r="AQ14" s="38">
        <v>1</v>
      </c>
      <c r="AR14" s="38" t="s">
        <v>324</v>
      </c>
      <c r="AS14" s="42" t="s">
        <v>181</v>
      </c>
      <c r="AT14" s="42" t="s">
        <v>181</v>
      </c>
      <c r="AU14" s="37" t="str">
        <f>IF(IFERROR(INDEX(#REF!,MATCH('MM01'!$B14,#REF!,0),'MM01'!AU$2),"")=0,"",IFERROR(INDEX(#REF!,MATCH('MM01'!$B14,#REF!,0),'MM01'!AU$2),""))</f>
        <v/>
      </c>
      <c r="AV14" s="51"/>
    </row>
    <row r="15" spans="1:48" x14ac:dyDescent="0.2">
      <c r="A15" s="7" t="str">
        <f t="shared" si="2"/>
        <v>Execução 11</v>
      </c>
      <c r="B15" s="36"/>
      <c r="C15" s="57"/>
      <c r="D15" s="41">
        <f t="shared" si="0"/>
        <v>0</v>
      </c>
      <c r="E15" s="56"/>
      <c r="G15" s="39" t="s">
        <v>101</v>
      </c>
      <c r="H15" s="39" t="s">
        <v>102</v>
      </c>
      <c r="I15" s="39" t="s">
        <v>103</v>
      </c>
      <c r="J15" s="39" t="s">
        <v>104</v>
      </c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39"/>
      <c r="Y15" s="39"/>
      <c r="Z15" s="39"/>
      <c r="AA15" s="39"/>
      <c r="AB15" s="39"/>
      <c r="AC15" s="39"/>
      <c r="AD15" s="39"/>
      <c r="AE15" s="39"/>
      <c r="AF15" s="39"/>
      <c r="AG15" s="39"/>
      <c r="AI15" s="37" t="str">
        <f>IF(IFERROR(INDEX(#REF!,MATCH('MM01'!$B15,#REF!,0),'MM01'!AI$2),"")=0,"",IFERROR(INDEX(#REF!,MATCH('MM01'!$B15,#REF!,0),'MM01'!AI$2),""))</f>
        <v/>
      </c>
      <c r="AJ15" s="39"/>
      <c r="AK15" s="40" t="str">
        <f t="shared" ca="1" si="3"/>
        <v/>
      </c>
      <c r="AL15" s="41">
        <f t="shared" si="1"/>
        <v>0</v>
      </c>
      <c r="AM15" s="42">
        <v>1</v>
      </c>
      <c r="AN15" s="42" t="s">
        <v>178</v>
      </c>
      <c r="AO15" s="42" t="s">
        <v>178</v>
      </c>
      <c r="AP15" s="42" t="s">
        <v>633</v>
      </c>
      <c r="AQ15" s="38">
        <v>1</v>
      </c>
      <c r="AR15" s="38" t="s">
        <v>324</v>
      </c>
      <c r="AS15" s="42" t="s">
        <v>181</v>
      </c>
      <c r="AT15" s="42" t="s">
        <v>181</v>
      </c>
      <c r="AU15" s="37" t="str">
        <f>IF(IFERROR(INDEX(#REF!,MATCH('MM01'!$B15,#REF!,0),'MM01'!AU$2),"")=0,"",IFERROR(INDEX(#REF!,MATCH('MM01'!$B15,#REF!,0),'MM01'!AU$2),""))</f>
        <v/>
      </c>
      <c r="AV15" s="51"/>
    </row>
    <row r="16" spans="1:48" x14ac:dyDescent="0.2">
      <c r="A16" s="7" t="str">
        <f t="shared" si="2"/>
        <v>Execução 12</v>
      </c>
      <c r="B16" s="36"/>
      <c r="C16" s="57"/>
      <c r="D16" s="41">
        <f t="shared" si="0"/>
        <v>0</v>
      </c>
      <c r="E16" s="56"/>
      <c r="G16" s="39" t="s">
        <v>101</v>
      </c>
      <c r="H16" s="39" t="s">
        <v>102</v>
      </c>
      <c r="I16" s="39" t="s">
        <v>103</v>
      </c>
      <c r="J16" s="39" t="s">
        <v>104</v>
      </c>
      <c r="K16" s="39"/>
      <c r="L16" s="39"/>
      <c r="M16" s="39"/>
      <c r="N16" s="39"/>
      <c r="O16" s="39"/>
      <c r="P16" s="39"/>
      <c r="Q16" s="39"/>
      <c r="R16" s="39"/>
      <c r="S16" s="39"/>
      <c r="T16" s="39"/>
      <c r="U16" s="39"/>
      <c r="V16" s="39"/>
      <c r="W16" s="39"/>
      <c r="X16" s="39"/>
      <c r="Y16" s="39"/>
      <c r="Z16" s="39"/>
      <c r="AA16" s="39"/>
      <c r="AB16" s="39"/>
      <c r="AC16" s="39"/>
      <c r="AD16" s="39"/>
      <c r="AE16" s="39"/>
      <c r="AF16" s="39"/>
      <c r="AG16" s="39"/>
      <c r="AI16" s="37" t="str">
        <f>IF(IFERROR(INDEX(#REF!,MATCH('MM01'!$B16,#REF!,0),'MM01'!AI$2),"")=0,"",IFERROR(INDEX(#REF!,MATCH('MM01'!$B16,#REF!,0),'MM01'!AI$2),""))</f>
        <v/>
      </c>
      <c r="AJ16" s="39"/>
      <c r="AK16" s="40" t="str">
        <f t="shared" ca="1" si="3"/>
        <v/>
      </c>
      <c r="AL16" s="41">
        <f t="shared" si="1"/>
        <v>0</v>
      </c>
      <c r="AM16" s="42">
        <v>1</v>
      </c>
      <c r="AN16" s="42" t="s">
        <v>178</v>
      </c>
      <c r="AO16" s="42" t="s">
        <v>178</v>
      </c>
      <c r="AP16" s="42" t="s">
        <v>633</v>
      </c>
      <c r="AQ16" s="38">
        <v>1</v>
      </c>
      <c r="AR16" s="38" t="s">
        <v>324</v>
      </c>
      <c r="AS16" s="42" t="s">
        <v>181</v>
      </c>
      <c r="AT16" s="42" t="s">
        <v>181</v>
      </c>
      <c r="AU16" s="37" t="str">
        <f>IF(IFERROR(INDEX(#REF!,MATCH('MM01'!$B16,#REF!,0),'MM01'!AU$2),"")=0,"",IFERROR(INDEX(#REF!,MATCH('MM01'!$B16,#REF!,0),'MM01'!AU$2),""))</f>
        <v/>
      </c>
      <c r="AV16" s="51"/>
    </row>
    <row r="17" spans="1:48" x14ac:dyDescent="0.2">
      <c r="A17" s="7" t="str">
        <f t="shared" si="2"/>
        <v>Execução 13</v>
      </c>
      <c r="B17" s="36"/>
      <c r="C17" s="57"/>
      <c r="D17" s="41">
        <f t="shared" si="0"/>
        <v>0</v>
      </c>
      <c r="E17" s="56"/>
      <c r="G17" s="39" t="s">
        <v>101</v>
      </c>
      <c r="H17" s="39" t="s">
        <v>102</v>
      </c>
      <c r="I17" s="39" t="s">
        <v>103</v>
      </c>
      <c r="J17" s="39" t="s">
        <v>104</v>
      </c>
      <c r="K17" s="39"/>
      <c r="L17" s="39"/>
      <c r="M17" s="39"/>
      <c r="N17" s="39"/>
      <c r="O17" s="39"/>
      <c r="P17" s="39"/>
      <c r="Q17" s="39"/>
      <c r="R17" s="39"/>
      <c r="S17" s="39"/>
      <c r="T17" s="39"/>
      <c r="U17" s="39"/>
      <c r="V17" s="39"/>
      <c r="W17" s="39"/>
      <c r="X17" s="39"/>
      <c r="Y17" s="39"/>
      <c r="Z17" s="39"/>
      <c r="AA17" s="39"/>
      <c r="AB17" s="39"/>
      <c r="AC17" s="39"/>
      <c r="AD17" s="39"/>
      <c r="AE17" s="39"/>
      <c r="AF17" s="39"/>
      <c r="AG17" s="39"/>
      <c r="AI17" s="37" t="str">
        <f>IF(IFERROR(INDEX(#REF!,MATCH('MM01'!$B17,#REF!,0),'MM01'!AI$2),"")=0,"",IFERROR(INDEX(#REF!,MATCH('MM01'!$B17,#REF!,0),'MM01'!AI$2),""))</f>
        <v/>
      </c>
      <c r="AJ17" s="39"/>
      <c r="AK17" s="40" t="str">
        <f t="shared" ca="1" si="3"/>
        <v/>
      </c>
      <c r="AL17" s="41">
        <f t="shared" si="1"/>
        <v>0</v>
      </c>
      <c r="AM17" s="42">
        <v>1</v>
      </c>
      <c r="AN17" s="42" t="s">
        <v>178</v>
      </c>
      <c r="AO17" s="42" t="s">
        <v>178</v>
      </c>
      <c r="AP17" s="42" t="s">
        <v>633</v>
      </c>
      <c r="AQ17" s="38">
        <v>1</v>
      </c>
      <c r="AR17" s="38" t="s">
        <v>324</v>
      </c>
      <c r="AS17" s="42" t="s">
        <v>181</v>
      </c>
      <c r="AT17" s="42" t="s">
        <v>181</v>
      </c>
      <c r="AU17" s="37" t="str">
        <f>IF(IFERROR(INDEX(#REF!,MATCH('MM01'!$B17,#REF!,0),'MM01'!AU$2),"")=0,"",IFERROR(INDEX(#REF!,MATCH('MM01'!$B17,#REF!,0),'MM01'!AU$2),""))</f>
        <v/>
      </c>
      <c r="AV17" s="51"/>
    </row>
    <row r="18" spans="1:48" x14ac:dyDescent="0.2">
      <c r="A18" s="7" t="str">
        <f t="shared" si="2"/>
        <v>Execução 14</v>
      </c>
      <c r="B18" s="36"/>
      <c r="C18" s="57"/>
      <c r="D18" s="41">
        <f t="shared" si="0"/>
        <v>0</v>
      </c>
      <c r="E18" s="56"/>
      <c r="G18" s="39" t="s">
        <v>101</v>
      </c>
      <c r="H18" s="39" t="s">
        <v>102</v>
      </c>
      <c r="I18" s="39" t="s">
        <v>103</v>
      </c>
      <c r="J18" s="39" t="s">
        <v>104</v>
      </c>
      <c r="K18" s="39"/>
      <c r="L18" s="39"/>
      <c r="M18" s="39"/>
      <c r="N18" s="39"/>
      <c r="O18" s="39"/>
      <c r="P18" s="39"/>
      <c r="Q18" s="39"/>
      <c r="R18" s="39"/>
      <c r="S18" s="39"/>
      <c r="T18" s="39"/>
      <c r="U18" s="39"/>
      <c r="V18" s="39"/>
      <c r="W18" s="39"/>
      <c r="X18" s="39"/>
      <c r="Y18" s="39"/>
      <c r="Z18" s="39"/>
      <c r="AA18" s="39"/>
      <c r="AB18" s="39"/>
      <c r="AC18" s="39"/>
      <c r="AD18" s="39"/>
      <c r="AE18" s="39"/>
      <c r="AF18" s="39"/>
      <c r="AG18" s="39"/>
      <c r="AI18" s="37" t="str">
        <f>IF(IFERROR(INDEX(#REF!,MATCH('MM01'!$B18,#REF!,0),'MM01'!AI$2),"")=0,"",IFERROR(INDEX(#REF!,MATCH('MM01'!$B18,#REF!,0),'MM01'!AI$2),""))</f>
        <v/>
      </c>
      <c r="AJ18" s="39"/>
      <c r="AK18" s="40" t="str">
        <f t="shared" ca="1" si="3"/>
        <v/>
      </c>
      <c r="AL18" s="41">
        <f t="shared" si="1"/>
        <v>0</v>
      </c>
      <c r="AM18" s="42">
        <v>1</v>
      </c>
      <c r="AN18" s="42" t="s">
        <v>178</v>
      </c>
      <c r="AO18" s="42" t="s">
        <v>178</v>
      </c>
      <c r="AP18" s="42" t="s">
        <v>633</v>
      </c>
      <c r="AQ18" s="38">
        <v>1</v>
      </c>
      <c r="AR18" s="38" t="s">
        <v>324</v>
      </c>
      <c r="AS18" s="42" t="s">
        <v>181</v>
      </c>
      <c r="AT18" s="42" t="s">
        <v>181</v>
      </c>
      <c r="AU18" s="37" t="str">
        <f>IF(IFERROR(INDEX(#REF!,MATCH('MM01'!$B18,#REF!,0),'MM01'!AU$2),"")=0,"",IFERROR(INDEX(#REF!,MATCH('MM01'!$B18,#REF!,0),'MM01'!AU$2),""))</f>
        <v/>
      </c>
      <c r="AV18" s="51"/>
    </row>
    <row r="19" spans="1:48" x14ac:dyDescent="0.2">
      <c r="A19" s="7" t="str">
        <f t="shared" si="2"/>
        <v>Execução 15</v>
      </c>
      <c r="B19" s="36"/>
      <c r="C19" s="57"/>
      <c r="D19" s="41">
        <f t="shared" si="0"/>
        <v>0</v>
      </c>
      <c r="E19" s="56"/>
      <c r="G19" s="39" t="s">
        <v>101</v>
      </c>
      <c r="H19" s="39" t="s">
        <v>102</v>
      </c>
      <c r="I19" s="39" t="s">
        <v>103</v>
      </c>
      <c r="J19" s="39" t="s">
        <v>104</v>
      </c>
      <c r="K19" s="39"/>
      <c r="L19" s="39"/>
      <c r="M19" s="39"/>
      <c r="N19" s="39"/>
      <c r="O19" s="39"/>
      <c r="P19" s="39"/>
      <c r="Q19" s="39"/>
      <c r="R19" s="39"/>
      <c r="S19" s="39"/>
      <c r="T19" s="39"/>
      <c r="U19" s="39"/>
      <c r="V19" s="39"/>
      <c r="W19" s="39"/>
      <c r="X19" s="39"/>
      <c r="Y19" s="39"/>
      <c r="Z19" s="39"/>
      <c r="AA19" s="39"/>
      <c r="AB19" s="39"/>
      <c r="AC19" s="39"/>
      <c r="AD19" s="39"/>
      <c r="AE19" s="39"/>
      <c r="AF19" s="39"/>
      <c r="AG19" s="39"/>
      <c r="AI19" s="37" t="str">
        <f>IF(IFERROR(INDEX(#REF!,MATCH('MM01'!$B19,#REF!,0),'MM01'!AI$2),"")=0,"",IFERROR(INDEX(#REF!,MATCH('MM01'!$B19,#REF!,0),'MM01'!AI$2),""))</f>
        <v/>
      </c>
      <c r="AJ19" s="39"/>
      <c r="AK19" s="40" t="str">
        <f t="shared" ca="1" si="3"/>
        <v/>
      </c>
      <c r="AL19" s="41">
        <f t="shared" si="1"/>
        <v>0</v>
      </c>
      <c r="AM19" s="42">
        <v>1</v>
      </c>
      <c r="AN19" s="42" t="s">
        <v>178</v>
      </c>
      <c r="AO19" s="42" t="s">
        <v>178</v>
      </c>
      <c r="AP19" s="42" t="s">
        <v>633</v>
      </c>
      <c r="AQ19" s="38">
        <v>1</v>
      </c>
      <c r="AR19" s="38" t="s">
        <v>324</v>
      </c>
      <c r="AS19" s="42" t="s">
        <v>181</v>
      </c>
      <c r="AT19" s="42" t="s">
        <v>181</v>
      </c>
      <c r="AU19" s="37" t="str">
        <f>IF(IFERROR(INDEX(#REF!,MATCH('MM01'!$B19,#REF!,0),'MM01'!AU$2),"")=0,"",IFERROR(INDEX(#REF!,MATCH('MM01'!$B19,#REF!,0),'MM01'!AU$2),""))</f>
        <v/>
      </c>
      <c r="AV19" s="51"/>
    </row>
    <row r="20" spans="1:48" x14ac:dyDescent="0.2">
      <c r="A20" s="7" t="str">
        <f t="shared" si="2"/>
        <v>Execução 16</v>
      </c>
      <c r="B20" s="36"/>
      <c r="C20" s="57"/>
      <c r="D20" s="41">
        <f t="shared" si="0"/>
        <v>0</v>
      </c>
      <c r="E20" s="56"/>
      <c r="G20" s="39" t="s">
        <v>101</v>
      </c>
      <c r="H20" s="39" t="s">
        <v>102</v>
      </c>
      <c r="I20" s="39" t="s">
        <v>103</v>
      </c>
      <c r="J20" s="39" t="s">
        <v>104</v>
      </c>
      <c r="K20" s="39"/>
      <c r="L20" s="39"/>
      <c r="M20" s="39"/>
      <c r="N20" s="39"/>
      <c r="O20" s="39"/>
      <c r="P20" s="39"/>
      <c r="Q20" s="39"/>
      <c r="R20" s="39"/>
      <c r="S20" s="39"/>
      <c r="T20" s="39"/>
      <c r="U20" s="39"/>
      <c r="V20" s="39"/>
      <c r="W20" s="39"/>
      <c r="X20" s="39"/>
      <c r="Y20" s="39"/>
      <c r="Z20" s="39"/>
      <c r="AA20" s="39"/>
      <c r="AB20" s="39"/>
      <c r="AC20" s="39"/>
      <c r="AD20" s="39"/>
      <c r="AE20" s="39"/>
      <c r="AF20" s="39"/>
      <c r="AG20" s="39"/>
      <c r="AI20" s="37" t="str">
        <f>IF(IFERROR(INDEX(#REF!,MATCH('MM01'!$B20,#REF!,0),'MM01'!AI$2),"")=0,"",IFERROR(INDEX(#REF!,MATCH('MM01'!$B20,#REF!,0),'MM01'!AI$2),""))</f>
        <v/>
      </c>
      <c r="AJ20" s="39"/>
      <c r="AK20" s="40" t="str">
        <f t="shared" ca="1" si="3"/>
        <v/>
      </c>
      <c r="AL20" s="41">
        <f t="shared" si="1"/>
        <v>0</v>
      </c>
      <c r="AM20" s="42">
        <v>1</v>
      </c>
      <c r="AN20" s="42" t="s">
        <v>178</v>
      </c>
      <c r="AO20" s="42" t="s">
        <v>178</v>
      </c>
      <c r="AP20" s="42" t="s">
        <v>633</v>
      </c>
      <c r="AQ20" s="38">
        <v>1</v>
      </c>
      <c r="AR20" s="38" t="s">
        <v>324</v>
      </c>
      <c r="AS20" s="42" t="s">
        <v>181</v>
      </c>
      <c r="AT20" s="42" t="s">
        <v>181</v>
      </c>
      <c r="AU20" s="37" t="str">
        <f>IF(IFERROR(INDEX(#REF!,MATCH('MM01'!$B20,#REF!,0),'MM01'!AU$2),"")=0,"",IFERROR(INDEX(#REF!,MATCH('MM01'!$B20,#REF!,0),'MM01'!AU$2),""))</f>
        <v/>
      </c>
      <c r="AV20" s="51"/>
    </row>
    <row r="21" spans="1:48" x14ac:dyDescent="0.2">
      <c r="A21" s="7" t="str">
        <f t="shared" si="2"/>
        <v>Execução 17</v>
      </c>
      <c r="B21" s="36"/>
      <c r="C21" s="57"/>
      <c r="D21" s="41">
        <f t="shared" si="0"/>
        <v>0</v>
      </c>
      <c r="E21" s="56"/>
      <c r="G21" s="39" t="s">
        <v>101</v>
      </c>
      <c r="H21" s="39" t="s">
        <v>102</v>
      </c>
      <c r="I21" s="39" t="s">
        <v>103</v>
      </c>
      <c r="J21" s="39" t="s">
        <v>104</v>
      </c>
      <c r="K21" s="39"/>
      <c r="L21" s="39"/>
      <c r="M21" s="39"/>
      <c r="N21" s="39"/>
      <c r="O21" s="39"/>
      <c r="P21" s="39"/>
      <c r="Q21" s="39"/>
      <c r="R21" s="39"/>
      <c r="S21" s="39"/>
      <c r="T21" s="39"/>
      <c r="U21" s="39"/>
      <c r="V21" s="39"/>
      <c r="W21" s="39"/>
      <c r="X21" s="39"/>
      <c r="Y21" s="39"/>
      <c r="Z21" s="39"/>
      <c r="AA21" s="39"/>
      <c r="AB21" s="39"/>
      <c r="AC21" s="39"/>
      <c r="AD21" s="39"/>
      <c r="AE21" s="39"/>
      <c r="AF21" s="39"/>
      <c r="AG21" s="39"/>
      <c r="AI21" s="37" t="str">
        <f>IF(IFERROR(INDEX(#REF!,MATCH('MM01'!$B21,#REF!,0),'MM01'!AI$2),"")=0,"",IFERROR(INDEX(#REF!,MATCH('MM01'!$B21,#REF!,0),'MM01'!AI$2),""))</f>
        <v/>
      </c>
      <c r="AJ21" s="39"/>
      <c r="AK21" s="40" t="str">
        <f t="shared" ca="1" si="3"/>
        <v/>
      </c>
      <c r="AL21" s="41">
        <f t="shared" si="1"/>
        <v>0</v>
      </c>
      <c r="AM21" s="42">
        <v>1</v>
      </c>
      <c r="AN21" s="42" t="s">
        <v>178</v>
      </c>
      <c r="AO21" s="42" t="s">
        <v>178</v>
      </c>
      <c r="AP21" s="42" t="s">
        <v>633</v>
      </c>
      <c r="AQ21" s="38">
        <v>1</v>
      </c>
      <c r="AR21" s="38" t="s">
        <v>324</v>
      </c>
      <c r="AS21" s="42" t="s">
        <v>181</v>
      </c>
      <c r="AT21" s="42" t="s">
        <v>181</v>
      </c>
      <c r="AU21" s="37" t="str">
        <f>IF(IFERROR(INDEX(#REF!,MATCH('MM01'!$B21,#REF!,0),'MM01'!AU$2),"")=0,"",IFERROR(INDEX(#REF!,MATCH('MM01'!$B21,#REF!,0),'MM01'!AU$2),""))</f>
        <v/>
      </c>
      <c r="AV21" s="51"/>
    </row>
    <row r="22" spans="1:48" x14ac:dyDescent="0.2">
      <c r="A22" s="7" t="str">
        <f t="shared" si="2"/>
        <v>Execução 18</v>
      </c>
      <c r="B22" s="36"/>
      <c r="C22" s="57"/>
      <c r="D22" s="41">
        <f t="shared" si="0"/>
        <v>0</v>
      </c>
      <c r="E22" s="56"/>
      <c r="G22" s="39" t="s">
        <v>101</v>
      </c>
      <c r="H22" s="39" t="s">
        <v>102</v>
      </c>
      <c r="I22" s="39" t="s">
        <v>103</v>
      </c>
      <c r="J22" s="39" t="s">
        <v>104</v>
      </c>
      <c r="K22" s="39"/>
      <c r="L22" s="39"/>
      <c r="M22" s="39"/>
      <c r="N22" s="39"/>
      <c r="O22" s="39"/>
      <c r="P22" s="39"/>
      <c r="Q22" s="39"/>
      <c r="R22" s="39"/>
      <c r="S22" s="39"/>
      <c r="T22" s="39"/>
      <c r="U22" s="39"/>
      <c r="V22" s="39"/>
      <c r="W22" s="39"/>
      <c r="X22" s="39"/>
      <c r="Y22" s="39"/>
      <c r="Z22" s="39"/>
      <c r="AA22" s="39"/>
      <c r="AB22" s="39"/>
      <c r="AC22" s="39"/>
      <c r="AD22" s="39"/>
      <c r="AE22" s="39"/>
      <c r="AF22" s="39"/>
      <c r="AG22" s="39"/>
      <c r="AI22" s="37" t="str">
        <f>IF(IFERROR(INDEX(#REF!,MATCH('MM01'!$B22,#REF!,0),'MM01'!AI$2),"")=0,"",IFERROR(INDEX(#REF!,MATCH('MM01'!$B22,#REF!,0),'MM01'!AI$2),""))</f>
        <v/>
      </c>
      <c r="AJ22" s="39"/>
      <c r="AK22" s="40" t="str">
        <f t="shared" ca="1" si="3"/>
        <v/>
      </c>
      <c r="AL22" s="41">
        <f t="shared" si="1"/>
        <v>0</v>
      </c>
      <c r="AM22" s="42">
        <v>1</v>
      </c>
      <c r="AN22" s="42" t="s">
        <v>178</v>
      </c>
      <c r="AO22" s="42" t="s">
        <v>178</v>
      </c>
      <c r="AP22" s="42" t="s">
        <v>633</v>
      </c>
      <c r="AQ22" s="38">
        <v>1</v>
      </c>
      <c r="AR22" s="38" t="s">
        <v>324</v>
      </c>
      <c r="AS22" s="42" t="s">
        <v>181</v>
      </c>
      <c r="AT22" s="42" t="s">
        <v>181</v>
      </c>
      <c r="AU22" s="37" t="str">
        <f>IF(IFERROR(INDEX(#REF!,MATCH('MM01'!$B22,#REF!,0),'MM01'!AU$2),"")=0,"",IFERROR(INDEX(#REF!,MATCH('MM01'!$B22,#REF!,0),'MM01'!AU$2),""))</f>
        <v/>
      </c>
      <c r="AV22" s="51"/>
    </row>
    <row r="23" spans="1:48" x14ac:dyDescent="0.2">
      <c r="A23" s="7" t="str">
        <f t="shared" si="2"/>
        <v>Execução 19</v>
      </c>
      <c r="B23" s="36"/>
      <c r="C23" s="57"/>
      <c r="D23" s="41">
        <f t="shared" si="0"/>
        <v>0</v>
      </c>
      <c r="E23" s="56"/>
      <c r="G23" s="39" t="s">
        <v>101</v>
      </c>
      <c r="H23" s="39" t="s">
        <v>102</v>
      </c>
      <c r="I23" s="39" t="s">
        <v>103</v>
      </c>
      <c r="J23" s="39" t="s">
        <v>104</v>
      </c>
      <c r="K23" s="39"/>
      <c r="L23" s="39"/>
      <c r="M23" s="39"/>
      <c r="N23" s="39"/>
      <c r="O23" s="39"/>
      <c r="P23" s="39"/>
      <c r="Q23" s="39"/>
      <c r="R23" s="39"/>
      <c r="S23" s="39"/>
      <c r="T23" s="39"/>
      <c r="U23" s="39"/>
      <c r="V23" s="39"/>
      <c r="W23" s="39"/>
      <c r="X23" s="39"/>
      <c r="Y23" s="39"/>
      <c r="Z23" s="39"/>
      <c r="AA23" s="39"/>
      <c r="AB23" s="39"/>
      <c r="AC23" s="39"/>
      <c r="AD23" s="39"/>
      <c r="AE23" s="39"/>
      <c r="AF23" s="39"/>
      <c r="AG23" s="39"/>
      <c r="AI23" s="37" t="str">
        <f>IF(IFERROR(INDEX(#REF!,MATCH('MM01'!$B23,#REF!,0),'MM01'!AI$2),"")=0,"",IFERROR(INDEX(#REF!,MATCH('MM01'!$B23,#REF!,0),'MM01'!AI$2),""))</f>
        <v/>
      </c>
      <c r="AJ23" s="39"/>
      <c r="AK23" s="40" t="str">
        <f t="shared" ca="1" si="3"/>
        <v/>
      </c>
      <c r="AL23" s="41">
        <f t="shared" si="1"/>
        <v>0</v>
      </c>
      <c r="AM23" s="42">
        <v>1</v>
      </c>
      <c r="AN23" s="42" t="s">
        <v>178</v>
      </c>
      <c r="AO23" s="42" t="s">
        <v>178</v>
      </c>
      <c r="AP23" s="42" t="s">
        <v>633</v>
      </c>
      <c r="AQ23" s="38">
        <v>1</v>
      </c>
      <c r="AR23" s="38" t="s">
        <v>324</v>
      </c>
      <c r="AS23" s="42" t="s">
        <v>181</v>
      </c>
      <c r="AT23" s="42" t="s">
        <v>181</v>
      </c>
      <c r="AU23" s="37" t="str">
        <f>IF(IFERROR(INDEX(#REF!,MATCH('MM01'!$B23,#REF!,0),'MM01'!AU$2),"")=0,"",IFERROR(INDEX(#REF!,MATCH('MM01'!$B23,#REF!,0),'MM01'!AU$2),""))</f>
        <v/>
      </c>
      <c r="AV23" s="51"/>
    </row>
    <row r="24" spans="1:48" x14ac:dyDescent="0.2">
      <c r="A24" s="7" t="str">
        <f t="shared" si="2"/>
        <v>Execução 20</v>
      </c>
      <c r="B24" s="36"/>
      <c r="C24" s="57"/>
      <c r="D24" s="41">
        <f t="shared" si="0"/>
        <v>0</v>
      </c>
      <c r="E24" s="56"/>
      <c r="G24" s="39" t="s">
        <v>101</v>
      </c>
      <c r="H24" s="39" t="s">
        <v>102</v>
      </c>
      <c r="I24" s="39" t="s">
        <v>103</v>
      </c>
      <c r="J24" s="39" t="s">
        <v>104</v>
      </c>
      <c r="K24" s="39"/>
      <c r="L24" s="39"/>
      <c r="M24" s="39"/>
      <c r="N24" s="39"/>
      <c r="O24" s="39"/>
      <c r="P24" s="39"/>
      <c r="Q24" s="39"/>
      <c r="R24" s="39"/>
      <c r="S24" s="39"/>
      <c r="T24" s="39"/>
      <c r="U24" s="39"/>
      <c r="V24" s="39"/>
      <c r="W24" s="39"/>
      <c r="X24" s="39"/>
      <c r="Y24" s="39"/>
      <c r="Z24" s="39"/>
      <c r="AA24" s="39"/>
      <c r="AB24" s="39"/>
      <c r="AC24" s="39"/>
      <c r="AD24" s="39"/>
      <c r="AE24" s="39"/>
      <c r="AF24" s="39"/>
      <c r="AG24" s="39"/>
      <c r="AI24" s="37" t="str">
        <f>IF(IFERROR(INDEX(#REF!,MATCH('MM01'!$B24,#REF!,0),'MM01'!AI$2),"")=0,"",IFERROR(INDEX(#REF!,MATCH('MM01'!$B24,#REF!,0),'MM01'!AI$2),""))</f>
        <v/>
      </c>
      <c r="AJ24" s="39"/>
      <c r="AK24" s="40" t="str">
        <f t="shared" ca="1" si="3"/>
        <v/>
      </c>
      <c r="AL24" s="41">
        <f t="shared" si="1"/>
        <v>0</v>
      </c>
      <c r="AM24" s="42">
        <v>1</v>
      </c>
      <c r="AN24" s="42" t="s">
        <v>178</v>
      </c>
      <c r="AO24" s="42" t="s">
        <v>178</v>
      </c>
      <c r="AP24" s="42" t="s">
        <v>633</v>
      </c>
      <c r="AQ24" s="38">
        <v>1</v>
      </c>
      <c r="AR24" s="38" t="s">
        <v>324</v>
      </c>
      <c r="AS24" s="42" t="s">
        <v>181</v>
      </c>
      <c r="AT24" s="42" t="s">
        <v>181</v>
      </c>
      <c r="AU24" s="37" t="str">
        <f>IF(IFERROR(INDEX(#REF!,MATCH('MM01'!$B24,#REF!,0),'MM01'!AU$2),"")=0,"",IFERROR(INDEX(#REF!,MATCH('MM01'!$B24,#REF!,0),'MM01'!AU$2),""))</f>
        <v/>
      </c>
      <c r="AV24" s="51"/>
    </row>
    <row r="25" spans="1:48" x14ac:dyDescent="0.2">
      <c r="A25" s="7" t="str">
        <f t="shared" si="2"/>
        <v>Execução 21</v>
      </c>
      <c r="B25" s="36"/>
      <c r="C25" s="57"/>
      <c r="D25" s="41">
        <f t="shared" si="0"/>
        <v>0</v>
      </c>
      <c r="E25" s="56"/>
      <c r="G25" s="39" t="s">
        <v>101</v>
      </c>
      <c r="H25" s="39" t="s">
        <v>102</v>
      </c>
      <c r="I25" s="39" t="s">
        <v>103</v>
      </c>
      <c r="J25" s="39" t="s">
        <v>104</v>
      </c>
      <c r="K25" s="39"/>
      <c r="L25" s="39"/>
      <c r="M25" s="39"/>
      <c r="N25" s="39"/>
      <c r="O25" s="39"/>
      <c r="P25" s="39"/>
      <c r="Q25" s="39"/>
      <c r="R25" s="39"/>
      <c r="S25" s="39"/>
      <c r="T25" s="39"/>
      <c r="U25" s="39"/>
      <c r="V25" s="39"/>
      <c r="W25" s="39"/>
      <c r="X25" s="39"/>
      <c r="Y25" s="39"/>
      <c r="Z25" s="39"/>
      <c r="AA25" s="39"/>
      <c r="AB25" s="39"/>
      <c r="AC25" s="39"/>
      <c r="AD25" s="39"/>
      <c r="AE25" s="39"/>
      <c r="AF25" s="39"/>
      <c r="AG25" s="39"/>
      <c r="AI25" s="37" t="str">
        <f>IF(IFERROR(INDEX(#REF!,MATCH('MM01'!$B25,#REF!,0),'MM01'!AI$2),"")=0,"",IFERROR(INDEX(#REF!,MATCH('MM01'!$B25,#REF!,0),'MM01'!AI$2),""))</f>
        <v/>
      </c>
      <c r="AJ25" s="39"/>
      <c r="AK25" s="40" t="str">
        <f t="shared" ca="1" si="3"/>
        <v/>
      </c>
      <c r="AL25" s="41">
        <f t="shared" si="1"/>
        <v>0</v>
      </c>
      <c r="AM25" s="42">
        <v>1</v>
      </c>
      <c r="AN25" s="42" t="s">
        <v>178</v>
      </c>
      <c r="AO25" s="42" t="s">
        <v>178</v>
      </c>
      <c r="AP25" s="42" t="s">
        <v>633</v>
      </c>
      <c r="AQ25" s="38">
        <v>1</v>
      </c>
      <c r="AR25" s="38" t="s">
        <v>324</v>
      </c>
      <c r="AS25" s="42" t="s">
        <v>181</v>
      </c>
      <c r="AT25" s="42" t="s">
        <v>181</v>
      </c>
      <c r="AU25" s="37" t="str">
        <f>IF(IFERROR(INDEX(#REF!,MATCH('MM01'!$B25,#REF!,0),'MM01'!AU$2),"")=0,"",IFERROR(INDEX(#REF!,MATCH('MM01'!$B25,#REF!,0),'MM01'!AU$2),""))</f>
        <v/>
      </c>
      <c r="AV25" s="51"/>
    </row>
    <row r="26" spans="1:48" x14ac:dyDescent="0.2">
      <c r="A26" s="7" t="str">
        <f t="shared" si="2"/>
        <v>Execução 22</v>
      </c>
      <c r="B26" s="36"/>
      <c r="C26" s="57"/>
      <c r="D26" s="41">
        <f t="shared" si="0"/>
        <v>0</v>
      </c>
      <c r="E26" s="56"/>
      <c r="G26" s="39" t="s">
        <v>101</v>
      </c>
      <c r="H26" s="39" t="s">
        <v>102</v>
      </c>
      <c r="I26" s="39" t="s">
        <v>103</v>
      </c>
      <c r="J26" s="39" t="s">
        <v>104</v>
      </c>
      <c r="K26" s="39"/>
      <c r="L26" s="39"/>
      <c r="M26" s="39"/>
      <c r="N26" s="39"/>
      <c r="O26" s="39"/>
      <c r="P26" s="39"/>
      <c r="Q26" s="39"/>
      <c r="R26" s="39"/>
      <c r="S26" s="39"/>
      <c r="T26" s="39"/>
      <c r="U26" s="39"/>
      <c r="V26" s="39"/>
      <c r="W26" s="39"/>
      <c r="X26" s="39"/>
      <c r="Y26" s="39"/>
      <c r="Z26" s="39"/>
      <c r="AA26" s="39"/>
      <c r="AB26" s="39"/>
      <c r="AC26" s="39"/>
      <c r="AD26" s="39"/>
      <c r="AE26" s="39"/>
      <c r="AF26" s="39"/>
      <c r="AG26" s="39"/>
      <c r="AI26" s="37" t="str">
        <f>IF(IFERROR(INDEX(#REF!,MATCH('MM01'!$B26,#REF!,0),'MM01'!AI$2),"")=0,"",IFERROR(INDEX(#REF!,MATCH('MM01'!$B26,#REF!,0),'MM01'!AI$2),""))</f>
        <v/>
      </c>
      <c r="AJ26" s="39"/>
      <c r="AK26" s="40" t="str">
        <f t="shared" ca="1" si="3"/>
        <v/>
      </c>
      <c r="AL26" s="41">
        <f t="shared" si="1"/>
        <v>0</v>
      </c>
      <c r="AM26" s="42">
        <v>1</v>
      </c>
      <c r="AN26" s="42" t="s">
        <v>178</v>
      </c>
      <c r="AO26" s="42" t="s">
        <v>178</v>
      </c>
      <c r="AP26" s="42" t="s">
        <v>633</v>
      </c>
      <c r="AQ26" s="38">
        <v>1</v>
      </c>
      <c r="AR26" s="38" t="s">
        <v>324</v>
      </c>
      <c r="AS26" s="42" t="s">
        <v>181</v>
      </c>
      <c r="AT26" s="42" t="s">
        <v>181</v>
      </c>
      <c r="AU26" s="37" t="str">
        <f>IF(IFERROR(INDEX(#REF!,MATCH('MM01'!$B26,#REF!,0),'MM01'!AU$2),"")=0,"",IFERROR(INDEX(#REF!,MATCH('MM01'!$B26,#REF!,0),'MM01'!AU$2),""))</f>
        <v/>
      </c>
      <c r="AV26" s="51"/>
    </row>
    <row r="27" spans="1:48" x14ac:dyDescent="0.2">
      <c r="A27" s="7" t="str">
        <f t="shared" si="2"/>
        <v>Execução 23</v>
      </c>
      <c r="B27" s="36"/>
      <c r="C27" s="57"/>
      <c r="D27" s="41">
        <f t="shared" si="0"/>
        <v>0</v>
      </c>
      <c r="E27" s="56"/>
      <c r="G27" s="39" t="s">
        <v>101</v>
      </c>
      <c r="H27" s="39" t="s">
        <v>102</v>
      </c>
      <c r="I27" s="39" t="s">
        <v>103</v>
      </c>
      <c r="J27" s="39" t="s">
        <v>104</v>
      </c>
      <c r="K27" s="39"/>
      <c r="L27" s="39"/>
      <c r="M27" s="39"/>
      <c r="N27" s="39"/>
      <c r="O27" s="39"/>
      <c r="P27" s="39"/>
      <c r="Q27" s="39"/>
      <c r="R27" s="39"/>
      <c r="S27" s="39"/>
      <c r="T27" s="39"/>
      <c r="U27" s="39"/>
      <c r="V27" s="39"/>
      <c r="W27" s="39"/>
      <c r="X27" s="39"/>
      <c r="Y27" s="39"/>
      <c r="Z27" s="39"/>
      <c r="AA27" s="39"/>
      <c r="AB27" s="39"/>
      <c r="AC27" s="39"/>
      <c r="AD27" s="39"/>
      <c r="AE27" s="39"/>
      <c r="AF27" s="39"/>
      <c r="AG27" s="39"/>
      <c r="AI27" s="37" t="str">
        <f>IF(IFERROR(INDEX(#REF!,MATCH('MM01'!$B27,#REF!,0),'MM01'!AI$2),"")=0,"",IFERROR(INDEX(#REF!,MATCH('MM01'!$B27,#REF!,0),'MM01'!AI$2),""))</f>
        <v/>
      </c>
      <c r="AJ27" s="39"/>
      <c r="AK27" s="40" t="str">
        <f t="shared" ca="1" si="3"/>
        <v/>
      </c>
      <c r="AL27" s="41">
        <f t="shared" si="1"/>
        <v>0</v>
      </c>
      <c r="AM27" s="42">
        <v>1</v>
      </c>
      <c r="AN27" s="42" t="s">
        <v>178</v>
      </c>
      <c r="AO27" s="42" t="s">
        <v>178</v>
      </c>
      <c r="AP27" s="42" t="s">
        <v>633</v>
      </c>
      <c r="AQ27" s="38">
        <v>1</v>
      </c>
      <c r="AR27" s="38" t="s">
        <v>324</v>
      </c>
      <c r="AS27" s="42" t="s">
        <v>181</v>
      </c>
      <c r="AT27" s="42" t="s">
        <v>181</v>
      </c>
      <c r="AU27" s="37" t="str">
        <f>IF(IFERROR(INDEX(#REF!,MATCH('MM01'!$B27,#REF!,0),'MM01'!AU$2),"")=0,"",IFERROR(INDEX(#REF!,MATCH('MM01'!$B27,#REF!,0),'MM01'!AU$2),""))</f>
        <v/>
      </c>
      <c r="AV27" s="51"/>
    </row>
    <row r="28" spans="1:48" x14ac:dyDescent="0.2">
      <c r="A28" s="7" t="str">
        <f t="shared" si="2"/>
        <v>Execução 24</v>
      </c>
      <c r="B28" s="36"/>
      <c r="C28" s="57"/>
      <c r="D28" s="41">
        <f t="shared" si="0"/>
        <v>0</v>
      </c>
      <c r="E28" s="56"/>
      <c r="G28" s="39" t="s">
        <v>101</v>
      </c>
      <c r="H28" s="39" t="s">
        <v>102</v>
      </c>
      <c r="I28" s="39" t="s">
        <v>103</v>
      </c>
      <c r="J28" s="39" t="s">
        <v>104</v>
      </c>
      <c r="K28" s="39"/>
      <c r="L28" s="39"/>
      <c r="M28" s="39"/>
      <c r="N28" s="39"/>
      <c r="O28" s="39"/>
      <c r="P28" s="39"/>
      <c r="Q28" s="39"/>
      <c r="R28" s="39"/>
      <c r="S28" s="39"/>
      <c r="T28" s="39"/>
      <c r="U28" s="39"/>
      <c r="V28" s="39"/>
      <c r="W28" s="39"/>
      <c r="X28" s="39"/>
      <c r="Y28" s="39"/>
      <c r="Z28" s="39"/>
      <c r="AA28" s="39"/>
      <c r="AB28" s="39"/>
      <c r="AC28" s="39"/>
      <c r="AD28" s="39"/>
      <c r="AE28" s="39"/>
      <c r="AF28" s="39"/>
      <c r="AG28" s="39"/>
      <c r="AI28" s="37" t="str">
        <f>IF(IFERROR(INDEX(#REF!,MATCH('MM01'!$B28,#REF!,0),'MM01'!AI$2),"")=0,"",IFERROR(INDEX(#REF!,MATCH('MM01'!$B28,#REF!,0),'MM01'!AI$2),""))</f>
        <v/>
      </c>
      <c r="AJ28" s="39"/>
      <c r="AK28" s="40" t="str">
        <f t="shared" ca="1" si="3"/>
        <v/>
      </c>
      <c r="AL28" s="41">
        <f t="shared" si="1"/>
        <v>0</v>
      </c>
      <c r="AM28" s="42">
        <v>1</v>
      </c>
      <c r="AN28" s="42" t="s">
        <v>178</v>
      </c>
      <c r="AO28" s="42" t="s">
        <v>178</v>
      </c>
      <c r="AP28" s="42" t="s">
        <v>633</v>
      </c>
      <c r="AQ28" s="38">
        <v>1</v>
      </c>
      <c r="AR28" s="38" t="s">
        <v>324</v>
      </c>
      <c r="AS28" s="42" t="s">
        <v>181</v>
      </c>
      <c r="AT28" s="42" t="s">
        <v>181</v>
      </c>
      <c r="AU28" s="37" t="str">
        <f>IF(IFERROR(INDEX(#REF!,MATCH('MM01'!$B28,#REF!,0),'MM01'!AU$2),"")=0,"",IFERROR(INDEX(#REF!,MATCH('MM01'!$B28,#REF!,0),'MM01'!AU$2),""))</f>
        <v/>
      </c>
      <c r="AV28" s="51"/>
    </row>
    <row r="29" spans="1:48" x14ac:dyDescent="0.2">
      <c r="A29" s="7" t="str">
        <f t="shared" si="2"/>
        <v>Execução 25</v>
      </c>
      <c r="B29" s="36"/>
      <c r="C29" s="57"/>
      <c r="D29" s="41">
        <f t="shared" si="0"/>
        <v>0</v>
      </c>
      <c r="E29" s="56"/>
      <c r="G29" s="39" t="s">
        <v>101</v>
      </c>
      <c r="H29" s="39" t="s">
        <v>102</v>
      </c>
      <c r="I29" s="39" t="s">
        <v>103</v>
      </c>
      <c r="J29" s="39" t="s">
        <v>104</v>
      </c>
      <c r="K29" s="39"/>
      <c r="L29" s="39"/>
      <c r="M29" s="39"/>
      <c r="N29" s="39"/>
      <c r="O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  <c r="AA29" s="39"/>
      <c r="AB29" s="39"/>
      <c r="AC29" s="39"/>
      <c r="AD29" s="39"/>
      <c r="AE29" s="39"/>
      <c r="AF29" s="39"/>
      <c r="AG29" s="39"/>
      <c r="AI29" s="37" t="str">
        <f>IF(IFERROR(INDEX(#REF!,MATCH('MM01'!$B29,#REF!,0),'MM01'!AI$2),"")=0,"",IFERROR(INDEX(#REF!,MATCH('MM01'!$B29,#REF!,0),'MM01'!AI$2),""))</f>
        <v/>
      </c>
      <c r="AJ29" s="39"/>
      <c r="AK29" s="40" t="str">
        <f t="shared" ca="1" si="3"/>
        <v/>
      </c>
      <c r="AL29" s="41">
        <f t="shared" si="1"/>
        <v>0</v>
      </c>
      <c r="AM29" s="42">
        <v>1</v>
      </c>
      <c r="AN29" s="42" t="s">
        <v>178</v>
      </c>
      <c r="AO29" s="42" t="s">
        <v>178</v>
      </c>
      <c r="AP29" s="42" t="s">
        <v>633</v>
      </c>
      <c r="AQ29" s="38">
        <v>1</v>
      </c>
      <c r="AR29" s="38" t="s">
        <v>324</v>
      </c>
      <c r="AS29" s="42" t="s">
        <v>181</v>
      </c>
      <c r="AT29" s="42" t="s">
        <v>181</v>
      </c>
      <c r="AU29" s="37" t="str">
        <f>IF(IFERROR(INDEX(#REF!,MATCH('MM01'!$B29,#REF!,0),'MM01'!AU$2),"")=0,"",IFERROR(INDEX(#REF!,MATCH('MM01'!$B29,#REF!,0),'MM01'!AU$2),""))</f>
        <v/>
      </c>
      <c r="AV29" s="51"/>
    </row>
    <row r="30" spans="1:48" x14ac:dyDescent="0.2">
      <c r="A30" s="7" t="str">
        <f t="shared" si="2"/>
        <v>Execução 26</v>
      </c>
      <c r="B30" s="36"/>
      <c r="C30" s="57"/>
      <c r="D30" s="41">
        <f t="shared" si="0"/>
        <v>0</v>
      </c>
      <c r="E30" s="56"/>
      <c r="G30" s="39" t="s">
        <v>101</v>
      </c>
      <c r="H30" s="39" t="s">
        <v>102</v>
      </c>
      <c r="I30" s="39" t="s">
        <v>103</v>
      </c>
      <c r="J30" s="39" t="s">
        <v>104</v>
      </c>
      <c r="K30" s="39"/>
      <c r="L30" s="39"/>
      <c r="M30" s="39"/>
      <c r="N30" s="39"/>
      <c r="O30" s="39"/>
      <c r="P30" s="39"/>
      <c r="Q30" s="39"/>
      <c r="R30" s="39"/>
      <c r="S30" s="39"/>
      <c r="T30" s="39"/>
      <c r="U30" s="39"/>
      <c r="V30" s="39"/>
      <c r="W30" s="39"/>
      <c r="X30" s="39"/>
      <c r="Y30" s="39"/>
      <c r="Z30" s="39"/>
      <c r="AA30" s="39"/>
      <c r="AB30" s="39"/>
      <c r="AC30" s="39"/>
      <c r="AD30" s="39"/>
      <c r="AE30" s="39"/>
      <c r="AF30" s="39"/>
      <c r="AG30" s="39"/>
      <c r="AI30" s="37" t="str">
        <f>IF(IFERROR(INDEX(#REF!,MATCH('MM01'!$B30,#REF!,0),'MM01'!AI$2),"")=0,"",IFERROR(INDEX(#REF!,MATCH('MM01'!$B30,#REF!,0),'MM01'!AI$2),""))</f>
        <v/>
      </c>
      <c r="AJ30" s="39"/>
      <c r="AK30" s="40" t="str">
        <f t="shared" ca="1" si="3"/>
        <v/>
      </c>
      <c r="AL30" s="41">
        <f t="shared" si="1"/>
        <v>0</v>
      </c>
      <c r="AM30" s="42">
        <v>1</v>
      </c>
      <c r="AN30" s="42" t="s">
        <v>178</v>
      </c>
      <c r="AO30" s="42" t="s">
        <v>178</v>
      </c>
      <c r="AP30" s="42" t="s">
        <v>633</v>
      </c>
      <c r="AQ30" s="38">
        <v>1</v>
      </c>
      <c r="AR30" s="38" t="s">
        <v>324</v>
      </c>
      <c r="AS30" s="42" t="s">
        <v>181</v>
      </c>
      <c r="AT30" s="42" t="s">
        <v>181</v>
      </c>
      <c r="AU30" s="37" t="str">
        <f>IF(IFERROR(INDEX(#REF!,MATCH('MM01'!$B30,#REF!,0),'MM01'!AU$2),"")=0,"",IFERROR(INDEX(#REF!,MATCH('MM01'!$B30,#REF!,0),'MM01'!AU$2),""))</f>
        <v/>
      </c>
      <c r="AV30" s="51"/>
    </row>
    <row r="31" spans="1:48" x14ac:dyDescent="0.2">
      <c r="A31" s="7" t="str">
        <f t="shared" si="2"/>
        <v>Execução 27</v>
      </c>
      <c r="B31" s="36"/>
      <c r="C31" s="57"/>
      <c r="D31" s="41">
        <f t="shared" si="0"/>
        <v>0</v>
      </c>
      <c r="E31" s="56"/>
      <c r="G31" s="39" t="s">
        <v>101</v>
      </c>
      <c r="H31" s="39" t="s">
        <v>102</v>
      </c>
      <c r="I31" s="39" t="s">
        <v>103</v>
      </c>
      <c r="J31" s="39" t="s">
        <v>104</v>
      </c>
      <c r="K31" s="39"/>
      <c r="L31" s="39"/>
      <c r="M31" s="39"/>
      <c r="N31" s="39"/>
      <c r="O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  <c r="AA31" s="39"/>
      <c r="AB31" s="39"/>
      <c r="AC31" s="39"/>
      <c r="AD31" s="39"/>
      <c r="AE31" s="39"/>
      <c r="AF31" s="39"/>
      <c r="AG31" s="39"/>
      <c r="AI31" s="37" t="str">
        <f>IF(IFERROR(INDEX(#REF!,MATCH('MM01'!$B31,#REF!,0),'MM01'!AI$2),"")=0,"",IFERROR(INDEX(#REF!,MATCH('MM01'!$B31,#REF!,0),'MM01'!AI$2),""))</f>
        <v/>
      </c>
      <c r="AJ31" s="39"/>
      <c r="AK31" s="40" t="str">
        <f t="shared" ca="1" si="3"/>
        <v/>
      </c>
      <c r="AL31" s="41">
        <f t="shared" si="1"/>
        <v>0</v>
      </c>
      <c r="AM31" s="42">
        <v>1</v>
      </c>
      <c r="AN31" s="42" t="s">
        <v>178</v>
      </c>
      <c r="AO31" s="42" t="s">
        <v>178</v>
      </c>
      <c r="AP31" s="42" t="s">
        <v>633</v>
      </c>
      <c r="AQ31" s="38">
        <v>1</v>
      </c>
      <c r="AR31" s="38" t="s">
        <v>324</v>
      </c>
      <c r="AS31" s="42" t="s">
        <v>181</v>
      </c>
      <c r="AT31" s="42" t="s">
        <v>181</v>
      </c>
      <c r="AU31" s="37" t="str">
        <f>IF(IFERROR(INDEX(#REF!,MATCH('MM01'!$B31,#REF!,0),'MM01'!AU$2),"")=0,"",IFERROR(INDEX(#REF!,MATCH('MM01'!$B31,#REF!,0),'MM01'!AU$2),""))</f>
        <v/>
      </c>
      <c r="AV31" s="51"/>
    </row>
    <row r="32" spans="1:48" x14ac:dyDescent="0.2">
      <c r="A32" s="7" t="str">
        <f t="shared" si="2"/>
        <v>Execução 28</v>
      </c>
      <c r="B32" s="36"/>
      <c r="C32" s="57"/>
      <c r="D32" s="41">
        <f t="shared" si="0"/>
        <v>0</v>
      </c>
      <c r="E32" s="56"/>
      <c r="G32" s="39" t="s">
        <v>101</v>
      </c>
      <c r="H32" s="39" t="s">
        <v>102</v>
      </c>
      <c r="I32" s="39" t="s">
        <v>103</v>
      </c>
      <c r="J32" s="39" t="s">
        <v>104</v>
      </c>
      <c r="K32" s="39"/>
      <c r="L32" s="39"/>
      <c r="M32" s="39"/>
      <c r="N32" s="39"/>
      <c r="O32" s="39"/>
      <c r="P32" s="39"/>
      <c r="Q32" s="39"/>
      <c r="R32" s="39"/>
      <c r="S32" s="39"/>
      <c r="T32" s="39"/>
      <c r="U32" s="39"/>
      <c r="V32" s="39"/>
      <c r="W32" s="39"/>
      <c r="X32" s="39"/>
      <c r="Y32" s="39"/>
      <c r="Z32" s="39"/>
      <c r="AA32" s="39"/>
      <c r="AB32" s="39"/>
      <c r="AC32" s="39"/>
      <c r="AD32" s="39"/>
      <c r="AE32" s="39"/>
      <c r="AF32" s="39"/>
      <c r="AG32" s="39"/>
      <c r="AI32" s="37" t="str">
        <f>IF(IFERROR(INDEX(#REF!,MATCH('MM01'!$B32,#REF!,0),'MM01'!AI$2),"")=0,"",IFERROR(INDEX(#REF!,MATCH('MM01'!$B32,#REF!,0),'MM01'!AI$2),""))</f>
        <v/>
      </c>
      <c r="AJ32" s="39"/>
      <c r="AK32" s="40" t="str">
        <f t="shared" ca="1" si="3"/>
        <v/>
      </c>
      <c r="AL32" s="41">
        <f t="shared" si="1"/>
        <v>0</v>
      </c>
      <c r="AM32" s="42">
        <v>1</v>
      </c>
      <c r="AN32" s="42" t="s">
        <v>178</v>
      </c>
      <c r="AO32" s="42" t="s">
        <v>178</v>
      </c>
      <c r="AP32" s="42" t="s">
        <v>633</v>
      </c>
      <c r="AQ32" s="38">
        <v>1</v>
      </c>
      <c r="AR32" s="38" t="s">
        <v>324</v>
      </c>
      <c r="AS32" s="42" t="s">
        <v>181</v>
      </c>
      <c r="AT32" s="42" t="s">
        <v>181</v>
      </c>
      <c r="AU32" s="37" t="str">
        <f>IF(IFERROR(INDEX(#REF!,MATCH('MM01'!$B32,#REF!,0),'MM01'!AU$2),"")=0,"",IFERROR(INDEX(#REF!,MATCH('MM01'!$B32,#REF!,0),'MM01'!AU$2),""))</f>
        <v/>
      </c>
      <c r="AV32" s="51"/>
    </row>
    <row r="33" spans="1:48" x14ac:dyDescent="0.2">
      <c r="A33" s="7" t="str">
        <f t="shared" si="2"/>
        <v>Execução 29</v>
      </c>
      <c r="B33" s="36"/>
      <c r="C33" s="57"/>
      <c r="D33" s="41">
        <f t="shared" si="0"/>
        <v>0</v>
      </c>
      <c r="E33" s="56"/>
      <c r="G33" s="39" t="s">
        <v>101</v>
      </c>
      <c r="H33" s="39" t="s">
        <v>102</v>
      </c>
      <c r="I33" s="39" t="s">
        <v>103</v>
      </c>
      <c r="J33" s="39" t="s">
        <v>104</v>
      </c>
      <c r="K33" s="39"/>
      <c r="L33" s="39"/>
      <c r="M33" s="39"/>
      <c r="N33" s="39"/>
      <c r="O33" s="39"/>
      <c r="P33" s="39"/>
      <c r="Q33" s="39"/>
      <c r="R33" s="39"/>
      <c r="S33" s="39"/>
      <c r="T33" s="39"/>
      <c r="U33" s="39"/>
      <c r="V33" s="39"/>
      <c r="W33" s="39"/>
      <c r="X33" s="39"/>
      <c r="Y33" s="39"/>
      <c r="Z33" s="39"/>
      <c r="AA33" s="39"/>
      <c r="AB33" s="39"/>
      <c r="AC33" s="39"/>
      <c r="AD33" s="39"/>
      <c r="AE33" s="39"/>
      <c r="AF33" s="39"/>
      <c r="AG33" s="39"/>
      <c r="AI33" s="37" t="str">
        <f>IF(IFERROR(INDEX(#REF!,MATCH('MM01'!$B33,#REF!,0),'MM01'!AI$2),"")=0,"",IFERROR(INDEX(#REF!,MATCH('MM01'!$B33,#REF!,0),'MM01'!AI$2),""))</f>
        <v/>
      </c>
      <c r="AJ33" s="39"/>
      <c r="AK33" s="40" t="str">
        <f t="shared" ca="1" si="3"/>
        <v/>
      </c>
      <c r="AL33" s="41">
        <f t="shared" si="1"/>
        <v>0</v>
      </c>
      <c r="AM33" s="42">
        <v>1</v>
      </c>
      <c r="AN33" s="42" t="s">
        <v>178</v>
      </c>
      <c r="AO33" s="42" t="s">
        <v>178</v>
      </c>
      <c r="AP33" s="42" t="s">
        <v>633</v>
      </c>
      <c r="AQ33" s="38">
        <v>1</v>
      </c>
      <c r="AR33" s="38" t="s">
        <v>324</v>
      </c>
      <c r="AS33" s="42" t="s">
        <v>181</v>
      </c>
      <c r="AT33" s="42" t="s">
        <v>181</v>
      </c>
      <c r="AU33" s="37" t="str">
        <f>IF(IFERROR(INDEX(#REF!,MATCH('MM01'!$B33,#REF!,0),'MM01'!AU$2),"")=0,"",IFERROR(INDEX(#REF!,MATCH('MM01'!$B33,#REF!,0),'MM01'!AU$2),""))</f>
        <v/>
      </c>
      <c r="AV33" s="51"/>
    </row>
    <row r="34" spans="1:48" x14ac:dyDescent="0.2">
      <c r="A34" s="7" t="str">
        <f t="shared" si="2"/>
        <v>Execução 30</v>
      </c>
      <c r="B34" s="36"/>
      <c r="C34" s="57"/>
      <c r="D34" s="41">
        <f t="shared" si="0"/>
        <v>0</v>
      </c>
      <c r="E34" s="56"/>
      <c r="G34" s="39" t="s">
        <v>101</v>
      </c>
      <c r="H34" s="39" t="s">
        <v>102</v>
      </c>
      <c r="I34" s="39" t="s">
        <v>103</v>
      </c>
      <c r="J34" s="39" t="s">
        <v>104</v>
      </c>
      <c r="K34" s="39"/>
      <c r="L34" s="39"/>
      <c r="M34" s="39"/>
      <c r="N34" s="39"/>
      <c r="O34" s="39"/>
      <c r="P34" s="39"/>
      <c r="Q34" s="39"/>
      <c r="R34" s="39"/>
      <c r="S34" s="39"/>
      <c r="T34" s="39"/>
      <c r="U34" s="39"/>
      <c r="V34" s="39"/>
      <c r="W34" s="39"/>
      <c r="X34" s="39"/>
      <c r="Y34" s="39"/>
      <c r="Z34" s="39"/>
      <c r="AA34" s="39"/>
      <c r="AB34" s="39"/>
      <c r="AC34" s="39"/>
      <c r="AD34" s="39"/>
      <c r="AE34" s="39"/>
      <c r="AF34" s="39"/>
      <c r="AG34" s="39"/>
      <c r="AI34" s="37" t="str">
        <f>IF(IFERROR(INDEX(#REF!,MATCH('MM01'!$B34,#REF!,0),'MM01'!AI$2),"")=0,"",IFERROR(INDEX(#REF!,MATCH('MM01'!$B34,#REF!,0),'MM01'!AI$2),""))</f>
        <v/>
      </c>
      <c r="AJ34" s="39"/>
      <c r="AK34" s="40" t="str">
        <f t="shared" ca="1" si="3"/>
        <v/>
      </c>
      <c r="AL34" s="41">
        <f t="shared" si="1"/>
        <v>0</v>
      </c>
      <c r="AM34" s="42">
        <v>1</v>
      </c>
      <c r="AN34" s="42" t="s">
        <v>178</v>
      </c>
      <c r="AO34" s="42" t="s">
        <v>178</v>
      </c>
      <c r="AP34" s="42" t="s">
        <v>633</v>
      </c>
      <c r="AQ34" s="38">
        <v>1</v>
      </c>
      <c r="AR34" s="38" t="s">
        <v>324</v>
      </c>
      <c r="AS34" s="42" t="s">
        <v>181</v>
      </c>
      <c r="AT34" s="42" t="s">
        <v>181</v>
      </c>
      <c r="AU34" s="37" t="str">
        <f>IF(IFERROR(INDEX(#REF!,MATCH('MM01'!$B34,#REF!,0),'MM01'!AU$2),"")=0,"",IFERROR(INDEX(#REF!,MATCH('MM01'!$B34,#REF!,0),'MM01'!AU$2),""))</f>
        <v/>
      </c>
      <c r="AV34" s="51"/>
    </row>
    <row r="35" spans="1:48" x14ac:dyDescent="0.2">
      <c r="A35" s="7" t="str">
        <f t="shared" si="2"/>
        <v>Execução 31</v>
      </c>
      <c r="B35" s="36"/>
      <c r="C35" s="57"/>
      <c r="D35" s="41">
        <f t="shared" si="0"/>
        <v>0</v>
      </c>
      <c r="E35" s="56"/>
      <c r="G35" s="39" t="s">
        <v>101</v>
      </c>
      <c r="H35" s="39" t="s">
        <v>102</v>
      </c>
      <c r="I35" s="39" t="s">
        <v>103</v>
      </c>
      <c r="J35" s="39" t="s">
        <v>104</v>
      </c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9"/>
      <c r="W35" s="39"/>
      <c r="X35" s="39"/>
      <c r="Y35" s="39"/>
      <c r="Z35" s="39"/>
      <c r="AA35" s="39"/>
      <c r="AB35" s="39"/>
      <c r="AC35" s="39"/>
      <c r="AD35" s="39"/>
      <c r="AE35" s="39"/>
      <c r="AF35" s="39"/>
      <c r="AG35" s="39"/>
      <c r="AI35" s="37" t="str">
        <f>IF(IFERROR(INDEX(#REF!,MATCH('MM01'!$B35,#REF!,0),'MM01'!AI$2),"")=0,"",IFERROR(INDEX(#REF!,MATCH('MM01'!$B35,#REF!,0),'MM01'!AI$2),""))</f>
        <v/>
      </c>
      <c r="AJ35" s="39"/>
      <c r="AK35" s="40" t="str">
        <f t="shared" ca="1" si="3"/>
        <v/>
      </c>
      <c r="AL35" s="41">
        <f t="shared" si="1"/>
        <v>0</v>
      </c>
      <c r="AM35" s="42">
        <v>1</v>
      </c>
      <c r="AN35" s="42" t="s">
        <v>178</v>
      </c>
      <c r="AO35" s="42" t="s">
        <v>178</v>
      </c>
      <c r="AP35" s="42" t="s">
        <v>633</v>
      </c>
      <c r="AQ35" s="38">
        <v>1</v>
      </c>
      <c r="AR35" s="38" t="s">
        <v>324</v>
      </c>
      <c r="AS35" s="42" t="s">
        <v>181</v>
      </c>
      <c r="AT35" s="42" t="s">
        <v>181</v>
      </c>
      <c r="AU35" s="37" t="str">
        <f>IF(IFERROR(INDEX(#REF!,MATCH('MM01'!$B35,#REF!,0),'MM01'!AU$2),"")=0,"",IFERROR(INDEX(#REF!,MATCH('MM01'!$B35,#REF!,0),'MM01'!AU$2),""))</f>
        <v/>
      </c>
      <c r="AV35" s="51"/>
    </row>
    <row r="36" spans="1:48" x14ac:dyDescent="0.2">
      <c r="A36" s="7" t="str">
        <f t="shared" si="2"/>
        <v>Execução 32</v>
      </c>
      <c r="B36" s="36"/>
      <c r="C36" s="57"/>
      <c r="D36" s="41">
        <f t="shared" si="0"/>
        <v>0</v>
      </c>
      <c r="E36" s="56"/>
      <c r="G36" s="39" t="s">
        <v>101</v>
      </c>
      <c r="H36" s="39" t="s">
        <v>102</v>
      </c>
      <c r="I36" s="39" t="s">
        <v>103</v>
      </c>
      <c r="J36" s="39" t="s">
        <v>104</v>
      </c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9"/>
      <c r="W36" s="39"/>
      <c r="X36" s="39"/>
      <c r="Y36" s="39"/>
      <c r="Z36" s="39"/>
      <c r="AA36" s="39"/>
      <c r="AB36" s="39"/>
      <c r="AC36" s="39"/>
      <c r="AD36" s="39"/>
      <c r="AE36" s="39"/>
      <c r="AF36" s="39"/>
      <c r="AG36" s="39"/>
      <c r="AI36" s="37" t="str">
        <f>IF(IFERROR(INDEX(#REF!,MATCH('MM01'!$B36,#REF!,0),'MM01'!AI$2),"")=0,"",IFERROR(INDEX(#REF!,MATCH('MM01'!$B36,#REF!,0),'MM01'!AI$2),""))</f>
        <v/>
      </c>
      <c r="AJ36" s="39"/>
      <c r="AK36" s="40" t="str">
        <f t="shared" ca="1" si="3"/>
        <v/>
      </c>
      <c r="AL36" s="41">
        <f t="shared" si="1"/>
        <v>0</v>
      </c>
      <c r="AM36" s="42">
        <v>1</v>
      </c>
      <c r="AN36" s="42" t="s">
        <v>178</v>
      </c>
      <c r="AO36" s="42" t="s">
        <v>178</v>
      </c>
      <c r="AP36" s="42" t="s">
        <v>633</v>
      </c>
      <c r="AQ36" s="38">
        <v>1</v>
      </c>
      <c r="AR36" s="38" t="s">
        <v>324</v>
      </c>
      <c r="AS36" s="42" t="s">
        <v>181</v>
      </c>
      <c r="AT36" s="42" t="s">
        <v>181</v>
      </c>
      <c r="AU36" s="37" t="str">
        <f>IF(IFERROR(INDEX(#REF!,MATCH('MM01'!$B36,#REF!,0),'MM01'!AU$2),"")=0,"",IFERROR(INDEX(#REF!,MATCH('MM01'!$B36,#REF!,0),'MM01'!AU$2),""))</f>
        <v/>
      </c>
      <c r="AV36" s="51"/>
    </row>
    <row r="37" spans="1:48" x14ac:dyDescent="0.2">
      <c r="A37" s="7" t="str">
        <f t="shared" si="2"/>
        <v>Execução 33</v>
      </c>
      <c r="B37" s="36"/>
      <c r="C37" s="57"/>
      <c r="D37" s="41">
        <f t="shared" ref="D37:D54" si="4">C37</f>
        <v>0</v>
      </c>
      <c r="E37" s="56"/>
      <c r="G37" s="39" t="s">
        <v>101</v>
      </c>
      <c r="H37" s="39" t="s">
        <v>102</v>
      </c>
      <c r="I37" s="39" t="s">
        <v>103</v>
      </c>
      <c r="J37" s="39" t="s">
        <v>104</v>
      </c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9"/>
      <c r="W37" s="39"/>
      <c r="X37" s="39"/>
      <c r="Y37" s="39"/>
      <c r="Z37" s="39"/>
      <c r="AA37" s="39"/>
      <c r="AB37" s="39"/>
      <c r="AC37" s="39"/>
      <c r="AD37" s="39"/>
      <c r="AE37" s="39"/>
      <c r="AF37" s="39"/>
      <c r="AG37" s="39"/>
      <c r="AI37" s="37" t="str">
        <f>IF(IFERROR(INDEX(#REF!,MATCH('MM01'!$B37,#REF!,0),'MM01'!AI$2),"")=0,"",IFERROR(INDEX(#REF!,MATCH('MM01'!$B37,#REF!,0),'MM01'!AI$2),""))</f>
        <v/>
      </c>
      <c r="AJ37" s="39"/>
      <c r="AK37" s="40" t="str">
        <f t="shared" ca="1" si="3"/>
        <v/>
      </c>
      <c r="AL37" s="41">
        <f t="shared" ref="AL37:AL54" si="5">C37</f>
        <v>0</v>
      </c>
      <c r="AM37" s="42">
        <v>1</v>
      </c>
      <c r="AN37" s="42" t="s">
        <v>178</v>
      </c>
      <c r="AO37" s="42" t="s">
        <v>178</v>
      </c>
      <c r="AP37" s="42" t="s">
        <v>633</v>
      </c>
      <c r="AQ37" s="38">
        <v>1</v>
      </c>
      <c r="AR37" s="38" t="s">
        <v>324</v>
      </c>
      <c r="AS37" s="42" t="s">
        <v>181</v>
      </c>
      <c r="AT37" s="42" t="s">
        <v>181</v>
      </c>
      <c r="AU37" s="37" t="str">
        <f>IF(IFERROR(INDEX(#REF!,MATCH('MM01'!$B37,#REF!,0),'MM01'!AU$2),"")=0,"",IFERROR(INDEX(#REF!,MATCH('MM01'!$B37,#REF!,0),'MM01'!AU$2),""))</f>
        <v/>
      </c>
      <c r="AV37" s="51"/>
    </row>
    <row r="38" spans="1:48" x14ac:dyDescent="0.2">
      <c r="A38" s="7" t="str">
        <f t="shared" si="2"/>
        <v>Execução 34</v>
      </c>
      <c r="B38" s="36"/>
      <c r="C38" s="57"/>
      <c r="D38" s="41">
        <f t="shared" si="4"/>
        <v>0</v>
      </c>
      <c r="E38" s="56"/>
      <c r="G38" s="39" t="s">
        <v>101</v>
      </c>
      <c r="H38" s="39" t="s">
        <v>102</v>
      </c>
      <c r="I38" s="39" t="s">
        <v>103</v>
      </c>
      <c r="J38" s="39" t="s">
        <v>104</v>
      </c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9"/>
      <c r="W38" s="39"/>
      <c r="X38" s="39"/>
      <c r="Y38" s="39"/>
      <c r="Z38" s="39"/>
      <c r="AA38" s="39"/>
      <c r="AB38" s="39"/>
      <c r="AC38" s="39"/>
      <c r="AD38" s="39"/>
      <c r="AE38" s="39"/>
      <c r="AF38" s="39"/>
      <c r="AG38" s="39"/>
      <c r="AI38" s="37" t="str">
        <f>IF(IFERROR(INDEX(#REF!,MATCH('MM01'!$B38,#REF!,0),'MM01'!AI$2),"")=0,"",IFERROR(INDEX(#REF!,MATCH('MM01'!$B38,#REF!,0),'MM01'!AI$2),""))</f>
        <v/>
      </c>
      <c r="AJ38" s="39"/>
      <c r="AK38" s="40" t="str">
        <f t="shared" ca="1" si="3"/>
        <v/>
      </c>
      <c r="AL38" s="41">
        <f t="shared" si="5"/>
        <v>0</v>
      </c>
      <c r="AM38" s="42">
        <v>1</v>
      </c>
      <c r="AN38" s="42" t="s">
        <v>178</v>
      </c>
      <c r="AO38" s="42" t="s">
        <v>178</v>
      </c>
      <c r="AP38" s="42" t="s">
        <v>633</v>
      </c>
      <c r="AQ38" s="38">
        <v>1</v>
      </c>
      <c r="AR38" s="38" t="s">
        <v>324</v>
      </c>
      <c r="AS38" s="42" t="s">
        <v>181</v>
      </c>
      <c r="AT38" s="42" t="s">
        <v>181</v>
      </c>
      <c r="AU38" s="37" t="str">
        <f>IF(IFERROR(INDEX(#REF!,MATCH('MM01'!$B38,#REF!,0),'MM01'!AU$2),"")=0,"",IFERROR(INDEX(#REF!,MATCH('MM01'!$B38,#REF!,0),'MM01'!AU$2),""))</f>
        <v/>
      </c>
      <c r="AV38" s="51"/>
    </row>
    <row r="39" spans="1:48" x14ac:dyDescent="0.2">
      <c r="A39" s="7" t="str">
        <f t="shared" si="2"/>
        <v>Execução 35</v>
      </c>
      <c r="B39" s="36"/>
      <c r="C39" s="57"/>
      <c r="D39" s="41">
        <f t="shared" si="4"/>
        <v>0</v>
      </c>
      <c r="E39" s="56"/>
      <c r="G39" s="39" t="s">
        <v>101</v>
      </c>
      <c r="H39" s="39" t="s">
        <v>102</v>
      </c>
      <c r="I39" s="39" t="s">
        <v>103</v>
      </c>
      <c r="J39" s="39" t="s">
        <v>104</v>
      </c>
      <c r="K39" s="39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9"/>
      <c r="W39" s="39"/>
      <c r="X39" s="39"/>
      <c r="Y39" s="39"/>
      <c r="Z39" s="39"/>
      <c r="AA39" s="39"/>
      <c r="AB39" s="39"/>
      <c r="AC39" s="39"/>
      <c r="AD39" s="39"/>
      <c r="AE39" s="39"/>
      <c r="AF39" s="39"/>
      <c r="AG39" s="39"/>
      <c r="AI39" s="37" t="str">
        <f>IF(IFERROR(INDEX(#REF!,MATCH('MM01'!$B39,#REF!,0),'MM01'!AI$2),"")=0,"",IFERROR(INDEX(#REF!,MATCH('MM01'!$B39,#REF!,0),'MM01'!AI$2),""))</f>
        <v/>
      </c>
      <c r="AJ39" s="39"/>
      <c r="AK39" s="40" t="str">
        <f t="shared" ca="1" si="3"/>
        <v/>
      </c>
      <c r="AL39" s="41">
        <f t="shared" si="5"/>
        <v>0</v>
      </c>
      <c r="AM39" s="42">
        <v>1</v>
      </c>
      <c r="AN39" s="42" t="s">
        <v>178</v>
      </c>
      <c r="AO39" s="42" t="s">
        <v>178</v>
      </c>
      <c r="AP39" s="42" t="s">
        <v>633</v>
      </c>
      <c r="AQ39" s="38">
        <v>1</v>
      </c>
      <c r="AR39" s="38" t="s">
        <v>324</v>
      </c>
      <c r="AS39" s="42" t="s">
        <v>181</v>
      </c>
      <c r="AT39" s="42" t="s">
        <v>181</v>
      </c>
      <c r="AU39" s="37" t="str">
        <f>IF(IFERROR(INDEX(#REF!,MATCH('MM01'!$B39,#REF!,0),'MM01'!AU$2),"")=0,"",IFERROR(INDEX(#REF!,MATCH('MM01'!$B39,#REF!,0),'MM01'!AU$2),""))</f>
        <v/>
      </c>
      <c r="AV39" s="51"/>
    </row>
    <row r="40" spans="1:48" x14ac:dyDescent="0.2">
      <c r="A40" s="7" t="str">
        <f t="shared" si="2"/>
        <v>Execução 36</v>
      </c>
      <c r="B40" s="36"/>
      <c r="C40" s="57"/>
      <c r="D40" s="41">
        <f t="shared" si="4"/>
        <v>0</v>
      </c>
      <c r="E40" s="56"/>
      <c r="G40" s="39" t="s">
        <v>101</v>
      </c>
      <c r="H40" s="39" t="s">
        <v>102</v>
      </c>
      <c r="I40" s="39" t="s">
        <v>103</v>
      </c>
      <c r="J40" s="39" t="s">
        <v>104</v>
      </c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9"/>
      <c r="W40" s="39"/>
      <c r="X40" s="39"/>
      <c r="Y40" s="39"/>
      <c r="Z40" s="39"/>
      <c r="AA40" s="39"/>
      <c r="AB40" s="39"/>
      <c r="AC40" s="39"/>
      <c r="AD40" s="39"/>
      <c r="AE40" s="39"/>
      <c r="AF40" s="39"/>
      <c r="AG40" s="39"/>
      <c r="AI40" s="37" t="str">
        <f>IF(IFERROR(INDEX(#REF!,MATCH('MM01'!$B40,#REF!,0),'MM01'!AI$2),"")=0,"",IFERROR(INDEX(#REF!,MATCH('MM01'!$B40,#REF!,0),'MM01'!AI$2),""))</f>
        <v/>
      </c>
      <c r="AJ40" s="39"/>
      <c r="AK40" s="40" t="str">
        <f t="shared" ca="1" si="3"/>
        <v/>
      </c>
      <c r="AL40" s="41">
        <f t="shared" si="5"/>
        <v>0</v>
      </c>
      <c r="AM40" s="42">
        <v>1</v>
      </c>
      <c r="AN40" s="42" t="s">
        <v>178</v>
      </c>
      <c r="AO40" s="42" t="s">
        <v>178</v>
      </c>
      <c r="AP40" s="42" t="s">
        <v>633</v>
      </c>
      <c r="AQ40" s="38">
        <v>1</v>
      </c>
      <c r="AR40" s="38" t="s">
        <v>324</v>
      </c>
      <c r="AS40" s="42" t="s">
        <v>181</v>
      </c>
      <c r="AT40" s="42" t="s">
        <v>181</v>
      </c>
      <c r="AU40" s="37" t="str">
        <f>IF(IFERROR(INDEX(#REF!,MATCH('MM01'!$B40,#REF!,0),'MM01'!AU$2),"")=0,"",IFERROR(INDEX(#REF!,MATCH('MM01'!$B40,#REF!,0),'MM01'!AU$2),""))</f>
        <v/>
      </c>
      <c r="AV40" s="51"/>
    </row>
    <row r="41" spans="1:48" x14ac:dyDescent="0.2">
      <c r="A41" s="7" t="str">
        <f t="shared" si="2"/>
        <v>Execução 37</v>
      </c>
      <c r="B41" s="36"/>
      <c r="C41" s="57"/>
      <c r="D41" s="41">
        <f t="shared" si="4"/>
        <v>0</v>
      </c>
      <c r="E41" s="56"/>
      <c r="G41" s="39" t="s">
        <v>101</v>
      </c>
      <c r="H41" s="39" t="s">
        <v>102</v>
      </c>
      <c r="I41" s="39" t="s">
        <v>103</v>
      </c>
      <c r="J41" s="39" t="s">
        <v>104</v>
      </c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9"/>
      <c r="W41" s="39"/>
      <c r="X41" s="39"/>
      <c r="Y41" s="39"/>
      <c r="Z41" s="39"/>
      <c r="AA41" s="39"/>
      <c r="AB41" s="39"/>
      <c r="AC41" s="39"/>
      <c r="AD41" s="39"/>
      <c r="AE41" s="39"/>
      <c r="AF41" s="39"/>
      <c r="AG41" s="39"/>
      <c r="AI41" s="37" t="str">
        <f>IF(IFERROR(INDEX(#REF!,MATCH('MM01'!$B41,#REF!,0),'MM01'!AI$2),"")=0,"",IFERROR(INDEX(#REF!,MATCH('MM01'!$B41,#REF!,0),'MM01'!AI$2),""))</f>
        <v/>
      </c>
      <c r="AJ41" s="39"/>
      <c r="AK41" s="40" t="str">
        <f t="shared" ca="1" si="3"/>
        <v/>
      </c>
      <c r="AL41" s="41">
        <f t="shared" si="5"/>
        <v>0</v>
      </c>
      <c r="AM41" s="42">
        <v>1</v>
      </c>
      <c r="AN41" s="42" t="s">
        <v>178</v>
      </c>
      <c r="AO41" s="42" t="s">
        <v>178</v>
      </c>
      <c r="AP41" s="42" t="s">
        <v>633</v>
      </c>
      <c r="AQ41" s="38">
        <v>1</v>
      </c>
      <c r="AR41" s="38" t="s">
        <v>324</v>
      </c>
      <c r="AS41" s="42" t="s">
        <v>181</v>
      </c>
      <c r="AT41" s="42" t="s">
        <v>181</v>
      </c>
      <c r="AU41" s="37" t="str">
        <f>IF(IFERROR(INDEX(#REF!,MATCH('MM01'!$B41,#REF!,0),'MM01'!AU$2),"")=0,"",IFERROR(INDEX(#REF!,MATCH('MM01'!$B41,#REF!,0),'MM01'!AU$2),""))</f>
        <v/>
      </c>
      <c r="AV41" s="51"/>
    </row>
    <row r="42" spans="1:48" x14ac:dyDescent="0.2">
      <c r="A42" s="7" t="str">
        <f t="shared" si="2"/>
        <v>Execução 38</v>
      </c>
      <c r="B42" s="36"/>
      <c r="C42" s="57"/>
      <c r="D42" s="41">
        <f t="shared" si="4"/>
        <v>0</v>
      </c>
      <c r="E42" s="56"/>
      <c r="G42" s="39" t="s">
        <v>101</v>
      </c>
      <c r="H42" s="39" t="s">
        <v>102</v>
      </c>
      <c r="I42" s="39" t="s">
        <v>103</v>
      </c>
      <c r="J42" s="39" t="s">
        <v>104</v>
      </c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9"/>
      <c r="W42" s="39"/>
      <c r="X42" s="39"/>
      <c r="Y42" s="39"/>
      <c r="Z42" s="39"/>
      <c r="AA42" s="39"/>
      <c r="AB42" s="39"/>
      <c r="AC42" s="39"/>
      <c r="AD42" s="39"/>
      <c r="AE42" s="39"/>
      <c r="AF42" s="39"/>
      <c r="AG42" s="39"/>
      <c r="AI42" s="37" t="str">
        <f>IF(IFERROR(INDEX(#REF!,MATCH('MM01'!$B42,#REF!,0),'MM01'!AI$2),"")=0,"",IFERROR(INDEX(#REF!,MATCH('MM01'!$B42,#REF!,0),'MM01'!AI$2),""))</f>
        <v/>
      </c>
      <c r="AJ42" s="39"/>
      <c r="AK42" s="40" t="str">
        <f t="shared" ca="1" si="3"/>
        <v/>
      </c>
      <c r="AL42" s="41">
        <f t="shared" si="5"/>
        <v>0</v>
      </c>
      <c r="AM42" s="42">
        <v>1</v>
      </c>
      <c r="AN42" s="42" t="s">
        <v>178</v>
      </c>
      <c r="AO42" s="42" t="s">
        <v>178</v>
      </c>
      <c r="AP42" s="42" t="s">
        <v>633</v>
      </c>
      <c r="AQ42" s="38">
        <v>1</v>
      </c>
      <c r="AR42" s="38" t="s">
        <v>324</v>
      </c>
      <c r="AS42" s="42" t="s">
        <v>181</v>
      </c>
      <c r="AT42" s="42" t="s">
        <v>181</v>
      </c>
      <c r="AU42" s="37" t="str">
        <f>IF(IFERROR(INDEX(#REF!,MATCH('MM01'!$B42,#REF!,0),'MM01'!AU$2),"")=0,"",IFERROR(INDEX(#REF!,MATCH('MM01'!$B42,#REF!,0),'MM01'!AU$2),""))</f>
        <v/>
      </c>
      <c r="AV42" s="51"/>
    </row>
    <row r="43" spans="1:48" x14ac:dyDescent="0.2">
      <c r="A43" s="7" t="str">
        <f t="shared" si="2"/>
        <v>Execução 39</v>
      </c>
      <c r="B43" s="36"/>
      <c r="C43" s="57"/>
      <c r="D43" s="41">
        <f t="shared" si="4"/>
        <v>0</v>
      </c>
      <c r="E43" s="56"/>
      <c r="G43" s="39" t="s">
        <v>101</v>
      </c>
      <c r="H43" s="39" t="s">
        <v>102</v>
      </c>
      <c r="I43" s="39" t="s">
        <v>103</v>
      </c>
      <c r="J43" s="39" t="s">
        <v>104</v>
      </c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9"/>
      <c r="W43" s="39"/>
      <c r="X43" s="39"/>
      <c r="Y43" s="39"/>
      <c r="Z43" s="39"/>
      <c r="AA43" s="39"/>
      <c r="AB43" s="39"/>
      <c r="AC43" s="39"/>
      <c r="AD43" s="39"/>
      <c r="AE43" s="39"/>
      <c r="AF43" s="39"/>
      <c r="AG43" s="39"/>
      <c r="AI43" s="37" t="str">
        <f>IF(IFERROR(INDEX(#REF!,MATCH('MM01'!$B43,#REF!,0),'MM01'!AI$2),"")=0,"",IFERROR(INDEX(#REF!,MATCH('MM01'!$B43,#REF!,0),'MM01'!AI$2),""))</f>
        <v/>
      </c>
      <c r="AJ43" s="39"/>
      <c r="AK43" s="40" t="str">
        <f t="shared" ca="1" si="3"/>
        <v/>
      </c>
      <c r="AL43" s="41">
        <f t="shared" si="5"/>
        <v>0</v>
      </c>
      <c r="AM43" s="42">
        <v>1</v>
      </c>
      <c r="AN43" s="42" t="s">
        <v>178</v>
      </c>
      <c r="AO43" s="42" t="s">
        <v>178</v>
      </c>
      <c r="AP43" s="42" t="s">
        <v>633</v>
      </c>
      <c r="AQ43" s="38">
        <v>1</v>
      </c>
      <c r="AR43" s="38" t="s">
        <v>324</v>
      </c>
      <c r="AS43" s="42" t="s">
        <v>181</v>
      </c>
      <c r="AT43" s="42" t="s">
        <v>181</v>
      </c>
      <c r="AU43" s="37" t="str">
        <f>IF(IFERROR(INDEX(#REF!,MATCH('MM01'!$B43,#REF!,0),'MM01'!AU$2),"")=0,"",IFERROR(INDEX(#REF!,MATCH('MM01'!$B43,#REF!,0),'MM01'!AU$2),""))</f>
        <v/>
      </c>
      <c r="AV43" s="51"/>
    </row>
    <row r="44" spans="1:48" x14ac:dyDescent="0.2">
      <c r="A44" s="7" t="str">
        <f t="shared" si="2"/>
        <v>Execução 40</v>
      </c>
      <c r="B44" s="36"/>
      <c r="C44" s="57"/>
      <c r="D44" s="41">
        <f t="shared" si="4"/>
        <v>0</v>
      </c>
      <c r="E44" s="56"/>
      <c r="G44" s="39" t="s">
        <v>101</v>
      </c>
      <c r="H44" s="39" t="s">
        <v>102</v>
      </c>
      <c r="I44" s="39" t="s">
        <v>103</v>
      </c>
      <c r="J44" s="39" t="s">
        <v>104</v>
      </c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9"/>
      <c r="W44" s="39"/>
      <c r="X44" s="39"/>
      <c r="Y44" s="39"/>
      <c r="Z44" s="39"/>
      <c r="AA44" s="39"/>
      <c r="AB44" s="39"/>
      <c r="AC44" s="39"/>
      <c r="AD44" s="39"/>
      <c r="AE44" s="39"/>
      <c r="AF44" s="39"/>
      <c r="AG44" s="39"/>
      <c r="AI44" s="37" t="str">
        <f>IF(IFERROR(INDEX(#REF!,MATCH('MM01'!$B44,#REF!,0),'MM01'!AI$2),"")=0,"",IFERROR(INDEX(#REF!,MATCH('MM01'!$B44,#REF!,0),'MM01'!AI$2),""))</f>
        <v/>
      </c>
      <c r="AJ44" s="39"/>
      <c r="AK44" s="40" t="str">
        <f t="shared" ca="1" si="3"/>
        <v/>
      </c>
      <c r="AL44" s="41">
        <f t="shared" si="5"/>
        <v>0</v>
      </c>
      <c r="AM44" s="42">
        <v>1</v>
      </c>
      <c r="AN44" s="42" t="s">
        <v>178</v>
      </c>
      <c r="AO44" s="42" t="s">
        <v>178</v>
      </c>
      <c r="AP44" s="42" t="s">
        <v>633</v>
      </c>
      <c r="AQ44" s="38">
        <v>1</v>
      </c>
      <c r="AR44" s="38" t="s">
        <v>324</v>
      </c>
      <c r="AS44" s="42" t="s">
        <v>181</v>
      </c>
      <c r="AT44" s="42" t="s">
        <v>181</v>
      </c>
      <c r="AU44" s="37" t="str">
        <f>IF(IFERROR(INDEX(#REF!,MATCH('MM01'!$B44,#REF!,0),'MM01'!AU$2),"")=0,"",IFERROR(INDEX(#REF!,MATCH('MM01'!$B44,#REF!,0),'MM01'!AU$2),""))</f>
        <v/>
      </c>
      <c r="AV44" s="51"/>
    </row>
    <row r="45" spans="1:48" x14ac:dyDescent="0.2">
      <c r="A45" s="7" t="str">
        <f t="shared" si="2"/>
        <v>Execução 41</v>
      </c>
      <c r="B45" s="36"/>
      <c r="C45" s="57"/>
      <c r="D45" s="41">
        <f t="shared" si="4"/>
        <v>0</v>
      </c>
      <c r="E45" s="56"/>
      <c r="G45" s="39" t="s">
        <v>101</v>
      </c>
      <c r="H45" s="39" t="s">
        <v>102</v>
      </c>
      <c r="I45" s="39" t="s">
        <v>103</v>
      </c>
      <c r="J45" s="39" t="s">
        <v>104</v>
      </c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9"/>
      <c r="W45" s="39"/>
      <c r="X45" s="39"/>
      <c r="Y45" s="39"/>
      <c r="Z45" s="39"/>
      <c r="AA45" s="39"/>
      <c r="AB45" s="39"/>
      <c r="AC45" s="39"/>
      <c r="AD45" s="39"/>
      <c r="AE45" s="39"/>
      <c r="AF45" s="39"/>
      <c r="AG45" s="39"/>
      <c r="AI45" s="37" t="str">
        <f>IF(IFERROR(INDEX(#REF!,MATCH('MM01'!$B45,#REF!,0),'MM01'!AI$2),"")=0,"",IFERROR(INDEX(#REF!,MATCH('MM01'!$B45,#REF!,0),'MM01'!AI$2),""))</f>
        <v/>
      </c>
      <c r="AJ45" s="39"/>
      <c r="AK45" s="40" t="str">
        <f t="shared" ca="1" si="3"/>
        <v/>
      </c>
      <c r="AL45" s="41">
        <f t="shared" si="5"/>
        <v>0</v>
      </c>
      <c r="AM45" s="42">
        <v>1</v>
      </c>
      <c r="AN45" s="42" t="s">
        <v>178</v>
      </c>
      <c r="AO45" s="42" t="s">
        <v>178</v>
      </c>
      <c r="AP45" s="42" t="s">
        <v>633</v>
      </c>
      <c r="AQ45" s="38">
        <v>1</v>
      </c>
      <c r="AR45" s="38" t="s">
        <v>324</v>
      </c>
      <c r="AS45" s="42" t="s">
        <v>181</v>
      </c>
      <c r="AT45" s="42" t="s">
        <v>181</v>
      </c>
      <c r="AU45" s="37" t="str">
        <f>IF(IFERROR(INDEX(#REF!,MATCH('MM01'!$B45,#REF!,0),'MM01'!AU$2),"")=0,"",IFERROR(INDEX(#REF!,MATCH('MM01'!$B45,#REF!,0),'MM01'!AU$2),""))</f>
        <v/>
      </c>
      <c r="AV45" s="51"/>
    </row>
    <row r="46" spans="1:48" x14ac:dyDescent="0.2">
      <c r="A46" s="7" t="str">
        <f t="shared" si="2"/>
        <v>Execução 42</v>
      </c>
      <c r="B46" s="36"/>
      <c r="C46" s="57"/>
      <c r="D46" s="41">
        <f t="shared" si="4"/>
        <v>0</v>
      </c>
      <c r="E46" s="56"/>
      <c r="G46" s="39" t="s">
        <v>101</v>
      </c>
      <c r="H46" s="39" t="s">
        <v>102</v>
      </c>
      <c r="I46" s="39" t="s">
        <v>103</v>
      </c>
      <c r="J46" s="39" t="s">
        <v>104</v>
      </c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9"/>
      <c r="W46" s="39"/>
      <c r="X46" s="39"/>
      <c r="Y46" s="39"/>
      <c r="Z46" s="39"/>
      <c r="AA46" s="39"/>
      <c r="AB46" s="39"/>
      <c r="AC46" s="39"/>
      <c r="AD46" s="39"/>
      <c r="AE46" s="39"/>
      <c r="AF46" s="39"/>
      <c r="AG46" s="39"/>
      <c r="AI46" s="37" t="str">
        <f>IF(IFERROR(INDEX(#REF!,MATCH('MM01'!$B46,#REF!,0),'MM01'!AI$2),"")=0,"",IFERROR(INDEX(#REF!,MATCH('MM01'!$B46,#REF!,0),'MM01'!AI$2),""))</f>
        <v/>
      </c>
      <c r="AJ46" s="39"/>
      <c r="AK46" s="40" t="str">
        <f t="shared" ca="1" si="3"/>
        <v/>
      </c>
      <c r="AL46" s="41">
        <f t="shared" si="5"/>
        <v>0</v>
      </c>
      <c r="AM46" s="42">
        <v>1</v>
      </c>
      <c r="AN46" s="42" t="s">
        <v>178</v>
      </c>
      <c r="AO46" s="42" t="s">
        <v>178</v>
      </c>
      <c r="AP46" s="42" t="s">
        <v>633</v>
      </c>
      <c r="AQ46" s="38">
        <v>1</v>
      </c>
      <c r="AR46" s="38" t="s">
        <v>324</v>
      </c>
      <c r="AS46" s="42" t="s">
        <v>181</v>
      </c>
      <c r="AT46" s="42" t="s">
        <v>181</v>
      </c>
      <c r="AU46" s="37" t="str">
        <f>IF(IFERROR(INDEX(#REF!,MATCH('MM01'!$B46,#REF!,0),'MM01'!AU$2),"")=0,"",IFERROR(INDEX(#REF!,MATCH('MM01'!$B46,#REF!,0),'MM01'!AU$2),""))</f>
        <v/>
      </c>
      <c r="AV46" s="51"/>
    </row>
    <row r="47" spans="1:48" x14ac:dyDescent="0.2">
      <c r="A47" s="7" t="str">
        <f t="shared" si="2"/>
        <v>Execução 43</v>
      </c>
      <c r="B47" s="36"/>
      <c r="C47" s="57"/>
      <c r="D47" s="41">
        <f t="shared" si="4"/>
        <v>0</v>
      </c>
      <c r="E47" s="56"/>
      <c r="G47" s="39" t="s">
        <v>101</v>
      </c>
      <c r="H47" s="39" t="s">
        <v>102</v>
      </c>
      <c r="I47" s="39" t="s">
        <v>103</v>
      </c>
      <c r="J47" s="39" t="s">
        <v>104</v>
      </c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9"/>
      <c r="W47" s="39"/>
      <c r="X47" s="39"/>
      <c r="Y47" s="39"/>
      <c r="Z47" s="39"/>
      <c r="AA47" s="39"/>
      <c r="AB47" s="39"/>
      <c r="AC47" s="39"/>
      <c r="AD47" s="39"/>
      <c r="AE47" s="39"/>
      <c r="AF47" s="39"/>
      <c r="AG47" s="39"/>
      <c r="AI47" s="37" t="str">
        <f>IF(IFERROR(INDEX(#REF!,MATCH('MM01'!$B47,#REF!,0),'MM01'!AI$2),"")=0,"",IFERROR(INDEX(#REF!,MATCH('MM01'!$B47,#REF!,0),'MM01'!AI$2),""))</f>
        <v/>
      </c>
      <c r="AJ47" s="39"/>
      <c r="AK47" s="40" t="str">
        <f t="shared" ca="1" si="3"/>
        <v/>
      </c>
      <c r="AL47" s="41">
        <f t="shared" si="5"/>
        <v>0</v>
      </c>
      <c r="AM47" s="42">
        <v>1</v>
      </c>
      <c r="AN47" s="42" t="s">
        <v>178</v>
      </c>
      <c r="AO47" s="42" t="s">
        <v>178</v>
      </c>
      <c r="AP47" s="42" t="s">
        <v>633</v>
      </c>
      <c r="AQ47" s="38">
        <v>1</v>
      </c>
      <c r="AR47" s="38" t="s">
        <v>324</v>
      </c>
      <c r="AS47" s="42" t="s">
        <v>181</v>
      </c>
      <c r="AT47" s="42" t="s">
        <v>181</v>
      </c>
      <c r="AU47" s="37" t="str">
        <f>IF(IFERROR(INDEX(#REF!,MATCH('MM01'!$B47,#REF!,0),'MM01'!AU$2),"")=0,"",IFERROR(INDEX(#REF!,MATCH('MM01'!$B47,#REF!,0),'MM01'!AU$2),""))</f>
        <v/>
      </c>
      <c r="AV47" s="51"/>
    </row>
    <row r="48" spans="1:48" x14ac:dyDescent="0.2">
      <c r="A48" s="7" t="str">
        <f t="shared" si="2"/>
        <v>Execução 44</v>
      </c>
      <c r="B48" s="36"/>
      <c r="C48" s="57"/>
      <c r="D48" s="41">
        <f t="shared" si="4"/>
        <v>0</v>
      </c>
      <c r="E48" s="56"/>
      <c r="G48" s="39" t="s">
        <v>101</v>
      </c>
      <c r="H48" s="39" t="s">
        <v>102</v>
      </c>
      <c r="I48" s="39" t="s">
        <v>103</v>
      </c>
      <c r="J48" s="39" t="s">
        <v>104</v>
      </c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9"/>
      <c r="W48" s="39"/>
      <c r="X48" s="39"/>
      <c r="Y48" s="39"/>
      <c r="Z48" s="39"/>
      <c r="AA48" s="39"/>
      <c r="AB48" s="39"/>
      <c r="AC48" s="39"/>
      <c r="AD48" s="39"/>
      <c r="AE48" s="39"/>
      <c r="AF48" s="39"/>
      <c r="AG48" s="39"/>
      <c r="AI48" s="37" t="str">
        <f>IF(IFERROR(INDEX(#REF!,MATCH('MM01'!$B48,#REF!,0),'MM01'!AI$2),"")=0,"",IFERROR(INDEX(#REF!,MATCH('MM01'!$B48,#REF!,0),'MM01'!AI$2),""))</f>
        <v/>
      </c>
      <c r="AJ48" s="39"/>
      <c r="AK48" s="40" t="str">
        <f t="shared" ca="1" si="3"/>
        <v/>
      </c>
      <c r="AL48" s="41">
        <f t="shared" si="5"/>
        <v>0</v>
      </c>
      <c r="AM48" s="42">
        <v>1</v>
      </c>
      <c r="AN48" s="42" t="s">
        <v>178</v>
      </c>
      <c r="AO48" s="42" t="s">
        <v>178</v>
      </c>
      <c r="AP48" s="42" t="s">
        <v>633</v>
      </c>
      <c r="AQ48" s="38">
        <v>1</v>
      </c>
      <c r="AR48" s="38" t="s">
        <v>324</v>
      </c>
      <c r="AS48" s="42" t="s">
        <v>181</v>
      </c>
      <c r="AT48" s="42" t="s">
        <v>181</v>
      </c>
      <c r="AU48" s="37" t="str">
        <f>IF(IFERROR(INDEX(#REF!,MATCH('MM01'!$B48,#REF!,0),'MM01'!AU$2),"")=0,"",IFERROR(INDEX(#REF!,MATCH('MM01'!$B48,#REF!,0),'MM01'!AU$2),""))</f>
        <v/>
      </c>
      <c r="AV48" s="51"/>
    </row>
    <row r="49" spans="1:48" x14ac:dyDescent="0.2">
      <c r="A49" s="7" t="str">
        <f t="shared" si="2"/>
        <v>Execução 45</v>
      </c>
      <c r="B49" s="36"/>
      <c r="C49" s="57"/>
      <c r="D49" s="41">
        <f t="shared" si="4"/>
        <v>0</v>
      </c>
      <c r="E49" s="56"/>
      <c r="G49" s="39" t="s">
        <v>101</v>
      </c>
      <c r="H49" s="39" t="s">
        <v>102</v>
      </c>
      <c r="I49" s="39" t="s">
        <v>103</v>
      </c>
      <c r="J49" s="39" t="s">
        <v>104</v>
      </c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9"/>
      <c r="W49" s="39"/>
      <c r="X49" s="39"/>
      <c r="Y49" s="39"/>
      <c r="Z49" s="39"/>
      <c r="AA49" s="39"/>
      <c r="AB49" s="39"/>
      <c r="AC49" s="39"/>
      <c r="AD49" s="39"/>
      <c r="AE49" s="39"/>
      <c r="AF49" s="39"/>
      <c r="AG49" s="39"/>
      <c r="AI49" s="37" t="str">
        <f>IF(IFERROR(INDEX(#REF!,MATCH('MM01'!$B49,#REF!,0),'MM01'!AI$2),"")=0,"",IFERROR(INDEX(#REF!,MATCH('MM01'!$B49,#REF!,0),'MM01'!AI$2),""))</f>
        <v/>
      </c>
      <c r="AJ49" s="39"/>
      <c r="AK49" s="40" t="str">
        <f t="shared" ca="1" si="3"/>
        <v/>
      </c>
      <c r="AL49" s="41">
        <f t="shared" si="5"/>
        <v>0</v>
      </c>
      <c r="AM49" s="42">
        <v>1</v>
      </c>
      <c r="AN49" s="42" t="s">
        <v>178</v>
      </c>
      <c r="AO49" s="42" t="s">
        <v>178</v>
      </c>
      <c r="AP49" s="42" t="s">
        <v>633</v>
      </c>
      <c r="AQ49" s="38">
        <v>1</v>
      </c>
      <c r="AR49" s="38" t="s">
        <v>324</v>
      </c>
      <c r="AS49" s="42" t="s">
        <v>181</v>
      </c>
      <c r="AT49" s="42" t="s">
        <v>181</v>
      </c>
      <c r="AU49" s="37" t="str">
        <f>IF(IFERROR(INDEX(#REF!,MATCH('MM01'!$B49,#REF!,0),'MM01'!AU$2),"")=0,"",IFERROR(INDEX(#REF!,MATCH('MM01'!$B49,#REF!,0),'MM01'!AU$2),""))</f>
        <v/>
      </c>
      <c r="AV49" s="51"/>
    </row>
    <row r="50" spans="1:48" x14ac:dyDescent="0.2">
      <c r="A50" s="7" t="str">
        <f t="shared" si="2"/>
        <v>Execução 46</v>
      </c>
      <c r="B50" s="36"/>
      <c r="C50" s="57"/>
      <c r="D50" s="41">
        <f t="shared" si="4"/>
        <v>0</v>
      </c>
      <c r="E50" s="56"/>
      <c r="G50" s="39" t="s">
        <v>101</v>
      </c>
      <c r="H50" s="39" t="s">
        <v>102</v>
      </c>
      <c r="I50" s="39" t="s">
        <v>103</v>
      </c>
      <c r="J50" s="39" t="s">
        <v>104</v>
      </c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9"/>
      <c r="W50" s="39"/>
      <c r="X50" s="39"/>
      <c r="Y50" s="39"/>
      <c r="Z50" s="39"/>
      <c r="AA50" s="39"/>
      <c r="AB50" s="39"/>
      <c r="AC50" s="39"/>
      <c r="AD50" s="39"/>
      <c r="AE50" s="39"/>
      <c r="AF50" s="39"/>
      <c r="AG50" s="39"/>
      <c r="AI50" s="37" t="str">
        <f>IF(IFERROR(INDEX(#REF!,MATCH('MM01'!$B50,#REF!,0),'MM01'!AI$2),"")=0,"",IFERROR(INDEX(#REF!,MATCH('MM01'!$B50,#REF!,0),'MM01'!AI$2),""))</f>
        <v/>
      </c>
      <c r="AJ50" s="39"/>
      <c r="AK50" s="40" t="str">
        <f t="shared" ca="1" si="3"/>
        <v/>
      </c>
      <c r="AL50" s="41">
        <f t="shared" si="5"/>
        <v>0</v>
      </c>
      <c r="AM50" s="42">
        <v>1</v>
      </c>
      <c r="AN50" s="42" t="s">
        <v>178</v>
      </c>
      <c r="AO50" s="42" t="s">
        <v>178</v>
      </c>
      <c r="AP50" s="42" t="s">
        <v>633</v>
      </c>
      <c r="AQ50" s="38">
        <v>1</v>
      </c>
      <c r="AR50" s="38" t="s">
        <v>324</v>
      </c>
      <c r="AS50" s="42" t="s">
        <v>181</v>
      </c>
      <c r="AT50" s="42" t="s">
        <v>181</v>
      </c>
      <c r="AU50" s="37" t="str">
        <f>IF(IFERROR(INDEX(#REF!,MATCH('MM01'!$B50,#REF!,0),'MM01'!AU$2),"")=0,"",IFERROR(INDEX(#REF!,MATCH('MM01'!$B50,#REF!,0),'MM01'!AU$2),""))</f>
        <v/>
      </c>
      <c r="AV50" s="51"/>
    </row>
    <row r="51" spans="1:48" x14ac:dyDescent="0.2">
      <c r="A51" s="7" t="str">
        <f t="shared" si="2"/>
        <v>Execução 47</v>
      </c>
      <c r="B51" s="36"/>
      <c r="C51" s="57"/>
      <c r="D51" s="41">
        <f t="shared" si="4"/>
        <v>0</v>
      </c>
      <c r="E51" s="56"/>
      <c r="G51" s="39" t="s">
        <v>101</v>
      </c>
      <c r="H51" s="39" t="s">
        <v>102</v>
      </c>
      <c r="I51" s="39" t="s">
        <v>103</v>
      </c>
      <c r="J51" s="39" t="s">
        <v>104</v>
      </c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9"/>
      <c r="W51" s="39"/>
      <c r="X51" s="39"/>
      <c r="Y51" s="39"/>
      <c r="Z51" s="39"/>
      <c r="AA51" s="39"/>
      <c r="AB51" s="39"/>
      <c r="AC51" s="39"/>
      <c r="AD51" s="39"/>
      <c r="AE51" s="39"/>
      <c r="AF51" s="39"/>
      <c r="AG51" s="39"/>
      <c r="AI51" s="37" t="str">
        <f>IF(IFERROR(INDEX(#REF!,MATCH('MM01'!$B51,#REF!,0),'MM01'!AI$2),"")=0,"",IFERROR(INDEX(#REF!,MATCH('MM01'!$B51,#REF!,0),'MM01'!AI$2),""))</f>
        <v/>
      </c>
      <c r="AJ51" s="39"/>
      <c r="AK51" s="40" t="str">
        <f t="shared" ca="1" si="3"/>
        <v/>
      </c>
      <c r="AL51" s="41">
        <f t="shared" si="5"/>
        <v>0</v>
      </c>
      <c r="AM51" s="42">
        <v>1</v>
      </c>
      <c r="AN51" s="42" t="s">
        <v>178</v>
      </c>
      <c r="AO51" s="42" t="s">
        <v>178</v>
      </c>
      <c r="AP51" s="42" t="s">
        <v>633</v>
      </c>
      <c r="AQ51" s="38">
        <v>1</v>
      </c>
      <c r="AR51" s="38" t="s">
        <v>324</v>
      </c>
      <c r="AS51" s="42" t="s">
        <v>181</v>
      </c>
      <c r="AT51" s="42" t="s">
        <v>181</v>
      </c>
      <c r="AU51" s="37" t="str">
        <f>IF(IFERROR(INDEX(#REF!,MATCH('MM01'!$B51,#REF!,0),'MM01'!AU$2),"")=0,"",IFERROR(INDEX(#REF!,MATCH('MM01'!$B51,#REF!,0),'MM01'!AU$2),""))</f>
        <v/>
      </c>
      <c r="AV51" s="51"/>
    </row>
    <row r="52" spans="1:48" x14ac:dyDescent="0.2">
      <c r="A52" s="7" t="str">
        <f t="shared" si="2"/>
        <v>Execução 48</v>
      </c>
      <c r="B52" s="36"/>
      <c r="C52" s="57"/>
      <c r="D52" s="41">
        <f t="shared" si="4"/>
        <v>0</v>
      </c>
      <c r="E52" s="56"/>
      <c r="G52" s="39" t="s">
        <v>101</v>
      </c>
      <c r="H52" s="39" t="s">
        <v>102</v>
      </c>
      <c r="I52" s="39" t="s">
        <v>103</v>
      </c>
      <c r="J52" s="39" t="s">
        <v>104</v>
      </c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9"/>
      <c r="W52" s="39"/>
      <c r="X52" s="39"/>
      <c r="Y52" s="39"/>
      <c r="Z52" s="39"/>
      <c r="AA52" s="39"/>
      <c r="AB52" s="39"/>
      <c r="AC52" s="39"/>
      <c r="AD52" s="39"/>
      <c r="AE52" s="39"/>
      <c r="AF52" s="39"/>
      <c r="AG52" s="39"/>
      <c r="AI52" s="37" t="str">
        <f>IF(IFERROR(INDEX(#REF!,MATCH('MM01'!$B52,#REF!,0),'MM01'!AI$2),"")=0,"",IFERROR(INDEX(#REF!,MATCH('MM01'!$B52,#REF!,0),'MM01'!AI$2),""))</f>
        <v/>
      </c>
      <c r="AJ52" s="39"/>
      <c r="AK52" s="40" t="str">
        <f t="shared" ca="1" si="3"/>
        <v/>
      </c>
      <c r="AL52" s="41">
        <f t="shared" si="5"/>
        <v>0</v>
      </c>
      <c r="AM52" s="42">
        <v>1</v>
      </c>
      <c r="AN52" s="42" t="s">
        <v>178</v>
      </c>
      <c r="AO52" s="42" t="s">
        <v>178</v>
      </c>
      <c r="AP52" s="42" t="s">
        <v>633</v>
      </c>
      <c r="AQ52" s="38">
        <v>1</v>
      </c>
      <c r="AR52" s="38" t="s">
        <v>324</v>
      </c>
      <c r="AS52" s="42" t="s">
        <v>181</v>
      </c>
      <c r="AT52" s="42" t="s">
        <v>181</v>
      </c>
      <c r="AU52" s="37" t="str">
        <f>IF(IFERROR(INDEX(#REF!,MATCH('MM01'!$B52,#REF!,0),'MM01'!AU$2),"")=0,"",IFERROR(INDEX(#REF!,MATCH('MM01'!$B52,#REF!,0),'MM01'!AU$2),""))</f>
        <v/>
      </c>
      <c r="AV52" s="51"/>
    </row>
    <row r="53" spans="1:48" x14ac:dyDescent="0.2">
      <c r="A53" s="7" t="str">
        <f t="shared" si="2"/>
        <v>Execução 49</v>
      </c>
      <c r="B53" s="36"/>
      <c r="C53" s="57"/>
      <c r="D53" s="41">
        <f t="shared" si="4"/>
        <v>0</v>
      </c>
      <c r="E53" s="56"/>
      <c r="G53" s="39" t="s">
        <v>101</v>
      </c>
      <c r="H53" s="39" t="s">
        <v>102</v>
      </c>
      <c r="I53" s="39" t="s">
        <v>103</v>
      </c>
      <c r="J53" s="39" t="s">
        <v>104</v>
      </c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9"/>
      <c r="W53" s="39"/>
      <c r="X53" s="39"/>
      <c r="Y53" s="39"/>
      <c r="Z53" s="39"/>
      <c r="AA53" s="39"/>
      <c r="AB53" s="39"/>
      <c r="AC53" s="39"/>
      <c r="AD53" s="39"/>
      <c r="AE53" s="39"/>
      <c r="AF53" s="39"/>
      <c r="AG53" s="39"/>
      <c r="AI53" s="37" t="str">
        <f>IF(IFERROR(INDEX(#REF!,MATCH('MM01'!$B53,#REF!,0),'MM01'!AI$2),"")=0,"",IFERROR(INDEX(#REF!,MATCH('MM01'!$B53,#REF!,0),'MM01'!AI$2),""))</f>
        <v/>
      </c>
      <c r="AJ53" s="39"/>
      <c r="AK53" s="40" t="str">
        <f t="shared" ca="1" si="3"/>
        <v/>
      </c>
      <c r="AL53" s="41">
        <f t="shared" si="5"/>
        <v>0</v>
      </c>
      <c r="AM53" s="42">
        <v>1</v>
      </c>
      <c r="AN53" s="42" t="s">
        <v>178</v>
      </c>
      <c r="AO53" s="42" t="s">
        <v>178</v>
      </c>
      <c r="AP53" s="42" t="s">
        <v>633</v>
      </c>
      <c r="AQ53" s="38">
        <v>1</v>
      </c>
      <c r="AR53" s="38" t="s">
        <v>324</v>
      </c>
      <c r="AS53" s="42" t="s">
        <v>181</v>
      </c>
      <c r="AT53" s="42" t="s">
        <v>181</v>
      </c>
      <c r="AU53" s="37" t="str">
        <f>IF(IFERROR(INDEX(#REF!,MATCH('MM01'!$B53,#REF!,0),'MM01'!AU$2),"")=0,"",IFERROR(INDEX(#REF!,MATCH('MM01'!$B53,#REF!,0),'MM01'!AU$2),""))</f>
        <v/>
      </c>
      <c r="AV53" s="51"/>
    </row>
    <row r="54" spans="1:48" x14ac:dyDescent="0.2">
      <c r="A54" s="7" t="str">
        <f t="shared" si="2"/>
        <v>Execução 50</v>
      </c>
      <c r="B54" s="36"/>
      <c r="C54" s="57"/>
      <c r="D54" s="41">
        <f t="shared" si="4"/>
        <v>0</v>
      </c>
      <c r="E54" s="56"/>
      <c r="G54" s="39" t="s">
        <v>101</v>
      </c>
      <c r="H54" s="39" t="s">
        <v>102</v>
      </c>
      <c r="I54" s="39" t="s">
        <v>103</v>
      </c>
      <c r="J54" s="39" t="s">
        <v>104</v>
      </c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9"/>
      <c r="W54" s="39"/>
      <c r="X54" s="39"/>
      <c r="Y54" s="39"/>
      <c r="Z54" s="39"/>
      <c r="AA54" s="39"/>
      <c r="AB54" s="39"/>
      <c r="AC54" s="39"/>
      <c r="AD54" s="39"/>
      <c r="AE54" s="39"/>
      <c r="AF54" s="39"/>
      <c r="AG54" s="39"/>
      <c r="AI54" s="37" t="str">
        <f>IF(IFERROR(INDEX(#REF!,MATCH('MM01'!$B54,#REF!,0),'MM01'!AI$2),"")=0,"",IFERROR(INDEX(#REF!,MATCH('MM01'!$B54,#REF!,0),'MM01'!AI$2),""))</f>
        <v/>
      </c>
      <c r="AJ54" s="39"/>
      <c r="AK54" s="40" t="str">
        <f t="shared" ca="1" si="3"/>
        <v/>
      </c>
      <c r="AL54" s="41">
        <f t="shared" si="5"/>
        <v>0</v>
      </c>
      <c r="AM54" s="42">
        <v>1</v>
      </c>
      <c r="AN54" s="42" t="s">
        <v>178</v>
      </c>
      <c r="AO54" s="42" t="s">
        <v>178</v>
      </c>
      <c r="AP54" s="42" t="s">
        <v>633</v>
      </c>
      <c r="AQ54" s="38">
        <v>1</v>
      </c>
      <c r="AR54" s="38" t="s">
        <v>324</v>
      </c>
      <c r="AS54" s="42" t="s">
        <v>181</v>
      </c>
      <c r="AT54" s="42" t="s">
        <v>181</v>
      </c>
      <c r="AU54" s="37" t="str">
        <f>IF(IFERROR(INDEX(#REF!,MATCH('MM01'!$B54,#REF!,0),'MM01'!AU$2),"")=0,"",IFERROR(INDEX(#REF!,MATCH('MM01'!$B54,#REF!,0),'MM01'!AU$2),""))</f>
        <v/>
      </c>
      <c r="AV54" s="52"/>
    </row>
  </sheetData>
  <sortState ref="B5:B61">
    <sortCondition ref="B5"/>
  </sortState>
  <mergeCells count="3">
    <mergeCell ref="G3:AG3"/>
    <mergeCell ref="AH1:AH2"/>
    <mergeCell ref="F1:F2"/>
  </mergeCells>
  <conditionalFormatting sqref="B5">
    <cfRule type="beginsWith" dxfId="18" priority="96" operator="beginsWith" text="L">
      <formula>LEFT(B5,LEN("L"))="L"</formula>
    </cfRule>
  </conditionalFormatting>
  <conditionalFormatting sqref="AI5">
    <cfRule type="beginsWith" dxfId="17" priority="59" operator="beginsWith" text="L">
      <formula>LEFT(AI5,LEN("L"))="L"</formula>
    </cfRule>
  </conditionalFormatting>
  <conditionalFormatting sqref="AU5">
    <cfRule type="beginsWith" dxfId="16" priority="58" operator="beginsWith" text="L">
      <formula>LEFT(AU5,LEN("L"))="L"</formula>
    </cfRule>
  </conditionalFormatting>
  <conditionalFormatting sqref="B9:B54">
    <cfRule type="beginsWith" dxfId="15" priority="34" operator="beginsWith" text="L">
      <formula>LEFT(B9,LEN("L"))="L"</formula>
    </cfRule>
  </conditionalFormatting>
  <conditionalFormatting sqref="AI6:AI54">
    <cfRule type="beginsWith" dxfId="14" priority="27" operator="beginsWith" text="L">
      <formula>LEFT(AI6,LEN("L"))="L"</formula>
    </cfRule>
  </conditionalFormatting>
  <conditionalFormatting sqref="AU6:AU54">
    <cfRule type="beginsWith" dxfId="13" priority="26" operator="beginsWith" text="L">
      <formula>LEFT(AU6,LEN("L"))="L"</formula>
    </cfRule>
  </conditionalFormatting>
  <conditionalFormatting sqref="AV1:AV1048576">
    <cfRule type="containsText" dxfId="12" priority="13" operator="containsText" text="criadas">
      <formula>NOT(ISERROR(SEARCH("criadas",AV1)))</formula>
    </cfRule>
    <cfRule type="containsText" dxfId="11" priority="15" operator="containsText" text="é gravado">
      <formula>NOT(ISERROR(SEARCH("é gravado",AV1)))</formula>
    </cfRule>
    <cfRule type="containsText" dxfId="10" priority="16" operator="containsText" text="é modificado">
      <formula>NOT(ISERROR(SEARCH("é modificado",AV1)))</formula>
    </cfRule>
    <cfRule type="containsText" dxfId="9" priority="17" operator="containsText" text="Error">
      <formula>NOT(ISERROR(SEARCH("Error",AV1)))</formula>
    </cfRule>
    <cfRule type="containsText" dxfId="8" priority="18" operator="containsText" text="é criado">
      <formula>NOT(ISERROR(SEARCH("é criado",AV1)))</formula>
    </cfRule>
  </conditionalFormatting>
  <conditionalFormatting sqref="C5:C54">
    <cfRule type="beginsWith" dxfId="7" priority="10" operator="beginsWith" text="L">
      <formula>LEFT(C5,LEN("L"))="L"</formula>
    </cfRule>
  </conditionalFormatting>
  <conditionalFormatting sqref="E5:E54">
    <cfRule type="beginsWith" dxfId="6" priority="8" operator="beginsWith" text="L">
      <formula>LEFT(E5,LEN("L"))="L"</formula>
    </cfRule>
  </conditionalFormatting>
  <conditionalFormatting sqref="B6">
    <cfRule type="beginsWith" dxfId="5" priority="3" operator="beginsWith" text="L">
      <formula>LEFT(B6,LEN("L"))="L"</formula>
    </cfRule>
  </conditionalFormatting>
  <conditionalFormatting sqref="B7">
    <cfRule type="beginsWith" dxfId="4" priority="2" operator="beginsWith" text="L">
      <formula>LEFT(B7,LEN("L"))="L"</formula>
    </cfRule>
  </conditionalFormatting>
  <conditionalFormatting sqref="B8">
    <cfRule type="beginsWith" dxfId="3" priority="1" operator="beginsWith" text="L">
      <formula>LEFT(B8,LEN("L"))="L"</formula>
    </cfRule>
  </conditionalFormatting>
  <dataValidations count="1">
    <dataValidation type="list" allowBlank="1" showInputMessage="1" showErrorMessage="1" sqref="AQ5:AQ54">
      <formula1>"0,1"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>
          <x14:formula1>
            <xm:f>'Listas de Dados'!$J$4:$J$29</xm:f>
          </x14:formula1>
          <xm:sqref>G5:AG54</xm:sqref>
        </x14:dataValidation>
        <x14:dataValidation type="list" allowBlank="1" showInputMessage="1" showErrorMessage="1">
          <x14:formula1>
            <xm:f>'Listas de Dados'!$B$4:$B$5</xm:f>
          </x14:formula1>
          <xm:sqref>D5:D54</xm:sqref>
        </x14:dataValidation>
        <x14:dataValidation type="list" allowBlank="1" showInputMessage="1" showErrorMessage="1">
          <x14:formula1>
            <xm:f>'Listas de Dados'!$AA$4:$AA$5</xm:f>
          </x14:formula1>
          <xm:sqref>AJ5:AJ54</xm:sqref>
        </x14:dataValidation>
        <x14:dataValidation type="list" allowBlank="1" showInputMessage="1" showErrorMessage="1">
          <x14:formula1>
            <xm:f>'Listas de Dados'!$AI$4:$AI$11</xm:f>
          </x14:formula1>
          <xm:sqref>AR5:AR54</xm:sqref>
        </x14:dataValidation>
        <x14:dataValidation type="list" allowBlank="1" showInputMessage="1" showErrorMessage="1">
          <x14:formula1>
            <xm:f>'Listas de Dados'!$BR$4:$BR$6</xm:f>
          </x14:formula1>
          <xm:sqref>AI5:AI54</xm:sqref>
        </x14:dataValidation>
        <x14:dataValidation type="list" allowBlank="1" showInputMessage="1" showErrorMessage="1">
          <x14:formula1>
            <xm:f>'Listas de Dados'!$D$4:$D$8</xm:f>
          </x14:formula1>
          <xm:sqref>E5:E54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">
    <tabColor theme="1"/>
  </sheetPr>
  <dimension ref="A1:BW87"/>
  <sheetViews>
    <sheetView showGridLines="0" showRowColHeaders="0" workbookViewId="0">
      <selection activeCell="A7" sqref="A7"/>
    </sheetView>
  </sheetViews>
  <sheetFormatPr defaultRowHeight="12.75" x14ac:dyDescent="0.2"/>
  <cols>
    <col min="1" max="1" width="100.42578125" style="6" customWidth="1"/>
    <col min="2" max="2" width="8.42578125" style="6" customWidth="1"/>
    <col min="3" max="3" width="10.140625" style="6" customWidth="1"/>
    <col min="4" max="4" width="24" style="6" customWidth="1"/>
    <col min="5" max="5" width="12.5703125" style="6" customWidth="1"/>
    <col min="6" max="6" width="2.5703125" style="6" customWidth="1"/>
    <col min="7" max="7" width="12.85546875" style="6" customWidth="1"/>
    <col min="8" max="8" width="29.42578125" style="6" customWidth="1"/>
    <col min="9" max="9" width="2.5703125" style="6" customWidth="1"/>
    <col min="10" max="10" width="28.140625" style="6" customWidth="1"/>
    <col min="11" max="11" width="21.140625" style="6" customWidth="1"/>
    <col min="12" max="12" width="2.5703125" style="6" customWidth="1"/>
    <col min="13" max="13" width="12.85546875" style="6" customWidth="1"/>
    <col min="14" max="14" width="14.28515625" style="6" customWidth="1"/>
    <col min="15" max="15" width="2.5703125" style="6" customWidth="1"/>
    <col min="16" max="16" width="3.5703125" style="6" customWidth="1"/>
    <col min="17" max="17" width="11.5703125" style="6" customWidth="1"/>
    <col min="18" max="18" width="3.5703125" style="6" customWidth="1"/>
    <col min="19" max="19" width="11.5703125" style="6" customWidth="1"/>
    <col min="20" max="20" width="3.5703125" style="6" customWidth="1"/>
    <col min="21" max="21" width="11.5703125" style="6" customWidth="1"/>
    <col min="22" max="22" width="5.5703125" style="6" customWidth="1"/>
    <col min="23" max="23" width="23" style="6" customWidth="1"/>
    <col min="24" max="24" width="3.5703125" style="6" customWidth="1"/>
    <col min="25" max="25" width="41.42578125" style="6" customWidth="1"/>
    <col min="26" max="26" width="2.5703125" style="6" customWidth="1"/>
    <col min="27" max="27" width="12.85546875" style="6" customWidth="1"/>
    <col min="28" max="28" width="13.140625" style="6" customWidth="1"/>
    <col min="29" max="29" width="2.5703125" style="6" customWidth="1"/>
    <col min="30" max="30" width="12.85546875" style="6" customWidth="1"/>
    <col min="31" max="31" width="7.140625" style="6" customWidth="1"/>
    <col min="32" max="32" width="2.5703125" style="6" customWidth="1"/>
    <col min="33" max="33" width="23.5703125" style="6" customWidth="1"/>
    <col min="34" max="34" width="2.5703125" style="6" customWidth="1"/>
    <col min="35" max="35" width="12.85546875" style="6" customWidth="1"/>
    <col min="36" max="36" width="18.85546875" style="6" customWidth="1"/>
    <col min="37" max="37" width="2.5703125" style="6" customWidth="1"/>
    <col min="38" max="38" width="12.85546875" style="6" customWidth="1"/>
    <col min="39" max="39" width="16.5703125" style="6" customWidth="1"/>
    <col min="40" max="40" width="2.5703125" style="6" customWidth="1"/>
    <col min="41" max="41" width="12.85546875" style="6" customWidth="1"/>
    <col min="42" max="42" width="29.42578125" style="6" customWidth="1"/>
    <col min="43" max="43" width="2.5703125" style="6" customWidth="1"/>
    <col min="44" max="44" width="12.85546875" style="6" customWidth="1"/>
    <col min="45" max="45" width="18.85546875" style="6" customWidth="1"/>
    <col min="46" max="46" width="2.5703125" style="6" customWidth="1"/>
    <col min="47" max="47" width="12.85546875" style="6" customWidth="1"/>
    <col min="48" max="48" width="38.140625" style="6" customWidth="1"/>
    <col min="49" max="49" width="2.5703125" style="6" customWidth="1"/>
    <col min="50" max="50" width="12.85546875" style="6" customWidth="1"/>
    <col min="51" max="51" width="21.5703125" style="6" customWidth="1"/>
    <col min="52" max="52" width="2.5703125" style="6" customWidth="1"/>
    <col min="53" max="53" width="9.85546875" style="6" customWidth="1"/>
    <col min="54" max="54" width="10.7109375" style="6" customWidth="1"/>
    <col min="55" max="55" width="3.85546875" style="6" customWidth="1"/>
    <col min="56" max="56" width="14.140625" style="6" customWidth="1"/>
    <col min="57" max="57" width="2.5703125" style="6" customWidth="1"/>
    <col min="58" max="58" width="12.85546875" style="6" customWidth="1"/>
    <col min="59" max="59" width="31.28515625" style="6" customWidth="1"/>
    <col min="60" max="60" width="8.42578125" style="6" customWidth="1"/>
    <col min="61" max="61" width="2.5703125" style="6" customWidth="1"/>
    <col min="62" max="62" width="8.42578125" style="6" customWidth="1"/>
    <col min="63" max="63" width="17.5703125" style="6" customWidth="1"/>
    <col min="64" max="64" width="2.5703125" style="6" customWidth="1"/>
    <col min="65" max="65" width="17.5703125" style="6" customWidth="1"/>
    <col min="66" max="66" width="2.5703125" style="6" customWidth="1"/>
    <col min="67" max="67" width="11.85546875" style="6" customWidth="1"/>
    <col min="68" max="68" width="41.7109375" style="6" customWidth="1"/>
    <col min="69" max="69" width="2.5703125" style="6" customWidth="1"/>
    <col min="70" max="70" width="17.5703125" style="6" customWidth="1"/>
    <col min="71" max="71" width="2.5703125" style="6" customWidth="1"/>
    <col min="72" max="72" width="10.140625" style="6" customWidth="1"/>
    <col min="73" max="73" width="8.42578125" style="6" customWidth="1"/>
    <col min="74" max="74" width="29" style="6" customWidth="1"/>
    <col min="75" max="16384" width="9.140625" style="6"/>
  </cols>
  <sheetData>
    <row r="1" spans="1:75" s="2" customFormat="1" ht="17.100000000000001" customHeight="1" x14ac:dyDescent="0.2">
      <c r="A1" s="59" t="s">
        <v>31</v>
      </c>
      <c r="F1" s="15"/>
      <c r="I1" s="15"/>
      <c r="K1" s="21"/>
      <c r="L1" s="15"/>
      <c r="O1" s="15"/>
      <c r="Z1" s="30"/>
      <c r="AA1" s="30"/>
      <c r="AB1" s="30"/>
      <c r="AC1" s="15"/>
      <c r="AF1" s="18"/>
      <c r="AG1" s="18"/>
      <c r="AH1" s="21"/>
      <c r="AI1" s="21"/>
      <c r="AJ1" s="21"/>
      <c r="AK1" s="21"/>
      <c r="AL1" s="21"/>
      <c r="AM1" s="21"/>
      <c r="AN1" s="21"/>
      <c r="AO1" s="21"/>
      <c r="AP1" s="21"/>
      <c r="AQ1" s="21"/>
      <c r="AR1" s="21"/>
      <c r="AS1" s="21"/>
      <c r="AT1" s="21"/>
      <c r="AU1" s="21"/>
      <c r="AV1" s="21"/>
      <c r="AW1" s="21"/>
      <c r="AX1" s="21"/>
      <c r="AY1" s="21"/>
      <c r="AZ1" s="23"/>
      <c r="BA1" s="23"/>
      <c r="BB1" s="23"/>
      <c r="BE1" s="25"/>
      <c r="BF1" s="25"/>
      <c r="BG1" s="25"/>
      <c r="BH1" s="25"/>
      <c r="BI1" s="33"/>
      <c r="BJ1" s="33"/>
      <c r="BK1" s="33"/>
      <c r="BL1" s="43"/>
      <c r="BM1" s="43"/>
      <c r="BN1" s="43"/>
      <c r="BO1" s="43"/>
      <c r="BP1" s="43"/>
      <c r="BQ1" s="43"/>
      <c r="BR1" s="43"/>
      <c r="BS1" s="55"/>
      <c r="BT1" s="55"/>
      <c r="BU1" s="55"/>
    </row>
    <row r="2" spans="1:75" s="2" customFormat="1" ht="17.100000000000001" customHeight="1" x14ac:dyDescent="0.2">
      <c r="A2" s="59"/>
      <c r="B2" s="59" t="s">
        <v>10</v>
      </c>
      <c r="C2" s="59"/>
      <c r="D2" s="59"/>
      <c r="E2" s="59"/>
      <c r="F2" s="15"/>
      <c r="G2" s="59" t="s">
        <v>33</v>
      </c>
      <c r="H2" s="59"/>
      <c r="I2" s="15"/>
      <c r="J2" s="59" t="s">
        <v>124</v>
      </c>
      <c r="K2" s="59"/>
      <c r="L2" s="15"/>
      <c r="M2" s="59" t="s">
        <v>158</v>
      </c>
      <c r="N2" s="59"/>
      <c r="O2" s="15"/>
      <c r="P2" s="59" t="s">
        <v>170</v>
      </c>
      <c r="Q2" s="59"/>
      <c r="R2" s="59"/>
      <c r="S2" s="59"/>
      <c r="T2" s="59"/>
      <c r="U2" s="59"/>
      <c r="V2" s="59"/>
      <c r="W2" s="59"/>
      <c r="X2" s="59"/>
      <c r="Y2" s="59"/>
      <c r="Z2" s="30"/>
      <c r="AA2" s="59" t="s">
        <v>272</v>
      </c>
      <c r="AB2" s="59"/>
      <c r="AC2" s="15"/>
      <c r="AD2" s="59" t="s">
        <v>275</v>
      </c>
      <c r="AE2" s="59"/>
      <c r="AF2" s="18"/>
      <c r="AG2" s="18" t="s">
        <v>275</v>
      </c>
      <c r="AH2" s="21"/>
      <c r="AI2" s="59" t="s">
        <v>325</v>
      </c>
      <c r="AJ2" s="59"/>
      <c r="AK2" s="21"/>
      <c r="AL2" s="59" t="s">
        <v>355</v>
      </c>
      <c r="AM2" s="59"/>
      <c r="AN2" s="21"/>
      <c r="AO2" s="59" t="s">
        <v>33</v>
      </c>
      <c r="AP2" s="59"/>
      <c r="AQ2" s="21"/>
      <c r="AR2" s="59" t="s">
        <v>356</v>
      </c>
      <c r="AS2" s="59"/>
      <c r="AT2" s="21"/>
      <c r="AU2" s="59" t="s">
        <v>370</v>
      </c>
      <c r="AV2" s="59"/>
      <c r="AW2" s="21"/>
      <c r="AX2" s="59" t="s">
        <v>432</v>
      </c>
      <c r="AY2" s="59"/>
      <c r="AZ2" s="23"/>
      <c r="BA2" s="59" t="s">
        <v>444</v>
      </c>
      <c r="BB2" s="59"/>
      <c r="BC2" s="59"/>
      <c r="BD2" s="59"/>
      <c r="BE2" s="25"/>
      <c r="BF2" s="59" t="s">
        <v>590</v>
      </c>
      <c r="BG2" s="59"/>
      <c r="BH2" s="59"/>
      <c r="BI2" s="33"/>
      <c r="BJ2" s="59" t="s">
        <v>645</v>
      </c>
      <c r="BK2" s="59"/>
      <c r="BL2" s="43"/>
      <c r="BM2" s="43" t="s">
        <v>96</v>
      </c>
      <c r="BN2" s="43"/>
      <c r="BO2" s="59" t="s">
        <v>716</v>
      </c>
      <c r="BP2" s="59"/>
      <c r="BQ2" s="43"/>
      <c r="BR2" s="43" t="s">
        <v>717</v>
      </c>
      <c r="BS2" s="55"/>
      <c r="BT2" s="59" t="s">
        <v>729</v>
      </c>
      <c r="BU2" s="59"/>
      <c r="BV2" s="59"/>
    </row>
    <row r="3" spans="1:75" s="2" customFormat="1" ht="17.100000000000001" customHeight="1" x14ac:dyDescent="0.2">
      <c r="A3" s="59"/>
      <c r="B3" s="2" t="s">
        <v>0</v>
      </c>
      <c r="C3" s="2" t="s">
        <v>1</v>
      </c>
      <c r="D3" s="2" t="s">
        <v>2</v>
      </c>
      <c r="E3" s="2" t="s">
        <v>3</v>
      </c>
      <c r="F3" s="15"/>
      <c r="G3" s="12" t="s">
        <v>92</v>
      </c>
      <c r="H3" s="12" t="s">
        <v>93</v>
      </c>
      <c r="I3" s="15"/>
      <c r="J3" s="15" t="s">
        <v>286</v>
      </c>
      <c r="K3" s="21" t="s">
        <v>287</v>
      </c>
      <c r="L3" s="15"/>
      <c r="M3" s="15" t="s">
        <v>92</v>
      </c>
      <c r="N3" s="15" t="s">
        <v>93</v>
      </c>
      <c r="O3" s="15"/>
      <c r="P3" s="2" t="s">
        <v>171</v>
      </c>
      <c r="Q3" s="2" t="s">
        <v>93</v>
      </c>
      <c r="R3" s="2" t="s">
        <v>172</v>
      </c>
      <c r="S3" s="21" t="s">
        <v>93</v>
      </c>
      <c r="T3" s="2" t="s">
        <v>173</v>
      </c>
      <c r="U3" s="21" t="s">
        <v>93</v>
      </c>
      <c r="V3" s="2" t="s">
        <v>174</v>
      </c>
      <c r="W3" s="21" t="s">
        <v>93</v>
      </c>
      <c r="X3" s="2" t="s">
        <v>175</v>
      </c>
      <c r="Y3" s="21" t="s">
        <v>93</v>
      </c>
      <c r="Z3" s="30"/>
      <c r="AA3" s="30" t="s">
        <v>92</v>
      </c>
      <c r="AB3" s="30" t="s">
        <v>93</v>
      </c>
      <c r="AC3" s="15"/>
      <c r="AD3" s="15" t="s">
        <v>92</v>
      </c>
      <c r="AE3" s="2" t="s">
        <v>634</v>
      </c>
      <c r="AF3" s="18"/>
      <c r="AG3" s="18" t="s">
        <v>93</v>
      </c>
      <c r="AH3" s="21"/>
      <c r="AI3" s="21" t="s">
        <v>92</v>
      </c>
      <c r="AJ3" s="21" t="s">
        <v>93</v>
      </c>
      <c r="AK3" s="21"/>
      <c r="AL3" s="21" t="s">
        <v>92</v>
      </c>
      <c r="AM3" s="21" t="s">
        <v>93</v>
      </c>
      <c r="AN3" s="21"/>
      <c r="AO3" s="21" t="s">
        <v>92</v>
      </c>
      <c r="AP3" s="21" t="s">
        <v>93</v>
      </c>
      <c r="AQ3" s="21"/>
      <c r="AR3" s="21" t="s">
        <v>92</v>
      </c>
      <c r="AS3" s="21" t="s">
        <v>93</v>
      </c>
      <c r="AT3" s="21"/>
      <c r="AU3" s="21" t="s">
        <v>92</v>
      </c>
      <c r="AV3" s="21" t="s">
        <v>93</v>
      </c>
      <c r="AW3" s="21"/>
      <c r="AX3" s="21" t="s">
        <v>92</v>
      </c>
      <c r="AY3" s="21" t="s">
        <v>93</v>
      </c>
      <c r="AZ3" s="23"/>
      <c r="BA3" s="23" t="s">
        <v>442</v>
      </c>
      <c r="BB3" s="23" t="s">
        <v>443</v>
      </c>
      <c r="BC3" s="2" t="s">
        <v>440</v>
      </c>
      <c r="BD3" s="2" t="s">
        <v>441</v>
      </c>
      <c r="BE3" s="25"/>
      <c r="BF3" s="25" t="s">
        <v>92</v>
      </c>
      <c r="BG3" s="25" t="s">
        <v>93</v>
      </c>
      <c r="BH3" s="25" t="s">
        <v>0</v>
      </c>
      <c r="BI3" s="33"/>
      <c r="BJ3" s="33" t="s">
        <v>0</v>
      </c>
      <c r="BK3" s="33" t="s">
        <v>643</v>
      </c>
      <c r="BL3" s="43"/>
      <c r="BM3" s="43" t="s">
        <v>643</v>
      </c>
      <c r="BN3" s="43"/>
      <c r="BO3" s="43" t="s">
        <v>643</v>
      </c>
      <c r="BP3" s="43" t="s">
        <v>93</v>
      </c>
      <c r="BQ3" s="43"/>
      <c r="BR3" s="43" t="s">
        <v>718</v>
      </c>
      <c r="BS3" s="55"/>
      <c r="BT3" s="55" t="s">
        <v>0</v>
      </c>
      <c r="BU3" s="55" t="s">
        <v>643</v>
      </c>
      <c r="BV3" s="2" t="s">
        <v>93</v>
      </c>
      <c r="BW3" s="55"/>
    </row>
    <row r="4" spans="1:75" x14ac:dyDescent="0.2">
      <c r="A4" s="45" t="s">
        <v>721</v>
      </c>
      <c r="B4" s="10" t="s">
        <v>4</v>
      </c>
      <c r="C4" s="17" t="s">
        <v>726</v>
      </c>
      <c r="D4" s="10" t="s">
        <v>6</v>
      </c>
      <c r="E4" s="10" t="s">
        <v>8</v>
      </c>
      <c r="G4" s="10" t="s">
        <v>34</v>
      </c>
      <c r="H4" s="19" t="s">
        <v>35</v>
      </c>
      <c r="J4" s="10" t="s">
        <v>98</v>
      </c>
      <c r="K4" s="10" t="s">
        <v>288</v>
      </c>
      <c r="M4" s="10">
        <v>62</v>
      </c>
      <c r="N4" s="19" t="s">
        <v>159</v>
      </c>
      <c r="P4" s="10" t="s">
        <v>176</v>
      </c>
      <c r="Q4" s="19" t="s">
        <v>177</v>
      </c>
      <c r="R4" s="10" t="s">
        <v>178</v>
      </c>
      <c r="S4" s="19" t="s">
        <v>179</v>
      </c>
      <c r="T4" s="10" t="s">
        <v>178</v>
      </c>
      <c r="U4" s="19" t="s">
        <v>180</v>
      </c>
      <c r="V4" s="10" t="s">
        <v>181</v>
      </c>
      <c r="W4" s="19" t="s">
        <v>182</v>
      </c>
      <c r="X4" s="10" t="s">
        <v>178</v>
      </c>
      <c r="Y4" s="19" t="s">
        <v>183</v>
      </c>
      <c r="AA4" s="10">
        <v>99</v>
      </c>
      <c r="AB4" s="19" t="s">
        <v>273</v>
      </c>
      <c r="AD4" s="10"/>
      <c r="AE4" s="19"/>
      <c r="AG4" s="19" t="s">
        <v>276</v>
      </c>
      <c r="AI4" s="10">
        <v>1</v>
      </c>
      <c r="AJ4" s="19" t="s">
        <v>326</v>
      </c>
      <c r="AL4" s="17" t="s">
        <v>342</v>
      </c>
      <c r="AM4" s="22" t="s">
        <v>343</v>
      </c>
      <c r="AO4" s="17" t="s">
        <v>34</v>
      </c>
      <c r="AP4" s="22" t="s">
        <v>35</v>
      </c>
      <c r="AR4" s="17" t="s">
        <v>357</v>
      </c>
      <c r="AS4" s="22" t="s">
        <v>358</v>
      </c>
      <c r="AU4" s="17" t="s">
        <v>371</v>
      </c>
      <c r="AV4" s="22" t="s">
        <v>400</v>
      </c>
      <c r="AX4" s="17" t="s">
        <v>433</v>
      </c>
      <c r="AY4" s="22" t="s">
        <v>434</v>
      </c>
      <c r="BA4" s="17" t="s">
        <v>445</v>
      </c>
      <c r="BB4" s="17" t="s">
        <v>14</v>
      </c>
      <c r="BC4" s="22" t="s">
        <v>446</v>
      </c>
      <c r="BD4" s="22" t="s">
        <v>446</v>
      </c>
      <c r="BF4" s="17" t="s">
        <v>560</v>
      </c>
      <c r="BG4" s="17" t="s">
        <v>561</v>
      </c>
      <c r="BH4" s="17" t="s">
        <v>4</v>
      </c>
      <c r="BJ4" s="17" t="s">
        <v>4</v>
      </c>
      <c r="BK4" s="17" t="s">
        <v>642</v>
      </c>
      <c r="BM4" s="17" t="s">
        <v>651</v>
      </c>
      <c r="BO4" s="17" t="s">
        <v>656</v>
      </c>
      <c r="BP4" s="17" t="s">
        <v>657</v>
      </c>
      <c r="BR4" s="17" t="s">
        <v>274</v>
      </c>
      <c r="BT4" s="17" t="s">
        <v>4</v>
      </c>
      <c r="BU4" s="17" t="s">
        <v>730</v>
      </c>
      <c r="BV4" s="17" t="s">
        <v>732</v>
      </c>
    </row>
    <row r="5" spans="1:75" x14ac:dyDescent="0.2">
      <c r="B5" s="10" t="s">
        <v>9</v>
      </c>
      <c r="C5" s="17" t="s">
        <v>11</v>
      </c>
      <c r="D5" s="10" t="s">
        <v>24</v>
      </c>
      <c r="E5" s="10" t="s">
        <v>27</v>
      </c>
      <c r="G5" s="10" t="s">
        <v>36</v>
      </c>
      <c r="H5" s="19" t="s">
        <v>37</v>
      </c>
      <c r="J5" s="10" t="s">
        <v>99</v>
      </c>
      <c r="K5" s="10" t="s">
        <v>289</v>
      </c>
      <c r="M5" s="10">
        <v>63</v>
      </c>
      <c r="N5" s="19" t="s">
        <v>160</v>
      </c>
      <c r="P5" s="10" t="s">
        <v>184</v>
      </c>
      <c r="Q5" s="19" t="s">
        <v>185</v>
      </c>
      <c r="R5" s="10" t="s">
        <v>186</v>
      </c>
      <c r="S5" s="19" t="s">
        <v>187</v>
      </c>
      <c r="T5" s="10" t="s">
        <v>186</v>
      </c>
      <c r="U5" s="19" t="s">
        <v>188</v>
      </c>
      <c r="V5" s="10" t="s">
        <v>189</v>
      </c>
      <c r="W5" s="19" t="s">
        <v>190</v>
      </c>
      <c r="X5" s="10" t="s">
        <v>186</v>
      </c>
      <c r="Y5" s="19" t="s">
        <v>191</v>
      </c>
      <c r="AA5" s="10"/>
      <c r="AB5" s="19" t="s">
        <v>722</v>
      </c>
      <c r="AD5" s="10" t="s">
        <v>276</v>
      </c>
      <c r="AE5" s="19" t="s">
        <v>635</v>
      </c>
      <c r="AG5" s="19" t="s">
        <v>277</v>
      </c>
      <c r="AI5" s="10">
        <v>2</v>
      </c>
      <c r="AJ5" s="19" t="s">
        <v>327</v>
      </c>
      <c r="AL5" s="17" t="s">
        <v>344</v>
      </c>
      <c r="AM5" s="22" t="s">
        <v>345</v>
      </c>
      <c r="AO5" s="17" t="s">
        <v>36</v>
      </c>
      <c r="AP5" s="22" t="s">
        <v>37</v>
      </c>
      <c r="AR5" s="17" t="s">
        <v>359</v>
      </c>
      <c r="AS5" s="22" t="s">
        <v>360</v>
      </c>
      <c r="AU5" s="17" t="s">
        <v>372</v>
      </c>
      <c r="AV5" s="22" t="s">
        <v>401</v>
      </c>
      <c r="AX5" s="17" t="s">
        <v>435</v>
      </c>
      <c r="AY5" s="22" t="s">
        <v>436</v>
      </c>
      <c r="BA5" s="17" t="s">
        <v>447</v>
      </c>
      <c r="BB5" s="17" t="s">
        <v>477</v>
      </c>
      <c r="BC5" s="22" t="s">
        <v>448</v>
      </c>
      <c r="BD5" s="22" t="s">
        <v>449</v>
      </c>
      <c r="BF5" s="17" t="s">
        <v>562</v>
      </c>
      <c r="BG5" s="17" t="s">
        <v>563</v>
      </c>
      <c r="BH5" s="17" t="s">
        <v>4</v>
      </c>
      <c r="BJ5" s="17" t="s">
        <v>9</v>
      </c>
      <c r="BK5" s="17" t="s">
        <v>644</v>
      </c>
      <c r="BM5" s="17" t="s">
        <v>641</v>
      </c>
      <c r="BO5" s="17" t="s">
        <v>658</v>
      </c>
      <c r="BP5" s="17" t="s">
        <v>659</v>
      </c>
      <c r="BR5" s="17" t="s">
        <v>649</v>
      </c>
      <c r="BT5" s="17" t="s">
        <v>9</v>
      </c>
      <c r="BU5" s="17" t="s">
        <v>731</v>
      </c>
      <c r="BV5" s="17" t="s">
        <v>733</v>
      </c>
    </row>
    <row r="6" spans="1:75" x14ac:dyDescent="0.2">
      <c r="A6" s="43" t="s">
        <v>719</v>
      </c>
      <c r="C6" s="17" t="s">
        <v>12</v>
      </c>
      <c r="D6" s="10" t="s">
        <v>7</v>
      </c>
      <c r="G6" s="10" t="s">
        <v>38</v>
      </c>
      <c r="H6" s="19" t="s">
        <v>39</v>
      </c>
      <c r="J6" s="10" t="s">
        <v>100</v>
      </c>
      <c r="K6" s="10" t="s">
        <v>290</v>
      </c>
      <c r="M6" s="10">
        <v>64</v>
      </c>
      <c r="N6" s="19" t="s">
        <v>161</v>
      </c>
      <c r="P6" s="10" t="s">
        <v>192</v>
      </c>
      <c r="Q6" s="19" t="s">
        <v>193</v>
      </c>
      <c r="R6" s="10" t="s">
        <v>194</v>
      </c>
      <c r="S6" s="19" t="s">
        <v>195</v>
      </c>
      <c r="T6" s="10" t="s">
        <v>194</v>
      </c>
      <c r="U6" s="19" t="s">
        <v>164</v>
      </c>
      <c r="V6" s="10" t="s">
        <v>196</v>
      </c>
      <c r="W6" s="19" t="s">
        <v>197</v>
      </c>
      <c r="X6" s="10" t="s">
        <v>194</v>
      </c>
      <c r="Y6" s="19" t="s">
        <v>198</v>
      </c>
      <c r="AD6" s="10" t="s">
        <v>277</v>
      </c>
      <c r="AE6" s="19" t="s">
        <v>635</v>
      </c>
      <c r="AG6" s="19"/>
      <c r="AI6" s="10" t="s">
        <v>328</v>
      </c>
      <c r="AJ6" s="19" t="s">
        <v>329</v>
      </c>
      <c r="AL6" s="17" t="s">
        <v>346</v>
      </c>
      <c r="AM6" s="22" t="s">
        <v>347</v>
      </c>
      <c r="AO6" s="17" t="s">
        <v>38</v>
      </c>
      <c r="AP6" s="22" t="s">
        <v>39</v>
      </c>
      <c r="AR6" s="17" t="s">
        <v>8</v>
      </c>
      <c r="AS6" s="22" t="s">
        <v>361</v>
      </c>
      <c r="AU6" s="17" t="s">
        <v>373</v>
      </c>
      <c r="AV6" s="22" t="s">
        <v>402</v>
      </c>
      <c r="AX6" s="17" t="s">
        <v>262</v>
      </c>
      <c r="AY6" s="22" t="s">
        <v>437</v>
      </c>
      <c r="BA6" s="17" t="s">
        <v>450</v>
      </c>
      <c r="BB6" s="17" t="s">
        <v>478</v>
      </c>
      <c r="BC6" s="22"/>
      <c r="BD6" s="22"/>
      <c r="BF6" s="17" t="s">
        <v>564</v>
      </c>
      <c r="BG6" s="17" t="s">
        <v>565</v>
      </c>
      <c r="BH6" s="17" t="s">
        <v>4</v>
      </c>
      <c r="BJ6" s="17" t="s">
        <v>4</v>
      </c>
      <c r="BK6" s="17" t="s">
        <v>646</v>
      </c>
      <c r="BM6" s="17" t="s">
        <v>652</v>
      </c>
      <c r="BO6" s="17" t="s">
        <v>660</v>
      </c>
      <c r="BP6" s="17" t="s">
        <v>661</v>
      </c>
      <c r="BR6" s="17" t="s">
        <v>97</v>
      </c>
      <c r="BT6" s="17"/>
      <c r="BU6" s="17"/>
      <c r="BV6" s="17"/>
    </row>
    <row r="7" spans="1:75" x14ac:dyDescent="0.2">
      <c r="A7" s="44" t="s">
        <v>734</v>
      </c>
      <c r="C7" s="17" t="s">
        <v>13</v>
      </c>
      <c r="D7" s="10" t="s">
        <v>25</v>
      </c>
      <c r="G7" s="10" t="s">
        <v>40</v>
      </c>
      <c r="H7" s="19" t="s">
        <v>41</v>
      </c>
      <c r="J7" s="10" t="s">
        <v>101</v>
      </c>
      <c r="K7" s="10" t="s">
        <v>291</v>
      </c>
      <c r="M7" s="10">
        <v>65</v>
      </c>
      <c r="N7" s="19" t="s">
        <v>162</v>
      </c>
      <c r="P7" s="10" t="s">
        <v>199</v>
      </c>
      <c r="Q7" s="19" t="s">
        <v>200</v>
      </c>
      <c r="T7" s="10" t="s">
        <v>201</v>
      </c>
      <c r="U7" s="19" t="s">
        <v>166</v>
      </c>
      <c r="V7" s="10" t="s">
        <v>202</v>
      </c>
      <c r="W7" s="19" t="s">
        <v>203</v>
      </c>
      <c r="X7" s="10" t="s">
        <v>201</v>
      </c>
      <c r="Y7" s="19" t="s">
        <v>204</v>
      </c>
      <c r="AD7" s="10" t="s">
        <v>636</v>
      </c>
      <c r="AE7" s="19" t="s">
        <v>637</v>
      </c>
      <c r="AG7" s="19"/>
      <c r="AI7" s="10" t="s">
        <v>330</v>
      </c>
      <c r="AJ7" s="19"/>
      <c r="AL7" s="17" t="s">
        <v>348</v>
      </c>
      <c r="AM7" s="22"/>
      <c r="AO7" s="17" t="s">
        <v>40</v>
      </c>
      <c r="AP7" s="22" t="s">
        <v>41</v>
      </c>
      <c r="AR7" s="17" t="s">
        <v>27</v>
      </c>
      <c r="AS7" s="22" t="s">
        <v>720</v>
      </c>
      <c r="AU7" s="17" t="s">
        <v>374</v>
      </c>
      <c r="AV7" s="22" t="s">
        <v>403</v>
      </c>
      <c r="AX7" s="17" t="s">
        <v>90</v>
      </c>
      <c r="AY7" s="22" t="s">
        <v>438</v>
      </c>
      <c r="BA7" s="17" t="s">
        <v>451</v>
      </c>
      <c r="BB7" s="17" t="s">
        <v>479</v>
      </c>
      <c r="BC7" s="22"/>
      <c r="BD7" s="22"/>
      <c r="BF7" s="17" t="s">
        <v>566</v>
      </c>
      <c r="BG7" s="17" t="s">
        <v>567</v>
      </c>
      <c r="BH7" s="17" t="s">
        <v>4</v>
      </c>
      <c r="BJ7" s="17" t="s">
        <v>9</v>
      </c>
      <c r="BK7" s="17" t="s">
        <v>647</v>
      </c>
      <c r="BM7" s="17" t="s">
        <v>653</v>
      </c>
      <c r="BO7" s="17" t="s">
        <v>662</v>
      </c>
      <c r="BP7" s="17" t="s">
        <v>663</v>
      </c>
      <c r="BR7" s="17"/>
      <c r="BT7"/>
      <c r="BU7"/>
      <c r="BV7"/>
    </row>
    <row r="8" spans="1:75" x14ac:dyDescent="0.2">
      <c r="A8"/>
      <c r="C8" s="17" t="s">
        <v>14</v>
      </c>
      <c r="D8" s="10" t="s">
        <v>26</v>
      </c>
      <c r="G8" s="10" t="s">
        <v>42</v>
      </c>
      <c r="H8" s="19" t="s">
        <v>43</v>
      </c>
      <c r="J8" s="10" t="s">
        <v>102</v>
      </c>
      <c r="K8" s="10" t="s">
        <v>292</v>
      </c>
      <c r="M8" s="10">
        <v>66</v>
      </c>
      <c r="N8" s="19" t="s">
        <v>163</v>
      </c>
      <c r="P8" s="10" t="s">
        <v>205</v>
      </c>
      <c r="Q8" s="19" t="s">
        <v>206</v>
      </c>
      <c r="T8" s="10" t="s">
        <v>207</v>
      </c>
      <c r="U8" s="19" t="s">
        <v>208</v>
      </c>
      <c r="V8" s="10" t="s">
        <v>209</v>
      </c>
      <c r="W8" s="19" t="s">
        <v>210</v>
      </c>
      <c r="X8" s="10" t="s">
        <v>207</v>
      </c>
      <c r="Y8" s="19" t="s">
        <v>211</v>
      </c>
      <c r="AD8" s="10" t="s">
        <v>638</v>
      </c>
      <c r="AE8" s="19" t="s">
        <v>635</v>
      </c>
      <c r="AG8" s="19"/>
      <c r="AI8" s="10" t="s">
        <v>331</v>
      </c>
      <c r="AJ8" s="19" t="s">
        <v>332</v>
      </c>
      <c r="AL8" s="17" t="s">
        <v>349</v>
      </c>
      <c r="AM8" s="22" t="s">
        <v>350</v>
      </c>
      <c r="AO8" s="17" t="s">
        <v>42</v>
      </c>
      <c r="AP8" s="22" t="s">
        <v>43</v>
      </c>
      <c r="AR8" s="17" t="s">
        <v>363</v>
      </c>
      <c r="AS8" s="22" t="s">
        <v>362</v>
      </c>
      <c r="AU8" s="17" t="s">
        <v>375</v>
      </c>
      <c r="AV8" s="22" t="s">
        <v>404</v>
      </c>
      <c r="AX8" s="17"/>
      <c r="AY8" s="22" t="s">
        <v>439</v>
      </c>
      <c r="BA8" s="17" t="s">
        <v>452</v>
      </c>
      <c r="BB8" s="17" t="s">
        <v>480</v>
      </c>
      <c r="BC8" s="22"/>
      <c r="BD8" s="22"/>
      <c r="BF8" s="17" t="s">
        <v>568</v>
      </c>
      <c r="BG8" s="17" t="s">
        <v>569</v>
      </c>
      <c r="BH8" s="17" t="s">
        <v>4</v>
      </c>
      <c r="BJ8" s="17" t="s">
        <v>4</v>
      </c>
      <c r="BK8" s="17" t="s">
        <v>727</v>
      </c>
      <c r="BM8" s="17" t="s">
        <v>654</v>
      </c>
      <c r="BO8" s="17" t="s">
        <v>664</v>
      </c>
      <c r="BP8" s="17" t="s">
        <v>665</v>
      </c>
      <c r="BR8" s="17"/>
      <c r="BT8"/>
      <c r="BU8"/>
      <c r="BV8"/>
    </row>
    <row r="9" spans="1:75" x14ac:dyDescent="0.2">
      <c r="A9" s="48" t="s">
        <v>723</v>
      </c>
      <c r="C9" s="17" t="s">
        <v>15</v>
      </c>
      <c r="G9" s="10" t="s">
        <v>44</v>
      </c>
      <c r="H9" s="19" t="s">
        <v>45</v>
      </c>
      <c r="J9" s="10" t="s">
        <v>103</v>
      </c>
      <c r="K9" s="10" t="s">
        <v>293</v>
      </c>
      <c r="M9" s="10">
        <v>67</v>
      </c>
      <c r="N9" s="19" t="s">
        <v>164</v>
      </c>
      <c r="P9" s="10" t="s">
        <v>212</v>
      </c>
      <c r="Q9" s="19" t="s">
        <v>213</v>
      </c>
      <c r="V9" s="10" t="s">
        <v>214</v>
      </c>
      <c r="W9" s="19" t="s">
        <v>215</v>
      </c>
      <c r="X9" s="10" t="s">
        <v>6</v>
      </c>
      <c r="Y9" s="19" t="s">
        <v>216</v>
      </c>
      <c r="AD9" s="10" t="s">
        <v>639</v>
      </c>
      <c r="AE9" s="19" t="s">
        <v>635</v>
      </c>
      <c r="AI9" s="10" t="s">
        <v>333</v>
      </c>
      <c r="AJ9" s="19" t="s">
        <v>334</v>
      </c>
      <c r="AL9" s="17" t="s">
        <v>351</v>
      </c>
      <c r="AM9" s="22" t="s">
        <v>352</v>
      </c>
      <c r="AO9" s="17" t="s">
        <v>44</v>
      </c>
      <c r="AP9" s="22" t="s">
        <v>45</v>
      </c>
      <c r="AR9" s="17" t="s">
        <v>364</v>
      </c>
      <c r="AS9" s="22" t="s">
        <v>365</v>
      </c>
      <c r="AU9" s="17" t="s">
        <v>376</v>
      </c>
      <c r="AV9" s="22" t="s">
        <v>405</v>
      </c>
      <c r="BA9" s="17" t="s">
        <v>453</v>
      </c>
      <c r="BB9" s="17" t="s">
        <v>481</v>
      </c>
      <c r="BC9" s="22"/>
      <c r="BD9" s="22"/>
      <c r="BF9" s="17" t="s">
        <v>570</v>
      </c>
      <c r="BG9" s="17" t="s">
        <v>571</v>
      </c>
      <c r="BH9" s="17" t="s">
        <v>4</v>
      </c>
      <c r="BJ9" s="17" t="s">
        <v>9</v>
      </c>
      <c r="BK9" s="17" t="s">
        <v>728</v>
      </c>
      <c r="BM9" s="17" t="s">
        <v>655</v>
      </c>
      <c r="BO9" s="17" t="s">
        <v>666</v>
      </c>
      <c r="BP9" s="17" t="s">
        <v>667</v>
      </c>
      <c r="BR9" s="17"/>
      <c r="BT9"/>
      <c r="BU9"/>
      <c r="BV9"/>
    </row>
    <row r="10" spans="1:75" x14ac:dyDescent="0.2">
      <c r="A10" s="45" t="s">
        <v>725</v>
      </c>
      <c r="C10" s="17" t="s">
        <v>16</v>
      </c>
      <c r="G10" s="10" t="s">
        <v>46</v>
      </c>
      <c r="H10" s="19" t="s">
        <v>47</v>
      </c>
      <c r="J10" s="10" t="s">
        <v>104</v>
      </c>
      <c r="K10" s="10" t="s">
        <v>294</v>
      </c>
      <c r="M10" s="10">
        <v>68</v>
      </c>
      <c r="N10" s="19" t="s">
        <v>165</v>
      </c>
      <c r="P10" s="10" t="s">
        <v>217</v>
      </c>
      <c r="Q10" s="19" t="s">
        <v>218</v>
      </c>
      <c r="X10" s="10" t="s">
        <v>24</v>
      </c>
      <c r="Y10" s="19" t="s">
        <v>219</v>
      </c>
      <c r="AD10" s="10" t="s">
        <v>640</v>
      </c>
      <c r="AE10" s="19" t="s">
        <v>635</v>
      </c>
      <c r="AI10" s="10" t="s">
        <v>324</v>
      </c>
      <c r="AJ10" s="19" t="s">
        <v>334</v>
      </c>
      <c r="AL10" s="17" t="s">
        <v>353</v>
      </c>
      <c r="AM10" s="22" t="s">
        <v>354</v>
      </c>
      <c r="AO10" s="17" t="s">
        <v>46</v>
      </c>
      <c r="AP10" s="22" t="s">
        <v>47</v>
      </c>
      <c r="AR10" s="17" t="s">
        <v>366</v>
      </c>
      <c r="AS10" s="22" t="s">
        <v>367</v>
      </c>
      <c r="AU10" s="17" t="s">
        <v>38</v>
      </c>
      <c r="AV10" s="22" t="s">
        <v>406</v>
      </c>
      <c r="BA10" s="17" t="s">
        <v>454</v>
      </c>
      <c r="BB10" s="17" t="s">
        <v>482</v>
      </c>
      <c r="BC10" s="22"/>
      <c r="BD10" s="22"/>
      <c r="BF10" s="17" t="s">
        <v>572</v>
      </c>
      <c r="BG10" s="17" t="s">
        <v>573</v>
      </c>
      <c r="BH10" s="17" t="s">
        <v>4</v>
      </c>
      <c r="BJ10"/>
      <c r="BK10"/>
      <c r="BM10"/>
      <c r="BO10" s="17" t="s">
        <v>668</v>
      </c>
      <c r="BP10" s="17" t="s">
        <v>669</v>
      </c>
      <c r="BR10"/>
      <c r="BT10"/>
      <c r="BU10"/>
      <c r="BV10"/>
    </row>
    <row r="11" spans="1:75" x14ac:dyDescent="0.2">
      <c r="C11" s="17" t="s">
        <v>17</v>
      </c>
      <c r="G11" s="10" t="s">
        <v>48</v>
      </c>
      <c r="H11" s="19" t="s">
        <v>49</v>
      </c>
      <c r="J11" s="10" t="s">
        <v>105</v>
      </c>
      <c r="K11" s="10" t="s">
        <v>295</v>
      </c>
      <c r="M11" s="10">
        <v>69</v>
      </c>
      <c r="N11" s="19" t="s">
        <v>166</v>
      </c>
      <c r="P11" s="10" t="s">
        <v>220</v>
      </c>
      <c r="Q11" s="19" t="s">
        <v>166</v>
      </c>
      <c r="X11" s="10" t="s">
        <v>7</v>
      </c>
      <c r="Y11" s="19" t="s">
        <v>221</v>
      </c>
      <c r="AI11" s="10" t="s">
        <v>335</v>
      </c>
      <c r="AJ11" s="19" t="s">
        <v>334</v>
      </c>
      <c r="AO11" s="17" t="s">
        <v>48</v>
      </c>
      <c r="AP11" s="22" t="s">
        <v>49</v>
      </c>
      <c r="AR11" s="17" t="s">
        <v>368</v>
      </c>
      <c r="AS11" s="22" t="s">
        <v>369</v>
      </c>
      <c r="AU11" s="17" t="s">
        <v>40</v>
      </c>
      <c r="AV11" s="22" t="s">
        <v>407</v>
      </c>
      <c r="BA11" s="17" t="s">
        <v>455</v>
      </c>
      <c r="BB11" s="17" t="s">
        <v>483</v>
      </c>
      <c r="BC11" s="22"/>
      <c r="BD11" s="22"/>
      <c r="BF11" s="17" t="s">
        <v>574</v>
      </c>
      <c r="BG11" s="17" t="s">
        <v>575</v>
      </c>
      <c r="BH11" s="17" t="s">
        <v>4</v>
      </c>
      <c r="BJ11"/>
      <c r="BK11"/>
      <c r="BM11"/>
      <c r="BO11" s="17" t="s">
        <v>670</v>
      </c>
      <c r="BP11" s="17" t="s">
        <v>671</v>
      </c>
      <c r="BR11"/>
      <c r="BT11"/>
      <c r="BU11"/>
      <c r="BV11"/>
    </row>
    <row r="12" spans="1:75" x14ac:dyDescent="0.2">
      <c r="C12" s="17" t="s">
        <v>18</v>
      </c>
      <c r="G12" s="10" t="s">
        <v>50</v>
      </c>
      <c r="H12" s="19" t="s">
        <v>51</v>
      </c>
      <c r="J12" s="10" t="s">
        <v>106</v>
      </c>
      <c r="K12" s="10" t="s">
        <v>296</v>
      </c>
      <c r="M12" s="10">
        <v>70</v>
      </c>
      <c r="N12" s="19" t="s">
        <v>167</v>
      </c>
      <c r="X12" s="10" t="s">
        <v>25</v>
      </c>
      <c r="Y12" s="19" t="s">
        <v>222</v>
      </c>
      <c r="AO12" s="17" t="s">
        <v>50</v>
      </c>
      <c r="AP12" s="22" t="s">
        <v>51</v>
      </c>
      <c r="AU12" s="17" t="s">
        <v>42</v>
      </c>
      <c r="AV12" s="22" t="s">
        <v>408</v>
      </c>
      <c r="BA12" s="17" t="s">
        <v>456</v>
      </c>
      <c r="BB12" s="17" t="s">
        <v>484</v>
      </c>
      <c r="BC12" s="22"/>
      <c r="BD12" s="22"/>
      <c r="BF12" s="17" t="s">
        <v>576</v>
      </c>
      <c r="BG12" s="17" t="s">
        <v>577</v>
      </c>
      <c r="BH12" s="17" t="s">
        <v>4</v>
      </c>
      <c r="BJ12"/>
      <c r="BK12"/>
      <c r="BM12"/>
      <c r="BO12" s="17" t="s">
        <v>672</v>
      </c>
      <c r="BP12" s="17" t="s">
        <v>673</v>
      </c>
      <c r="BR12"/>
      <c r="BT12"/>
      <c r="BU12"/>
      <c r="BV12"/>
    </row>
    <row r="13" spans="1:75" x14ac:dyDescent="0.2">
      <c r="C13" s="17" t="s">
        <v>19</v>
      </c>
      <c r="G13" s="10" t="s">
        <v>52</v>
      </c>
      <c r="H13" s="19" t="s">
        <v>53</v>
      </c>
      <c r="J13" s="10" t="s">
        <v>107</v>
      </c>
      <c r="K13" s="10" t="s">
        <v>297</v>
      </c>
      <c r="M13" s="10">
        <v>71</v>
      </c>
      <c r="N13" s="19" t="s">
        <v>168</v>
      </c>
      <c r="X13" s="10" t="s">
        <v>26</v>
      </c>
      <c r="Y13" s="19" t="s">
        <v>223</v>
      </c>
      <c r="AO13" s="17" t="s">
        <v>52</v>
      </c>
      <c r="AP13" s="22" t="s">
        <v>53</v>
      </c>
      <c r="AU13" s="17" t="s">
        <v>377</v>
      </c>
      <c r="AV13" s="22" t="s">
        <v>409</v>
      </c>
      <c r="BA13" s="17" t="s">
        <v>457</v>
      </c>
      <c r="BB13" s="17" t="s">
        <v>485</v>
      </c>
      <c r="BC13" s="22"/>
      <c r="BD13" s="22"/>
      <c r="BF13" s="17" t="s">
        <v>578</v>
      </c>
      <c r="BG13" s="17" t="s">
        <v>579</v>
      </c>
      <c r="BH13" s="17" t="s">
        <v>4</v>
      </c>
      <c r="BJ13"/>
      <c r="BK13"/>
      <c r="BM13"/>
      <c r="BO13" s="17" t="s">
        <v>674</v>
      </c>
      <c r="BP13" s="17" t="s">
        <v>675</v>
      </c>
      <c r="BR13"/>
      <c r="BT13"/>
      <c r="BU13"/>
      <c r="BV13"/>
    </row>
    <row r="14" spans="1:75" x14ac:dyDescent="0.2">
      <c r="C14" s="17" t="s">
        <v>20</v>
      </c>
      <c r="G14" s="10" t="s">
        <v>54</v>
      </c>
      <c r="H14" s="19" t="s">
        <v>55</v>
      </c>
      <c r="J14" s="10" t="s">
        <v>108</v>
      </c>
      <c r="K14" s="10" t="s">
        <v>298</v>
      </c>
      <c r="M14" s="10">
        <v>72</v>
      </c>
      <c r="N14" s="19" t="s">
        <v>169</v>
      </c>
      <c r="X14" s="10" t="s">
        <v>224</v>
      </c>
      <c r="Y14" s="19" t="s">
        <v>225</v>
      </c>
      <c r="AO14" s="17" t="s">
        <v>54</v>
      </c>
      <c r="AP14" s="22" t="s">
        <v>55</v>
      </c>
      <c r="AU14" s="17" t="s">
        <v>378</v>
      </c>
      <c r="AV14" s="22" t="s">
        <v>410</v>
      </c>
      <c r="BA14" s="17" t="s">
        <v>458</v>
      </c>
      <c r="BB14" s="17" t="s">
        <v>486</v>
      </c>
      <c r="BC14" s="22"/>
      <c r="BD14" s="22"/>
      <c r="BF14" s="17" t="s">
        <v>580</v>
      </c>
      <c r="BG14" s="17" t="s">
        <v>581</v>
      </c>
      <c r="BH14" s="17" t="s">
        <v>4</v>
      </c>
      <c r="BJ14"/>
      <c r="BK14"/>
      <c r="BM14"/>
      <c r="BO14" s="17" t="s">
        <v>676</v>
      </c>
      <c r="BP14" s="17" t="s">
        <v>677</v>
      </c>
      <c r="BR14"/>
      <c r="BT14"/>
      <c r="BU14"/>
      <c r="BV14"/>
    </row>
    <row r="15" spans="1:75" x14ac:dyDescent="0.2">
      <c r="A15" s="31" t="s">
        <v>552</v>
      </c>
      <c r="C15" s="17" t="s">
        <v>5</v>
      </c>
      <c r="G15" s="10" t="s">
        <v>56</v>
      </c>
      <c r="H15" s="19" t="s">
        <v>57</v>
      </c>
      <c r="J15" s="10" t="s">
        <v>109</v>
      </c>
      <c r="K15" s="10" t="s">
        <v>299</v>
      </c>
      <c r="X15" s="10" t="s">
        <v>226</v>
      </c>
      <c r="Y15" s="19" t="s">
        <v>227</v>
      </c>
      <c r="AO15" s="17" t="s">
        <v>56</v>
      </c>
      <c r="AP15" s="22" t="s">
        <v>57</v>
      </c>
      <c r="AU15" s="17" t="s">
        <v>379</v>
      </c>
      <c r="AV15" s="22" t="s">
        <v>411</v>
      </c>
      <c r="BA15" s="17" t="s">
        <v>459</v>
      </c>
      <c r="BB15" s="17" t="s">
        <v>487</v>
      </c>
      <c r="BC15" s="22"/>
      <c r="BD15" s="22"/>
      <c r="BF15" s="17" t="s">
        <v>582</v>
      </c>
      <c r="BG15" s="17" t="s">
        <v>583</v>
      </c>
      <c r="BH15" s="17" t="s">
        <v>4</v>
      </c>
      <c r="BJ15"/>
      <c r="BK15"/>
      <c r="BM15"/>
      <c r="BO15" s="17" t="s">
        <v>650</v>
      </c>
      <c r="BP15" s="17" t="s">
        <v>678</v>
      </c>
      <c r="BR15"/>
      <c r="BT15"/>
      <c r="BU15"/>
      <c r="BV15"/>
    </row>
    <row r="16" spans="1:75" x14ac:dyDescent="0.2">
      <c r="A16" s="25" t="s">
        <v>554</v>
      </c>
      <c r="C16" s="17" t="s">
        <v>21</v>
      </c>
      <c r="G16" s="10" t="s">
        <v>58</v>
      </c>
      <c r="H16" s="19" t="s">
        <v>59</v>
      </c>
      <c r="J16" s="10" t="s">
        <v>110</v>
      </c>
      <c r="K16" s="10" t="s">
        <v>300</v>
      </c>
      <c r="X16" s="10" t="s">
        <v>228</v>
      </c>
      <c r="Y16" s="19" t="s">
        <v>229</v>
      </c>
      <c r="AO16" s="17" t="s">
        <v>58</v>
      </c>
      <c r="AP16" s="22" t="s">
        <v>59</v>
      </c>
      <c r="AU16" s="17" t="s">
        <v>380</v>
      </c>
      <c r="AV16" s="22" t="s">
        <v>412</v>
      </c>
      <c r="BA16" s="17" t="s">
        <v>460</v>
      </c>
      <c r="BB16" s="17" t="s">
        <v>15</v>
      </c>
      <c r="BC16" s="22"/>
      <c r="BD16" s="22"/>
      <c r="BF16" s="17" t="s">
        <v>584</v>
      </c>
      <c r="BG16" s="17" t="s">
        <v>585</v>
      </c>
      <c r="BH16" s="17" t="s">
        <v>4</v>
      </c>
      <c r="BJ16"/>
      <c r="BK16"/>
      <c r="BM16"/>
      <c r="BO16" s="17" t="s">
        <v>679</v>
      </c>
      <c r="BP16" s="17" t="s">
        <v>680</v>
      </c>
      <c r="BR16"/>
      <c r="BT16"/>
      <c r="BU16"/>
      <c r="BV16"/>
    </row>
    <row r="17" spans="1:74" x14ac:dyDescent="0.2">
      <c r="A17" s="24" t="s">
        <v>553</v>
      </c>
      <c r="C17" s="17" t="s">
        <v>22</v>
      </c>
      <c r="G17" s="10" t="s">
        <v>60</v>
      </c>
      <c r="H17" s="19" t="s">
        <v>61</v>
      </c>
      <c r="J17" s="10" t="s">
        <v>111</v>
      </c>
      <c r="K17" s="10" t="s">
        <v>301</v>
      </c>
      <c r="X17" s="10" t="s">
        <v>230</v>
      </c>
      <c r="Y17" s="19" t="s">
        <v>231</v>
      </c>
      <c r="AO17" s="17" t="s">
        <v>60</v>
      </c>
      <c r="AP17" s="22" t="s">
        <v>61</v>
      </c>
      <c r="AU17" s="17" t="s">
        <v>381</v>
      </c>
      <c r="AV17" s="22" t="s">
        <v>413</v>
      </c>
      <c r="BA17" s="17" t="s">
        <v>461</v>
      </c>
      <c r="BB17" s="17" t="s">
        <v>488</v>
      </c>
      <c r="BC17" s="22"/>
      <c r="BD17" s="22"/>
      <c r="BF17" s="17" t="s">
        <v>586</v>
      </c>
      <c r="BG17" s="17" t="s">
        <v>587</v>
      </c>
      <c r="BH17" s="17" t="s">
        <v>4</v>
      </c>
      <c r="BJ17"/>
      <c r="BK17"/>
      <c r="BM17"/>
      <c r="BO17" s="17" t="s">
        <v>681</v>
      </c>
      <c r="BP17" s="17" t="s">
        <v>682</v>
      </c>
      <c r="BR17"/>
      <c r="BT17"/>
      <c r="BU17"/>
      <c r="BV17"/>
    </row>
    <row r="18" spans="1:74" x14ac:dyDescent="0.2">
      <c r="A18" s="46" t="s">
        <v>559</v>
      </c>
      <c r="C18" s="17" t="s">
        <v>23</v>
      </c>
      <c r="G18" s="10" t="s">
        <v>62</v>
      </c>
      <c r="H18" s="19" t="s">
        <v>63</v>
      </c>
      <c r="J18" s="10" t="s">
        <v>112</v>
      </c>
      <c r="K18" s="10" t="s">
        <v>302</v>
      </c>
      <c r="X18" s="10" t="s">
        <v>232</v>
      </c>
      <c r="Y18" s="19" t="s">
        <v>233</v>
      </c>
      <c r="AO18" s="17" t="s">
        <v>62</v>
      </c>
      <c r="AP18" s="22" t="s">
        <v>63</v>
      </c>
      <c r="AU18" s="17" t="s">
        <v>382</v>
      </c>
      <c r="AV18" s="22" t="s">
        <v>414</v>
      </c>
      <c r="BA18" s="17" t="s">
        <v>462</v>
      </c>
      <c r="BB18" s="17" t="s">
        <v>489</v>
      </c>
      <c r="BC18" s="22"/>
      <c r="BD18" s="22"/>
      <c r="BF18" s="17" t="s">
        <v>588</v>
      </c>
      <c r="BG18" s="17" t="s">
        <v>589</v>
      </c>
      <c r="BH18" s="17" t="s">
        <v>4</v>
      </c>
      <c r="BJ18"/>
      <c r="BK18"/>
      <c r="BM18"/>
      <c r="BO18" s="17" t="s">
        <v>683</v>
      </c>
      <c r="BP18" s="17" t="s">
        <v>684</v>
      </c>
      <c r="BR18"/>
      <c r="BT18"/>
      <c r="BU18"/>
      <c r="BV18"/>
    </row>
    <row r="19" spans="1:74" x14ac:dyDescent="0.2">
      <c r="A19" s="29" t="s">
        <v>558</v>
      </c>
      <c r="G19" s="10" t="s">
        <v>64</v>
      </c>
      <c r="H19" s="19" t="s">
        <v>65</v>
      </c>
      <c r="J19" s="10" t="s">
        <v>113</v>
      </c>
      <c r="K19" s="10" t="s">
        <v>303</v>
      </c>
      <c r="X19" s="10" t="s">
        <v>234</v>
      </c>
      <c r="Y19" s="19" t="s">
        <v>235</v>
      </c>
      <c r="AO19" s="17" t="s">
        <v>64</v>
      </c>
      <c r="AP19" s="22" t="s">
        <v>65</v>
      </c>
      <c r="AU19" s="17" t="s">
        <v>383</v>
      </c>
      <c r="AV19" s="22" t="s">
        <v>415</v>
      </c>
      <c r="BA19" s="17" t="s">
        <v>463</v>
      </c>
      <c r="BB19" s="17" t="s">
        <v>490</v>
      </c>
      <c r="BC19" s="22"/>
      <c r="BD19" s="22"/>
      <c r="BF19" s="17" t="s">
        <v>591</v>
      </c>
      <c r="BG19" s="17" t="s">
        <v>592</v>
      </c>
      <c r="BH19" s="17" t="s">
        <v>9</v>
      </c>
      <c r="BJ19"/>
      <c r="BK19"/>
      <c r="BM19"/>
      <c r="BO19" s="17" t="s">
        <v>685</v>
      </c>
      <c r="BP19" s="17" t="s">
        <v>686</v>
      </c>
      <c r="BR19"/>
      <c r="BT19"/>
      <c r="BU19"/>
      <c r="BV19"/>
    </row>
    <row r="20" spans="1:74" x14ac:dyDescent="0.2">
      <c r="A20" s="27" t="s">
        <v>557</v>
      </c>
      <c r="G20" s="10" t="s">
        <v>66</v>
      </c>
      <c r="H20" s="19" t="s">
        <v>67</v>
      </c>
      <c r="J20" s="10" t="s">
        <v>114</v>
      </c>
      <c r="K20" s="10" t="s">
        <v>304</v>
      </c>
      <c r="X20" s="10" t="s">
        <v>236</v>
      </c>
      <c r="Y20" s="19" t="s">
        <v>237</v>
      </c>
      <c r="AO20" s="17" t="s">
        <v>66</v>
      </c>
      <c r="AP20" s="22" t="s">
        <v>67</v>
      </c>
      <c r="AU20" s="17" t="s">
        <v>384</v>
      </c>
      <c r="AV20" s="22" t="s">
        <v>416</v>
      </c>
      <c r="BA20" s="17" t="s">
        <v>464</v>
      </c>
      <c r="BB20" s="17" t="s">
        <v>491</v>
      </c>
      <c r="BC20" s="22"/>
      <c r="BD20" s="22"/>
      <c r="BF20" s="17" t="s">
        <v>593</v>
      </c>
      <c r="BG20" s="17" t="s">
        <v>594</v>
      </c>
      <c r="BH20" s="17" t="s">
        <v>9</v>
      </c>
      <c r="BJ20"/>
      <c r="BK20"/>
      <c r="BM20"/>
      <c r="BO20" s="17" t="s">
        <v>687</v>
      </c>
      <c r="BP20" s="17" t="s">
        <v>688</v>
      </c>
      <c r="BR20"/>
      <c r="BT20"/>
      <c r="BU20"/>
      <c r="BV20"/>
    </row>
    <row r="21" spans="1:74" x14ac:dyDescent="0.2">
      <c r="A21" s="28" t="s">
        <v>555</v>
      </c>
      <c r="G21" s="10" t="s">
        <v>68</v>
      </c>
      <c r="H21" s="19" t="s">
        <v>69</v>
      </c>
      <c r="J21" s="10" t="s">
        <v>115</v>
      </c>
      <c r="K21" s="10" t="s">
        <v>305</v>
      </c>
      <c r="X21" s="10" t="s">
        <v>238</v>
      </c>
      <c r="Y21" s="19" t="s">
        <v>239</v>
      </c>
      <c r="AO21" s="17" t="s">
        <v>68</v>
      </c>
      <c r="AP21" s="22" t="s">
        <v>69</v>
      </c>
      <c r="AU21" s="17" t="s">
        <v>385</v>
      </c>
      <c r="AV21" s="22" t="s">
        <v>417</v>
      </c>
      <c r="BA21" s="17" t="s">
        <v>465</v>
      </c>
      <c r="BB21" s="17" t="s">
        <v>492</v>
      </c>
      <c r="BC21" s="22"/>
      <c r="BD21" s="22"/>
      <c r="BF21" s="17" t="s">
        <v>595</v>
      </c>
      <c r="BG21" s="17" t="s">
        <v>596</v>
      </c>
      <c r="BH21" s="17" t="s">
        <v>9</v>
      </c>
      <c r="BJ21"/>
      <c r="BK21"/>
      <c r="BM21"/>
      <c r="BO21" s="17" t="s">
        <v>689</v>
      </c>
      <c r="BP21" s="17" t="s">
        <v>690</v>
      </c>
      <c r="BR21"/>
      <c r="BT21"/>
      <c r="BU21"/>
      <c r="BV21"/>
    </row>
    <row r="22" spans="1:74" x14ac:dyDescent="0.2">
      <c r="A22" s="6" t="s">
        <v>556</v>
      </c>
      <c r="G22" s="10" t="s">
        <v>70</v>
      </c>
      <c r="H22" s="19" t="s">
        <v>71</v>
      </c>
      <c r="J22" s="10" t="s">
        <v>116</v>
      </c>
      <c r="K22" s="10" t="s">
        <v>306</v>
      </c>
      <c r="X22" s="10" t="s">
        <v>240</v>
      </c>
      <c r="Y22" s="19" t="s">
        <v>241</v>
      </c>
      <c r="AO22" s="17" t="s">
        <v>70</v>
      </c>
      <c r="AP22" s="22" t="s">
        <v>71</v>
      </c>
      <c r="AU22" s="17" t="s">
        <v>386</v>
      </c>
      <c r="AV22" s="22" t="s">
        <v>418</v>
      </c>
      <c r="BA22" s="17" t="s">
        <v>466</v>
      </c>
      <c r="BB22" s="17" t="s">
        <v>493</v>
      </c>
      <c r="BC22" s="22"/>
      <c r="BD22" s="22"/>
      <c r="BF22" s="17" t="s">
        <v>597</v>
      </c>
      <c r="BG22" s="17" t="s">
        <v>598</v>
      </c>
      <c r="BH22" s="17" t="s">
        <v>9</v>
      </c>
      <c r="BJ22"/>
      <c r="BK22"/>
      <c r="BM22"/>
      <c r="BO22" s="17" t="s">
        <v>691</v>
      </c>
      <c r="BP22" s="17" t="s">
        <v>692</v>
      </c>
      <c r="BR22"/>
      <c r="BT22"/>
      <c r="BU22"/>
      <c r="BV22"/>
    </row>
    <row r="23" spans="1:74" x14ac:dyDescent="0.2">
      <c r="G23" s="10" t="s">
        <v>72</v>
      </c>
      <c r="H23" s="19" t="s">
        <v>73</v>
      </c>
      <c r="J23" s="10" t="s">
        <v>117</v>
      </c>
      <c r="K23" s="10" t="s">
        <v>307</v>
      </c>
      <c r="X23" s="10" t="s">
        <v>242</v>
      </c>
      <c r="Y23" s="19" t="s">
        <v>243</v>
      </c>
      <c r="AO23" s="17" t="s">
        <v>72</v>
      </c>
      <c r="AP23" s="22" t="s">
        <v>73</v>
      </c>
      <c r="AU23" s="17" t="s">
        <v>387</v>
      </c>
      <c r="AV23" s="22" t="s">
        <v>419</v>
      </c>
      <c r="BA23" s="17" t="s">
        <v>467</v>
      </c>
      <c r="BB23" s="17" t="s">
        <v>494</v>
      </c>
      <c r="BC23" s="22"/>
      <c r="BD23" s="22"/>
      <c r="BF23" s="17" t="s">
        <v>599</v>
      </c>
      <c r="BG23" s="17" t="s">
        <v>600</v>
      </c>
      <c r="BH23" s="17" t="s">
        <v>9</v>
      </c>
      <c r="BJ23"/>
      <c r="BK23"/>
      <c r="BM23"/>
      <c r="BO23" s="17" t="s">
        <v>693</v>
      </c>
      <c r="BP23" s="17" t="s">
        <v>694</v>
      </c>
      <c r="BR23"/>
      <c r="BT23"/>
      <c r="BU23"/>
      <c r="BV23"/>
    </row>
    <row r="24" spans="1:74" x14ac:dyDescent="0.2">
      <c r="G24" s="10" t="s">
        <v>74</v>
      </c>
      <c r="H24" s="19" t="s">
        <v>75</v>
      </c>
      <c r="J24" s="10" t="s">
        <v>118</v>
      </c>
      <c r="K24" s="10" t="s">
        <v>308</v>
      </c>
      <c r="X24" s="10" t="s">
        <v>244</v>
      </c>
      <c r="Y24" s="19" t="s">
        <v>245</v>
      </c>
      <c r="AO24" s="17" t="s">
        <v>74</v>
      </c>
      <c r="AP24" s="22" t="s">
        <v>75</v>
      </c>
      <c r="AU24" s="17" t="s">
        <v>388</v>
      </c>
      <c r="AV24" s="22" t="s">
        <v>420</v>
      </c>
      <c r="BA24" s="17" t="s">
        <v>468</v>
      </c>
      <c r="BB24" s="17" t="s">
        <v>495</v>
      </c>
      <c r="BC24" s="22"/>
      <c r="BD24" s="22"/>
      <c r="BF24" s="17" t="s">
        <v>601</v>
      </c>
      <c r="BG24" s="17" t="s">
        <v>602</v>
      </c>
      <c r="BH24" s="17" t="s">
        <v>9</v>
      </c>
      <c r="BJ24"/>
      <c r="BK24"/>
      <c r="BM24"/>
      <c r="BO24" s="17" t="s">
        <v>695</v>
      </c>
      <c r="BP24" s="17" t="s">
        <v>696</v>
      </c>
      <c r="BR24"/>
      <c r="BT24"/>
      <c r="BU24"/>
      <c r="BV24"/>
    </row>
    <row r="25" spans="1:74" x14ac:dyDescent="0.2">
      <c r="G25" s="10" t="s">
        <v>76</v>
      </c>
      <c r="H25" s="19" t="s">
        <v>77</v>
      </c>
      <c r="J25" s="10" t="s">
        <v>119</v>
      </c>
      <c r="K25" s="10" t="s">
        <v>309</v>
      </c>
      <c r="X25" s="10" t="s">
        <v>246</v>
      </c>
      <c r="Y25" s="19" t="s">
        <v>247</v>
      </c>
      <c r="AO25" s="17" t="s">
        <v>76</v>
      </c>
      <c r="AP25" s="22" t="s">
        <v>77</v>
      </c>
      <c r="AU25" s="17" t="s">
        <v>389</v>
      </c>
      <c r="AV25" s="22" t="s">
        <v>421</v>
      </c>
      <c r="BA25" s="17" t="s">
        <v>469</v>
      </c>
      <c r="BB25" s="17" t="s">
        <v>496</v>
      </c>
      <c r="BC25" s="22"/>
      <c r="BD25" s="22"/>
      <c r="BF25" s="17" t="s">
        <v>603</v>
      </c>
      <c r="BG25" s="17" t="s">
        <v>604</v>
      </c>
      <c r="BH25" s="17" t="s">
        <v>9</v>
      </c>
      <c r="BJ25"/>
      <c r="BK25"/>
      <c r="BM25"/>
      <c r="BO25" s="17" t="s">
        <v>697</v>
      </c>
      <c r="BP25" s="17" t="s">
        <v>698</v>
      </c>
      <c r="BR25"/>
      <c r="BT25"/>
      <c r="BU25"/>
      <c r="BV25"/>
    </row>
    <row r="26" spans="1:74" x14ac:dyDescent="0.2">
      <c r="G26" s="10" t="s">
        <v>78</v>
      </c>
      <c r="H26" s="19" t="s">
        <v>79</v>
      </c>
      <c r="J26" s="10" t="s">
        <v>120</v>
      </c>
      <c r="K26" s="10" t="s">
        <v>310</v>
      </c>
      <c r="X26" s="10" t="s">
        <v>248</v>
      </c>
      <c r="Y26" s="19" t="s">
        <v>249</v>
      </c>
      <c r="AO26" s="17" t="s">
        <v>78</v>
      </c>
      <c r="AP26" s="22" t="s">
        <v>79</v>
      </c>
      <c r="AU26" s="17" t="s">
        <v>390</v>
      </c>
      <c r="AV26" s="22" t="s">
        <v>422</v>
      </c>
      <c r="BA26" s="17" t="s">
        <v>470</v>
      </c>
      <c r="BB26" s="17" t="s">
        <v>16</v>
      </c>
      <c r="BC26" s="22"/>
      <c r="BD26" s="22"/>
      <c r="BF26" s="17" t="s">
        <v>605</v>
      </c>
      <c r="BG26" s="17" t="s">
        <v>606</v>
      </c>
      <c r="BH26" s="17" t="s">
        <v>9</v>
      </c>
      <c r="BJ26"/>
      <c r="BK26"/>
      <c r="BM26"/>
      <c r="BO26" s="17" t="s">
        <v>648</v>
      </c>
      <c r="BP26" s="17" t="s">
        <v>699</v>
      </c>
      <c r="BR26"/>
      <c r="BT26"/>
      <c r="BU26"/>
      <c r="BV26"/>
    </row>
    <row r="27" spans="1:74" x14ac:dyDescent="0.2">
      <c r="G27" s="10" t="s">
        <v>80</v>
      </c>
      <c r="H27" s="19" t="s">
        <v>81</v>
      </c>
      <c r="J27" s="10" t="s">
        <v>121</v>
      </c>
      <c r="K27" s="10" t="s">
        <v>311</v>
      </c>
      <c r="X27" s="10" t="s">
        <v>250</v>
      </c>
      <c r="Y27" s="19" t="s">
        <v>251</v>
      </c>
      <c r="AO27" s="17" t="s">
        <v>80</v>
      </c>
      <c r="AP27" s="22" t="s">
        <v>81</v>
      </c>
      <c r="AU27" s="17" t="s">
        <v>391</v>
      </c>
      <c r="AV27" s="22" t="s">
        <v>423</v>
      </c>
      <c r="BA27" s="17" t="s">
        <v>471</v>
      </c>
      <c r="BB27" s="17" t="s">
        <v>497</v>
      </c>
      <c r="BC27" s="22"/>
      <c r="BD27" s="22"/>
      <c r="BF27" s="17" t="s">
        <v>607</v>
      </c>
      <c r="BG27" s="17" t="s">
        <v>608</v>
      </c>
      <c r="BH27" s="17" t="s">
        <v>9</v>
      </c>
      <c r="BJ27"/>
      <c r="BK27"/>
      <c r="BM27"/>
      <c r="BO27" s="17" t="s">
        <v>700</v>
      </c>
      <c r="BP27" s="17" t="s">
        <v>701</v>
      </c>
      <c r="BR27"/>
      <c r="BT27"/>
      <c r="BU27"/>
      <c r="BV27"/>
    </row>
    <row r="28" spans="1:74" x14ac:dyDescent="0.2">
      <c r="G28" s="10" t="s">
        <v>82</v>
      </c>
      <c r="H28" s="19" t="s">
        <v>83</v>
      </c>
      <c r="J28" s="10" t="s">
        <v>122</v>
      </c>
      <c r="K28" s="10" t="s">
        <v>312</v>
      </c>
      <c r="X28" s="10" t="s">
        <v>252</v>
      </c>
      <c r="Y28" s="19" t="s">
        <v>253</v>
      </c>
      <c r="AO28" s="17" t="s">
        <v>82</v>
      </c>
      <c r="AP28" s="22" t="s">
        <v>83</v>
      </c>
      <c r="AU28" s="17" t="s">
        <v>392</v>
      </c>
      <c r="AV28" s="22" t="s">
        <v>424</v>
      </c>
      <c r="BA28" s="17" t="s">
        <v>472</v>
      </c>
      <c r="BB28" s="17" t="s">
        <v>498</v>
      </c>
      <c r="BC28" s="22"/>
      <c r="BD28" s="22"/>
      <c r="BF28" s="17" t="s">
        <v>609</v>
      </c>
      <c r="BG28" s="17" t="s">
        <v>610</v>
      </c>
      <c r="BH28" s="17" t="s">
        <v>9</v>
      </c>
      <c r="BJ28"/>
      <c r="BK28"/>
      <c r="BM28"/>
      <c r="BO28" s="17" t="s">
        <v>702</v>
      </c>
      <c r="BP28" s="17" t="s">
        <v>703</v>
      </c>
      <c r="BR28"/>
      <c r="BT28"/>
      <c r="BU28"/>
      <c r="BV28"/>
    </row>
    <row r="29" spans="1:74" x14ac:dyDescent="0.2">
      <c r="G29" s="10" t="s">
        <v>84</v>
      </c>
      <c r="H29" s="19" t="s">
        <v>85</v>
      </c>
      <c r="J29" s="10" t="s">
        <v>123</v>
      </c>
      <c r="K29" s="10" t="s">
        <v>313</v>
      </c>
      <c r="X29" s="10" t="s">
        <v>254</v>
      </c>
      <c r="Y29" s="19" t="s">
        <v>255</v>
      </c>
      <c r="AO29" s="17" t="s">
        <v>84</v>
      </c>
      <c r="AP29" s="22" t="s">
        <v>85</v>
      </c>
      <c r="AU29" s="17" t="s">
        <v>393</v>
      </c>
      <c r="AV29" s="22" t="s">
        <v>425</v>
      </c>
      <c r="BA29" s="17" t="s">
        <v>473</v>
      </c>
      <c r="BB29" s="17" t="s">
        <v>499</v>
      </c>
      <c r="BC29" s="22"/>
      <c r="BD29" s="22"/>
      <c r="BF29" s="17" t="s">
        <v>611</v>
      </c>
      <c r="BG29" s="17" t="s">
        <v>612</v>
      </c>
      <c r="BH29" s="17" t="s">
        <v>9</v>
      </c>
      <c r="BJ29"/>
      <c r="BK29"/>
      <c r="BM29"/>
      <c r="BO29" s="17" t="s">
        <v>704</v>
      </c>
      <c r="BP29" s="17" t="s">
        <v>705</v>
      </c>
      <c r="BR29"/>
      <c r="BT29"/>
      <c r="BU29"/>
      <c r="BV29"/>
    </row>
    <row r="30" spans="1:74" x14ac:dyDescent="0.2">
      <c r="G30" s="10" t="s">
        <v>86</v>
      </c>
      <c r="H30" s="19" t="s">
        <v>87</v>
      </c>
      <c r="X30" s="10" t="s">
        <v>256</v>
      </c>
      <c r="Y30" s="19" t="s">
        <v>257</v>
      </c>
      <c r="AO30" s="17" t="s">
        <v>86</v>
      </c>
      <c r="AP30" s="22" t="s">
        <v>87</v>
      </c>
      <c r="AU30" s="17" t="s">
        <v>394</v>
      </c>
      <c r="AV30" s="22" t="s">
        <v>426</v>
      </c>
      <c r="BA30" s="17" t="s">
        <v>474</v>
      </c>
      <c r="BB30" s="17" t="s">
        <v>500</v>
      </c>
      <c r="BC30" s="22"/>
      <c r="BD30" s="22"/>
      <c r="BF30" s="17" t="s">
        <v>613</v>
      </c>
      <c r="BG30" s="17" t="s">
        <v>614</v>
      </c>
      <c r="BH30" s="17" t="s">
        <v>9</v>
      </c>
      <c r="BJ30"/>
      <c r="BK30"/>
      <c r="BM30"/>
      <c r="BO30" s="17" t="s">
        <v>706</v>
      </c>
      <c r="BP30" s="17" t="s">
        <v>707</v>
      </c>
      <c r="BR30"/>
      <c r="BT30"/>
      <c r="BU30"/>
      <c r="BV30"/>
    </row>
    <row r="31" spans="1:74" x14ac:dyDescent="0.2">
      <c r="G31" s="10" t="s">
        <v>88</v>
      </c>
      <c r="H31" s="19" t="s">
        <v>89</v>
      </c>
      <c r="X31" s="10" t="s">
        <v>258</v>
      </c>
      <c r="Y31" s="19" t="s">
        <v>259</v>
      </c>
      <c r="AO31" s="17" t="s">
        <v>88</v>
      </c>
      <c r="AP31" s="22" t="s">
        <v>89</v>
      </c>
      <c r="AU31" s="17" t="s">
        <v>395</v>
      </c>
      <c r="AV31" s="22" t="s">
        <v>427</v>
      </c>
      <c r="BA31" s="17" t="s">
        <v>475</v>
      </c>
      <c r="BB31" s="17" t="s">
        <v>17</v>
      </c>
      <c r="BC31" s="22"/>
      <c r="BD31" s="22"/>
      <c r="BF31" s="17" t="s">
        <v>615</v>
      </c>
      <c r="BG31" s="17" t="s">
        <v>616</v>
      </c>
      <c r="BH31" s="17" t="s">
        <v>9</v>
      </c>
      <c r="BJ31"/>
      <c r="BK31"/>
      <c r="BM31"/>
      <c r="BO31" s="17" t="s">
        <v>708</v>
      </c>
      <c r="BP31" s="17" t="s">
        <v>709</v>
      </c>
      <c r="BR31"/>
      <c r="BT31"/>
      <c r="BU31"/>
      <c r="BV31"/>
    </row>
    <row r="32" spans="1:74" x14ac:dyDescent="0.2">
      <c r="G32" s="10" t="s">
        <v>90</v>
      </c>
      <c r="H32" s="19" t="s">
        <v>91</v>
      </c>
      <c r="X32" s="10" t="s">
        <v>260</v>
      </c>
      <c r="Y32" s="19" t="s">
        <v>261</v>
      </c>
      <c r="AO32" s="17" t="s">
        <v>90</v>
      </c>
      <c r="AP32" s="22" t="s">
        <v>91</v>
      </c>
      <c r="AU32" s="17" t="s">
        <v>396</v>
      </c>
      <c r="AV32" s="22" t="s">
        <v>428</v>
      </c>
      <c r="BA32" s="17" t="s">
        <v>476</v>
      </c>
      <c r="BB32" s="17" t="s">
        <v>501</v>
      </c>
      <c r="BC32" s="22"/>
      <c r="BD32" s="22"/>
      <c r="BF32" s="17" t="s">
        <v>617</v>
      </c>
      <c r="BG32" s="17" t="s">
        <v>618</v>
      </c>
      <c r="BH32" s="17" t="s">
        <v>9</v>
      </c>
      <c r="BJ32"/>
      <c r="BK32"/>
      <c r="BM32"/>
      <c r="BO32" s="17" t="s">
        <v>710</v>
      </c>
      <c r="BP32" s="17" t="s">
        <v>711</v>
      </c>
      <c r="BR32"/>
      <c r="BT32"/>
      <c r="BU32"/>
      <c r="BV32"/>
    </row>
    <row r="33" spans="1:74" x14ac:dyDescent="0.2">
      <c r="A33" s="53"/>
      <c r="X33" s="10" t="s">
        <v>262</v>
      </c>
      <c r="Y33" s="19" t="s">
        <v>263</v>
      </c>
      <c r="AU33" s="17" t="s">
        <v>397</v>
      </c>
      <c r="AV33" s="22" t="s">
        <v>429</v>
      </c>
      <c r="BA33" s="17"/>
      <c r="BB33" s="17" t="s">
        <v>502</v>
      </c>
      <c r="BC33" s="22"/>
      <c r="BD33" s="22"/>
      <c r="BF33" s="17" t="s">
        <v>619</v>
      </c>
      <c r="BG33" s="17" t="s">
        <v>620</v>
      </c>
      <c r="BH33" s="17" t="s">
        <v>9</v>
      </c>
      <c r="BJ33"/>
      <c r="BK33"/>
      <c r="BM33"/>
      <c r="BO33" s="17" t="s">
        <v>712</v>
      </c>
      <c r="BP33" s="17" t="s">
        <v>713</v>
      </c>
      <c r="BR33"/>
      <c r="BT33"/>
      <c r="BU33"/>
      <c r="BV33"/>
    </row>
    <row r="34" spans="1:74" x14ac:dyDescent="0.2">
      <c r="X34" s="10" t="s">
        <v>264</v>
      </c>
      <c r="Y34" s="19" t="s">
        <v>265</v>
      </c>
      <c r="AU34" s="17" t="s">
        <v>398</v>
      </c>
      <c r="AV34" s="22" t="s">
        <v>430</v>
      </c>
      <c r="BA34" s="17"/>
      <c r="BB34" s="17" t="s">
        <v>503</v>
      </c>
      <c r="BC34" s="22"/>
      <c r="BD34" s="22"/>
      <c r="BF34" s="17" t="s">
        <v>621</v>
      </c>
      <c r="BG34" s="17" t="s">
        <v>622</v>
      </c>
      <c r="BH34" s="17" t="s">
        <v>9</v>
      </c>
      <c r="BJ34"/>
      <c r="BK34"/>
      <c r="BM34"/>
      <c r="BO34" s="17" t="s">
        <v>714</v>
      </c>
      <c r="BP34" s="17" t="s">
        <v>715</v>
      </c>
      <c r="BR34"/>
      <c r="BT34"/>
      <c r="BU34"/>
      <c r="BV34"/>
    </row>
    <row r="35" spans="1:74" x14ac:dyDescent="0.2">
      <c r="X35" s="10" t="s">
        <v>266</v>
      </c>
      <c r="Y35" s="19" t="s">
        <v>267</v>
      </c>
      <c r="AU35" s="17" t="s">
        <v>399</v>
      </c>
      <c r="AV35" s="22" t="s">
        <v>431</v>
      </c>
      <c r="BA35" s="17"/>
      <c r="BB35" s="17" t="s">
        <v>504</v>
      </c>
      <c r="BC35" s="22"/>
      <c r="BD35" s="22"/>
      <c r="BF35" s="17" t="s">
        <v>623</v>
      </c>
      <c r="BG35" s="17" t="s">
        <v>624</v>
      </c>
      <c r="BH35" s="17" t="s">
        <v>9</v>
      </c>
      <c r="BJ35"/>
      <c r="BK35"/>
      <c r="BM35"/>
      <c r="BO35"/>
      <c r="BP35"/>
      <c r="BR35"/>
      <c r="BT35"/>
      <c r="BU35"/>
      <c r="BV35"/>
    </row>
    <row r="36" spans="1:74" x14ac:dyDescent="0.2">
      <c r="X36" s="10" t="s">
        <v>268</v>
      </c>
      <c r="Y36" s="19" t="s">
        <v>269</v>
      </c>
      <c r="AU36" s="17"/>
      <c r="AV36" s="22"/>
      <c r="BA36" s="17"/>
      <c r="BB36" s="17" t="s">
        <v>505</v>
      </c>
      <c r="BC36" s="22"/>
      <c r="BD36" s="22"/>
      <c r="BF36" s="17" t="s">
        <v>625</v>
      </c>
      <c r="BG36" s="17" t="s">
        <v>626</v>
      </c>
      <c r="BH36" s="17" t="s">
        <v>9</v>
      </c>
      <c r="BJ36"/>
      <c r="BK36"/>
      <c r="BM36"/>
      <c r="BO36"/>
      <c r="BP36"/>
      <c r="BR36"/>
      <c r="BT36"/>
      <c r="BU36"/>
      <c r="BV36"/>
    </row>
    <row r="37" spans="1:74" x14ac:dyDescent="0.2">
      <c r="A37" s="53"/>
      <c r="X37" s="10" t="s">
        <v>270</v>
      </c>
      <c r="Y37" s="19" t="s">
        <v>271</v>
      </c>
      <c r="BA37" s="17"/>
      <c r="BB37" s="17" t="s">
        <v>506</v>
      </c>
      <c r="BC37" s="22"/>
      <c r="BD37" s="22"/>
      <c r="BF37" s="17" t="s">
        <v>627</v>
      </c>
      <c r="BG37" s="17" t="s">
        <v>628</v>
      </c>
      <c r="BH37" s="17" t="s">
        <v>9</v>
      </c>
      <c r="BJ37"/>
      <c r="BK37"/>
      <c r="BM37"/>
      <c r="BO37"/>
      <c r="BP37"/>
      <c r="BR37"/>
      <c r="BT37"/>
      <c r="BU37"/>
    </row>
    <row r="38" spans="1:74" x14ac:dyDescent="0.2">
      <c r="BA38" s="17"/>
      <c r="BB38" s="17" t="s">
        <v>507</v>
      </c>
      <c r="BC38" s="22"/>
      <c r="BD38" s="22"/>
      <c r="BF38" s="17" t="s">
        <v>629</v>
      </c>
      <c r="BG38" s="17" t="s">
        <v>630</v>
      </c>
      <c r="BH38" s="17" t="s">
        <v>9</v>
      </c>
      <c r="BJ38"/>
      <c r="BK38"/>
      <c r="BM38"/>
      <c r="BO38"/>
      <c r="BP38"/>
      <c r="BR38"/>
      <c r="BT38"/>
      <c r="BU38"/>
    </row>
    <row r="39" spans="1:74" x14ac:dyDescent="0.2">
      <c r="BA39" s="17"/>
      <c r="BB39" s="17" t="s">
        <v>508</v>
      </c>
      <c r="BC39" s="22"/>
      <c r="BD39" s="22"/>
      <c r="BF39" s="17" t="s">
        <v>588</v>
      </c>
      <c r="BG39" s="17" t="s">
        <v>589</v>
      </c>
      <c r="BH39" s="17" t="s">
        <v>9</v>
      </c>
      <c r="BJ39"/>
      <c r="BK39"/>
      <c r="BM39"/>
      <c r="BO39"/>
      <c r="BP39"/>
      <c r="BR39"/>
      <c r="BT39"/>
      <c r="BU39"/>
    </row>
    <row r="40" spans="1:74" x14ac:dyDescent="0.2">
      <c r="A40" s="49"/>
      <c r="BA40" s="17"/>
      <c r="BB40" s="17" t="s">
        <v>509</v>
      </c>
      <c r="BC40" s="22"/>
      <c r="BD40" s="22"/>
      <c r="BF40" s="17"/>
      <c r="BG40" s="17"/>
      <c r="BH40" s="17"/>
      <c r="BJ40"/>
      <c r="BK40"/>
      <c r="BM40"/>
      <c r="BO40"/>
      <c r="BP40"/>
      <c r="BR40"/>
      <c r="BT40"/>
      <c r="BU40"/>
    </row>
    <row r="41" spans="1:74" x14ac:dyDescent="0.2">
      <c r="BA41" s="17"/>
      <c r="BB41" s="17" t="s">
        <v>510</v>
      </c>
      <c r="BC41" s="22"/>
      <c r="BD41" s="22"/>
      <c r="BF41" s="17"/>
      <c r="BG41" s="17"/>
      <c r="BH41" s="17"/>
      <c r="BJ41"/>
      <c r="BK41"/>
      <c r="BM41"/>
      <c r="BO41"/>
      <c r="BP41"/>
      <c r="BR41"/>
      <c r="BT41"/>
      <c r="BU41"/>
    </row>
    <row r="42" spans="1:74" x14ac:dyDescent="0.2">
      <c r="BA42" s="17"/>
      <c r="BB42" s="17" t="s">
        <v>511</v>
      </c>
      <c r="BC42" s="22"/>
      <c r="BD42" s="22"/>
      <c r="BF42" s="17"/>
      <c r="BG42" s="17"/>
      <c r="BH42" s="17"/>
      <c r="BJ42"/>
      <c r="BK42"/>
      <c r="BM42"/>
      <c r="BO42"/>
      <c r="BP42"/>
      <c r="BR42"/>
      <c r="BT42"/>
      <c r="BU42"/>
    </row>
    <row r="43" spans="1:74" x14ac:dyDescent="0.2">
      <c r="BA43" s="17"/>
      <c r="BB43" s="17" t="s">
        <v>512</v>
      </c>
      <c r="BC43" s="22"/>
      <c r="BD43" s="22"/>
      <c r="BF43" s="17"/>
      <c r="BG43" s="17"/>
      <c r="BH43" s="17"/>
      <c r="BJ43"/>
      <c r="BK43"/>
      <c r="BM43"/>
      <c r="BO43"/>
      <c r="BP43"/>
      <c r="BR43"/>
      <c r="BT43"/>
      <c r="BU43"/>
    </row>
    <row r="44" spans="1:74" x14ac:dyDescent="0.2">
      <c r="A44" s="53"/>
      <c r="BA44" s="17"/>
      <c r="BB44" s="17" t="s">
        <v>513</v>
      </c>
      <c r="BC44" s="22"/>
      <c r="BD44" s="22"/>
      <c r="BF44" s="17"/>
      <c r="BG44" s="17"/>
      <c r="BH44" s="17"/>
      <c r="BJ44"/>
      <c r="BK44"/>
      <c r="BM44"/>
      <c r="BO44"/>
      <c r="BP44"/>
      <c r="BR44"/>
      <c r="BT44"/>
      <c r="BU44"/>
    </row>
    <row r="45" spans="1:74" x14ac:dyDescent="0.2">
      <c r="BA45" s="17"/>
      <c r="BB45" s="17" t="s">
        <v>514</v>
      </c>
      <c r="BC45" s="22"/>
      <c r="BD45" s="22"/>
      <c r="BF45" s="17"/>
      <c r="BG45" s="17"/>
      <c r="BH45" s="17"/>
      <c r="BJ45"/>
      <c r="BK45"/>
      <c r="BM45"/>
      <c r="BO45"/>
      <c r="BP45"/>
      <c r="BR45"/>
      <c r="BT45"/>
      <c r="BU45"/>
    </row>
    <row r="46" spans="1:74" x14ac:dyDescent="0.2">
      <c r="BA46" s="17"/>
      <c r="BB46" s="17" t="s">
        <v>515</v>
      </c>
      <c r="BC46" s="22"/>
      <c r="BD46" s="22"/>
      <c r="BF46" s="17"/>
      <c r="BG46" s="17"/>
      <c r="BH46" s="17"/>
      <c r="BJ46"/>
      <c r="BK46"/>
      <c r="BM46"/>
      <c r="BO46"/>
      <c r="BP46"/>
      <c r="BR46"/>
      <c r="BT46"/>
      <c r="BU46"/>
    </row>
    <row r="47" spans="1:74" x14ac:dyDescent="0.2">
      <c r="BA47" s="17"/>
      <c r="BB47" s="17" t="s">
        <v>516</v>
      </c>
      <c r="BC47" s="22"/>
      <c r="BD47" s="22"/>
      <c r="BF47" s="17"/>
      <c r="BG47" s="17"/>
      <c r="BH47" s="17"/>
      <c r="BJ47"/>
      <c r="BK47"/>
      <c r="BM47"/>
      <c r="BO47"/>
      <c r="BP47"/>
      <c r="BR47"/>
      <c r="BT47"/>
      <c r="BU47"/>
    </row>
    <row r="48" spans="1:74" x14ac:dyDescent="0.2">
      <c r="A48" s="11"/>
      <c r="BA48" s="17"/>
      <c r="BB48" s="17" t="s">
        <v>517</v>
      </c>
      <c r="BC48" s="22"/>
      <c r="BD48" s="22"/>
      <c r="BF48" s="17"/>
      <c r="BG48" s="17"/>
      <c r="BH48" s="17"/>
      <c r="BJ48"/>
      <c r="BK48"/>
      <c r="BM48"/>
      <c r="BO48"/>
      <c r="BP48"/>
      <c r="BR48"/>
      <c r="BT48"/>
      <c r="BU48"/>
    </row>
    <row r="49" spans="1:73" x14ac:dyDescent="0.2">
      <c r="A49" s="54"/>
      <c r="BA49" s="17"/>
      <c r="BB49" s="17" t="s">
        <v>518</v>
      </c>
      <c r="BC49" s="22"/>
      <c r="BD49" s="22"/>
      <c r="BF49" s="17"/>
      <c r="BG49" s="17"/>
      <c r="BH49" s="17"/>
      <c r="BJ49"/>
      <c r="BK49"/>
      <c r="BM49"/>
      <c r="BO49"/>
      <c r="BP49"/>
      <c r="BR49"/>
      <c r="BT49"/>
      <c r="BU49"/>
    </row>
    <row r="50" spans="1:73" x14ac:dyDescent="0.2">
      <c r="A50" s="11"/>
      <c r="BA50" s="17"/>
      <c r="BB50" s="17" t="s">
        <v>519</v>
      </c>
      <c r="BC50" s="22"/>
      <c r="BD50" s="22"/>
      <c r="BF50" s="17"/>
      <c r="BG50" s="17"/>
      <c r="BH50" s="17"/>
      <c r="BJ50"/>
      <c r="BK50"/>
      <c r="BM50"/>
      <c r="BO50"/>
      <c r="BP50"/>
      <c r="BR50"/>
      <c r="BT50"/>
      <c r="BU50"/>
    </row>
    <row r="51" spans="1:73" x14ac:dyDescent="0.2">
      <c r="A51" s="11"/>
      <c r="BA51" s="17"/>
      <c r="BB51" s="17" t="s">
        <v>18</v>
      </c>
      <c r="BC51" s="22"/>
      <c r="BD51" s="22"/>
      <c r="BF51" s="17"/>
      <c r="BG51" s="17"/>
      <c r="BH51" s="17"/>
      <c r="BJ51"/>
      <c r="BK51"/>
      <c r="BM51"/>
      <c r="BO51"/>
      <c r="BP51"/>
      <c r="BR51"/>
      <c r="BT51"/>
      <c r="BU51"/>
    </row>
    <row r="52" spans="1:73" x14ac:dyDescent="0.2">
      <c r="A52" s="11"/>
      <c r="BA52" s="17"/>
      <c r="BB52" s="17" t="s">
        <v>520</v>
      </c>
      <c r="BC52" s="22"/>
      <c r="BD52" s="22"/>
      <c r="BF52" s="17"/>
      <c r="BG52" s="17"/>
      <c r="BH52" s="17"/>
      <c r="BJ52"/>
      <c r="BK52"/>
      <c r="BM52"/>
      <c r="BO52"/>
      <c r="BP52"/>
      <c r="BR52"/>
      <c r="BT52"/>
      <c r="BU52"/>
    </row>
    <row r="53" spans="1:73" x14ac:dyDescent="0.2">
      <c r="A53" s="11"/>
      <c r="BA53" s="17"/>
      <c r="BB53" s="17" t="s">
        <v>19</v>
      </c>
      <c r="BC53" s="22"/>
      <c r="BD53" s="22"/>
      <c r="BF53" s="17"/>
      <c r="BG53" s="17"/>
      <c r="BH53" s="17"/>
      <c r="BJ53"/>
      <c r="BK53"/>
      <c r="BM53"/>
      <c r="BO53"/>
      <c r="BP53"/>
      <c r="BR53"/>
      <c r="BT53"/>
      <c r="BU53"/>
    </row>
    <row r="54" spans="1:73" x14ac:dyDescent="0.2">
      <c r="BA54" s="17"/>
      <c r="BB54" s="17" t="s">
        <v>5</v>
      </c>
      <c r="BC54" s="22"/>
      <c r="BD54" s="22"/>
      <c r="BF54" s="17"/>
      <c r="BG54" s="17"/>
      <c r="BH54" s="17"/>
      <c r="BJ54"/>
      <c r="BK54"/>
      <c r="BM54"/>
      <c r="BO54"/>
      <c r="BP54"/>
      <c r="BR54"/>
      <c r="BT54"/>
      <c r="BU54"/>
    </row>
    <row r="55" spans="1:73" x14ac:dyDescent="0.2">
      <c r="BA55" s="17"/>
      <c r="BB55" s="17" t="s">
        <v>521</v>
      </c>
      <c r="BC55" s="22"/>
      <c r="BD55" s="22"/>
      <c r="BF55" s="17"/>
      <c r="BG55" s="17"/>
      <c r="BH55" s="17"/>
      <c r="BJ55"/>
      <c r="BK55"/>
      <c r="BM55"/>
      <c r="BO55"/>
      <c r="BP55"/>
      <c r="BR55"/>
      <c r="BT55"/>
      <c r="BU55"/>
    </row>
    <row r="56" spans="1:73" x14ac:dyDescent="0.2">
      <c r="BA56" s="17"/>
      <c r="BB56" s="17" t="s">
        <v>21</v>
      </c>
      <c r="BC56" s="22"/>
      <c r="BD56" s="22"/>
      <c r="BF56" s="17"/>
      <c r="BG56" s="17"/>
      <c r="BH56" s="17"/>
      <c r="BJ56"/>
      <c r="BK56"/>
      <c r="BM56"/>
      <c r="BO56"/>
      <c r="BP56"/>
      <c r="BR56"/>
      <c r="BT56"/>
      <c r="BU56"/>
    </row>
    <row r="57" spans="1:73" x14ac:dyDescent="0.2">
      <c r="BA57" s="17"/>
      <c r="BB57" s="17" t="s">
        <v>522</v>
      </c>
      <c r="BC57" s="22"/>
      <c r="BD57" s="22"/>
      <c r="BF57" s="17"/>
      <c r="BG57" s="17"/>
      <c r="BH57" s="17"/>
      <c r="BJ57"/>
      <c r="BK57"/>
      <c r="BM57"/>
      <c r="BO57"/>
      <c r="BP57"/>
      <c r="BR57"/>
      <c r="BT57"/>
      <c r="BU57"/>
    </row>
    <row r="58" spans="1:73" x14ac:dyDescent="0.2">
      <c r="BA58" s="17"/>
      <c r="BB58" s="17" t="s">
        <v>22</v>
      </c>
      <c r="BC58" s="22"/>
      <c r="BD58" s="22"/>
      <c r="BF58" s="17"/>
      <c r="BG58" s="17"/>
      <c r="BH58" s="17"/>
      <c r="BJ58"/>
      <c r="BK58"/>
      <c r="BM58"/>
      <c r="BO58"/>
      <c r="BP58"/>
      <c r="BR58"/>
      <c r="BT58"/>
      <c r="BU58"/>
    </row>
    <row r="59" spans="1:73" x14ac:dyDescent="0.2">
      <c r="BA59" s="17"/>
      <c r="BB59" s="17" t="s">
        <v>523</v>
      </c>
      <c r="BC59" s="22"/>
      <c r="BD59" s="22"/>
      <c r="BF59" s="17"/>
      <c r="BG59" s="17"/>
      <c r="BH59" s="17"/>
      <c r="BJ59"/>
      <c r="BK59"/>
      <c r="BM59"/>
      <c r="BO59"/>
      <c r="BP59"/>
      <c r="BR59"/>
      <c r="BT59"/>
      <c r="BU59"/>
    </row>
    <row r="60" spans="1:73" x14ac:dyDescent="0.2">
      <c r="BA60" s="17"/>
      <c r="BB60" s="17" t="s">
        <v>524</v>
      </c>
      <c r="BC60" s="22"/>
      <c r="BD60" s="22"/>
      <c r="BF60" s="17"/>
      <c r="BG60" s="17"/>
      <c r="BH60" s="17"/>
      <c r="BJ60"/>
      <c r="BK60"/>
      <c r="BM60"/>
      <c r="BO60"/>
      <c r="BP60"/>
      <c r="BR60"/>
      <c r="BT60"/>
      <c r="BU60"/>
    </row>
    <row r="61" spans="1:73" x14ac:dyDescent="0.2">
      <c r="BA61" s="17"/>
      <c r="BB61" s="17" t="s">
        <v>525</v>
      </c>
      <c r="BC61" s="22"/>
      <c r="BD61" s="22"/>
      <c r="BF61" s="17"/>
      <c r="BG61" s="17"/>
      <c r="BH61" s="17"/>
      <c r="BJ61"/>
      <c r="BK61"/>
      <c r="BM61"/>
      <c r="BO61"/>
      <c r="BP61"/>
      <c r="BR61"/>
      <c r="BT61"/>
      <c r="BU61"/>
    </row>
    <row r="62" spans="1:73" x14ac:dyDescent="0.2">
      <c r="BA62" s="17"/>
      <c r="BB62" s="17" t="s">
        <v>526</v>
      </c>
      <c r="BC62" s="22"/>
      <c r="BD62" s="22"/>
      <c r="BF62" s="17"/>
      <c r="BG62" s="17"/>
      <c r="BH62" s="17"/>
      <c r="BJ62"/>
      <c r="BK62"/>
      <c r="BM62"/>
      <c r="BO62"/>
      <c r="BP62"/>
      <c r="BR62"/>
      <c r="BT62"/>
      <c r="BU62"/>
    </row>
    <row r="63" spans="1:73" x14ac:dyDescent="0.2">
      <c r="BA63" s="17"/>
      <c r="BB63" s="17" t="s">
        <v>527</v>
      </c>
      <c r="BC63" s="22"/>
      <c r="BD63" s="22"/>
      <c r="BF63" s="17"/>
      <c r="BG63" s="17"/>
      <c r="BH63" s="17"/>
      <c r="BJ63"/>
      <c r="BK63"/>
      <c r="BM63"/>
      <c r="BO63"/>
      <c r="BP63"/>
      <c r="BR63"/>
      <c r="BT63"/>
      <c r="BU63"/>
    </row>
    <row r="64" spans="1:73" x14ac:dyDescent="0.2">
      <c r="BA64" s="17"/>
      <c r="BB64" s="17" t="s">
        <v>528</v>
      </c>
      <c r="BC64" s="22"/>
      <c r="BD64" s="22"/>
      <c r="BF64" s="17"/>
      <c r="BG64" s="17"/>
      <c r="BH64" s="17"/>
      <c r="BJ64"/>
      <c r="BK64"/>
      <c r="BM64"/>
      <c r="BO64"/>
      <c r="BP64"/>
      <c r="BR64"/>
      <c r="BT64"/>
      <c r="BU64"/>
    </row>
    <row r="65" spans="53:73" x14ac:dyDescent="0.2">
      <c r="BA65" s="17"/>
      <c r="BB65" s="17" t="s">
        <v>529</v>
      </c>
      <c r="BC65" s="22"/>
      <c r="BD65" s="22"/>
      <c r="BF65" s="17"/>
      <c r="BG65" s="17"/>
      <c r="BH65" s="17"/>
      <c r="BJ65"/>
      <c r="BK65"/>
      <c r="BM65"/>
      <c r="BO65"/>
      <c r="BP65"/>
      <c r="BR65"/>
      <c r="BT65"/>
      <c r="BU65"/>
    </row>
    <row r="66" spans="53:73" x14ac:dyDescent="0.2">
      <c r="BA66" s="17"/>
      <c r="BB66" s="17" t="s">
        <v>530</v>
      </c>
      <c r="BC66" s="22"/>
      <c r="BD66" s="22"/>
      <c r="BF66" s="17"/>
      <c r="BG66" s="17"/>
      <c r="BH66" s="17"/>
      <c r="BJ66"/>
      <c r="BK66"/>
      <c r="BM66"/>
      <c r="BO66"/>
      <c r="BP66"/>
      <c r="BR66"/>
      <c r="BT66"/>
      <c r="BU66"/>
    </row>
    <row r="67" spans="53:73" x14ac:dyDescent="0.2">
      <c r="BA67" s="17"/>
      <c r="BB67" s="17" t="s">
        <v>531</v>
      </c>
      <c r="BC67" s="22"/>
      <c r="BD67" s="22"/>
      <c r="BF67" s="17"/>
      <c r="BG67" s="17"/>
      <c r="BH67" s="17"/>
      <c r="BJ67"/>
      <c r="BK67"/>
      <c r="BM67"/>
      <c r="BO67"/>
      <c r="BP67"/>
      <c r="BR67"/>
      <c r="BT67"/>
      <c r="BU67"/>
    </row>
    <row r="68" spans="53:73" x14ac:dyDescent="0.2">
      <c r="BA68" s="17"/>
      <c r="BB68" s="17" t="s">
        <v>532</v>
      </c>
      <c r="BC68" s="22"/>
      <c r="BD68" s="22"/>
      <c r="BF68" s="17"/>
      <c r="BG68" s="17"/>
      <c r="BH68" s="17"/>
      <c r="BJ68"/>
      <c r="BK68"/>
      <c r="BM68"/>
      <c r="BO68"/>
      <c r="BP68"/>
      <c r="BR68"/>
      <c r="BT68"/>
      <c r="BU68"/>
    </row>
    <row r="69" spans="53:73" x14ac:dyDescent="0.2">
      <c r="BA69" s="17"/>
      <c r="BB69" s="17" t="s">
        <v>533</v>
      </c>
      <c r="BC69" s="22"/>
      <c r="BD69" s="22"/>
      <c r="BF69" s="17"/>
      <c r="BG69" s="17"/>
      <c r="BH69" s="17"/>
      <c r="BJ69"/>
      <c r="BK69"/>
      <c r="BM69"/>
      <c r="BO69"/>
      <c r="BP69"/>
      <c r="BR69"/>
      <c r="BT69"/>
      <c r="BU69"/>
    </row>
    <row r="70" spans="53:73" x14ac:dyDescent="0.2">
      <c r="BA70" s="17"/>
      <c r="BB70" s="17" t="s">
        <v>534</v>
      </c>
      <c r="BC70" s="22"/>
      <c r="BD70" s="22"/>
      <c r="BF70" s="17"/>
      <c r="BG70" s="17"/>
      <c r="BH70" s="17"/>
      <c r="BJ70"/>
      <c r="BK70"/>
      <c r="BM70"/>
      <c r="BO70"/>
      <c r="BP70"/>
      <c r="BR70"/>
      <c r="BT70"/>
      <c r="BU70"/>
    </row>
    <row r="71" spans="53:73" x14ac:dyDescent="0.2">
      <c r="BA71" s="17"/>
      <c r="BB71" s="17" t="s">
        <v>535</v>
      </c>
      <c r="BC71" s="22"/>
      <c r="BD71" s="22"/>
      <c r="BF71" s="17"/>
      <c r="BG71" s="17"/>
      <c r="BH71" s="17"/>
      <c r="BJ71"/>
      <c r="BK71"/>
      <c r="BM71"/>
      <c r="BO71"/>
      <c r="BP71"/>
      <c r="BR71"/>
      <c r="BT71"/>
      <c r="BU71"/>
    </row>
    <row r="72" spans="53:73" x14ac:dyDescent="0.2">
      <c r="BA72" s="17"/>
      <c r="BB72" s="17" t="s">
        <v>536</v>
      </c>
      <c r="BC72" s="22"/>
      <c r="BD72" s="22"/>
      <c r="BF72" s="17"/>
      <c r="BG72" s="17"/>
      <c r="BH72" s="17"/>
      <c r="BJ72"/>
      <c r="BK72"/>
      <c r="BM72"/>
      <c r="BO72"/>
      <c r="BP72"/>
      <c r="BR72"/>
      <c r="BT72"/>
      <c r="BU72"/>
    </row>
    <row r="73" spans="53:73" x14ac:dyDescent="0.2">
      <c r="BA73" s="17"/>
      <c r="BB73" s="17" t="s">
        <v>537</v>
      </c>
      <c r="BC73" s="22"/>
      <c r="BD73" s="22"/>
      <c r="BF73" s="17"/>
      <c r="BG73" s="17"/>
      <c r="BH73" s="17"/>
      <c r="BJ73"/>
      <c r="BK73"/>
      <c r="BM73"/>
      <c r="BO73"/>
      <c r="BP73"/>
      <c r="BR73"/>
      <c r="BT73"/>
      <c r="BU73"/>
    </row>
    <row r="74" spans="53:73" x14ac:dyDescent="0.2">
      <c r="BA74" s="17"/>
      <c r="BB74" s="17" t="s">
        <v>538</v>
      </c>
      <c r="BC74" s="22"/>
      <c r="BD74" s="22"/>
      <c r="BF74" s="17"/>
      <c r="BG74" s="17"/>
      <c r="BH74" s="17"/>
      <c r="BJ74"/>
      <c r="BK74"/>
      <c r="BM74"/>
      <c r="BO74"/>
      <c r="BP74"/>
      <c r="BR74"/>
      <c r="BT74"/>
      <c r="BU74"/>
    </row>
    <row r="75" spans="53:73" x14ac:dyDescent="0.2">
      <c r="BA75" s="17"/>
      <c r="BB75" s="17" t="s">
        <v>539</v>
      </c>
      <c r="BC75" s="22"/>
      <c r="BD75" s="22"/>
      <c r="BF75" s="17"/>
      <c r="BG75" s="17"/>
      <c r="BH75" s="17"/>
      <c r="BJ75"/>
      <c r="BK75"/>
      <c r="BM75"/>
      <c r="BO75"/>
      <c r="BP75"/>
      <c r="BR75"/>
      <c r="BT75"/>
      <c r="BU75"/>
    </row>
    <row r="76" spans="53:73" x14ac:dyDescent="0.2">
      <c r="BA76" s="17"/>
      <c r="BB76" s="17" t="s">
        <v>540</v>
      </c>
      <c r="BC76" s="22"/>
      <c r="BD76" s="22"/>
      <c r="BF76" s="17"/>
      <c r="BG76" s="17"/>
      <c r="BH76" s="17"/>
      <c r="BJ76"/>
      <c r="BK76"/>
      <c r="BM76"/>
      <c r="BO76"/>
      <c r="BP76"/>
      <c r="BR76"/>
      <c r="BT76"/>
      <c r="BU76"/>
    </row>
    <row r="77" spans="53:73" x14ac:dyDescent="0.2">
      <c r="BA77" s="17"/>
      <c r="BB77" s="17" t="s">
        <v>541</v>
      </c>
      <c r="BC77" s="22"/>
      <c r="BD77" s="22"/>
      <c r="BF77" s="17"/>
      <c r="BG77" s="17"/>
      <c r="BH77" s="17"/>
      <c r="BJ77"/>
      <c r="BK77"/>
      <c r="BM77"/>
      <c r="BO77"/>
      <c r="BP77"/>
      <c r="BR77"/>
      <c r="BT77"/>
      <c r="BU77"/>
    </row>
    <row r="78" spans="53:73" x14ac:dyDescent="0.2">
      <c r="BA78" s="17"/>
      <c r="BB78" s="17" t="s">
        <v>542</v>
      </c>
      <c r="BC78" s="22"/>
      <c r="BD78" s="22"/>
      <c r="BF78" s="17"/>
      <c r="BG78" s="17"/>
      <c r="BH78" s="17"/>
      <c r="BJ78"/>
      <c r="BK78"/>
      <c r="BM78"/>
      <c r="BO78"/>
      <c r="BP78"/>
      <c r="BR78"/>
      <c r="BT78"/>
      <c r="BU78"/>
    </row>
    <row r="79" spans="53:73" x14ac:dyDescent="0.2">
      <c r="BA79" s="17"/>
      <c r="BB79" s="17" t="s">
        <v>543</v>
      </c>
      <c r="BC79" s="22"/>
      <c r="BD79" s="22"/>
      <c r="BF79" s="17"/>
      <c r="BG79" s="17"/>
      <c r="BH79" s="17"/>
      <c r="BJ79"/>
      <c r="BK79"/>
      <c r="BM79"/>
      <c r="BO79"/>
      <c r="BP79"/>
      <c r="BR79"/>
      <c r="BT79"/>
      <c r="BU79"/>
    </row>
    <row r="80" spans="53:73" x14ac:dyDescent="0.2">
      <c r="BA80" s="17"/>
      <c r="BB80" s="17" t="s">
        <v>544</v>
      </c>
      <c r="BC80" s="22"/>
      <c r="BD80" s="22"/>
      <c r="BF80" s="17"/>
      <c r="BG80" s="17"/>
      <c r="BH80" s="17"/>
      <c r="BJ80"/>
      <c r="BK80"/>
      <c r="BM80"/>
      <c r="BO80"/>
      <c r="BP80"/>
      <c r="BR80"/>
      <c r="BT80"/>
      <c r="BU80"/>
    </row>
    <row r="81" spans="53:73" x14ac:dyDescent="0.2">
      <c r="BA81" s="17"/>
      <c r="BB81" s="17" t="s">
        <v>545</v>
      </c>
      <c r="BC81" s="22"/>
      <c r="BD81" s="22"/>
      <c r="BF81" s="17"/>
      <c r="BG81" s="17"/>
      <c r="BH81" s="17"/>
      <c r="BJ81"/>
      <c r="BK81"/>
      <c r="BM81"/>
      <c r="BO81"/>
      <c r="BP81"/>
      <c r="BR81"/>
      <c r="BT81"/>
      <c r="BU81"/>
    </row>
    <row r="82" spans="53:73" x14ac:dyDescent="0.2">
      <c r="BA82" s="17"/>
      <c r="BB82" s="17" t="s">
        <v>546</v>
      </c>
      <c r="BC82" s="22"/>
      <c r="BD82" s="22"/>
      <c r="BF82" s="17"/>
      <c r="BG82" s="17"/>
      <c r="BH82" s="17"/>
      <c r="BJ82"/>
      <c r="BK82"/>
      <c r="BM82"/>
      <c r="BO82"/>
      <c r="BP82"/>
      <c r="BR82"/>
      <c r="BT82"/>
      <c r="BU82"/>
    </row>
    <row r="83" spans="53:73" x14ac:dyDescent="0.2">
      <c r="BA83" s="17"/>
      <c r="BB83" s="17" t="s">
        <v>547</v>
      </c>
      <c r="BC83" s="22"/>
      <c r="BD83" s="22"/>
      <c r="BF83" s="17"/>
      <c r="BG83" s="17"/>
      <c r="BH83" s="17"/>
      <c r="BJ83"/>
      <c r="BK83"/>
      <c r="BM83"/>
      <c r="BO83"/>
      <c r="BP83"/>
      <c r="BR83"/>
      <c r="BT83"/>
      <c r="BU83"/>
    </row>
    <row r="84" spans="53:73" x14ac:dyDescent="0.2">
      <c r="BA84" s="17"/>
      <c r="BB84" s="17" t="s">
        <v>548</v>
      </c>
      <c r="BC84" s="22"/>
      <c r="BD84" s="22"/>
      <c r="BF84" s="17"/>
      <c r="BG84" s="17"/>
      <c r="BH84" s="17"/>
      <c r="BJ84"/>
      <c r="BK84"/>
      <c r="BM84"/>
      <c r="BO84"/>
      <c r="BP84"/>
      <c r="BR84"/>
      <c r="BT84"/>
      <c r="BU84"/>
    </row>
    <row r="85" spans="53:73" x14ac:dyDescent="0.2">
      <c r="BA85" s="17"/>
      <c r="BB85" s="17" t="s">
        <v>549</v>
      </c>
      <c r="BC85" s="22"/>
      <c r="BD85" s="22"/>
      <c r="BF85" s="17"/>
      <c r="BG85" s="17"/>
      <c r="BH85" s="17"/>
      <c r="BJ85"/>
      <c r="BK85"/>
      <c r="BM85"/>
      <c r="BO85"/>
      <c r="BP85"/>
      <c r="BR85"/>
      <c r="BT85"/>
      <c r="BU85"/>
    </row>
    <row r="86" spans="53:73" x14ac:dyDescent="0.2">
      <c r="BA86" s="17"/>
      <c r="BB86" s="17" t="s">
        <v>550</v>
      </c>
      <c r="BC86" s="22"/>
      <c r="BD86" s="22"/>
      <c r="BF86" s="17"/>
      <c r="BG86" s="17"/>
      <c r="BH86" s="17"/>
      <c r="BJ86"/>
      <c r="BK86"/>
      <c r="BM86"/>
      <c r="BO86"/>
      <c r="BP86"/>
      <c r="BR86"/>
      <c r="BT86"/>
      <c r="BU86"/>
    </row>
    <row r="87" spans="53:73" x14ac:dyDescent="0.2">
      <c r="BA87" s="17"/>
      <c r="BB87" s="17" t="s">
        <v>551</v>
      </c>
      <c r="BC87" s="22"/>
      <c r="BD87" s="22"/>
      <c r="BF87" s="17"/>
      <c r="BG87" s="17"/>
      <c r="BH87" s="17"/>
      <c r="BJ87"/>
      <c r="BK87"/>
      <c r="BM87"/>
      <c r="BO87"/>
      <c r="BP87"/>
      <c r="BR87"/>
      <c r="BT87"/>
      <c r="BU87"/>
    </row>
  </sheetData>
  <sortState ref="AR4:AS12">
    <sortCondition ref="AR12"/>
  </sortState>
  <mergeCells count="19">
    <mergeCell ref="A1:A3"/>
    <mergeCell ref="G2:H2"/>
    <mergeCell ref="M2:N2"/>
    <mergeCell ref="P2:Y2"/>
    <mergeCell ref="J2:K2"/>
    <mergeCell ref="B2:E2"/>
    <mergeCell ref="BT2:BV2"/>
    <mergeCell ref="BO2:BP2"/>
    <mergeCell ref="AA2:AB2"/>
    <mergeCell ref="BJ2:BK2"/>
    <mergeCell ref="BF2:BH2"/>
    <mergeCell ref="AD2:AE2"/>
    <mergeCell ref="BA2:BD2"/>
    <mergeCell ref="AX2:AY2"/>
    <mergeCell ref="AI2:AJ2"/>
    <mergeCell ref="AL2:AM2"/>
    <mergeCell ref="AO2:AP2"/>
    <mergeCell ref="AR2:AS2"/>
    <mergeCell ref="AU2:AV2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Instalação">
                <anchor moveWithCells="1" siz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0</xdr:col>
                    <xdr:colOff>914400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5" name="Button 3">
              <controlPr defaultSize="0" print="0" autoFill="0" autoPict="0" macro="[0]!SelectArchive">
                <anchor moveWithCells="1" sizeWithCells="1">
                  <from>
                    <xdr:col>0</xdr:col>
                    <xdr:colOff>0</xdr:colOff>
                    <xdr:row>5</xdr:row>
                    <xdr:rowOff>0</xdr:rowOff>
                  </from>
                  <to>
                    <xdr:col>0</xdr:col>
                    <xdr:colOff>1600200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6" name="Button 4">
              <controlPr defaultSize="0" print="0" autoFill="0" autoPict="0" macro="[0]!GerarRelatorio">
                <anchor moveWithCells="1" sizeWithCells="1">
                  <from>
                    <xdr:col>0</xdr:col>
                    <xdr:colOff>0</xdr:colOff>
                    <xdr:row>8</xdr:row>
                    <xdr:rowOff>0</xdr:rowOff>
                  </from>
                  <to>
                    <xdr:col>0</xdr:col>
                    <xdr:colOff>1600200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240E1A0-9061-4E57-AE95-DA4AE8C8F56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MM01</vt:lpstr>
      <vt:lpstr>Listas de Dados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FABIO MITSUEDA</dc:creator>
  <cp:lastModifiedBy>Boff Arthur</cp:lastModifiedBy>
  <dcterms:created xsi:type="dcterms:W3CDTF">2018-08-12T16:17:40Z</dcterms:created>
  <dcterms:modified xsi:type="dcterms:W3CDTF">2022-03-07T15:39:35Z</dcterms:modified>
</cp:coreProperties>
</file>