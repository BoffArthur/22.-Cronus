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27915" yWindow="70200" windowWidth="28800" windowHeight="14130" activeTab="6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Consulta!$A$1:$CB$12</definedName>
  </definedNames>
  <calcPr calcId="162913"/>
</workbook>
</file>

<file path=xl/calcChain.xml><?xml version="1.0" encoding="utf-8"?>
<calcChain xmlns="http://schemas.openxmlformats.org/spreadsheetml/2006/main">
  <c r="CB13" i="7" l="1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P152" i="6"/>
  <c r="J152" i="6"/>
  <c r="H152" i="6"/>
  <c r="CI152" i="6" s="1"/>
  <c r="G152" i="6"/>
  <c r="CR152" i="6" s="1"/>
  <c r="E152" i="6"/>
  <c r="DB152" i="6" s="1"/>
  <c r="D152" i="6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AP151" i="6"/>
  <c r="J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P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P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P145" i="6"/>
  <c r="J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AP137" i="6"/>
  <c r="J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P136" i="6"/>
  <c r="J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P124" i="6"/>
  <c r="J124" i="6"/>
  <c r="H124" i="6"/>
  <c r="CJ124" i="6" s="1"/>
  <c r="G124" i="6"/>
  <c r="CC124" i="6" s="1"/>
  <c r="E124" i="6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P120" i="6"/>
  <c r="J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P117" i="6"/>
  <c r="J117" i="6"/>
  <c r="H117" i="6"/>
  <c r="CJ117" i="6" s="1"/>
  <c r="G117" i="6"/>
  <c r="CC117" i="6" s="1"/>
  <c r="E117" i="6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P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P107" i="6"/>
  <c r="J107" i="6"/>
  <c r="H107" i="6"/>
  <c r="CJ107" i="6" s="1"/>
  <c r="G107" i="6"/>
  <c r="I107" i="6" s="1"/>
  <c r="E107" i="6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AP106" i="6"/>
  <c r="J106" i="6"/>
  <c r="H106" i="6"/>
  <c r="CJ106" i="6" s="1"/>
  <c r="G106" i="6"/>
  <c r="I106" i="6" s="1"/>
  <c r="E106" i="6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AP95" i="6"/>
  <c r="J95" i="6"/>
  <c r="H95" i="6"/>
  <c r="CJ95" i="6" s="1"/>
  <c r="G95" i="6"/>
  <c r="I95" i="6" s="1"/>
  <c r="E95" i="6"/>
  <c r="DB95" i="6" s="1"/>
  <c r="D95" i="6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P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P89" i="6"/>
  <c r="J89" i="6"/>
  <c r="H89" i="6"/>
  <c r="CJ89" i="6" s="1"/>
  <c r="G89" i="6"/>
  <c r="I89" i="6" s="1"/>
  <c r="E89" i="6"/>
  <c r="DB89" i="6" s="1"/>
  <c r="D89" i="6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AP79" i="6"/>
  <c r="J79" i="6"/>
  <c r="H79" i="6"/>
  <c r="CJ79" i="6" s="1"/>
  <c r="G79" i="6"/>
  <c r="I79" i="6" s="1"/>
  <c r="E79" i="6"/>
  <c r="DB79" i="6" s="1"/>
  <c r="D79" i="6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P74" i="6"/>
  <c r="J74" i="6"/>
  <c r="H74" i="6"/>
  <c r="CJ74" i="6" s="1"/>
  <c r="G74" i="6"/>
  <c r="I74" i="6" s="1"/>
  <c r="E74" i="6"/>
  <c r="DB74" i="6" s="1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P72" i="6"/>
  <c r="J72" i="6"/>
  <c r="H72" i="6"/>
  <c r="CJ72" i="6" s="1"/>
  <c r="G72" i="6"/>
  <c r="I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P67" i="6"/>
  <c r="J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AP65" i="6"/>
  <c r="J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AP63" i="6"/>
  <c r="J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AP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P55" i="6"/>
  <c r="J55" i="6"/>
  <c r="H55" i="6"/>
  <c r="CJ55" i="6" s="1"/>
  <c r="G55" i="6"/>
  <c r="I55" i="6" s="1"/>
  <c r="E55" i="6"/>
  <c r="DB55" i="6" s="1"/>
  <c r="D55" i="6"/>
  <c r="CZ55" i="6" s="1"/>
  <c r="C55" i="6"/>
  <c r="A55" i="6"/>
  <c r="AS56" i="6" l="1"/>
  <c r="BR56" i="6"/>
  <c r="AS59" i="6"/>
  <c r="BR59" i="6"/>
  <c r="AS62" i="6"/>
  <c r="BR62" i="6"/>
  <c r="AS68" i="6"/>
  <c r="BR68" i="6"/>
  <c r="AS71" i="6"/>
  <c r="BR71" i="6"/>
  <c r="AS74" i="6"/>
  <c r="BR74" i="6"/>
  <c r="AS77" i="6"/>
  <c r="BR77" i="6"/>
  <c r="AS80" i="6"/>
  <c r="BR80" i="6"/>
  <c r="AS83" i="6"/>
  <c r="BR83" i="6"/>
  <c r="AS86" i="6"/>
  <c r="BR86" i="6"/>
  <c r="AS89" i="6"/>
  <c r="BR89" i="6"/>
  <c r="AS92" i="6"/>
  <c r="BR92" i="6"/>
  <c r="AS95" i="6"/>
  <c r="BR95" i="6"/>
  <c r="AS98" i="6"/>
  <c r="BR98" i="6"/>
  <c r="AS101" i="6"/>
  <c r="BR101" i="6"/>
  <c r="AS104" i="6"/>
  <c r="BR104" i="6"/>
  <c r="AS107" i="6"/>
  <c r="BR107" i="6"/>
  <c r="AS110" i="6"/>
  <c r="BR110" i="6"/>
  <c r="AS113" i="6"/>
  <c r="BR113" i="6"/>
  <c r="AS116" i="6"/>
  <c r="BR116" i="6"/>
  <c r="AS119" i="6"/>
  <c r="BR119" i="6"/>
  <c r="AS122" i="6"/>
  <c r="BR122" i="6"/>
  <c r="AS125" i="6"/>
  <c r="BR125" i="6"/>
  <c r="AS128" i="6"/>
  <c r="BR128" i="6"/>
  <c r="AS131" i="6"/>
  <c r="BR131" i="6"/>
  <c r="AS134" i="6"/>
  <c r="BR134" i="6"/>
  <c r="AS137" i="6"/>
  <c r="BR137" i="6"/>
  <c r="AS140" i="6"/>
  <c r="BR140" i="6"/>
  <c r="AS143" i="6"/>
  <c r="BR143" i="6"/>
  <c r="AS146" i="6"/>
  <c r="BR146" i="6"/>
  <c r="AS149" i="6"/>
  <c r="BR149" i="6"/>
  <c r="AS152" i="6"/>
  <c r="BR152" i="6"/>
  <c r="AS65" i="6"/>
  <c r="BR65" i="6"/>
  <c r="AS57" i="6"/>
  <c r="BR57" i="6"/>
  <c r="AS60" i="6"/>
  <c r="BR60" i="6"/>
  <c r="AS63" i="6"/>
  <c r="BR63" i="6"/>
  <c r="AS66" i="6"/>
  <c r="BR66" i="6"/>
  <c r="AS69" i="6"/>
  <c r="BR69" i="6"/>
  <c r="AS72" i="6"/>
  <c r="BR72" i="6"/>
  <c r="AS75" i="6"/>
  <c r="BR75" i="6"/>
  <c r="AS78" i="6"/>
  <c r="BR78" i="6"/>
  <c r="AS81" i="6"/>
  <c r="BR81" i="6"/>
  <c r="AS84" i="6"/>
  <c r="BR84" i="6"/>
  <c r="AS87" i="6"/>
  <c r="BR87" i="6"/>
  <c r="AS90" i="6"/>
  <c r="BR90" i="6"/>
  <c r="AS93" i="6"/>
  <c r="BR93" i="6"/>
  <c r="AS96" i="6"/>
  <c r="BR96" i="6"/>
  <c r="AS99" i="6"/>
  <c r="BR99" i="6"/>
  <c r="AS102" i="6"/>
  <c r="BR102" i="6"/>
  <c r="AS105" i="6"/>
  <c r="BR105" i="6"/>
  <c r="AS108" i="6"/>
  <c r="BR108" i="6"/>
  <c r="AS111" i="6"/>
  <c r="BR111" i="6"/>
  <c r="AS114" i="6"/>
  <c r="BR114" i="6"/>
  <c r="AS117" i="6"/>
  <c r="BR117" i="6"/>
  <c r="AS120" i="6"/>
  <c r="BR120" i="6"/>
  <c r="AS123" i="6"/>
  <c r="BR123" i="6"/>
  <c r="AS126" i="6"/>
  <c r="BR126" i="6"/>
  <c r="AS129" i="6"/>
  <c r="BR129" i="6"/>
  <c r="AS132" i="6"/>
  <c r="BR132" i="6"/>
  <c r="AS135" i="6"/>
  <c r="BR135" i="6"/>
  <c r="AS138" i="6"/>
  <c r="BR138" i="6"/>
  <c r="AS141" i="6"/>
  <c r="BR141" i="6"/>
  <c r="AS144" i="6"/>
  <c r="BR144" i="6"/>
  <c r="AS147" i="6"/>
  <c r="BR147" i="6"/>
  <c r="AS150" i="6"/>
  <c r="BR150" i="6"/>
  <c r="AS153" i="6"/>
  <c r="BR153" i="6"/>
  <c r="AS61" i="6"/>
  <c r="BR61" i="6"/>
  <c r="AS67" i="6"/>
  <c r="BR67" i="6"/>
  <c r="AS73" i="6"/>
  <c r="BR73" i="6"/>
  <c r="AS82" i="6"/>
  <c r="BR82" i="6"/>
  <c r="AS91" i="6"/>
  <c r="BR91" i="6"/>
  <c r="AS94" i="6"/>
  <c r="BR94" i="6"/>
  <c r="AS97" i="6"/>
  <c r="BR97" i="6"/>
  <c r="AS100" i="6"/>
  <c r="BR100" i="6"/>
  <c r="AS103" i="6"/>
  <c r="BR103" i="6"/>
  <c r="AS106" i="6"/>
  <c r="BR106" i="6"/>
  <c r="AS109" i="6"/>
  <c r="BR109" i="6"/>
  <c r="AS112" i="6"/>
  <c r="BR112" i="6"/>
  <c r="AS115" i="6"/>
  <c r="BR115" i="6"/>
  <c r="AS118" i="6"/>
  <c r="BR118" i="6"/>
  <c r="AS121" i="6"/>
  <c r="BR121" i="6"/>
  <c r="AS124" i="6"/>
  <c r="BR124" i="6"/>
  <c r="AS127" i="6"/>
  <c r="BR127" i="6"/>
  <c r="AS130" i="6"/>
  <c r="BR130" i="6"/>
  <c r="AS133" i="6"/>
  <c r="BR133" i="6"/>
  <c r="AS136" i="6"/>
  <c r="BR136" i="6"/>
  <c r="AS139" i="6"/>
  <c r="BR139" i="6"/>
  <c r="AS142" i="6"/>
  <c r="BR142" i="6"/>
  <c r="AS145" i="6"/>
  <c r="BR145" i="6"/>
  <c r="AS148" i="6"/>
  <c r="BR148" i="6"/>
  <c r="AS151" i="6"/>
  <c r="BR151" i="6"/>
  <c r="AS154" i="6"/>
  <c r="BR154" i="6"/>
  <c r="AS55" i="6"/>
  <c r="BR55" i="6"/>
  <c r="AS79" i="6"/>
  <c r="BR79" i="6"/>
  <c r="AS88" i="6"/>
  <c r="BR88" i="6"/>
  <c r="AS58" i="6"/>
  <c r="BR58" i="6"/>
  <c r="AS64" i="6"/>
  <c r="BR64" i="6"/>
  <c r="AS70" i="6"/>
  <c r="BR70" i="6"/>
  <c r="AS76" i="6"/>
  <c r="BR76" i="6"/>
  <c r="AS85" i="6"/>
  <c r="BR85" i="6"/>
  <c r="BH89" i="6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BH117" i="6"/>
  <c r="BF117" i="6" s="1"/>
  <c r="BG117" i="6" s="1"/>
  <c r="K148" i="6"/>
  <c r="AX142" i="6"/>
  <c r="BH152" i="6"/>
  <c r="BF152" i="6" s="1"/>
  <c r="BG152" i="6" s="1"/>
  <c r="BH106" i="6"/>
  <c r="BF106" i="6" s="1"/>
  <c r="BG106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BH107" i="6"/>
  <c r="BF107" i="6" s="1"/>
  <c r="BG107" i="6" s="1"/>
  <c r="CX122" i="6"/>
  <c r="CR128" i="6"/>
  <c r="I63" i="6"/>
  <c r="CR63" i="6"/>
  <c r="I120" i="6"/>
  <c r="I151" i="6"/>
  <c r="BO151" i="6"/>
  <c r="K94" i="6"/>
  <c r="AX69" i="6"/>
  <c r="BH124" i="6"/>
  <c r="BF124" i="6" s="1"/>
  <c r="BG124" i="6" s="1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BC96" i="6" s="1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D96" i="6" l="1"/>
  <c r="BC98" i="6"/>
  <c r="BC97" i="6"/>
  <c r="BC95" i="6"/>
  <c r="BD87" i="6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AR7" i="6"/>
  <c r="AR8" i="6"/>
  <c r="AR9" i="6"/>
  <c r="AR10" i="6"/>
  <c r="AR11" i="6"/>
  <c r="AR12" i="6"/>
  <c r="AR13" i="6"/>
  <c r="AR14" i="6"/>
  <c r="AR15" i="6"/>
  <c r="AR16" i="6"/>
  <c r="AR17" i="6"/>
  <c r="AR18" i="6"/>
  <c r="AR19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AR38" i="6"/>
  <c r="AR39" i="6"/>
  <c r="AR40" i="6"/>
  <c r="AR41" i="6"/>
  <c r="AR42" i="6"/>
  <c r="AR43" i="6"/>
  <c r="AR44" i="6"/>
  <c r="AR45" i="6"/>
  <c r="AR46" i="6"/>
  <c r="AR47" i="6"/>
  <c r="AR48" i="6"/>
  <c r="AR49" i="6"/>
  <c r="AR50" i="6"/>
  <c r="AR51" i="6"/>
  <c r="AR52" i="6"/>
  <c r="AR53" i="6"/>
  <c r="AR54" i="6"/>
  <c r="AR5" i="6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AS53" i="6" l="1"/>
  <c r="BR53" i="6"/>
  <c r="AS41" i="6"/>
  <c r="BR41" i="6"/>
  <c r="AS29" i="6"/>
  <c r="BR29" i="6"/>
  <c r="AS17" i="6"/>
  <c r="BR17" i="6"/>
  <c r="AS52" i="6"/>
  <c r="BR52" i="6"/>
  <c r="AS40" i="6"/>
  <c r="BR40" i="6"/>
  <c r="AS28" i="6"/>
  <c r="BR28" i="6"/>
  <c r="AS16" i="6"/>
  <c r="BR16" i="6"/>
  <c r="AS51" i="6"/>
  <c r="BR51" i="6"/>
  <c r="AS39" i="6"/>
  <c r="BR39" i="6"/>
  <c r="AS27" i="6"/>
  <c r="BR27" i="6"/>
  <c r="AS15" i="6"/>
  <c r="BR15" i="6"/>
  <c r="AS50" i="6"/>
  <c r="BR50" i="6"/>
  <c r="AS14" i="6"/>
  <c r="BR14" i="6"/>
  <c r="AS49" i="6"/>
  <c r="BR49" i="6"/>
  <c r="AS37" i="6"/>
  <c r="BR37" i="6"/>
  <c r="AS25" i="6"/>
  <c r="BR25" i="6"/>
  <c r="AS13" i="6"/>
  <c r="BR13" i="6"/>
  <c r="AS12" i="6"/>
  <c r="BR12" i="6"/>
  <c r="AS48" i="6"/>
  <c r="BR48" i="6"/>
  <c r="AS47" i="6"/>
  <c r="BR47" i="6"/>
  <c r="AS35" i="6"/>
  <c r="BR35" i="6"/>
  <c r="AS23" i="6"/>
  <c r="BR23" i="6"/>
  <c r="AS11" i="6"/>
  <c r="BR11" i="6"/>
  <c r="AS38" i="6"/>
  <c r="BR38" i="6"/>
  <c r="AS24" i="6"/>
  <c r="BR24" i="6"/>
  <c r="AS46" i="6"/>
  <c r="BR46" i="6"/>
  <c r="AS34" i="6"/>
  <c r="BR34" i="6"/>
  <c r="AS22" i="6"/>
  <c r="BR22" i="6"/>
  <c r="AS10" i="6"/>
  <c r="BR10" i="6"/>
  <c r="AS26" i="6"/>
  <c r="BR26" i="6"/>
  <c r="AS36" i="6"/>
  <c r="BR36" i="6"/>
  <c r="AS45" i="6"/>
  <c r="BR45" i="6"/>
  <c r="AS33" i="6"/>
  <c r="BR33" i="6"/>
  <c r="AS21" i="6"/>
  <c r="BR21" i="6"/>
  <c r="AS9" i="6"/>
  <c r="BR9" i="6"/>
  <c r="AS44" i="6"/>
  <c r="BR44" i="6"/>
  <c r="AS32" i="6"/>
  <c r="BR32" i="6"/>
  <c r="AS20" i="6"/>
  <c r="BR20" i="6"/>
  <c r="AS8" i="6"/>
  <c r="BR8" i="6"/>
  <c r="AS5" i="6"/>
  <c r="BR5" i="6"/>
  <c r="AS43" i="6"/>
  <c r="BR43" i="6"/>
  <c r="AS31" i="6"/>
  <c r="BR31" i="6"/>
  <c r="AS19" i="6"/>
  <c r="BR19" i="6"/>
  <c r="AS7" i="6"/>
  <c r="BR7" i="6"/>
  <c r="AS54" i="6"/>
  <c r="BR54" i="6"/>
  <c r="AS42" i="6"/>
  <c r="BR42" i="6"/>
  <c r="AS30" i="6"/>
  <c r="BR30" i="6"/>
  <c r="AS18" i="6"/>
  <c r="BR18" i="6"/>
  <c r="AS6" i="6"/>
  <c r="BR6" i="6"/>
  <c r="E6" i="6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<sst xmlns="http://schemas.openxmlformats.org/spreadsheetml/2006/main" count="7742" uniqueCount="1053">
  <si>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</si>
  <si>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</si>
  <si>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</si>
  <si>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</si>
  <si>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</si>
  <si>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</si>
  <si>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</si>
  <si>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</si>
  <si>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</si>
  <si>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</si>
  <si>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</si>
  <si>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</si>
  <si>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</si>
  <si>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</si>
  <si>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</si>
  <si>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</si>
  <si>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</si>
  <si>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</si>
  <si>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</si>
  <si>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</si>
  <si>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</si>
  <si>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</si>
  <si>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</si>
  <si>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</si>
  <si>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</si>
  <si>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</si>
  <si>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</si>
  <si>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</si>
  <si>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</si>
  <si>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</si>
  <si>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</si>
  <si>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</si>
  <si>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</si>
  <si>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</si>
  <si>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</si>
  <si>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</si>
  <si>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</si>
  <si>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</si>
  <si>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</si>
  <si>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</si>
  <si>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</si>
  <si>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</si>
  <si>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</si>
  <si>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</si>
  <si>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</si>
  <si>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</si>
  <si>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</si>
  <si>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</si>
  <si>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</si>
  <si>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</si>
  <si>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</si>
  <si>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</si>
  <si>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</si>
  <si>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</si>
  <si>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</si>
  <si>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</si>
  <si>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</si>
  <si>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</si>
  <si>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</si>
  <si>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</si>
  <si>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</si>
  <si>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</si>
  <si>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</si>
  <si>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</si>
  <si>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</si>
  <si>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</si>
  <si>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</si>
  <si>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</si>
  <si>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</si>
  <si>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</si>
  <si>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</si>
  <si>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</si>
  <si>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</si>
  <si>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</si>
  <si>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</si>
  <si>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</si>
  <si>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</si>
  <si>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</si>
  <si>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</si>
  <si>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</si>
  <si>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</si>
  <si>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</si>
  <si>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</si>
  <si>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</si>
  <si>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</si>
  <si>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</si>
  <si>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</si>
  <si>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</si>
  <si>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</si>
  <si>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</si>
  <si>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</si>
  <si>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</si>
  <si>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</si>
  <si>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</si>
  <si>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</si>
  <si>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</si>
  <si>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</si>
  <si>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</si>
  <si>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</si>
  <si>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</si>
  <si>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</si>
  <si>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</si>
  <si>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</si>
  <si>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</si>
  <si>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</si>
  <si>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</si>
  <si>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</si>
  <si>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</si>
  <si>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</si>
  <si>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</si>
  <si>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</si>
  <si>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</si>
  <si>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</si>
  <si>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</si>
  <si>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</si>
  <si>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</si>
  <si>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</si>
  <si>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</si>
  <si>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</si>
  <si>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</si>
  <si>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</si>
  <si>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</si>
  <si>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</si>
  <si>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</si>
  <si>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</si>
  <si>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</si>
  <si>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</si>
  <si>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</si>
  <si>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</si>
  <si>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</si>
  <si>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</si>
  <si>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</si>
  <si>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</si>
  <si>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</si>
  <si>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</si>
  <si>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</si>
  <si>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</si>
  <si>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</si>
  <si>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</si>
  <si>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</si>
  <si>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</si>
  <si>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</si>
  <si>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</si>
  <si>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</si>
  <si>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</si>
  <si>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</si>
  <si>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</si>
  <si>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</si>
  <si>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</si>
  <si>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</si>
  <si>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</si>
  <si>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</si>
  <si>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</si>
  <si>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</si>
  <si>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</si>
  <si>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</si>
  <si>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</si>
  <si>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</si>
  <si>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</si>
  <si>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</si>
  <si>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</si>
  <si>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</si>
  <si>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</si>
  <si>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</si>
  <si>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</si>
  <si>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</si>
  <si>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</si>
  <si>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</si>
  <si>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</si>
  <si>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</si>
  <si>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</si>
  <si>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</si>
  <si>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</si>
  <si>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</si>
  <si>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</si>
  <si>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</si>
  <si>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</si>
  <si>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</si>
  <si>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</si>
  <si>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</si>
  <si>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</si>
  <si>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</si>
  <si>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</si>
  <si>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</si>
  <si>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</si>
  <si>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</si>
  <si>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</si>
  <si>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</si>
  <si>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</si>
  <si>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</si>
  <si>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</si>
  <si>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</si>
  <si>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</si>
  <si>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</si>
  <si>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</si>
  <si>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</si>
  <si>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</si>
  <si>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</si>
  <si>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</si>
  <si>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</si>
  <si>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</si>
  <si>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</si>
  <si>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</si>
  <si>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</si>
  <si>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</si>
  <si>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</si>
  <si>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</si>
  <si>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</si>
  <si>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</si>
  <si>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</si>
  <si>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</si>
  <si>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</si>
  <si>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</si>
  <si>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</si>
  <si>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</si>
  <si>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</si>
  <si>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</si>
  <si>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</si>
  <si>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</si>
  <si>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</si>
  <si>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</si>
  <si>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</si>
  <si>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</si>
  <si>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</si>
  <si>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</si>
  <si>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</si>
  <si>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</si>
  <si>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</si>
  <si>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</si>
  <si>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</si>
  <si>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</si>
  <si>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</si>
  <si>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</si>
  <si>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</si>
  <si>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</si>
  <si>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</si>
  <si>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</si>
  <si>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</si>
  <si>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</si>
  <si>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</si>
  <si>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</si>
  <si>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</si>
  <si>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</si>
  <si>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</si>
  <si>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</si>
  <si>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</si>
  <si>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</si>
  <si>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</si>
  <si>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</si>
  <si>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</si>
  <si>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</si>
  <si>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</si>
  <si>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</si>
  <si>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</si>
  <si>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</si>
  <si>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</si>
  <si>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</si>
  <si>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</si>
  <si>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</si>
  <si>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</si>
  <si>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</si>
  <si>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</si>
  <si>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</si>
  <si>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</si>
  <si>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</si>
  <si>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</si>
  <si>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</si>
  <si>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</si>
  <si>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</si>
  <si>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</si>
  <si>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</si>
  <si>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</si>
  <si>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</si>
  <si>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</si>
  <si>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</si>
  <si>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</si>
  <si>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</si>
  <si>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</si>
  <si>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</si>
  <si>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</si>
  <si>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</si>
  <si>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</si>
  <si>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</si>
  <si>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</si>
  <si>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</si>
  <si>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</si>
  <si>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</si>
  <si>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</si>
  <si>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</si>
  <si>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</si>
  <si>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</si>
  <si>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</si>
  <si>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</si>
  <si>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</si>
  <si>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</si>
  <si>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</si>
  <si>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</si>
  <si>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</si>
  <si>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</si>
  <si>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</si>
  <si>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</si>
  <si>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</si>
  <si>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</si>
  <si>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</si>
  <si>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</si>
  <si>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</si>
  <si>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</si>
  <si>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</si>
  <si>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</si>
  <si>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</si>
  <si>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</si>
  <si>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</si>
  <si>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</si>
  <si>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</si>
  <si>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</si>
  <si>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</si>
  <si>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</si>
  <si>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</si>
  <si>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</si>
  <si>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</si>
  <si>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</si>
  <si>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</si>
  <si>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</si>
  <si>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</si>
  <si>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</si>
  <si>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</si>
  <si>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</si>
  <si>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</si>
  <si>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</si>
  <si>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</si>
  <si>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</si>
  <si>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</si>
  <si>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</si>
  <si>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</si>
  <si>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</si>
  <si>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</si>
  <si>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</si>
  <si>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</si>
  <si>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</si>
  <si>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</si>
  <si>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</si>
  <si>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</si>
  <si>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</si>
  <si>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</si>
  <si>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</si>
  <si>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</si>
  <si>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</si>
  <si>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</si>
  <si>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</si>
  <si>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</si>
  <si>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</si>
  <si>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</si>
  <si>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</si>
  <si>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</si>
  <si>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</si>
  <si>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</si>
  <si>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</si>
  <si>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</si>
  <si>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</si>
  <si>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</si>
  <si>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</si>
  <si>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</si>
  <si>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</si>
  <si>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</si>
  <si>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</si>
  <si>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</si>
  <si>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</si>
  <si>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</si>
  <si>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</si>
  <si>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</si>
  <si>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</si>
  <si>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</si>
  <si>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</si>
  <si>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</si>
  <si>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</si>
  <si>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</si>
  <si>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</si>
  <si>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</si>
  <si>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</si>
  <si>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</si>
  <si>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</si>
  <si>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</si>
  <si>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</si>
  <si>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</si>
  <si>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</si>
  <si>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</si>
  <si>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</si>
  <si>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</si>
  <si>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</si>
  <si>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</si>
  <si>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</si>
  <si>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</si>
  <si>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</si>
  <si>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</si>
  <si>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</si>
  <si>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</si>
  <si>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</si>
  <si>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</si>
  <si>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</si>
  <si>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</si>
  <si>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</si>
  <si>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</si>
  <si>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</si>
  <si>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</si>
  <si>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</si>
  <si>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</si>
  <si>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</si>
  <si>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</si>
  <si>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</si>
  <si>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</si>
  <si>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</si>
  <si>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</si>
  <si>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</si>
  <si>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</si>
  <si>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</si>
  <si>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</si>
  <si>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</si>
  <si>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</si>
  <si>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</si>
  <si>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</si>
  <si>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</si>
  <si>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</si>
  <si>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</si>
  <si>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</si>
  <si>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</si>
  <si>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</si>
  <si>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</si>
  <si>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</si>
  <si>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</si>
  <si>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</si>
  <si>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</si>
  <si>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</si>
  <si>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</si>
  <si>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</si>
  <si>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</si>
  <si>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</si>
  <si>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</si>
  <si>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</si>
  <si>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</si>
  <si>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</si>
  <si>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</si>
  <si>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</si>
  <si>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</si>
  <si>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</si>
  <si>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</si>
  <si>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</si>
  <si>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</si>
  <si>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</si>
  <si>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</si>
  <si>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</si>
  <si>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</si>
  <si>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</si>
  <si>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</si>
  <si>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</si>
  <si>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</si>
  <si>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</si>
  <si>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</si>
  <si>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</si>
  <si>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</si>
  <si>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</si>
  <si>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</si>
  <si>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</si>
  <si>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</si>
  <si>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</si>
  <si>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</si>
  <si>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</si>
  <si>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</si>
  <si>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</si>
  <si>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</si>
  <si>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</si>
  <si>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</si>
  <si>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</si>
  <si>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</si>
  <si>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</si>
  <si>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</si>
  <si>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</si>
  <si>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</si>
  <si>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</si>
  <si>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</si>
  <si>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</si>
  <si>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</si>
  <si>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</si>
  <si>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</si>
  <si>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</si>
  <si>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</si>
  <si>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</si>
  <si>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</si>
  <si>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</si>
  <si>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</si>
  <si>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</si>
  <si>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</si>
  <si>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</si>
  <si>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</si>
  <si>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</si>
  <si>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</si>
  <si>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</si>
  <si>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</si>
  <si>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</si>
  <si>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</si>
  <si>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</si>
  <si>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</si>
  <si>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</si>
  <si>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</si>
  <si>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</si>
  <si>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</si>
  <si>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</si>
  <si>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</si>
  <si>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</si>
  <si>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</si>
  <si>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</si>
  <si>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</si>
  <si>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</si>
  <si>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</si>
  <si>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</si>
  <si>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</si>
  <si>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</si>
  <si>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</si>
  <si>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</si>
  <si>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</si>
  <si>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</si>
  <si>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</si>
  <si>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</si>
  <si>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</si>
  <si>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</si>
  <si>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</si>
  <si>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</si>
  <si>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</si>
  <si>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</si>
  <si>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</si>
  <si>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</si>
  <si>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</si>
  <si>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</si>
  <si>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</si>
  <si>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</si>
  <si>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</si>
  <si>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</si>
  <si>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</si>
  <si>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</si>
  <si>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</si>
  <si>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</si>
  <si>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</si>
  <si>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</si>
  <si>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</si>
  <si>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</si>
  <si>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</si>
  <si>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</si>
  <si>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</si>
  <si>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</si>
  <si>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</si>
  <si>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</si>
  <si>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</si>
  <si>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</si>
  <si>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</si>
  <si>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</si>
  <si>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</si>
  <si>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</si>
  <si>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</si>
  <si>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</si>
  <si>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</si>
  <si>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</si>
  <si>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</si>
  <si>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</si>
  <si>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</si>
  <si>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</si>
  <si>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</si>
  <si>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</si>
  <si>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</si>
  <si>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</si>
  <si>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</si>
  <si>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</si>
  <si>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</si>
  <si>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</si>
  <si>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</si>
  <si>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</si>
  <si>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</si>
  <si>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</si>
  <si>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</si>
  <si>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</si>
  <si>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</si>
  <si>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</si>
  <si>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</si>
  <si>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</si>
  <si>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</si>
  <si>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</si>
  <si>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</si>
  <si>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</si>
  <si>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</si>
  <si>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</si>
  <si>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</si>
  <si>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</si>
  <si>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</si>
  <si>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</si>
  <si>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</si>
  <si>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</si>
  <si>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</si>
  <si>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</si>
  <si>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</si>
  <si>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</si>
  <si>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</si>
  <si>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</si>
  <si>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</si>
  <si>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</si>
  <si>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</si>
  <si>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</si>
  <si>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</si>
  <si>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</si>
  <si>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</si>
  <si>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</si>
  <si>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</si>
  <si>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</si>
  <si>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</si>
  <si>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</si>
  <si>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</si>
  <si>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</si>
  <si>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</si>
  <si>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</si>
  <si>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</si>
  <si>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</si>
  <si>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</si>
  <si>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</si>
  <si>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</si>
  <si>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</si>
  <si>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</si>
  <si>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</si>
  <si>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</si>
  <si>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</si>
  <si>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</si>
  <si>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</si>
  <si>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</si>
  <si>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</si>
  <si>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</si>
  <si>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</si>
  <si>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</si>
  <si>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</si>
  <si>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</si>
  <si>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</si>
  <si>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</si>
  <si>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</si>
  <si>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</si>
  <si>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</si>
  <si>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</si>
  <si>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</si>
  <si>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</si>
  <si>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</si>
  <si>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</si>
  <si>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</si>
  <si>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</si>
  <si>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</si>
  <si>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</si>
  <si>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</si>
  <si>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</si>
  <si>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</si>
  <si>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</si>
  <si>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</si>
  <si>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</si>
  <si>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</si>
  <si>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</si>
  <si>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</si>
  <si>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</si>
  <si>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</si>
  <si>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</si>
  <si>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</si>
  <si>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</si>
  <si>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</si>
  <si>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</si>
  <si>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</si>
  <si>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</si>
  <si>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</si>
  <si>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</si>
  <si>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</si>
  <si>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</si>
  <si>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</si>
  <si>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</si>
  <si>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</si>
  <si>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</si>
  <si>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</si>
  <si>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</si>
  <si>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</si>
  <si>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</si>
  <si>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</si>
  <si>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</si>
  <si>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</si>
  <si>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</si>
  <si>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</si>
  <si>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</si>
  <si>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</si>
  <si>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</si>
  <si>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</si>
  <si>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</si>
  <si>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</si>
  <si>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</si>
  <si>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</si>
  <si>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</si>
  <si>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</si>
  <si>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</si>
  <si>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</si>
  <si>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</si>
  <si>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</si>
  <si>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</si>
  <si>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</si>
  <si>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</si>
  <si>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</si>
  <si>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</si>
  <si>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</si>
  <si>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</si>
  <si>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</si>
  <si>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</si>
  <si>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</si>
  <si>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</si>
  <si>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</si>
  <si>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</si>
  <si>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</si>
  <si>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</si>
  <si>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</si>
  <si>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</si>
  <si>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</si>
  <si>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</si>
  <si>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</si>
  <si>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</si>
  <si>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</si>
  <si>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</si>
  <si>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</si>
  <si>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</si>
  <si>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</si>
  <si>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</si>
  <si>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</si>
  <si>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</si>
  <si>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</si>
  <si>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</si>
  <si>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</si>
  <si>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</si>
  <si>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</si>
  <si>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</si>
  <si>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</si>
  <si>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</si>
  <si>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</si>
  <si>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</si>
  <si>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</si>
  <si>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</si>
  <si>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</si>
  <si>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</si>
  <si>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</si>
  <si>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</si>
  <si>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</si>
  <si>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</si>
  <si>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</si>
  <si>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</si>
  <si>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</si>
  <si>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</si>
  <si>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</si>
  <si>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</si>
  <si>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</si>
  <si>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</si>
  <si>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</si>
  <si>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</si>
  <si>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</si>
  <si>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</si>
  <si>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</si>
  <si>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</si>
  <si>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</si>
  <si>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</si>
  <si>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</si>
  <si>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</si>
  <si>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</si>
  <si>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</si>
  <si>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</si>
  <si>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</si>
  <si>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</si>
  <si>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</si>
  <si>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</si>
  <si>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</si>
  <si>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</si>
  <si>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</si>
  <si>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</si>
  <si>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</si>
  <si>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</si>
  <si>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</si>
  <si>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</si>
  <si>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</si>
  <si>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</si>
  <si>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</si>
  <si>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</si>
  <si>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</si>
  <si>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</si>
  <si>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</si>
  <si>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</si>
  <si>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</si>
  <si>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</si>
  <si>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</si>
  <si>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</si>
  <si>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</si>
  <si>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</si>
  <si>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</si>
  <si>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</si>
  <si>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</si>
  <si>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</si>
  <si>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</si>
  <si>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</si>
  <si>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</si>
  <si>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</si>
  <si>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</si>
  <si>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</si>
  <si>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</si>
  <si>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</si>
  <si>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</si>
  <si>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</si>
  <si>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</si>
  <si>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</si>
  <si>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</si>
  <si>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</si>
  <si>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</si>
  <si>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</si>
  <si>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</si>
  <si>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</si>
  <si>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</si>
  <si>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</si>
  <si>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</si>
  <si>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</si>
  <si>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</si>
  <si>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</si>
  <si>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</si>
  <si>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</si>
  <si>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</si>
  <si>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</si>
  <si>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</si>
  <si>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</si>
  <si>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</si>
  <si>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</si>
  <si>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</si>
  <si>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</si>
  <si>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</si>
  <si>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</si>
  <si>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</si>
  <si>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</si>
  <si>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</si>
  <si>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</si>
  <si>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</si>
  <si>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</si>
  <si>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</si>
  <si>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</si>
  <si>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</si>
  <si>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</si>
  <si>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</si>
  <si>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</si>
  <si>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</si>
  <si>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</si>
  <si>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</si>
  <si>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</si>
  <si>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</si>
  <si>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</si>
  <si>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</si>
  <si>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</si>
  <si>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</si>
  <si>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</si>
  <si>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</si>
  <si>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</si>
  <si>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</si>
  <si>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</si>
  <si>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</si>
  <si>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</si>
  <si>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</si>
  <si>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</si>
  <si>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</si>
  <si>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</si>
  <si>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</si>
  <si>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</si>
  <si>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</si>
  <si>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</si>
  <si>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</si>
  <si>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</si>
  <si>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</si>
  <si>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</si>
  <si>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</si>
  <si>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</si>
  <si>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</si>
  <si>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</si>
  <si>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</si>
  <si>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</si>
  <si>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</si>
  <si>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</si>
  <si>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</si>
  <si>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</si>
  <si>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</si>
  <si>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</si>
  <si>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</si>
  <si>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</si>
  <si>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</si>
  <si>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</si>
  <si>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</si>
  <si>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</si>
  <si>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</si>
  <si>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</si>
  <si>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</si>
  <si>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</si>
  <si>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</si>
  <si>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</si>
  <si>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</si>
  <si>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</si>
  <si>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</si>
  <si>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</si>
  <si>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</si>
  <si>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</si>
  <si>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</si>
  <si>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</si>
  <si>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</si>
  <si>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</si>
  <si>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</si>
  <si>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</si>
  <si>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</si>
  <si>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</si>
  <si>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</si>
  <si>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</si>
  <si>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</si>
  <si>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</si>
  <si>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</si>
  <si>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</si>
  <si>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</si>
  <si>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</si>
  <si>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</si>
  <si>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</si>
  <si>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</si>
  <si>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</si>
  <si>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</si>
  <si>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</si>
  <si>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</si>
  <si>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</si>
  <si>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</si>
  <si>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</si>
  <si>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</si>
  <si>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</si>
  <si>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</si>
  <si>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</si>
  <si>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</si>
  <si>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</si>
  <si>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</si>
  <si>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</si>
  <si>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</si>
  <si>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</si>
  <si>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</si>
  <si>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</si>
  <si>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</si>
  <si>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</si>
  <si>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</si>
  <si>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</si>
  <si>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</si>
  <si>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</si>
  <si>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</si>
  <si>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</si>
  <si>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</si>
  <si>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</si>
  <si>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</si>
  <si>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</si>
  <si>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</si>
  <si>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</si>
  <si>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</si>
  <si>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</si>
  <si>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</si>
  <si>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</si>
  <si>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</si>
  <si>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</si>
  <si>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</si>
  <si>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</si>
  <si>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</si>
  <si>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</si>
  <si>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</si>
  <si>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</si>
  <si>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</si>
  <si>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</si>
  <si>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</si>
  <si>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</si>
  <si>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</si>
  <si>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</si>
  <si>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</si>
  <si>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</si>
  <si>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</si>
  <si>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</si>
  <si>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</si>
  <si>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</si>
  <si>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</si>
  <si>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</si>
  <si>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</si>
  <si>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</si>
  <si>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</si>
  <si>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</si>
  <si>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</si>
  <si>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</si>
  <si>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</si>
  <si>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</si>
  <si>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</si>
  <si>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</si>
  <si>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</si>
  <si>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</si>
  <si>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</si>
  <si>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</si>
  <si>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</si>
  <si>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</si>
  <si>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</si>
  <si>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</si>
  <si>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</si>
  <si>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</si>
  <si>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</si>
  <si>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</si>
  <si>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</si>
  <si>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</si>
  <si>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</si>
  <si>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</si>
  <si>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</si>
  <si>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7306.30.00</t>
  </si>
  <si>
    <t>Meincol 1</t>
  </si>
  <si>
    <t>Produto Acabado</t>
  </si>
  <si>
    <t>Industria</t>
  </si>
  <si>
    <t>Comum</t>
  </si>
  <si>
    <t>OLD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</si>
  <si>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</si>
  <si>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</si>
  <si>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</si>
  <si>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</si>
  <si>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</si>
  <si>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</si>
  <si>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GRP.CLASS.CONT</t>
  </si>
  <si>
    <t>Z:\Projetos\PROJETOS ESPECIAIS\PJT 2474 (METAL GONDOLAS)\Estrutura\2022-04-12_AB_Estrutura P01 (PJT 2474 METALGONDOLAS).xlsm</t>
  </si>
  <si>
    <t>M058110000547</t>
  </si>
  <si>
    <t>TUBO CORT ESP 40X60X20X1,50X1830 BQ</t>
  </si>
  <si>
    <t>4,18</t>
  </si>
  <si>
    <t>520101000101</t>
  </si>
  <si>
    <t>TUBO 60,30</t>
  </si>
  <si>
    <t>130</t>
  </si>
  <si>
    <t>M094274007370</t>
  </si>
  <si>
    <t>28,55-</t>
  </si>
  <si>
    <t>1870,1379999999999</t>
  </si>
  <si>
    <t>1015</t>
  </si>
  <si>
    <t>2474.1</t>
  </si>
  <si>
    <t>TUBO ESP 40X60X20X1,50X7370 BQ</t>
  </si>
  <si>
    <t>16,832999999999998</t>
  </si>
  <si>
    <t>5201010001</t>
  </si>
  <si>
    <t>L094274</t>
  </si>
  <si>
    <t>BQ</t>
  </si>
  <si>
    <t>1,32</t>
  </si>
  <si>
    <t>1,68</t>
  </si>
  <si>
    <t>F03_MM03</t>
  </si>
  <si>
    <t>NAVE B</t>
  </si>
  <si>
    <t>1,4</t>
  </si>
  <si>
    <t>42</t>
  </si>
  <si>
    <t>I</t>
  </si>
  <si>
    <t>1172</t>
  </si>
  <si>
    <t>621</t>
  </si>
  <si>
    <t>888</t>
  </si>
  <si>
    <t>755</t>
  </si>
  <si>
    <t>Semi-Fini. Goods</t>
  </si>
  <si>
    <t>V104366</t>
  </si>
  <si>
    <t>BOBINA 1,50 BQ AMT TUB 260</t>
  </si>
  <si>
    <t>K094274</t>
  </si>
  <si>
    <t>TUBO ESP 40X60X20X1,50 BQ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</si>
</sst>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1" fillId="6" borderId="9" xfId="7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15"/>
      <tableStyleElement type="headerRow" dxfId="314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Descrição CAM" tableColumnId="70"/>
      <queryTableField id="71" name="Enrijecedor Superior (mm)" tableColumnId="71"/>
      <queryTableField id="72" name="Enrijecedor Inferior (mm)" tableColumnId="72"/>
      <queryTableField id="73" name="Aba Superior (mm)" tableColumnId="73"/>
      <queryTableField id="74" name="Aba Inferior (mm)" tableColumnId="74"/>
      <queryTableField id="75" name="DIM 1 (mm)" tableColumnId="75"/>
      <queryTableField id="76" name="DIM 2 (mm)" tableColumnId="76"/>
      <queryTableField id="77" name="DIM 3 (mm)" tableColumnId="77"/>
      <queryTableField id="78" name="Alavanca 1 (mm)" tableColumnId="78"/>
      <queryTableField id="79" name="Alavanca 2 (mm)" tableColumnId="79"/>
      <queryTableField id="80" name="DADOS PURLINS" tableColumnId="8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3" tableType="queryTable" totalsRowCount="1">
  <autoFilter ref="A1:CB12">
    <filterColumn colId="1">
      <filters>
        <filter val="NEW"/>
      </filters>
    </filterColumn>
  </autoFilter>
  <tableColumns count="80">
    <tableColumn id="1" uniqueName="1" name="PJT" totalsRowLabel="Total" queryTableFieldId="1" dataDxfId="79"/>
    <tableColumn id="2" uniqueName="2" name="STS" queryTableFieldId="2" dataDxfId="78"/>
    <tableColumn id="3" uniqueName="3" name="Código P01" queryTableFieldId="3" dataDxfId="77"/>
    <tableColumn id="4" uniqueName="4" name="Descrição P01" queryTableFieldId="4" dataDxfId="76"/>
    <tableColumn id="5" uniqueName="5" name="Modelo" queryTableFieldId="5" dataDxfId="75"/>
    <tableColumn id="6" uniqueName="6" name="Descrição do Modelo" queryTableFieldId="6" dataDxfId="74"/>
    <tableColumn id="7" uniqueName="7" name="Centro" queryTableFieldId="7" dataDxfId="73"/>
    <tableColumn id="8" uniqueName="8" name="Comprimento_x000a_Final" queryTableFieldId="8" dataDxfId="72"/>
    <tableColumn id="9" uniqueName="9" name="Peso Kg/m" queryTableFieldId="9" dataDxfId="71"/>
    <tableColumn id="10" uniqueName="10" name="KG/PC" queryTableFieldId="10" dataDxfId="70"/>
    <tableColumn id="11" uniqueName="11" name="Hierarquia 1" queryTableFieldId="11" dataDxfId="69"/>
    <tableColumn id="12" uniqueName="12" name="Hierarquia 2" queryTableFieldId="12" dataDxfId="68"/>
    <tableColumn id="13" uniqueName="13" name="Hierarquia 3" queryTableFieldId="13" dataDxfId="67"/>
    <tableColumn id="14" uniqueName="14" name="Hierarquia 4" queryTableFieldId="14" dataDxfId="66"/>
    <tableColumn id="15" uniqueName="15" name="Hierarquia 5" queryTableFieldId="15" dataDxfId="65"/>
    <tableColumn id="16" uniqueName="16" name="Hierarquia Final" queryTableFieldId="16" dataDxfId="64"/>
    <tableColumn id="17" uniqueName="17" name="GrPMerc." queryTableFieldId="17" dataDxfId="63"/>
    <tableColumn id="18" uniqueName="18" name="Bitola de Produção_x000a_          Descrição" queryTableFieldId="18" dataDxfId="62"/>
    <tableColumn id="19" uniqueName="19" name="N° SAP da Bitola" queryTableFieldId="19" dataDxfId="61"/>
    <tableColumn id="20" uniqueName="20" name="Unidade de Venda" queryTableFieldId="20" dataDxfId="60"/>
    <tableColumn id="21" uniqueName="21" name="NCM" queryTableFieldId="21" dataDxfId="59"/>
    <tableColumn id="22" uniqueName="22" name="Peças por _x000a_Amarrado" queryTableFieldId="22" dataDxfId="58"/>
    <tableColumn id="23" uniqueName="23" name="Centro de trabalho" queryTableFieldId="23" dataDxfId="57"/>
    <tableColumn id="24" uniqueName="24" name="Tempo_x000a_Setup" queryTableFieldId="24" dataDxfId="56"/>
    <tableColumn id="25" uniqueName="25" name="Tempo de_x000a_Operação" queryTableFieldId="25" dataDxfId="55"/>
    <tableColumn id="26" uniqueName="26" name="Perda de _x000a_Processo" queryTableFieldId="26" dataDxfId="54"/>
    <tableColumn id="27" uniqueName="27" name="Código do componente" queryTableFieldId="27" dataDxfId="53"/>
    <tableColumn id="28" uniqueName="28" name="Comprimento _x000a_do Multiplo" queryTableFieldId="28" dataDxfId="52"/>
    <tableColumn id="29" uniqueName="29" name="Perda em Kg para fabricar 1000 peças do tubo cortado (perda inerente)" queryTableFieldId="29" dataDxfId="51"/>
    <tableColumn id="30" uniqueName="30" name="Quantidade em metros para fabricar 1000 peças + perda de processo" queryTableFieldId="30" dataDxfId="50"/>
    <tableColumn id="31" uniqueName="31" name="Quantidade em peças para fabricar 1000 peças + perda de processo" queryTableFieldId="31" dataDxfId="49"/>
    <tableColumn id="32" uniqueName="32" name="DADOS AO" queryTableFieldId="32" dataDxfId="48"/>
    <tableColumn id="33" uniqueName="33" name="Chave LNTR" queryTableFieldId="33" dataDxfId="47"/>
    <tableColumn id="34" uniqueName="34" name="Espessura nominal" queryTableFieldId="34" dataDxfId="46"/>
    <tableColumn id="35" uniqueName="35" name="Laminação" queryTableFieldId="35" dataDxfId="45"/>
    <tableColumn id="36" uniqueName="36" name="MTH?_x000a_MTL?" queryTableFieldId="36" dataDxfId="44"/>
    <tableColumn id="37" uniqueName="37" name="Espessura Mínima" queryTableFieldId="37" dataDxfId="43"/>
    <tableColumn id="38" uniqueName="38" name="Espessura Máxima" queryTableFieldId="38" dataDxfId="42"/>
    <tableColumn id="39" uniqueName="39" name="Máquina" queryTableFieldId="39" dataDxfId="41"/>
    <tableColumn id="40" uniqueName="40" name="Mapa/Plano de montagem" queryTableFieldId="40" dataDxfId="40"/>
    <tableColumn id="41" uniqueName="41" name="Velocidade_x000a_(m/hr)" queryTableFieldId="41" dataDxfId="39"/>
    <tableColumn id="42" uniqueName="42" name="Nave" queryTableFieldId="42" dataDxfId="38"/>
    <tableColumn id="43" uniqueName="43" name="Tempo de _x000a_pré-instalação" queryTableFieldId="43" dataDxfId="37"/>
    <tableColumn id="44" uniqueName="44" name="Sucata (m)" queryTableFieldId="44" dataDxfId="36"/>
    <tableColumn id="45" uniqueName="45" name="Perda (%)" queryTableFieldId="45" dataDxfId="35"/>
    <tableColumn id="46" uniqueName="46" name="Largura da tira" queryTableFieldId="46" dataDxfId="34"/>
    <tableColumn id="47" uniqueName="47" name="Bobina_x000a_ configuravel?" queryTableFieldId="47" dataDxfId="33"/>
    <tableColumn id="48" uniqueName="48" name="Largura ideal" queryTableFieldId="48" dataDxfId="32"/>
    <tableColumn id="49" uniqueName="49" name="Velocidade_x000a_3000 até 4999" queryTableFieldId="49" dataDxfId="31"/>
    <tableColumn id="50" uniqueName="50" name="Velocidade_x000a_5000 até 8000" queryTableFieldId="50" dataDxfId="30"/>
    <tableColumn id="51" uniqueName="51" name="Velocidade_x000a_8001 até 14000" queryTableFieldId="51" dataDxfId="29"/>
    <tableColumn id="52" uniqueName="52" name="DADOS LNP" queryTableFieldId="52" dataDxfId="28"/>
    <tableColumn id="53" uniqueName="53" name="Cliente" queryTableFieldId="53" dataDxfId="27"/>
    <tableColumn id="54" uniqueName="54" name="Preço de terceirização " queryTableFieldId="54" dataDxfId="26"/>
    <tableColumn id="55" uniqueName="55" name="Centro de Produção" queryTableFieldId="55" dataDxfId="25"/>
    <tableColumn id="56" uniqueName="56" name="Column56" queryTableFieldId="56" dataDxfId="24"/>
    <tableColumn id="57" uniqueName="57" name="Depósito de produção" queryTableFieldId="57" dataDxfId="23"/>
    <tableColumn id="58" uniqueName="58" name="Column58" queryTableFieldId="58" dataDxfId="22"/>
    <tableColumn id="59" uniqueName="59" name="Canal de Distribuição" queryTableFieldId="59" dataDxfId="21"/>
    <tableColumn id="60" uniqueName="60" name="Column60" queryTableFieldId="60" dataDxfId="20"/>
    <tableColumn id="61" uniqueName="61" name="Setor de Atividade" queryTableFieldId="61" dataDxfId="19"/>
    <tableColumn id="62" uniqueName="62" name="Column62" queryTableFieldId="62" dataDxfId="18"/>
    <tableColumn id="63" uniqueName="63" name="Níveis Organizacionais SAP" queryTableFieldId="63" dataDxfId="17"/>
    <tableColumn id="64" uniqueName="64" name="Tipo de Material PROF" queryTableFieldId="64" dataDxfId="16"/>
    <tableColumn id="65" uniqueName="65" name="Geometria CHAR" queryTableFieldId="65" dataDxfId="15"/>
    <tableColumn id="66" uniqueName="66" name="Espessura CHAR" queryTableFieldId="66" dataDxfId="14"/>
    <tableColumn id="67" uniqueName="67" name="Raspagem Interna?" queryTableFieldId="67" dataDxfId="13"/>
    <tableColumn id="68" uniqueName="68" name="Metalização?" queryTableFieldId="68" dataDxfId="12"/>
    <tableColumn id="69" uniqueName="69" name="DADOS VARIANT" queryTableFieldId="69" dataDxfId="11"/>
    <tableColumn id="70" uniqueName="70" name="Descrição CAM" queryTableFieldId="70" dataDxfId="10"/>
    <tableColumn id="71" uniqueName="71" name="Enrijecedor Superior (mm)" queryTableFieldId="71" dataDxfId="9"/>
    <tableColumn id="72" uniqueName="72" name="Enrijecedor Inferior (mm)" queryTableFieldId="72" dataDxfId="8"/>
    <tableColumn id="73" uniqueName="73" name="Aba Superior (mm)" queryTableFieldId="73" dataDxfId="7"/>
    <tableColumn id="74" uniqueName="74" name="Aba Inferior (mm)" queryTableFieldId="74" dataDxfId="6"/>
    <tableColumn id="75" uniqueName="75" name="DIM 1 (mm)" queryTableFieldId="75" dataDxfId="5"/>
    <tableColumn id="76" uniqueName="76" name="DIM 2 (mm)" queryTableFieldId="76" dataDxfId="4"/>
    <tableColumn id="77" uniqueName="77" name="DIM 3 (mm)" queryTableFieldId="77" dataDxfId="3"/>
    <tableColumn id="78" uniqueName="78" name="Alavanca 1 (mm)" queryTableFieldId="78" dataDxfId="2"/>
    <tableColumn id="79" uniqueName="79" name="Alavanca 2 (mm)" queryTableFieldId="79" dataDxfId="1"/>
    <tableColumn id="80" uniqueName="80" name="DADOS PURLINS" totalsRowFunction="count" queryTableFieldId="80" dataDxfId="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82" dataDxfId="81">
  <autoFilter ref="A6:A7"/>
  <tableColumns count="1">
    <tableColumn id="1" name="DIRETORIO DA CONSULTA (POWER QUERY)" dataDxfId="8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zoomScaleNormal="100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81" t="s">
        <v>170</v>
      </c>
      <c r="AN1" s="81" t="s">
        <v>127</v>
      </c>
      <c r="AZ1" s="34" t="s">
        <v>319</v>
      </c>
      <c r="BJ1" s="80" t="s">
        <v>320</v>
      </c>
      <c r="BK1" s="81"/>
      <c r="DW1" s="80" t="s">
        <v>760</v>
      </c>
      <c r="EG1" s="65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80"/>
      <c r="BK2" s="8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8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2" t="s">
        <v>155</v>
      </c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796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793</v>
      </c>
      <c r="BT3" s="21" t="s">
        <v>367</v>
      </c>
      <c r="BU3" s="21" t="s">
        <v>369</v>
      </c>
      <c r="BV3" s="21" t="s">
        <v>383</v>
      </c>
      <c r="BW3" s="21" t="s">
        <v>385</v>
      </c>
      <c r="BX3" s="21" t="s">
        <v>387</v>
      </c>
      <c r="BY3" s="21" t="s">
        <v>389</v>
      </c>
      <c r="BZ3" s="21" t="s">
        <v>392</v>
      </c>
      <c r="CA3" s="21" t="s">
        <v>394</v>
      </c>
      <c r="CB3" s="21" t="s">
        <v>410</v>
      </c>
      <c r="CC3" s="21" t="s">
        <v>411</v>
      </c>
      <c r="CD3" s="21" t="s">
        <v>426</v>
      </c>
      <c r="CE3" s="21" t="s">
        <v>489</v>
      </c>
      <c r="CF3" s="21" t="s">
        <v>491</v>
      </c>
      <c r="CG3" s="21" t="s">
        <v>499</v>
      </c>
      <c r="CH3" s="21" t="s">
        <v>493</v>
      </c>
      <c r="CI3" s="21" t="s">
        <v>504</v>
      </c>
      <c r="CJ3" s="21" t="s">
        <v>505</v>
      </c>
      <c r="CK3" s="21" t="s">
        <v>508</v>
      </c>
      <c r="CL3" s="21" t="s">
        <v>510</v>
      </c>
      <c r="CM3" s="21" t="s">
        <v>512</v>
      </c>
      <c r="CN3" s="21" t="s">
        <v>515</v>
      </c>
      <c r="CO3" s="21" t="s">
        <v>517</v>
      </c>
      <c r="CP3" s="21" t="s">
        <v>519</v>
      </c>
      <c r="CQ3" s="21" t="s">
        <v>521</v>
      </c>
      <c r="CR3" s="21" t="s">
        <v>523</v>
      </c>
      <c r="CS3" s="24" t="s">
        <v>650</v>
      </c>
      <c r="CT3" s="24"/>
      <c r="CU3" s="24" t="s">
        <v>661</v>
      </c>
      <c r="CV3" s="24" t="s">
        <v>659</v>
      </c>
      <c r="CW3" s="24" t="s">
        <v>660</v>
      </c>
      <c r="CX3" s="24" t="s">
        <v>651</v>
      </c>
      <c r="CY3" s="24" t="s">
        <v>652</v>
      </c>
      <c r="CZ3" s="24" t="s">
        <v>653</v>
      </c>
      <c r="DA3" s="24" t="s">
        <v>654</v>
      </c>
      <c r="DB3" s="24" t="s">
        <v>655</v>
      </c>
      <c r="DC3" s="24" t="s">
        <v>656</v>
      </c>
      <c r="DD3" s="24" t="s">
        <v>657</v>
      </c>
      <c r="DE3" s="24" t="s">
        <v>658</v>
      </c>
      <c r="DF3" s="24" t="s">
        <v>662</v>
      </c>
      <c r="DG3" s="27" t="s">
        <v>665</v>
      </c>
      <c r="DH3" s="27" t="s">
        <v>669</v>
      </c>
      <c r="DI3" s="27" t="s">
        <v>761</v>
      </c>
      <c r="DJ3" s="27" t="s">
        <v>762</v>
      </c>
      <c r="DK3" s="27" t="s">
        <v>666</v>
      </c>
      <c r="DL3" s="27" t="s">
        <v>670</v>
      </c>
      <c r="DM3" s="27" t="s">
        <v>763</v>
      </c>
      <c r="DN3" s="27" t="s">
        <v>764</v>
      </c>
      <c r="DO3" s="27" t="s">
        <v>667</v>
      </c>
      <c r="DP3" s="27" t="s">
        <v>671</v>
      </c>
      <c r="DQ3" s="27" t="s">
        <v>765</v>
      </c>
      <c r="DR3" s="27" t="s">
        <v>766</v>
      </c>
      <c r="DS3" s="27" t="s">
        <v>668</v>
      </c>
      <c r="DT3" s="27" t="s">
        <v>672</v>
      </c>
      <c r="DU3" s="27" t="s">
        <v>767</v>
      </c>
      <c r="DV3" s="27" t="s">
        <v>768</v>
      </c>
      <c r="DW3" s="33"/>
      <c r="DX3" s="27" t="s">
        <v>769</v>
      </c>
      <c r="DY3" s="27" t="s">
        <v>771</v>
      </c>
      <c r="DZ3" s="27" t="s">
        <v>774</v>
      </c>
      <c r="EA3" s="27" t="s">
        <v>776</v>
      </c>
      <c r="EB3" s="27" t="s">
        <v>778</v>
      </c>
      <c r="EC3" s="27" t="s">
        <v>780</v>
      </c>
      <c r="ED3" s="61" t="s">
        <v>782</v>
      </c>
      <c r="EE3" s="27" t="s">
        <v>784</v>
      </c>
      <c r="EF3" s="27" t="s">
        <v>785</v>
      </c>
      <c r="EG3" s="66" t="s">
        <v>787</v>
      </c>
      <c r="EH3" s="66" t="s">
        <v>957</v>
      </c>
      <c r="EI3" s="27" t="s">
        <v>789</v>
      </c>
      <c r="EJ3" s="27" t="s">
        <v>791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797</v>
      </c>
      <c r="AW4" s="14" t="s">
        <v>798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1019</v>
      </c>
      <c r="BS4" s="14" t="s">
        <v>794</v>
      </c>
      <c r="BT4" s="14" t="s">
        <v>368</v>
      </c>
      <c r="BU4" s="14" t="s">
        <v>370</v>
      </c>
      <c r="BV4" s="14" t="s">
        <v>384</v>
      </c>
      <c r="BW4" s="14" t="s">
        <v>386</v>
      </c>
      <c r="BX4" s="14" t="s">
        <v>388</v>
      </c>
      <c r="BY4" s="14" t="s">
        <v>390</v>
      </c>
      <c r="BZ4" s="14" t="s">
        <v>393</v>
      </c>
      <c r="CA4" s="14" t="s">
        <v>395</v>
      </c>
      <c r="CB4" s="14" t="s">
        <v>33</v>
      </c>
      <c r="CC4" s="14" t="s">
        <v>412</v>
      </c>
      <c r="CD4" s="14" t="s">
        <v>427</v>
      </c>
      <c r="CE4" s="14" t="s">
        <v>490</v>
      </c>
      <c r="CF4" s="14" t="s">
        <v>492</v>
      </c>
      <c r="CG4" s="14" t="s">
        <v>500</v>
      </c>
      <c r="CH4" s="14" t="s">
        <v>494</v>
      </c>
      <c r="CI4" s="14" t="s">
        <v>507</v>
      </c>
      <c r="CJ4" s="14" t="s">
        <v>506</v>
      </c>
      <c r="CK4" s="14" t="s">
        <v>509</v>
      </c>
      <c r="CL4" s="14" t="s">
        <v>511</v>
      </c>
      <c r="CM4" s="14" t="s">
        <v>513</v>
      </c>
      <c r="CN4" s="14" t="s">
        <v>516</v>
      </c>
      <c r="CO4" s="14" t="s">
        <v>518</v>
      </c>
      <c r="CP4" s="14" t="s">
        <v>520</v>
      </c>
      <c r="CQ4" s="14" t="s">
        <v>522</v>
      </c>
      <c r="CR4" s="14" t="s">
        <v>524</v>
      </c>
      <c r="CS4" s="14" t="s">
        <v>646</v>
      </c>
      <c r="CT4" s="14" t="s">
        <v>526</v>
      </c>
      <c r="CU4" s="14" t="s">
        <v>649</v>
      </c>
      <c r="CV4" s="14" t="s">
        <v>647</v>
      </c>
      <c r="CW4" s="14" t="s">
        <v>528</v>
      </c>
      <c r="CX4" s="14" t="s">
        <v>525</v>
      </c>
      <c r="CY4" s="14" t="s">
        <v>639</v>
      </c>
      <c r="CZ4" s="14" t="s">
        <v>640</v>
      </c>
      <c r="DA4" s="14" t="s">
        <v>641</v>
      </c>
      <c r="DB4" s="14" t="s">
        <v>645</v>
      </c>
      <c r="DC4" s="14" t="s">
        <v>642</v>
      </c>
      <c r="DD4" s="14" t="s">
        <v>643</v>
      </c>
      <c r="DE4" s="14" t="s">
        <v>644</v>
      </c>
      <c r="DF4" s="14" t="s">
        <v>648</v>
      </c>
      <c r="DG4" s="14" t="s">
        <v>674</v>
      </c>
      <c r="DH4" s="14" t="s">
        <v>673</v>
      </c>
      <c r="DI4" s="14" t="s">
        <v>663</v>
      </c>
      <c r="DJ4" s="14" t="s">
        <v>664</v>
      </c>
      <c r="DK4" s="14" t="s">
        <v>675</v>
      </c>
      <c r="DL4" s="14" t="s">
        <v>678</v>
      </c>
      <c r="DM4" s="14" t="s">
        <v>663</v>
      </c>
      <c r="DN4" s="14" t="s">
        <v>664</v>
      </c>
      <c r="DO4" s="14" t="s">
        <v>676</v>
      </c>
      <c r="DP4" s="14" t="s">
        <v>679</v>
      </c>
      <c r="DQ4" s="14" t="s">
        <v>663</v>
      </c>
      <c r="DR4" s="14" t="s">
        <v>664</v>
      </c>
      <c r="DS4" s="14" t="s">
        <v>677</v>
      </c>
      <c r="DT4" s="14" t="s">
        <v>680</v>
      </c>
      <c r="DU4" s="14" t="s">
        <v>663</v>
      </c>
      <c r="DV4" s="14" t="s">
        <v>664</v>
      </c>
      <c r="DW4" s="14"/>
      <c r="DX4" s="14" t="s">
        <v>770</v>
      </c>
      <c r="DY4" s="14" t="s">
        <v>772</v>
      </c>
      <c r="DZ4" s="14" t="s">
        <v>775</v>
      </c>
      <c r="EA4" s="14" t="s">
        <v>777</v>
      </c>
      <c r="EB4" s="14" t="s">
        <v>779</v>
      </c>
      <c r="EC4" s="14" t="s">
        <v>781</v>
      </c>
      <c r="ED4" s="14" t="s">
        <v>783</v>
      </c>
      <c r="EE4" s="14" t="s">
        <v>781</v>
      </c>
      <c r="EF4" s="14" t="s">
        <v>786</v>
      </c>
      <c r="EG4" s="14" t="s">
        <v>788</v>
      </c>
      <c r="EH4" s="14" t="s">
        <v>958</v>
      </c>
      <c r="EI4" s="14" t="s">
        <v>790</v>
      </c>
      <c r="EJ4" s="14" t="s">
        <v>792</v>
      </c>
      <c r="EK4" s="5" t="s">
        <v>956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IF(IFERROR(INDEX(Consulta!$A:$DP,MATCH('MM01'!$B5,Consulta!$C:$C,0),'MM01'!D$2),"")=0,"",IFERROR(INDEX(Consulta!$A:$DP,MATCH('MM01'!$B5,Consulta!$C:$C,0),'MM01'!D$2),""))</f>
        <v/>
      </c>
      <c r="E5" s="43" t="str">
        <f>IF(IFERROR(INDEX(Consulta!$A:$DP,MATCH('MM01'!$B5,Consulta!$C:$C,0),'MM01'!E$2),"")=0,"",IFERROR(INDEX(Consulta!$A:$DP,MATCH('MM01'!$B5,Consulta!$C:$C,0),'MM01'!E$2),""))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795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>
        <v>99</v>
      </c>
      <c r="BN5" s="46" t="str">
        <f ca="1">IF(BM5&lt;&gt;0,TEXT(TODAY(),"DD.MM.AAAA"),"")</f>
        <v>28.04.2022</v>
      </c>
      <c r="BO5" s="49" t="str">
        <f>G5</f>
        <v/>
      </c>
      <c r="BP5" s="50">
        <v>1</v>
      </c>
      <c r="BQ5" s="50" t="s">
        <v>194</v>
      </c>
      <c r="BR5" s="79" t="str">
        <f>IF(AR5=68,20,"01")</f>
        <v>01</v>
      </c>
      <c r="BS5" s="50" t="s">
        <v>795</v>
      </c>
      <c r="BT5" s="44">
        <v>1</v>
      </c>
      <c r="BU5" s="44" t="s">
        <v>371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391</v>
      </c>
      <c r="BZ5" s="50">
        <v>0</v>
      </c>
      <c r="CA5" s="45" t="s">
        <v>402</v>
      </c>
      <c r="CB5" s="45" t="s">
        <v>84</v>
      </c>
      <c r="CC5" s="43" t="str">
        <f>RIGHT(G5,3)</f>
        <v/>
      </c>
      <c r="CD5" s="45" t="s">
        <v>38</v>
      </c>
      <c r="CE5" s="45">
        <v>1</v>
      </c>
      <c r="CF5" s="45" t="s">
        <v>495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514</v>
      </c>
      <c r="CN5" s="44" t="s">
        <v>371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697</v>
      </c>
      <c r="DI5" s="43" t="str">
        <f ca="1">IF(DH5&lt;&gt;0,TEXT(TODAY(),"dd.mm.aaaa"),"")</f>
        <v>28.04.2022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773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875</v>
      </c>
      <c r="EI5" s="45">
        <v>0</v>
      </c>
      <c r="EJ5" s="43">
        <f>CS5</f>
        <v>5000</v>
      </c>
      <c r="EK5" s="68"/>
    </row>
    <row r="6" spans="1:141" x14ac:dyDescent="0.2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IF(IFERROR(INDEX(Consulta!$A:$DP,MATCH('MM01'!$B6,Consulta!$C:$C,0),'MM01'!D$2),"")=0,"",IFERROR(INDEX(Consulta!$A:$DP,MATCH('MM01'!$B6,Consulta!$C:$C,0),'MM01'!D$2),""))</f>
        <v/>
      </c>
      <c r="E6" s="43" t="str">
        <f>IF(IFERROR(INDEX(Consulta!$A:$DP,MATCH('MM01'!$B6,Consulta!$C:$C,0),'MM01'!E$2),"")=0,"",IFERROR(INDEX(Consulta!$A:$DP,MATCH('MM01'!$B6,Consulta!$C:$C,0),'MM01'!E$2),""))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795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>
        <v>99</v>
      </c>
      <c r="BN6" s="46" t="str">
        <f t="shared" ref="BN6:BN54" ca="1" si="13">IF(BM6&lt;&gt;0,TEXT(TODAY(),"DD.MM.AAAA"),"")</f>
        <v>28.04.2022</v>
      </c>
      <c r="BO6" s="49" t="str">
        <f t="shared" ref="BO6:BO54" si="14">G6</f>
        <v/>
      </c>
      <c r="BP6" s="50">
        <v>1</v>
      </c>
      <c r="BQ6" s="50" t="s">
        <v>194</v>
      </c>
      <c r="BR6" s="79" t="str">
        <f t="shared" ref="BR6:BR69" si="15">IF(AR6=68,20,"01")</f>
        <v>01</v>
      </c>
      <c r="BS6" s="50" t="s">
        <v>795</v>
      </c>
      <c r="BT6" s="44">
        <v>1</v>
      </c>
      <c r="BU6" s="44" t="s">
        <v>371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391</v>
      </c>
      <c r="BZ6" s="50">
        <v>0</v>
      </c>
      <c r="CA6" s="45" t="s">
        <v>402</v>
      </c>
      <c r="CB6" s="45" t="s">
        <v>84</v>
      </c>
      <c r="CC6" s="43" t="str">
        <f t="shared" ref="CC6:CC54" si="16">RIGHT(G6,3)</f>
        <v/>
      </c>
      <c r="CD6" s="45" t="s">
        <v>38</v>
      </c>
      <c r="CE6" s="45">
        <v>1</v>
      </c>
      <c r="CF6" s="45" t="s">
        <v>495</v>
      </c>
      <c r="CG6" s="45"/>
      <c r="CH6" s="44">
        <v>2</v>
      </c>
      <c r="CI6" s="49" t="str">
        <f t="shared" ref="CI6:CI54" si="17">H6</f>
        <v/>
      </c>
      <c r="CJ6" s="49" t="str">
        <f t="shared" ref="CJ6:CJ54" si="18">H6</f>
        <v/>
      </c>
      <c r="CK6" s="45"/>
      <c r="CL6" s="44">
        <v>1</v>
      </c>
      <c r="CM6" s="50" t="s">
        <v>514</v>
      </c>
      <c r="CN6" s="44" t="s">
        <v>371</v>
      </c>
      <c r="CO6" s="44">
        <v>2</v>
      </c>
      <c r="CP6" s="44">
        <v>42</v>
      </c>
      <c r="CQ6" s="44">
        <v>10</v>
      </c>
      <c r="CR6" s="43" t="str">
        <f t="shared" ref="CR6:CR54" si="19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20">IF(OR(CT6="",CU6="",CV6="",CW6=""),"",CT6&amp;" / "&amp;CU6&amp;" / "&amp;CV6&amp;" / "&amp;CW6)</f>
        <v/>
      </c>
      <c r="CY6" s="43" t="str">
        <f t="shared" ref="CY6:CY54" si="21">IF(OR(D6="MFER",D6="KMAT"),"INITIAL",IF(OR(D6="FERT",D6="HAWZ"),"0000999999",""))</f>
        <v/>
      </c>
      <c r="CZ6" s="43" t="str">
        <f t="shared" ref="CZ6:CZ54" si="22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3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4">IFERROR(ROUND(AW6,2),"")</f>
        <v/>
      </c>
      <c r="DG6" s="43">
        <f t="shared" ref="DG6:DG54" si="25">IF(DH6&lt;&gt;0,1,"")</f>
        <v>1</v>
      </c>
      <c r="DH6" s="57" t="s">
        <v>746</v>
      </c>
      <c r="DI6" s="43" t="str">
        <f t="shared" ref="DI6:DI54" ca="1" si="26">IF(DH6&lt;&gt;0,TEXT(TODAY(),"dd.mm.aaaa"),"")</f>
        <v>28.04.2022</v>
      </c>
      <c r="DJ6" s="43" t="str">
        <f t="shared" ref="DJ6:DJ54" si="27">IF(DH6&lt;&gt;0,"31.12.9999","")</f>
        <v>31.12.9999</v>
      </c>
      <c r="DK6" s="43" t="str">
        <f t="shared" ref="DK6:DK54" si="28">IF(DL6&lt;&gt;0,2,"")</f>
        <v/>
      </c>
      <c r="DL6" s="57"/>
      <c r="DM6" s="43" t="str">
        <f t="shared" ref="DM6:DM54" ca="1" si="29">IF(DL6&lt;&gt;0,TEXT(TODAY(),"dd.mm.aaaa"),"")</f>
        <v/>
      </c>
      <c r="DN6" s="43" t="str">
        <f t="shared" ref="DN6:DN54" si="30">IF(DL6&lt;&gt;0,"31.12.9999","")</f>
        <v/>
      </c>
      <c r="DO6" s="43" t="str">
        <f t="shared" ref="DO6:DO54" si="31">IF(DP6&lt;&gt;0,3,"")</f>
        <v/>
      </c>
      <c r="DP6" s="57"/>
      <c r="DQ6" s="43" t="str">
        <f t="shared" ref="DQ6:DQ54" ca="1" si="32">IF(DP6&lt;&gt;0,TEXT(TODAY(),"dd.mm.aaaa"),"")</f>
        <v/>
      </c>
      <c r="DR6" s="43" t="str">
        <f t="shared" ref="DR6:DR54" si="33">IF(DP6&lt;&gt;0,"31.12.9999","")</f>
        <v/>
      </c>
      <c r="DS6" s="43" t="str">
        <f t="shared" ref="DS6:DS54" si="34">IF(DT6&lt;&gt;0,4,"")</f>
        <v/>
      </c>
      <c r="DT6" s="57"/>
      <c r="DU6" s="43" t="str">
        <f t="shared" ref="DU6:DU54" ca="1" si="35">IF(DT6&lt;&gt;0,TEXT(TODAY(),"dd.mm.aaaa"),"")</f>
        <v/>
      </c>
      <c r="DV6" s="43" t="str">
        <f t="shared" ref="DV6:DV54" si="36">IF(DT6&lt;&gt;0,"31.12.9999","")</f>
        <v/>
      </c>
      <c r="DX6" s="44">
        <v>1</v>
      </c>
      <c r="DY6" s="44" t="s">
        <v>773</v>
      </c>
      <c r="DZ6" s="43">
        <f t="shared" ref="DZ6:DZ54" si="37">IF(OR(AO6="M",AO6="KG"),0.01,1)</f>
        <v>0.01</v>
      </c>
      <c r="EA6" s="43" t="str">
        <f t="shared" ref="EA6:EA54" si="38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9">EC6</f>
        <v>100</v>
      </c>
      <c r="EF6" s="44">
        <v>1</v>
      </c>
      <c r="EG6" s="44">
        <v>0</v>
      </c>
      <c r="EH6" s="44" t="s">
        <v>875</v>
      </c>
      <c r="EI6" s="45">
        <v>0</v>
      </c>
      <c r="EJ6" s="43">
        <f t="shared" ref="EJ6:EJ54" si="40">CS6</f>
        <v>5000</v>
      </c>
      <c r="EK6" s="69"/>
    </row>
    <row r="7" spans="1:141" x14ac:dyDescent="0.2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IF(IFERROR(INDEX(Consulta!$A:$DP,MATCH('MM01'!$B7,Consulta!$C:$C,0),'MM01'!D$2),"")=0,"",IFERROR(INDEX(Consulta!$A:$DP,MATCH('MM01'!$B7,Consulta!$C:$C,0),'MM01'!D$2),""))</f>
        <v/>
      </c>
      <c r="E7" s="43" t="str">
        <f>IF(IFERROR(INDEX(Consulta!$A:$DP,MATCH('MM01'!$B7,Consulta!$C:$C,0),'MM01'!E$2),"")=0,"",IFERROR(INDEX(Consulta!$A:$DP,MATCH('MM01'!$B7,Consulta!$C:$C,0),'MM01'!E$2),""))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795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>
        <v>99</v>
      </c>
      <c r="BN7" s="46" t="str">
        <f t="shared" ca="1" si="13"/>
        <v>28.04.2022</v>
      </c>
      <c r="BO7" s="49" t="str">
        <f t="shared" si="14"/>
        <v/>
      </c>
      <c r="BP7" s="50">
        <v>1</v>
      </c>
      <c r="BQ7" s="50" t="s">
        <v>194</v>
      </c>
      <c r="BR7" s="79" t="str">
        <f t="shared" si="15"/>
        <v>01</v>
      </c>
      <c r="BS7" s="50" t="s">
        <v>795</v>
      </c>
      <c r="BT7" s="44">
        <v>1</v>
      </c>
      <c r="BU7" s="44" t="s">
        <v>371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391</v>
      </c>
      <c r="BZ7" s="50">
        <v>0</v>
      </c>
      <c r="CA7" s="45" t="s">
        <v>402</v>
      </c>
      <c r="CB7" s="45" t="s">
        <v>84</v>
      </c>
      <c r="CC7" s="43" t="str">
        <f t="shared" si="16"/>
        <v/>
      </c>
      <c r="CD7" s="45" t="s">
        <v>38</v>
      </c>
      <c r="CE7" s="45">
        <v>1</v>
      </c>
      <c r="CF7" s="45" t="s">
        <v>495</v>
      </c>
      <c r="CG7" s="45"/>
      <c r="CH7" s="44">
        <v>2</v>
      </c>
      <c r="CI7" s="49" t="str">
        <f t="shared" si="17"/>
        <v/>
      </c>
      <c r="CJ7" s="49" t="str">
        <f t="shared" si="18"/>
        <v/>
      </c>
      <c r="CK7" s="45"/>
      <c r="CL7" s="44">
        <v>1</v>
      </c>
      <c r="CM7" s="50" t="s">
        <v>514</v>
      </c>
      <c r="CN7" s="44" t="s">
        <v>371</v>
      </c>
      <c r="CO7" s="44">
        <v>2</v>
      </c>
      <c r="CP7" s="44">
        <v>42</v>
      </c>
      <c r="CQ7" s="44">
        <v>10</v>
      </c>
      <c r="CR7" s="43" t="str">
        <f t="shared" si="19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20"/>
        <v/>
      </c>
      <c r="CY7" s="43" t="str">
        <f t="shared" si="21"/>
        <v/>
      </c>
      <c r="CZ7" s="43" t="str">
        <f t="shared" si="22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3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4"/>
        <v/>
      </c>
      <c r="DG7" s="43" t="str">
        <f t="shared" si="25"/>
        <v/>
      </c>
      <c r="DH7" s="57"/>
      <c r="DI7" s="43" t="str">
        <f t="shared" ca="1" si="26"/>
        <v/>
      </c>
      <c r="DJ7" s="43" t="str">
        <f t="shared" si="27"/>
        <v/>
      </c>
      <c r="DK7" s="43" t="str">
        <f t="shared" si="28"/>
        <v/>
      </c>
      <c r="DL7" s="57"/>
      <c r="DM7" s="43" t="str">
        <f t="shared" ca="1" si="29"/>
        <v/>
      </c>
      <c r="DN7" s="43" t="str">
        <f t="shared" si="30"/>
        <v/>
      </c>
      <c r="DO7" s="43" t="str">
        <f t="shared" si="31"/>
        <v/>
      </c>
      <c r="DP7" s="57"/>
      <c r="DQ7" s="43" t="str">
        <f t="shared" ca="1" si="32"/>
        <v/>
      </c>
      <c r="DR7" s="43" t="str">
        <f t="shared" si="33"/>
        <v/>
      </c>
      <c r="DS7" s="43" t="str">
        <f t="shared" si="34"/>
        <v/>
      </c>
      <c r="DT7" s="57"/>
      <c r="DU7" s="43" t="str">
        <f t="shared" ca="1" si="35"/>
        <v/>
      </c>
      <c r="DV7" s="43" t="str">
        <f t="shared" si="36"/>
        <v/>
      </c>
      <c r="DX7" s="44">
        <v>1</v>
      </c>
      <c r="DY7" s="44" t="s">
        <v>773</v>
      </c>
      <c r="DZ7" s="43">
        <f t="shared" si="37"/>
        <v>0.01</v>
      </c>
      <c r="EA7" s="43" t="str">
        <f t="shared" si="38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9"/>
        <v>100</v>
      </c>
      <c r="EF7" s="44">
        <v>1</v>
      </c>
      <c r="EG7" s="44">
        <v>0</v>
      </c>
      <c r="EH7" s="44" t="s">
        <v>875</v>
      </c>
      <c r="EI7" s="45">
        <v>0</v>
      </c>
      <c r="EJ7" s="43">
        <f t="shared" si="40"/>
        <v>5000</v>
      </c>
      <c r="EK7" s="69"/>
    </row>
    <row r="8" spans="1:141" x14ac:dyDescent="0.2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IF(IFERROR(INDEX(Consulta!$A:$DP,MATCH('MM01'!$B8,Consulta!$C:$C,0),'MM01'!D$2),"")=0,"",IFERROR(INDEX(Consulta!$A:$DP,MATCH('MM01'!$B8,Consulta!$C:$C,0),'MM01'!D$2),""))</f>
        <v/>
      </c>
      <c r="E8" s="43" t="str">
        <f>IF(IFERROR(INDEX(Consulta!$A:$DP,MATCH('MM01'!$B8,Consulta!$C:$C,0),'MM01'!E$2),"")=0,"",IFERROR(INDEX(Consulta!$A:$DP,MATCH('MM01'!$B8,Consulta!$C:$C,0),'MM01'!E$2),""))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795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>
        <v>99</v>
      </c>
      <c r="BN8" s="46" t="str">
        <f t="shared" ca="1" si="13"/>
        <v>28.04.2022</v>
      </c>
      <c r="BO8" s="49" t="str">
        <f t="shared" si="14"/>
        <v/>
      </c>
      <c r="BP8" s="50">
        <v>1</v>
      </c>
      <c r="BQ8" s="50" t="s">
        <v>194</v>
      </c>
      <c r="BR8" s="79" t="str">
        <f t="shared" si="15"/>
        <v>01</v>
      </c>
      <c r="BS8" s="50" t="s">
        <v>795</v>
      </c>
      <c r="BT8" s="44">
        <v>1</v>
      </c>
      <c r="BU8" s="44" t="s">
        <v>371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391</v>
      </c>
      <c r="BZ8" s="50">
        <v>0</v>
      </c>
      <c r="CA8" s="45" t="s">
        <v>402</v>
      </c>
      <c r="CB8" s="45" t="s">
        <v>84</v>
      </c>
      <c r="CC8" s="43" t="str">
        <f t="shared" si="16"/>
        <v/>
      </c>
      <c r="CD8" s="45" t="s">
        <v>38</v>
      </c>
      <c r="CE8" s="45">
        <v>1</v>
      </c>
      <c r="CF8" s="45" t="s">
        <v>495</v>
      </c>
      <c r="CG8" s="45"/>
      <c r="CH8" s="44">
        <v>2</v>
      </c>
      <c r="CI8" s="49" t="str">
        <f t="shared" si="17"/>
        <v/>
      </c>
      <c r="CJ8" s="49" t="str">
        <f t="shared" si="18"/>
        <v/>
      </c>
      <c r="CK8" s="45"/>
      <c r="CL8" s="44">
        <v>1</v>
      </c>
      <c r="CM8" s="50" t="s">
        <v>514</v>
      </c>
      <c r="CN8" s="44" t="s">
        <v>371</v>
      </c>
      <c r="CO8" s="44">
        <v>2</v>
      </c>
      <c r="CP8" s="44">
        <v>42</v>
      </c>
      <c r="CQ8" s="44">
        <v>10</v>
      </c>
      <c r="CR8" s="43" t="str">
        <f t="shared" si="19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20"/>
        <v/>
      </c>
      <c r="CY8" s="43" t="str">
        <f t="shared" si="21"/>
        <v/>
      </c>
      <c r="CZ8" s="43" t="str">
        <f t="shared" si="22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3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4"/>
        <v/>
      </c>
      <c r="DG8" s="43" t="str">
        <f t="shared" si="25"/>
        <v/>
      </c>
      <c r="DH8" s="57"/>
      <c r="DI8" s="43" t="str">
        <f t="shared" ca="1" si="26"/>
        <v/>
      </c>
      <c r="DJ8" s="43" t="str">
        <f t="shared" si="27"/>
        <v/>
      </c>
      <c r="DK8" s="43" t="str">
        <f t="shared" si="28"/>
        <v/>
      </c>
      <c r="DL8" s="57"/>
      <c r="DM8" s="43" t="str">
        <f t="shared" ca="1" si="29"/>
        <v/>
      </c>
      <c r="DN8" s="43" t="str">
        <f t="shared" si="30"/>
        <v/>
      </c>
      <c r="DO8" s="43" t="str">
        <f t="shared" si="31"/>
        <v/>
      </c>
      <c r="DP8" s="57"/>
      <c r="DQ8" s="43" t="str">
        <f t="shared" ca="1" si="32"/>
        <v/>
      </c>
      <c r="DR8" s="43" t="str">
        <f t="shared" si="33"/>
        <v/>
      </c>
      <c r="DS8" s="43" t="str">
        <f t="shared" si="34"/>
        <v/>
      </c>
      <c r="DT8" s="57"/>
      <c r="DU8" s="43" t="str">
        <f t="shared" ca="1" si="35"/>
        <v/>
      </c>
      <c r="DV8" s="43" t="str">
        <f t="shared" si="36"/>
        <v/>
      </c>
      <c r="DX8" s="44">
        <v>1</v>
      </c>
      <c r="DY8" s="44" t="s">
        <v>773</v>
      </c>
      <c r="DZ8" s="43">
        <f t="shared" si="37"/>
        <v>0.01</v>
      </c>
      <c r="EA8" s="43" t="str">
        <f t="shared" si="38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9"/>
        <v>100</v>
      </c>
      <c r="EF8" s="44">
        <v>1</v>
      </c>
      <c r="EG8" s="44">
        <v>0</v>
      </c>
      <c r="EH8" s="44" t="s">
        <v>875</v>
      </c>
      <c r="EI8" s="45">
        <v>0</v>
      </c>
      <c r="EJ8" s="43">
        <f t="shared" si="40"/>
        <v>5000</v>
      </c>
      <c r="EK8" s="69"/>
    </row>
    <row r="9" spans="1:141" x14ac:dyDescent="0.2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IF(IFERROR(INDEX(Consulta!$A:$DP,MATCH('MM01'!$B9,Consulta!$C:$C,0),'MM01'!D$2),"")=0,"",IFERROR(INDEX(Consulta!$A:$DP,MATCH('MM01'!$B9,Consulta!$C:$C,0),'MM01'!D$2),""))</f>
        <v/>
      </c>
      <c r="E9" s="43" t="str">
        <f>IF(IFERROR(INDEX(Consulta!$A:$DP,MATCH('MM01'!$B9,Consulta!$C:$C,0),'MM01'!E$2),"")=0,"",IFERROR(INDEX(Consulta!$A:$DP,MATCH('MM01'!$B9,Consulta!$C:$C,0),'MM01'!E$2),""))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795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>
        <v>99</v>
      </c>
      <c r="BN9" s="46" t="str">
        <f t="shared" ca="1" si="13"/>
        <v>28.04.2022</v>
      </c>
      <c r="BO9" s="49" t="str">
        <f t="shared" si="14"/>
        <v/>
      </c>
      <c r="BP9" s="50">
        <v>1</v>
      </c>
      <c r="BQ9" s="50" t="s">
        <v>194</v>
      </c>
      <c r="BR9" s="79" t="str">
        <f t="shared" si="15"/>
        <v>01</v>
      </c>
      <c r="BS9" s="50" t="s">
        <v>795</v>
      </c>
      <c r="BT9" s="44">
        <v>1</v>
      </c>
      <c r="BU9" s="44" t="s">
        <v>371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391</v>
      </c>
      <c r="BZ9" s="50">
        <v>0</v>
      </c>
      <c r="CA9" s="45" t="s">
        <v>402</v>
      </c>
      <c r="CB9" s="45" t="s">
        <v>84</v>
      </c>
      <c r="CC9" s="43" t="str">
        <f t="shared" si="16"/>
        <v/>
      </c>
      <c r="CD9" s="45" t="s">
        <v>38</v>
      </c>
      <c r="CE9" s="45">
        <v>1</v>
      </c>
      <c r="CF9" s="45" t="s">
        <v>495</v>
      </c>
      <c r="CG9" s="45"/>
      <c r="CH9" s="44">
        <v>2</v>
      </c>
      <c r="CI9" s="49" t="str">
        <f t="shared" si="17"/>
        <v/>
      </c>
      <c r="CJ9" s="49" t="str">
        <f t="shared" si="18"/>
        <v/>
      </c>
      <c r="CK9" s="45"/>
      <c r="CL9" s="44">
        <v>1</v>
      </c>
      <c r="CM9" s="50" t="s">
        <v>514</v>
      </c>
      <c r="CN9" s="44" t="s">
        <v>371</v>
      </c>
      <c r="CO9" s="44">
        <v>2</v>
      </c>
      <c r="CP9" s="44">
        <v>42</v>
      </c>
      <c r="CQ9" s="44">
        <v>10</v>
      </c>
      <c r="CR9" s="43" t="str">
        <f t="shared" si="19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20"/>
        <v/>
      </c>
      <c r="CY9" s="43" t="str">
        <f t="shared" si="21"/>
        <v/>
      </c>
      <c r="CZ9" s="43" t="str">
        <f t="shared" si="22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3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4"/>
        <v/>
      </c>
      <c r="DG9" s="43" t="str">
        <f t="shared" si="25"/>
        <v/>
      </c>
      <c r="DH9" s="57"/>
      <c r="DI9" s="43" t="str">
        <f t="shared" ca="1" si="26"/>
        <v/>
      </c>
      <c r="DJ9" s="43" t="str">
        <f t="shared" si="27"/>
        <v/>
      </c>
      <c r="DK9" s="43" t="str">
        <f t="shared" si="28"/>
        <v/>
      </c>
      <c r="DL9" s="57"/>
      <c r="DM9" s="43" t="str">
        <f t="shared" ca="1" si="29"/>
        <v/>
      </c>
      <c r="DN9" s="43" t="str">
        <f t="shared" si="30"/>
        <v/>
      </c>
      <c r="DO9" s="43" t="str">
        <f t="shared" si="31"/>
        <v/>
      </c>
      <c r="DP9" s="57"/>
      <c r="DQ9" s="43" t="str">
        <f t="shared" ca="1" si="32"/>
        <v/>
      </c>
      <c r="DR9" s="43" t="str">
        <f t="shared" si="33"/>
        <v/>
      </c>
      <c r="DS9" s="43" t="str">
        <f t="shared" si="34"/>
        <v/>
      </c>
      <c r="DT9" s="57"/>
      <c r="DU9" s="43" t="str">
        <f t="shared" ca="1" si="35"/>
        <v/>
      </c>
      <c r="DV9" s="43" t="str">
        <f t="shared" si="36"/>
        <v/>
      </c>
      <c r="DX9" s="44">
        <v>1</v>
      </c>
      <c r="DY9" s="44" t="s">
        <v>773</v>
      </c>
      <c r="DZ9" s="43">
        <f t="shared" si="37"/>
        <v>0.01</v>
      </c>
      <c r="EA9" s="43" t="str">
        <f t="shared" si="38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9"/>
        <v>100</v>
      </c>
      <c r="EF9" s="44">
        <v>1</v>
      </c>
      <c r="EG9" s="44">
        <v>0</v>
      </c>
      <c r="EH9" s="44" t="s">
        <v>875</v>
      </c>
      <c r="EI9" s="45">
        <v>0</v>
      </c>
      <c r="EJ9" s="43">
        <f t="shared" si="40"/>
        <v>5000</v>
      </c>
      <c r="EK9" s="69"/>
    </row>
    <row r="10" spans="1:141" x14ac:dyDescent="0.2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IF(IFERROR(INDEX(Consulta!$A:$DP,MATCH('MM01'!$B10,Consulta!$C:$C,0),'MM01'!D$2),"")=0,"",IFERROR(INDEX(Consulta!$A:$DP,MATCH('MM01'!$B10,Consulta!$C:$C,0),'MM01'!D$2),""))</f>
        <v/>
      </c>
      <c r="E10" s="43" t="str">
        <f>IF(IFERROR(INDEX(Consulta!$A:$DP,MATCH('MM01'!$B10,Consulta!$C:$C,0),'MM01'!E$2),"")=0,"",IFERROR(INDEX(Consulta!$A:$DP,MATCH('MM01'!$B10,Consulta!$C:$C,0),'MM01'!E$2),""))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795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>
        <v>99</v>
      </c>
      <c r="BN10" s="46" t="str">
        <f t="shared" ca="1" si="13"/>
        <v>28.04.2022</v>
      </c>
      <c r="BO10" s="49" t="str">
        <f t="shared" si="14"/>
        <v/>
      </c>
      <c r="BP10" s="50">
        <v>1</v>
      </c>
      <c r="BQ10" s="50" t="s">
        <v>194</v>
      </c>
      <c r="BR10" s="79" t="str">
        <f t="shared" si="15"/>
        <v>01</v>
      </c>
      <c r="BS10" s="50" t="s">
        <v>795</v>
      </c>
      <c r="BT10" s="44">
        <v>1</v>
      </c>
      <c r="BU10" s="44" t="s">
        <v>371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391</v>
      </c>
      <c r="BZ10" s="50">
        <v>0</v>
      </c>
      <c r="CA10" s="45" t="s">
        <v>402</v>
      </c>
      <c r="CB10" s="45" t="s">
        <v>84</v>
      </c>
      <c r="CC10" s="43" t="str">
        <f t="shared" si="16"/>
        <v/>
      </c>
      <c r="CD10" s="45" t="s">
        <v>38</v>
      </c>
      <c r="CE10" s="45">
        <v>1</v>
      </c>
      <c r="CF10" s="45" t="s">
        <v>495</v>
      </c>
      <c r="CG10" s="45"/>
      <c r="CH10" s="44">
        <v>2</v>
      </c>
      <c r="CI10" s="49" t="str">
        <f t="shared" si="17"/>
        <v/>
      </c>
      <c r="CJ10" s="49" t="str">
        <f t="shared" si="18"/>
        <v/>
      </c>
      <c r="CK10" s="45"/>
      <c r="CL10" s="44">
        <v>1</v>
      </c>
      <c r="CM10" s="50" t="s">
        <v>514</v>
      </c>
      <c r="CN10" s="44" t="s">
        <v>371</v>
      </c>
      <c r="CO10" s="44">
        <v>2</v>
      </c>
      <c r="CP10" s="44">
        <v>42</v>
      </c>
      <c r="CQ10" s="44">
        <v>10</v>
      </c>
      <c r="CR10" s="43" t="str">
        <f t="shared" si="19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20"/>
        <v/>
      </c>
      <c r="CY10" s="43" t="str">
        <f t="shared" si="21"/>
        <v/>
      </c>
      <c r="CZ10" s="43" t="str">
        <f t="shared" si="22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3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4"/>
        <v/>
      </c>
      <c r="DG10" s="43" t="str">
        <f t="shared" si="25"/>
        <v/>
      </c>
      <c r="DH10" s="57"/>
      <c r="DI10" s="43" t="str">
        <f t="shared" ca="1" si="26"/>
        <v/>
      </c>
      <c r="DJ10" s="43" t="str">
        <f t="shared" si="27"/>
        <v/>
      </c>
      <c r="DK10" s="43" t="str">
        <f t="shared" si="28"/>
        <v/>
      </c>
      <c r="DL10" s="57"/>
      <c r="DM10" s="43" t="str">
        <f t="shared" ca="1" si="29"/>
        <v/>
      </c>
      <c r="DN10" s="43" t="str">
        <f t="shared" si="30"/>
        <v/>
      </c>
      <c r="DO10" s="43" t="str">
        <f t="shared" si="31"/>
        <v/>
      </c>
      <c r="DP10" s="57"/>
      <c r="DQ10" s="43" t="str">
        <f t="shared" ca="1" si="32"/>
        <v/>
      </c>
      <c r="DR10" s="43" t="str">
        <f t="shared" si="33"/>
        <v/>
      </c>
      <c r="DS10" s="43" t="str">
        <f t="shared" si="34"/>
        <v/>
      </c>
      <c r="DT10" s="57"/>
      <c r="DU10" s="43" t="str">
        <f t="shared" ca="1" si="35"/>
        <v/>
      </c>
      <c r="DV10" s="43" t="str">
        <f t="shared" si="36"/>
        <v/>
      </c>
      <c r="DX10" s="44">
        <v>1</v>
      </c>
      <c r="DY10" s="44" t="s">
        <v>773</v>
      </c>
      <c r="DZ10" s="43">
        <f t="shared" si="37"/>
        <v>0.01</v>
      </c>
      <c r="EA10" s="43" t="str">
        <f t="shared" si="38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9"/>
        <v>100</v>
      </c>
      <c r="EF10" s="44">
        <v>1</v>
      </c>
      <c r="EG10" s="44">
        <v>0</v>
      </c>
      <c r="EH10" s="44" t="s">
        <v>875</v>
      </c>
      <c r="EI10" s="45">
        <v>0</v>
      </c>
      <c r="EJ10" s="43">
        <f t="shared" si="40"/>
        <v>5000</v>
      </c>
      <c r="EK10" s="69"/>
    </row>
    <row r="11" spans="1:141" x14ac:dyDescent="0.2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IF(IFERROR(INDEX(Consulta!$A:$DP,MATCH('MM01'!$B11,Consulta!$C:$C,0),'MM01'!D$2),"")=0,"",IFERROR(INDEX(Consulta!$A:$DP,MATCH('MM01'!$B11,Consulta!$C:$C,0),'MM01'!D$2),""))</f>
        <v/>
      </c>
      <c r="E11" s="43" t="str">
        <f>IF(IFERROR(INDEX(Consulta!$A:$DP,MATCH('MM01'!$B11,Consulta!$C:$C,0),'MM01'!E$2),"")=0,"",IFERROR(INDEX(Consulta!$A:$DP,MATCH('MM01'!$B11,Consulta!$C:$C,0),'MM01'!E$2),""))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795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>
        <v>99</v>
      </c>
      <c r="BN11" s="46" t="str">
        <f t="shared" ca="1" si="13"/>
        <v>28.04.2022</v>
      </c>
      <c r="BO11" s="49" t="str">
        <f t="shared" si="14"/>
        <v/>
      </c>
      <c r="BP11" s="50">
        <v>1</v>
      </c>
      <c r="BQ11" s="50" t="s">
        <v>194</v>
      </c>
      <c r="BR11" s="79" t="str">
        <f t="shared" si="15"/>
        <v>01</v>
      </c>
      <c r="BS11" s="50" t="s">
        <v>795</v>
      </c>
      <c r="BT11" s="44">
        <v>1</v>
      </c>
      <c r="BU11" s="44" t="s">
        <v>371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391</v>
      </c>
      <c r="BZ11" s="50">
        <v>0</v>
      </c>
      <c r="CA11" s="45" t="s">
        <v>402</v>
      </c>
      <c r="CB11" s="45" t="s">
        <v>84</v>
      </c>
      <c r="CC11" s="43" t="str">
        <f t="shared" si="16"/>
        <v/>
      </c>
      <c r="CD11" s="45" t="s">
        <v>38</v>
      </c>
      <c r="CE11" s="45">
        <v>1</v>
      </c>
      <c r="CF11" s="45" t="s">
        <v>495</v>
      </c>
      <c r="CG11" s="45"/>
      <c r="CH11" s="44">
        <v>2</v>
      </c>
      <c r="CI11" s="49" t="str">
        <f t="shared" si="17"/>
        <v/>
      </c>
      <c r="CJ11" s="49" t="str">
        <f t="shared" si="18"/>
        <v/>
      </c>
      <c r="CK11" s="45"/>
      <c r="CL11" s="44">
        <v>1</v>
      </c>
      <c r="CM11" s="50" t="s">
        <v>514</v>
      </c>
      <c r="CN11" s="44" t="s">
        <v>371</v>
      </c>
      <c r="CO11" s="44">
        <v>2</v>
      </c>
      <c r="CP11" s="44">
        <v>42</v>
      </c>
      <c r="CQ11" s="44">
        <v>10</v>
      </c>
      <c r="CR11" s="43" t="str">
        <f t="shared" si="19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20"/>
        <v/>
      </c>
      <c r="CY11" s="43" t="str">
        <f t="shared" si="21"/>
        <v/>
      </c>
      <c r="CZ11" s="43" t="str">
        <f t="shared" si="22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3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4"/>
        <v/>
      </c>
      <c r="DG11" s="43" t="str">
        <f t="shared" si="25"/>
        <v/>
      </c>
      <c r="DH11" s="57"/>
      <c r="DI11" s="43" t="str">
        <f t="shared" ca="1" si="26"/>
        <v/>
      </c>
      <c r="DJ11" s="43" t="str">
        <f t="shared" si="27"/>
        <v/>
      </c>
      <c r="DK11" s="43" t="str">
        <f t="shared" si="28"/>
        <v/>
      </c>
      <c r="DL11" s="57"/>
      <c r="DM11" s="43" t="str">
        <f t="shared" ca="1" si="29"/>
        <v/>
      </c>
      <c r="DN11" s="43" t="str">
        <f t="shared" si="30"/>
        <v/>
      </c>
      <c r="DO11" s="43" t="str">
        <f t="shared" si="31"/>
        <v/>
      </c>
      <c r="DP11" s="57"/>
      <c r="DQ11" s="43" t="str">
        <f t="shared" ca="1" si="32"/>
        <v/>
      </c>
      <c r="DR11" s="43" t="str">
        <f t="shared" si="33"/>
        <v/>
      </c>
      <c r="DS11" s="43" t="str">
        <f t="shared" si="34"/>
        <v/>
      </c>
      <c r="DT11" s="57"/>
      <c r="DU11" s="43" t="str">
        <f t="shared" ca="1" si="35"/>
        <v/>
      </c>
      <c r="DV11" s="43" t="str">
        <f t="shared" si="36"/>
        <v/>
      </c>
      <c r="DX11" s="44">
        <v>1</v>
      </c>
      <c r="DY11" s="44" t="s">
        <v>773</v>
      </c>
      <c r="DZ11" s="43">
        <f t="shared" si="37"/>
        <v>0.01</v>
      </c>
      <c r="EA11" s="43" t="str">
        <f t="shared" si="38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9"/>
        <v>100</v>
      </c>
      <c r="EF11" s="44">
        <v>1</v>
      </c>
      <c r="EG11" s="44">
        <v>0</v>
      </c>
      <c r="EH11" s="44" t="s">
        <v>875</v>
      </c>
      <c r="EI11" s="45">
        <v>0</v>
      </c>
      <c r="EJ11" s="43">
        <f t="shared" si="40"/>
        <v>5000</v>
      </c>
      <c r="EK11" s="69"/>
    </row>
    <row r="12" spans="1:141" x14ac:dyDescent="0.2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IF(IFERROR(INDEX(Consulta!$A:$DP,MATCH('MM01'!$B12,Consulta!$C:$C,0),'MM01'!D$2),"")=0,"",IFERROR(INDEX(Consulta!$A:$DP,MATCH('MM01'!$B12,Consulta!$C:$C,0),'MM01'!D$2),""))</f>
        <v/>
      </c>
      <c r="E12" s="43" t="str">
        <f>IF(IFERROR(INDEX(Consulta!$A:$DP,MATCH('MM01'!$B12,Consulta!$C:$C,0),'MM01'!E$2),"")=0,"",IFERROR(INDEX(Consulta!$A:$DP,MATCH('MM01'!$B12,Consulta!$C:$C,0),'MM01'!E$2),""))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795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>
        <v>99</v>
      </c>
      <c r="BN12" s="46" t="str">
        <f t="shared" ca="1" si="13"/>
        <v>28.04.2022</v>
      </c>
      <c r="BO12" s="49" t="str">
        <f t="shared" si="14"/>
        <v/>
      </c>
      <c r="BP12" s="50">
        <v>1</v>
      </c>
      <c r="BQ12" s="50" t="s">
        <v>194</v>
      </c>
      <c r="BR12" s="79" t="str">
        <f t="shared" si="15"/>
        <v>01</v>
      </c>
      <c r="BS12" s="50" t="s">
        <v>795</v>
      </c>
      <c r="BT12" s="44">
        <v>1</v>
      </c>
      <c r="BU12" s="44" t="s">
        <v>371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391</v>
      </c>
      <c r="BZ12" s="50">
        <v>0</v>
      </c>
      <c r="CA12" s="45" t="s">
        <v>402</v>
      </c>
      <c r="CB12" s="45" t="s">
        <v>84</v>
      </c>
      <c r="CC12" s="43" t="str">
        <f t="shared" si="16"/>
        <v/>
      </c>
      <c r="CD12" s="45" t="s">
        <v>38</v>
      </c>
      <c r="CE12" s="45">
        <v>1</v>
      </c>
      <c r="CF12" s="45" t="s">
        <v>495</v>
      </c>
      <c r="CG12" s="45"/>
      <c r="CH12" s="44">
        <v>2</v>
      </c>
      <c r="CI12" s="49" t="str">
        <f t="shared" si="17"/>
        <v/>
      </c>
      <c r="CJ12" s="49" t="str">
        <f t="shared" si="18"/>
        <v/>
      </c>
      <c r="CK12" s="45"/>
      <c r="CL12" s="44">
        <v>1</v>
      </c>
      <c r="CM12" s="50" t="s">
        <v>514</v>
      </c>
      <c r="CN12" s="44" t="s">
        <v>371</v>
      </c>
      <c r="CO12" s="44">
        <v>2</v>
      </c>
      <c r="CP12" s="44">
        <v>42</v>
      </c>
      <c r="CQ12" s="44">
        <v>10</v>
      </c>
      <c r="CR12" s="43" t="str">
        <f t="shared" si="19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20"/>
        <v/>
      </c>
      <c r="CY12" s="43" t="str">
        <f t="shared" si="21"/>
        <v/>
      </c>
      <c r="CZ12" s="43" t="str">
        <f t="shared" si="22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3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4"/>
        <v/>
      </c>
      <c r="DG12" s="43" t="str">
        <f t="shared" si="25"/>
        <v/>
      </c>
      <c r="DH12" s="57"/>
      <c r="DI12" s="43" t="str">
        <f t="shared" ca="1" si="26"/>
        <v/>
      </c>
      <c r="DJ12" s="43" t="str">
        <f t="shared" si="27"/>
        <v/>
      </c>
      <c r="DK12" s="43" t="str">
        <f t="shared" si="28"/>
        <v/>
      </c>
      <c r="DL12" s="57"/>
      <c r="DM12" s="43" t="str">
        <f t="shared" ca="1" si="29"/>
        <v/>
      </c>
      <c r="DN12" s="43" t="str">
        <f t="shared" si="30"/>
        <v/>
      </c>
      <c r="DO12" s="43" t="str">
        <f t="shared" si="31"/>
        <v/>
      </c>
      <c r="DP12" s="57"/>
      <c r="DQ12" s="43" t="str">
        <f t="shared" ca="1" si="32"/>
        <v/>
      </c>
      <c r="DR12" s="43" t="str">
        <f t="shared" si="33"/>
        <v/>
      </c>
      <c r="DS12" s="43" t="str">
        <f t="shared" si="34"/>
        <v/>
      </c>
      <c r="DT12" s="57"/>
      <c r="DU12" s="43" t="str">
        <f t="shared" ca="1" si="35"/>
        <v/>
      </c>
      <c r="DV12" s="43" t="str">
        <f t="shared" si="36"/>
        <v/>
      </c>
      <c r="DX12" s="44">
        <v>1</v>
      </c>
      <c r="DY12" s="44" t="s">
        <v>773</v>
      </c>
      <c r="DZ12" s="43">
        <f t="shared" si="37"/>
        <v>0.01</v>
      </c>
      <c r="EA12" s="43" t="str">
        <f t="shared" si="38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9"/>
        <v>100</v>
      </c>
      <c r="EF12" s="44">
        <v>1</v>
      </c>
      <c r="EG12" s="44">
        <v>0</v>
      </c>
      <c r="EH12" s="44" t="s">
        <v>875</v>
      </c>
      <c r="EI12" s="45">
        <v>0</v>
      </c>
      <c r="EJ12" s="43">
        <f t="shared" si="40"/>
        <v>5000</v>
      </c>
      <c r="EK12" s="69"/>
    </row>
    <row r="13" spans="1:141" x14ac:dyDescent="0.2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IF(IFERROR(INDEX(Consulta!$A:$DP,MATCH('MM01'!$B13,Consulta!$C:$C,0),'MM01'!D$2),"")=0,"",IFERROR(INDEX(Consulta!$A:$DP,MATCH('MM01'!$B13,Consulta!$C:$C,0),'MM01'!D$2),""))</f>
        <v/>
      </c>
      <c r="E13" s="43" t="str">
        <f>IF(IFERROR(INDEX(Consulta!$A:$DP,MATCH('MM01'!$B13,Consulta!$C:$C,0),'MM01'!E$2),"")=0,"",IFERROR(INDEX(Consulta!$A:$DP,MATCH('MM01'!$B13,Consulta!$C:$C,0),'MM01'!E$2),""))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795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>
        <v>99</v>
      </c>
      <c r="BN13" s="46" t="str">
        <f t="shared" ca="1" si="13"/>
        <v>28.04.2022</v>
      </c>
      <c r="BO13" s="49" t="str">
        <f t="shared" si="14"/>
        <v/>
      </c>
      <c r="BP13" s="50">
        <v>1</v>
      </c>
      <c r="BQ13" s="50" t="s">
        <v>194</v>
      </c>
      <c r="BR13" s="79" t="str">
        <f t="shared" si="15"/>
        <v>01</v>
      </c>
      <c r="BS13" s="50" t="s">
        <v>795</v>
      </c>
      <c r="BT13" s="44">
        <v>1</v>
      </c>
      <c r="BU13" s="44" t="s">
        <v>371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391</v>
      </c>
      <c r="BZ13" s="50">
        <v>0</v>
      </c>
      <c r="CA13" s="45" t="s">
        <v>402</v>
      </c>
      <c r="CB13" s="45" t="s">
        <v>84</v>
      </c>
      <c r="CC13" s="43" t="str">
        <f t="shared" si="16"/>
        <v/>
      </c>
      <c r="CD13" s="45" t="s">
        <v>38</v>
      </c>
      <c r="CE13" s="45">
        <v>1</v>
      </c>
      <c r="CF13" s="45" t="s">
        <v>495</v>
      </c>
      <c r="CG13" s="45"/>
      <c r="CH13" s="44">
        <v>2</v>
      </c>
      <c r="CI13" s="49" t="str">
        <f t="shared" si="17"/>
        <v/>
      </c>
      <c r="CJ13" s="49" t="str">
        <f t="shared" si="18"/>
        <v/>
      </c>
      <c r="CK13" s="45"/>
      <c r="CL13" s="44">
        <v>1</v>
      </c>
      <c r="CM13" s="50" t="s">
        <v>514</v>
      </c>
      <c r="CN13" s="44" t="s">
        <v>371</v>
      </c>
      <c r="CO13" s="44">
        <v>2</v>
      </c>
      <c r="CP13" s="44">
        <v>42</v>
      </c>
      <c r="CQ13" s="44">
        <v>10</v>
      </c>
      <c r="CR13" s="43" t="str">
        <f t="shared" si="19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20"/>
        <v/>
      </c>
      <c r="CY13" s="43" t="str">
        <f t="shared" si="21"/>
        <v/>
      </c>
      <c r="CZ13" s="43" t="str">
        <f t="shared" si="22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3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4"/>
        <v/>
      </c>
      <c r="DG13" s="43" t="str">
        <f t="shared" si="25"/>
        <v/>
      </c>
      <c r="DH13" s="57"/>
      <c r="DI13" s="43" t="str">
        <f t="shared" ca="1" si="26"/>
        <v/>
      </c>
      <c r="DJ13" s="43" t="str">
        <f t="shared" si="27"/>
        <v/>
      </c>
      <c r="DK13" s="43" t="str">
        <f t="shared" si="28"/>
        <v/>
      </c>
      <c r="DL13" s="57"/>
      <c r="DM13" s="43" t="str">
        <f t="shared" ca="1" si="29"/>
        <v/>
      </c>
      <c r="DN13" s="43" t="str">
        <f t="shared" si="30"/>
        <v/>
      </c>
      <c r="DO13" s="43" t="str">
        <f t="shared" si="31"/>
        <v/>
      </c>
      <c r="DP13" s="57"/>
      <c r="DQ13" s="43" t="str">
        <f t="shared" ca="1" si="32"/>
        <v/>
      </c>
      <c r="DR13" s="43" t="str">
        <f t="shared" si="33"/>
        <v/>
      </c>
      <c r="DS13" s="43" t="str">
        <f t="shared" si="34"/>
        <v/>
      </c>
      <c r="DT13" s="57"/>
      <c r="DU13" s="43" t="str">
        <f t="shared" ca="1" si="35"/>
        <v/>
      </c>
      <c r="DV13" s="43" t="str">
        <f t="shared" si="36"/>
        <v/>
      </c>
      <c r="DX13" s="44">
        <v>1</v>
      </c>
      <c r="DY13" s="44" t="s">
        <v>773</v>
      </c>
      <c r="DZ13" s="43">
        <f t="shared" si="37"/>
        <v>0.01</v>
      </c>
      <c r="EA13" s="43" t="str">
        <f t="shared" si="38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9"/>
        <v>100</v>
      </c>
      <c r="EF13" s="44">
        <v>1</v>
      </c>
      <c r="EG13" s="44">
        <v>0</v>
      </c>
      <c r="EH13" s="44" t="s">
        <v>875</v>
      </c>
      <c r="EI13" s="45">
        <v>0</v>
      </c>
      <c r="EJ13" s="43">
        <f t="shared" si="40"/>
        <v>5000</v>
      </c>
      <c r="EK13" s="69"/>
    </row>
    <row r="14" spans="1:141" x14ac:dyDescent="0.2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IF(IFERROR(INDEX(Consulta!$A:$DP,MATCH('MM01'!$B14,Consulta!$C:$C,0),'MM01'!D$2),"")=0,"",IFERROR(INDEX(Consulta!$A:$DP,MATCH('MM01'!$B14,Consulta!$C:$C,0),'MM01'!D$2),""))</f>
        <v/>
      </c>
      <c r="E14" s="43" t="str">
        <f>IF(IFERROR(INDEX(Consulta!$A:$DP,MATCH('MM01'!$B14,Consulta!$C:$C,0),'MM01'!E$2),"")=0,"",IFERROR(INDEX(Consulta!$A:$DP,MATCH('MM01'!$B14,Consulta!$C:$C,0),'MM01'!E$2),""))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795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>
        <v>99</v>
      </c>
      <c r="BN14" s="46" t="str">
        <f t="shared" ca="1" si="13"/>
        <v>28.04.2022</v>
      </c>
      <c r="BO14" s="49" t="str">
        <f t="shared" si="14"/>
        <v/>
      </c>
      <c r="BP14" s="50">
        <v>1</v>
      </c>
      <c r="BQ14" s="50" t="s">
        <v>194</v>
      </c>
      <c r="BR14" s="79" t="str">
        <f t="shared" si="15"/>
        <v>01</v>
      </c>
      <c r="BS14" s="50" t="s">
        <v>795</v>
      </c>
      <c r="BT14" s="44">
        <v>1</v>
      </c>
      <c r="BU14" s="44" t="s">
        <v>371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391</v>
      </c>
      <c r="BZ14" s="50">
        <v>0</v>
      </c>
      <c r="CA14" s="45" t="s">
        <v>402</v>
      </c>
      <c r="CB14" s="45" t="s">
        <v>84</v>
      </c>
      <c r="CC14" s="43" t="str">
        <f t="shared" si="16"/>
        <v/>
      </c>
      <c r="CD14" s="45" t="s">
        <v>38</v>
      </c>
      <c r="CE14" s="45">
        <v>1</v>
      </c>
      <c r="CF14" s="45" t="s">
        <v>495</v>
      </c>
      <c r="CG14" s="45"/>
      <c r="CH14" s="44">
        <v>2</v>
      </c>
      <c r="CI14" s="49" t="str">
        <f t="shared" si="17"/>
        <v/>
      </c>
      <c r="CJ14" s="49" t="str">
        <f t="shared" si="18"/>
        <v/>
      </c>
      <c r="CK14" s="45"/>
      <c r="CL14" s="44">
        <v>1</v>
      </c>
      <c r="CM14" s="50" t="s">
        <v>514</v>
      </c>
      <c r="CN14" s="44" t="s">
        <v>371</v>
      </c>
      <c r="CO14" s="44">
        <v>2</v>
      </c>
      <c r="CP14" s="44">
        <v>42</v>
      </c>
      <c r="CQ14" s="44">
        <v>10</v>
      </c>
      <c r="CR14" s="43" t="str">
        <f t="shared" si="19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20"/>
        <v/>
      </c>
      <c r="CY14" s="43" t="str">
        <f t="shared" si="21"/>
        <v/>
      </c>
      <c r="CZ14" s="43" t="str">
        <f t="shared" si="22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3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4"/>
        <v/>
      </c>
      <c r="DG14" s="43" t="str">
        <f t="shared" si="25"/>
        <v/>
      </c>
      <c r="DH14" s="57"/>
      <c r="DI14" s="43" t="str">
        <f t="shared" ca="1" si="26"/>
        <v/>
      </c>
      <c r="DJ14" s="43" t="str">
        <f t="shared" si="27"/>
        <v/>
      </c>
      <c r="DK14" s="43" t="str">
        <f t="shared" si="28"/>
        <v/>
      </c>
      <c r="DL14" s="57"/>
      <c r="DM14" s="43" t="str">
        <f t="shared" ca="1" si="29"/>
        <v/>
      </c>
      <c r="DN14" s="43" t="str">
        <f t="shared" si="30"/>
        <v/>
      </c>
      <c r="DO14" s="43" t="str">
        <f t="shared" si="31"/>
        <v/>
      </c>
      <c r="DP14" s="57"/>
      <c r="DQ14" s="43" t="str">
        <f t="shared" ca="1" si="32"/>
        <v/>
      </c>
      <c r="DR14" s="43" t="str">
        <f t="shared" si="33"/>
        <v/>
      </c>
      <c r="DS14" s="43" t="str">
        <f t="shared" si="34"/>
        <v/>
      </c>
      <c r="DT14" s="57"/>
      <c r="DU14" s="43" t="str">
        <f t="shared" ca="1" si="35"/>
        <v/>
      </c>
      <c r="DV14" s="43" t="str">
        <f t="shared" si="36"/>
        <v/>
      </c>
      <c r="DX14" s="44">
        <v>1</v>
      </c>
      <c r="DY14" s="44" t="s">
        <v>773</v>
      </c>
      <c r="DZ14" s="43">
        <f t="shared" si="37"/>
        <v>0.01</v>
      </c>
      <c r="EA14" s="43" t="str">
        <f t="shared" si="38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9"/>
        <v>100</v>
      </c>
      <c r="EF14" s="44">
        <v>1</v>
      </c>
      <c r="EG14" s="44">
        <v>0</v>
      </c>
      <c r="EH14" s="44" t="s">
        <v>875</v>
      </c>
      <c r="EI14" s="45">
        <v>0</v>
      </c>
      <c r="EJ14" s="43">
        <f t="shared" si="40"/>
        <v>5000</v>
      </c>
      <c r="EK14" s="69"/>
    </row>
    <row r="15" spans="1:141" x14ac:dyDescent="0.2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IF(IFERROR(INDEX(Consulta!$A:$DP,MATCH('MM01'!$B15,Consulta!$C:$C,0),'MM01'!D$2),"")=0,"",IFERROR(INDEX(Consulta!$A:$DP,MATCH('MM01'!$B15,Consulta!$C:$C,0),'MM01'!D$2),""))</f>
        <v/>
      </c>
      <c r="E15" s="43" t="str">
        <f>IF(IFERROR(INDEX(Consulta!$A:$DP,MATCH('MM01'!$B15,Consulta!$C:$C,0),'MM01'!E$2),"")=0,"",IFERROR(INDEX(Consulta!$A:$DP,MATCH('MM01'!$B15,Consulta!$C:$C,0),'MM01'!E$2),""))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795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>
        <v>99</v>
      </c>
      <c r="BN15" s="46" t="str">
        <f t="shared" ca="1" si="13"/>
        <v>28.04.2022</v>
      </c>
      <c r="BO15" s="49" t="str">
        <f t="shared" si="14"/>
        <v/>
      </c>
      <c r="BP15" s="50">
        <v>1</v>
      </c>
      <c r="BQ15" s="50" t="s">
        <v>194</v>
      </c>
      <c r="BR15" s="79" t="str">
        <f t="shared" si="15"/>
        <v>01</v>
      </c>
      <c r="BS15" s="50" t="s">
        <v>795</v>
      </c>
      <c r="BT15" s="44">
        <v>1</v>
      </c>
      <c r="BU15" s="44" t="s">
        <v>371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391</v>
      </c>
      <c r="BZ15" s="50">
        <v>0</v>
      </c>
      <c r="CA15" s="45" t="s">
        <v>402</v>
      </c>
      <c r="CB15" s="45" t="s">
        <v>84</v>
      </c>
      <c r="CC15" s="43" t="str">
        <f t="shared" si="16"/>
        <v/>
      </c>
      <c r="CD15" s="45" t="s">
        <v>38</v>
      </c>
      <c r="CE15" s="45">
        <v>1</v>
      </c>
      <c r="CF15" s="45" t="s">
        <v>495</v>
      </c>
      <c r="CG15" s="45"/>
      <c r="CH15" s="44">
        <v>2</v>
      </c>
      <c r="CI15" s="49" t="str">
        <f t="shared" si="17"/>
        <v/>
      </c>
      <c r="CJ15" s="49" t="str">
        <f t="shared" si="18"/>
        <v/>
      </c>
      <c r="CK15" s="45"/>
      <c r="CL15" s="44">
        <v>1</v>
      </c>
      <c r="CM15" s="50" t="s">
        <v>514</v>
      </c>
      <c r="CN15" s="44" t="s">
        <v>371</v>
      </c>
      <c r="CO15" s="44">
        <v>2</v>
      </c>
      <c r="CP15" s="44">
        <v>42</v>
      </c>
      <c r="CQ15" s="44">
        <v>10</v>
      </c>
      <c r="CR15" s="43" t="str">
        <f t="shared" si="19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20"/>
        <v/>
      </c>
      <c r="CY15" s="43" t="str">
        <f t="shared" si="21"/>
        <v/>
      </c>
      <c r="CZ15" s="43" t="str">
        <f t="shared" si="22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3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4"/>
        <v/>
      </c>
      <c r="DG15" s="43" t="str">
        <f t="shared" si="25"/>
        <v/>
      </c>
      <c r="DH15" s="57"/>
      <c r="DI15" s="43" t="str">
        <f t="shared" ca="1" si="26"/>
        <v/>
      </c>
      <c r="DJ15" s="43" t="str">
        <f t="shared" si="27"/>
        <v/>
      </c>
      <c r="DK15" s="43" t="str">
        <f t="shared" si="28"/>
        <v/>
      </c>
      <c r="DL15" s="57"/>
      <c r="DM15" s="43" t="str">
        <f t="shared" ca="1" si="29"/>
        <v/>
      </c>
      <c r="DN15" s="43" t="str">
        <f t="shared" si="30"/>
        <v/>
      </c>
      <c r="DO15" s="43" t="str">
        <f t="shared" si="31"/>
        <v/>
      </c>
      <c r="DP15" s="57"/>
      <c r="DQ15" s="43" t="str">
        <f t="shared" ca="1" si="32"/>
        <v/>
      </c>
      <c r="DR15" s="43" t="str">
        <f t="shared" si="33"/>
        <v/>
      </c>
      <c r="DS15" s="43" t="str">
        <f t="shared" si="34"/>
        <v/>
      </c>
      <c r="DT15" s="57"/>
      <c r="DU15" s="43" t="str">
        <f t="shared" ca="1" si="35"/>
        <v/>
      </c>
      <c r="DV15" s="43" t="str">
        <f t="shared" si="36"/>
        <v/>
      </c>
      <c r="DX15" s="44">
        <v>1</v>
      </c>
      <c r="DY15" s="44" t="s">
        <v>773</v>
      </c>
      <c r="DZ15" s="43">
        <f t="shared" si="37"/>
        <v>0.01</v>
      </c>
      <c r="EA15" s="43" t="str">
        <f t="shared" si="38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9"/>
        <v>100</v>
      </c>
      <c r="EF15" s="44">
        <v>1</v>
      </c>
      <c r="EG15" s="44">
        <v>0</v>
      </c>
      <c r="EH15" s="44" t="s">
        <v>875</v>
      </c>
      <c r="EI15" s="45">
        <v>0</v>
      </c>
      <c r="EJ15" s="43">
        <f t="shared" si="40"/>
        <v>5000</v>
      </c>
      <c r="EK15" s="69"/>
    </row>
    <row r="16" spans="1:141" x14ac:dyDescent="0.2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IF(IFERROR(INDEX(Consulta!$A:$DP,MATCH('MM01'!$B16,Consulta!$C:$C,0),'MM01'!D$2),"")=0,"",IFERROR(INDEX(Consulta!$A:$DP,MATCH('MM01'!$B16,Consulta!$C:$C,0),'MM01'!D$2),""))</f>
        <v/>
      </c>
      <c r="E16" s="43" t="str">
        <f>IF(IFERROR(INDEX(Consulta!$A:$DP,MATCH('MM01'!$B16,Consulta!$C:$C,0),'MM01'!E$2),"")=0,"",IFERROR(INDEX(Consulta!$A:$DP,MATCH('MM01'!$B16,Consulta!$C:$C,0),'MM01'!E$2),""))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795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>
        <v>99</v>
      </c>
      <c r="BN16" s="46" t="str">
        <f t="shared" ca="1" si="13"/>
        <v>28.04.2022</v>
      </c>
      <c r="BO16" s="49" t="str">
        <f t="shared" si="14"/>
        <v/>
      </c>
      <c r="BP16" s="50">
        <v>1</v>
      </c>
      <c r="BQ16" s="50" t="s">
        <v>194</v>
      </c>
      <c r="BR16" s="79" t="str">
        <f t="shared" si="15"/>
        <v>01</v>
      </c>
      <c r="BS16" s="50" t="s">
        <v>795</v>
      </c>
      <c r="BT16" s="44">
        <v>1</v>
      </c>
      <c r="BU16" s="44" t="s">
        <v>371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391</v>
      </c>
      <c r="BZ16" s="50">
        <v>0</v>
      </c>
      <c r="CA16" s="45" t="s">
        <v>402</v>
      </c>
      <c r="CB16" s="45" t="s">
        <v>84</v>
      </c>
      <c r="CC16" s="43" t="str">
        <f t="shared" si="16"/>
        <v/>
      </c>
      <c r="CD16" s="45" t="s">
        <v>38</v>
      </c>
      <c r="CE16" s="45">
        <v>1</v>
      </c>
      <c r="CF16" s="45" t="s">
        <v>495</v>
      </c>
      <c r="CG16" s="45"/>
      <c r="CH16" s="44">
        <v>2</v>
      </c>
      <c r="CI16" s="49" t="str">
        <f t="shared" si="17"/>
        <v/>
      </c>
      <c r="CJ16" s="49" t="str">
        <f t="shared" si="18"/>
        <v/>
      </c>
      <c r="CK16" s="45"/>
      <c r="CL16" s="44">
        <v>1</v>
      </c>
      <c r="CM16" s="50" t="s">
        <v>514</v>
      </c>
      <c r="CN16" s="44" t="s">
        <v>371</v>
      </c>
      <c r="CO16" s="44">
        <v>2</v>
      </c>
      <c r="CP16" s="44">
        <v>42</v>
      </c>
      <c r="CQ16" s="44">
        <v>10</v>
      </c>
      <c r="CR16" s="43" t="str">
        <f t="shared" si="19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20"/>
        <v/>
      </c>
      <c r="CY16" s="43" t="str">
        <f t="shared" si="21"/>
        <v/>
      </c>
      <c r="CZ16" s="43" t="str">
        <f t="shared" si="22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3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4"/>
        <v/>
      </c>
      <c r="DG16" s="43" t="str">
        <f t="shared" si="25"/>
        <v/>
      </c>
      <c r="DH16" s="57"/>
      <c r="DI16" s="43" t="str">
        <f t="shared" ca="1" si="26"/>
        <v/>
      </c>
      <c r="DJ16" s="43" t="str">
        <f t="shared" si="27"/>
        <v/>
      </c>
      <c r="DK16" s="43" t="str">
        <f t="shared" si="28"/>
        <v/>
      </c>
      <c r="DL16" s="57"/>
      <c r="DM16" s="43" t="str">
        <f t="shared" ca="1" si="29"/>
        <v/>
      </c>
      <c r="DN16" s="43" t="str">
        <f t="shared" si="30"/>
        <v/>
      </c>
      <c r="DO16" s="43" t="str">
        <f t="shared" si="31"/>
        <v/>
      </c>
      <c r="DP16" s="57"/>
      <c r="DQ16" s="43" t="str">
        <f t="shared" ca="1" si="32"/>
        <v/>
      </c>
      <c r="DR16" s="43" t="str">
        <f t="shared" si="33"/>
        <v/>
      </c>
      <c r="DS16" s="43" t="str">
        <f t="shared" si="34"/>
        <v/>
      </c>
      <c r="DT16" s="57"/>
      <c r="DU16" s="43" t="str">
        <f t="shared" ca="1" si="35"/>
        <v/>
      </c>
      <c r="DV16" s="43" t="str">
        <f t="shared" si="36"/>
        <v/>
      </c>
      <c r="DX16" s="44">
        <v>1</v>
      </c>
      <c r="DY16" s="44" t="s">
        <v>773</v>
      </c>
      <c r="DZ16" s="43">
        <f t="shared" si="37"/>
        <v>0.01</v>
      </c>
      <c r="EA16" s="43" t="str">
        <f t="shared" si="38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9"/>
        <v>100</v>
      </c>
      <c r="EF16" s="44">
        <v>1</v>
      </c>
      <c r="EG16" s="44">
        <v>0</v>
      </c>
      <c r="EH16" s="44" t="s">
        <v>875</v>
      </c>
      <c r="EI16" s="45">
        <v>0</v>
      </c>
      <c r="EJ16" s="43">
        <f t="shared" si="40"/>
        <v>5000</v>
      </c>
      <c r="EK16" s="69"/>
    </row>
    <row r="17" spans="1:141" x14ac:dyDescent="0.2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IF(IFERROR(INDEX(Consulta!$A:$DP,MATCH('MM01'!$B17,Consulta!$C:$C,0),'MM01'!D$2),"")=0,"",IFERROR(INDEX(Consulta!$A:$DP,MATCH('MM01'!$B17,Consulta!$C:$C,0),'MM01'!D$2),""))</f>
        <v/>
      </c>
      <c r="E17" s="43" t="str">
        <f>IF(IFERROR(INDEX(Consulta!$A:$DP,MATCH('MM01'!$B17,Consulta!$C:$C,0),'MM01'!E$2),"")=0,"",IFERROR(INDEX(Consulta!$A:$DP,MATCH('MM01'!$B17,Consulta!$C:$C,0),'MM01'!E$2),""))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795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>
        <v>99</v>
      </c>
      <c r="BN17" s="46" t="str">
        <f t="shared" ca="1" si="13"/>
        <v>28.04.2022</v>
      </c>
      <c r="BO17" s="49" t="str">
        <f t="shared" si="14"/>
        <v/>
      </c>
      <c r="BP17" s="50">
        <v>1</v>
      </c>
      <c r="BQ17" s="50" t="s">
        <v>194</v>
      </c>
      <c r="BR17" s="79" t="str">
        <f t="shared" si="15"/>
        <v>01</v>
      </c>
      <c r="BS17" s="50" t="s">
        <v>795</v>
      </c>
      <c r="BT17" s="44">
        <v>1</v>
      </c>
      <c r="BU17" s="44" t="s">
        <v>371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391</v>
      </c>
      <c r="BZ17" s="50">
        <v>0</v>
      </c>
      <c r="CA17" s="45" t="s">
        <v>402</v>
      </c>
      <c r="CB17" s="45" t="s">
        <v>84</v>
      </c>
      <c r="CC17" s="43" t="str">
        <f t="shared" si="16"/>
        <v/>
      </c>
      <c r="CD17" s="45" t="s">
        <v>38</v>
      </c>
      <c r="CE17" s="45">
        <v>1</v>
      </c>
      <c r="CF17" s="45" t="s">
        <v>495</v>
      </c>
      <c r="CG17" s="45"/>
      <c r="CH17" s="44">
        <v>2</v>
      </c>
      <c r="CI17" s="49" t="str">
        <f t="shared" si="17"/>
        <v/>
      </c>
      <c r="CJ17" s="49" t="str">
        <f t="shared" si="18"/>
        <v/>
      </c>
      <c r="CK17" s="45"/>
      <c r="CL17" s="44">
        <v>1</v>
      </c>
      <c r="CM17" s="50" t="s">
        <v>514</v>
      </c>
      <c r="CN17" s="44" t="s">
        <v>371</v>
      </c>
      <c r="CO17" s="44">
        <v>2</v>
      </c>
      <c r="CP17" s="44">
        <v>42</v>
      </c>
      <c r="CQ17" s="44">
        <v>10</v>
      </c>
      <c r="CR17" s="43" t="str">
        <f t="shared" si="19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20"/>
        <v/>
      </c>
      <c r="CY17" s="43" t="str">
        <f t="shared" si="21"/>
        <v/>
      </c>
      <c r="CZ17" s="43" t="str">
        <f t="shared" si="22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3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4"/>
        <v/>
      </c>
      <c r="DG17" s="43" t="str">
        <f t="shared" si="25"/>
        <v/>
      </c>
      <c r="DH17" s="57"/>
      <c r="DI17" s="43" t="str">
        <f t="shared" ca="1" si="26"/>
        <v/>
      </c>
      <c r="DJ17" s="43" t="str">
        <f t="shared" si="27"/>
        <v/>
      </c>
      <c r="DK17" s="43" t="str">
        <f t="shared" si="28"/>
        <v/>
      </c>
      <c r="DL17" s="57"/>
      <c r="DM17" s="43" t="str">
        <f t="shared" ca="1" si="29"/>
        <v/>
      </c>
      <c r="DN17" s="43" t="str">
        <f t="shared" si="30"/>
        <v/>
      </c>
      <c r="DO17" s="43" t="str">
        <f t="shared" si="31"/>
        <v/>
      </c>
      <c r="DP17" s="57"/>
      <c r="DQ17" s="43" t="str">
        <f t="shared" ca="1" si="32"/>
        <v/>
      </c>
      <c r="DR17" s="43" t="str">
        <f t="shared" si="33"/>
        <v/>
      </c>
      <c r="DS17" s="43" t="str">
        <f t="shared" si="34"/>
        <v/>
      </c>
      <c r="DT17" s="57"/>
      <c r="DU17" s="43" t="str">
        <f t="shared" ca="1" si="35"/>
        <v/>
      </c>
      <c r="DV17" s="43" t="str">
        <f t="shared" si="36"/>
        <v/>
      </c>
      <c r="DX17" s="44">
        <v>1</v>
      </c>
      <c r="DY17" s="44" t="s">
        <v>773</v>
      </c>
      <c r="DZ17" s="43">
        <f t="shared" si="37"/>
        <v>0.01</v>
      </c>
      <c r="EA17" s="43" t="str">
        <f t="shared" si="38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9"/>
        <v>100</v>
      </c>
      <c r="EF17" s="44">
        <v>1</v>
      </c>
      <c r="EG17" s="44">
        <v>0</v>
      </c>
      <c r="EH17" s="44" t="s">
        <v>875</v>
      </c>
      <c r="EI17" s="45">
        <v>0</v>
      </c>
      <c r="EJ17" s="43">
        <f t="shared" si="40"/>
        <v>5000</v>
      </c>
      <c r="EK17" s="69"/>
    </row>
    <row r="18" spans="1:141" x14ac:dyDescent="0.2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IF(IFERROR(INDEX(Consulta!$A:$DP,MATCH('MM01'!$B18,Consulta!$C:$C,0),'MM01'!D$2),"")=0,"",IFERROR(INDEX(Consulta!$A:$DP,MATCH('MM01'!$B18,Consulta!$C:$C,0),'MM01'!D$2),""))</f>
        <v/>
      </c>
      <c r="E18" s="43" t="str">
        <f>IF(IFERROR(INDEX(Consulta!$A:$DP,MATCH('MM01'!$B18,Consulta!$C:$C,0),'MM01'!E$2),"")=0,"",IFERROR(INDEX(Consulta!$A:$DP,MATCH('MM01'!$B18,Consulta!$C:$C,0),'MM01'!E$2),""))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795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>
        <v>99</v>
      </c>
      <c r="BN18" s="46" t="str">
        <f t="shared" ca="1" si="13"/>
        <v>28.04.2022</v>
      </c>
      <c r="BO18" s="49" t="str">
        <f t="shared" si="14"/>
        <v/>
      </c>
      <c r="BP18" s="50">
        <v>1</v>
      </c>
      <c r="BQ18" s="50" t="s">
        <v>194</v>
      </c>
      <c r="BR18" s="79" t="str">
        <f t="shared" si="15"/>
        <v>01</v>
      </c>
      <c r="BS18" s="50" t="s">
        <v>795</v>
      </c>
      <c r="BT18" s="44">
        <v>1</v>
      </c>
      <c r="BU18" s="44" t="s">
        <v>371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391</v>
      </c>
      <c r="BZ18" s="50">
        <v>0</v>
      </c>
      <c r="CA18" s="45" t="s">
        <v>402</v>
      </c>
      <c r="CB18" s="45" t="s">
        <v>84</v>
      </c>
      <c r="CC18" s="43" t="str">
        <f t="shared" si="16"/>
        <v/>
      </c>
      <c r="CD18" s="45" t="s">
        <v>38</v>
      </c>
      <c r="CE18" s="45">
        <v>1</v>
      </c>
      <c r="CF18" s="45" t="s">
        <v>495</v>
      </c>
      <c r="CG18" s="45"/>
      <c r="CH18" s="44">
        <v>2</v>
      </c>
      <c r="CI18" s="49" t="str">
        <f t="shared" si="17"/>
        <v/>
      </c>
      <c r="CJ18" s="49" t="str">
        <f t="shared" si="18"/>
        <v/>
      </c>
      <c r="CK18" s="45"/>
      <c r="CL18" s="44">
        <v>1</v>
      </c>
      <c r="CM18" s="50" t="s">
        <v>514</v>
      </c>
      <c r="CN18" s="44" t="s">
        <v>371</v>
      </c>
      <c r="CO18" s="44">
        <v>2</v>
      </c>
      <c r="CP18" s="44">
        <v>42</v>
      </c>
      <c r="CQ18" s="44">
        <v>10</v>
      </c>
      <c r="CR18" s="43" t="str">
        <f t="shared" si="19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20"/>
        <v/>
      </c>
      <c r="CY18" s="43" t="str">
        <f t="shared" si="21"/>
        <v/>
      </c>
      <c r="CZ18" s="43" t="str">
        <f t="shared" si="22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3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4"/>
        <v/>
      </c>
      <c r="DG18" s="43" t="str">
        <f t="shared" si="25"/>
        <v/>
      </c>
      <c r="DH18" s="57"/>
      <c r="DI18" s="43" t="str">
        <f t="shared" ca="1" si="26"/>
        <v/>
      </c>
      <c r="DJ18" s="43" t="str">
        <f t="shared" si="27"/>
        <v/>
      </c>
      <c r="DK18" s="43" t="str">
        <f t="shared" si="28"/>
        <v/>
      </c>
      <c r="DL18" s="57"/>
      <c r="DM18" s="43" t="str">
        <f t="shared" ca="1" si="29"/>
        <v/>
      </c>
      <c r="DN18" s="43" t="str">
        <f t="shared" si="30"/>
        <v/>
      </c>
      <c r="DO18" s="43" t="str">
        <f t="shared" si="31"/>
        <v/>
      </c>
      <c r="DP18" s="57"/>
      <c r="DQ18" s="43" t="str">
        <f t="shared" ca="1" si="32"/>
        <v/>
      </c>
      <c r="DR18" s="43" t="str">
        <f t="shared" si="33"/>
        <v/>
      </c>
      <c r="DS18" s="43" t="str">
        <f t="shared" si="34"/>
        <v/>
      </c>
      <c r="DT18" s="57"/>
      <c r="DU18" s="43" t="str">
        <f t="shared" ca="1" si="35"/>
        <v/>
      </c>
      <c r="DV18" s="43" t="str">
        <f t="shared" si="36"/>
        <v/>
      </c>
      <c r="DX18" s="44">
        <v>1</v>
      </c>
      <c r="DY18" s="44" t="s">
        <v>773</v>
      </c>
      <c r="DZ18" s="43">
        <f t="shared" si="37"/>
        <v>0.01</v>
      </c>
      <c r="EA18" s="43" t="str">
        <f t="shared" si="38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9"/>
        <v>100</v>
      </c>
      <c r="EF18" s="44">
        <v>1</v>
      </c>
      <c r="EG18" s="44">
        <v>0</v>
      </c>
      <c r="EH18" s="44" t="s">
        <v>875</v>
      </c>
      <c r="EI18" s="45">
        <v>0</v>
      </c>
      <c r="EJ18" s="43">
        <f t="shared" si="40"/>
        <v>5000</v>
      </c>
      <c r="EK18" s="69"/>
    </row>
    <row r="19" spans="1:141" x14ac:dyDescent="0.2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IF(IFERROR(INDEX(Consulta!$A:$DP,MATCH('MM01'!$B19,Consulta!$C:$C,0),'MM01'!D$2),"")=0,"",IFERROR(INDEX(Consulta!$A:$DP,MATCH('MM01'!$B19,Consulta!$C:$C,0),'MM01'!D$2),""))</f>
        <v/>
      </c>
      <c r="E19" s="43" t="str">
        <f>IF(IFERROR(INDEX(Consulta!$A:$DP,MATCH('MM01'!$B19,Consulta!$C:$C,0),'MM01'!E$2),"")=0,"",IFERROR(INDEX(Consulta!$A:$DP,MATCH('MM01'!$B19,Consulta!$C:$C,0),'MM01'!E$2),""))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795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>
        <v>99</v>
      </c>
      <c r="BN19" s="46" t="str">
        <f t="shared" ca="1" si="13"/>
        <v>28.04.2022</v>
      </c>
      <c r="BO19" s="49" t="str">
        <f t="shared" si="14"/>
        <v/>
      </c>
      <c r="BP19" s="50">
        <v>1</v>
      </c>
      <c r="BQ19" s="50" t="s">
        <v>194</v>
      </c>
      <c r="BR19" s="79" t="str">
        <f t="shared" si="15"/>
        <v>01</v>
      </c>
      <c r="BS19" s="50" t="s">
        <v>795</v>
      </c>
      <c r="BT19" s="44">
        <v>1</v>
      </c>
      <c r="BU19" s="44" t="s">
        <v>371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391</v>
      </c>
      <c r="BZ19" s="50">
        <v>0</v>
      </c>
      <c r="CA19" s="45" t="s">
        <v>402</v>
      </c>
      <c r="CB19" s="45" t="s">
        <v>84</v>
      </c>
      <c r="CC19" s="43" t="str">
        <f t="shared" si="16"/>
        <v/>
      </c>
      <c r="CD19" s="45" t="s">
        <v>38</v>
      </c>
      <c r="CE19" s="45">
        <v>1</v>
      </c>
      <c r="CF19" s="45" t="s">
        <v>495</v>
      </c>
      <c r="CG19" s="45"/>
      <c r="CH19" s="44">
        <v>2</v>
      </c>
      <c r="CI19" s="49" t="str">
        <f t="shared" si="17"/>
        <v/>
      </c>
      <c r="CJ19" s="49" t="str">
        <f t="shared" si="18"/>
        <v/>
      </c>
      <c r="CK19" s="45"/>
      <c r="CL19" s="44">
        <v>1</v>
      </c>
      <c r="CM19" s="50" t="s">
        <v>514</v>
      </c>
      <c r="CN19" s="44" t="s">
        <v>371</v>
      </c>
      <c r="CO19" s="44">
        <v>2</v>
      </c>
      <c r="CP19" s="44">
        <v>42</v>
      </c>
      <c r="CQ19" s="44">
        <v>10</v>
      </c>
      <c r="CR19" s="43" t="str">
        <f t="shared" si="19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20"/>
        <v/>
      </c>
      <c r="CY19" s="43" t="str">
        <f t="shared" si="21"/>
        <v/>
      </c>
      <c r="CZ19" s="43" t="str">
        <f t="shared" si="22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3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4"/>
        <v/>
      </c>
      <c r="DG19" s="43" t="str">
        <f t="shared" si="25"/>
        <v/>
      </c>
      <c r="DH19" s="57"/>
      <c r="DI19" s="43" t="str">
        <f t="shared" ca="1" si="26"/>
        <v/>
      </c>
      <c r="DJ19" s="43" t="str">
        <f t="shared" si="27"/>
        <v/>
      </c>
      <c r="DK19" s="43" t="str">
        <f t="shared" si="28"/>
        <v/>
      </c>
      <c r="DL19" s="57"/>
      <c r="DM19" s="43" t="str">
        <f t="shared" ca="1" si="29"/>
        <v/>
      </c>
      <c r="DN19" s="43" t="str">
        <f t="shared" si="30"/>
        <v/>
      </c>
      <c r="DO19" s="43" t="str">
        <f t="shared" si="31"/>
        <v/>
      </c>
      <c r="DP19" s="57"/>
      <c r="DQ19" s="43" t="str">
        <f t="shared" ca="1" si="32"/>
        <v/>
      </c>
      <c r="DR19" s="43" t="str">
        <f t="shared" si="33"/>
        <v/>
      </c>
      <c r="DS19" s="43" t="str">
        <f t="shared" si="34"/>
        <v/>
      </c>
      <c r="DT19" s="57"/>
      <c r="DU19" s="43" t="str">
        <f t="shared" ca="1" si="35"/>
        <v/>
      </c>
      <c r="DV19" s="43" t="str">
        <f t="shared" si="36"/>
        <v/>
      </c>
      <c r="DX19" s="44">
        <v>1</v>
      </c>
      <c r="DY19" s="44" t="s">
        <v>773</v>
      </c>
      <c r="DZ19" s="43">
        <f t="shared" si="37"/>
        <v>0.01</v>
      </c>
      <c r="EA19" s="43" t="str">
        <f t="shared" si="38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9"/>
        <v>100</v>
      </c>
      <c r="EF19" s="44">
        <v>1</v>
      </c>
      <c r="EG19" s="44">
        <v>0</v>
      </c>
      <c r="EH19" s="44" t="s">
        <v>875</v>
      </c>
      <c r="EI19" s="45">
        <v>0</v>
      </c>
      <c r="EJ19" s="43">
        <f t="shared" si="40"/>
        <v>5000</v>
      </c>
      <c r="EK19" s="69"/>
    </row>
    <row r="20" spans="1:141" x14ac:dyDescent="0.2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IF(IFERROR(INDEX(Consulta!$A:$DP,MATCH('MM01'!$B20,Consulta!$C:$C,0),'MM01'!D$2),"")=0,"",IFERROR(INDEX(Consulta!$A:$DP,MATCH('MM01'!$B20,Consulta!$C:$C,0),'MM01'!D$2),""))</f>
        <v/>
      </c>
      <c r="E20" s="43" t="str">
        <f>IF(IFERROR(INDEX(Consulta!$A:$DP,MATCH('MM01'!$B20,Consulta!$C:$C,0),'MM01'!E$2),"")=0,"",IFERROR(INDEX(Consulta!$A:$DP,MATCH('MM01'!$B20,Consulta!$C:$C,0),'MM01'!E$2),""))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795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>
        <v>99</v>
      </c>
      <c r="BN20" s="46" t="str">
        <f t="shared" ca="1" si="13"/>
        <v>28.04.2022</v>
      </c>
      <c r="BO20" s="49" t="str">
        <f t="shared" si="14"/>
        <v/>
      </c>
      <c r="BP20" s="50">
        <v>1</v>
      </c>
      <c r="BQ20" s="50" t="s">
        <v>194</v>
      </c>
      <c r="BR20" s="79" t="str">
        <f t="shared" si="15"/>
        <v>01</v>
      </c>
      <c r="BS20" s="50" t="s">
        <v>795</v>
      </c>
      <c r="BT20" s="44">
        <v>1</v>
      </c>
      <c r="BU20" s="44" t="s">
        <v>371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391</v>
      </c>
      <c r="BZ20" s="50">
        <v>0</v>
      </c>
      <c r="CA20" s="45" t="s">
        <v>402</v>
      </c>
      <c r="CB20" s="45" t="s">
        <v>84</v>
      </c>
      <c r="CC20" s="43" t="str">
        <f t="shared" si="16"/>
        <v/>
      </c>
      <c r="CD20" s="45" t="s">
        <v>38</v>
      </c>
      <c r="CE20" s="45">
        <v>1</v>
      </c>
      <c r="CF20" s="45" t="s">
        <v>495</v>
      </c>
      <c r="CG20" s="45"/>
      <c r="CH20" s="44">
        <v>2</v>
      </c>
      <c r="CI20" s="49" t="str">
        <f t="shared" si="17"/>
        <v/>
      </c>
      <c r="CJ20" s="49" t="str">
        <f t="shared" si="18"/>
        <v/>
      </c>
      <c r="CK20" s="45"/>
      <c r="CL20" s="44">
        <v>1</v>
      </c>
      <c r="CM20" s="50" t="s">
        <v>514</v>
      </c>
      <c r="CN20" s="44" t="s">
        <v>371</v>
      </c>
      <c r="CO20" s="44">
        <v>2</v>
      </c>
      <c r="CP20" s="44">
        <v>42</v>
      </c>
      <c r="CQ20" s="44">
        <v>10</v>
      </c>
      <c r="CR20" s="43" t="str">
        <f t="shared" si="19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20"/>
        <v/>
      </c>
      <c r="CY20" s="43" t="str">
        <f t="shared" si="21"/>
        <v/>
      </c>
      <c r="CZ20" s="43" t="str">
        <f t="shared" si="22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3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4"/>
        <v/>
      </c>
      <c r="DG20" s="43" t="str">
        <f t="shared" si="25"/>
        <v/>
      </c>
      <c r="DH20" s="57"/>
      <c r="DI20" s="43" t="str">
        <f t="shared" ca="1" si="26"/>
        <v/>
      </c>
      <c r="DJ20" s="43" t="str">
        <f t="shared" si="27"/>
        <v/>
      </c>
      <c r="DK20" s="43" t="str">
        <f t="shared" si="28"/>
        <v/>
      </c>
      <c r="DL20" s="57"/>
      <c r="DM20" s="43" t="str">
        <f t="shared" ca="1" si="29"/>
        <v/>
      </c>
      <c r="DN20" s="43" t="str">
        <f t="shared" si="30"/>
        <v/>
      </c>
      <c r="DO20" s="43" t="str">
        <f t="shared" si="31"/>
        <v/>
      </c>
      <c r="DP20" s="57"/>
      <c r="DQ20" s="43" t="str">
        <f t="shared" ca="1" si="32"/>
        <v/>
      </c>
      <c r="DR20" s="43" t="str">
        <f t="shared" si="33"/>
        <v/>
      </c>
      <c r="DS20" s="43" t="str">
        <f t="shared" si="34"/>
        <v/>
      </c>
      <c r="DT20" s="57"/>
      <c r="DU20" s="43" t="str">
        <f t="shared" ca="1" si="35"/>
        <v/>
      </c>
      <c r="DV20" s="43" t="str">
        <f t="shared" si="36"/>
        <v/>
      </c>
      <c r="DX20" s="44">
        <v>1</v>
      </c>
      <c r="DY20" s="44" t="s">
        <v>773</v>
      </c>
      <c r="DZ20" s="43">
        <f t="shared" si="37"/>
        <v>0.01</v>
      </c>
      <c r="EA20" s="43" t="str">
        <f t="shared" si="38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9"/>
        <v>100</v>
      </c>
      <c r="EF20" s="44">
        <v>1</v>
      </c>
      <c r="EG20" s="44">
        <v>0</v>
      </c>
      <c r="EH20" s="44" t="s">
        <v>875</v>
      </c>
      <c r="EI20" s="45">
        <v>0</v>
      </c>
      <c r="EJ20" s="43">
        <f t="shared" si="40"/>
        <v>5000</v>
      </c>
      <c r="EK20" s="69"/>
    </row>
    <row r="21" spans="1:141" x14ac:dyDescent="0.2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IF(IFERROR(INDEX(Consulta!$A:$DP,MATCH('MM01'!$B21,Consulta!$C:$C,0),'MM01'!D$2),"")=0,"",IFERROR(INDEX(Consulta!$A:$DP,MATCH('MM01'!$B21,Consulta!$C:$C,0),'MM01'!D$2),""))</f>
        <v/>
      </c>
      <c r="E21" s="43" t="str">
        <f>IF(IFERROR(INDEX(Consulta!$A:$DP,MATCH('MM01'!$B21,Consulta!$C:$C,0),'MM01'!E$2),"")=0,"",IFERROR(INDEX(Consulta!$A:$DP,MATCH('MM01'!$B21,Consulta!$C:$C,0),'MM01'!E$2),""))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795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>
        <v>99</v>
      </c>
      <c r="BN21" s="46" t="str">
        <f t="shared" ca="1" si="13"/>
        <v>28.04.2022</v>
      </c>
      <c r="BO21" s="49" t="str">
        <f t="shared" si="14"/>
        <v/>
      </c>
      <c r="BP21" s="50">
        <v>1</v>
      </c>
      <c r="BQ21" s="50" t="s">
        <v>194</v>
      </c>
      <c r="BR21" s="79" t="str">
        <f t="shared" si="15"/>
        <v>01</v>
      </c>
      <c r="BS21" s="50" t="s">
        <v>795</v>
      </c>
      <c r="BT21" s="44">
        <v>1</v>
      </c>
      <c r="BU21" s="44" t="s">
        <v>371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391</v>
      </c>
      <c r="BZ21" s="50">
        <v>0</v>
      </c>
      <c r="CA21" s="45" t="s">
        <v>402</v>
      </c>
      <c r="CB21" s="45" t="s">
        <v>84</v>
      </c>
      <c r="CC21" s="43" t="str">
        <f t="shared" si="16"/>
        <v/>
      </c>
      <c r="CD21" s="45" t="s">
        <v>38</v>
      </c>
      <c r="CE21" s="45">
        <v>1</v>
      </c>
      <c r="CF21" s="45" t="s">
        <v>495</v>
      </c>
      <c r="CG21" s="45"/>
      <c r="CH21" s="44">
        <v>2</v>
      </c>
      <c r="CI21" s="49" t="str">
        <f t="shared" si="17"/>
        <v/>
      </c>
      <c r="CJ21" s="49" t="str">
        <f t="shared" si="18"/>
        <v/>
      </c>
      <c r="CK21" s="45"/>
      <c r="CL21" s="44">
        <v>1</v>
      </c>
      <c r="CM21" s="50" t="s">
        <v>514</v>
      </c>
      <c r="CN21" s="44" t="s">
        <v>371</v>
      </c>
      <c r="CO21" s="44">
        <v>2</v>
      </c>
      <c r="CP21" s="44">
        <v>42</v>
      </c>
      <c r="CQ21" s="44">
        <v>10</v>
      </c>
      <c r="CR21" s="43" t="str">
        <f t="shared" si="19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20"/>
        <v/>
      </c>
      <c r="CY21" s="43" t="str">
        <f t="shared" si="21"/>
        <v/>
      </c>
      <c r="CZ21" s="43" t="str">
        <f t="shared" si="22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3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4"/>
        <v/>
      </c>
      <c r="DG21" s="43" t="str">
        <f t="shared" si="25"/>
        <v/>
      </c>
      <c r="DH21" s="57"/>
      <c r="DI21" s="43" t="str">
        <f t="shared" ca="1" si="26"/>
        <v/>
      </c>
      <c r="DJ21" s="43" t="str">
        <f t="shared" si="27"/>
        <v/>
      </c>
      <c r="DK21" s="43" t="str">
        <f t="shared" si="28"/>
        <v/>
      </c>
      <c r="DL21" s="57"/>
      <c r="DM21" s="43" t="str">
        <f t="shared" ca="1" si="29"/>
        <v/>
      </c>
      <c r="DN21" s="43" t="str">
        <f t="shared" si="30"/>
        <v/>
      </c>
      <c r="DO21" s="43" t="str">
        <f t="shared" si="31"/>
        <v/>
      </c>
      <c r="DP21" s="57"/>
      <c r="DQ21" s="43" t="str">
        <f t="shared" ca="1" si="32"/>
        <v/>
      </c>
      <c r="DR21" s="43" t="str">
        <f t="shared" si="33"/>
        <v/>
      </c>
      <c r="DS21" s="43" t="str">
        <f t="shared" si="34"/>
        <v/>
      </c>
      <c r="DT21" s="57"/>
      <c r="DU21" s="43" t="str">
        <f t="shared" ca="1" si="35"/>
        <v/>
      </c>
      <c r="DV21" s="43" t="str">
        <f t="shared" si="36"/>
        <v/>
      </c>
      <c r="DX21" s="44">
        <v>1</v>
      </c>
      <c r="DY21" s="44" t="s">
        <v>773</v>
      </c>
      <c r="DZ21" s="43">
        <f t="shared" si="37"/>
        <v>0.01</v>
      </c>
      <c r="EA21" s="43" t="str">
        <f t="shared" si="38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9"/>
        <v>100</v>
      </c>
      <c r="EF21" s="44">
        <v>1</v>
      </c>
      <c r="EG21" s="44">
        <v>0</v>
      </c>
      <c r="EH21" s="44" t="s">
        <v>875</v>
      </c>
      <c r="EI21" s="45">
        <v>0</v>
      </c>
      <c r="EJ21" s="43">
        <f t="shared" si="40"/>
        <v>5000</v>
      </c>
      <c r="EK21" s="69"/>
    </row>
    <row r="22" spans="1:141" x14ac:dyDescent="0.2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IF(IFERROR(INDEX(Consulta!$A:$DP,MATCH('MM01'!$B22,Consulta!$C:$C,0),'MM01'!D$2),"")=0,"",IFERROR(INDEX(Consulta!$A:$DP,MATCH('MM01'!$B22,Consulta!$C:$C,0),'MM01'!D$2),""))</f>
        <v/>
      </c>
      <c r="E22" s="43" t="str">
        <f>IF(IFERROR(INDEX(Consulta!$A:$DP,MATCH('MM01'!$B22,Consulta!$C:$C,0),'MM01'!E$2),"")=0,"",IFERROR(INDEX(Consulta!$A:$DP,MATCH('MM01'!$B22,Consulta!$C:$C,0),'MM01'!E$2),""))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795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>
        <v>99</v>
      </c>
      <c r="BN22" s="46" t="str">
        <f t="shared" ca="1" si="13"/>
        <v>28.04.2022</v>
      </c>
      <c r="BO22" s="49" t="str">
        <f t="shared" si="14"/>
        <v/>
      </c>
      <c r="BP22" s="50">
        <v>1</v>
      </c>
      <c r="BQ22" s="50" t="s">
        <v>194</v>
      </c>
      <c r="BR22" s="79" t="str">
        <f t="shared" si="15"/>
        <v>01</v>
      </c>
      <c r="BS22" s="50" t="s">
        <v>795</v>
      </c>
      <c r="BT22" s="44">
        <v>1</v>
      </c>
      <c r="BU22" s="44" t="s">
        <v>371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391</v>
      </c>
      <c r="BZ22" s="50">
        <v>0</v>
      </c>
      <c r="CA22" s="45" t="s">
        <v>402</v>
      </c>
      <c r="CB22" s="45" t="s">
        <v>84</v>
      </c>
      <c r="CC22" s="43" t="str">
        <f t="shared" si="16"/>
        <v/>
      </c>
      <c r="CD22" s="45" t="s">
        <v>38</v>
      </c>
      <c r="CE22" s="45">
        <v>1</v>
      </c>
      <c r="CF22" s="45" t="s">
        <v>495</v>
      </c>
      <c r="CG22" s="45"/>
      <c r="CH22" s="44">
        <v>2</v>
      </c>
      <c r="CI22" s="49" t="str">
        <f t="shared" si="17"/>
        <v/>
      </c>
      <c r="CJ22" s="49" t="str">
        <f t="shared" si="18"/>
        <v/>
      </c>
      <c r="CK22" s="45"/>
      <c r="CL22" s="44">
        <v>1</v>
      </c>
      <c r="CM22" s="50" t="s">
        <v>514</v>
      </c>
      <c r="CN22" s="44" t="s">
        <v>371</v>
      </c>
      <c r="CO22" s="44">
        <v>2</v>
      </c>
      <c r="CP22" s="44">
        <v>42</v>
      </c>
      <c r="CQ22" s="44">
        <v>10</v>
      </c>
      <c r="CR22" s="43" t="str">
        <f t="shared" si="19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20"/>
        <v/>
      </c>
      <c r="CY22" s="43" t="str">
        <f t="shared" si="21"/>
        <v/>
      </c>
      <c r="CZ22" s="43" t="str">
        <f t="shared" si="22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3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4"/>
        <v/>
      </c>
      <c r="DG22" s="43" t="str">
        <f t="shared" si="25"/>
        <v/>
      </c>
      <c r="DH22" s="57"/>
      <c r="DI22" s="43" t="str">
        <f t="shared" ca="1" si="26"/>
        <v/>
      </c>
      <c r="DJ22" s="43" t="str">
        <f t="shared" si="27"/>
        <v/>
      </c>
      <c r="DK22" s="43" t="str">
        <f t="shared" si="28"/>
        <v/>
      </c>
      <c r="DL22" s="57"/>
      <c r="DM22" s="43" t="str">
        <f t="shared" ca="1" si="29"/>
        <v/>
      </c>
      <c r="DN22" s="43" t="str">
        <f t="shared" si="30"/>
        <v/>
      </c>
      <c r="DO22" s="43" t="str">
        <f t="shared" si="31"/>
        <v/>
      </c>
      <c r="DP22" s="57"/>
      <c r="DQ22" s="43" t="str">
        <f t="shared" ca="1" si="32"/>
        <v/>
      </c>
      <c r="DR22" s="43" t="str">
        <f t="shared" si="33"/>
        <v/>
      </c>
      <c r="DS22" s="43" t="str">
        <f t="shared" si="34"/>
        <v/>
      </c>
      <c r="DT22" s="57"/>
      <c r="DU22" s="43" t="str">
        <f t="shared" ca="1" si="35"/>
        <v/>
      </c>
      <c r="DV22" s="43" t="str">
        <f t="shared" si="36"/>
        <v/>
      </c>
      <c r="DX22" s="44">
        <v>1</v>
      </c>
      <c r="DY22" s="44" t="s">
        <v>773</v>
      </c>
      <c r="DZ22" s="43">
        <f t="shared" si="37"/>
        <v>0.01</v>
      </c>
      <c r="EA22" s="43" t="str">
        <f t="shared" si="38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9"/>
        <v>100</v>
      </c>
      <c r="EF22" s="44">
        <v>1</v>
      </c>
      <c r="EG22" s="44">
        <v>0</v>
      </c>
      <c r="EH22" s="44" t="s">
        <v>875</v>
      </c>
      <c r="EI22" s="45">
        <v>0</v>
      </c>
      <c r="EJ22" s="43">
        <f t="shared" si="40"/>
        <v>5000</v>
      </c>
      <c r="EK22" s="69"/>
    </row>
    <row r="23" spans="1:141" x14ac:dyDescent="0.2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IF(IFERROR(INDEX(Consulta!$A:$DP,MATCH('MM01'!$B23,Consulta!$C:$C,0),'MM01'!D$2),"")=0,"",IFERROR(INDEX(Consulta!$A:$DP,MATCH('MM01'!$B23,Consulta!$C:$C,0),'MM01'!D$2),""))</f>
        <v/>
      </c>
      <c r="E23" s="43" t="str">
        <f>IF(IFERROR(INDEX(Consulta!$A:$DP,MATCH('MM01'!$B23,Consulta!$C:$C,0),'MM01'!E$2),"")=0,"",IFERROR(INDEX(Consulta!$A:$DP,MATCH('MM01'!$B23,Consulta!$C:$C,0),'MM01'!E$2),""))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795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>
        <v>99</v>
      </c>
      <c r="BN23" s="46" t="str">
        <f t="shared" ca="1" si="13"/>
        <v>28.04.2022</v>
      </c>
      <c r="BO23" s="49" t="str">
        <f t="shared" si="14"/>
        <v/>
      </c>
      <c r="BP23" s="50">
        <v>1</v>
      </c>
      <c r="BQ23" s="50" t="s">
        <v>194</v>
      </c>
      <c r="BR23" s="79" t="str">
        <f t="shared" si="15"/>
        <v>01</v>
      </c>
      <c r="BS23" s="50" t="s">
        <v>795</v>
      </c>
      <c r="BT23" s="44">
        <v>1</v>
      </c>
      <c r="BU23" s="44" t="s">
        <v>371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391</v>
      </c>
      <c r="BZ23" s="50">
        <v>0</v>
      </c>
      <c r="CA23" s="45" t="s">
        <v>402</v>
      </c>
      <c r="CB23" s="45" t="s">
        <v>84</v>
      </c>
      <c r="CC23" s="43" t="str">
        <f t="shared" si="16"/>
        <v/>
      </c>
      <c r="CD23" s="45" t="s">
        <v>38</v>
      </c>
      <c r="CE23" s="45">
        <v>1</v>
      </c>
      <c r="CF23" s="45" t="s">
        <v>495</v>
      </c>
      <c r="CG23" s="45"/>
      <c r="CH23" s="44">
        <v>2</v>
      </c>
      <c r="CI23" s="49" t="str">
        <f t="shared" si="17"/>
        <v/>
      </c>
      <c r="CJ23" s="49" t="str">
        <f t="shared" si="18"/>
        <v/>
      </c>
      <c r="CK23" s="45"/>
      <c r="CL23" s="44">
        <v>1</v>
      </c>
      <c r="CM23" s="50" t="s">
        <v>514</v>
      </c>
      <c r="CN23" s="44" t="s">
        <v>371</v>
      </c>
      <c r="CO23" s="44">
        <v>2</v>
      </c>
      <c r="CP23" s="44">
        <v>42</v>
      </c>
      <c r="CQ23" s="44">
        <v>10</v>
      </c>
      <c r="CR23" s="43" t="str">
        <f t="shared" si="19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20"/>
        <v/>
      </c>
      <c r="CY23" s="43" t="str">
        <f t="shared" si="21"/>
        <v/>
      </c>
      <c r="CZ23" s="43" t="str">
        <f t="shared" si="22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3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4"/>
        <v/>
      </c>
      <c r="DG23" s="43" t="str">
        <f t="shared" si="25"/>
        <v/>
      </c>
      <c r="DH23" s="57"/>
      <c r="DI23" s="43" t="str">
        <f t="shared" ca="1" si="26"/>
        <v/>
      </c>
      <c r="DJ23" s="43" t="str">
        <f t="shared" si="27"/>
        <v/>
      </c>
      <c r="DK23" s="43" t="str">
        <f t="shared" si="28"/>
        <v/>
      </c>
      <c r="DL23" s="57"/>
      <c r="DM23" s="43" t="str">
        <f t="shared" ca="1" si="29"/>
        <v/>
      </c>
      <c r="DN23" s="43" t="str">
        <f t="shared" si="30"/>
        <v/>
      </c>
      <c r="DO23" s="43" t="str">
        <f t="shared" si="31"/>
        <v/>
      </c>
      <c r="DP23" s="57"/>
      <c r="DQ23" s="43" t="str">
        <f t="shared" ca="1" si="32"/>
        <v/>
      </c>
      <c r="DR23" s="43" t="str">
        <f t="shared" si="33"/>
        <v/>
      </c>
      <c r="DS23" s="43" t="str">
        <f t="shared" si="34"/>
        <v/>
      </c>
      <c r="DT23" s="57"/>
      <c r="DU23" s="43" t="str">
        <f t="shared" ca="1" si="35"/>
        <v/>
      </c>
      <c r="DV23" s="43" t="str">
        <f t="shared" si="36"/>
        <v/>
      </c>
      <c r="DX23" s="44">
        <v>1</v>
      </c>
      <c r="DY23" s="44" t="s">
        <v>773</v>
      </c>
      <c r="DZ23" s="43">
        <f t="shared" si="37"/>
        <v>0.01</v>
      </c>
      <c r="EA23" s="43" t="str">
        <f t="shared" si="38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9"/>
        <v>100</v>
      </c>
      <c r="EF23" s="44">
        <v>1</v>
      </c>
      <c r="EG23" s="44">
        <v>0</v>
      </c>
      <c r="EH23" s="44" t="s">
        <v>875</v>
      </c>
      <c r="EI23" s="45">
        <v>0</v>
      </c>
      <c r="EJ23" s="43">
        <f t="shared" si="40"/>
        <v>5000</v>
      </c>
      <c r="EK23" s="69"/>
    </row>
    <row r="24" spans="1:141" x14ac:dyDescent="0.2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IF(IFERROR(INDEX(Consulta!$A:$DP,MATCH('MM01'!$B24,Consulta!$C:$C,0),'MM01'!D$2),"")=0,"",IFERROR(INDEX(Consulta!$A:$DP,MATCH('MM01'!$B24,Consulta!$C:$C,0),'MM01'!D$2),""))</f>
        <v/>
      </c>
      <c r="E24" s="43" t="str">
        <f>IF(IFERROR(INDEX(Consulta!$A:$DP,MATCH('MM01'!$B24,Consulta!$C:$C,0),'MM01'!E$2),"")=0,"",IFERROR(INDEX(Consulta!$A:$DP,MATCH('MM01'!$B24,Consulta!$C:$C,0),'MM01'!E$2),""))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795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>
        <v>99</v>
      </c>
      <c r="BN24" s="46" t="str">
        <f t="shared" ca="1" si="13"/>
        <v>28.04.2022</v>
      </c>
      <c r="BO24" s="49" t="str">
        <f t="shared" si="14"/>
        <v/>
      </c>
      <c r="BP24" s="50">
        <v>1</v>
      </c>
      <c r="BQ24" s="50" t="s">
        <v>194</v>
      </c>
      <c r="BR24" s="79" t="str">
        <f t="shared" si="15"/>
        <v>01</v>
      </c>
      <c r="BS24" s="50" t="s">
        <v>795</v>
      </c>
      <c r="BT24" s="44">
        <v>1</v>
      </c>
      <c r="BU24" s="44" t="s">
        <v>371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391</v>
      </c>
      <c r="BZ24" s="50">
        <v>0</v>
      </c>
      <c r="CA24" s="45" t="s">
        <v>402</v>
      </c>
      <c r="CB24" s="45" t="s">
        <v>84</v>
      </c>
      <c r="CC24" s="43" t="str">
        <f t="shared" si="16"/>
        <v/>
      </c>
      <c r="CD24" s="45" t="s">
        <v>38</v>
      </c>
      <c r="CE24" s="45">
        <v>1</v>
      </c>
      <c r="CF24" s="45" t="s">
        <v>495</v>
      </c>
      <c r="CG24" s="45"/>
      <c r="CH24" s="44">
        <v>2</v>
      </c>
      <c r="CI24" s="49" t="str">
        <f t="shared" si="17"/>
        <v/>
      </c>
      <c r="CJ24" s="49" t="str">
        <f t="shared" si="18"/>
        <v/>
      </c>
      <c r="CK24" s="45"/>
      <c r="CL24" s="44">
        <v>1</v>
      </c>
      <c r="CM24" s="50" t="s">
        <v>514</v>
      </c>
      <c r="CN24" s="44" t="s">
        <v>371</v>
      </c>
      <c r="CO24" s="44">
        <v>2</v>
      </c>
      <c r="CP24" s="44">
        <v>42</v>
      </c>
      <c r="CQ24" s="44">
        <v>10</v>
      </c>
      <c r="CR24" s="43" t="str">
        <f t="shared" si="19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20"/>
        <v/>
      </c>
      <c r="CY24" s="43" t="str">
        <f t="shared" si="21"/>
        <v/>
      </c>
      <c r="CZ24" s="43" t="str">
        <f t="shared" si="22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3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4"/>
        <v/>
      </c>
      <c r="DG24" s="43" t="str">
        <f t="shared" si="25"/>
        <v/>
      </c>
      <c r="DH24" s="57"/>
      <c r="DI24" s="43" t="str">
        <f t="shared" ca="1" si="26"/>
        <v/>
      </c>
      <c r="DJ24" s="43" t="str">
        <f t="shared" si="27"/>
        <v/>
      </c>
      <c r="DK24" s="43" t="str">
        <f t="shared" si="28"/>
        <v/>
      </c>
      <c r="DL24" s="57"/>
      <c r="DM24" s="43" t="str">
        <f t="shared" ca="1" si="29"/>
        <v/>
      </c>
      <c r="DN24" s="43" t="str">
        <f t="shared" si="30"/>
        <v/>
      </c>
      <c r="DO24" s="43" t="str">
        <f t="shared" si="31"/>
        <v/>
      </c>
      <c r="DP24" s="57"/>
      <c r="DQ24" s="43" t="str">
        <f t="shared" ca="1" si="32"/>
        <v/>
      </c>
      <c r="DR24" s="43" t="str">
        <f t="shared" si="33"/>
        <v/>
      </c>
      <c r="DS24" s="43" t="str">
        <f t="shared" si="34"/>
        <v/>
      </c>
      <c r="DT24" s="57"/>
      <c r="DU24" s="43" t="str">
        <f t="shared" ca="1" si="35"/>
        <v/>
      </c>
      <c r="DV24" s="43" t="str">
        <f t="shared" si="36"/>
        <v/>
      </c>
      <c r="DX24" s="44">
        <v>1</v>
      </c>
      <c r="DY24" s="44" t="s">
        <v>773</v>
      </c>
      <c r="DZ24" s="43">
        <f t="shared" si="37"/>
        <v>0.01</v>
      </c>
      <c r="EA24" s="43" t="str">
        <f t="shared" si="38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9"/>
        <v>100</v>
      </c>
      <c r="EF24" s="44">
        <v>1</v>
      </c>
      <c r="EG24" s="44">
        <v>0</v>
      </c>
      <c r="EH24" s="44" t="s">
        <v>875</v>
      </c>
      <c r="EI24" s="45">
        <v>0</v>
      </c>
      <c r="EJ24" s="43">
        <f t="shared" si="40"/>
        <v>5000</v>
      </c>
      <c r="EK24" s="69"/>
    </row>
    <row r="25" spans="1:141" x14ac:dyDescent="0.2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IF(IFERROR(INDEX(Consulta!$A:$DP,MATCH('MM01'!$B25,Consulta!$C:$C,0),'MM01'!D$2),"")=0,"",IFERROR(INDEX(Consulta!$A:$DP,MATCH('MM01'!$B25,Consulta!$C:$C,0),'MM01'!D$2),""))</f>
        <v/>
      </c>
      <c r="E25" s="43" t="str">
        <f>IF(IFERROR(INDEX(Consulta!$A:$DP,MATCH('MM01'!$B25,Consulta!$C:$C,0),'MM01'!E$2),"")=0,"",IFERROR(INDEX(Consulta!$A:$DP,MATCH('MM01'!$B25,Consulta!$C:$C,0),'MM01'!E$2),""))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795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>
        <v>99</v>
      </c>
      <c r="BN25" s="46" t="str">
        <f t="shared" ca="1" si="13"/>
        <v>28.04.2022</v>
      </c>
      <c r="BO25" s="49" t="str">
        <f t="shared" si="14"/>
        <v/>
      </c>
      <c r="BP25" s="50">
        <v>1</v>
      </c>
      <c r="BQ25" s="50" t="s">
        <v>194</v>
      </c>
      <c r="BR25" s="79" t="str">
        <f t="shared" si="15"/>
        <v>01</v>
      </c>
      <c r="BS25" s="50" t="s">
        <v>795</v>
      </c>
      <c r="BT25" s="44">
        <v>1</v>
      </c>
      <c r="BU25" s="44" t="s">
        <v>371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391</v>
      </c>
      <c r="BZ25" s="50">
        <v>0</v>
      </c>
      <c r="CA25" s="45" t="s">
        <v>402</v>
      </c>
      <c r="CB25" s="45" t="s">
        <v>84</v>
      </c>
      <c r="CC25" s="43" t="str">
        <f t="shared" si="16"/>
        <v/>
      </c>
      <c r="CD25" s="45" t="s">
        <v>38</v>
      </c>
      <c r="CE25" s="45">
        <v>1</v>
      </c>
      <c r="CF25" s="45" t="s">
        <v>495</v>
      </c>
      <c r="CG25" s="45"/>
      <c r="CH25" s="44">
        <v>2</v>
      </c>
      <c r="CI25" s="49" t="str">
        <f t="shared" si="17"/>
        <v/>
      </c>
      <c r="CJ25" s="49" t="str">
        <f t="shared" si="18"/>
        <v/>
      </c>
      <c r="CK25" s="45"/>
      <c r="CL25" s="44">
        <v>1</v>
      </c>
      <c r="CM25" s="50" t="s">
        <v>514</v>
      </c>
      <c r="CN25" s="44" t="s">
        <v>371</v>
      </c>
      <c r="CO25" s="44">
        <v>2</v>
      </c>
      <c r="CP25" s="44">
        <v>42</v>
      </c>
      <c r="CQ25" s="44">
        <v>10</v>
      </c>
      <c r="CR25" s="43" t="str">
        <f t="shared" si="19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20"/>
        <v/>
      </c>
      <c r="CY25" s="43" t="str">
        <f t="shared" si="21"/>
        <v/>
      </c>
      <c r="CZ25" s="43" t="str">
        <f t="shared" si="22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3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4"/>
        <v/>
      </c>
      <c r="DG25" s="43" t="str">
        <f t="shared" si="25"/>
        <v/>
      </c>
      <c r="DH25" s="57"/>
      <c r="DI25" s="43" t="str">
        <f t="shared" ca="1" si="26"/>
        <v/>
      </c>
      <c r="DJ25" s="43" t="str">
        <f t="shared" si="27"/>
        <v/>
      </c>
      <c r="DK25" s="43" t="str">
        <f t="shared" si="28"/>
        <v/>
      </c>
      <c r="DL25" s="57"/>
      <c r="DM25" s="43" t="str">
        <f t="shared" ca="1" si="29"/>
        <v/>
      </c>
      <c r="DN25" s="43" t="str">
        <f t="shared" si="30"/>
        <v/>
      </c>
      <c r="DO25" s="43" t="str">
        <f t="shared" si="31"/>
        <v/>
      </c>
      <c r="DP25" s="57"/>
      <c r="DQ25" s="43" t="str">
        <f t="shared" ca="1" si="32"/>
        <v/>
      </c>
      <c r="DR25" s="43" t="str">
        <f t="shared" si="33"/>
        <v/>
      </c>
      <c r="DS25" s="43" t="str">
        <f t="shared" si="34"/>
        <v/>
      </c>
      <c r="DT25" s="57"/>
      <c r="DU25" s="43" t="str">
        <f t="shared" ca="1" si="35"/>
        <v/>
      </c>
      <c r="DV25" s="43" t="str">
        <f t="shared" si="36"/>
        <v/>
      </c>
      <c r="DX25" s="44">
        <v>1</v>
      </c>
      <c r="DY25" s="44" t="s">
        <v>773</v>
      </c>
      <c r="DZ25" s="43">
        <f t="shared" si="37"/>
        <v>0.01</v>
      </c>
      <c r="EA25" s="43" t="str">
        <f t="shared" si="38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9"/>
        <v>100</v>
      </c>
      <c r="EF25" s="44">
        <v>1</v>
      </c>
      <c r="EG25" s="44">
        <v>0</v>
      </c>
      <c r="EH25" s="44" t="s">
        <v>875</v>
      </c>
      <c r="EI25" s="45">
        <v>0</v>
      </c>
      <c r="EJ25" s="43">
        <f t="shared" si="40"/>
        <v>5000</v>
      </c>
      <c r="EK25" s="69"/>
    </row>
    <row r="26" spans="1:141" x14ac:dyDescent="0.2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IF(IFERROR(INDEX(Consulta!$A:$DP,MATCH('MM01'!$B26,Consulta!$C:$C,0),'MM01'!D$2),"")=0,"",IFERROR(INDEX(Consulta!$A:$DP,MATCH('MM01'!$B26,Consulta!$C:$C,0),'MM01'!D$2),""))</f>
        <v/>
      </c>
      <c r="E26" s="43" t="str">
        <f>IF(IFERROR(INDEX(Consulta!$A:$DP,MATCH('MM01'!$B26,Consulta!$C:$C,0),'MM01'!E$2),"")=0,"",IFERROR(INDEX(Consulta!$A:$DP,MATCH('MM01'!$B26,Consulta!$C:$C,0),'MM01'!E$2),""))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795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>
        <v>99</v>
      </c>
      <c r="BN26" s="46" t="str">
        <f t="shared" ca="1" si="13"/>
        <v>28.04.2022</v>
      </c>
      <c r="BO26" s="49" t="str">
        <f t="shared" si="14"/>
        <v/>
      </c>
      <c r="BP26" s="50">
        <v>1</v>
      </c>
      <c r="BQ26" s="50" t="s">
        <v>194</v>
      </c>
      <c r="BR26" s="79" t="str">
        <f t="shared" si="15"/>
        <v>01</v>
      </c>
      <c r="BS26" s="50" t="s">
        <v>795</v>
      </c>
      <c r="BT26" s="44">
        <v>1</v>
      </c>
      <c r="BU26" s="44" t="s">
        <v>371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391</v>
      </c>
      <c r="BZ26" s="50">
        <v>0</v>
      </c>
      <c r="CA26" s="45" t="s">
        <v>402</v>
      </c>
      <c r="CB26" s="45" t="s">
        <v>84</v>
      </c>
      <c r="CC26" s="43" t="str">
        <f t="shared" si="16"/>
        <v/>
      </c>
      <c r="CD26" s="45" t="s">
        <v>38</v>
      </c>
      <c r="CE26" s="45">
        <v>1</v>
      </c>
      <c r="CF26" s="45" t="s">
        <v>495</v>
      </c>
      <c r="CG26" s="45"/>
      <c r="CH26" s="44">
        <v>2</v>
      </c>
      <c r="CI26" s="49" t="str">
        <f t="shared" si="17"/>
        <v/>
      </c>
      <c r="CJ26" s="49" t="str">
        <f t="shared" si="18"/>
        <v/>
      </c>
      <c r="CK26" s="45"/>
      <c r="CL26" s="44">
        <v>1</v>
      </c>
      <c r="CM26" s="50" t="s">
        <v>514</v>
      </c>
      <c r="CN26" s="44" t="s">
        <v>371</v>
      </c>
      <c r="CO26" s="44">
        <v>2</v>
      </c>
      <c r="CP26" s="44">
        <v>42</v>
      </c>
      <c r="CQ26" s="44">
        <v>10</v>
      </c>
      <c r="CR26" s="43" t="str">
        <f t="shared" si="19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20"/>
        <v/>
      </c>
      <c r="CY26" s="43" t="str">
        <f t="shared" si="21"/>
        <v/>
      </c>
      <c r="CZ26" s="43" t="str">
        <f t="shared" si="22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3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4"/>
        <v/>
      </c>
      <c r="DG26" s="43" t="str">
        <f t="shared" si="25"/>
        <v/>
      </c>
      <c r="DH26" s="57"/>
      <c r="DI26" s="43" t="str">
        <f t="shared" ca="1" si="26"/>
        <v/>
      </c>
      <c r="DJ26" s="43" t="str">
        <f t="shared" si="27"/>
        <v/>
      </c>
      <c r="DK26" s="43" t="str">
        <f t="shared" si="28"/>
        <v/>
      </c>
      <c r="DL26" s="57"/>
      <c r="DM26" s="43" t="str">
        <f t="shared" ca="1" si="29"/>
        <v/>
      </c>
      <c r="DN26" s="43" t="str">
        <f t="shared" si="30"/>
        <v/>
      </c>
      <c r="DO26" s="43" t="str">
        <f t="shared" si="31"/>
        <v/>
      </c>
      <c r="DP26" s="57"/>
      <c r="DQ26" s="43" t="str">
        <f t="shared" ca="1" si="32"/>
        <v/>
      </c>
      <c r="DR26" s="43" t="str">
        <f t="shared" si="33"/>
        <v/>
      </c>
      <c r="DS26" s="43" t="str">
        <f t="shared" si="34"/>
        <v/>
      </c>
      <c r="DT26" s="57"/>
      <c r="DU26" s="43" t="str">
        <f t="shared" ca="1" si="35"/>
        <v/>
      </c>
      <c r="DV26" s="43" t="str">
        <f t="shared" si="36"/>
        <v/>
      </c>
      <c r="DX26" s="44">
        <v>1</v>
      </c>
      <c r="DY26" s="44" t="s">
        <v>773</v>
      </c>
      <c r="DZ26" s="43">
        <f t="shared" si="37"/>
        <v>0.01</v>
      </c>
      <c r="EA26" s="43" t="str">
        <f t="shared" si="38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9"/>
        <v>100</v>
      </c>
      <c r="EF26" s="44">
        <v>1</v>
      </c>
      <c r="EG26" s="44">
        <v>0</v>
      </c>
      <c r="EH26" s="44" t="s">
        <v>875</v>
      </c>
      <c r="EI26" s="45">
        <v>0</v>
      </c>
      <c r="EJ26" s="43">
        <f t="shared" si="40"/>
        <v>5000</v>
      </c>
      <c r="EK26" s="69"/>
    </row>
    <row r="27" spans="1:141" x14ac:dyDescent="0.2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IF(IFERROR(INDEX(Consulta!$A:$DP,MATCH('MM01'!$B27,Consulta!$C:$C,0),'MM01'!D$2),"")=0,"",IFERROR(INDEX(Consulta!$A:$DP,MATCH('MM01'!$B27,Consulta!$C:$C,0),'MM01'!D$2),""))</f>
        <v/>
      </c>
      <c r="E27" s="43" t="str">
        <f>IF(IFERROR(INDEX(Consulta!$A:$DP,MATCH('MM01'!$B27,Consulta!$C:$C,0),'MM01'!E$2),"")=0,"",IFERROR(INDEX(Consulta!$A:$DP,MATCH('MM01'!$B27,Consulta!$C:$C,0),'MM01'!E$2),""))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795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>
        <v>99</v>
      </c>
      <c r="BN27" s="46" t="str">
        <f t="shared" ca="1" si="13"/>
        <v>28.04.2022</v>
      </c>
      <c r="BO27" s="49" t="str">
        <f t="shared" si="14"/>
        <v/>
      </c>
      <c r="BP27" s="50">
        <v>1</v>
      </c>
      <c r="BQ27" s="50" t="s">
        <v>194</v>
      </c>
      <c r="BR27" s="79" t="str">
        <f t="shared" si="15"/>
        <v>01</v>
      </c>
      <c r="BS27" s="50" t="s">
        <v>795</v>
      </c>
      <c r="BT27" s="44">
        <v>1</v>
      </c>
      <c r="BU27" s="44" t="s">
        <v>371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391</v>
      </c>
      <c r="BZ27" s="50">
        <v>0</v>
      </c>
      <c r="CA27" s="45" t="s">
        <v>402</v>
      </c>
      <c r="CB27" s="45" t="s">
        <v>84</v>
      </c>
      <c r="CC27" s="43" t="str">
        <f t="shared" si="16"/>
        <v/>
      </c>
      <c r="CD27" s="45" t="s">
        <v>38</v>
      </c>
      <c r="CE27" s="45">
        <v>1</v>
      </c>
      <c r="CF27" s="45" t="s">
        <v>495</v>
      </c>
      <c r="CG27" s="45"/>
      <c r="CH27" s="44">
        <v>2</v>
      </c>
      <c r="CI27" s="49" t="str">
        <f t="shared" si="17"/>
        <v/>
      </c>
      <c r="CJ27" s="49" t="str">
        <f t="shared" si="18"/>
        <v/>
      </c>
      <c r="CK27" s="45"/>
      <c r="CL27" s="44">
        <v>1</v>
      </c>
      <c r="CM27" s="50" t="s">
        <v>514</v>
      </c>
      <c r="CN27" s="44" t="s">
        <v>371</v>
      </c>
      <c r="CO27" s="44">
        <v>2</v>
      </c>
      <c r="CP27" s="44">
        <v>42</v>
      </c>
      <c r="CQ27" s="44">
        <v>10</v>
      </c>
      <c r="CR27" s="43" t="str">
        <f t="shared" si="19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20"/>
        <v/>
      </c>
      <c r="CY27" s="43" t="str">
        <f t="shared" si="21"/>
        <v/>
      </c>
      <c r="CZ27" s="43" t="str">
        <f t="shared" si="22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3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4"/>
        <v/>
      </c>
      <c r="DG27" s="43" t="str">
        <f t="shared" si="25"/>
        <v/>
      </c>
      <c r="DH27" s="57"/>
      <c r="DI27" s="43" t="str">
        <f t="shared" ca="1" si="26"/>
        <v/>
      </c>
      <c r="DJ27" s="43" t="str">
        <f t="shared" si="27"/>
        <v/>
      </c>
      <c r="DK27" s="43" t="str">
        <f t="shared" si="28"/>
        <v/>
      </c>
      <c r="DL27" s="57"/>
      <c r="DM27" s="43" t="str">
        <f t="shared" ca="1" si="29"/>
        <v/>
      </c>
      <c r="DN27" s="43" t="str">
        <f t="shared" si="30"/>
        <v/>
      </c>
      <c r="DO27" s="43" t="str">
        <f t="shared" si="31"/>
        <v/>
      </c>
      <c r="DP27" s="57"/>
      <c r="DQ27" s="43" t="str">
        <f t="shared" ca="1" si="32"/>
        <v/>
      </c>
      <c r="DR27" s="43" t="str">
        <f t="shared" si="33"/>
        <v/>
      </c>
      <c r="DS27" s="43" t="str">
        <f t="shared" si="34"/>
        <v/>
      </c>
      <c r="DT27" s="57"/>
      <c r="DU27" s="43" t="str">
        <f t="shared" ca="1" si="35"/>
        <v/>
      </c>
      <c r="DV27" s="43" t="str">
        <f t="shared" si="36"/>
        <v/>
      </c>
      <c r="DX27" s="44">
        <v>1</v>
      </c>
      <c r="DY27" s="44" t="s">
        <v>773</v>
      </c>
      <c r="DZ27" s="43">
        <f t="shared" si="37"/>
        <v>0.01</v>
      </c>
      <c r="EA27" s="43" t="str">
        <f t="shared" si="38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9"/>
        <v>100</v>
      </c>
      <c r="EF27" s="44">
        <v>1</v>
      </c>
      <c r="EG27" s="44">
        <v>0</v>
      </c>
      <c r="EH27" s="44" t="s">
        <v>875</v>
      </c>
      <c r="EI27" s="45">
        <v>0</v>
      </c>
      <c r="EJ27" s="43">
        <f t="shared" si="40"/>
        <v>5000</v>
      </c>
      <c r="EK27" s="69"/>
    </row>
    <row r="28" spans="1:141" x14ac:dyDescent="0.2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IF(IFERROR(INDEX(Consulta!$A:$DP,MATCH('MM01'!$B28,Consulta!$C:$C,0),'MM01'!D$2),"")=0,"",IFERROR(INDEX(Consulta!$A:$DP,MATCH('MM01'!$B28,Consulta!$C:$C,0),'MM01'!D$2),""))</f>
        <v/>
      </c>
      <c r="E28" s="43" t="str">
        <f>IF(IFERROR(INDEX(Consulta!$A:$DP,MATCH('MM01'!$B28,Consulta!$C:$C,0),'MM01'!E$2),"")=0,"",IFERROR(INDEX(Consulta!$A:$DP,MATCH('MM01'!$B28,Consulta!$C:$C,0),'MM01'!E$2),""))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795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>
        <v>99</v>
      </c>
      <c r="BN28" s="46" t="str">
        <f t="shared" ca="1" si="13"/>
        <v>28.04.2022</v>
      </c>
      <c r="BO28" s="49" t="str">
        <f t="shared" si="14"/>
        <v/>
      </c>
      <c r="BP28" s="50">
        <v>1</v>
      </c>
      <c r="BQ28" s="50" t="s">
        <v>194</v>
      </c>
      <c r="BR28" s="79" t="str">
        <f t="shared" si="15"/>
        <v>01</v>
      </c>
      <c r="BS28" s="50" t="s">
        <v>795</v>
      </c>
      <c r="BT28" s="44">
        <v>1</v>
      </c>
      <c r="BU28" s="44" t="s">
        <v>371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391</v>
      </c>
      <c r="BZ28" s="50">
        <v>0</v>
      </c>
      <c r="CA28" s="45" t="s">
        <v>402</v>
      </c>
      <c r="CB28" s="45" t="s">
        <v>84</v>
      </c>
      <c r="CC28" s="43" t="str">
        <f t="shared" si="16"/>
        <v/>
      </c>
      <c r="CD28" s="45" t="s">
        <v>38</v>
      </c>
      <c r="CE28" s="45">
        <v>1</v>
      </c>
      <c r="CF28" s="45" t="s">
        <v>495</v>
      </c>
      <c r="CG28" s="45"/>
      <c r="CH28" s="44">
        <v>2</v>
      </c>
      <c r="CI28" s="49" t="str">
        <f t="shared" si="17"/>
        <v/>
      </c>
      <c r="CJ28" s="49" t="str">
        <f t="shared" si="18"/>
        <v/>
      </c>
      <c r="CK28" s="45"/>
      <c r="CL28" s="44">
        <v>1</v>
      </c>
      <c r="CM28" s="50" t="s">
        <v>514</v>
      </c>
      <c r="CN28" s="44" t="s">
        <v>371</v>
      </c>
      <c r="CO28" s="44">
        <v>2</v>
      </c>
      <c r="CP28" s="44">
        <v>42</v>
      </c>
      <c r="CQ28" s="44">
        <v>10</v>
      </c>
      <c r="CR28" s="43" t="str">
        <f t="shared" si="19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20"/>
        <v/>
      </c>
      <c r="CY28" s="43" t="str">
        <f t="shared" si="21"/>
        <v/>
      </c>
      <c r="CZ28" s="43" t="str">
        <f t="shared" si="22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3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4"/>
        <v/>
      </c>
      <c r="DG28" s="43" t="str">
        <f t="shared" si="25"/>
        <v/>
      </c>
      <c r="DH28" s="57"/>
      <c r="DI28" s="43" t="str">
        <f t="shared" ca="1" si="26"/>
        <v/>
      </c>
      <c r="DJ28" s="43" t="str">
        <f t="shared" si="27"/>
        <v/>
      </c>
      <c r="DK28" s="43" t="str">
        <f t="shared" si="28"/>
        <v/>
      </c>
      <c r="DL28" s="57"/>
      <c r="DM28" s="43" t="str">
        <f t="shared" ca="1" si="29"/>
        <v/>
      </c>
      <c r="DN28" s="43" t="str">
        <f t="shared" si="30"/>
        <v/>
      </c>
      <c r="DO28" s="43" t="str">
        <f t="shared" si="31"/>
        <v/>
      </c>
      <c r="DP28" s="57"/>
      <c r="DQ28" s="43" t="str">
        <f t="shared" ca="1" si="32"/>
        <v/>
      </c>
      <c r="DR28" s="43" t="str">
        <f t="shared" si="33"/>
        <v/>
      </c>
      <c r="DS28" s="43" t="str">
        <f t="shared" si="34"/>
        <v/>
      </c>
      <c r="DT28" s="57"/>
      <c r="DU28" s="43" t="str">
        <f t="shared" ca="1" si="35"/>
        <v/>
      </c>
      <c r="DV28" s="43" t="str">
        <f t="shared" si="36"/>
        <v/>
      </c>
      <c r="DX28" s="44">
        <v>1</v>
      </c>
      <c r="DY28" s="44" t="s">
        <v>773</v>
      </c>
      <c r="DZ28" s="43">
        <f t="shared" si="37"/>
        <v>0.01</v>
      </c>
      <c r="EA28" s="43" t="str">
        <f t="shared" si="38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9"/>
        <v>100</v>
      </c>
      <c r="EF28" s="44">
        <v>1</v>
      </c>
      <c r="EG28" s="44">
        <v>0</v>
      </c>
      <c r="EH28" s="44" t="s">
        <v>875</v>
      </c>
      <c r="EI28" s="45">
        <v>0</v>
      </c>
      <c r="EJ28" s="43">
        <f t="shared" si="40"/>
        <v>5000</v>
      </c>
      <c r="EK28" s="69"/>
    </row>
    <row r="29" spans="1:141" x14ac:dyDescent="0.2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IF(IFERROR(INDEX(Consulta!$A:$DP,MATCH('MM01'!$B29,Consulta!$C:$C,0),'MM01'!D$2),"")=0,"",IFERROR(INDEX(Consulta!$A:$DP,MATCH('MM01'!$B29,Consulta!$C:$C,0),'MM01'!D$2),""))</f>
        <v/>
      </c>
      <c r="E29" s="43" t="str">
        <f>IF(IFERROR(INDEX(Consulta!$A:$DP,MATCH('MM01'!$B29,Consulta!$C:$C,0),'MM01'!E$2),"")=0,"",IFERROR(INDEX(Consulta!$A:$DP,MATCH('MM01'!$B29,Consulta!$C:$C,0),'MM01'!E$2),""))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795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>
        <v>99</v>
      </c>
      <c r="BN29" s="46" t="str">
        <f t="shared" ca="1" si="13"/>
        <v>28.04.2022</v>
      </c>
      <c r="BO29" s="49" t="str">
        <f t="shared" si="14"/>
        <v/>
      </c>
      <c r="BP29" s="50">
        <v>1</v>
      </c>
      <c r="BQ29" s="50" t="s">
        <v>194</v>
      </c>
      <c r="BR29" s="79" t="str">
        <f t="shared" si="15"/>
        <v>01</v>
      </c>
      <c r="BS29" s="50" t="s">
        <v>795</v>
      </c>
      <c r="BT29" s="44">
        <v>1</v>
      </c>
      <c r="BU29" s="44" t="s">
        <v>371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391</v>
      </c>
      <c r="BZ29" s="50">
        <v>0</v>
      </c>
      <c r="CA29" s="45" t="s">
        <v>402</v>
      </c>
      <c r="CB29" s="45" t="s">
        <v>84</v>
      </c>
      <c r="CC29" s="43" t="str">
        <f t="shared" si="16"/>
        <v/>
      </c>
      <c r="CD29" s="45" t="s">
        <v>38</v>
      </c>
      <c r="CE29" s="45">
        <v>1</v>
      </c>
      <c r="CF29" s="45" t="s">
        <v>495</v>
      </c>
      <c r="CG29" s="45"/>
      <c r="CH29" s="44">
        <v>2</v>
      </c>
      <c r="CI29" s="49" t="str">
        <f t="shared" si="17"/>
        <v/>
      </c>
      <c r="CJ29" s="49" t="str">
        <f t="shared" si="18"/>
        <v/>
      </c>
      <c r="CK29" s="45"/>
      <c r="CL29" s="44">
        <v>1</v>
      </c>
      <c r="CM29" s="50" t="s">
        <v>514</v>
      </c>
      <c r="CN29" s="44" t="s">
        <v>371</v>
      </c>
      <c r="CO29" s="44">
        <v>2</v>
      </c>
      <c r="CP29" s="44">
        <v>42</v>
      </c>
      <c r="CQ29" s="44">
        <v>10</v>
      </c>
      <c r="CR29" s="43" t="str">
        <f t="shared" si="19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20"/>
        <v/>
      </c>
      <c r="CY29" s="43" t="str">
        <f t="shared" si="21"/>
        <v/>
      </c>
      <c r="CZ29" s="43" t="str">
        <f t="shared" si="22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3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4"/>
        <v/>
      </c>
      <c r="DG29" s="43" t="str">
        <f t="shared" si="25"/>
        <v/>
      </c>
      <c r="DH29" s="57"/>
      <c r="DI29" s="43" t="str">
        <f t="shared" ca="1" si="26"/>
        <v/>
      </c>
      <c r="DJ29" s="43" t="str">
        <f t="shared" si="27"/>
        <v/>
      </c>
      <c r="DK29" s="43" t="str">
        <f t="shared" si="28"/>
        <v/>
      </c>
      <c r="DL29" s="57"/>
      <c r="DM29" s="43" t="str">
        <f t="shared" ca="1" si="29"/>
        <v/>
      </c>
      <c r="DN29" s="43" t="str">
        <f t="shared" si="30"/>
        <v/>
      </c>
      <c r="DO29" s="43" t="str">
        <f t="shared" si="31"/>
        <v/>
      </c>
      <c r="DP29" s="57"/>
      <c r="DQ29" s="43" t="str">
        <f t="shared" ca="1" si="32"/>
        <v/>
      </c>
      <c r="DR29" s="43" t="str">
        <f t="shared" si="33"/>
        <v/>
      </c>
      <c r="DS29" s="43" t="str">
        <f t="shared" si="34"/>
        <v/>
      </c>
      <c r="DT29" s="57"/>
      <c r="DU29" s="43" t="str">
        <f t="shared" ca="1" si="35"/>
        <v/>
      </c>
      <c r="DV29" s="43" t="str">
        <f t="shared" si="36"/>
        <v/>
      </c>
      <c r="DX29" s="44">
        <v>1</v>
      </c>
      <c r="DY29" s="44" t="s">
        <v>773</v>
      </c>
      <c r="DZ29" s="43">
        <f t="shared" si="37"/>
        <v>0.01</v>
      </c>
      <c r="EA29" s="43" t="str">
        <f t="shared" si="38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9"/>
        <v>100</v>
      </c>
      <c r="EF29" s="44">
        <v>1</v>
      </c>
      <c r="EG29" s="44">
        <v>0</v>
      </c>
      <c r="EH29" s="44" t="s">
        <v>875</v>
      </c>
      <c r="EI29" s="45">
        <v>0</v>
      </c>
      <c r="EJ29" s="43">
        <f t="shared" si="40"/>
        <v>5000</v>
      </c>
      <c r="EK29" s="69"/>
    </row>
    <row r="30" spans="1:141" x14ac:dyDescent="0.2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IF(IFERROR(INDEX(Consulta!$A:$DP,MATCH('MM01'!$B30,Consulta!$C:$C,0),'MM01'!D$2),"")=0,"",IFERROR(INDEX(Consulta!$A:$DP,MATCH('MM01'!$B30,Consulta!$C:$C,0),'MM01'!D$2),""))</f>
        <v/>
      </c>
      <c r="E30" s="43" t="str">
        <f>IF(IFERROR(INDEX(Consulta!$A:$DP,MATCH('MM01'!$B30,Consulta!$C:$C,0),'MM01'!E$2),"")=0,"",IFERROR(INDEX(Consulta!$A:$DP,MATCH('MM01'!$B30,Consulta!$C:$C,0),'MM01'!E$2),""))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795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>
        <v>99</v>
      </c>
      <c r="BN30" s="46" t="str">
        <f t="shared" ca="1" si="13"/>
        <v>28.04.2022</v>
      </c>
      <c r="BO30" s="49" t="str">
        <f t="shared" si="14"/>
        <v/>
      </c>
      <c r="BP30" s="50">
        <v>1</v>
      </c>
      <c r="BQ30" s="50" t="s">
        <v>194</v>
      </c>
      <c r="BR30" s="79" t="str">
        <f t="shared" si="15"/>
        <v>01</v>
      </c>
      <c r="BS30" s="50" t="s">
        <v>795</v>
      </c>
      <c r="BT30" s="44">
        <v>1</v>
      </c>
      <c r="BU30" s="44" t="s">
        <v>371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391</v>
      </c>
      <c r="BZ30" s="50">
        <v>0</v>
      </c>
      <c r="CA30" s="45" t="s">
        <v>402</v>
      </c>
      <c r="CB30" s="45" t="s">
        <v>84</v>
      </c>
      <c r="CC30" s="43" t="str">
        <f t="shared" si="16"/>
        <v/>
      </c>
      <c r="CD30" s="45" t="s">
        <v>38</v>
      </c>
      <c r="CE30" s="45">
        <v>1</v>
      </c>
      <c r="CF30" s="45" t="s">
        <v>495</v>
      </c>
      <c r="CG30" s="45"/>
      <c r="CH30" s="44">
        <v>2</v>
      </c>
      <c r="CI30" s="49" t="str">
        <f t="shared" si="17"/>
        <v/>
      </c>
      <c r="CJ30" s="49" t="str">
        <f t="shared" si="18"/>
        <v/>
      </c>
      <c r="CK30" s="45"/>
      <c r="CL30" s="44">
        <v>1</v>
      </c>
      <c r="CM30" s="50" t="s">
        <v>514</v>
      </c>
      <c r="CN30" s="44" t="s">
        <v>371</v>
      </c>
      <c r="CO30" s="44">
        <v>2</v>
      </c>
      <c r="CP30" s="44">
        <v>42</v>
      </c>
      <c r="CQ30" s="44">
        <v>10</v>
      </c>
      <c r="CR30" s="43" t="str">
        <f t="shared" si="19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20"/>
        <v/>
      </c>
      <c r="CY30" s="43" t="str">
        <f t="shared" si="21"/>
        <v/>
      </c>
      <c r="CZ30" s="43" t="str">
        <f t="shared" si="22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3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4"/>
        <v/>
      </c>
      <c r="DG30" s="43" t="str">
        <f t="shared" si="25"/>
        <v/>
      </c>
      <c r="DH30" s="57"/>
      <c r="DI30" s="43" t="str">
        <f t="shared" ca="1" si="26"/>
        <v/>
      </c>
      <c r="DJ30" s="43" t="str">
        <f t="shared" si="27"/>
        <v/>
      </c>
      <c r="DK30" s="43" t="str">
        <f t="shared" si="28"/>
        <v/>
      </c>
      <c r="DL30" s="57"/>
      <c r="DM30" s="43" t="str">
        <f t="shared" ca="1" si="29"/>
        <v/>
      </c>
      <c r="DN30" s="43" t="str">
        <f t="shared" si="30"/>
        <v/>
      </c>
      <c r="DO30" s="43" t="str">
        <f t="shared" si="31"/>
        <v/>
      </c>
      <c r="DP30" s="57"/>
      <c r="DQ30" s="43" t="str">
        <f t="shared" ca="1" si="32"/>
        <v/>
      </c>
      <c r="DR30" s="43" t="str">
        <f t="shared" si="33"/>
        <v/>
      </c>
      <c r="DS30" s="43" t="str">
        <f t="shared" si="34"/>
        <v/>
      </c>
      <c r="DT30" s="57"/>
      <c r="DU30" s="43" t="str">
        <f t="shared" ca="1" si="35"/>
        <v/>
      </c>
      <c r="DV30" s="43" t="str">
        <f t="shared" si="36"/>
        <v/>
      </c>
      <c r="DX30" s="44">
        <v>1</v>
      </c>
      <c r="DY30" s="44" t="s">
        <v>773</v>
      </c>
      <c r="DZ30" s="43">
        <f t="shared" si="37"/>
        <v>0.01</v>
      </c>
      <c r="EA30" s="43" t="str">
        <f t="shared" si="38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9"/>
        <v>100</v>
      </c>
      <c r="EF30" s="44">
        <v>1</v>
      </c>
      <c r="EG30" s="44">
        <v>0</v>
      </c>
      <c r="EH30" s="44" t="s">
        <v>875</v>
      </c>
      <c r="EI30" s="45">
        <v>0</v>
      </c>
      <c r="EJ30" s="43">
        <f t="shared" si="40"/>
        <v>5000</v>
      </c>
      <c r="EK30" s="69"/>
    </row>
    <row r="31" spans="1:141" x14ac:dyDescent="0.2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IF(IFERROR(INDEX(Consulta!$A:$DP,MATCH('MM01'!$B31,Consulta!$C:$C,0),'MM01'!D$2),"")=0,"",IFERROR(INDEX(Consulta!$A:$DP,MATCH('MM01'!$B31,Consulta!$C:$C,0),'MM01'!D$2),""))</f>
        <v/>
      </c>
      <c r="E31" s="43" t="str">
        <f>IF(IFERROR(INDEX(Consulta!$A:$DP,MATCH('MM01'!$B31,Consulta!$C:$C,0),'MM01'!E$2),"")=0,"",IFERROR(INDEX(Consulta!$A:$DP,MATCH('MM01'!$B31,Consulta!$C:$C,0),'MM01'!E$2),""))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795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>
        <v>99</v>
      </c>
      <c r="BN31" s="46" t="str">
        <f t="shared" ca="1" si="13"/>
        <v>28.04.2022</v>
      </c>
      <c r="BO31" s="49" t="str">
        <f t="shared" si="14"/>
        <v/>
      </c>
      <c r="BP31" s="50">
        <v>1</v>
      </c>
      <c r="BQ31" s="50" t="s">
        <v>194</v>
      </c>
      <c r="BR31" s="79" t="str">
        <f t="shared" si="15"/>
        <v>01</v>
      </c>
      <c r="BS31" s="50" t="s">
        <v>795</v>
      </c>
      <c r="BT31" s="44">
        <v>1</v>
      </c>
      <c r="BU31" s="44" t="s">
        <v>371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391</v>
      </c>
      <c r="BZ31" s="50">
        <v>0</v>
      </c>
      <c r="CA31" s="45" t="s">
        <v>402</v>
      </c>
      <c r="CB31" s="45" t="s">
        <v>84</v>
      </c>
      <c r="CC31" s="43" t="str">
        <f t="shared" si="16"/>
        <v/>
      </c>
      <c r="CD31" s="45" t="s">
        <v>38</v>
      </c>
      <c r="CE31" s="45">
        <v>1</v>
      </c>
      <c r="CF31" s="45" t="s">
        <v>495</v>
      </c>
      <c r="CG31" s="45"/>
      <c r="CH31" s="44">
        <v>2</v>
      </c>
      <c r="CI31" s="49" t="str">
        <f t="shared" si="17"/>
        <v/>
      </c>
      <c r="CJ31" s="49" t="str">
        <f t="shared" si="18"/>
        <v/>
      </c>
      <c r="CK31" s="45"/>
      <c r="CL31" s="44">
        <v>1</v>
      </c>
      <c r="CM31" s="50" t="s">
        <v>514</v>
      </c>
      <c r="CN31" s="44" t="s">
        <v>371</v>
      </c>
      <c r="CO31" s="44">
        <v>2</v>
      </c>
      <c r="CP31" s="44">
        <v>42</v>
      </c>
      <c r="CQ31" s="44">
        <v>10</v>
      </c>
      <c r="CR31" s="43" t="str">
        <f t="shared" si="19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20"/>
        <v/>
      </c>
      <c r="CY31" s="43" t="str">
        <f t="shared" si="21"/>
        <v/>
      </c>
      <c r="CZ31" s="43" t="str">
        <f t="shared" si="22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3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4"/>
        <v/>
      </c>
      <c r="DG31" s="43" t="str">
        <f t="shared" si="25"/>
        <v/>
      </c>
      <c r="DH31" s="57"/>
      <c r="DI31" s="43" t="str">
        <f t="shared" ca="1" si="26"/>
        <v/>
      </c>
      <c r="DJ31" s="43" t="str">
        <f t="shared" si="27"/>
        <v/>
      </c>
      <c r="DK31" s="43" t="str">
        <f t="shared" si="28"/>
        <v/>
      </c>
      <c r="DL31" s="57"/>
      <c r="DM31" s="43" t="str">
        <f t="shared" ca="1" si="29"/>
        <v/>
      </c>
      <c r="DN31" s="43" t="str">
        <f t="shared" si="30"/>
        <v/>
      </c>
      <c r="DO31" s="43" t="str">
        <f t="shared" si="31"/>
        <v/>
      </c>
      <c r="DP31" s="57"/>
      <c r="DQ31" s="43" t="str">
        <f t="shared" ca="1" si="32"/>
        <v/>
      </c>
      <c r="DR31" s="43" t="str">
        <f t="shared" si="33"/>
        <v/>
      </c>
      <c r="DS31" s="43" t="str">
        <f t="shared" si="34"/>
        <v/>
      </c>
      <c r="DT31" s="57"/>
      <c r="DU31" s="43" t="str">
        <f t="shared" ca="1" si="35"/>
        <v/>
      </c>
      <c r="DV31" s="43" t="str">
        <f t="shared" si="36"/>
        <v/>
      </c>
      <c r="DX31" s="44">
        <v>1</v>
      </c>
      <c r="DY31" s="44" t="s">
        <v>773</v>
      </c>
      <c r="DZ31" s="43">
        <f t="shared" si="37"/>
        <v>0.01</v>
      </c>
      <c r="EA31" s="43" t="str">
        <f t="shared" si="38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9"/>
        <v>100</v>
      </c>
      <c r="EF31" s="44">
        <v>1</v>
      </c>
      <c r="EG31" s="44">
        <v>0</v>
      </c>
      <c r="EH31" s="44" t="s">
        <v>875</v>
      </c>
      <c r="EI31" s="45">
        <v>0</v>
      </c>
      <c r="EJ31" s="43">
        <f t="shared" si="40"/>
        <v>5000</v>
      </c>
      <c r="EK31" s="69"/>
    </row>
    <row r="32" spans="1:141" x14ac:dyDescent="0.2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IF(IFERROR(INDEX(Consulta!$A:$DP,MATCH('MM01'!$B32,Consulta!$C:$C,0),'MM01'!D$2),"")=0,"",IFERROR(INDEX(Consulta!$A:$DP,MATCH('MM01'!$B32,Consulta!$C:$C,0),'MM01'!D$2),""))</f>
        <v/>
      </c>
      <c r="E32" s="43" t="str">
        <f>IF(IFERROR(INDEX(Consulta!$A:$DP,MATCH('MM01'!$B32,Consulta!$C:$C,0),'MM01'!E$2),"")=0,"",IFERROR(INDEX(Consulta!$A:$DP,MATCH('MM01'!$B32,Consulta!$C:$C,0),'MM01'!E$2),""))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795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>
        <v>99</v>
      </c>
      <c r="BN32" s="46" t="str">
        <f t="shared" ca="1" si="13"/>
        <v>28.04.2022</v>
      </c>
      <c r="BO32" s="49" t="str">
        <f t="shared" si="14"/>
        <v/>
      </c>
      <c r="BP32" s="50">
        <v>1</v>
      </c>
      <c r="BQ32" s="50" t="s">
        <v>194</v>
      </c>
      <c r="BR32" s="79" t="str">
        <f t="shared" si="15"/>
        <v>01</v>
      </c>
      <c r="BS32" s="50" t="s">
        <v>795</v>
      </c>
      <c r="BT32" s="44">
        <v>1</v>
      </c>
      <c r="BU32" s="44" t="s">
        <v>371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391</v>
      </c>
      <c r="BZ32" s="50">
        <v>0</v>
      </c>
      <c r="CA32" s="45" t="s">
        <v>402</v>
      </c>
      <c r="CB32" s="45" t="s">
        <v>84</v>
      </c>
      <c r="CC32" s="43" t="str">
        <f t="shared" si="16"/>
        <v/>
      </c>
      <c r="CD32" s="45" t="s">
        <v>38</v>
      </c>
      <c r="CE32" s="45">
        <v>1</v>
      </c>
      <c r="CF32" s="45" t="s">
        <v>495</v>
      </c>
      <c r="CG32" s="45"/>
      <c r="CH32" s="44">
        <v>2</v>
      </c>
      <c r="CI32" s="49" t="str">
        <f t="shared" si="17"/>
        <v/>
      </c>
      <c r="CJ32" s="49" t="str">
        <f t="shared" si="18"/>
        <v/>
      </c>
      <c r="CK32" s="45"/>
      <c r="CL32" s="44">
        <v>1</v>
      </c>
      <c r="CM32" s="50" t="s">
        <v>514</v>
      </c>
      <c r="CN32" s="44" t="s">
        <v>371</v>
      </c>
      <c r="CO32" s="44">
        <v>2</v>
      </c>
      <c r="CP32" s="44">
        <v>42</v>
      </c>
      <c r="CQ32" s="44">
        <v>10</v>
      </c>
      <c r="CR32" s="43" t="str">
        <f t="shared" si="19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20"/>
        <v/>
      </c>
      <c r="CY32" s="43" t="str">
        <f t="shared" si="21"/>
        <v/>
      </c>
      <c r="CZ32" s="43" t="str">
        <f t="shared" si="22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3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4"/>
        <v/>
      </c>
      <c r="DG32" s="43" t="str">
        <f t="shared" si="25"/>
        <v/>
      </c>
      <c r="DH32" s="57"/>
      <c r="DI32" s="43" t="str">
        <f t="shared" ca="1" si="26"/>
        <v/>
      </c>
      <c r="DJ32" s="43" t="str">
        <f t="shared" si="27"/>
        <v/>
      </c>
      <c r="DK32" s="43" t="str">
        <f t="shared" si="28"/>
        <v/>
      </c>
      <c r="DL32" s="57"/>
      <c r="DM32" s="43" t="str">
        <f t="shared" ca="1" si="29"/>
        <v/>
      </c>
      <c r="DN32" s="43" t="str">
        <f t="shared" si="30"/>
        <v/>
      </c>
      <c r="DO32" s="43" t="str">
        <f t="shared" si="31"/>
        <v/>
      </c>
      <c r="DP32" s="57"/>
      <c r="DQ32" s="43" t="str">
        <f t="shared" ca="1" si="32"/>
        <v/>
      </c>
      <c r="DR32" s="43" t="str">
        <f t="shared" si="33"/>
        <v/>
      </c>
      <c r="DS32" s="43" t="str">
        <f t="shared" si="34"/>
        <v/>
      </c>
      <c r="DT32" s="57"/>
      <c r="DU32" s="43" t="str">
        <f t="shared" ca="1" si="35"/>
        <v/>
      </c>
      <c r="DV32" s="43" t="str">
        <f t="shared" si="36"/>
        <v/>
      </c>
      <c r="DX32" s="44">
        <v>1</v>
      </c>
      <c r="DY32" s="44" t="s">
        <v>773</v>
      </c>
      <c r="DZ32" s="43">
        <f t="shared" si="37"/>
        <v>0.01</v>
      </c>
      <c r="EA32" s="43" t="str">
        <f t="shared" si="38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9"/>
        <v>100</v>
      </c>
      <c r="EF32" s="44">
        <v>1</v>
      </c>
      <c r="EG32" s="44">
        <v>0</v>
      </c>
      <c r="EH32" s="44" t="s">
        <v>875</v>
      </c>
      <c r="EI32" s="45">
        <v>0</v>
      </c>
      <c r="EJ32" s="43">
        <f t="shared" si="40"/>
        <v>5000</v>
      </c>
      <c r="EK32" s="69"/>
    </row>
    <row r="33" spans="1:141" x14ac:dyDescent="0.2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IF(IFERROR(INDEX(Consulta!$A:$DP,MATCH('MM01'!$B33,Consulta!$C:$C,0),'MM01'!D$2),"")=0,"",IFERROR(INDEX(Consulta!$A:$DP,MATCH('MM01'!$B33,Consulta!$C:$C,0),'MM01'!D$2),""))</f>
        <v/>
      </c>
      <c r="E33" s="43" t="str">
        <f>IF(IFERROR(INDEX(Consulta!$A:$DP,MATCH('MM01'!$B33,Consulta!$C:$C,0),'MM01'!E$2),"")=0,"",IFERROR(INDEX(Consulta!$A:$DP,MATCH('MM01'!$B33,Consulta!$C:$C,0),'MM01'!E$2),""))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795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>
        <v>99</v>
      </c>
      <c r="BN33" s="46" t="str">
        <f t="shared" ca="1" si="13"/>
        <v>28.04.2022</v>
      </c>
      <c r="BO33" s="49" t="str">
        <f t="shared" si="14"/>
        <v/>
      </c>
      <c r="BP33" s="50">
        <v>1</v>
      </c>
      <c r="BQ33" s="50" t="s">
        <v>194</v>
      </c>
      <c r="BR33" s="79" t="str">
        <f t="shared" si="15"/>
        <v>01</v>
      </c>
      <c r="BS33" s="50" t="s">
        <v>795</v>
      </c>
      <c r="BT33" s="44">
        <v>1</v>
      </c>
      <c r="BU33" s="44" t="s">
        <v>371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391</v>
      </c>
      <c r="BZ33" s="50">
        <v>0</v>
      </c>
      <c r="CA33" s="45" t="s">
        <v>402</v>
      </c>
      <c r="CB33" s="45" t="s">
        <v>84</v>
      </c>
      <c r="CC33" s="43" t="str">
        <f t="shared" si="16"/>
        <v/>
      </c>
      <c r="CD33" s="45" t="s">
        <v>38</v>
      </c>
      <c r="CE33" s="45">
        <v>1</v>
      </c>
      <c r="CF33" s="45" t="s">
        <v>495</v>
      </c>
      <c r="CG33" s="45"/>
      <c r="CH33" s="44">
        <v>2</v>
      </c>
      <c r="CI33" s="49" t="str">
        <f t="shared" si="17"/>
        <v/>
      </c>
      <c r="CJ33" s="49" t="str">
        <f t="shared" si="18"/>
        <v/>
      </c>
      <c r="CK33" s="45"/>
      <c r="CL33" s="44">
        <v>1</v>
      </c>
      <c r="CM33" s="50" t="s">
        <v>514</v>
      </c>
      <c r="CN33" s="44" t="s">
        <v>371</v>
      </c>
      <c r="CO33" s="44">
        <v>2</v>
      </c>
      <c r="CP33" s="44">
        <v>42</v>
      </c>
      <c r="CQ33" s="44">
        <v>10</v>
      </c>
      <c r="CR33" s="43" t="str">
        <f t="shared" si="19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20"/>
        <v/>
      </c>
      <c r="CY33" s="43" t="str">
        <f t="shared" si="21"/>
        <v/>
      </c>
      <c r="CZ33" s="43" t="str">
        <f t="shared" si="22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3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4"/>
        <v/>
      </c>
      <c r="DG33" s="43" t="str">
        <f t="shared" si="25"/>
        <v/>
      </c>
      <c r="DH33" s="57"/>
      <c r="DI33" s="43" t="str">
        <f t="shared" ca="1" si="26"/>
        <v/>
      </c>
      <c r="DJ33" s="43" t="str">
        <f t="shared" si="27"/>
        <v/>
      </c>
      <c r="DK33" s="43" t="str">
        <f t="shared" si="28"/>
        <v/>
      </c>
      <c r="DL33" s="57"/>
      <c r="DM33" s="43" t="str">
        <f t="shared" ca="1" si="29"/>
        <v/>
      </c>
      <c r="DN33" s="43" t="str">
        <f t="shared" si="30"/>
        <v/>
      </c>
      <c r="DO33" s="43" t="str">
        <f t="shared" si="31"/>
        <v/>
      </c>
      <c r="DP33" s="57"/>
      <c r="DQ33" s="43" t="str">
        <f t="shared" ca="1" si="32"/>
        <v/>
      </c>
      <c r="DR33" s="43" t="str">
        <f t="shared" si="33"/>
        <v/>
      </c>
      <c r="DS33" s="43" t="str">
        <f t="shared" si="34"/>
        <v/>
      </c>
      <c r="DT33" s="57"/>
      <c r="DU33" s="43" t="str">
        <f t="shared" ca="1" si="35"/>
        <v/>
      </c>
      <c r="DV33" s="43" t="str">
        <f t="shared" si="36"/>
        <v/>
      </c>
      <c r="DX33" s="44">
        <v>1</v>
      </c>
      <c r="DY33" s="44" t="s">
        <v>773</v>
      </c>
      <c r="DZ33" s="43">
        <f t="shared" si="37"/>
        <v>0.01</v>
      </c>
      <c r="EA33" s="43" t="str">
        <f t="shared" si="38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9"/>
        <v>100</v>
      </c>
      <c r="EF33" s="44">
        <v>1</v>
      </c>
      <c r="EG33" s="44">
        <v>0</v>
      </c>
      <c r="EH33" s="44" t="s">
        <v>875</v>
      </c>
      <c r="EI33" s="45">
        <v>0</v>
      </c>
      <c r="EJ33" s="43">
        <f t="shared" si="40"/>
        <v>5000</v>
      </c>
      <c r="EK33" s="69"/>
    </row>
    <row r="34" spans="1:141" x14ac:dyDescent="0.2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IF(IFERROR(INDEX(Consulta!$A:$DP,MATCH('MM01'!$B34,Consulta!$C:$C,0),'MM01'!D$2),"")=0,"",IFERROR(INDEX(Consulta!$A:$DP,MATCH('MM01'!$B34,Consulta!$C:$C,0),'MM01'!D$2),""))</f>
        <v/>
      </c>
      <c r="E34" s="43" t="str">
        <f>IF(IFERROR(INDEX(Consulta!$A:$DP,MATCH('MM01'!$B34,Consulta!$C:$C,0),'MM01'!E$2),"")=0,"",IFERROR(INDEX(Consulta!$A:$DP,MATCH('MM01'!$B34,Consulta!$C:$C,0),'MM01'!E$2),""))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795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>
        <v>99</v>
      </c>
      <c r="BN34" s="46" t="str">
        <f t="shared" ca="1" si="13"/>
        <v>28.04.2022</v>
      </c>
      <c r="BO34" s="49" t="str">
        <f t="shared" si="14"/>
        <v/>
      </c>
      <c r="BP34" s="50">
        <v>1</v>
      </c>
      <c r="BQ34" s="50" t="s">
        <v>194</v>
      </c>
      <c r="BR34" s="79" t="str">
        <f t="shared" si="15"/>
        <v>01</v>
      </c>
      <c r="BS34" s="50" t="s">
        <v>795</v>
      </c>
      <c r="BT34" s="44">
        <v>1</v>
      </c>
      <c r="BU34" s="44" t="s">
        <v>371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391</v>
      </c>
      <c r="BZ34" s="50">
        <v>0</v>
      </c>
      <c r="CA34" s="45" t="s">
        <v>402</v>
      </c>
      <c r="CB34" s="45" t="s">
        <v>84</v>
      </c>
      <c r="CC34" s="43" t="str">
        <f t="shared" si="16"/>
        <v/>
      </c>
      <c r="CD34" s="45" t="s">
        <v>38</v>
      </c>
      <c r="CE34" s="45">
        <v>1</v>
      </c>
      <c r="CF34" s="45" t="s">
        <v>495</v>
      </c>
      <c r="CG34" s="45"/>
      <c r="CH34" s="44">
        <v>2</v>
      </c>
      <c r="CI34" s="49" t="str">
        <f t="shared" si="17"/>
        <v/>
      </c>
      <c r="CJ34" s="49" t="str">
        <f t="shared" si="18"/>
        <v/>
      </c>
      <c r="CK34" s="45"/>
      <c r="CL34" s="44">
        <v>1</v>
      </c>
      <c r="CM34" s="50" t="s">
        <v>514</v>
      </c>
      <c r="CN34" s="44" t="s">
        <v>371</v>
      </c>
      <c r="CO34" s="44">
        <v>2</v>
      </c>
      <c r="CP34" s="44">
        <v>42</v>
      </c>
      <c r="CQ34" s="44">
        <v>10</v>
      </c>
      <c r="CR34" s="43" t="str">
        <f t="shared" si="19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20"/>
        <v/>
      </c>
      <c r="CY34" s="43" t="str">
        <f t="shared" si="21"/>
        <v/>
      </c>
      <c r="CZ34" s="43" t="str">
        <f t="shared" si="22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3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4"/>
        <v/>
      </c>
      <c r="DG34" s="43" t="str">
        <f t="shared" si="25"/>
        <v/>
      </c>
      <c r="DH34" s="57"/>
      <c r="DI34" s="43" t="str">
        <f t="shared" ca="1" si="26"/>
        <v/>
      </c>
      <c r="DJ34" s="43" t="str">
        <f t="shared" si="27"/>
        <v/>
      </c>
      <c r="DK34" s="43" t="str">
        <f t="shared" si="28"/>
        <v/>
      </c>
      <c r="DL34" s="57"/>
      <c r="DM34" s="43" t="str">
        <f t="shared" ca="1" si="29"/>
        <v/>
      </c>
      <c r="DN34" s="43" t="str">
        <f t="shared" si="30"/>
        <v/>
      </c>
      <c r="DO34" s="43" t="str">
        <f t="shared" si="31"/>
        <v/>
      </c>
      <c r="DP34" s="57"/>
      <c r="DQ34" s="43" t="str">
        <f t="shared" ca="1" si="32"/>
        <v/>
      </c>
      <c r="DR34" s="43" t="str">
        <f t="shared" si="33"/>
        <v/>
      </c>
      <c r="DS34" s="43" t="str">
        <f t="shared" si="34"/>
        <v/>
      </c>
      <c r="DT34" s="57"/>
      <c r="DU34" s="43" t="str">
        <f t="shared" ca="1" si="35"/>
        <v/>
      </c>
      <c r="DV34" s="43" t="str">
        <f t="shared" si="36"/>
        <v/>
      </c>
      <c r="DX34" s="44">
        <v>1</v>
      </c>
      <c r="DY34" s="44" t="s">
        <v>773</v>
      </c>
      <c r="DZ34" s="43">
        <f t="shared" si="37"/>
        <v>0.01</v>
      </c>
      <c r="EA34" s="43" t="str">
        <f t="shared" si="38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9"/>
        <v>100</v>
      </c>
      <c r="EF34" s="44">
        <v>1</v>
      </c>
      <c r="EG34" s="44">
        <v>0</v>
      </c>
      <c r="EH34" s="44" t="s">
        <v>875</v>
      </c>
      <c r="EI34" s="45">
        <v>0</v>
      </c>
      <c r="EJ34" s="43">
        <f t="shared" si="40"/>
        <v>5000</v>
      </c>
      <c r="EK34" s="69"/>
    </row>
    <row r="35" spans="1:141" x14ac:dyDescent="0.2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IF(IFERROR(INDEX(Consulta!$A:$DP,MATCH('MM01'!$B35,Consulta!$C:$C,0),'MM01'!D$2),"")=0,"",IFERROR(INDEX(Consulta!$A:$DP,MATCH('MM01'!$B35,Consulta!$C:$C,0),'MM01'!D$2),""))</f>
        <v/>
      </c>
      <c r="E35" s="43" t="str">
        <f>IF(IFERROR(INDEX(Consulta!$A:$DP,MATCH('MM01'!$B35,Consulta!$C:$C,0),'MM01'!E$2),"")=0,"",IFERROR(INDEX(Consulta!$A:$DP,MATCH('MM01'!$B35,Consulta!$C:$C,0),'MM01'!E$2),""))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795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>
        <v>99</v>
      </c>
      <c r="BN35" s="46" t="str">
        <f t="shared" ca="1" si="13"/>
        <v>28.04.2022</v>
      </c>
      <c r="BO35" s="49" t="str">
        <f t="shared" si="14"/>
        <v/>
      </c>
      <c r="BP35" s="50">
        <v>1</v>
      </c>
      <c r="BQ35" s="50" t="s">
        <v>194</v>
      </c>
      <c r="BR35" s="79" t="str">
        <f t="shared" si="15"/>
        <v>01</v>
      </c>
      <c r="BS35" s="50" t="s">
        <v>795</v>
      </c>
      <c r="BT35" s="44">
        <v>1</v>
      </c>
      <c r="BU35" s="44" t="s">
        <v>371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391</v>
      </c>
      <c r="BZ35" s="50">
        <v>0</v>
      </c>
      <c r="CA35" s="45" t="s">
        <v>402</v>
      </c>
      <c r="CB35" s="45" t="s">
        <v>84</v>
      </c>
      <c r="CC35" s="43" t="str">
        <f t="shared" si="16"/>
        <v/>
      </c>
      <c r="CD35" s="45" t="s">
        <v>38</v>
      </c>
      <c r="CE35" s="45">
        <v>1</v>
      </c>
      <c r="CF35" s="45" t="s">
        <v>495</v>
      </c>
      <c r="CG35" s="45"/>
      <c r="CH35" s="44">
        <v>2</v>
      </c>
      <c r="CI35" s="49" t="str">
        <f t="shared" si="17"/>
        <v/>
      </c>
      <c r="CJ35" s="49" t="str">
        <f t="shared" si="18"/>
        <v/>
      </c>
      <c r="CK35" s="45"/>
      <c r="CL35" s="44">
        <v>1</v>
      </c>
      <c r="CM35" s="50" t="s">
        <v>514</v>
      </c>
      <c r="CN35" s="44" t="s">
        <v>371</v>
      </c>
      <c r="CO35" s="44">
        <v>2</v>
      </c>
      <c r="CP35" s="44">
        <v>42</v>
      </c>
      <c r="CQ35" s="44">
        <v>10</v>
      </c>
      <c r="CR35" s="43" t="str">
        <f t="shared" si="19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20"/>
        <v/>
      </c>
      <c r="CY35" s="43" t="str">
        <f t="shared" si="21"/>
        <v/>
      </c>
      <c r="CZ35" s="43" t="str">
        <f t="shared" si="22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3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4"/>
        <v/>
      </c>
      <c r="DG35" s="43" t="str">
        <f t="shared" si="25"/>
        <v/>
      </c>
      <c r="DH35" s="57"/>
      <c r="DI35" s="43" t="str">
        <f t="shared" ca="1" si="26"/>
        <v/>
      </c>
      <c r="DJ35" s="43" t="str">
        <f t="shared" si="27"/>
        <v/>
      </c>
      <c r="DK35" s="43" t="str">
        <f t="shared" si="28"/>
        <v/>
      </c>
      <c r="DL35" s="57"/>
      <c r="DM35" s="43" t="str">
        <f t="shared" ca="1" si="29"/>
        <v/>
      </c>
      <c r="DN35" s="43" t="str">
        <f t="shared" si="30"/>
        <v/>
      </c>
      <c r="DO35" s="43" t="str">
        <f t="shared" si="31"/>
        <v/>
      </c>
      <c r="DP35" s="57"/>
      <c r="DQ35" s="43" t="str">
        <f t="shared" ca="1" si="32"/>
        <v/>
      </c>
      <c r="DR35" s="43" t="str">
        <f t="shared" si="33"/>
        <v/>
      </c>
      <c r="DS35" s="43" t="str">
        <f t="shared" si="34"/>
        <v/>
      </c>
      <c r="DT35" s="57"/>
      <c r="DU35" s="43" t="str">
        <f t="shared" ca="1" si="35"/>
        <v/>
      </c>
      <c r="DV35" s="43" t="str">
        <f t="shared" si="36"/>
        <v/>
      </c>
      <c r="DX35" s="44">
        <v>1</v>
      </c>
      <c r="DY35" s="44" t="s">
        <v>773</v>
      </c>
      <c r="DZ35" s="43">
        <f t="shared" si="37"/>
        <v>0.01</v>
      </c>
      <c r="EA35" s="43" t="str">
        <f t="shared" si="38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9"/>
        <v>100</v>
      </c>
      <c r="EF35" s="44">
        <v>1</v>
      </c>
      <c r="EG35" s="44">
        <v>0</v>
      </c>
      <c r="EH35" s="44" t="s">
        <v>875</v>
      </c>
      <c r="EI35" s="45">
        <v>0</v>
      </c>
      <c r="EJ35" s="43">
        <f t="shared" si="40"/>
        <v>5000</v>
      </c>
      <c r="EK35" s="69"/>
    </row>
    <row r="36" spans="1:141" x14ac:dyDescent="0.2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IF(IFERROR(INDEX(Consulta!$A:$DP,MATCH('MM01'!$B36,Consulta!$C:$C,0),'MM01'!D$2),"")=0,"",IFERROR(INDEX(Consulta!$A:$DP,MATCH('MM01'!$B36,Consulta!$C:$C,0),'MM01'!D$2),""))</f>
        <v/>
      </c>
      <c r="E36" s="43" t="str">
        <f>IF(IFERROR(INDEX(Consulta!$A:$DP,MATCH('MM01'!$B36,Consulta!$C:$C,0),'MM01'!E$2),"")=0,"",IFERROR(INDEX(Consulta!$A:$DP,MATCH('MM01'!$B36,Consulta!$C:$C,0),'MM01'!E$2),""))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795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>
        <v>99</v>
      </c>
      <c r="BN36" s="46" t="str">
        <f t="shared" ca="1" si="13"/>
        <v>28.04.2022</v>
      </c>
      <c r="BO36" s="49" t="str">
        <f t="shared" si="14"/>
        <v/>
      </c>
      <c r="BP36" s="50">
        <v>1</v>
      </c>
      <c r="BQ36" s="50" t="s">
        <v>194</v>
      </c>
      <c r="BR36" s="79" t="str">
        <f t="shared" si="15"/>
        <v>01</v>
      </c>
      <c r="BS36" s="50" t="s">
        <v>795</v>
      </c>
      <c r="BT36" s="44">
        <v>1</v>
      </c>
      <c r="BU36" s="44" t="s">
        <v>371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391</v>
      </c>
      <c r="BZ36" s="50">
        <v>0</v>
      </c>
      <c r="CA36" s="45" t="s">
        <v>402</v>
      </c>
      <c r="CB36" s="45" t="s">
        <v>84</v>
      </c>
      <c r="CC36" s="43" t="str">
        <f t="shared" si="16"/>
        <v/>
      </c>
      <c r="CD36" s="45" t="s">
        <v>38</v>
      </c>
      <c r="CE36" s="45">
        <v>1</v>
      </c>
      <c r="CF36" s="45" t="s">
        <v>495</v>
      </c>
      <c r="CG36" s="45"/>
      <c r="CH36" s="44">
        <v>2</v>
      </c>
      <c r="CI36" s="49" t="str">
        <f t="shared" si="17"/>
        <v/>
      </c>
      <c r="CJ36" s="49" t="str">
        <f t="shared" si="18"/>
        <v/>
      </c>
      <c r="CK36" s="45"/>
      <c r="CL36" s="44">
        <v>1</v>
      </c>
      <c r="CM36" s="50" t="s">
        <v>514</v>
      </c>
      <c r="CN36" s="44" t="s">
        <v>371</v>
      </c>
      <c r="CO36" s="44">
        <v>2</v>
      </c>
      <c r="CP36" s="44">
        <v>42</v>
      </c>
      <c r="CQ36" s="44">
        <v>10</v>
      </c>
      <c r="CR36" s="43" t="str">
        <f t="shared" si="19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20"/>
        <v/>
      </c>
      <c r="CY36" s="43" t="str">
        <f t="shared" si="21"/>
        <v/>
      </c>
      <c r="CZ36" s="43" t="str">
        <f t="shared" si="22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3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4"/>
        <v/>
      </c>
      <c r="DG36" s="43" t="str">
        <f t="shared" si="25"/>
        <v/>
      </c>
      <c r="DH36" s="57"/>
      <c r="DI36" s="43" t="str">
        <f t="shared" ca="1" si="26"/>
        <v/>
      </c>
      <c r="DJ36" s="43" t="str">
        <f t="shared" si="27"/>
        <v/>
      </c>
      <c r="DK36" s="43" t="str">
        <f t="shared" si="28"/>
        <v/>
      </c>
      <c r="DL36" s="57"/>
      <c r="DM36" s="43" t="str">
        <f t="shared" ca="1" si="29"/>
        <v/>
      </c>
      <c r="DN36" s="43" t="str">
        <f t="shared" si="30"/>
        <v/>
      </c>
      <c r="DO36" s="43" t="str">
        <f t="shared" si="31"/>
        <v/>
      </c>
      <c r="DP36" s="57"/>
      <c r="DQ36" s="43" t="str">
        <f t="shared" ca="1" si="32"/>
        <v/>
      </c>
      <c r="DR36" s="43" t="str">
        <f t="shared" si="33"/>
        <v/>
      </c>
      <c r="DS36" s="43" t="str">
        <f t="shared" si="34"/>
        <v/>
      </c>
      <c r="DT36" s="57"/>
      <c r="DU36" s="43" t="str">
        <f t="shared" ca="1" si="35"/>
        <v/>
      </c>
      <c r="DV36" s="43" t="str">
        <f t="shared" si="36"/>
        <v/>
      </c>
      <c r="DX36" s="44">
        <v>1</v>
      </c>
      <c r="DY36" s="44" t="s">
        <v>773</v>
      </c>
      <c r="DZ36" s="43">
        <f t="shared" si="37"/>
        <v>0.01</v>
      </c>
      <c r="EA36" s="43" t="str">
        <f t="shared" si="38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9"/>
        <v>100</v>
      </c>
      <c r="EF36" s="44">
        <v>1</v>
      </c>
      <c r="EG36" s="44">
        <v>0</v>
      </c>
      <c r="EH36" s="44" t="s">
        <v>875</v>
      </c>
      <c r="EI36" s="45">
        <v>0</v>
      </c>
      <c r="EJ36" s="43">
        <f t="shared" si="40"/>
        <v>5000</v>
      </c>
      <c r="EK36" s="69"/>
    </row>
    <row r="37" spans="1:141" x14ac:dyDescent="0.2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IF(IFERROR(INDEX(Consulta!$A:$DP,MATCH('MM01'!$B37,Consulta!$C:$C,0),'MM01'!D$2),"")=0,"",IFERROR(INDEX(Consulta!$A:$DP,MATCH('MM01'!$B37,Consulta!$C:$C,0),'MM01'!D$2),""))</f>
        <v/>
      </c>
      <c r="E37" s="43" t="str">
        <f>IF(IFERROR(INDEX(Consulta!$A:$DP,MATCH('MM01'!$B37,Consulta!$C:$C,0),'MM01'!E$2),"")=0,"",IFERROR(INDEX(Consulta!$A:$DP,MATCH('MM01'!$B37,Consulta!$C:$C,0),'MM01'!E$2),""))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795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>
        <v>99</v>
      </c>
      <c r="BN37" s="46" t="str">
        <f t="shared" ca="1" si="13"/>
        <v>28.04.2022</v>
      </c>
      <c r="BO37" s="49" t="str">
        <f t="shared" si="14"/>
        <v/>
      </c>
      <c r="BP37" s="50">
        <v>1</v>
      </c>
      <c r="BQ37" s="50" t="s">
        <v>194</v>
      </c>
      <c r="BR37" s="79" t="str">
        <f t="shared" si="15"/>
        <v>01</v>
      </c>
      <c r="BS37" s="50" t="s">
        <v>795</v>
      </c>
      <c r="BT37" s="44">
        <v>1</v>
      </c>
      <c r="BU37" s="44" t="s">
        <v>371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391</v>
      </c>
      <c r="BZ37" s="50">
        <v>0</v>
      </c>
      <c r="CA37" s="45" t="s">
        <v>402</v>
      </c>
      <c r="CB37" s="45" t="s">
        <v>84</v>
      </c>
      <c r="CC37" s="43" t="str">
        <f t="shared" si="16"/>
        <v/>
      </c>
      <c r="CD37" s="45" t="s">
        <v>38</v>
      </c>
      <c r="CE37" s="45">
        <v>1</v>
      </c>
      <c r="CF37" s="45" t="s">
        <v>495</v>
      </c>
      <c r="CG37" s="45"/>
      <c r="CH37" s="44">
        <v>2</v>
      </c>
      <c r="CI37" s="49" t="str">
        <f t="shared" si="17"/>
        <v/>
      </c>
      <c r="CJ37" s="49" t="str">
        <f t="shared" si="18"/>
        <v/>
      </c>
      <c r="CK37" s="45"/>
      <c r="CL37" s="44">
        <v>1</v>
      </c>
      <c r="CM37" s="50" t="s">
        <v>514</v>
      </c>
      <c r="CN37" s="44" t="s">
        <v>371</v>
      </c>
      <c r="CO37" s="44">
        <v>2</v>
      </c>
      <c r="CP37" s="44">
        <v>42</v>
      </c>
      <c r="CQ37" s="44">
        <v>10</v>
      </c>
      <c r="CR37" s="43" t="str">
        <f t="shared" si="19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20"/>
        <v/>
      </c>
      <c r="CY37" s="43" t="str">
        <f t="shared" si="21"/>
        <v/>
      </c>
      <c r="CZ37" s="43" t="str">
        <f t="shared" si="22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3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4"/>
        <v/>
      </c>
      <c r="DG37" s="43" t="str">
        <f t="shared" si="25"/>
        <v/>
      </c>
      <c r="DH37" s="57"/>
      <c r="DI37" s="43" t="str">
        <f t="shared" ca="1" si="26"/>
        <v/>
      </c>
      <c r="DJ37" s="43" t="str">
        <f t="shared" si="27"/>
        <v/>
      </c>
      <c r="DK37" s="43" t="str">
        <f t="shared" si="28"/>
        <v/>
      </c>
      <c r="DL37" s="57"/>
      <c r="DM37" s="43" t="str">
        <f t="shared" ca="1" si="29"/>
        <v/>
      </c>
      <c r="DN37" s="43" t="str">
        <f t="shared" si="30"/>
        <v/>
      </c>
      <c r="DO37" s="43" t="str">
        <f t="shared" si="31"/>
        <v/>
      </c>
      <c r="DP37" s="57"/>
      <c r="DQ37" s="43" t="str">
        <f t="shared" ca="1" si="32"/>
        <v/>
      </c>
      <c r="DR37" s="43" t="str">
        <f t="shared" si="33"/>
        <v/>
      </c>
      <c r="DS37" s="43" t="str">
        <f t="shared" si="34"/>
        <v/>
      </c>
      <c r="DT37" s="57"/>
      <c r="DU37" s="43" t="str">
        <f t="shared" ca="1" si="35"/>
        <v/>
      </c>
      <c r="DV37" s="43" t="str">
        <f t="shared" si="36"/>
        <v/>
      </c>
      <c r="DX37" s="44">
        <v>1</v>
      </c>
      <c r="DY37" s="44" t="s">
        <v>773</v>
      </c>
      <c r="DZ37" s="43">
        <f t="shared" si="37"/>
        <v>0.01</v>
      </c>
      <c r="EA37" s="43" t="str">
        <f t="shared" si="38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9"/>
        <v>100</v>
      </c>
      <c r="EF37" s="44">
        <v>1</v>
      </c>
      <c r="EG37" s="44">
        <v>0</v>
      </c>
      <c r="EH37" s="44" t="s">
        <v>875</v>
      </c>
      <c r="EI37" s="45">
        <v>0</v>
      </c>
      <c r="EJ37" s="43">
        <f t="shared" si="40"/>
        <v>5000</v>
      </c>
      <c r="EK37" s="69"/>
    </row>
    <row r="38" spans="1:141" x14ac:dyDescent="0.2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IF(IFERROR(INDEX(Consulta!$A:$DP,MATCH('MM01'!$B38,Consulta!$C:$C,0),'MM01'!D$2),"")=0,"",IFERROR(INDEX(Consulta!$A:$DP,MATCH('MM01'!$B38,Consulta!$C:$C,0),'MM01'!D$2),""))</f>
        <v/>
      </c>
      <c r="E38" s="43" t="str">
        <f>IF(IFERROR(INDEX(Consulta!$A:$DP,MATCH('MM01'!$B38,Consulta!$C:$C,0),'MM01'!E$2),"")=0,"",IFERROR(INDEX(Consulta!$A:$DP,MATCH('MM01'!$B38,Consulta!$C:$C,0),'MM01'!E$2),""))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795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>
        <v>99</v>
      </c>
      <c r="BN38" s="46" t="str">
        <f t="shared" ca="1" si="13"/>
        <v>28.04.2022</v>
      </c>
      <c r="BO38" s="49" t="str">
        <f t="shared" si="14"/>
        <v/>
      </c>
      <c r="BP38" s="50">
        <v>1</v>
      </c>
      <c r="BQ38" s="50" t="s">
        <v>194</v>
      </c>
      <c r="BR38" s="79" t="str">
        <f t="shared" si="15"/>
        <v>01</v>
      </c>
      <c r="BS38" s="50" t="s">
        <v>795</v>
      </c>
      <c r="BT38" s="44">
        <v>1</v>
      </c>
      <c r="BU38" s="44" t="s">
        <v>371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391</v>
      </c>
      <c r="BZ38" s="50">
        <v>0</v>
      </c>
      <c r="CA38" s="45" t="s">
        <v>402</v>
      </c>
      <c r="CB38" s="45" t="s">
        <v>84</v>
      </c>
      <c r="CC38" s="43" t="str">
        <f t="shared" si="16"/>
        <v/>
      </c>
      <c r="CD38" s="45" t="s">
        <v>38</v>
      </c>
      <c r="CE38" s="45">
        <v>1</v>
      </c>
      <c r="CF38" s="45" t="s">
        <v>495</v>
      </c>
      <c r="CG38" s="45"/>
      <c r="CH38" s="44">
        <v>2</v>
      </c>
      <c r="CI38" s="49" t="str">
        <f t="shared" si="17"/>
        <v/>
      </c>
      <c r="CJ38" s="49" t="str">
        <f t="shared" si="18"/>
        <v/>
      </c>
      <c r="CK38" s="45"/>
      <c r="CL38" s="44">
        <v>1</v>
      </c>
      <c r="CM38" s="50" t="s">
        <v>514</v>
      </c>
      <c r="CN38" s="44" t="s">
        <v>371</v>
      </c>
      <c r="CO38" s="44">
        <v>2</v>
      </c>
      <c r="CP38" s="44">
        <v>42</v>
      </c>
      <c r="CQ38" s="44">
        <v>10</v>
      </c>
      <c r="CR38" s="43" t="str">
        <f t="shared" si="19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20"/>
        <v/>
      </c>
      <c r="CY38" s="43" t="str">
        <f t="shared" si="21"/>
        <v/>
      </c>
      <c r="CZ38" s="43" t="str">
        <f t="shared" si="22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3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4"/>
        <v/>
      </c>
      <c r="DG38" s="43" t="str">
        <f t="shared" si="25"/>
        <v/>
      </c>
      <c r="DH38" s="57"/>
      <c r="DI38" s="43" t="str">
        <f t="shared" ca="1" si="26"/>
        <v/>
      </c>
      <c r="DJ38" s="43" t="str">
        <f t="shared" si="27"/>
        <v/>
      </c>
      <c r="DK38" s="43" t="str">
        <f t="shared" si="28"/>
        <v/>
      </c>
      <c r="DL38" s="57"/>
      <c r="DM38" s="43" t="str">
        <f t="shared" ca="1" si="29"/>
        <v/>
      </c>
      <c r="DN38" s="43" t="str">
        <f t="shared" si="30"/>
        <v/>
      </c>
      <c r="DO38" s="43" t="str">
        <f t="shared" si="31"/>
        <v/>
      </c>
      <c r="DP38" s="57"/>
      <c r="DQ38" s="43" t="str">
        <f t="shared" ca="1" si="32"/>
        <v/>
      </c>
      <c r="DR38" s="43" t="str">
        <f t="shared" si="33"/>
        <v/>
      </c>
      <c r="DS38" s="43" t="str">
        <f t="shared" si="34"/>
        <v/>
      </c>
      <c r="DT38" s="57"/>
      <c r="DU38" s="43" t="str">
        <f t="shared" ca="1" si="35"/>
        <v/>
      </c>
      <c r="DV38" s="43" t="str">
        <f t="shared" si="36"/>
        <v/>
      </c>
      <c r="DX38" s="44">
        <v>1</v>
      </c>
      <c r="DY38" s="44" t="s">
        <v>773</v>
      </c>
      <c r="DZ38" s="43">
        <f t="shared" si="37"/>
        <v>0.01</v>
      </c>
      <c r="EA38" s="43" t="str">
        <f t="shared" si="38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9"/>
        <v>100</v>
      </c>
      <c r="EF38" s="44">
        <v>1</v>
      </c>
      <c r="EG38" s="44">
        <v>0</v>
      </c>
      <c r="EH38" s="44" t="s">
        <v>875</v>
      </c>
      <c r="EI38" s="45">
        <v>0</v>
      </c>
      <c r="EJ38" s="43">
        <f t="shared" si="40"/>
        <v>5000</v>
      </c>
      <c r="EK38" s="69"/>
    </row>
    <row r="39" spans="1:141" x14ac:dyDescent="0.2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IF(IFERROR(INDEX(Consulta!$A:$DP,MATCH('MM01'!$B39,Consulta!$C:$C,0),'MM01'!D$2),"")=0,"",IFERROR(INDEX(Consulta!$A:$DP,MATCH('MM01'!$B39,Consulta!$C:$C,0),'MM01'!D$2),""))</f>
        <v/>
      </c>
      <c r="E39" s="43" t="str">
        <f>IF(IFERROR(INDEX(Consulta!$A:$DP,MATCH('MM01'!$B39,Consulta!$C:$C,0),'MM01'!E$2),"")=0,"",IFERROR(INDEX(Consulta!$A:$DP,MATCH('MM01'!$B39,Consulta!$C:$C,0),'MM01'!E$2),""))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795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>
        <v>99</v>
      </c>
      <c r="BN39" s="46" t="str">
        <f t="shared" ca="1" si="13"/>
        <v>28.04.2022</v>
      </c>
      <c r="BO39" s="49" t="str">
        <f t="shared" si="14"/>
        <v/>
      </c>
      <c r="BP39" s="50">
        <v>1</v>
      </c>
      <c r="BQ39" s="50" t="s">
        <v>194</v>
      </c>
      <c r="BR39" s="79" t="str">
        <f t="shared" si="15"/>
        <v>01</v>
      </c>
      <c r="BS39" s="50" t="s">
        <v>795</v>
      </c>
      <c r="BT39" s="44">
        <v>1</v>
      </c>
      <c r="BU39" s="44" t="s">
        <v>371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391</v>
      </c>
      <c r="BZ39" s="50">
        <v>0</v>
      </c>
      <c r="CA39" s="45" t="s">
        <v>402</v>
      </c>
      <c r="CB39" s="45" t="s">
        <v>84</v>
      </c>
      <c r="CC39" s="43" t="str">
        <f t="shared" si="16"/>
        <v/>
      </c>
      <c r="CD39" s="45" t="s">
        <v>38</v>
      </c>
      <c r="CE39" s="45">
        <v>1</v>
      </c>
      <c r="CF39" s="45" t="s">
        <v>495</v>
      </c>
      <c r="CG39" s="45"/>
      <c r="CH39" s="44">
        <v>2</v>
      </c>
      <c r="CI39" s="49" t="str">
        <f t="shared" si="17"/>
        <v/>
      </c>
      <c r="CJ39" s="49" t="str">
        <f t="shared" si="18"/>
        <v/>
      </c>
      <c r="CK39" s="45"/>
      <c r="CL39" s="44">
        <v>1</v>
      </c>
      <c r="CM39" s="50" t="s">
        <v>514</v>
      </c>
      <c r="CN39" s="44" t="s">
        <v>371</v>
      </c>
      <c r="CO39" s="44">
        <v>2</v>
      </c>
      <c r="CP39" s="44">
        <v>42</v>
      </c>
      <c r="CQ39" s="44">
        <v>10</v>
      </c>
      <c r="CR39" s="43" t="str">
        <f t="shared" si="19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20"/>
        <v/>
      </c>
      <c r="CY39" s="43" t="str">
        <f t="shared" si="21"/>
        <v/>
      </c>
      <c r="CZ39" s="43" t="str">
        <f t="shared" si="22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3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4"/>
        <v/>
      </c>
      <c r="DG39" s="43" t="str">
        <f t="shared" si="25"/>
        <v/>
      </c>
      <c r="DH39" s="57"/>
      <c r="DI39" s="43" t="str">
        <f t="shared" ca="1" si="26"/>
        <v/>
      </c>
      <c r="DJ39" s="43" t="str">
        <f t="shared" si="27"/>
        <v/>
      </c>
      <c r="DK39" s="43" t="str">
        <f t="shared" si="28"/>
        <v/>
      </c>
      <c r="DL39" s="57"/>
      <c r="DM39" s="43" t="str">
        <f t="shared" ca="1" si="29"/>
        <v/>
      </c>
      <c r="DN39" s="43" t="str">
        <f t="shared" si="30"/>
        <v/>
      </c>
      <c r="DO39" s="43" t="str">
        <f t="shared" si="31"/>
        <v/>
      </c>
      <c r="DP39" s="57"/>
      <c r="DQ39" s="43" t="str">
        <f t="shared" ca="1" si="32"/>
        <v/>
      </c>
      <c r="DR39" s="43" t="str">
        <f t="shared" si="33"/>
        <v/>
      </c>
      <c r="DS39" s="43" t="str">
        <f t="shared" si="34"/>
        <v/>
      </c>
      <c r="DT39" s="57"/>
      <c r="DU39" s="43" t="str">
        <f t="shared" ca="1" si="35"/>
        <v/>
      </c>
      <c r="DV39" s="43" t="str">
        <f t="shared" si="36"/>
        <v/>
      </c>
      <c r="DX39" s="44">
        <v>1</v>
      </c>
      <c r="DY39" s="44" t="s">
        <v>773</v>
      </c>
      <c r="DZ39" s="43">
        <f t="shared" si="37"/>
        <v>0.01</v>
      </c>
      <c r="EA39" s="43" t="str">
        <f t="shared" si="38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9"/>
        <v>100</v>
      </c>
      <c r="EF39" s="44">
        <v>1</v>
      </c>
      <c r="EG39" s="44">
        <v>0</v>
      </c>
      <c r="EH39" s="44" t="s">
        <v>875</v>
      </c>
      <c r="EI39" s="45">
        <v>0</v>
      </c>
      <c r="EJ39" s="43">
        <f t="shared" si="40"/>
        <v>5000</v>
      </c>
      <c r="EK39" s="69"/>
    </row>
    <row r="40" spans="1:141" x14ac:dyDescent="0.2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IF(IFERROR(INDEX(Consulta!$A:$DP,MATCH('MM01'!$B40,Consulta!$C:$C,0),'MM01'!D$2),"")=0,"",IFERROR(INDEX(Consulta!$A:$DP,MATCH('MM01'!$B40,Consulta!$C:$C,0),'MM01'!D$2),""))</f>
        <v/>
      </c>
      <c r="E40" s="43" t="str">
        <f>IF(IFERROR(INDEX(Consulta!$A:$DP,MATCH('MM01'!$B40,Consulta!$C:$C,0),'MM01'!E$2),"")=0,"",IFERROR(INDEX(Consulta!$A:$DP,MATCH('MM01'!$B40,Consulta!$C:$C,0),'MM01'!E$2),""))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795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>
        <v>99</v>
      </c>
      <c r="BN40" s="46" t="str">
        <f t="shared" ca="1" si="13"/>
        <v>28.04.2022</v>
      </c>
      <c r="BO40" s="49" t="str">
        <f t="shared" si="14"/>
        <v/>
      </c>
      <c r="BP40" s="50">
        <v>1</v>
      </c>
      <c r="BQ40" s="50" t="s">
        <v>194</v>
      </c>
      <c r="BR40" s="79" t="str">
        <f t="shared" si="15"/>
        <v>01</v>
      </c>
      <c r="BS40" s="50" t="s">
        <v>795</v>
      </c>
      <c r="BT40" s="44">
        <v>1</v>
      </c>
      <c r="BU40" s="44" t="s">
        <v>371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391</v>
      </c>
      <c r="BZ40" s="50">
        <v>0</v>
      </c>
      <c r="CA40" s="45" t="s">
        <v>402</v>
      </c>
      <c r="CB40" s="45" t="s">
        <v>84</v>
      </c>
      <c r="CC40" s="43" t="str">
        <f t="shared" si="16"/>
        <v/>
      </c>
      <c r="CD40" s="45" t="s">
        <v>38</v>
      </c>
      <c r="CE40" s="45">
        <v>1</v>
      </c>
      <c r="CF40" s="45" t="s">
        <v>495</v>
      </c>
      <c r="CG40" s="45"/>
      <c r="CH40" s="44">
        <v>2</v>
      </c>
      <c r="CI40" s="49" t="str">
        <f t="shared" si="17"/>
        <v/>
      </c>
      <c r="CJ40" s="49" t="str">
        <f t="shared" si="18"/>
        <v/>
      </c>
      <c r="CK40" s="45"/>
      <c r="CL40" s="44">
        <v>1</v>
      </c>
      <c r="CM40" s="50" t="s">
        <v>514</v>
      </c>
      <c r="CN40" s="44" t="s">
        <v>371</v>
      </c>
      <c r="CO40" s="44">
        <v>2</v>
      </c>
      <c r="CP40" s="44">
        <v>42</v>
      </c>
      <c r="CQ40" s="44">
        <v>10</v>
      </c>
      <c r="CR40" s="43" t="str">
        <f t="shared" si="19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20"/>
        <v/>
      </c>
      <c r="CY40" s="43" t="str">
        <f t="shared" si="21"/>
        <v/>
      </c>
      <c r="CZ40" s="43" t="str">
        <f t="shared" si="22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3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4"/>
        <v/>
      </c>
      <c r="DG40" s="43" t="str">
        <f t="shared" si="25"/>
        <v/>
      </c>
      <c r="DH40" s="57"/>
      <c r="DI40" s="43" t="str">
        <f t="shared" ca="1" si="26"/>
        <v/>
      </c>
      <c r="DJ40" s="43" t="str">
        <f t="shared" si="27"/>
        <v/>
      </c>
      <c r="DK40" s="43" t="str">
        <f t="shared" si="28"/>
        <v/>
      </c>
      <c r="DL40" s="57"/>
      <c r="DM40" s="43" t="str">
        <f t="shared" ca="1" si="29"/>
        <v/>
      </c>
      <c r="DN40" s="43" t="str">
        <f t="shared" si="30"/>
        <v/>
      </c>
      <c r="DO40" s="43" t="str">
        <f t="shared" si="31"/>
        <v/>
      </c>
      <c r="DP40" s="57"/>
      <c r="DQ40" s="43" t="str">
        <f t="shared" ca="1" si="32"/>
        <v/>
      </c>
      <c r="DR40" s="43" t="str">
        <f t="shared" si="33"/>
        <v/>
      </c>
      <c r="DS40" s="43" t="str">
        <f t="shared" si="34"/>
        <v/>
      </c>
      <c r="DT40" s="57"/>
      <c r="DU40" s="43" t="str">
        <f t="shared" ca="1" si="35"/>
        <v/>
      </c>
      <c r="DV40" s="43" t="str">
        <f t="shared" si="36"/>
        <v/>
      </c>
      <c r="DX40" s="44">
        <v>1</v>
      </c>
      <c r="DY40" s="44" t="s">
        <v>773</v>
      </c>
      <c r="DZ40" s="43">
        <f t="shared" si="37"/>
        <v>0.01</v>
      </c>
      <c r="EA40" s="43" t="str">
        <f t="shared" si="38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9"/>
        <v>100</v>
      </c>
      <c r="EF40" s="44">
        <v>1</v>
      </c>
      <c r="EG40" s="44">
        <v>0</v>
      </c>
      <c r="EH40" s="44" t="s">
        <v>875</v>
      </c>
      <c r="EI40" s="45">
        <v>0</v>
      </c>
      <c r="EJ40" s="43">
        <f t="shared" si="40"/>
        <v>5000</v>
      </c>
      <c r="EK40" s="69"/>
    </row>
    <row r="41" spans="1:141" x14ac:dyDescent="0.2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IF(IFERROR(INDEX(Consulta!$A:$DP,MATCH('MM01'!$B41,Consulta!$C:$C,0),'MM01'!D$2),"")=0,"",IFERROR(INDEX(Consulta!$A:$DP,MATCH('MM01'!$B41,Consulta!$C:$C,0),'MM01'!D$2),""))</f>
        <v/>
      </c>
      <c r="E41" s="43" t="str">
        <f>IF(IFERROR(INDEX(Consulta!$A:$DP,MATCH('MM01'!$B41,Consulta!$C:$C,0),'MM01'!E$2),"")=0,"",IFERROR(INDEX(Consulta!$A:$DP,MATCH('MM01'!$B41,Consulta!$C:$C,0),'MM01'!E$2),""))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795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>
        <v>99</v>
      </c>
      <c r="BN41" s="46" t="str">
        <f t="shared" ca="1" si="13"/>
        <v>28.04.2022</v>
      </c>
      <c r="BO41" s="49" t="str">
        <f t="shared" si="14"/>
        <v/>
      </c>
      <c r="BP41" s="50">
        <v>1</v>
      </c>
      <c r="BQ41" s="50" t="s">
        <v>194</v>
      </c>
      <c r="BR41" s="79" t="str">
        <f t="shared" si="15"/>
        <v>01</v>
      </c>
      <c r="BS41" s="50" t="s">
        <v>795</v>
      </c>
      <c r="BT41" s="44">
        <v>1</v>
      </c>
      <c r="BU41" s="44" t="s">
        <v>371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391</v>
      </c>
      <c r="BZ41" s="50">
        <v>0</v>
      </c>
      <c r="CA41" s="45" t="s">
        <v>402</v>
      </c>
      <c r="CB41" s="45" t="s">
        <v>84</v>
      </c>
      <c r="CC41" s="43" t="str">
        <f t="shared" si="16"/>
        <v/>
      </c>
      <c r="CD41" s="45" t="s">
        <v>38</v>
      </c>
      <c r="CE41" s="45">
        <v>1</v>
      </c>
      <c r="CF41" s="45" t="s">
        <v>495</v>
      </c>
      <c r="CG41" s="45"/>
      <c r="CH41" s="44">
        <v>2</v>
      </c>
      <c r="CI41" s="49" t="str">
        <f t="shared" si="17"/>
        <v/>
      </c>
      <c r="CJ41" s="49" t="str">
        <f t="shared" si="18"/>
        <v/>
      </c>
      <c r="CK41" s="45"/>
      <c r="CL41" s="44">
        <v>1</v>
      </c>
      <c r="CM41" s="50" t="s">
        <v>514</v>
      </c>
      <c r="CN41" s="44" t="s">
        <v>371</v>
      </c>
      <c r="CO41" s="44">
        <v>2</v>
      </c>
      <c r="CP41" s="44">
        <v>42</v>
      </c>
      <c r="CQ41" s="44">
        <v>10</v>
      </c>
      <c r="CR41" s="43" t="str">
        <f t="shared" si="19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20"/>
        <v/>
      </c>
      <c r="CY41" s="43" t="str">
        <f t="shared" si="21"/>
        <v/>
      </c>
      <c r="CZ41" s="43" t="str">
        <f t="shared" si="22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3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4"/>
        <v/>
      </c>
      <c r="DG41" s="43" t="str">
        <f t="shared" si="25"/>
        <v/>
      </c>
      <c r="DH41" s="57"/>
      <c r="DI41" s="43" t="str">
        <f t="shared" ca="1" si="26"/>
        <v/>
      </c>
      <c r="DJ41" s="43" t="str">
        <f t="shared" si="27"/>
        <v/>
      </c>
      <c r="DK41" s="43" t="str">
        <f t="shared" si="28"/>
        <v/>
      </c>
      <c r="DL41" s="57"/>
      <c r="DM41" s="43" t="str">
        <f t="shared" ca="1" si="29"/>
        <v/>
      </c>
      <c r="DN41" s="43" t="str">
        <f t="shared" si="30"/>
        <v/>
      </c>
      <c r="DO41" s="43" t="str">
        <f t="shared" si="31"/>
        <v/>
      </c>
      <c r="DP41" s="57"/>
      <c r="DQ41" s="43" t="str">
        <f t="shared" ca="1" si="32"/>
        <v/>
      </c>
      <c r="DR41" s="43" t="str">
        <f t="shared" si="33"/>
        <v/>
      </c>
      <c r="DS41" s="43" t="str">
        <f t="shared" si="34"/>
        <v/>
      </c>
      <c r="DT41" s="57"/>
      <c r="DU41" s="43" t="str">
        <f t="shared" ca="1" si="35"/>
        <v/>
      </c>
      <c r="DV41" s="43" t="str">
        <f t="shared" si="36"/>
        <v/>
      </c>
      <c r="DX41" s="44">
        <v>1</v>
      </c>
      <c r="DY41" s="44" t="s">
        <v>773</v>
      </c>
      <c r="DZ41" s="43">
        <f t="shared" si="37"/>
        <v>0.01</v>
      </c>
      <c r="EA41" s="43" t="str">
        <f t="shared" si="38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9"/>
        <v>100</v>
      </c>
      <c r="EF41" s="44">
        <v>1</v>
      </c>
      <c r="EG41" s="44">
        <v>0</v>
      </c>
      <c r="EH41" s="44" t="s">
        <v>875</v>
      </c>
      <c r="EI41" s="45">
        <v>0</v>
      </c>
      <c r="EJ41" s="43">
        <f t="shared" si="40"/>
        <v>5000</v>
      </c>
      <c r="EK41" s="69"/>
    </row>
    <row r="42" spans="1:141" x14ac:dyDescent="0.2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IF(IFERROR(INDEX(Consulta!$A:$DP,MATCH('MM01'!$B42,Consulta!$C:$C,0),'MM01'!D$2),"")=0,"",IFERROR(INDEX(Consulta!$A:$DP,MATCH('MM01'!$B42,Consulta!$C:$C,0),'MM01'!D$2),""))</f>
        <v/>
      </c>
      <c r="E42" s="43" t="str">
        <f>IF(IFERROR(INDEX(Consulta!$A:$DP,MATCH('MM01'!$B42,Consulta!$C:$C,0),'MM01'!E$2),"")=0,"",IFERROR(INDEX(Consulta!$A:$DP,MATCH('MM01'!$B42,Consulta!$C:$C,0),'MM01'!E$2),""))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795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>
        <v>99</v>
      </c>
      <c r="BN42" s="46" t="str">
        <f t="shared" ca="1" si="13"/>
        <v>28.04.2022</v>
      </c>
      <c r="BO42" s="49" t="str">
        <f t="shared" si="14"/>
        <v/>
      </c>
      <c r="BP42" s="50">
        <v>1</v>
      </c>
      <c r="BQ42" s="50" t="s">
        <v>194</v>
      </c>
      <c r="BR42" s="79" t="str">
        <f t="shared" si="15"/>
        <v>01</v>
      </c>
      <c r="BS42" s="50" t="s">
        <v>795</v>
      </c>
      <c r="BT42" s="44">
        <v>1</v>
      </c>
      <c r="BU42" s="44" t="s">
        <v>371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391</v>
      </c>
      <c r="BZ42" s="50">
        <v>0</v>
      </c>
      <c r="CA42" s="45" t="s">
        <v>402</v>
      </c>
      <c r="CB42" s="45" t="s">
        <v>84</v>
      </c>
      <c r="CC42" s="43" t="str">
        <f t="shared" si="16"/>
        <v/>
      </c>
      <c r="CD42" s="45" t="s">
        <v>38</v>
      </c>
      <c r="CE42" s="45">
        <v>1</v>
      </c>
      <c r="CF42" s="45" t="s">
        <v>495</v>
      </c>
      <c r="CG42" s="45"/>
      <c r="CH42" s="44">
        <v>2</v>
      </c>
      <c r="CI42" s="49" t="str">
        <f t="shared" si="17"/>
        <v/>
      </c>
      <c r="CJ42" s="49" t="str">
        <f t="shared" si="18"/>
        <v/>
      </c>
      <c r="CK42" s="45"/>
      <c r="CL42" s="44">
        <v>1</v>
      </c>
      <c r="CM42" s="50" t="s">
        <v>514</v>
      </c>
      <c r="CN42" s="44" t="s">
        <v>371</v>
      </c>
      <c r="CO42" s="44">
        <v>2</v>
      </c>
      <c r="CP42" s="44">
        <v>42</v>
      </c>
      <c r="CQ42" s="44">
        <v>10</v>
      </c>
      <c r="CR42" s="43" t="str">
        <f t="shared" si="19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20"/>
        <v/>
      </c>
      <c r="CY42" s="43" t="str">
        <f t="shared" si="21"/>
        <v/>
      </c>
      <c r="CZ42" s="43" t="str">
        <f t="shared" si="22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3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4"/>
        <v/>
      </c>
      <c r="DG42" s="43" t="str">
        <f t="shared" si="25"/>
        <v/>
      </c>
      <c r="DH42" s="57"/>
      <c r="DI42" s="43" t="str">
        <f t="shared" ca="1" si="26"/>
        <v/>
      </c>
      <c r="DJ42" s="43" t="str">
        <f t="shared" si="27"/>
        <v/>
      </c>
      <c r="DK42" s="43" t="str">
        <f t="shared" si="28"/>
        <v/>
      </c>
      <c r="DL42" s="57"/>
      <c r="DM42" s="43" t="str">
        <f t="shared" ca="1" si="29"/>
        <v/>
      </c>
      <c r="DN42" s="43" t="str">
        <f t="shared" si="30"/>
        <v/>
      </c>
      <c r="DO42" s="43" t="str">
        <f t="shared" si="31"/>
        <v/>
      </c>
      <c r="DP42" s="57"/>
      <c r="DQ42" s="43" t="str">
        <f t="shared" ca="1" si="32"/>
        <v/>
      </c>
      <c r="DR42" s="43" t="str">
        <f t="shared" si="33"/>
        <v/>
      </c>
      <c r="DS42" s="43" t="str">
        <f t="shared" si="34"/>
        <v/>
      </c>
      <c r="DT42" s="57"/>
      <c r="DU42" s="43" t="str">
        <f t="shared" ca="1" si="35"/>
        <v/>
      </c>
      <c r="DV42" s="43" t="str">
        <f t="shared" si="36"/>
        <v/>
      </c>
      <c r="DX42" s="44">
        <v>1</v>
      </c>
      <c r="DY42" s="44" t="s">
        <v>773</v>
      </c>
      <c r="DZ42" s="43">
        <f t="shared" si="37"/>
        <v>0.01</v>
      </c>
      <c r="EA42" s="43" t="str">
        <f t="shared" si="38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9"/>
        <v>100</v>
      </c>
      <c r="EF42" s="44">
        <v>1</v>
      </c>
      <c r="EG42" s="44">
        <v>0</v>
      </c>
      <c r="EH42" s="44" t="s">
        <v>875</v>
      </c>
      <c r="EI42" s="45">
        <v>0</v>
      </c>
      <c r="EJ42" s="43">
        <f t="shared" si="40"/>
        <v>5000</v>
      </c>
      <c r="EK42" s="69"/>
    </row>
    <row r="43" spans="1:141" x14ac:dyDescent="0.2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IF(IFERROR(INDEX(Consulta!$A:$DP,MATCH('MM01'!$B43,Consulta!$C:$C,0),'MM01'!D$2),"")=0,"",IFERROR(INDEX(Consulta!$A:$DP,MATCH('MM01'!$B43,Consulta!$C:$C,0),'MM01'!D$2),""))</f>
        <v/>
      </c>
      <c r="E43" s="43" t="str">
        <f>IF(IFERROR(INDEX(Consulta!$A:$DP,MATCH('MM01'!$B43,Consulta!$C:$C,0),'MM01'!E$2),"")=0,"",IFERROR(INDEX(Consulta!$A:$DP,MATCH('MM01'!$B43,Consulta!$C:$C,0),'MM01'!E$2),""))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795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>
        <v>99</v>
      </c>
      <c r="BN43" s="46" t="str">
        <f t="shared" ca="1" si="13"/>
        <v>28.04.2022</v>
      </c>
      <c r="BO43" s="49" t="str">
        <f t="shared" si="14"/>
        <v/>
      </c>
      <c r="BP43" s="50">
        <v>1</v>
      </c>
      <c r="BQ43" s="50" t="s">
        <v>194</v>
      </c>
      <c r="BR43" s="79" t="str">
        <f t="shared" si="15"/>
        <v>01</v>
      </c>
      <c r="BS43" s="50" t="s">
        <v>795</v>
      </c>
      <c r="BT43" s="44">
        <v>1</v>
      </c>
      <c r="BU43" s="44" t="s">
        <v>371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391</v>
      </c>
      <c r="BZ43" s="50">
        <v>0</v>
      </c>
      <c r="CA43" s="45" t="s">
        <v>402</v>
      </c>
      <c r="CB43" s="45" t="s">
        <v>84</v>
      </c>
      <c r="CC43" s="43" t="str">
        <f t="shared" si="16"/>
        <v/>
      </c>
      <c r="CD43" s="45" t="s">
        <v>38</v>
      </c>
      <c r="CE43" s="45">
        <v>1</v>
      </c>
      <c r="CF43" s="45" t="s">
        <v>495</v>
      </c>
      <c r="CG43" s="45"/>
      <c r="CH43" s="44">
        <v>2</v>
      </c>
      <c r="CI43" s="49" t="str">
        <f t="shared" si="17"/>
        <v/>
      </c>
      <c r="CJ43" s="49" t="str">
        <f t="shared" si="18"/>
        <v/>
      </c>
      <c r="CK43" s="45"/>
      <c r="CL43" s="44">
        <v>1</v>
      </c>
      <c r="CM43" s="50" t="s">
        <v>514</v>
      </c>
      <c r="CN43" s="44" t="s">
        <v>371</v>
      </c>
      <c r="CO43" s="44">
        <v>2</v>
      </c>
      <c r="CP43" s="44">
        <v>42</v>
      </c>
      <c r="CQ43" s="44">
        <v>10</v>
      </c>
      <c r="CR43" s="43" t="str">
        <f t="shared" si="19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20"/>
        <v/>
      </c>
      <c r="CY43" s="43" t="str">
        <f t="shared" si="21"/>
        <v/>
      </c>
      <c r="CZ43" s="43" t="str">
        <f t="shared" si="22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3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4"/>
        <v/>
      </c>
      <c r="DG43" s="43" t="str">
        <f t="shared" si="25"/>
        <v/>
      </c>
      <c r="DH43" s="57"/>
      <c r="DI43" s="43" t="str">
        <f t="shared" ca="1" si="26"/>
        <v/>
      </c>
      <c r="DJ43" s="43" t="str">
        <f t="shared" si="27"/>
        <v/>
      </c>
      <c r="DK43" s="43" t="str">
        <f t="shared" si="28"/>
        <v/>
      </c>
      <c r="DL43" s="57"/>
      <c r="DM43" s="43" t="str">
        <f t="shared" ca="1" si="29"/>
        <v/>
      </c>
      <c r="DN43" s="43" t="str">
        <f t="shared" si="30"/>
        <v/>
      </c>
      <c r="DO43" s="43" t="str">
        <f t="shared" si="31"/>
        <v/>
      </c>
      <c r="DP43" s="57"/>
      <c r="DQ43" s="43" t="str">
        <f t="shared" ca="1" si="32"/>
        <v/>
      </c>
      <c r="DR43" s="43" t="str">
        <f t="shared" si="33"/>
        <v/>
      </c>
      <c r="DS43" s="43" t="str">
        <f t="shared" si="34"/>
        <v/>
      </c>
      <c r="DT43" s="57"/>
      <c r="DU43" s="43" t="str">
        <f t="shared" ca="1" si="35"/>
        <v/>
      </c>
      <c r="DV43" s="43" t="str">
        <f t="shared" si="36"/>
        <v/>
      </c>
      <c r="DX43" s="44">
        <v>1</v>
      </c>
      <c r="DY43" s="44" t="s">
        <v>773</v>
      </c>
      <c r="DZ43" s="43">
        <f t="shared" si="37"/>
        <v>0.01</v>
      </c>
      <c r="EA43" s="43" t="str">
        <f t="shared" si="38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9"/>
        <v>100</v>
      </c>
      <c r="EF43" s="44">
        <v>1</v>
      </c>
      <c r="EG43" s="44">
        <v>0</v>
      </c>
      <c r="EH43" s="44" t="s">
        <v>875</v>
      </c>
      <c r="EI43" s="45">
        <v>0</v>
      </c>
      <c r="EJ43" s="43">
        <f t="shared" si="40"/>
        <v>5000</v>
      </c>
      <c r="EK43" s="69"/>
    </row>
    <row r="44" spans="1:141" x14ac:dyDescent="0.2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IF(IFERROR(INDEX(Consulta!$A:$DP,MATCH('MM01'!$B44,Consulta!$C:$C,0),'MM01'!D$2),"")=0,"",IFERROR(INDEX(Consulta!$A:$DP,MATCH('MM01'!$B44,Consulta!$C:$C,0),'MM01'!D$2),""))</f>
        <v/>
      </c>
      <c r="E44" s="43" t="str">
        <f>IF(IFERROR(INDEX(Consulta!$A:$DP,MATCH('MM01'!$B44,Consulta!$C:$C,0),'MM01'!E$2),"")=0,"",IFERROR(INDEX(Consulta!$A:$DP,MATCH('MM01'!$B44,Consulta!$C:$C,0),'MM01'!E$2),""))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795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>
        <v>99</v>
      </c>
      <c r="BN44" s="46" t="str">
        <f t="shared" ca="1" si="13"/>
        <v>28.04.2022</v>
      </c>
      <c r="BO44" s="49" t="str">
        <f t="shared" si="14"/>
        <v/>
      </c>
      <c r="BP44" s="50">
        <v>1</v>
      </c>
      <c r="BQ44" s="50" t="s">
        <v>194</v>
      </c>
      <c r="BR44" s="79" t="str">
        <f t="shared" si="15"/>
        <v>01</v>
      </c>
      <c r="BS44" s="50" t="s">
        <v>795</v>
      </c>
      <c r="BT44" s="44">
        <v>1</v>
      </c>
      <c r="BU44" s="44" t="s">
        <v>371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391</v>
      </c>
      <c r="BZ44" s="50">
        <v>0</v>
      </c>
      <c r="CA44" s="45" t="s">
        <v>402</v>
      </c>
      <c r="CB44" s="45" t="s">
        <v>84</v>
      </c>
      <c r="CC44" s="43" t="str">
        <f t="shared" si="16"/>
        <v/>
      </c>
      <c r="CD44" s="45" t="s">
        <v>38</v>
      </c>
      <c r="CE44" s="45">
        <v>1</v>
      </c>
      <c r="CF44" s="45" t="s">
        <v>495</v>
      </c>
      <c r="CG44" s="45"/>
      <c r="CH44" s="44">
        <v>2</v>
      </c>
      <c r="CI44" s="49" t="str">
        <f t="shared" si="17"/>
        <v/>
      </c>
      <c r="CJ44" s="49" t="str">
        <f t="shared" si="18"/>
        <v/>
      </c>
      <c r="CK44" s="45"/>
      <c r="CL44" s="44">
        <v>1</v>
      </c>
      <c r="CM44" s="50" t="s">
        <v>514</v>
      </c>
      <c r="CN44" s="44" t="s">
        <v>371</v>
      </c>
      <c r="CO44" s="44">
        <v>2</v>
      </c>
      <c r="CP44" s="44">
        <v>42</v>
      </c>
      <c r="CQ44" s="44">
        <v>10</v>
      </c>
      <c r="CR44" s="43" t="str">
        <f t="shared" si="19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20"/>
        <v/>
      </c>
      <c r="CY44" s="43" t="str">
        <f t="shared" si="21"/>
        <v/>
      </c>
      <c r="CZ44" s="43" t="str">
        <f t="shared" si="22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3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4"/>
        <v/>
      </c>
      <c r="DG44" s="43" t="str">
        <f t="shared" si="25"/>
        <v/>
      </c>
      <c r="DH44" s="57"/>
      <c r="DI44" s="43" t="str">
        <f t="shared" ca="1" si="26"/>
        <v/>
      </c>
      <c r="DJ44" s="43" t="str">
        <f t="shared" si="27"/>
        <v/>
      </c>
      <c r="DK44" s="43" t="str">
        <f t="shared" si="28"/>
        <v/>
      </c>
      <c r="DL44" s="57"/>
      <c r="DM44" s="43" t="str">
        <f t="shared" ca="1" si="29"/>
        <v/>
      </c>
      <c r="DN44" s="43" t="str">
        <f t="shared" si="30"/>
        <v/>
      </c>
      <c r="DO44" s="43" t="str">
        <f t="shared" si="31"/>
        <v/>
      </c>
      <c r="DP44" s="57"/>
      <c r="DQ44" s="43" t="str">
        <f t="shared" ca="1" si="32"/>
        <v/>
      </c>
      <c r="DR44" s="43" t="str">
        <f t="shared" si="33"/>
        <v/>
      </c>
      <c r="DS44" s="43" t="str">
        <f t="shared" si="34"/>
        <v/>
      </c>
      <c r="DT44" s="57"/>
      <c r="DU44" s="43" t="str">
        <f t="shared" ca="1" si="35"/>
        <v/>
      </c>
      <c r="DV44" s="43" t="str">
        <f t="shared" si="36"/>
        <v/>
      </c>
      <c r="DX44" s="44">
        <v>1</v>
      </c>
      <c r="DY44" s="44" t="s">
        <v>773</v>
      </c>
      <c r="DZ44" s="43">
        <f t="shared" si="37"/>
        <v>0.01</v>
      </c>
      <c r="EA44" s="43" t="str">
        <f t="shared" si="38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9"/>
        <v>100</v>
      </c>
      <c r="EF44" s="44">
        <v>1</v>
      </c>
      <c r="EG44" s="44">
        <v>0</v>
      </c>
      <c r="EH44" s="44" t="s">
        <v>875</v>
      </c>
      <c r="EI44" s="45">
        <v>0</v>
      </c>
      <c r="EJ44" s="43">
        <f t="shared" si="40"/>
        <v>5000</v>
      </c>
      <c r="EK44" s="69"/>
    </row>
    <row r="45" spans="1:141" x14ac:dyDescent="0.2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IF(IFERROR(INDEX(Consulta!$A:$DP,MATCH('MM01'!$B45,Consulta!$C:$C,0),'MM01'!D$2),"")=0,"",IFERROR(INDEX(Consulta!$A:$DP,MATCH('MM01'!$B45,Consulta!$C:$C,0),'MM01'!D$2),""))</f>
        <v/>
      </c>
      <c r="E45" s="43" t="str">
        <f>IF(IFERROR(INDEX(Consulta!$A:$DP,MATCH('MM01'!$B45,Consulta!$C:$C,0),'MM01'!E$2),"")=0,"",IFERROR(INDEX(Consulta!$A:$DP,MATCH('MM01'!$B45,Consulta!$C:$C,0),'MM01'!E$2),""))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795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>
        <v>99</v>
      </c>
      <c r="BN45" s="46" t="str">
        <f t="shared" ca="1" si="13"/>
        <v>28.04.2022</v>
      </c>
      <c r="BO45" s="49" t="str">
        <f t="shared" si="14"/>
        <v/>
      </c>
      <c r="BP45" s="50">
        <v>1</v>
      </c>
      <c r="BQ45" s="50" t="s">
        <v>194</v>
      </c>
      <c r="BR45" s="79" t="str">
        <f t="shared" si="15"/>
        <v>01</v>
      </c>
      <c r="BS45" s="50" t="s">
        <v>795</v>
      </c>
      <c r="BT45" s="44">
        <v>1</v>
      </c>
      <c r="BU45" s="44" t="s">
        <v>371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391</v>
      </c>
      <c r="BZ45" s="50">
        <v>0</v>
      </c>
      <c r="CA45" s="45" t="s">
        <v>402</v>
      </c>
      <c r="CB45" s="45" t="s">
        <v>84</v>
      </c>
      <c r="CC45" s="43" t="str">
        <f t="shared" si="16"/>
        <v/>
      </c>
      <c r="CD45" s="45" t="s">
        <v>38</v>
      </c>
      <c r="CE45" s="45">
        <v>1</v>
      </c>
      <c r="CF45" s="45" t="s">
        <v>495</v>
      </c>
      <c r="CG45" s="45"/>
      <c r="CH45" s="44">
        <v>2</v>
      </c>
      <c r="CI45" s="49" t="str">
        <f t="shared" si="17"/>
        <v/>
      </c>
      <c r="CJ45" s="49" t="str">
        <f t="shared" si="18"/>
        <v/>
      </c>
      <c r="CK45" s="45"/>
      <c r="CL45" s="44">
        <v>1</v>
      </c>
      <c r="CM45" s="50" t="s">
        <v>514</v>
      </c>
      <c r="CN45" s="44" t="s">
        <v>371</v>
      </c>
      <c r="CO45" s="44">
        <v>2</v>
      </c>
      <c r="CP45" s="44">
        <v>42</v>
      </c>
      <c r="CQ45" s="44">
        <v>10</v>
      </c>
      <c r="CR45" s="43" t="str">
        <f t="shared" si="19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20"/>
        <v/>
      </c>
      <c r="CY45" s="43" t="str">
        <f t="shared" si="21"/>
        <v/>
      </c>
      <c r="CZ45" s="43" t="str">
        <f t="shared" si="22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3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4"/>
        <v/>
      </c>
      <c r="DG45" s="43" t="str">
        <f t="shared" si="25"/>
        <v/>
      </c>
      <c r="DH45" s="57"/>
      <c r="DI45" s="43" t="str">
        <f t="shared" ca="1" si="26"/>
        <v/>
      </c>
      <c r="DJ45" s="43" t="str">
        <f t="shared" si="27"/>
        <v/>
      </c>
      <c r="DK45" s="43" t="str">
        <f t="shared" si="28"/>
        <v/>
      </c>
      <c r="DL45" s="57"/>
      <c r="DM45" s="43" t="str">
        <f t="shared" ca="1" si="29"/>
        <v/>
      </c>
      <c r="DN45" s="43" t="str">
        <f t="shared" si="30"/>
        <v/>
      </c>
      <c r="DO45" s="43" t="str">
        <f t="shared" si="31"/>
        <v/>
      </c>
      <c r="DP45" s="57"/>
      <c r="DQ45" s="43" t="str">
        <f t="shared" ca="1" si="32"/>
        <v/>
      </c>
      <c r="DR45" s="43" t="str">
        <f t="shared" si="33"/>
        <v/>
      </c>
      <c r="DS45" s="43" t="str">
        <f t="shared" si="34"/>
        <v/>
      </c>
      <c r="DT45" s="57"/>
      <c r="DU45" s="43" t="str">
        <f t="shared" ca="1" si="35"/>
        <v/>
      </c>
      <c r="DV45" s="43" t="str">
        <f t="shared" si="36"/>
        <v/>
      </c>
      <c r="DX45" s="44">
        <v>1</v>
      </c>
      <c r="DY45" s="44" t="s">
        <v>773</v>
      </c>
      <c r="DZ45" s="43">
        <f t="shared" si="37"/>
        <v>0.01</v>
      </c>
      <c r="EA45" s="43" t="str">
        <f t="shared" si="38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9"/>
        <v>100</v>
      </c>
      <c r="EF45" s="44">
        <v>1</v>
      </c>
      <c r="EG45" s="44">
        <v>0</v>
      </c>
      <c r="EH45" s="44" t="s">
        <v>875</v>
      </c>
      <c r="EI45" s="45">
        <v>0</v>
      </c>
      <c r="EJ45" s="43">
        <f t="shared" si="40"/>
        <v>5000</v>
      </c>
      <c r="EK45" s="69"/>
    </row>
    <row r="46" spans="1:141" x14ac:dyDescent="0.2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IF(IFERROR(INDEX(Consulta!$A:$DP,MATCH('MM01'!$B46,Consulta!$C:$C,0),'MM01'!D$2),"")=0,"",IFERROR(INDEX(Consulta!$A:$DP,MATCH('MM01'!$B46,Consulta!$C:$C,0),'MM01'!D$2),""))</f>
        <v/>
      </c>
      <c r="E46" s="43" t="str">
        <f>IF(IFERROR(INDEX(Consulta!$A:$DP,MATCH('MM01'!$B46,Consulta!$C:$C,0),'MM01'!E$2),"")=0,"",IFERROR(INDEX(Consulta!$A:$DP,MATCH('MM01'!$B46,Consulta!$C:$C,0),'MM01'!E$2),""))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795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>
        <v>99</v>
      </c>
      <c r="BN46" s="46" t="str">
        <f t="shared" ca="1" si="13"/>
        <v>28.04.2022</v>
      </c>
      <c r="BO46" s="49" t="str">
        <f t="shared" si="14"/>
        <v/>
      </c>
      <c r="BP46" s="50">
        <v>1</v>
      </c>
      <c r="BQ46" s="50" t="s">
        <v>194</v>
      </c>
      <c r="BR46" s="79" t="str">
        <f t="shared" si="15"/>
        <v>01</v>
      </c>
      <c r="BS46" s="50" t="s">
        <v>795</v>
      </c>
      <c r="BT46" s="44">
        <v>1</v>
      </c>
      <c r="BU46" s="44" t="s">
        <v>371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391</v>
      </c>
      <c r="BZ46" s="50">
        <v>0</v>
      </c>
      <c r="CA46" s="45" t="s">
        <v>402</v>
      </c>
      <c r="CB46" s="45" t="s">
        <v>84</v>
      </c>
      <c r="CC46" s="43" t="str">
        <f t="shared" si="16"/>
        <v/>
      </c>
      <c r="CD46" s="45" t="s">
        <v>38</v>
      </c>
      <c r="CE46" s="45">
        <v>1</v>
      </c>
      <c r="CF46" s="45" t="s">
        <v>495</v>
      </c>
      <c r="CG46" s="45"/>
      <c r="CH46" s="44">
        <v>2</v>
      </c>
      <c r="CI46" s="49" t="str">
        <f t="shared" si="17"/>
        <v/>
      </c>
      <c r="CJ46" s="49" t="str">
        <f t="shared" si="18"/>
        <v/>
      </c>
      <c r="CK46" s="45"/>
      <c r="CL46" s="44">
        <v>1</v>
      </c>
      <c r="CM46" s="50" t="s">
        <v>514</v>
      </c>
      <c r="CN46" s="44" t="s">
        <v>371</v>
      </c>
      <c r="CO46" s="44">
        <v>2</v>
      </c>
      <c r="CP46" s="44">
        <v>42</v>
      </c>
      <c r="CQ46" s="44">
        <v>10</v>
      </c>
      <c r="CR46" s="43" t="str">
        <f t="shared" si="19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20"/>
        <v/>
      </c>
      <c r="CY46" s="43" t="str">
        <f t="shared" si="21"/>
        <v/>
      </c>
      <c r="CZ46" s="43" t="str">
        <f t="shared" si="22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3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4"/>
        <v/>
      </c>
      <c r="DG46" s="43" t="str">
        <f t="shared" si="25"/>
        <v/>
      </c>
      <c r="DH46" s="57"/>
      <c r="DI46" s="43" t="str">
        <f t="shared" ca="1" si="26"/>
        <v/>
      </c>
      <c r="DJ46" s="43" t="str">
        <f t="shared" si="27"/>
        <v/>
      </c>
      <c r="DK46" s="43" t="str">
        <f t="shared" si="28"/>
        <v/>
      </c>
      <c r="DL46" s="57"/>
      <c r="DM46" s="43" t="str">
        <f t="shared" ca="1" si="29"/>
        <v/>
      </c>
      <c r="DN46" s="43" t="str">
        <f t="shared" si="30"/>
        <v/>
      </c>
      <c r="DO46" s="43" t="str">
        <f t="shared" si="31"/>
        <v/>
      </c>
      <c r="DP46" s="57"/>
      <c r="DQ46" s="43" t="str">
        <f t="shared" ca="1" si="32"/>
        <v/>
      </c>
      <c r="DR46" s="43" t="str">
        <f t="shared" si="33"/>
        <v/>
      </c>
      <c r="DS46" s="43" t="str">
        <f t="shared" si="34"/>
        <v/>
      </c>
      <c r="DT46" s="57"/>
      <c r="DU46" s="43" t="str">
        <f t="shared" ca="1" si="35"/>
        <v/>
      </c>
      <c r="DV46" s="43" t="str">
        <f t="shared" si="36"/>
        <v/>
      </c>
      <c r="DX46" s="44">
        <v>1</v>
      </c>
      <c r="DY46" s="44" t="s">
        <v>773</v>
      </c>
      <c r="DZ46" s="43">
        <f t="shared" si="37"/>
        <v>0.01</v>
      </c>
      <c r="EA46" s="43" t="str">
        <f t="shared" si="38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9"/>
        <v>100</v>
      </c>
      <c r="EF46" s="44">
        <v>1</v>
      </c>
      <c r="EG46" s="44">
        <v>0</v>
      </c>
      <c r="EH46" s="44" t="s">
        <v>875</v>
      </c>
      <c r="EI46" s="45">
        <v>0</v>
      </c>
      <c r="EJ46" s="43">
        <f t="shared" si="40"/>
        <v>5000</v>
      </c>
      <c r="EK46" s="69"/>
    </row>
    <row r="47" spans="1:141" x14ac:dyDescent="0.2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IF(IFERROR(INDEX(Consulta!$A:$DP,MATCH('MM01'!$B47,Consulta!$C:$C,0),'MM01'!D$2),"")=0,"",IFERROR(INDEX(Consulta!$A:$DP,MATCH('MM01'!$B47,Consulta!$C:$C,0),'MM01'!D$2),""))</f>
        <v/>
      </c>
      <c r="E47" s="43" t="str">
        <f>IF(IFERROR(INDEX(Consulta!$A:$DP,MATCH('MM01'!$B47,Consulta!$C:$C,0),'MM01'!E$2),"")=0,"",IFERROR(INDEX(Consulta!$A:$DP,MATCH('MM01'!$B47,Consulta!$C:$C,0),'MM01'!E$2),""))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795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>
        <v>99</v>
      </c>
      <c r="BN47" s="46" t="str">
        <f t="shared" ca="1" si="13"/>
        <v>28.04.2022</v>
      </c>
      <c r="BO47" s="49" t="str">
        <f t="shared" si="14"/>
        <v/>
      </c>
      <c r="BP47" s="50">
        <v>1</v>
      </c>
      <c r="BQ47" s="50" t="s">
        <v>194</v>
      </c>
      <c r="BR47" s="79" t="str">
        <f t="shared" si="15"/>
        <v>01</v>
      </c>
      <c r="BS47" s="50" t="s">
        <v>795</v>
      </c>
      <c r="BT47" s="44">
        <v>1</v>
      </c>
      <c r="BU47" s="44" t="s">
        <v>371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391</v>
      </c>
      <c r="BZ47" s="50">
        <v>0</v>
      </c>
      <c r="CA47" s="45" t="s">
        <v>402</v>
      </c>
      <c r="CB47" s="45" t="s">
        <v>84</v>
      </c>
      <c r="CC47" s="43" t="str">
        <f t="shared" si="16"/>
        <v/>
      </c>
      <c r="CD47" s="45" t="s">
        <v>38</v>
      </c>
      <c r="CE47" s="45">
        <v>1</v>
      </c>
      <c r="CF47" s="45" t="s">
        <v>495</v>
      </c>
      <c r="CG47" s="45"/>
      <c r="CH47" s="44">
        <v>2</v>
      </c>
      <c r="CI47" s="49" t="str">
        <f t="shared" si="17"/>
        <v/>
      </c>
      <c r="CJ47" s="49" t="str">
        <f t="shared" si="18"/>
        <v/>
      </c>
      <c r="CK47" s="45"/>
      <c r="CL47" s="44">
        <v>1</v>
      </c>
      <c r="CM47" s="50" t="s">
        <v>514</v>
      </c>
      <c r="CN47" s="44" t="s">
        <v>371</v>
      </c>
      <c r="CO47" s="44">
        <v>2</v>
      </c>
      <c r="CP47" s="44">
        <v>42</v>
      </c>
      <c r="CQ47" s="44">
        <v>10</v>
      </c>
      <c r="CR47" s="43" t="str">
        <f t="shared" si="19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20"/>
        <v/>
      </c>
      <c r="CY47" s="43" t="str">
        <f t="shared" si="21"/>
        <v/>
      </c>
      <c r="CZ47" s="43" t="str">
        <f t="shared" si="22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3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4"/>
        <v/>
      </c>
      <c r="DG47" s="43" t="str">
        <f t="shared" si="25"/>
        <v/>
      </c>
      <c r="DH47" s="57"/>
      <c r="DI47" s="43" t="str">
        <f t="shared" ca="1" si="26"/>
        <v/>
      </c>
      <c r="DJ47" s="43" t="str">
        <f t="shared" si="27"/>
        <v/>
      </c>
      <c r="DK47" s="43" t="str">
        <f t="shared" si="28"/>
        <v/>
      </c>
      <c r="DL47" s="57"/>
      <c r="DM47" s="43" t="str">
        <f t="shared" ca="1" si="29"/>
        <v/>
      </c>
      <c r="DN47" s="43" t="str">
        <f t="shared" si="30"/>
        <v/>
      </c>
      <c r="DO47" s="43" t="str">
        <f t="shared" si="31"/>
        <v/>
      </c>
      <c r="DP47" s="57"/>
      <c r="DQ47" s="43" t="str">
        <f t="shared" ca="1" si="32"/>
        <v/>
      </c>
      <c r="DR47" s="43" t="str">
        <f t="shared" si="33"/>
        <v/>
      </c>
      <c r="DS47" s="43" t="str">
        <f t="shared" si="34"/>
        <v/>
      </c>
      <c r="DT47" s="57"/>
      <c r="DU47" s="43" t="str">
        <f t="shared" ca="1" si="35"/>
        <v/>
      </c>
      <c r="DV47" s="43" t="str">
        <f t="shared" si="36"/>
        <v/>
      </c>
      <c r="DX47" s="44">
        <v>1</v>
      </c>
      <c r="DY47" s="44" t="s">
        <v>773</v>
      </c>
      <c r="DZ47" s="43">
        <f t="shared" si="37"/>
        <v>0.01</v>
      </c>
      <c r="EA47" s="43" t="str">
        <f t="shared" si="38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9"/>
        <v>100</v>
      </c>
      <c r="EF47" s="44">
        <v>1</v>
      </c>
      <c r="EG47" s="44">
        <v>0</v>
      </c>
      <c r="EH47" s="44" t="s">
        <v>875</v>
      </c>
      <c r="EI47" s="45">
        <v>0</v>
      </c>
      <c r="EJ47" s="43">
        <f t="shared" si="40"/>
        <v>5000</v>
      </c>
      <c r="EK47" s="69"/>
    </row>
    <row r="48" spans="1:141" x14ac:dyDescent="0.2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IF(IFERROR(INDEX(Consulta!$A:$DP,MATCH('MM01'!$B48,Consulta!$C:$C,0),'MM01'!D$2),"")=0,"",IFERROR(INDEX(Consulta!$A:$DP,MATCH('MM01'!$B48,Consulta!$C:$C,0),'MM01'!D$2),""))</f>
        <v/>
      </c>
      <c r="E48" s="43" t="str">
        <f>IF(IFERROR(INDEX(Consulta!$A:$DP,MATCH('MM01'!$B48,Consulta!$C:$C,0),'MM01'!E$2),"")=0,"",IFERROR(INDEX(Consulta!$A:$DP,MATCH('MM01'!$B48,Consulta!$C:$C,0),'MM01'!E$2),""))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795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>
        <v>99</v>
      </c>
      <c r="BN48" s="46" t="str">
        <f t="shared" ca="1" si="13"/>
        <v>28.04.2022</v>
      </c>
      <c r="BO48" s="49" t="str">
        <f t="shared" si="14"/>
        <v/>
      </c>
      <c r="BP48" s="50">
        <v>1</v>
      </c>
      <c r="BQ48" s="50" t="s">
        <v>194</v>
      </c>
      <c r="BR48" s="79" t="str">
        <f t="shared" si="15"/>
        <v>01</v>
      </c>
      <c r="BS48" s="50" t="s">
        <v>795</v>
      </c>
      <c r="BT48" s="44">
        <v>1</v>
      </c>
      <c r="BU48" s="44" t="s">
        <v>371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391</v>
      </c>
      <c r="BZ48" s="50">
        <v>0</v>
      </c>
      <c r="CA48" s="45" t="s">
        <v>402</v>
      </c>
      <c r="CB48" s="45" t="s">
        <v>84</v>
      </c>
      <c r="CC48" s="43" t="str">
        <f t="shared" si="16"/>
        <v/>
      </c>
      <c r="CD48" s="45" t="s">
        <v>38</v>
      </c>
      <c r="CE48" s="45">
        <v>1</v>
      </c>
      <c r="CF48" s="45" t="s">
        <v>495</v>
      </c>
      <c r="CG48" s="45"/>
      <c r="CH48" s="44">
        <v>2</v>
      </c>
      <c r="CI48" s="49" t="str">
        <f t="shared" si="17"/>
        <v/>
      </c>
      <c r="CJ48" s="49" t="str">
        <f t="shared" si="18"/>
        <v/>
      </c>
      <c r="CK48" s="45"/>
      <c r="CL48" s="44">
        <v>1</v>
      </c>
      <c r="CM48" s="50" t="s">
        <v>514</v>
      </c>
      <c r="CN48" s="44" t="s">
        <v>371</v>
      </c>
      <c r="CO48" s="44">
        <v>2</v>
      </c>
      <c r="CP48" s="44">
        <v>42</v>
      </c>
      <c r="CQ48" s="44">
        <v>10</v>
      </c>
      <c r="CR48" s="43" t="str">
        <f t="shared" si="19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20"/>
        <v/>
      </c>
      <c r="CY48" s="43" t="str">
        <f t="shared" si="21"/>
        <v/>
      </c>
      <c r="CZ48" s="43" t="str">
        <f t="shared" si="22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3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4"/>
        <v/>
      </c>
      <c r="DG48" s="43" t="str">
        <f t="shared" si="25"/>
        <v/>
      </c>
      <c r="DH48" s="57"/>
      <c r="DI48" s="43" t="str">
        <f t="shared" ca="1" si="26"/>
        <v/>
      </c>
      <c r="DJ48" s="43" t="str">
        <f t="shared" si="27"/>
        <v/>
      </c>
      <c r="DK48" s="43" t="str">
        <f t="shared" si="28"/>
        <v/>
      </c>
      <c r="DL48" s="57"/>
      <c r="DM48" s="43" t="str">
        <f t="shared" ca="1" si="29"/>
        <v/>
      </c>
      <c r="DN48" s="43" t="str">
        <f t="shared" si="30"/>
        <v/>
      </c>
      <c r="DO48" s="43" t="str">
        <f t="shared" si="31"/>
        <v/>
      </c>
      <c r="DP48" s="57"/>
      <c r="DQ48" s="43" t="str">
        <f t="shared" ca="1" si="32"/>
        <v/>
      </c>
      <c r="DR48" s="43" t="str">
        <f t="shared" si="33"/>
        <v/>
      </c>
      <c r="DS48" s="43" t="str">
        <f t="shared" si="34"/>
        <v/>
      </c>
      <c r="DT48" s="57"/>
      <c r="DU48" s="43" t="str">
        <f t="shared" ca="1" si="35"/>
        <v/>
      </c>
      <c r="DV48" s="43" t="str">
        <f t="shared" si="36"/>
        <v/>
      </c>
      <c r="DX48" s="44">
        <v>1</v>
      </c>
      <c r="DY48" s="44" t="s">
        <v>773</v>
      </c>
      <c r="DZ48" s="43">
        <f t="shared" si="37"/>
        <v>0.01</v>
      </c>
      <c r="EA48" s="43" t="str">
        <f t="shared" si="38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9"/>
        <v>100</v>
      </c>
      <c r="EF48" s="44">
        <v>1</v>
      </c>
      <c r="EG48" s="44">
        <v>0</v>
      </c>
      <c r="EH48" s="44" t="s">
        <v>875</v>
      </c>
      <c r="EI48" s="45">
        <v>0</v>
      </c>
      <c r="EJ48" s="43">
        <f t="shared" si="40"/>
        <v>5000</v>
      </c>
      <c r="EK48" s="69"/>
    </row>
    <row r="49" spans="1:141" x14ac:dyDescent="0.2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IF(IFERROR(INDEX(Consulta!$A:$DP,MATCH('MM01'!$B49,Consulta!$C:$C,0),'MM01'!D$2),"")=0,"",IFERROR(INDEX(Consulta!$A:$DP,MATCH('MM01'!$B49,Consulta!$C:$C,0),'MM01'!D$2),""))</f>
        <v/>
      </c>
      <c r="E49" s="43" t="str">
        <f>IF(IFERROR(INDEX(Consulta!$A:$DP,MATCH('MM01'!$B49,Consulta!$C:$C,0),'MM01'!E$2),"")=0,"",IFERROR(INDEX(Consulta!$A:$DP,MATCH('MM01'!$B49,Consulta!$C:$C,0),'MM01'!E$2),""))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795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>
        <v>99</v>
      </c>
      <c r="BN49" s="46" t="str">
        <f t="shared" ca="1" si="13"/>
        <v>28.04.2022</v>
      </c>
      <c r="BO49" s="49" t="str">
        <f t="shared" si="14"/>
        <v/>
      </c>
      <c r="BP49" s="50">
        <v>1</v>
      </c>
      <c r="BQ49" s="50" t="s">
        <v>194</v>
      </c>
      <c r="BR49" s="79" t="str">
        <f t="shared" si="15"/>
        <v>01</v>
      </c>
      <c r="BS49" s="50" t="s">
        <v>795</v>
      </c>
      <c r="BT49" s="44">
        <v>1</v>
      </c>
      <c r="BU49" s="44" t="s">
        <v>371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391</v>
      </c>
      <c r="BZ49" s="50">
        <v>0</v>
      </c>
      <c r="CA49" s="45" t="s">
        <v>402</v>
      </c>
      <c r="CB49" s="45" t="s">
        <v>84</v>
      </c>
      <c r="CC49" s="43" t="str">
        <f t="shared" si="16"/>
        <v/>
      </c>
      <c r="CD49" s="45" t="s">
        <v>38</v>
      </c>
      <c r="CE49" s="45">
        <v>1</v>
      </c>
      <c r="CF49" s="45" t="s">
        <v>495</v>
      </c>
      <c r="CG49" s="45"/>
      <c r="CH49" s="44">
        <v>2</v>
      </c>
      <c r="CI49" s="49" t="str">
        <f t="shared" si="17"/>
        <v/>
      </c>
      <c r="CJ49" s="49" t="str">
        <f t="shared" si="18"/>
        <v/>
      </c>
      <c r="CK49" s="45"/>
      <c r="CL49" s="44">
        <v>1</v>
      </c>
      <c r="CM49" s="50" t="s">
        <v>514</v>
      </c>
      <c r="CN49" s="44" t="s">
        <v>371</v>
      </c>
      <c r="CO49" s="44">
        <v>2</v>
      </c>
      <c r="CP49" s="44">
        <v>42</v>
      </c>
      <c r="CQ49" s="44">
        <v>10</v>
      </c>
      <c r="CR49" s="43" t="str">
        <f t="shared" si="19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20"/>
        <v/>
      </c>
      <c r="CY49" s="43" t="str">
        <f t="shared" si="21"/>
        <v/>
      </c>
      <c r="CZ49" s="43" t="str">
        <f t="shared" si="22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3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4"/>
        <v/>
      </c>
      <c r="DG49" s="43" t="str">
        <f t="shared" si="25"/>
        <v/>
      </c>
      <c r="DH49" s="57"/>
      <c r="DI49" s="43" t="str">
        <f t="shared" ca="1" si="26"/>
        <v/>
      </c>
      <c r="DJ49" s="43" t="str">
        <f t="shared" si="27"/>
        <v/>
      </c>
      <c r="DK49" s="43" t="str">
        <f t="shared" si="28"/>
        <v/>
      </c>
      <c r="DL49" s="57"/>
      <c r="DM49" s="43" t="str">
        <f t="shared" ca="1" si="29"/>
        <v/>
      </c>
      <c r="DN49" s="43" t="str">
        <f t="shared" si="30"/>
        <v/>
      </c>
      <c r="DO49" s="43" t="str">
        <f t="shared" si="31"/>
        <v/>
      </c>
      <c r="DP49" s="57"/>
      <c r="DQ49" s="43" t="str">
        <f t="shared" ca="1" si="32"/>
        <v/>
      </c>
      <c r="DR49" s="43" t="str">
        <f t="shared" si="33"/>
        <v/>
      </c>
      <c r="DS49" s="43" t="str">
        <f t="shared" si="34"/>
        <v/>
      </c>
      <c r="DT49" s="57"/>
      <c r="DU49" s="43" t="str">
        <f t="shared" ca="1" si="35"/>
        <v/>
      </c>
      <c r="DV49" s="43" t="str">
        <f t="shared" si="36"/>
        <v/>
      </c>
      <c r="DX49" s="44">
        <v>1</v>
      </c>
      <c r="DY49" s="44" t="s">
        <v>773</v>
      </c>
      <c r="DZ49" s="43">
        <f t="shared" si="37"/>
        <v>0.01</v>
      </c>
      <c r="EA49" s="43" t="str">
        <f t="shared" si="38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9"/>
        <v>100</v>
      </c>
      <c r="EF49" s="44">
        <v>1</v>
      </c>
      <c r="EG49" s="44">
        <v>0</v>
      </c>
      <c r="EH49" s="44" t="s">
        <v>875</v>
      </c>
      <c r="EI49" s="45">
        <v>0</v>
      </c>
      <c r="EJ49" s="43">
        <f t="shared" si="40"/>
        <v>5000</v>
      </c>
      <c r="EK49" s="69"/>
    </row>
    <row r="50" spans="1:141" x14ac:dyDescent="0.2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IF(IFERROR(INDEX(Consulta!$A:$DP,MATCH('MM01'!$B50,Consulta!$C:$C,0),'MM01'!D$2),"")=0,"",IFERROR(INDEX(Consulta!$A:$DP,MATCH('MM01'!$B50,Consulta!$C:$C,0),'MM01'!D$2),""))</f>
        <v/>
      </c>
      <c r="E50" s="43" t="str">
        <f>IF(IFERROR(INDEX(Consulta!$A:$DP,MATCH('MM01'!$B50,Consulta!$C:$C,0),'MM01'!E$2),"")=0,"",IFERROR(INDEX(Consulta!$A:$DP,MATCH('MM01'!$B50,Consulta!$C:$C,0),'MM01'!E$2),""))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795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>
        <v>99</v>
      </c>
      <c r="BN50" s="46" t="str">
        <f t="shared" ca="1" si="13"/>
        <v>28.04.2022</v>
      </c>
      <c r="BO50" s="49" t="str">
        <f t="shared" si="14"/>
        <v/>
      </c>
      <c r="BP50" s="50">
        <v>1</v>
      </c>
      <c r="BQ50" s="50" t="s">
        <v>194</v>
      </c>
      <c r="BR50" s="79" t="str">
        <f t="shared" si="15"/>
        <v>01</v>
      </c>
      <c r="BS50" s="50" t="s">
        <v>795</v>
      </c>
      <c r="BT50" s="44">
        <v>1</v>
      </c>
      <c r="BU50" s="44" t="s">
        <v>371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391</v>
      </c>
      <c r="BZ50" s="50">
        <v>0</v>
      </c>
      <c r="CA50" s="45" t="s">
        <v>402</v>
      </c>
      <c r="CB50" s="45" t="s">
        <v>84</v>
      </c>
      <c r="CC50" s="43" t="str">
        <f t="shared" si="16"/>
        <v/>
      </c>
      <c r="CD50" s="45" t="s">
        <v>38</v>
      </c>
      <c r="CE50" s="45">
        <v>1</v>
      </c>
      <c r="CF50" s="45" t="s">
        <v>495</v>
      </c>
      <c r="CG50" s="45"/>
      <c r="CH50" s="44">
        <v>2</v>
      </c>
      <c r="CI50" s="49" t="str">
        <f t="shared" si="17"/>
        <v/>
      </c>
      <c r="CJ50" s="49" t="str">
        <f t="shared" si="18"/>
        <v/>
      </c>
      <c r="CK50" s="45"/>
      <c r="CL50" s="44">
        <v>1</v>
      </c>
      <c r="CM50" s="50" t="s">
        <v>514</v>
      </c>
      <c r="CN50" s="44" t="s">
        <v>371</v>
      </c>
      <c r="CO50" s="44">
        <v>2</v>
      </c>
      <c r="CP50" s="44">
        <v>42</v>
      </c>
      <c r="CQ50" s="44">
        <v>10</v>
      </c>
      <c r="CR50" s="43" t="str">
        <f t="shared" si="19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20"/>
        <v/>
      </c>
      <c r="CY50" s="43" t="str">
        <f t="shared" si="21"/>
        <v/>
      </c>
      <c r="CZ50" s="43" t="str">
        <f t="shared" si="22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3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4"/>
        <v/>
      </c>
      <c r="DG50" s="43" t="str">
        <f t="shared" si="25"/>
        <v/>
      </c>
      <c r="DH50" s="57"/>
      <c r="DI50" s="43" t="str">
        <f t="shared" ca="1" si="26"/>
        <v/>
      </c>
      <c r="DJ50" s="43" t="str">
        <f t="shared" si="27"/>
        <v/>
      </c>
      <c r="DK50" s="43" t="str">
        <f t="shared" si="28"/>
        <v/>
      </c>
      <c r="DL50" s="57"/>
      <c r="DM50" s="43" t="str">
        <f t="shared" ca="1" si="29"/>
        <v/>
      </c>
      <c r="DN50" s="43" t="str">
        <f t="shared" si="30"/>
        <v/>
      </c>
      <c r="DO50" s="43" t="str">
        <f t="shared" si="31"/>
        <v/>
      </c>
      <c r="DP50" s="57"/>
      <c r="DQ50" s="43" t="str">
        <f t="shared" ca="1" si="32"/>
        <v/>
      </c>
      <c r="DR50" s="43" t="str">
        <f t="shared" si="33"/>
        <v/>
      </c>
      <c r="DS50" s="43" t="str">
        <f t="shared" si="34"/>
        <v/>
      </c>
      <c r="DT50" s="57"/>
      <c r="DU50" s="43" t="str">
        <f t="shared" ca="1" si="35"/>
        <v/>
      </c>
      <c r="DV50" s="43" t="str">
        <f t="shared" si="36"/>
        <v/>
      </c>
      <c r="DX50" s="44">
        <v>1</v>
      </c>
      <c r="DY50" s="44" t="s">
        <v>773</v>
      </c>
      <c r="DZ50" s="43">
        <f t="shared" si="37"/>
        <v>0.01</v>
      </c>
      <c r="EA50" s="43" t="str">
        <f t="shared" si="38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9"/>
        <v>100</v>
      </c>
      <c r="EF50" s="44">
        <v>1</v>
      </c>
      <c r="EG50" s="44">
        <v>0</v>
      </c>
      <c r="EH50" s="44" t="s">
        <v>875</v>
      </c>
      <c r="EI50" s="45">
        <v>0</v>
      </c>
      <c r="EJ50" s="43">
        <f t="shared" si="40"/>
        <v>5000</v>
      </c>
      <c r="EK50" s="69"/>
    </row>
    <row r="51" spans="1:141" x14ac:dyDescent="0.2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IF(IFERROR(INDEX(Consulta!$A:$DP,MATCH('MM01'!$B51,Consulta!$C:$C,0),'MM01'!D$2),"")=0,"",IFERROR(INDEX(Consulta!$A:$DP,MATCH('MM01'!$B51,Consulta!$C:$C,0),'MM01'!D$2),""))</f>
        <v/>
      </c>
      <c r="E51" s="43" t="str">
        <f>IF(IFERROR(INDEX(Consulta!$A:$DP,MATCH('MM01'!$B51,Consulta!$C:$C,0),'MM01'!E$2),"")=0,"",IFERROR(INDEX(Consulta!$A:$DP,MATCH('MM01'!$B51,Consulta!$C:$C,0),'MM01'!E$2),""))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795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>
        <v>99</v>
      </c>
      <c r="BN51" s="46" t="str">
        <f t="shared" ca="1" si="13"/>
        <v>28.04.2022</v>
      </c>
      <c r="BO51" s="49" t="str">
        <f t="shared" si="14"/>
        <v/>
      </c>
      <c r="BP51" s="50">
        <v>1</v>
      </c>
      <c r="BQ51" s="50" t="s">
        <v>194</v>
      </c>
      <c r="BR51" s="79" t="str">
        <f t="shared" si="15"/>
        <v>01</v>
      </c>
      <c r="BS51" s="50" t="s">
        <v>795</v>
      </c>
      <c r="BT51" s="44">
        <v>1</v>
      </c>
      <c r="BU51" s="44" t="s">
        <v>371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391</v>
      </c>
      <c r="BZ51" s="50">
        <v>0</v>
      </c>
      <c r="CA51" s="45" t="s">
        <v>402</v>
      </c>
      <c r="CB51" s="45" t="s">
        <v>84</v>
      </c>
      <c r="CC51" s="43" t="str">
        <f t="shared" si="16"/>
        <v/>
      </c>
      <c r="CD51" s="45" t="s">
        <v>38</v>
      </c>
      <c r="CE51" s="45">
        <v>1</v>
      </c>
      <c r="CF51" s="45" t="s">
        <v>495</v>
      </c>
      <c r="CG51" s="45"/>
      <c r="CH51" s="44">
        <v>2</v>
      </c>
      <c r="CI51" s="49" t="str">
        <f t="shared" si="17"/>
        <v/>
      </c>
      <c r="CJ51" s="49" t="str">
        <f t="shared" si="18"/>
        <v/>
      </c>
      <c r="CK51" s="45"/>
      <c r="CL51" s="44">
        <v>1</v>
      </c>
      <c r="CM51" s="50" t="s">
        <v>514</v>
      </c>
      <c r="CN51" s="44" t="s">
        <v>371</v>
      </c>
      <c r="CO51" s="44">
        <v>2</v>
      </c>
      <c r="CP51" s="44">
        <v>42</v>
      </c>
      <c r="CQ51" s="44">
        <v>10</v>
      </c>
      <c r="CR51" s="43" t="str">
        <f t="shared" si="19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20"/>
        <v/>
      </c>
      <c r="CY51" s="43" t="str">
        <f t="shared" si="21"/>
        <v/>
      </c>
      <c r="CZ51" s="43" t="str">
        <f t="shared" si="22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3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4"/>
        <v/>
      </c>
      <c r="DG51" s="43" t="str">
        <f t="shared" si="25"/>
        <v/>
      </c>
      <c r="DH51" s="57"/>
      <c r="DI51" s="43" t="str">
        <f t="shared" ca="1" si="26"/>
        <v/>
      </c>
      <c r="DJ51" s="43" t="str">
        <f t="shared" si="27"/>
        <v/>
      </c>
      <c r="DK51" s="43" t="str">
        <f t="shared" si="28"/>
        <v/>
      </c>
      <c r="DL51" s="57"/>
      <c r="DM51" s="43" t="str">
        <f t="shared" ca="1" si="29"/>
        <v/>
      </c>
      <c r="DN51" s="43" t="str">
        <f t="shared" si="30"/>
        <v/>
      </c>
      <c r="DO51" s="43" t="str">
        <f t="shared" si="31"/>
        <v/>
      </c>
      <c r="DP51" s="57"/>
      <c r="DQ51" s="43" t="str">
        <f t="shared" ca="1" si="32"/>
        <v/>
      </c>
      <c r="DR51" s="43" t="str">
        <f t="shared" si="33"/>
        <v/>
      </c>
      <c r="DS51" s="43" t="str">
        <f t="shared" si="34"/>
        <v/>
      </c>
      <c r="DT51" s="57"/>
      <c r="DU51" s="43" t="str">
        <f t="shared" ca="1" si="35"/>
        <v/>
      </c>
      <c r="DV51" s="43" t="str">
        <f t="shared" si="36"/>
        <v/>
      </c>
      <c r="DX51" s="44">
        <v>1</v>
      </c>
      <c r="DY51" s="44" t="s">
        <v>773</v>
      </c>
      <c r="DZ51" s="43">
        <f t="shared" si="37"/>
        <v>0.01</v>
      </c>
      <c r="EA51" s="43" t="str">
        <f t="shared" si="38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9"/>
        <v>100</v>
      </c>
      <c r="EF51" s="44">
        <v>1</v>
      </c>
      <c r="EG51" s="44">
        <v>0</v>
      </c>
      <c r="EH51" s="44" t="s">
        <v>875</v>
      </c>
      <c r="EI51" s="45">
        <v>0</v>
      </c>
      <c r="EJ51" s="43">
        <f t="shared" si="40"/>
        <v>5000</v>
      </c>
      <c r="EK51" s="69"/>
    </row>
    <row r="52" spans="1:141" x14ac:dyDescent="0.2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IF(IFERROR(INDEX(Consulta!$A:$DP,MATCH('MM01'!$B52,Consulta!$C:$C,0),'MM01'!D$2),"")=0,"",IFERROR(INDEX(Consulta!$A:$DP,MATCH('MM01'!$B52,Consulta!$C:$C,0),'MM01'!D$2),""))</f>
        <v/>
      </c>
      <c r="E52" s="43" t="str">
        <f>IF(IFERROR(INDEX(Consulta!$A:$DP,MATCH('MM01'!$B52,Consulta!$C:$C,0),'MM01'!E$2),"")=0,"",IFERROR(INDEX(Consulta!$A:$DP,MATCH('MM01'!$B52,Consulta!$C:$C,0),'MM01'!E$2),""))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795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>
        <v>99</v>
      </c>
      <c r="BN52" s="46" t="str">
        <f t="shared" ca="1" si="13"/>
        <v>28.04.2022</v>
      </c>
      <c r="BO52" s="49" t="str">
        <f t="shared" si="14"/>
        <v/>
      </c>
      <c r="BP52" s="50">
        <v>1</v>
      </c>
      <c r="BQ52" s="50" t="s">
        <v>194</v>
      </c>
      <c r="BR52" s="79" t="str">
        <f t="shared" si="15"/>
        <v>01</v>
      </c>
      <c r="BS52" s="50" t="s">
        <v>795</v>
      </c>
      <c r="BT52" s="44">
        <v>1</v>
      </c>
      <c r="BU52" s="44" t="s">
        <v>371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391</v>
      </c>
      <c r="BZ52" s="50">
        <v>0</v>
      </c>
      <c r="CA52" s="45" t="s">
        <v>402</v>
      </c>
      <c r="CB52" s="45" t="s">
        <v>84</v>
      </c>
      <c r="CC52" s="43" t="str">
        <f t="shared" si="16"/>
        <v/>
      </c>
      <c r="CD52" s="45" t="s">
        <v>38</v>
      </c>
      <c r="CE52" s="45">
        <v>1</v>
      </c>
      <c r="CF52" s="45" t="s">
        <v>495</v>
      </c>
      <c r="CG52" s="45"/>
      <c r="CH52" s="44">
        <v>2</v>
      </c>
      <c r="CI52" s="49" t="str">
        <f t="shared" si="17"/>
        <v/>
      </c>
      <c r="CJ52" s="49" t="str">
        <f t="shared" si="18"/>
        <v/>
      </c>
      <c r="CK52" s="45"/>
      <c r="CL52" s="44">
        <v>1</v>
      </c>
      <c r="CM52" s="50" t="s">
        <v>514</v>
      </c>
      <c r="CN52" s="44" t="s">
        <v>371</v>
      </c>
      <c r="CO52" s="44">
        <v>2</v>
      </c>
      <c r="CP52" s="44">
        <v>42</v>
      </c>
      <c r="CQ52" s="44">
        <v>10</v>
      </c>
      <c r="CR52" s="43" t="str">
        <f t="shared" si="19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20"/>
        <v/>
      </c>
      <c r="CY52" s="43" t="str">
        <f t="shared" si="21"/>
        <v/>
      </c>
      <c r="CZ52" s="43" t="str">
        <f t="shared" si="22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3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4"/>
        <v/>
      </c>
      <c r="DG52" s="43" t="str">
        <f t="shared" si="25"/>
        <v/>
      </c>
      <c r="DH52" s="57"/>
      <c r="DI52" s="43" t="str">
        <f t="shared" ca="1" si="26"/>
        <v/>
      </c>
      <c r="DJ52" s="43" t="str">
        <f t="shared" si="27"/>
        <v/>
      </c>
      <c r="DK52" s="43" t="str">
        <f t="shared" si="28"/>
        <v/>
      </c>
      <c r="DL52" s="57"/>
      <c r="DM52" s="43" t="str">
        <f t="shared" ca="1" si="29"/>
        <v/>
      </c>
      <c r="DN52" s="43" t="str">
        <f t="shared" si="30"/>
        <v/>
      </c>
      <c r="DO52" s="43" t="str">
        <f t="shared" si="31"/>
        <v/>
      </c>
      <c r="DP52" s="57"/>
      <c r="DQ52" s="43" t="str">
        <f t="shared" ca="1" si="32"/>
        <v/>
      </c>
      <c r="DR52" s="43" t="str">
        <f t="shared" si="33"/>
        <v/>
      </c>
      <c r="DS52" s="43" t="str">
        <f t="shared" si="34"/>
        <v/>
      </c>
      <c r="DT52" s="57"/>
      <c r="DU52" s="43" t="str">
        <f t="shared" ca="1" si="35"/>
        <v/>
      </c>
      <c r="DV52" s="43" t="str">
        <f t="shared" si="36"/>
        <v/>
      </c>
      <c r="DX52" s="44">
        <v>1</v>
      </c>
      <c r="DY52" s="44" t="s">
        <v>773</v>
      </c>
      <c r="DZ52" s="43">
        <f t="shared" si="37"/>
        <v>0.01</v>
      </c>
      <c r="EA52" s="43" t="str">
        <f t="shared" si="38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9"/>
        <v>100</v>
      </c>
      <c r="EF52" s="44">
        <v>1</v>
      </c>
      <c r="EG52" s="44">
        <v>0</v>
      </c>
      <c r="EH52" s="44" t="s">
        <v>875</v>
      </c>
      <c r="EI52" s="45">
        <v>0</v>
      </c>
      <c r="EJ52" s="43">
        <f t="shared" si="40"/>
        <v>5000</v>
      </c>
      <c r="EK52" s="69"/>
    </row>
    <row r="53" spans="1:141" x14ac:dyDescent="0.2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IF(IFERROR(INDEX(Consulta!$A:$DP,MATCH('MM01'!$B53,Consulta!$C:$C,0),'MM01'!D$2),"")=0,"",IFERROR(INDEX(Consulta!$A:$DP,MATCH('MM01'!$B53,Consulta!$C:$C,0),'MM01'!D$2),""))</f>
        <v/>
      </c>
      <c r="E53" s="43" t="str">
        <f>IF(IFERROR(INDEX(Consulta!$A:$DP,MATCH('MM01'!$B53,Consulta!$C:$C,0),'MM01'!E$2),"")=0,"",IFERROR(INDEX(Consulta!$A:$DP,MATCH('MM01'!$B53,Consulta!$C:$C,0),'MM01'!E$2),""))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795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>
        <v>99</v>
      </c>
      <c r="BN53" s="46" t="str">
        <f t="shared" ca="1" si="13"/>
        <v>28.04.2022</v>
      </c>
      <c r="BO53" s="49" t="str">
        <f t="shared" si="14"/>
        <v/>
      </c>
      <c r="BP53" s="50">
        <v>1</v>
      </c>
      <c r="BQ53" s="50" t="s">
        <v>194</v>
      </c>
      <c r="BR53" s="79" t="str">
        <f t="shared" si="15"/>
        <v>01</v>
      </c>
      <c r="BS53" s="50" t="s">
        <v>795</v>
      </c>
      <c r="BT53" s="44">
        <v>1</v>
      </c>
      <c r="BU53" s="44" t="s">
        <v>371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391</v>
      </c>
      <c r="BZ53" s="50">
        <v>0</v>
      </c>
      <c r="CA53" s="45" t="s">
        <v>402</v>
      </c>
      <c r="CB53" s="45" t="s">
        <v>84</v>
      </c>
      <c r="CC53" s="43" t="str">
        <f t="shared" si="16"/>
        <v/>
      </c>
      <c r="CD53" s="45" t="s">
        <v>38</v>
      </c>
      <c r="CE53" s="45">
        <v>1</v>
      </c>
      <c r="CF53" s="45" t="s">
        <v>495</v>
      </c>
      <c r="CG53" s="45"/>
      <c r="CH53" s="44">
        <v>2</v>
      </c>
      <c r="CI53" s="49" t="str">
        <f t="shared" si="17"/>
        <v/>
      </c>
      <c r="CJ53" s="49" t="str">
        <f t="shared" si="18"/>
        <v/>
      </c>
      <c r="CK53" s="45"/>
      <c r="CL53" s="44">
        <v>1</v>
      </c>
      <c r="CM53" s="50" t="s">
        <v>514</v>
      </c>
      <c r="CN53" s="44" t="s">
        <v>371</v>
      </c>
      <c r="CO53" s="44">
        <v>2</v>
      </c>
      <c r="CP53" s="44">
        <v>42</v>
      </c>
      <c r="CQ53" s="44">
        <v>10</v>
      </c>
      <c r="CR53" s="43" t="str">
        <f t="shared" si="19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20"/>
        <v/>
      </c>
      <c r="CY53" s="43" t="str">
        <f t="shared" si="21"/>
        <v/>
      </c>
      <c r="CZ53" s="43" t="str">
        <f t="shared" si="22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3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4"/>
        <v/>
      </c>
      <c r="DG53" s="43" t="str">
        <f t="shared" si="25"/>
        <v/>
      </c>
      <c r="DH53" s="57"/>
      <c r="DI53" s="43" t="str">
        <f t="shared" ca="1" si="26"/>
        <v/>
      </c>
      <c r="DJ53" s="43" t="str">
        <f t="shared" si="27"/>
        <v/>
      </c>
      <c r="DK53" s="43" t="str">
        <f t="shared" si="28"/>
        <v/>
      </c>
      <c r="DL53" s="57"/>
      <c r="DM53" s="43" t="str">
        <f t="shared" ca="1" si="29"/>
        <v/>
      </c>
      <c r="DN53" s="43" t="str">
        <f t="shared" si="30"/>
        <v/>
      </c>
      <c r="DO53" s="43" t="str">
        <f t="shared" si="31"/>
        <v/>
      </c>
      <c r="DP53" s="57"/>
      <c r="DQ53" s="43" t="str">
        <f t="shared" ca="1" si="32"/>
        <v/>
      </c>
      <c r="DR53" s="43" t="str">
        <f t="shared" si="33"/>
        <v/>
      </c>
      <c r="DS53" s="43" t="str">
        <f t="shared" si="34"/>
        <v/>
      </c>
      <c r="DT53" s="57"/>
      <c r="DU53" s="43" t="str">
        <f t="shared" ca="1" si="35"/>
        <v/>
      </c>
      <c r="DV53" s="43" t="str">
        <f t="shared" si="36"/>
        <v/>
      </c>
      <c r="DX53" s="44">
        <v>1</v>
      </c>
      <c r="DY53" s="44" t="s">
        <v>773</v>
      </c>
      <c r="DZ53" s="43">
        <f t="shared" si="37"/>
        <v>0.01</v>
      </c>
      <c r="EA53" s="43" t="str">
        <f t="shared" si="38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9"/>
        <v>100</v>
      </c>
      <c r="EF53" s="44">
        <v>1</v>
      </c>
      <c r="EG53" s="44">
        <v>0</v>
      </c>
      <c r="EH53" s="44" t="s">
        <v>875</v>
      </c>
      <c r="EI53" s="45">
        <v>0</v>
      </c>
      <c r="EJ53" s="43">
        <f t="shared" si="40"/>
        <v>5000</v>
      </c>
      <c r="EK53" s="69"/>
    </row>
    <row r="54" spans="1:141" x14ac:dyDescent="0.2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IF(IFERROR(INDEX(Consulta!$A:$DP,MATCH('MM01'!$B54,Consulta!$C:$C,0),'MM01'!D$2),"")=0,"",IFERROR(INDEX(Consulta!$A:$DP,MATCH('MM01'!$B54,Consulta!$C:$C,0),'MM01'!D$2),""))</f>
        <v/>
      </c>
      <c r="E54" s="43" t="str">
        <f>IF(IFERROR(INDEX(Consulta!$A:$DP,MATCH('MM01'!$B54,Consulta!$C:$C,0),'MM01'!E$2),"")=0,"",IFERROR(INDEX(Consulta!$A:$DP,MATCH('MM01'!$B54,Consulta!$C:$C,0),'MM01'!E$2),""))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795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>
        <v>99</v>
      </c>
      <c r="BN54" s="46" t="str">
        <f t="shared" ca="1" si="13"/>
        <v>28.04.2022</v>
      </c>
      <c r="BO54" s="49" t="str">
        <f t="shared" si="14"/>
        <v/>
      </c>
      <c r="BP54" s="50">
        <v>1</v>
      </c>
      <c r="BQ54" s="50" t="s">
        <v>194</v>
      </c>
      <c r="BR54" s="79" t="str">
        <f t="shared" si="15"/>
        <v>01</v>
      </c>
      <c r="BS54" s="50" t="s">
        <v>795</v>
      </c>
      <c r="BT54" s="44">
        <v>1</v>
      </c>
      <c r="BU54" s="44" t="s">
        <v>371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391</v>
      </c>
      <c r="BZ54" s="50">
        <v>0</v>
      </c>
      <c r="CA54" s="45" t="s">
        <v>402</v>
      </c>
      <c r="CB54" s="45" t="s">
        <v>84</v>
      </c>
      <c r="CC54" s="43" t="str">
        <f t="shared" si="16"/>
        <v/>
      </c>
      <c r="CD54" s="45" t="s">
        <v>38</v>
      </c>
      <c r="CE54" s="45">
        <v>1</v>
      </c>
      <c r="CF54" s="45" t="s">
        <v>495</v>
      </c>
      <c r="CG54" s="45"/>
      <c r="CH54" s="44">
        <v>2</v>
      </c>
      <c r="CI54" s="49" t="str">
        <f t="shared" si="17"/>
        <v/>
      </c>
      <c r="CJ54" s="49" t="str">
        <f t="shared" si="18"/>
        <v/>
      </c>
      <c r="CK54" s="45"/>
      <c r="CL54" s="44">
        <v>1</v>
      </c>
      <c r="CM54" s="50" t="s">
        <v>514</v>
      </c>
      <c r="CN54" s="44" t="s">
        <v>371</v>
      </c>
      <c r="CO54" s="44">
        <v>2</v>
      </c>
      <c r="CP54" s="44">
        <v>42</v>
      </c>
      <c r="CQ54" s="44">
        <v>10</v>
      </c>
      <c r="CR54" s="43" t="str">
        <f t="shared" si="19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20"/>
        <v/>
      </c>
      <c r="CY54" s="43" t="str">
        <f t="shared" si="21"/>
        <v/>
      </c>
      <c r="CZ54" s="43" t="str">
        <f t="shared" si="22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3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4"/>
        <v/>
      </c>
      <c r="DG54" s="43" t="str">
        <f t="shared" si="25"/>
        <v/>
      </c>
      <c r="DH54" s="57"/>
      <c r="DI54" s="43" t="str">
        <f t="shared" ca="1" si="26"/>
        <v/>
      </c>
      <c r="DJ54" s="43" t="str">
        <f t="shared" si="27"/>
        <v/>
      </c>
      <c r="DK54" s="43" t="str">
        <f t="shared" si="28"/>
        <v/>
      </c>
      <c r="DL54" s="57"/>
      <c r="DM54" s="43" t="str">
        <f t="shared" ca="1" si="29"/>
        <v/>
      </c>
      <c r="DN54" s="43" t="str">
        <f t="shared" si="30"/>
        <v/>
      </c>
      <c r="DO54" s="43" t="str">
        <f t="shared" si="31"/>
        <v/>
      </c>
      <c r="DP54" s="57"/>
      <c r="DQ54" s="43" t="str">
        <f t="shared" ca="1" si="32"/>
        <v/>
      </c>
      <c r="DR54" s="43" t="str">
        <f t="shared" si="33"/>
        <v/>
      </c>
      <c r="DS54" s="43" t="str">
        <f t="shared" si="34"/>
        <v/>
      </c>
      <c r="DT54" s="57"/>
      <c r="DU54" s="43" t="str">
        <f t="shared" ca="1" si="35"/>
        <v/>
      </c>
      <c r="DV54" s="43" t="str">
        <f t="shared" si="36"/>
        <v/>
      </c>
      <c r="DX54" s="44">
        <v>1</v>
      </c>
      <c r="DY54" s="44" t="s">
        <v>773</v>
      </c>
      <c r="DZ54" s="43">
        <f t="shared" si="37"/>
        <v>0.01</v>
      </c>
      <c r="EA54" s="43" t="str">
        <f t="shared" si="38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9"/>
        <v>100</v>
      </c>
      <c r="EF54" s="44">
        <v>1</v>
      </c>
      <c r="EG54" s="44">
        <v>0</v>
      </c>
      <c r="EH54" s="44" t="s">
        <v>875</v>
      </c>
      <c r="EI54" s="45">
        <v>0</v>
      </c>
      <c r="EJ54" s="43">
        <f t="shared" si="40"/>
        <v>5000</v>
      </c>
      <c r="EK54" s="70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IF(IFERROR(INDEX(Consulta!$A:$DP,MATCH('MM01'!$B55,Consulta!$C:$C,0),'MM01'!D$2),"")=0,"",IFERROR(INDEX(Consulta!$A:$DP,MATCH('MM01'!$B55,Consulta!$C:$C,0),'MM01'!D$2),""))</f>
        <v/>
      </c>
      <c r="E55" s="43" t="str">
        <f>IF(IFERROR(INDEX(Consulta!$A:$DP,MATCH('MM01'!$B55,Consulta!$C:$C,0),'MM01'!E$2),"")=0,"",IFERROR(INDEX(Consulta!$A:$DP,MATCH('MM01'!$B55,Consulta!$C:$C,0),'MM01'!E$2),""))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795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>
        <v>99</v>
      </c>
      <c r="BN55" s="46" t="str">
        <f ca="1">IF(BM55&lt;&gt;0,TEXT(TODAY(),"DD.MM.AAAA"),"")</f>
        <v>28.04.2022</v>
      </c>
      <c r="BO55" s="49" t="str">
        <f>G55</f>
        <v/>
      </c>
      <c r="BP55" s="50">
        <v>1</v>
      </c>
      <c r="BQ55" s="50" t="s">
        <v>194</v>
      </c>
      <c r="BR55" s="79" t="str">
        <f t="shared" si="15"/>
        <v>01</v>
      </c>
      <c r="BS55" s="50" t="s">
        <v>795</v>
      </c>
      <c r="BT55" s="44">
        <v>1</v>
      </c>
      <c r="BU55" s="44" t="s">
        <v>371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391</v>
      </c>
      <c r="BZ55" s="50">
        <v>0</v>
      </c>
      <c r="CA55" s="45" t="s">
        <v>402</v>
      </c>
      <c r="CB55" s="45" t="s">
        <v>84</v>
      </c>
      <c r="CC55" s="43" t="str">
        <f>RIGHT(G55,3)</f>
        <v/>
      </c>
      <c r="CD55" s="45" t="s">
        <v>38</v>
      </c>
      <c r="CE55" s="45">
        <v>1</v>
      </c>
      <c r="CF55" s="45" t="s">
        <v>495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514</v>
      </c>
      <c r="CN55" s="44" t="s">
        <v>371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746</v>
      </c>
      <c r="DI55" s="43" t="str">
        <f ca="1">IF(DH55&lt;&gt;0,TEXT(TODAY(),"dd.mm.aaaa"),"")</f>
        <v>28.04.2022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773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875</v>
      </c>
      <c r="EI55" s="45">
        <v>0</v>
      </c>
      <c r="EJ55" s="43">
        <f>CS55</f>
        <v>5000</v>
      </c>
      <c r="EK55" s="68"/>
    </row>
    <row r="56" spans="1:141" x14ac:dyDescent="0.2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IF(IFERROR(INDEX(Consulta!$A:$DP,MATCH('MM01'!$B56,Consulta!$C:$C,0),'MM01'!D$2),"")=0,"",IFERROR(INDEX(Consulta!$A:$DP,MATCH('MM01'!$B56,Consulta!$C:$C,0),'MM01'!D$2),""))</f>
        <v/>
      </c>
      <c r="E56" s="43" t="str">
        <f>IF(IFERROR(INDEX(Consulta!$A:$DP,MATCH('MM01'!$B56,Consulta!$C:$C,0),'MM01'!E$2),"")=0,"",IFERROR(INDEX(Consulta!$A:$DP,MATCH('MM01'!$B56,Consulta!$C:$C,0),'MM01'!E$2),""))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1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2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3">IF(AT56&lt;&gt;0,TEXT(TODAY(),"DD.MM.AAAA"),"")</f>
        <v/>
      </c>
      <c r="AV56" s="47" t="s">
        <v>795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4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5">IFERROR(ROUND(AW56,3)*1000,"")</f>
        <v/>
      </c>
      <c r="BC56" s="43" t="str">
        <f t="shared" ref="BC56:BC104" si="46">IF(BB56="","",AY56)</f>
        <v/>
      </c>
      <c r="BD56" s="43" t="str">
        <f t="shared" ref="BD56:BD104" si="47">IF(BB56="","",IF(BB56&lt;100000,1000,100))</f>
        <v/>
      </c>
      <c r="BE56" s="43" t="str">
        <f t="shared" ref="BE56:BE104" si="48">AO56</f>
        <v>M</v>
      </c>
      <c r="BF56" s="43" t="str">
        <f t="shared" ref="BF56:BF104" si="49">IF(BH56="","",IF(D56&lt;&gt;"KMAT",IF(BH56&lt;100000,1000,100),""))</f>
        <v/>
      </c>
      <c r="BG56" s="43" t="str">
        <f t="shared" ref="BG56:BG104" si="50">IF(BF56="","",IF(D56&lt;&gt;"KMAT","PC",""))</f>
        <v/>
      </c>
      <c r="BH56" s="43" t="str">
        <f t="shared" ref="BH56:BH104" si="51">IF(D56&lt;&gt;"KMAT",E56,"")</f>
        <v/>
      </c>
      <c r="BI56" s="43" t="str">
        <f t="shared" ref="BI56:BI104" si="52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>
        <v>99</v>
      </c>
      <c r="BN56" s="46" t="str">
        <f t="shared" ref="BN56:BN104" ca="1" si="53">IF(BM56&lt;&gt;0,TEXT(TODAY(),"DD.MM.AAAA"),"")</f>
        <v>28.04.2022</v>
      </c>
      <c r="BO56" s="49" t="str">
        <f t="shared" ref="BO56:BO104" si="54">G56</f>
        <v/>
      </c>
      <c r="BP56" s="50">
        <v>1</v>
      </c>
      <c r="BQ56" s="50" t="s">
        <v>194</v>
      </c>
      <c r="BR56" s="79" t="str">
        <f t="shared" si="15"/>
        <v>01</v>
      </c>
      <c r="BS56" s="50" t="s">
        <v>795</v>
      </c>
      <c r="BT56" s="44">
        <v>1</v>
      </c>
      <c r="BU56" s="44" t="s">
        <v>371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391</v>
      </c>
      <c r="BZ56" s="50">
        <v>0</v>
      </c>
      <c r="CA56" s="45" t="s">
        <v>402</v>
      </c>
      <c r="CB56" s="45" t="s">
        <v>84</v>
      </c>
      <c r="CC56" s="43" t="str">
        <f t="shared" ref="CC56:CC104" si="55">RIGHT(G56,3)</f>
        <v/>
      </c>
      <c r="CD56" s="45" t="s">
        <v>38</v>
      </c>
      <c r="CE56" s="45">
        <v>1</v>
      </c>
      <c r="CF56" s="45" t="s">
        <v>495</v>
      </c>
      <c r="CG56" s="45"/>
      <c r="CH56" s="44">
        <v>2</v>
      </c>
      <c r="CI56" s="49" t="str">
        <f t="shared" ref="CI56:CI104" si="56">H56</f>
        <v/>
      </c>
      <c r="CJ56" s="49" t="str">
        <f t="shared" ref="CJ56:CJ104" si="57">H56</f>
        <v/>
      </c>
      <c r="CK56" s="45"/>
      <c r="CL56" s="44">
        <v>1</v>
      </c>
      <c r="CM56" s="50" t="s">
        <v>514</v>
      </c>
      <c r="CN56" s="44" t="s">
        <v>371</v>
      </c>
      <c r="CO56" s="44">
        <v>2</v>
      </c>
      <c r="CP56" s="44">
        <v>42</v>
      </c>
      <c r="CQ56" s="44">
        <v>10</v>
      </c>
      <c r="CR56" s="43" t="str">
        <f t="shared" ref="CR56:CR104" si="58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9">IF(OR(CT56="",CU56="",CV56="",CW56=""),"",CT56&amp;" / "&amp;CU56&amp;" / "&amp;CV56&amp;" / "&amp;CW56)</f>
        <v/>
      </c>
      <c r="CY56" s="43" t="str">
        <f t="shared" ref="CY56:CY104" si="60">IF(OR(D56="MFER",D56="KMAT"),"INITIAL",IF(OR(D56="FERT",D56="HAWZ"),"0000999999",""))</f>
        <v/>
      </c>
      <c r="CZ56" s="43" t="str">
        <f t="shared" ref="CZ56:CZ104" si="61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2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3">IFERROR(ROUND(AW56,2),"")</f>
        <v/>
      </c>
      <c r="DG56" s="43">
        <f t="shared" ref="DG56:DG104" si="64">IF(DH56&lt;&gt;0,1,"")</f>
        <v>1</v>
      </c>
      <c r="DH56" s="57" t="s">
        <v>746</v>
      </c>
      <c r="DI56" s="43" t="str">
        <f t="shared" ref="DI56:DI104" ca="1" si="65">IF(DH56&lt;&gt;0,TEXT(TODAY(),"dd.mm.aaaa"),"")</f>
        <v>28.04.2022</v>
      </c>
      <c r="DJ56" s="43" t="str">
        <f t="shared" ref="DJ56:DJ104" si="66">IF(DH56&lt;&gt;0,"31.12.9999","")</f>
        <v>31.12.9999</v>
      </c>
      <c r="DK56" s="43" t="str">
        <f t="shared" ref="DK56:DK104" si="67">IF(DL56&lt;&gt;0,2,"")</f>
        <v/>
      </c>
      <c r="DL56" s="57"/>
      <c r="DM56" s="43" t="str">
        <f t="shared" ref="DM56:DM104" ca="1" si="68">IF(DL56&lt;&gt;0,TEXT(TODAY(),"dd.mm.aaaa"),"")</f>
        <v/>
      </c>
      <c r="DN56" s="43" t="str">
        <f t="shared" ref="DN56:DN104" si="69">IF(DL56&lt;&gt;0,"31.12.9999","")</f>
        <v/>
      </c>
      <c r="DO56" s="43" t="str">
        <f t="shared" ref="DO56:DO104" si="70">IF(DP56&lt;&gt;0,3,"")</f>
        <v/>
      </c>
      <c r="DP56" s="57"/>
      <c r="DQ56" s="43" t="str">
        <f t="shared" ref="DQ56:DQ104" ca="1" si="71">IF(DP56&lt;&gt;0,TEXT(TODAY(),"dd.mm.aaaa"),"")</f>
        <v/>
      </c>
      <c r="DR56" s="43" t="str">
        <f t="shared" ref="DR56:DR104" si="72">IF(DP56&lt;&gt;0,"31.12.9999","")</f>
        <v/>
      </c>
      <c r="DS56" s="43" t="str">
        <f t="shared" ref="DS56:DS104" si="73">IF(DT56&lt;&gt;0,4,"")</f>
        <v/>
      </c>
      <c r="DT56" s="57"/>
      <c r="DU56" s="43" t="str">
        <f t="shared" ref="DU56:DU104" ca="1" si="74">IF(DT56&lt;&gt;0,TEXT(TODAY(),"dd.mm.aaaa"),"")</f>
        <v/>
      </c>
      <c r="DV56" s="43" t="str">
        <f t="shared" ref="DV56:DV104" si="75">IF(DT56&lt;&gt;0,"31.12.9999","")</f>
        <v/>
      </c>
      <c r="DX56" s="44">
        <v>1</v>
      </c>
      <c r="DY56" s="44" t="s">
        <v>773</v>
      </c>
      <c r="DZ56" s="43">
        <f t="shared" ref="DZ56:DZ104" si="76">IF(OR(AO56="M",AO56="KG"),0.01,1)</f>
        <v>0.01</v>
      </c>
      <c r="EA56" s="43" t="str">
        <f t="shared" ref="EA56:EA104" si="77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8">EC56</f>
        <v>100</v>
      </c>
      <c r="EF56" s="44">
        <v>1</v>
      </c>
      <c r="EG56" s="44">
        <v>0</v>
      </c>
      <c r="EH56" s="44" t="s">
        <v>875</v>
      </c>
      <c r="EI56" s="45">
        <v>0</v>
      </c>
      <c r="EJ56" s="43">
        <f t="shared" ref="EJ56:EJ104" si="79">CS56</f>
        <v>5000</v>
      </c>
      <c r="EK56" s="69"/>
    </row>
    <row r="57" spans="1:141" x14ac:dyDescent="0.2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IF(IFERROR(INDEX(Consulta!$A:$DP,MATCH('MM01'!$B57,Consulta!$C:$C,0),'MM01'!D$2),"")=0,"",IFERROR(INDEX(Consulta!$A:$DP,MATCH('MM01'!$B57,Consulta!$C:$C,0),'MM01'!D$2),""))</f>
        <v/>
      </c>
      <c r="E57" s="43" t="str">
        <f>IF(IFERROR(INDEX(Consulta!$A:$DP,MATCH('MM01'!$B57,Consulta!$C:$C,0),'MM01'!E$2),"")=0,"",IFERROR(INDEX(Consulta!$A:$DP,MATCH('MM01'!$B57,Consulta!$C:$C,0),'MM01'!E$2),""))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1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2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3"/>
        <v/>
      </c>
      <c r="AV57" s="47" t="s">
        <v>795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4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5"/>
        <v/>
      </c>
      <c r="BC57" s="43" t="str">
        <f t="shared" si="46"/>
        <v/>
      </c>
      <c r="BD57" s="43" t="str">
        <f t="shared" si="47"/>
        <v/>
      </c>
      <c r="BE57" s="43" t="str">
        <f t="shared" si="48"/>
        <v>M</v>
      </c>
      <c r="BF57" s="43" t="str">
        <f t="shared" si="49"/>
        <v/>
      </c>
      <c r="BG57" s="43" t="str">
        <f t="shared" si="50"/>
        <v/>
      </c>
      <c r="BH57" s="43" t="str">
        <f t="shared" si="51"/>
        <v/>
      </c>
      <c r="BI57" s="43" t="str">
        <f t="shared" si="52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>
        <v>99</v>
      </c>
      <c r="BN57" s="46" t="str">
        <f t="shared" ca="1" si="53"/>
        <v>28.04.2022</v>
      </c>
      <c r="BO57" s="49" t="str">
        <f t="shared" si="54"/>
        <v/>
      </c>
      <c r="BP57" s="50">
        <v>1</v>
      </c>
      <c r="BQ57" s="50" t="s">
        <v>194</v>
      </c>
      <c r="BR57" s="79" t="str">
        <f t="shared" si="15"/>
        <v>01</v>
      </c>
      <c r="BS57" s="50" t="s">
        <v>795</v>
      </c>
      <c r="BT57" s="44">
        <v>1</v>
      </c>
      <c r="BU57" s="44" t="s">
        <v>371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391</v>
      </c>
      <c r="BZ57" s="50">
        <v>0</v>
      </c>
      <c r="CA57" s="45" t="s">
        <v>402</v>
      </c>
      <c r="CB57" s="45" t="s">
        <v>84</v>
      </c>
      <c r="CC57" s="43" t="str">
        <f t="shared" si="55"/>
        <v/>
      </c>
      <c r="CD57" s="45" t="s">
        <v>38</v>
      </c>
      <c r="CE57" s="45">
        <v>1</v>
      </c>
      <c r="CF57" s="45" t="s">
        <v>495</v>
      </c>
      <c r="CG57" s="45"/>
      <c r="CH57" s="44">
        <v>2</v>
      </c>
      <c r="CI57" s="49" t="str">
        <f t="shared" si="56"/>
        <v/>
      </c>
      <c r="CJ57" s="49" t="str">
        <f t="shared" si="57"/>
        <v/>
      </c>
      <c r="CK57" s="45"/>
      <c r="CL57" s="44">
        <v>1</v>
      </c>
      <c r="CM57" s="50" t="s">
        <v>514</v>
      </c>
      <c r="CN57" s="44" t="s">
        <v>371</v>
      </c>
      <c r="CO57" s="44">
        <v>2</v>
      </c>
      <c r="CP57" s="44">
        <v>42</v>
      </c>
      <c r="CQ57" s="44">
        <v>10</v>
      </c>
      <c r="CR57" s="43" t="str">
        <f t="shared" si="58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9"/>
        <v/>
      </c>
      <c r="CY57" s="43" t="str">
        <f t="shared" si="60"/>
        <v/>
      </c>
      <c r="CZ57" s="43" t="str">
        <f t="shared" si="61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2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3"/>
        <v/>
      </c>
      <c r="DG57" s="43" t="str">
        <f t="shared" si="64"/>
        <v/>
      </c>
      <c r="DH57" s="57"/>
      <c r="DI57" s="43" t="str">
        <f t="shared" ca="1" si="65"/>
        <v/>
      </c>
      <c r="DJ57" s="43" t="str">
        <f t="shared" si="66"/>
        <v/>
      </c>
      <c r="DK57" s="43" t="str">
        <f t="shared" si="67"/>
        <v/>
      </c>
      <c r="DL57" s="57"/>
      <c r="DM57" s="43" t="str">
        <f t="shared" ca="1" si="68"/>
        <v/>
      </c>
      <c r="DN57" s="43" t="str">
        <f t="shared" si="69"/>
        <v/>
      </c>
      <c r="DO57" s="43" t="str">
        <f t="shared" si="70"/>
        <v/>
      </c>
      <c r="DP57" s="57"/>
      <c r="DQ57" s="43" t="str">
        <f t="shared" ca="1" si="71"/>
        <v/>
      </c>
      <c r="DR57" s="43" t="str">
        <f t="shared" si="72"/>
        <v/>
      </c>
      <c r="DS57" s="43" t="str">
        <f t="shared" si="73"/>
        <v/>
      </c>
      <c r="DT57" s="57"/>
      <c r="DU57" s="43" t="str">
        <f t="shared" ca="1" si="74"/>
        <v/>
      </c>
      <c r="DV57" s="43" t="str">
        <f t="shared" si="75"/>
        <v/>
      </c>
      <c r="DX57" s="44">
        <v>1</v>
      </c>
      <c r="DY57" s="44" t="s">
        <v>773</v>
      </c>
      <c r="DZ57" s="43">
        <f t="shared" si="76"/>
        <v>0.01</v>
      </c>
      <c r="EA57" s="43" t="str">
        <f t="shared" si="77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8"/>
        <v>100</v>
      </c>
      <c r="EF57" s="44">
        <v>1</v>
      </c>
      <c r="EG57" s="44">
        <v>0</v>
      </c>
      <c r="EH57" s="44" t="s">
        <v>875</v>
      </c>
      <c r="EI57" s="45">
        <v>0</v>
      </c>
      <c r="EJ57" s="43">
        <f t="shared" si="79"/>
        <v>5000</v>
      </c>
      <c r="EK57" s="69"/>
    </row>
    <row r="58" spans="1:141" x14ac:dyDescent="0.2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IF(IFERROR(INDEX(Consulta!$A:$DP,MATCH('MM01'!$B58,Consulta!$C:$C,0),'MM01'!D$2),"")=0,"",IFERROR(INDEX(Consulta!$A:$DP,MATCH('MM01'!$B58,Consulta!$C:$C,0),'MM01'!D$2),""))</f>
        <v/>
      </c>
      <c r="E58" s="43" t="str">
        <f>IF(IFERROR(INDEX(Consulta!$A:$DP,MATCH('MM01'!$B58,Consulta!$C:$C,0),'MM01'!E$2),"")=0,"",IFERROR(INDEX(Consulta!$A:$DP,MATCH('MM01'!$B58,Consulta!$C:$C,0),'MM01'!E$2),""))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1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2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3"/>
        <v/>
      </c>
      <c r="AV58" s="47" t="s">
        <v>795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4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5"/>
        <v/>
      </c>
      <c r="BC58" s="43" t="str">
        <f t="shared" si="46"/>
        <v/>
      </c>
      <c r="BD58" s="43" t="str">
        <f t="shared" si="47"/>
        <v/>
      </c>
      <c r="BE58" s="43" t="str">
        <f t="shared" si="48"/>
        <v>M</v>
      </c>
      <c r="BF58" s="43" t="str">
        <f t="shared" si="49"/>
        <v/>
      </c>
      <c r="BG58" s="43" t="str">
        <f t="shared" si="50"/>
        <v/>
      </c>
      <c r="BH58" s="43" t="str">
        <f t="shared" si="51"/>
        <v/>
      </c>
      <c r="BI58" s="43" t="str">
        <f t="shared" si="52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>
        <v>99</v>
      </c>
      <c r="BN58" s="46" t="str">
        <f t="shared" ca="1" si="53"/>
        <v>28.04.2022</v>
      </c>
      <c r="BO58" s="49" t="str">
        <f t="shared" si="54"/>
        <v/>
      </c>
      <c r="BP58" s="50">
        <v>1</v>
      </c>
      <c r="BQ58" s="50" t="s">
        <v>194</v>
      </c>
      <c r="BR58" s="79" t="str">
        <f t="shared" si="15"/>
        <v>01</v>
      </c>
      <c r="BS58" s="50" t="s">
        <v>795</v>
      </c>
      <c r="BT58" s="44">
        <v>1</v>
      </c>
      <c r="BU58" s="44" t="s">
        <v>371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391</v>
      </c>
      <c r="BZ58" s="50">
        <v>0</v>
      </c>
      <c r="CA58" s="45" t="s">
        <v>402</v>
      </c>
      <c r="CB58" s="45" t="s">
        <v>84</v>
      </c>
      <c r="CC58" s="43" t="str">
        <f t="shared" si="55"/>
        <v/>
      </c>
      <c r="CD58" s="45" t="s">
        <v>38</v>
      </c>
      <c r="CE58" s="45">
        <v>1</v>
      </c>
      <c r="CF58" s="45" t="s">
        <v>495</v>
      </c>
      <c r="CG58" s="45"/>
      <c r="CH58" s="44">
        <v>2</v>
      </c>
      <c r="CI58" s="49" t="str">
        <f t="shared" si="56"/>
        <v/>
      </c>
      <c r="CJ58" s="49" t="str">
        <f t="shared" si="57"/>
        <v/>
      </c>
      <c r="CK58" s="45"/>
      <c r="CL58" s="44">
        <v>1</v>
      </c>
      <c r="CM58" s="50" t="s">
        <v>514</v>
      </c>
      <c r="CN58" s="44" t="s">
        <v>371</v>
      </c>
      <c r="CO58" s="44">
        <v>2</v>
      </c>
      <c r="CP58" s="44">
        <v>42</v>
      </c>
      <c r="CQ58" s="44">
        <v>10</v>
      </c>
      <c r="CR58" s="43" t="str">
        <f t="shared" si="58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9"/>
        <v/>
      </c>
      <c r="CY58" s="43" t="str">
        <f t="shared" si="60"/>
        <v/>
      </c>
      <c r="CZ58" s="43" t="str">
        <f t="shared" si="61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2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3"/>
        <v/>
      </c>
      <c r="DG58" s="43" t="str">
        <f t="shared" si="64"/>
        <v/>
      </c>
      <c r="DH58" s="57"/>
      <c r="DI58" s="43" t="str">
        <f t="shared" ca="1" si="65"/>
        <v/>
      </c>
      <c r="DJ58" s="43" t="str">
        <f t="shared" si="66"/>
        <v/>
      </c>
      <c r="DK58" s="43" t="str">
        <f t="shared" si="67"/>
        <v/>
      </c>
      <c r="DL58" s="57"/>
      <c r="DM58" s="43" t="str">
        <f t="shared" ca="1" si="68"/>
        <v/>
      </c>
      <c r="DN58" s="43" t="str">
        <f t="shared" si="69"/>
        <v/>
      </c>
      <c r="DO58" s="43" t="str">
        <f t="shared" si="70"/>
        <v/>
      </c>
      <c r="DP58" s="57"/>
      <c r="DQ58" s="43" t="str">
        <f t="shared" ca="1" si="71"/>
        <v/>
      </c>
      <c r="DR58" s="43" t="str">
        <f t="shared" si="72"/>
        <v/>
      </c>
      <c r="DS58" s="43" t="str">
        <f t="shared" si="73"/>
        <v/>
      </c>
      <c r="DT58" s="57"/>
      <c r="DU58" s="43" t="str">
        <f t="shared" ca="1" si="74"/>
        <v/>
      </c>
      <c r="DV58" s="43" t="str">
        <f t="shared" si="75"/>
        <v/>
      </c>
      <c r="DX58" s="44">
        <v>1</v>
      </c>
      <c r="DY58" s="44" t="s">
        <v>773</v>
      </c>
      <c r="DZ58" s="43">
        <f t="shared" si="76"/>
        <v>0.01</v>
      </c>
      <c r="EA58" s="43" t="str">
        <f t="shared" si="77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8"/>
        <v>100</v>
      </c>
      <c r="EF58" s="44">
        <v>1</v>
      </c>
      <c r="EG58" s="44">
        <v>0</v>
      </c>
      <c r="EH58" s="44" t="s">
        <v>875</v>
      </c>
      <c r="EI58" s="45">
        <v>0</v>
      </c>
      <c r="EJ58" s="43">
        <f t="shared" si="79"/>
        <v>5000</v>
      </c>
      <c r="EK58" s="69"/>
    </row>
    <row r="59" spans="1:141" x14ac:dyDescent="0.2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IF(IFERROR(INDEX(Consulta!$A:$DP,MATCH('MM01'!$B59,Consulta!$C:$C,0),'MM01'!D$2),"")=0,"",IFERROR(INDEX(Consulta!$A:$DP,MATCH('MM01'!$B59,Consulta!$C:$C,0),'MM01'!D$2),""))</f>
        <v/>
      </c>
      <c r="E59" s="43" t="str">
        <f>IF(IFERROR(INDEX(Consulta!$A:$DP,MATCH('MM01'!$B59,Consulta!$C:$C,0),'MM01'!E$2),"")=0,"",IFERROR(INDEX(Consulta!$A:$DP,MATCH('MM01'!$B59,Consulta!$C:$C,0),'MM01'!E$2),""))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1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2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3"/>
        <v/>
      </c>
      <c r="AV59" s="47" t="s">
        <v>795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4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5"/>
        <v/>
      </c>
      <c r="BC59" s="43" t="str">
        <f t="shared" si="46"/>
        <v/>
      </c>
      <c r="BD59" s="43" t="str">
        <f t="shared" si="47"/>
        <v/>
      </c>
      <c r="BE59" s="43" t="str">
        <f t="shared" si="48"/>
        <v>M</v>
      </c>
      <c r="BF59" s="43" t="str">
        <f t="shared" si="49"/>
        <v/>
      </c>
      <c r="BG59" s="43" t="str">
        <f t="shared" si="50"/>
        <v/>
      </c>
      <c r="BH59" s="43" t="str">
        <f t="shared" si="51"/>
        <v/>
      </c>
      <c r="BI59" s="43" t="str">
        <f t="shared" si="52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>
        <v>99</v>
      </c>
      <c r="BN59" s="46" t="str">
        <f t="shared" ca="1" si="53"/>
        <v>28.04.2022</v>
      </c>
      <c r="BO59" s="49" t="str">
        <f t="shared" si="54"/>
        <v/>
      </c>
      <c r="BP59" s="50">
        <v>1</v>
      </c>
      <c r="BQ59" s="50" t="s">
        <v>194</v>
      </c>
      <c r="BR59" s="79" t="str">
        <f t="shared" si="15"/>
        <v>01</v>
      </c>
      <c r="BS59" s="50" t="s">
        <v>795</v>
      </c>
      <c r="BT59" s="44">
        <v>1</v>
      </c>
      <c r="BU59" s="44" t="s">
        <v>371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391</v>
      </c>
      <c r="BZ59" s="50">
        <v>0</v>
      </c>
      <c r="CA59" s="45" t="s">
        <v>402</v>
      </c>
      <c r="CB59" s="45" t="s">
        <v>84</v>
      </c>
      <c r="CC59" s="43" t="str">
        <f t="shared" si="55"/>
        <v/>
      </c>
      <c r="CD59" s="45" t="s">
        <v>38</v>
      </c>
      <c r="CE59" s="45">
        <v>1</v>
      </c>
      <c r="CF59" s="45" t="s">
        <v>495</v>
      </c>
      <c r="CG59" s="45"/>
      <c r="CH59" s="44">
        <v>2</v>
      </c>
      <c r="CI59" s="49" t="str">
        <f t="shared" si="56"/>
        <v/>
      </c>
      <c r="CJ59" s="49" t="str">
        <f t="shared" si="57"/>
        <v/>
      </c>
      <c r="CK59" s="45"/>
      <c r="CL59" s="44">
        <v>1</v>
      </c>
      <c r="CM59" s="50" t="s">
        <v>514</v>
      </c>
      <c r="CN59" s="44" t="s">
        <v>371</v>
      </c>
      <c r="CO59" s="44">
        <v>2</v>
      </c>
      <c r="CP59" s="44">
        <v>42</v>
      </c>
      <c r="CQ59" s="44">
        <v>10</v>
      </c>
      <c r="CR59" s="43" t="str">
        <f t="shared" si="58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9"/>
        <v/>
      </c>
      <c r="CY59" s="43" t="str">
        <f t="shared" si="60"/>
        <v/>
      </c>
      <c r="CZ59" s="43" t="str">
        <f t="shared" si="61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2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3"/>
        <v/>
      </c>
      <c r="DG59" s="43" t="str">
        <f t="shared" si="64"/>
        <v/>
      </c>
      <c r="DH59" s="57"/>
      <c r="DI59" s="43" t="str">
        <f t="shared" ca="1" si="65"/>
        <v/>
      </c>
      <c r="DJ59" s="43" t="str">
        <f t="shared" si="66"/>
        <v/>
      </c>
      <c r="DK59" s="43" t="str">
        <f t="shared" si="67"/>
        <v/>
      </c>
      <c r="DL59" s="57"/>
      <c r="DM59" s="43" t="str">
        <f t="shared" ca="1" si="68"/>
        <v/>
      </c>
      <c r="DN59" s="43" t="str">
        <f t="shared" si="69"/>
        <v/>
      </c>
      <c r="DO59" s="43" t="str">
        <f t="shared" si="70"/>
        <v/>
      </c>
      <c r="DP59" s="57"/>
      <c r="DQ59" s="43" t="str">
        <f t="shared" ca="1" si="71"/>
        <v/>
      </c>
      <c r="DR59" s="43" t="str">
        <f t="shared" si="72"/>
        <v/>
      </c>
      <c r="DS59" s="43" t="str">
        <f t="shared" si="73"/>
        <v/>
      </c>
      <c r="DT59" s="57"/>
      <c r="DU59" s="43" t="str">
        <f t="shared" ca="1" si="74"/>
        <v/>
      </c>
      <c r="DV59" s="43" t="str">
        <f t="shared" si="75"/>
        <v/>
      </c>
      <c r="DX59" s="44">
        <v>1</v>
      </c>
      <c r="DY59" s="44" t="s">
        <v>773</v>
      </c>
      <c r="DZ59" s="43">
        <f t="shared" si="76"/>
        <v>0.01</v>
      </c>
      <c r="EA59" s="43" t="str">
        <f t="shared" si="77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8"/>
        <v>100</v>
      </c>
      <c r="EF59" s="44">
        <v>1</v>
      </c>
      <c r="EG59" s="44">
        <v>0</v>
      </c>
      <c r="EH59" s="44" t="s">
        <v>875</v>
      </c>
      <c r="EI59" s="45">
        <v>0</v>
      </c>
      <c r="EJ59" s="43">
        <f t="shared" si="79"/>
        <v>5000</v>
      </c>
      <c r="EK59" s="69"/>
    </row>
    <row r="60" spans="1:141" x14ac:dyDescent="0.2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IF(IFERROR(INDEX(Consulta!$A:$DP,MATCH('MM01'!$B60,Consulta!$C:$C,0),'MM01'!D$2),"")=0,"",IFERROR(INDEX(Consulta!$A:$DP,MATCH('MM01'!$B60,Consulta!$C:$C,0),'MM01'!D$2),""))</f>
        <v/>
      </c>
      <c r="E60" s="43" t="str">
        <f>IF(IFERROR(INDEX(Consulta!$A:$DP,MATCH('MM01'!$B60,Consulta!$C:$C,0),'MM01'!E$2),"")=0,"",IFERROR(INDEX(Consulta!$A:$DP,MATCH('MM01'!$B60,Consulta!$C:$C,0),'MM01'!E$2),""))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1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2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3"/>
        <v/>
      </c>
      <c r="AV60" s="47" t="s">
        <v>795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4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5"/>
        <v/>
      </c>
      <c r="BC60" s="43" t="str">
        <f t="shared" si="46"/>
        <v/>
      </c>
      <c r="BD60" s="43" t="str">
        <f t="shared" si="47"/>
        <v/>
      </c>
      <c r="BE60" s="43" t="str">
        <f t="shared" si="48"/>
        <v>M</v>
      </c>
      <c r="BF60" s="43" t="str">
        <f t="shared" si="49"/>
        <v/>
      </c>
      <c r="BG60" s="43" t="str">
        <f t="shared" si="50"/>
        <v/>
      </c>
      <c r="BH60" s="43" t="str">
        <f t="shared" si="51"/>
        <v/>
      </c>
      <c r="BI60" s="43" t="str">
        <f t="shared" si="52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>
        <v>99</v>
      </c>
      <c r="BN60" s="46" t="str">
        <f t="shared" ca="1" si="53"/>
        <v>28.04.2022</v>
      </c>
      <c r="BO60" s="49" t="str">
        <f t="shared" si="54"/>
        <v/>
      </c>
      <c r="BP60" s="50">
        <v>1</v>
      </c>
      <c r="BQ60" s="50" t="s">
        <v>194</v>
      </c>
      <c r="BR60" s="79" t="str">
        <f t="shared" si="15"/>
        <v>01</v>
      </c>
      <c r="BS60" s="50" t="s">
        <v>795</v>
      </c>
      <c r="BT60" s="44">
        <v>1</v>
      </c>
      <c r="BU60" s="44" t="s">
        <v>371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391</v>
      </c>
      <c r="BZ60" s="50">
        <v>0</v>
      </c>
      <c r="CA60" s="45" t="s">
        <v>402</v>
      </c>
      <c r="CB60" s="45" t="s">
        <v>84</v>
      </c>
      <c r="CC60" s="43" t="str">
        <f t="shared" si="55"/>
        <v/>
      </c>
      <c r="CD60" s="45" t="s">
        <v>38</v>
      </c>
      <c r="CE60" s="45">
        <v>1</v>
      </c>
      <c r="CF60" s="45" t="s">
        <v>495</v>
      </c>
      <c r="CG60" s="45"/>
      <c r="CH60" s="44">
        <v>2</v>
      </c>
      <c r="CI60" s="49" t="str">
        <f t="shared" si="56"/>
        <v/>
      </c>
      <c r="CJ60" s="49" t="str">
        <f t="shared" si="57"/>
        <v/>
      </c>
      <c r="CK60" s="45"/>
      <c r="CL60" s="44">
        <v>1</v>
      </c>
      <c r="CM60" s="50" t="s">
        <v>514</v>
      </c>
      <c r="CN60" s="44" t="s">
        <v>371</v>
      </c>
      <c r="CO60" s="44">
        <v>2</v>
      </c>
      <c r="CP60" s="44">
        <v>42</v>
      </c>
      <c r="CQ60" s="44">
        <v>10</v>
      </c>
      <c r="CR60" s="43" t="str">
        <f t="shared" si="58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9"/>
        <v/>
      </c>
      <c r="CY60" s="43" t="str">
        <f t="shared" si="60"/>
        <v/>
      </c>
      <c r="CZ60" s="43" t="str">
        <f t="shared" si="61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2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3"/>
        <v/>
      </c>
      <c r="DG60" s="43" t="str">
        <f t="shared" si="64"/>
        <v/>
      </c>
      <c r="DH60" s="57"/>
      <c r="DI60" s="43" t="str">
        <f t="shared" ca="1" si="65"/>
        <v/>
      </c>
      <c r="DJ60" s="43" t="str">
        <f t="shared" si="66"/>
        <v/>
      </c>
      <c r="DK60" s="43" t="str">
        <f t="shared" si="67"/>
        <v/>
      </c>
      <c r="DL60" s="57"/>
      <c r="DM60" s="43" t="str">
        <f t="shared" ca="1" si="68"/>
        <v/>
      </c>
      <c r="DN60" s="43" t="str">
        <f t="shared" si="69"/>
        <v/>
      </c>
      <c r="DO60" s="43" t="str">
        <f t="shared" si="70"/>
        <v/>
      </c>
      <c r="DP60" s="57"/>
      <c r="DQ60" s="43" t="str">
        <f t="shared" ca="1" si="71"/>
        <v/>
      </c>
      <c r="DR60" s="43" t="str">
        <f t="shared" si="72"/>
        <v/>
      </c>
      <c r="DS60" s="43" t="str">
        <f t="shared" si="73"/>
        <v/>
      </c>
      <c r="DT60" s="57"/>
      <c r="DU60" s="43" t="str">
        <f t="shared" ca="1" si="74"/>
        <v/>
      </c>
      <c r="DV60" s="43" t="str">
        <f t="shared" si="75"/>
        <v/>
      </c>
      <c r="DX60" s="44">
        <v>1</v>
      </c>
      <c r="DY60" s="44" t="s">
        <v>773</v>
      </c>
      <c r="DZ60" s="43">
        <f t="shared" si="76"/>
        <v>0.01</v>
      </c>
      <c r="EA60" s="43" t="str">
        <f t="shared" si="77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8"/>
        <v>100</v>
      </c>
      <c r="EF60" s="44">
        <v>1</v>
      </c>
      <c r="EG60" s="44">
        <v>0</v>
      </c>
      <c r="EH60" s="44" t="s">
        <v>875</v>
      </c>
      <c r="EI60" s="45">
        <v>0</v>
      </c>
      <c r="EJ60" s="43">
        <f t="shared" si="79"/>
        <v>5000</v>
      </c>
      <c r="EK60" s="69"/>
    </row>
    <row r="61" spans="1:141" x14ac:dyDescent="0.2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IF(IFERROR(INDEX(Consulta!$A:$DP,MATCH('MM01'!$B61,Consulta!$C:$C,0),'MM01'!D$2),"")=0,"",IFERROR(INDEX(Consulta!$A:$DP,MATCH('MM01'!$B61,Consulta!$C:$C,0),'MM01'!D$2),""))</f>
        <v/>
      </c>
      <c r="E61" s="43" t="str">
        <f>IF(IFERROR(INDEX(Consulta!$A:$DP,MATCH('MM01'!$B61,Consulta!$C:$C,0),'MM01'!E$2),"")=0,"",IFERROR(INDEX(Consulta!$A:$DP,MATCH('MM01'!$B61,Consulta!$C:$C,0),'MM01'!E$2),""))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1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2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3"/>
        <v/>
      </c>
      <c r="AV61" s="47" t="s">
        <v>795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4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5"/>
        <v/>
      </c>
      <c r="BC61" s="43" t="str">
        <f t="shared" si="46"/>
        <v/>
      </c>
      <c r="BD61" s="43" t="str">
        <f t="shared" si="47"/>
        <v/>
      </c>
      <c r="BE61" s="43" t="str">
        <f t="shared" si="48"/>
        <v>M</v>
      </c>
      <c r="BF61" s="43" t="str">
        <f t="shared" si="49"/>
        <v/>
      </c>
      <c r="BG61" s="43" t="str">
        <f t="shared" si="50"/>
        <v/>
      </c>
      <c r="BH61" s="43" t="str">
        <f t="shared" si="51"/>
        <v/>
      </c>
      <c r="BI61" s="43" t="str">
        <f t="shared" si="52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>
        <v>99</v>
      </c>
      <c r="BN61" s="46" t="str">
        <f t="shared" ca="1" si="53"/>
        <v>28.04.2022</v>
      </c>
      <c r="BO61" s="49" t="str">
        <f t="shared" si="54"/>
        <v/>
      </c>
      <c r="BP61" s="50">
        <v>1</v>
      </c>
      <c r="BQ61" s="50" t="s">
        <v>194</v>
      </c>
      <c r="BR61" s="79" t="str">
        <f t="shared" si="15"/>
        <v>01</v>
      </c>
      <c r="BS61" s="50" t="s">
        <v>795</v>
      </c>
      <c r="BT61" s="44">
        <v>1</v>
      </c>
      <c r="BU61" s="44" t="s">
        <v>371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391</v>
      </c>
      <c r="BZ61" s="50">
        <v>0</v>
      </c>
      <c r="CA61" s="45" t="s">
        <v>402</v>
      </c>
      <c r="CB61" s="45" t="s">
        <v>84</v>
      </c>
      <c r="CC61" s="43" t="str">
        <f t="shared" si="55"/>
        <v/>
      </c>
      <c r="CD61" s="45" t="s">
        <v>38</v>
      </c>
      <c r="CE61" s="45">
        <v>1</v>
      </c>
      <c r="CF61" s="45" t="s">
        <v>495</v>
      </c>
      <c r="CG61" s="45"/>
      <c r="CH61" s="44">
        <v>2</v>
      </c>
      <c r="CI61" s="49" t="str">
        <f t="shared" si="56"/>
        <v/>
      </c>
      <c r="CJ61" s="49" t="str">
        <f t="shared" si="57"/>
        <v/>
      </c>
      <c r="CK61" s="45"/>
      <c r="CL61" s="44">
        <v>1</v>
      </c>
      <c r="CM61" s="50" t="s">
        <v>514</v>
      </c>
      <c r="CN61" s="44" t="s">
        <v>371</v>
      </c>
      <c r="CO61" s="44">
        <v>2</v>
      </c>
      <c r="CP61" s="44">
        <v>42</v>
      </c>
      <c r="CQ61" s="44">
        <v>10</v>
      </c>
      <c r="CR61" s="43" t="str">
        <f t="shared" si="58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9"/>
        <v/>
      </c>
      <c r="CY61" s="43" t="str">
        <f t="shared" si="60"/>
        <v/>
      </c>
      <c r="CZ61" s="43" t="str">
        <f t="shared" si="61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2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3"/>
        <v/>
      </c>
      <c r="DG61" s="43" t="str">
        <f t="shared" si="64"/>
        <v/>
      </c>
      <c r="DH61" s="57"/>
      <c r="DI61" s="43" t="str">
        <f t="shared" ca="1" si="65"/>
        <v/>
      </c>
      <c r="DJ61" s="43" t="str">
        <f t="shared" si="66"/>
        <v/>
      </c>
      <c r="DK61" s="43" t="str">
        <f t="shared" si="67"/>
        <v/>
      </c>
      <c r="DL61" s="57"/>
      <c r="DM61" s="43" t="str">
        <f t="shared" ca="1" si="68"/>
        <v/>
      </c>
      <c r="DN61" s="43" t="str">
        <f t="shared" si="69"/>
        <v/>
      </c>
      <c r="DO61" s="43" t="str">
        <f t="shared" si="70"/>
        <v/>
      </c>
      <c r="DP61" s="57"/>
      <c r="DQ61" s="43" t="str">
        <f t="shared" ca="1" si="71"/>
        <v/>
      </c>
      <c r="DR61" s="43" t="str">
        <f t="shared" si="72"/>
        <v/>
      </c>
      <c r="DS61" s="43" t="str">
        <f t="shared" si="73"/>
        <v/>
      </c>
      <c r="DT61" s="57"/>
      <c r="DU61" s="43" t="str">
        <f t="shared" ca="1" si="74"/>
        <v/>
      </c>
      <c r="DV61" s="43" t="str">
        <f t="shared" si="75"/>
        <v/>
      </c>
      <c r="DX61" s="44">
        <v>1</v>
      </c>
      <c r="DY61" s="44" t="s">
        <v>773</v>
      </c>
      <c r="DZ61" s="43">
        <f t="shared" si="76"/>
        <v>0.01</v>
      </c>
      <c r="EA61" s="43" t="str">
        <f t="shared" si="77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8"/>
        <v>100</v>
      </c>
      <c r="EF61" s="44">
        <v>1</v>
      </c>
      <c r="EG61" s="44">
        <v>0</v>
      </c>
      <c r="EH61" s="44" t="s">
        <v>875</v>
      </c>
      <c r="EI61" s="45">
        <v>0</v>
      </c>
      <c r="EJ61" s="43">
        <f t="shared" si="79"/>
        <v>5000</v>
      </c>
      <c r="EK61" s="69"/>
    </row>
    <row r="62" spans="1:141" x14ac:dyDescent="0.2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IF(IFERROR(INDEX(Consulta!$A:$DP,MATCH('MM01'!$B62,Consulta!$C:$C,0),'MM01'!D$2),"")=0,"",IFERROR(INDEX(Consulta!$A:$DP,MATCH('MM01'!$B62,Consulta!$C:$C,0),'MM01'!D$2),""))</f>
        <v/>
      </c>
      <c r="E62" s="43" t="str">
        <f>IF(IFERROR(INDEX(Consulta!$A:$DP,MATCH('MM01'!$B62,Consulta!$C:$C,0),'MM01'!E$2),"")=0,"",IFERROR(INDEX(Consulta!$A:$DP,MATCH('MM01'!$B62,Consulta!$C:$C,0),'MM01'!E$2),""))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1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2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3"/>
        <v/>
      </c>
      <c r="AV62" s="47" t="s">
        <v>795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4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5"/>
        <v/>
      </c>
      <c r="BC62" s="43" t="str">
        <f t="shared" si="46"/>
        <v/>
      </c>
      <c r="BD62" s="43" t="str">
        <f t="shared" si="47"/>
        <v/>
      </c>
      <c r="BE62" s="43" t="str">
        <f t="shared" si="48"/>
        <v>M</v>
      </c>
      <c r="BF62" s="43" t="str">
        <f t="shared" si="49"/>
        <v/>
      </c>
      <c r="BG62" s="43" t="str">
        <f t="shared" si="50"/>
        <v/>
      </c>
      <c r="BH62" s="43" t="str">
        <f t="shared" si="51"/>
        <v/>
      </c>
      <c r="BI62" s="43" t="str">
        <f t="shared" si="52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>
        <v>99</v>
      </c>
      <c r="BN62" s="46" t="str">
        <f t="shared" ca="1" si="53"/>
        <v>28.04.2022</v>
      </c>
      <c r="BO62" s="49" t="str">
        <f t="shared" si="54"/>
        <v/>
      </c>
      <c r="BP62" s="50">
        <v>1</v>
      </c>
      <c r="BQ62" s="50" t="s">
        <v>194</v>
      </c>
      <c r="BR62" s="79" t="str">
        <f t="shared" si="15"/>
        <v>01</v>
      </c>
      <c r="BS62" s="50" t="s">
        <v>795</v>
      </c>
      <c r="BT62" s="44">
        <v>1</v>
      </c>
      <c r="BU62" s="44" t="s">
        <v>371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391</v>
      </c>
      <c r="BZ62" s="50">
        <v>0</v>
      </c>
      <c r="CA62" s="45" t="s">
        <v>402</v>
      </c>
      <c r="CB62" s="45" t="s">
        <v>84</v>
      </c>
      <c r="CC62" s="43" t="str">
        <f t="shared" si="55"/>
        <v/>
      </c>
      <c r="CD62" s="45" t="s">
        <v>38</v>
      </c>
      <c r="CE62" s="45">
        <v>1</v>
      </c>
      <c r="CF62" s="45" t="s">
        <v>495</v>
      </c>
      <c r="CG62" s="45"/>
      <c r="CH62" s="44">
        <v>2</v>
      </c>
      <c r="CI62" s="49" t="str">
        <f t="shared" si="56"/>
        <v/>
      </c>
      <c r="CJ62" s="49" t="str">
        <f t="shared" si="57"/>
        <v/>
      </c>
      <c r="CK62" s="45"/>
      <c r="CL62" s="44">
        <v>1</v>
      </c>
      <c r="CM62" s="50" t="s">
        <v>514</v>
      </c>
      <c r="CN62" s="44" t="s">
        <v>371</v>
      </c>
      <c r="CO62" s="44">
        <v>2</v>
      </c>
      <c r="CP62" s="44">
        <v>42</v>
      </c>
      <c r="CQ62" s="44">
        <v>10</v>
      </c>
      <c r="CR62" s="43" t="str">
        <f t="shared" si="58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9"/>
        <v/>
      </c>
      <c r="CY62" s="43" t="str">
        <f t="shared" si="60"/>
        <v/>
      </c>
      <c r="CZ62" s="43" t="str">
        <f t="shared" si="61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2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3"/>
        <v/>
      </c>
      <c r="DG62" s="43" t="str">
        <f t="shared" si="64"/>
        <v/>
      </c>
      <c r="DH62" s="57"/>
      <c r="DI62" s="43" t="str">
        <f t="shared" ca="1" si="65"/>
        <v/>
      </c>
      <c r="DJ62" s="43" t="str">
        <f t="shared" si="66"/>
        <v/>
      </c>
      <c r="DK62" s="43" t="str">
        <f t="shared" si="67"/>
        <v/>
      </c>
      <c r="DL62" s="57"/>
      <c r="DM62" s="43" t="str">
        <f t="shared" ca="1" si="68"/>
        <v/>
      </c>
      <c r="DN62" s="43" t="str">
        <f t="shared" si="69"/>
        <v/>
      </c>
      <c r="DO62" s="43" t="str">
        <f t="shared" si="70"/>
        <v/>
      </c>
      <c r="DP62" s="57"/>
      <c r="DQ62" s="43" t="str">
        <f t="shared" ca="1" si="71"/>
        <v/>
      </c>
      <c r="DR62" s="43" t="str">
        <f t="shared" si="72"/>
        <v/>
      </c>
      <c r="DS62" s="43" t="str">
        <f t="shared" si="73"/>
        <v/>
      </c>
      <c r="DT62" s="57"/>
      <c r="DU62" s="43" t="str">
        <f t="shared" ca="1" si="74"/>
        <v/>
      </c>
      <c r="DV62" s="43" t="str">
        <f t="shared" si="75"/>
        <v/>
      </c>
      <c r="DX62" s="44">
        <v>1</v>
      </c>
      <c r="DY62" s="44" t="s">
        <v>773</v>
      </c>
      <c r="DZ62" s="43">
        <f t="shared" si="76"/>
        <v>0.01</v>
      </c>
      <c r="EA62" s="43" t="str">
        <f t="shared" si="77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8"/>
        <v>100</v>
      </c>
      <c r="EF62" s="44">
        <v>1</v>
      </c>
      <c r="EG62" s="44">
        <v>0</v>
      </c>
      <c r="EH62" s="44" t="s">
        <v>875</v>
      </c>
      <c r="EI62" s="45">
        <v>0</v>
      </c>
      <c r="EJ62" s="43">
        <f t="shared" si="79"/>
        <v>5000</v>
      </c>
      <c r="EK62" s="69"/>
    </row>
    <row r="63" spans="1:141" x14ac:dyDescent="0.2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IF(IFERROR(INDEX(Consulta!$A:$DP,MATCH('MM01'!$B63,Consulta!$C:$C,0),'MM01'!D$2),"")=0,"",IFERROR(INDEX(Consulta!$A:$DP,MATCH('MM01'!$B63,Consulta!$C:$C,0),'MM01'!D$2),""))</f>
        <v/>
      </c>
      <c r="E63" s="43" t="str">
        <f>IF(IFERROR(INDEX(Consulta!$A:$DP,MATCH('MM01'!$B63,Consulta!$C:$C,0),'MM01'!E$2),"")=0,"",IFERROR(INDEX(Consulta!$A:$DP,MATCH('MM01'!$B63,Consulta!$C:$C,0),'MM01'!E$2),""))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1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2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3"/>
        <v/>
      </c>
      <c r="AV63" s="47" t="s">
        <v>795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4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5"/>
        <v/>
      </c>
      <c r="BC63" s="43" t="str">
        <f t="shared" si="46"/>
        <v/>
      </c>
      <c r="BD63" s="43" t="str">
        <f t="shared" si="47"/>
        <v/>
      </c>
      <c r="BE63" s="43" t="str">
        <f t="shared" si="48"/>
        <v>M</v>
      </c>
      <c r="BF63" s="43" t="str">
        <f t="shared" si="49"/>
        <v/>
      </c>
      <c r="BG63" s="43" t="str">
        <f t="shared" si="50"/>
        <v/>
      </c>
      <c r="BH63" s="43" t="str">
        <f t="shared" si="51"/>
        <v/>
      </c>
      <c r="BI63" s="43" t="str">
        <f t="shared" si="52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>
        <v>99</v>
      </c>
      <c r="BN63" s="46" t="str">
        <f t="shared" ca="1" si="53"/>
        <v>28.04.2022</v>
      </c>
      <c r="BO63" s="49" t="str">
        <f t="shared" si="54"/>
        <v/>
      </c>
      <c r="BP63" s="50">
        <v>1</v>
      </c>
      <c r="BQ63" s="50" t="s">
        <v>194</v>
      </c>
      <c r="BR63" s="79" t="str">
        <f t="shared" si="15"/>
        <v>01</v>
      </c>
      <c r="BS63" s="50" t="s">
        <v>795</v>
      </c>
      <c r="BT63" s="44">
        <v>1</v>
      </c>
      <c r="BU63" s="44" t="s">
        <v>371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391</v>
      </c>
      <c r="BZ63" s="50">
        <v>0</v>
      </c>
      <c r="CA63" s="45" t="s">
        <v>402</v>
      </c>
      <c r="CB63" s="45" t="s">
        <v>84</v>
      </c>
      <c r="CC63" s="43" t="str">
        <f t="shared" si="55"/>
        <v/>
      </c>
      <c r="CD63" s="45" t="s">
        <v>38</v>
      </c>
      <c r="CE63" s="45">
        <v>1</v>
      </c>
      <c r="CF63" s="45" t="s">
        <v>495</v>
      </c>
      <c r="CG63" s="45"/>
      <c r="CH63" s="44">
        <v>2</v>
      </c>
      <c r="CI63" s="49" t="str">
        <f t="shared" si="56"/>
        <v/>
      </c>
      <c r="CJ63" s="49" t="str">
        <f t="shared" si="57"/>
        <v/>
      </c>
      <c r="CK63" s="45"/>
      <c r="CL63" s="44">
        <v>1</v>
      </c>
      <c r="CM63" s="50" t="s">
        <v>514</v>
      </c>
      <c r="CN63" s="44" t="s">
        <v>371</v>
      </c>
      <c r="CO63" s="44">
        <v>2</v>
      </c>
      <c r="CP63" s="44">
        <v>42</v>
      </c>
      <c r="CQ63" s="44">
        <v>10</v>
      </c>
      <c r="CR63" s="43" t="str">
        <f t="shared" si="58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9"/>
        <v/>
      </c>
      <c r="CY63" s="43" t="str">
        <f t="shared" si="60"/>
        <v/>
      </c>
      <c r="CZ63" s="43" t="str">
        <f t="shared" si="61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2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3"/>
        <v/>
      </c>
      <c r="DG63" s="43" t="str">
        <f t="shared" si="64"/>
        <v/>
      </c>
      <c r="DH63" s="57"/>
      <c r="DI63" s="43" t="str">
        <f t="shared" ca="1" si="65"/>
        <v/>
      </c>
      <c r="DJ63" s="43" t="str">
        <f t="shared" si="66"/>
        <v/>
      </c>
      <c r="DK63" s="43" t="str">
        <f t="shared" si="67"/>
        <v/>
      </c>
      <c r="DL63" s="57"/>
      <c r="DM63" s="43" t="str">
        <f t="shared" ca="1" si="68"/>
        <v/>
      </c>
      <c r="DN63" s="43" t="str">
        <f t="shared" si="69"/>
        <v/>
      </c>
      <c r="DO63" s="43" t="str">
        <f t="shared" si="70"/>
        <v/>
      </c>
      <c r="DP63" s="57"/>
      <c r="DQ63" s="43" t="str">
        <f t="shared" ca="1" si="71"/>
        <v/>
      </c>
      <c r="DR63" s="43" t="str">
        <f t="shared" si="72"/>
        <v/>
      </c>
      <c r="DS63" s="43" t="str">
        <f t="shared" si="73"/>
        <v/>
      </c>
      <c r="DT63" s="57"/>
      <c r="DU63" s="43" t="str">
        <f t="shared" ca="1" si="74"/>
        <v/>
      </c>
      <c r="DV63" s="43" t="str">
        <f t="shared" si="75"/>
        <v/>
      </c>
      <c r="DX63" s="44">
        <v>1</v>
      </c>
      <c r="DY63" s="44" t="s">
        <v>773</v>
      </c>
      <c r="DZ63" s="43">
        <f t="shared" si="76"/>
        <v>0.01</v>
      </c>
      <c r="EA63" s="43" t="str">
        <f t="shared" si="77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8"/>
        <v>100</v>
      </c>
      <c r="EF63" s="44">
        <v>1</v>
      </c>
      <c r="EG63" s="44">
        <v>0</v>
      </c>
      <c r="EH63" s="44" t="s">
        <v>875</v>
      </c>
      <c r="EI63" s="45">
        <v>0</v>
      </c>
      <c r="EJ63" s="43">
        <f t="shared" si="79"/>
        <v>5000</v>
      </c>
      <c r="EK63" s="69"/>
    </row>
    <row r="64" spans="1:141" x14ac:dyDescent="0.2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IF(IFERROR(INDEX(Consulta!$A:$DP,MATCH('MM01'!$B64,Consulta!$C:$C,0),'MM01'!D$2),"")=0,"",IFERROR(INDEX(Consulta!$A:$DP,MATCH('MM01'!$B64,Consulta!$C:$C,0),'MM01'!D$2),""))</f>
        <v/>
      </c>
      <c r="E64" s="43" t="str">
        <f>IF(IFERROR(INDEX(Consulta!$A:$DP,MATCH('MM01'!$B64,Consulta!$C:$C,0),'MM01'!E$2),"")=0,"",IFERROR(INDEX(Consulta!$A:$DP,MATCH('MM01'!$B64,Consulta!$C:$C,0),'MM01'!E$2),""))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1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2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3"/>
        <v/>
      </c>
      <c r="AV64" s="47" t="s">
        <v>795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4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5"/>
        <v/>
      </c>
      <c r="BC64" s="43" t="str">
        <f t="shared" si="46"/>
        <v/>
      </c>
      <c r="BD64" s="43" t="str">
        <f t="shared" si="47"/>
        <v/>
      </c>
      <c r="BE64" s="43" t="str">
        <f t="shared" si="48"/>
        <v>M</v>
      </c>
      <c r="BF64" s="43" t="str">
        <f t="shared" si="49"/>
        <v/>
      </c>
      <c r="BG64" s="43" t="str">
        <f t="shared" si="50"/>
        <v/>
      </c>
      <c r="BH64" s="43" t="str">
        <f t="shared" si="51"/>
        <v/>
      </c>
      <c r="BI64" s="43" t="str">
        <f t="shared" si="52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>
        <v>99</v>
      </c>
      <c r="BN64" s="46" t="str">
        <f t="shared" ca="1" si="53"/>
        <v>28.04.2022</v>
      </c>
      <c r="BO64" s="49" t="str">
        <f t="shared" si="54"/>
        <v/>
      </c>
      <c r="BP64" s="50">
        <v>1</v>
      </c>
      <c r="BQ64" s="50" t="s">
        <v>194</v>
      </c>
      <c r="BR64" s="79" t="str">
        <f t="shared" si="15"/>
        <v>01</v>
      </c>
      <c r="BS64" s="50" t="s">
        <v>795</v>
      </c>
      <c r="BT64" s="44">
        <v>1</v>
      </c>
      <c r="BU64" s="44" t="s">
        <v>371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391</v>
      </c>
      <c r="BZ64" s="50">
        <v>0</v>
      </c>
      <c r="CA64" s="45" t="s">
        <v>402</v>
      </c>
      <c r="CB64" s="45" t="s">
        <v>84</v>
      </c>
      <c r="CC64" s="43" t="str">
        <f t="shared" si="55"/>
        <v/>
      </c>
      <c r="CD64" s="45" t="s">
        <v>38</v>
      </c>
      <c r="CE64" s="45">
        <v>1</v>
      </c>
      <c r="CF64" s="45" t="s">
        <v>495</v>
      </c>
      <c r="CG64" s="45"/>
      <c r="CH64" s="44">
        <v>2</v>
      </c>
      <c r="CI64" s="49" t="str">
        <f t="shared" si="56"/>
        <v/>
      </c>
      <c r="CJ64" s="49" t="str">
        <f t="shared" si="57"/>
        <v/>
      </c>
      <c r="CK64" s="45"/>
      <c r="CL64" s="44">
        <v>1</v>
      </c>
      <c r="CM64" s="50" t="s">
        <v>514</v>
      </c>
      <c r="CN64" s="44" t="s">
        <v>371</v>
      </c>
      <c r="CO64" s="44">
        <v>2</v>
      </c>
      <c r="CP64" s="44">
        <v>42</v>
      </c>
      <c r="CQ64" s="44">
        <v>10</v>
      </c>
      <c r="CR64" s="43" t="str">
        <f t="shared" si="58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9"/>
        <v/>
      </c>
      <c r="CY64" s="43" t="str">
        <f t="shared" si="60"/>
        <v/>
      </c>
      <c r="CZ64" s="43" t="str">
        <f t="shared" si="61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2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3"/>
        <v/>
      </c>
      <c r="DG64" s="43" t="str">
        <f t="shared" si="64"/>
        <v/>
      </c>
      <c r="DH64" s="57"/>
      <c r="DI64" s="43" t="str">
        <f t="shared" ca="1" si="65"/>
        <v/>
      </c>
      <c r="DJ64" s="43" t="str">
        <f t="shared" si="66"/>
        <v/>
      </c>
      <c r="DK64" s="43" t="str">
        <f t="shared" si="67"/>
        <v/>
      </c>
      <c r="DL64" s="57"/>
      <c r="DM64" s="43" t="str">
        <f t="shared" ca="1" si="68"/>
        <v/>
      </c>
      <c r="DN64" s="43" t="str">
        <f t="shared" si="69"/>
        <v/>
      </c>
      <c r="DO64" s="43" t="str">
        <f t="shared" si="70"/>
        <v/>
      </c>
      <c r="DP64" s="57"/>
      <c r="DQ64" s="43" t="str">
        <f t="shared" ca="1" si="71"/>
        <v/>
      </c>
      <c r="DR64" s="43" t="str">
        <f t="shared" si="72"/>
        <v/>
      </c>
      <c r="DS64" s="43" t="str">
        <f t="shared" si="73"/>
        <v/>
      </c>
      <c r="DT64" s="57"/>
      <c r="DU64" s="43" t="str">
        <f t="shared" ca="1" si="74"/>
        <v/>
      </c>
      <c r="DV64" s="43" t="str">
        <f t="shared" si="75"/>
        <v/>
      </c>
      <c r="DX64" s="44">
        <v>1</v>
      </c>
      <c r="DY64" s="44" t="s">
        <v>773</v>
      </c>
      <c r="DZ64" s="43">
        <f t="shared" si="76"/>
        <v>0.01</v>
      </c>
      <c r="EA64" s="43" t="str">
        <f t="shared" si="77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8"/>
        <v>100</v>
      </c>
      <c r="EF64" s="44">
        <v>1</v>
      </c>
      <c r="EG64" s="44">
        <v>0</v>
      </c>
      <c r="EH64" s="44" t="s">
        <v>875</v>
      </c>
      <c r="EI64" s="45">
        <v>0</v>
      </c>
      <c r="EJ64" s="43">
        <f t="shared" si="79"/>
        <v>5000</v>
      </c>
      <c r="EK64" s="69"/>
    </row>
    <row r="65" spans="1:141" x14ac:dyDescent="0.2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IF(IFERROR(INDEX(Consulta!$A:$DP,MATCH('MM01'!$B65,Consulta!$C:$C,0),'MM01'!D$2),"")=0,"",IFERROR(INDEX(Consulta!$A:$DP,MATCH('MM01'!$B65,Consulta!$C:$C,0),'MM01'!D$2),""))</f>
        <v/>
      </c>
      <c r="E65" s="43" t="str">
        <f>IF(IFERROR(INDEX(Consulta!$A:$DP,MATCH('MM01'!$B65,Consulta!$C:$C,0),'MM01'!E$2),"")=0,"",IFERROR(INDEX(Consulta!$A:$DP,MATCH('MM01'!$B65,Consulta!$C:$C,0),'MM01'!E$2),""))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1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2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3"/>
        <v/>
      </c>
      <c r="AV65" s="47" t="s">
        <v>795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4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5"/>
        <v/>
      </c>
      <c r="BC65" s="43" t="str">
        <f t="shared" si="46"/>
        <v/>
      </c>
      <c r="BD65" s="43" t="str">
        <f t="shared" si="47"/>
        <v/>
      </c>
      <c r="BE65" s="43" t="str">
        <f t="shared" si="48"/>
        <v>M</v>
      </c>
      <c r="BF65" s="43" t="str">
        <f t="shared" si="49"/>
        <v/>
      </c>
      <c r="BG65" s="43" t="str">
        <f t="shared" si="50"/>
        <v/>
      </c>
      <c r="BH65" s="43" t="str">
        <f t="shared" si="51"/>
        <v/>
      </c>
      <c r="BI65" s="43" t="str">
        <f t="shared" si="52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>
        <v>99</v>
      </c>
      <c r="BN65" s="46" t="str">
        <f t="shared" ca="1" si="53"/>
        <v>28.04.2022</v>
      </c>
      <c r="BO65" s="49" t="str">
        <f t="shared" si="54"/>
        <v/>
      </c>
      <c r="BP65" s="50">
        <v>1</v>
      </c>
      <c r="BQ65" s="50" t="s">
        <v>194</v>
      </c>
      <c r="BR65" s="79" t="str">
        <f t="shared" si="15"/>
        <v>01</v>
      </c>
      <c r="BS65" s="50" t="s">
        <v>795</v>
      </c>
      <c r="BT65" s="44">
        <v>1</v>
      </c>
      <c r="BU65" s="44" t="s">
        <v>371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391</v>
      </c>
      <c r="BZ65" s="50">
        <v>0</v>
      </c>
      <c r="CA65" s="45" t="s">
        <v>402</v>
      </c>
      <c r="CB65" s="45" t="s">
        <v>84</v>
      </c>
      <c r="CC65" s="43" t="str">
        <f t="shared" si="55"/>
        <v/>
      </c>
      <c r="CD65" s="45" t="s">
        <v>38</v>
      </c>
      <c r="CE65" s="45">
        <v>1</v>
      </c>
      <c r="CF65" s="45" t="s">
        <v>495</v>
      </c>
      <c r="CG65" s="45"/>
      <c r="CH65" s="44">
        <v>2</v>
      </c>
      <c r="CI65" s="49" t="str">
        <f t="shared" si="56"/>
        <v/>
      </c>
      <c r="CJ65" s="49" t="str">
        <f t="shared" si="57"/>
        <v/>
      </c>
      <c r="CK65" s="45"/>
      <c r="CL65" s="44">
        <v>1</v>
      </c>
      <c r="CM65" s="50" t="s">
        <v>514</v>
      </c>
      <c r="CN65" s="44" t="s">
        <v>371</v>
      </c>
      <c r="CO65" s="44">
        <v>2</v>
      </c>
      <c r="CP65" s="44">
        <v>42</v>
      </c>
      <c r="CQ65" s="44">
        <v>10</v>
      </c>
      <c r="CR65" s="43" t="str">
        <f t="shared" si="58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9"/>
        <v/>
      </c>
      <c r="CY65" s="43" t="str">
        <f t="shared" si="60"/>
        <v/>
      </c>
      <c r="CZ65" s="43" t="str">
        <f t="shared" si="61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2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3"/>
        <v/>
      </c>
      <c r="DG65" s="43" t="str">
        <f t="shared" si="64"/>
        <v/>
      </c>
      <c r="DH65" s="57"/>
      <c r="DI65" s="43" t="str">
        <f t="shared" ca="1" si="65"/>
        <v/>
      </c>
      <c r="DJ65" s="43" t="str">
        <f t="shared" si="66"/>
        <v/>
      </c>
      <c r="DK65" s="43" t="str">
        <f t="shared" si="67"/>
        <v/>
      </c>
      <c r="DL65" s="57"/>
      <c r="DM65" s="43" t="str">
        <f t="shared" ca="1" si="68"/>
        <v/>
      </c>
      <c r="DN65" s="43" t="str">
        <f t="shared" si="69"/>
        <v/>
      </c>
      <c r="DO65" s="43" t="str">
        <f t="shared" si="70"/>
        <v/>
      </c>
      <c r="DP65" s="57"/>
      <c r="DQ65" s="43" t="str">
        <f t="shared" ca="1" si="71"/>
        <v/>
      </c>
      <c r="DR65" s="43" t="str">
        <f t="shared" si="72"/>
        <v/>
      </c>
      <c r="DS65" s="43" t="str">
        <f t="shared" si="73"/>
        <v/>
      </c>
      <c r="DT65" s="57"/>
      <c r="DU65" s="43" t="str">
        <f t="shared" ca="1" si="74"/>
        <v/>
      </c>
      <c r="DV65" s="43" t="str">
        <f t="shared" si="75"/>
        <v/>
      </c>
      <c r="DX65" s="44">
        <v>1</v>
      </c>
      <c r="DY65" s="44" t="s">
        <v>773</v>
      </c>
      <c r="DZ65" s="43">
        <f t="shared" si="76"/>
        <v>0.01</v>
      </c>
      <c r="EA65" s="43" t="str">
        <f t="shared" si="77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8"/>
        <v>100</v>
      </c>
      <c r="EF65" s="44">
        <v>1</v>
      </c>
      <c r="EG65" s="44">
        <v>0</v>
      </c>
      <c r="EH65" s="44" t="s">
        <v>875</v>
      </c>
      <c r="EI65" s="45">
        <v>0</v>
      </c>
      <c r="EJ65" s="43">
        <f t="shared" si="79"/>
        <v>5000</v>
      </c>
      <c r="EK65" s="69"/>
    </row>
    <row r="66" spans="1:141" x14ac:dyDescent="0.2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IF(IFERROR(INDEX(Consulta!$A:$DP,MATCH('MM01'!$B66,Consulta!$C:$C,0),'MM01'!D$2),"")=0,"",IFERROR(INDEX(Consulta!$A:$DP,MATCH('MM01'!$B66,Consulta!$C:$C,0),'MM01'!D$2),""))</f>
        <v/>
      </c>
      <c r="E66" s="43" t="str">
        <f>IF(IFERROR(INDEX(Consulta!$A:$DP,MATCH('MM01'!$B66,Consulta!$C:$C,0),'MM01'!E$2),"")=0,"",IFERROR(INDEX(Consulta!$A:$DP,MATCH('MM01'!$B66,Consulta!$C:$C,0),'MM01'!E$2),""))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1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2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3"/>
        <v/>
      </c>
      <c r="AV66" s="47" t="s">
        <v>795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4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5"/>
        <v/>
      </c>
      <c r="BC66" s="43" t="str">
        <f t="shared" si="46"/>
        <v/>
      </c>
      <c r="BD66" s="43" t="str">
        <f t="shared" si="47"/>
        <v/>
      </c>
      <c r="BE66" s="43" t="str">
        <f t="shared" si="48"/>
        <v>M</v>
      </c>
      <c r="BF66" s="43" t="str">
        <f t="shared" si="49"/>
        <v/>
      </c>
      <c r="BG66" s="43" t="str">
        <f t="shared" si="50"/>
        <v/>
      </c>
      <c r="BH66" s="43" t="str">
        <f t="shared" si="51"/>
        <v/>
      </c>
      <c r="BI66" s="43" t="str">
        <f t="shared" si="52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>
        <v>99</v>
      </c>
      <c r="BN66" s="46" t="str">
        <f t="shared" ca="1" si="53"/>
        <v>28.04.2022</v>
      </c>
      <c r="BO66" s="49" t="str">
        <f t="shared" si="54"/>
        <v/>
      </c>
      <c r="BP66" s="50">
        <v>1</v>
      </c>
      <c r="BQ66" s="50" t="s">
        <v>194</v>
      </c>
      <c r="BR66" s="79" t="str">
        <f t="shared" si="15"/>
        <v>01</v>
      </c>
      <c r="BS66" s="50" t="s">
        <v>795</v>
      </c>
      <c r="BT66" s="44">
        <v>1</v>
      </c>
      <c r="BU66" s="44" t="s">
        <v>371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391</v>
      </c>
      <c r="BZ66" s="50">
        <v>0</v>
      </c>
      <c r="CA66" s="45" t="s">
        <v>402</v>
      </c>
      <c r="CB66" s="45" t="s">
        <v>84</v>
      </c>
      <c r="CC66" s="43" t="str">
        <f t="shared" si="55"/>
        <v/>
      </c>
      <c r="CD66" s="45" t="s">
        <v>38</v>
      </c>
      <c r="CE66" s="45">
        <v>1</v>
      </c>
      <c r="CF66" s="45" t="s">
        <v>495</v>
      </c>
      <c r="CG66" s="45"/>
      <c r="CH66" s="44">
        <v>2</v>
      </c>
      <c r="CI66" s="49" t="str">
        <f t="shared" si="56"/>
        <v/>
      </c>
      <c r="CJ66" s="49" t="str">
        <f t="shared" si="57"/>
        <v/>
      </c>
      <c r="CK66" s="45"/>
      <c r="CL66" s="44">
        <v>1</v>
      </c>
      <c r="CM66" s="50" t="s">
        <v>514</v>
      </c>
      <c r="CN66" s="44" t="s">
        <v>371</v>
      </c>
      <c r="CO66" s="44">
        <v>2</v>
      </c>
      <c r="CP66" s="44">
        <v>42</v>
      </c>
      <c r="CQ66" s="44">
        <v>10</v>
      </c>
      <c r="CR66" s="43" t="str">
        <f t="shared" si="58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9"/>
        <v/>
      </c>
      <c r="CY66" s="43" t="str">
        <f t="shared" si="60"/>
        <v/>
      </c>
      <c r="CZ66" s="43" t="str">
        <f t="shared" si="61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2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3"/>
        <v/>
      </c>
      <c r="DG66" s="43" t="str">
        <f t="shared" si="64"/>
        <v/>
      </c>
      <c r="DH66" s="57"/>
      <c r="DI66" s="43" t="str">
        <f t="shared" ca="1" si="65"/>
        <v/>
      </c>
      <c r="DJ66" s="43" t="str">
        <f t="shared" si="66"/>
        <v/>
      </c>
      <c r="DK66" s="43" t="str">
        <f t="shared" si="67"/>
        <v/>
      </c>
      <c r="DL66" s="57"/>
      <c r="DM66" s="43" t="str">
        <f t="shared" ca="1" si="68"/>
        <v/>
      </c>
      <c r="DN66" s="43" t="str">
        <f t="shared" si="69"/>
        <v/>
      </c>
      <c r="DO66" s="43" t="str">
        <f t="shared" si="70"/>
        <v/>
      </c>
      <c r="DP66" s="57"/>
      <c r="DQ66" s="43" t="str">
        <f t="shared" ca="1" si="71"/>
        <v/>
      </c>
      <c r="DR66" s="43" t="str">
        <f t="shared" si="72"/>
        <v/>
      </c>
      <c r="DS66" s="43" t="str">
        <f t="shared" si="73"/>
        <v/>
      </c>
      <c r="DT66" s="57"/>
      <c r="DU66" s="43" t="str">
        <f t="shared" ca="1" si="74"/>
        <v/>
      </c>
      <c r="DV66" s="43" t="str">
        <f t="shared" si="75"/>
        <v/>
      </c>
      <c r="DX66" s="44">
        <v>1</v>
      </c>
      <c r="DY66" s="44" t="s">
        <v>773</v>
      </c>
      <c r="DZ66" s="43">
        <f t="shared" si="76"/>
        <v>0.01</v>
      </c>
      <c r="EA66" s="43" t="str">
        <f t="shared" si="77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8"/>
        <v>100</v>
      </c>
      <c r="EF66" s="44">
        <v>1</v>
      </c>
      <c r="EG66" s="44">
        <v>0</v>
      </c>
      <c r="EH66" s="44" t="s">
        <v>875</v>
      </c>
      <c r="EI66" s="45">
        <v>0</v>
      </c>
      <c r="EJ66" s="43">
        <f t="shared" si="79"/>
        <v>5000</v>
      </c>
      <c r="EK66" s="69"/>
    </row>
    <row r="67" spans="1:141" x14ac:dyDescent="0.2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IF(IFERROR(INDEX(Consulta!$A:$DP,MATCH('MM01'!$B67,Consulta!$C:$C,0),'MM01'!D$2),"")=0,"",IFERROR(INDEX(Consulta!$A:$DP,MATCH('MM01'!$B67,Consulta!$C:$C,0),'MM01'!D$2),""))</f>
        <v/>
      </c>
      <c r="E67" s="43" t="str">
        <f>IF(IFERROR(INDEX(Consulta!$A:$DP,MATCH('MM01'!$B67,Consulta!$C:$C,0),'MM01'!E$2),"")=0,"",IFERROR(INDEX(Consulta!$A:$DP,MATCH('MM01'!$B67,Consulta!$C:$C,0),'MM01'!E$2),""))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1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2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3"/>
        <v/>
      </c>
      <c r="AV67" s="47" t="s">
        <v>795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4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5"/>
        <v/>
      </c>
      <c r="BC67" s="43" t="str">
        <f t="shared" si="46"/>
        <v/>
      </c>
      <c r="BD67" s="43" t="str">
        <f t="shared" si="47"/>
        <v/>
      </c>
      <c r="BE67" s="43" t="str">
        <f t="shared" si="48"/>
        <v>M</v>
      </c>
      <c r="BF67" s="43" t="str">
        <f t="shared" si="49"/>
        <v/>
      </c>
      <c r="BG67" s="43" t="str">
        <f t="shared" si="50"/>
        <v/>
      </c>
      <c r="BH67" s="43" t="str">
        <f t="shared" si="51"/>
        <v/>
      </c>
      <c r="BI67" s="43" t="str">
        <f t="shared" si="52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>
        <v>99</v>
      </c>
      <c r="BN67" s="46" t="str">
        <f t="shared" ca="1" si="53"/>
        <v>28.04.2022</v>
      </c>
      <c r="BO67" s="49" t="str">
        <f t="shared" si="54"/>
        <v/>
      </c>
      <c r="BP67" s="50">
        <v>1</v>
      </c>
      <c r="BQ67" s="50" t="s">
        <v>194</v>
      </c>
      <c r="BR67" s="79" t="str">
        <f t="shared" si="15"/>
        <v>01</v>
      </c>
      <c r="BS67" s="50" t="s">
        <v>795</v>
      </c>
      <c r="BT67" s="44">
        <v>1</v>
      </c>
      <c r="BU67" s="44" t="s">
        <v>371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391</v>
      </c>
      <c r="BZ67" s="50">
        <v>0</v>
      </c>
      <c r="CA67" s="45" t="s">
        <v>402</v>
      </c>
      <c r="CB67" s="45" t="s">
        <v>84</v>
      </c>
      <c r="CC67" s="43" t="str">
        <f t="shared" si="55"/>
        <v/>
      </c>
      <c r="CD67" s="45" t="s">
        <v>38</v>
      </c>
      <c r="CE67" s="45">
        <v>1</v>
      </c>
      <c r="CF67" s="45" t="s">
        <v>495</v>
      </c>
      <c r="CG67" s="45"/>
      <c r="CH67" s="44">
        <v>2</v>
      </c>
      <c r="CI67" s="49" t="str">
        <f t="shared" si="56"/>
        <v/>
      </c>
      <c r="CJ67" s="49" t="str">
        <f t="shared" si="57"/>
        <v/>
      </c>
      <c r="CK67" s="45"/>
      <c r="CL67" s="44">
        <v>1</v>
      </c>
      <c r="CM67" s="50" t="s">
        <v>514</v>
      </c>
      <c r="CN67" s="44" t="s">
        <v>371</v>
      </c>
      <c r="CO67" s="44">
        <v>2</v>
      </c>
      <c r="CP67" s="44">
        <v>42</v>
      </c>
      <c r="CQ67" s="44">
        <v>10</v>
      </c>
      <c r="CR67" s="43" t="str">
        <f t="shared" si="58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9"/>
        <v/>
      </c>
      <c r="CY67" s="43" t="str">
        <f t="shared" si="60"/>
        <v/>
      </c>
      <c r="CZ67" s="43" t="str">
        <f t="shared" si="61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2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3"/>
        <v/>
      </c>
      <c r="DG67" s="43" t="str">
        <f t="shared" si="64"/>
        <v/>
      </c>
      <c r="DH67" s="57"/>
      <c r="DI67" s="43" t="str">
        <f t="shared" ca="1" si="65"/>
        <v/>
      </c>
      <c r="DJ67" s="43" t="str">
        <f t="shared" si="66"/>
        <v/>
      </c>
      <c r="DK67" s="43" t="str">
        <f t="shared" si="67"/>
        <v/>
      </c>
      <c r="DL67" s="57"/>
      <c r="DM67" s="43" t="str">
        <f t="shared" ca="1" si="68"/>
        <v/>
      </c>
      <c r="DN67" s="43" t="str">
        <f t="shared" si="69"/>
        <v/>
      </c>
      <c r="DO67" s="43" t="str">
        <f t="shared" si="70"/>
        <v/>
      </c>
      <c r="DP67" s="57"/>
      <c r="DQ67" s="43" t="str">
        <f t="shared" ca="1" si="71"/>
        <v/>
      </c>
      <c r="DR67" s="43" t="str">
        <f t="shared" si="72"/>
        <v/>
      </c>
      <c r="DS67" s="43" t="str">
        <f t="shared" si="73"/>
        <v/>
      </c>
      <c r="DT67" s="57"/>
      <c r="DU67" s="43" t="str">
        <f t="shared" ca="1" si="74"/>
        <v/>
      </c>
      <c r="DV67" s="43" t="str">
        <f t="shared" si="75"/>
        <v/>
      </c>
      <c r="DX67" s="44">
        <v>1</v>
      </c>
      <c r="DY67" s="44" t="s">
        <v>773</v>
      </c>
      <c r="DZ67" s="43">
        <f t="shared" si="76"/>
        <v>0.01</v>
      </c>
      <c r="EA67" s="43" t="str">
        <f t="shared" si="77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8"/>
        <v>100</v>
      </c>
      <c r="EF67" s="44">
        <v>1</v>
      </c>
      <c r="EG67" s="44">
        <v>0</v>
      </c>
      <c r="EH67" s="44" t="s">
        <v>875</v>
      </c>
      <c r="EI67" s="45">
        <v>0</v>
      </c>
      <c r="EJ67" s="43">
        <f t="shared" si="79"/>
        <v>5000</v>
      </c>
      <c r="EK67" s="69"/>
    </row>
    <row r="68" spans="1:141" x14ac:dyDescent="0.2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IF(IFERROR(INDEX(Consulta!$A:$DP,MATCH('MM01'!$B68,Consulta!$C:$C,0),'MM01'!D$2),"")=0,"",IFERROR(INDEX(Consulta!$A:$DP,MATCH('MM01'!$B68,Consulta!$C:$C,0),'MM01'!D$2),""))</f>
        <v/>
      </c>
      <c r="E68" s="43" t="str">
        <f>IF(IFERROR(INDEX(Consulta!$A:$DP,MATCH('MM01'!$B68,Consulta!$C:$C,0),'MM01'!E$2),"")=0,"",IFERROR(INDEX(Consulta!$A:$DP,MATCH('MM01'!$B68,Consulta!$C:$C,0),'MM01'!E$2),""))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1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2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3"/>
        <v/>
      </c>
      <c r="AV68" s="47" t="s">
        <v>795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4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5"/>
        <v/>
      </c>
      <c r="BC68" s="43" t="str">
        <f t="shared" si="46"/>
        <v/>
      </c>
      <c r="BD68" s="43" t="str">
        <f t="shared" si="47"/>
        <v/>
      </c>
      <c r="BE68" s="43" t="str">
        <f t="shared" si="48"/>
        <v>M</v>
      </c>
      <c r="BF68" s="43" t="str">
        <f t="shared" si="49"/>
        <v/>
      </c>
      <c r="BG68" s="43" t="str">
        <f t="shared" si="50"/>
        <v/>
      </c>
      <c r="BH68" s="43" t="str">
        <f t="shared" si="51"/>
        <v/>
      </c>
      <c r="BI68" s="43" t="str">
        <f t="shared" si="52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>
        <v>99</v>
      </c>
      <c r="BN68" s="46" t="str">
        <f t="shared" ca="1" si="53"/>
        <v>28.04.2022</v>
      </c>
      <c r="BO68" s="49" t="str">
        <f t="shared" si="54"/>
        <v/>
      </c>
      <c r="BP68" s="50">
        <v>1</v>
      </c>
      <c r="BQ68" s="50" t="s">
        <v>194</v>
      </c>
      <c r="BR68" s="79" t="str">
        <f t="shared" si="15"/>
        <v>01</v>
      </c>
      <c r="BS68" s="50" t="s">
        <v>795</v>
      </c>
      <c r="BT68" s="44">
        <v>1</v>
      </c>
      <c r="BU68" s="44" t="s">
        <v>371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391</v>
      </c>
      <c r="BZ68" s="50">
        <v>0</v>
      </c>
      <c r="CA68" s="45" t="s">
        <v>402</v>
      </c>
      <c r="CB68" s="45" t="s">
        <v>84</v>
      </c>
      <c r="CC68" s="43" t="str">
        <f t="shared" si="55"/>
        <v/>
      </c>
      <c r="CD68" s="45" t="s">
        <v>38</v>
      </c>
      <c r="CE68" s="45">
        <v>1</v>
      </c>
      <c r="CF68" s="45" t="s">
        <v>495</v>
      </c>
      <c r="CG68" s="45"/>
      <c r="CH68" s="44">
        <v>2</v>
      </c>
      <c r="CI68" s="49" t="str">
        <f t="shared" si="56"/>
        <v/>
      </c>
      <c r="CJ68" s="49" t="str">
        <f t="shared" si="57"/>
        <v/>
      </c>
      <c r="CK68" s="45"/>
      <c r="CL68" s="44">
        <v>1</v>
      </c>
      <c r="CM68" s="50" t="s">
        <v>514</v>
      </c>
      <c r="CN68" s="44" t="s">
        <v>371</v>
      </c>
      <c r="CO68" s="44">
        <v>2</v>
      </c>
      <c r="CP68" s="44">
        <v>42</v>
      </c>
      <c r="CQ68" s="44">
        <v>10</v>
      </c>
      <c r="CR68" s="43" t="str">
        <f t="shared" si="58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9"/>
        <v/>
      </c>
      <c r="CY68" s="43" t="str">
        <f t="shared" si="60"/>
        <v/>
      </c>
      <c r="CZ68" s="43" t="str">
        <f t="shared" si="61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2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3"/>
        <v/>
      </c>
      <c r="DG68" s="43" t="str">
        <f t="shared" si="64"/>
        <v/>
      </c>
      <c r="DH68" s="57"/>
      <c r="DI68" s="43" t="str">
        <f t="shared" ca="1" si="65"/>
        <v/>
      </c>
      <c r="DJ68" s="43" t="str">
        <f t="shared" si="66"/>
        <v/>
      </c>
      <c r="DK68" s="43" t="str">
        <f t="shared" si="67"/>
        <v/>
      </c>
      <c r="DL68" s="57"/>
      <c r="DM68" s="43" t="str">
        <f t="shared" ca="1" si="68"/>
        <v/>
      </c>
      <c r="DN68" s="43" t="str">
        <f t="shared" si="69"/>
        <v/>
      </c>
      <c r="DO68" s="43" t="str">
        <f t="shared" si="70"/>
        <v/>
      </c>
      <c r="DP68" s="57"/>
      <c r="DQ68" s="43" t="str">
        <f t="shared" ca="1" si="71"/>
        <v/>
      </c>
      <c r="DR68" s="43" t="str">
        <f t="shared" si="72"/>
        <v/>
      </c>
      <c r="DS68" s="43" t="str">
        <f t="shared" si="73"/>
        <v/>
      </c>
      <c r="DT68" s="57"/>
      <c r="DU68" s="43" t="str">
        <f t="shared" ca="1" si="74"/>
        <v/>
      </c>
      <c r="DV68" s="43" t="str">
        <f t="shared" si="75"/>
        <v/>
      </c>
      <c r="DX68" s="44">
        <v>1</v>
      </c>
      <c r="DY68" s="44" t="s">
        <v>773</v>
      </c>
      <c r="DZ68" s="43">
        <f t="shared" si="76"/>
        <v>0.01</v>
      </c>
      <c r="EA68" s="43" t="str">
        <f t="shared" si="77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8"/>
        <v>100</v>
      </c>
      <c r="EF68" s="44">
        <v>1</v>
      </c>
      <c r="EG68" s="44">
        <v>0</v>
      </c>
      <c r="EH68" s="44" t="s">
        <v>875</v>
      </c>
      <c r="EI68" s="45">
        <v>0</v>
      </c>
      <c r="EJ68" s="43">
        <f t="shared" si="79"/>
        <v>5000</v>
      </c>
      <c r="EK68" s="69"/>
    </row>
    <row r="69" spans="1:141" x14ac:dyDescent="0.2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IF(IFERROR(INDEX(Consulta!$A:$DP,MATCH('MM01'!$B69,Consulta!$C:$C,0),'MM01'!D$2),"")=0,"",IFERROR(INDEX(Consulta!$A:$DP,MATCH('MM01'!$B69,Consulta!$C:$C,0),'MM01'!D$2),""))</f>
        <v/>
      </c>
      <c r="E69" s="43" t="str">
        <f>IF(IFERROR(INDEX(Consulta!$A:$DP,MATCH('MM01'!$B69,Consulta!$C:$C,0),'MM01'!E$2),"")=0,"",IFERROR(INDEX(Consulta!$A:$DP,MATCH('MM01'!$B69,Consulta!$C:$C,0),'MM01'!E$2),""))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1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2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3"/>
        <v/>
      </c>
      <c r="AV69" s="47" t="s">
        <v>795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4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5"/>
        <v/>
      </c>
      <c r="BC69" s="43" t="str">
        <f t="shared" si="46"/>
        <v/>
      </c>
      <c r="BD69" s="43" t="str">
        <f t="shared" si="47"/>
        <v/>
      </c>
      <c r="BE69" s="43" t="str">
        <f t="shared" si="48"/>
        <v>M</v>
      </c>
      <c r="BF69" s="43" t="str">
        <f t="shared" si="49"/>
        <v/>
      </c>
      <c r="BG69" s="43" t="str">
        <f t="shared" si="50"/>
        <v/>
      </c>
      <c r="BH69" s="43" t="str">
        <f t="shared" si="51"/>
        <v/>
      </c>
      <c r="BI69" s="43" t="str">
        <f t="shared" si="52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>
        <v>99</v>
      </c>
      <c r="BN69" s="46" t="str">
        <f t="shared" ca="1" si="53"/>
        <v>28.04.2022</v>
      </c>
      <c r="BO69" s="49" t="str">
        <f t="shared" si="54"/>
        <v/>
      </c>
      <c r="BP69" s="50">
        <v>1</v>
      </c>
      <c r="BQ69" s="50" t="s">
        <v>194</v>
      </c>
      <c r="BR69" s="79" t="str">
        <f t="shared" si="15"/>
        <v>01</v>
      </c>
      <c r="BS69" s="50" t="s">
        <v>795</v>
      </c>
      <c r="BT69" s="44">
        <v>1</v>
      </c>
      <c r="BU69" s="44" t="s">
        <v>371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391</v>
      </c>
      <c r="BZ69" s="50">
        <v>0</v>
      </c>
      <c r="CA69" s="45" t="s">
        <v>402</v>
      </c>
      <c r="CB69" s="45" t="s">
        <v>84</v>
      </c>
      <c r="CC69" s="43" t="str">
        <f t="shared" si="55"/>
        <v/>
      </c>
      <c r="CD69" s="45" t="s">
        <v>38</v>
      </c>
      <c r="CE69" s="45">
        <v>1</v>
      </c>
      <c r="CF69" s="45" t="s">
        <v>495</v>
      </c>
      <c r="CG69" s="45"/>
      <c r="CH69" s="44">
        <v>2</v>
      </c>
      <c r="CI69" s="49" t="str">
        <f t="shared" si="56"/>
        <v/>
      </c>
      <c r="CJ69" s="49" t="str">
        <f t="shared" si="57"/>
        <v/>
      </c>
      <c r="CK69" s="45"/>
      <c r="CL69" s="44">
        <v>1</v>
      </c>
      <c r="CM69" s="50" t="s">
        <v>514</v>
      </c>
      <c r="CN69" s="44" t="s">
        <v>371</v>
      </c>
      <c r="CO69" s="44">
        <v>2</v>
      </c>
      <c r="CP69" s="44">
        <v>42</v>
      </c>
      <c r="CQ69" s="44">
        <v>10</v>
      </c>
      <c r="CR69" s="43" t="str">
        <f t="shared" si="58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9"/>
        <v/>
      </c>
      <c r="CY69" s="43" t="str">
        <f t="shared" si="60"/>
        <v/>
      </c>
      <c r="CZ69" s="43" t="str">
        <f t="shared" si="61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2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3"/>
        <v/>
      </c>
      <c r="DG69" s="43" t="str">
        <f t="shared" si="64"/>
        <v/>
      </c>
      <c r="DH69" s="57"/>
      <c r="DI69" s="43" t="str">
        <f t="shared" ca="1" si="65"/>
        <v/>
      </c>
      <c r="DJ69" s="43" t="str">
        <f t="shared" si="66"/>
        <v/>
      </c>
      <c r="DK69" s="43" t="str">
        <f t="shared" si="67"/>
        <v/>
      </c>
      <c r="DL69" s="57"/>
      <c r="DM69" s="43" t="str">
        <f t="shared" ca="1" si="68"/>
        <v/>
      </c>
      <c r="DN69" s="43" t="str">
        <f t="shared" si="69"/>
        <v/>
      </c>
      <c r="DO69" s="43" t="str">
        <f t="shared" si="70"/>
        <v/>
      </c>
      <c r="DP69" s="57"/>
      <c r="DQ69" s="43" t="str">
        <f t="shared" ca="1" si="71"/>
        <v/>
      </c>
      <c r="DR69" s="43" t="str">
        <f t="shared" si="72"/>
        <v/>
      </c>
      <c r="DS69" s="43" t="str">
        <f t="shared" si="73"/>
        <v/>
      </c>
      <c r="DT69" s="57"/>
      <c r="DU69" s="43" t="str">
        <f t="shared" ca="1" si="74"/>
        <v/>
      </c>
      <c r="DV69" s="43" t="str">
        <f t="shared" si="75"/>
        <v/>
      </c>
      <c r="DX69" s="44">
        <v>1</v>
      </c>
      <c r="DY69" s="44" t="s">
        <v>773</v>
      </c>
      <c r="DZ69" s="43">
        <f t="shared" si="76"/>
        <v>0.01</v>
      </c>
      <c r="EA69" s="43" t="str">
        <f t="shared" si="77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8"/>
        <v>100</v>
      </c>
      <c r="EF69" s="44">
        <v>1</v>
      </c>
      <c r="EG69" s="44">
        <v>0</v>
      </c>
      <c r="EH69" s="44" t="s">
        <v>875</v>
      </c>
      <c r="EI69" s="45">
        <v>0</v>
      </c>
      <c r="EJ69" s="43">
        <f t="shared" si="79"/>
        <v>5000</v>
      </c>
      <c r="EK69" s="69"/>
    </row>
    <row r="70" spans="1:141" x14ac:dyDescent="0.2">
      <c r="A70" s="7" t="str">
        <f t="shared" ref="A70:A104" si="80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IF(IFERROR(INDEX(Consulta!$A:$DP,MATCH('MM01'!$B70,Consulta!$C:$C,0),'MM01'!D$2),"")=0,"",IFERROR(INDEX(Consulta!$A:$DP,MATCH('MM01'!$B70,Consulta!$C:$C,0),'MM01'!D$2),""))</f>
        <v/>
      </c>
      <c r="E70" s="43" t="str">
        <f>IF(IFERROR(INDEX(Consulta!$A:$DP,MATCH('MM01'!$B70,Consulta!$C:$C,0),'MM01'!E$2),"")=0,"",IFERROR(INDEX(Consulta!$A:$DP,MATCH('MM01'!$B70,Consulta!$C:$C,0),'MM01'!E$2),""))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1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2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3"/>
        <v/>
      </c>
      <c r="AV70" s="47" t="s">
        <v>795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4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5"/>
        <v/>
      </c>
      <c r="BC70" s="43" t="str">
        <f t="shared" si="46"/>
        <v/>
      </c>
      <c r="BD70" s="43" t="str">
        <f t="shared" si="47"/>
        <v/>
      </c>
      <c r="BE70" s="43" t="str">
        <f t="shared" si="48"/>
        <v>M</v>
      </c>
      <c r="BF70" s="43" t="str">
        <f t="shared" si="49"/>
        <v/>
      </c>
      <c r="BG70" s="43" t="str">
        <f t="shared" si="50"/>
        <v/>
      </c>
      <c r="BH70" s="43" t="str">
        <f t="shared" si="51"/>
        <v/>
      </c>
      <c r="BI70" s="43" t="str">
        <f t="shared" si="52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>
        <v>99</v>
      </c>
      <c r="BN70" s="46" t="str">
        <f t="shared" ca="1" si="53"/>
        <v>28.04.2022</v>
      </c>
      <c r="BO70" s="49" t="str">
        <f t="shared" si="54"/>
        <v/>
      </c>
      <c r="BP70" s="50">
        <v>1</v>
      </c>
      <c r="BQ70" s="50" t="s">
        <v>194</v>
      </c>
      <c r="BR70" s="79" t="str">
        <f t="shared" ref="BR70:BR133" si="81">IF(AR70=68,20,"01")</f>
        <v>01</v>
      </c>
      <c r="BS70" s="50" t="s">
        <v>795</v>
      </c>
      <c r="BT70" s="44">
        <v>1</v>
      </c>
      <c r="BU70" s="44" t="s">
        <v>371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391</v>
      </c>
      <c r="BZ70" s="50">
        <v>0</v>
      </c>
      <c r="CA70" s="45" t="s">
        <v>402</v>
      </c>
      <c r="CB70" s="45" t="s">
        <v>84</v>
      </c>
      <c r="CC70" s="43" t="str">
        <f t="shared" si="55"/>
        <v/>
      </c>
      <c r="CD70" s="45" t="s">
        <v>38</v>
      </c>
      <c r="CE70" s="45">
        <v>1</v>
      </c>
      <c r="CF70" s="45" t="s">
        <v>495</v>
      </c>
      <c r="CG70" s="45"/>
      <c r="CH70" s="44">
        <v>2</v>
      </c>
      <c r="CI70" s="49" t="str">
        <f t="shared" si="56"/>
        <v/>
      </c>
      <c r="CJ70" s="49" t="str">
        <f t="shared" si="57"/>
        <v/>
      </c>
      <c r="CK70" s="45"/>
      <c r="CL70" s="44">
        <v>1</v>
      </c>
      <c r="CM70" s="50" t="s">
        <v>514</v>
      </c>
      <c r="CN70" s="44" t="s">
        <v>371</v>
      </c>
      <c r="CO70" s="44">
        <v>2</v>
      </c>
      <c r="CP70" s="44">
        <v>42</v>
      </c>
      <c r="CQ70" s="44">
        <v>10</v>
      </c>
      <c r="CR70" s="43" t="str">
        <f t="shared" si="58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9"/>
        <v/>
      </c>
      <c r="CY70" s="43" t="str">
        <f t="shared" si="60"/>
        <v/>
      </c>
      <c r="CZ70" s="43" t="str">
        <f t="shared" si="61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2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3"/>
        <v/>
      </c>
      <c r="DG70" s="43" t="str">
        <f t="shared" si="64"/>
        <v/>
      </c>
      <c r="DH70" s="57"/>
      <c r="DI70" s="43" t="str">
        <f t="shared" ca="1" si="65"/>
        <v/>
      </c>
      <c r="DJ70" s="43" t="str">
        <f t="shared" si="66"/>
        <v/>
      </c>
      <c r="DK70" s="43" t="str">
        <f t="shared" si="67"/>
        <v/>
      </c>
      <c r="DL70" s="57"/>
      <c r="DM70" s="43" t="str">
        <f t="shared" ca="1" si="68"/>
        <v/>
      </c>
      <c r="DN70" s="43" t="str">
        <f t="shared" si="69"/>
        <v/>
      </c>
      <c r="DO70" s="43" t="str">
        <f t="shared" si="70"/>
        <v/>
      </c>
      <c r="DP70" s="57"/>
      <c r="DQ70" s="43" t="str">
        <f t="shared" ca="1" si="71"/>
        <v/>
      </c>
      <c r="DR70" s="43" t="str">
        <f t="shared" si="72"/>
        <v/>
      </c>
      <c r="DS70" s="43" t="str">
        <f t="shared" si="73"/>
        <v/>
      </c>
      <c r="DT70" s="57"/>
      <c r="DU70" s="43" t="str">
        <f t="shared" ca="1" si="74"/>
        <v/>
      </c>
      <c r="DV70" s="43" t="str">
        <f t="shared" si="75"/>
        <v/>
      </c>
      <c r="DX70" s="44">
        <v>1</v>
      </c>
      <c r="DY70" s="44" t="s">
        <v>773</v>
      </c>
      <c r="DZ70" s="43">
        <f t="shared" si="76"/>
        <v>0.01</v>
      </c>
      <c r="EA70" s="43" t="str">
        <f t="shared" si="77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8"/>
        <v>100</v>
      </c>
      <c r="EF70" s="44">
        <v>1</v>
      </c>
      <c r="EG70" s="44">
        <v>0</v>
      </c>
      <c r="EH70" s="44" t="s">
        <v>875</v>
      </c>
      <c r="EI70" s="45">
        <v>0</v>
      </c>
      <c r="EJ70" s="43">
        <f t="shared" si="79"/>
        <v>5000</v>
      </c>
      <c r="EK70" s="69"/>
    </row>
    <row r="71" spans="1:141" x14ac:dyDescent="0.2">
      <c r="A71" s="7" t="str">
        <f t="shared" si="80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IF(IFERROR(INDEX(Consulta!$A:$DP,MATCH('MM01'!$B71,Consulta!$C:$C,0),'MM01'!D$2),"")=0,"",IFERROR(INDEX(Consulta!$A:$DP,MATCH('MM01'!$B71,Consulta!$C:$C,0),'MM01'!D$2),""))</f>
        <v/>
      </c>
      <c r="E71" s="43" t="str">
        <f>IF(IFERROR(INDEX(Consulta!$A:$DP,MATCH('MM01'!$B71,Consulta!$C:$C,0),'MM01'!E$2),"")=0,"",IFERROR(INDEX(Consulta!$A:$DP,MATCH('MM01'!$B71,Consulta!$C:$C,0),'MM01'!E$2),""))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1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2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3"/>
        <v/>
      </c>
      <c r="AV71" s="47" t="s">
        <v>795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4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5"/>
        <v/>
      </c>
      <c r="BC71" s="43" t="str">
        <f t="shared" si="46"/>
        <v/>
      </c>
      <c r="BD71" s="43" t="str">
        <f t="shared" si="47"/>
        <v/>
      </c>
      <c r="BE71" s="43" t="str">
        <f t="shared" si="48"/>
        <v>M</v>
      </c>
      <c r="BF71" s="43" t="str">
        <f t="shared" si="49"/>
        <v/>
      </c>
      <c r="BG71" s="43" t="str">
        <f t="shared" si="50"/>
        <v/>
      </c>
      <c r="BH71" s="43" t="str">
        <f t="shared" si="51"/>
        <v/>
      </c>
      <c r="BI71" s="43" t="str">
        <f t="shared" si="52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>
        <v>99</v>
      </c>
      <c r="BN71" s="46" t="str">
        <f t="shared" ca="1" si="53"/>
        <v>28.04.2022</v>
      </c>
      <c r="BO71" s="49" t="str">
        <f t="shared" si="54"/>
        <v/>
      </c>
      <c r="BP71" s="50">
        <v>1</v>
      </c>
      <c r="BQ71" s="50" t="s">
        <v>194</v>
      </c>
      <c r="BR71" s="79" t="str">
        <f t="shared" si="81"/>
        <v>01</v>
      </c>
      <c r="BS71" s="50" t="s">
        <v>795</v>
      </c>
      <c r="BT71" s="44">
        <v>1</v>
      </c>
      <c r="BU71" s="44" t="s">
        <v>371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391</v>
      </c>
      <c r="BZ71" s="50">
        <v>0</v>
      </c>
      <c r="CA71" s="45" t="s">
        <v>402</v>
      </c>
      <c r="CB71" s="45" t="s">
        <v>84</v>
      </c>
      <c r="CC71" s="43" t="str">
        <f t="shared" si="55"/>
        <v/>
      </c>
      <c r="CD71" s="45" t="s">
        <v>38</v>
      </c>
      <c r="CE71" s="45">
        <v>1</v>
      </c>
      <c r="CF71" s="45" t="s">
        <v>495</v>
      </c>
      <c r="CG71" s="45"/>
      <c r="CH71" s="44">
        <v>2</v>
      </c>
      <c r="CI71" s="49" t="str">
        <f t="shared" si="56"/>
        <v/>
      </c>
      <c r="CJ71" s="49" t="str">
        <f t="shared" si="57"/>
        <v/>
      </c>
      <c r="CK71" s="45"/>
      <c r="CL71" s="44">
        <v>1</v>
      </c>
      <c r="CM71" s="50" t="s">
        <v>514</v>
      </c>
      <c r="CN71" s="44" t="s">
        <v>371</v>
      </c>
      <c r="CO71" s="44">
        <v>2</v>
      </c>
      <c r="CP71" s="44">
        <v>42</v>
      </c>
      <c r="CQ71" s="44">
        <v>10</v>
      </c>
      <c r="CR71" s="43" t="str">
        <f t="shared" si="58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9"/>
        <v/>
      </c>
      <c r="CY71" s="43" t="str">
        <f t="shared" si="60"/>
        <v/>
      </c>
      <c r="CZ71" s="43" t="str">
        <f t="shared" si="61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2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3"/>
        <v/>
      </c>
      <c r="DG71" s="43" t="str">
        <f t="shared" si="64"/>
        <v/>
      </c>
      <c r="DH71" s="57"/>
      <c r="DI71" s="43" t="str">
        <f t="shared" ca="1" si="65"/>
        <v/>
      </c>
      <c r="DJ71" s="43" t="str">
        <f t="shared" si="66"/>
        <v/>
      </c>
      <c r="DK71" s="43" t="str">
        <f t="shared" si="67"/>
        <v/>
      </c>
      <c r="DL71" s="57"/>
      <c r="DM71" s="43" t="str">
        <f t="shared" ca="1" si="68"/>
        <v/>
      </c>
      <c r="DN71" s="43" t="str">
        <f t="shared" si="69"/>
        <v/>
      </c>
      <c r="DO71" s="43" t="str">
        <f t="shared" si="70"/>
        <v/>
      </c>
      <c r="DP71" s="57"/>
      <c r="DQ71" s="43" t="str">
        <f t="shared" ca="1" si="71"/>
        <v/>
      </c>
      <c r="DR71" s="43" t="str">
        <f t="shared" si="72"/>
        <v/>
      </c>
      <c r="DS71" s="43" t="str">
        <f t="shared" si="73"/>
        <v/>
      </c>
      <c r="DT71" s="57"/>
      <c r="DU71" s="43" t="str">
        <f t="shared" ca="1" si="74"/>
        <v/>
      </c>
      <c r="DV71" s="43" t="str">
        <f t="shared" si="75"/>
        <v/>
      </c>
      <c r="DX71" s="44">
        <v>1</v>
      </c>
      <c r="DY71" s="44" t="s">
        <v>773</v>
      </c>
      <c r="DZ71" s="43">
        <f t="shared" si="76"/>
        <v>0.01</v>
      </c>
      <c r="EA71" s="43" t="str">
        <f t="shared" si="77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8"/>
        <v>100</v>
      </c>
      <c r="EF71" s="44">
        <v>1</v>
      </c>
      <c r="EG71" s="44">
        <v>0</v>
      </c>
      <c r="EH71" s="44" t="s">
        <v>875</v>
      </c>
      <c r="EI71" s="45">
        <v>0</v>
      </c>
      <c r="EJ71" s="43">
        <f t="shared" si="79"/>
        <v>5000</v>
      </c>
      <c r="EK71" s="69"/>
    </row>
    <row r="72" spans="1:141" x14ac:dyDescent="0.2">
      <c r="A72" s="7" t="str">
        <f t="shared" si="80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IF(IFERROR(INDEX(Consulta!$A:$DP,MATCH('MM01'!$B72,Consulta!$C:$C,0),'MM01'!D$2),"")=0,"",IFERROR(INDEX(Consulta!$A:$DP,MATCH('MM01'!$B72,Consulta!$C:$C,0),'MM01'!D$2),""))</f>
        <v/>
      </c>
      <c r="E72" s="43" t="str">
        <f>IF(IFERROR(INDEX(Consulta!$A:$DP,MATCH('MM01'!$B72,Consulta!$C:$C,0),'MM01'!E$2),"")=0,"",IFERROR(INDEX(Consulta!$A:$DP,MATCH('MM01'!$B72,Consulta!$C:$C,0),'MM01'!E$2),""))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1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2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3"/>
        <v/>
      </c>
      <c r="AV72" s="47" t="s">
        <v>795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4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5"/>
        <v/>
      </c>
      <c r="BC72" s="43" t="str">
        <f t="shared" si="46"/>
        <v/>
      </c>
      <c r="BD72" s="43" t="str">
        <f t="shared" si="47"/>
        <v/>
      </c>
      <c r="BE72" s="43" t="str">
        <f t="shared" si="48"/>
        <v>M</v>
      </c>
      <c r="BF72" s="43" t="str">
        <f t="shared" si="49"/>
        <v/>
      </c>
      <c r="BG72" s="43" t="str">
        <f t="shared" si="50"/>
        <v/>
      </c>
      <c r="BH72" s="43" t="str">
        <f t="shared" si="51"/>
        <v/>
      </c>
      <c r="BI72" s="43" t="str">
        <f t="shared" si="52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>
        <v>99</v>
      </c>
      <c r="BN72" s="46" t="str">
        <f t="shared" ca="1" si="53"/>
        <v>28.04.2022</v>
      </c>
      <c r="BO72" s="49" t="str">
        <f t="shared" si="54"/>
        <v/>
      </c>
      <c r="BP72" s="50">
        <v>1</v>
      </c>
      <c r="BQ72" s="50" t="s">
        <v>194</v>
      </c>
      <c r="BR72" s="79" t="str">
        <f t="shared" si="81"/>
        <v>01</v>
      </c>
      <c r="BS72" s="50" t="s">
        <v>795</v>
      </c>
      <c r="BT72" s="44">
        <v>1</v>
      </c>
      <c r="BU72" s="44" t="s">
        <v>371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391</v>
      </c>
      <c r="BZ72" s="50">
        <v>0</v>
      </c>
      <c r="CA72" s="45" t="s">
        <v>402</v>
      </c>
      <c r="CB72" s="45" t="s">
        <v>84</v>
      </c>
      <c r="CC72" s="43" t="str">
        <f t="shared" si="55"/>
        <v/>
      </c>
      <c r="CD72" s="45" t="s">
        <v>38</v>
      </c>
      <c r="CE72" s="45">
        <v>1</v>
      </c>
      <c r="CF72" s="45" t="s">
        <v>495</v>
      </c>
      <c r="CG72" s="45"/>
      <c r="CH72" s="44">
        <v>2</v>
      </c>
      <c r="CI72" s="49" t="str">
        <f t="shared" si="56"/>
        <v/>
      </c>
      <c r="CJ72" s="49" t="str">
        <f t="shared" si="57"/>
        <v/>
      </c>
      <c r="CK72" s="45"/>
      <c r="CL72" s="44">
        <v>1</v>
      </c>
      <c r="CM72" s="50" t="s">
        <v>514</v>
      </c>
      <c r="CN72" s="44" t="s">
        <v>371</v>
      </c>
      <c r="CO72" s="44">
        <v>2</v>
      </c>
      <c r="CP72" s="44">
        <v>42</v>
      </c>
      <c r="CQ72" s="44">
        <v>10</v>
      </c>
      <c r="CR72" s="43" t="str">
        <f t="shared" si="58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9"/>
        <v/>
      </c>
      <c r="CY72" s="43" t="str">
        <f t="shared" si="60"/>
        <v/>
      </c>
      <c r="CZ72" s="43" t="str">
        <f t="shared" si="61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2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3"/>
        <v/>
      </c>
      <c r="DG72" s="43" t="str">
        <f t="shared" si="64"/>
        <v/>
      </c>
      <c r="DH72" s="57"/>
      <c r="DI72" s="43" t="str">
        <f t="shared" ca="1" si="65"/>
        <v/>
      </c>
      <c r="DJ72" s="43" t="str">
        <f t="shared" si="66"/>
        <v/>
      </c>
      <c r="DK72" s="43" t="str">
        <f t="shared" si="67"/>
        <v/>
      </c>
      <c r="DL72" s="57"/>
      <c r="DM72" s="43" t="str">
        <f t="shared" ca="1" si="68"/>
        <v/>
      </c>
      <c r="DN72" s="43" t="str">
        <f t="shared" si="69"/>
        <v/>
      </c>
      <c r="DO72" s="43" t="str">
        <f t="shared" si="70"/>
        <v/>
      </c>
      <c r="DP72" s="57"/>
      <c r="DQ72" s="43" t="str">
        <f t="shared" ca="1" si="71"/>
        <v/>
      </c>
      <c r="DR72" s="43" t="str">
        <f t="shared" si="72"/>
        <v/>
      </c>
      <c r="DS72" s="43" t="str">
        <f t="shared" si="73"/>
        <v/>
      </c>
      <c r="DT72" s="57"/>
      <c r="DU72" s="43" t="str">
        <f t="shared" ca="1" si="74"/>
        <v/>
      </c>
      <c r="DV72" s="43" t="str">
        <f t="shared" si="75"/>
        <v/>
      </c>
      <c r="DX72" s="44">
        <v>1</v>
      </c>
      <c r="DY72" s="44" t="s">
        <v>773</v>
      </c>
      <c r="DZ72" s="43">
        <f t="shared" si="76"/>
        <v>0.01</v>
      </c>
      <c r="EA72" s="43" t="str">
        <f t="shared" si="77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8"/>
        <v>100</v>
      </c>
      <c r="EF72" s="44">
        <v>1</v>
      </c>
      <c r="EG72" s="44">
        <v>0</v>
      </c>
      <c r="EH72" s="44" t="s">
        <v>875</v>
      </c>
      <c r="EI72" s="45">
        <v>0</v>
      </c>
      <c r="EJ72" s="43">
        <f t="shared" si="79"/>
        <v>5000</v>
      </c>
      <c r="EK72" s="69"/>
    </row>
    <row r="73" spans="1:141" x14ac:dyDescent="0.2">
      <c r="A73" s="7" t="str">
        <f t="shared" si="80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IF(IFERROR(INDEX(Consulta!$A:$DP,MATCH('MM01'!$B73,Consulta!$C:$C,0),'MM01'!D$2),"")=0,"",IFERROR(INDEX(Consulta!$A:$DP,MATCH('MM01'!$B73,Consulta!$C:$C,0),'MM01'!D$2),""))</f>
        <v/>
      </c>
      <c r="E73" s="43" t="str">
        <f>IF(IFERROR(INDEX(Consulta!$A:$DP,MATCH('MM01'!$B73,Consulta!$C:$C,0),'MM01'!E$2),"")=0,"",IFERROR(INDEX(Consulta!$A:$DP,MATCH('MM01'!$B73,Consulta!$C:$C,0),'MM01'!E$2),""))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1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2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3"/>
        <v/>
      </c>
      <c r="AV73" s="47" t="s">
        <v>795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4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5"/>
        <v/>
      </c>
      <c r="BC73" s="43" t="str">
        <f t="shared" si="46"/>
        <v/>
      </c>
      <c r="BD73" s="43" t="str">
        <f t="shared" si="47"/>
        <v/>
      </c>
      <c r="BE73" s="43" t="str">
        <f t="shared" si="48"/>
        <v>M</v>
      </c>
      <c r="BF73" s="43" t="str">
        <f t="shared" si="49"/>
        <v/>
      </c>
      <c r="BG73" s="43" t="str">
        <f t="shared" si="50"/>
        <v/>
      </c>
      <c r="BH73" s="43" t="str">
        <f t="shared" si="51"/>
        <v/>
      </c>
      <c r="BI73" s="43" t="str">
        <f t="shared" si="52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>
        <v>99</v>
      </c>
      <c r="BN73" s="46" t="str">
        <f t="shared" ca="1" si="53"/>
        <v>28.04.2022</v>
      </c>
      <c r="BO73" s="49" t="str">
        <f t="shared" si="54"/>
        <v/>
      </c>
      <c r="BP73" s="50">
        <v>1</v>
      </c>
      <c r="BQ73" s="50" t="s">
        <v>194</v>
      </c>
      <c r="BR73" s="79" t="str">
        <f t="shared" si="81"/>
        <v>01</v>
      </c>
      <c r="BS73" s="50" t="s">
        <v>795</v>
      </c>
      <c r="BT73" s="44">
        <v>1</v>
      </c>
      <c r="BU73" s="44" t="s">
        <v>371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391</v>
      </c>
      <c r="BZ73" s="50">
        <v>0</v>
      </c>
      <c r="CA73" s="45" t="s">
        <v>402</v>
      </c>
      <c r="CB73" s="45" t="s">
        <v>84</v>
      </c>
      <c r="CC73" s="43" t="str">
        <f t="shared" si="55"/>
        <v/>
      </c>
      <c r="CD73" s="45" t="s">
        <v>38</v>
      </c>
      <c r="CE73" s="45">
        <v>1</v>
      </c>
      <c r="CF73" s="45" t="s">
        <v>495</v>
      </c>
      <c r="CG73" s="45"/>
      <c r="CH73" s="44">
        <v>2</v>
      </c>
      <c r="CI73" s="49" t="str">
        <f t="shared" si="56"/>
        <v/>
      </c>
      <c r="CJ73" s="49" t="str">
        <f t="shared" si="57"/>
        <v/>
      </c>
      <c r="CK73" s="45"/>
      <c r="CL73" s="44">
        <v>1</v>
      </c>
      <c r="CM73" s="50" t="s">
        <v>514</v>
      </c>
      <c r="CN73" s="44" t="s">
        <v>371</v>
      </c>
      <c r="CO73" s="44">
        <v>2</v>
      </c>
      <c r="CP73" s="44">
        <v>42</v>
      </c>
      <c r="CQ73" s="44">
        <v>10</v>
      </c>
      <c r="CR73" s="43" t="str">
        <f t="shared" si="58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9"/>
        <v/>
      </c>
      <c r="CY73" s="43" t="str">
        <f t="shared" si="60"/>
        <v/>
      </c>
      <c r="CZ73" s="43" t="str">
        <f t="shared" si="61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2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3"/>
        <v/>
      </c>
      <c r="DG73" s="43" t="str">
        <f t="shared" si="64"/>
        <v/>
      </c>
      <c r="DH73" s="57"/>
      <c r="DI73" s="43" t="str">
        <f t="shared" ca="1" si="65"/>
        <v/>
      </c>
      <c r="DJ73" s="43" t="str">
        <f t="shared" si="66"/>
        <v/>
      </c>
      <c r="DK73" s="43" t="str">
        <f t="shared" si="67"/>
        <v/>
      </c>
      <c r="DL73" s="57"/>
      <c r="DM73" s="43" t="str">
        <f t="shared" ca="1" si="68"/>
        <v/>
      </c>
      <c r="DN73" s="43" t="str">
        <f t="shared" si="69"/>
        <v/>
      </c>
      <c r="DO73" s="43" t="str">
        <f t="shared" si="70"/>
        <v/>
      </c>
      <c r="DP73" s="57"/>
      <c r="DQ73" s="43" t="str">
        <f t="shared" ca="1" si="71"/>
        <v/>
      </c>
      <c r="DR73" s="43" t="str">
        <f t="shared" si="72"/>
        <v/>
      </c>
      <c r="DS73" s="43" t="str">
        <f t="shared" si="73"/>
        <v/>
      </c>
      <c r="DT73" s="57"/>
      <c r="DU73" s="43" t="str">
        <f t="shared" ca="1" si="74"/>
        <v/>
      </c>
      <c r="DV73" s="43" t="str">
        <f t="shared" si="75"/>
        <v/>
      </c>
      <c r="DX73" s="44">
        <v>1</v>
      </c>
      <c r="DY73" s="44" t="s">
        <v>773</v>
      </c>
      <c r="DZ73" s="43">
        <f t="shared" si="76"/>
        <v>0.01</v>
      </c>
      <c r="EA73" s="43" t="str">
        <f t="shared" si="77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8"/>
        <v>100</v>
      </c>
      <c r="EF73" s="44">
        <v>1</v>
      </c>
      <c r="EG73" s="44">
        <v>0</v>
      </c>
      <c r="EH73" s="44" t="s">
        <v>875</v>
      </c>
      <c r="EI73" s="45">
        <v>0</v>
      </c>
      <c r="EJ73" s="43">
        <f t="shared" si="79"/>
        <v>5000</v>
      </c>
      <c r="EK73" s="69"/>
    </row>
    <row r="74" spans="1:141" x14ac:dyDescent="0.2">
      <c r="A74" s="7" t="str">
        <f t="shared" si="80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IF(IFERROR(INDEX(Consulta!$A:$DP,MATCH('MM01'!$B74,Consulta!$C:$C,0),'MM01'!D$2),"")=0,"",IFERROR(INDEX(Consulta!$A:$DP,MATCH('MM01'!$B74,Consulta!$C:$C,0),'MM01'!D$2),""))</f>
        <v/>
      </c>
      <c r="E74" s="43" t="str">
        <f>IF(IFERROR(INDEX(Consulta!$A:$DP,MATCH('MM01'!$B74,Consulta!$C:$C,0),'MM01'!E$2),"")=0,"",IFERROR(INDEX(Consulta!$A:$DP,MATCH('MM01'!$B74,Consulta!$C:$C,0),'MM01'!E$2),""))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1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2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3"/>
        <v/>
      </c>
      <c r="AV74" s="47" t="s">
        <v>795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4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5"/>
        <v/>
      </c>
      <c r="BC74" s="43" t="str">
        <f t="shared" si="46"/>
        <v/>
      </c>
      <c r="BD74" s="43" t="str">
        <f t="shared" si="47"/>
        <v/>
      </c>
      <c r="BE74" s="43" t="str">
        <f t="shared" si="48"/>
        <v>M</v>
      </c>
      <c r="BF74" s="43" t="str">
        <f t="shared" si="49"/>
        <v/>
      </c>
      <c r="BG74" s="43" t="str">
        <f t="shared" si="50"/>
        <v/>
      </c>
      <c r="BH74" s="43" t="str">
        <f t="shared" si="51"/>
        <v/>
      </c>
      <c r="BI74" s="43" t="str">
        <f t="shared" si="52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>
        <v>99</v>
      </c>
      <c r="BN74" s="46" t="str">
        <f t="shared" ca="1" si="53"/>
        <v>28.04.2022</v>
      </c>
      <c r="BO74" s="49" t="str">
        <f t="shared" si="54"/>
        <v/>
      </c>
      <c r="BP74" s="50">
        <v>1</v>
      </c>
      <c r="BQ74" s="50" t="s">
        <v>194</v>
      </c>
      <c r="BR74" s="79" t="str">
        <f t="shared" si="81"/>
        <v>01</v>
      </c>
      <c r="BS74" s="50" t="s">
        <v>795</v>
      </c>
      <c r="BT74" s="44">
        <v>1</v>
      </c>
      <c r="BU74" s="44" t="s">
        <v>371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391</v>
      </c>
      <c r="BZ74" s="50">
        <v>0</v>
      </c>
      <c r="CA74" s="45" t="s">
        <v>402</v>
      </c>
      <c r="CB74" s="45" t="s">
        <v>84</v>
      </c>
      <c r="CC74" s="43" t="str">
        <f t="shared" si="55"/>
        <v/>
      </c>
      <c r="CD74" s="45" t="s">
        <v>38</v>
      </c>
      <c r="CE74" s="45">
        <v>1</v>
      </c>
      <c r="CF74" s="45" t="s">
        <v>495</v>
      </c>
      <c r="CG74" s="45"/>
      <c r="CH74" s="44">
        <v>2</v>
      </c>
      <c r="CI74" s="49" t="str">
        <f t="shared" si="56"/>
        <v/>
      </c>
      <c r="CJ74" s="49" t="str">
        <f t="shared" si="57"/>
        <v/>
      </c>
      <c r="CK74" s="45"/>
      <c r="CL74" s="44">
        <v>1</v>
      </c>
      <c r="CM74" s="50" t="s">
        <v>514</v>
      </c>
      <c r="CN74" s="44" t="s">
        <v>371</v>
      </c>
      <c r="CO74" s="44">
        <v>2</v>
      </c>
      <c r="CP74" s="44">
        <v>42</v>
      </c>
      <c r="CQ74" s="44">
        <v>10</v>
      </c>
      <c r="CR74" s="43" t="str">
        <f t="shared" si="58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9"/>
        <v/>
      </c>
      <c r="CY74" s="43" t="str">
        <f t="shared" si="60"/>
        <v/>
      </c>
      <c r="CZ74" s="43" t="str">
        <f t="shared" si="61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2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3"/>
        <v/>
      </c>
      <c r="DG74" s="43" t="str">
        <f t="shared" si="64"/>
        <v/>
      </c>
      <c r="DH74" s="57"/>
      <c r="DI74" s="43" t="str">
        <f t="shared" ca="1" si="65"/>
        <v/>
      </c>
      <c r="DJ74" s="43" t="str">
        <f t="shared" si="66"/>
        <v/>
      </c>
      <c r="DK74" s="43" t="str">
        <f t="shared" si="67"/>
        <v/>
      </c>
      <c r="DL74" s="57"/>
      <c r="DM74" s="43" t="str">
        <f t="shared" ca="1" si="68"/>
        <v/>
      </c>
      <c r="DN74" s="43" t="str">
        <f t="shared" si="69"/>
        <v/>
      </c>
      <c r="DO74" s="43" t="str">
        <f t="shared" si="70"/>
        <v/>
      </c>
      <c r="DP74" s="57"/>
      <c r="DQ74" s="43" t="str">
        <f t="shared" ca="1" si="71"/>
        <v/>
      </c>
      <c r="DR74" s="43" t="str">
        <f t="shared" si="72"/>
        <v/>
      </c>
      <c r="DS74" s="43" t="str">
        <f t="shared" si="73"/>
        <v/>
      </c>
      <c r="DT74" s="57"/>
      <c r="DU74" s="43" t="str">
        <f t="shared" ca="1" si="74"/>
        <v/>
      </c>
      <c r="DV74" s="43" t="str">
        <f t="shared" si="75"/>
        <v/>
      </c>
      <c r="DX74" s="44">
        <v>1</v>
      </c>
      <c r="DY74" s="44" t="s">
        <v>773</v>
      </c>
      <c r="DZ74" s="43">
        <f t="shared" si="76"/>
        <v>0.01</v>
      </c>
      <c r="EA74" s="43" t="str">
        <f t="shared" si="77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8"/>
        <v>100</v>
      </c>
      <c r="EF74" s="44">
        <v>1</v>
      </c>
      <c r="EG74" s="44">
        <v>0</v>
      </c>
      <c r="EH74" s="44" t="s">
        <v>875</v>
      </c>
      <c r="EI74" s="45">
        <v>0</v>
      </c>
      <c r="EJ74" s="43">
        <f t="shared" si="79"/>
        <v>5000</v>
      </c>
      <c r="EK74" s="69"/>
    </row>
    <row r="75" spans="1:141" x14ac:dyDescent="0.2">
      <c r="A75" s="7" t="str">
        <f t="shared" si="80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IF(IFERROR(INDEX(Consulta!$A:$DP,MATCH('MM01'!$B75,Consulta!$C:$C,0),'MM01'!D$2),"")=0,"",IFERROR(INDEX(Consulta!$A:$DP,MATCH('MM01'!$B75,Consulta!$C:$C,0),'MM01'!D$2),""))</f>
        <v/>
      </c>
      <c r="E75" s="43" t="str">
        <f>IF(IFERROR(INDEX(Consulta!$A:$DP,MATCH('MM01'!$B75,Consulta!$C:$C,0),'MM01'!E$2),"")=0,"",IFERROR(INDEX(Consulta!$A:$DP,MATCH('MM01'!$B75,Consulta!$C:$C,0),'MM01'!E$2),""))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1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2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3"/>
        <v/>
      </c>
      <c r="AV75" s="47" t="s">
        <v>795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4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5"/>
        <v/>
      </c>
      <c r="BC75" s="43" t="str">
        <f t="shared" si="46"/>
        <v/>
      </c>
      <c r="BD75" s="43" t="str">
        <f t="shared" si="47"/>
        <v/>
      </c>
      <c r="BE75" s="43" t="str">
        <f t="shared" si="48"/>
        <v>M</v>
      </c>
      <c r="BF75" s="43" t="str">
        <f t="shared" si="49"/>
        <v/>
      </c>
      <c r="BG75" s="43" t="str">
        <f t="shared" si="50"/>
        <v/>
      </c>
      <c r="BH75" s="43" t="str">
        <f t="shared" si="51"/>
        <v/>
      </c>
      <c r="BI75" s="43" t="str">
        <f t="shared" si="52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>
        <v>99</v>
      </c>
      <c r="BN75" s="46" t="str">
        <f t="shared" ca="1" si="53"/>
        <v>28.04.2022</v>
      </c>
      <c r="BO75" s="49" t="str">
        <f t="shared" si="54"/>
        <v/>
      </c>
      <c r="BP75" s="50">
        <v>1</v>
      </c>
      <c r="BQ75" s="50" t="s">
        <v>194</v>
      </c>
      <c r="BR75" s="79" t="str">
        <f t="shared" si="81"/>
        <v>01</v>
      </c>
      <c r="BS75" s="50" t="s">
        <v>795</v>
      </c>
      <c r="BT75" s="44">
        <v>1</v>
      </c>
      <c r="BU75" s="44" t="s">
        <v>371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391</v>
      </c>
      <c r="BZ75" s="50">
        <v>0</v>
      </c>
      <c r="CA75" s="45" t="s">
        <v>402</v>
      </c>
      <c r="CB75" s="45" t="s">
        <v>84</v>
      </c>
      <c r="CC75" s="43" t="str">
        <f t="shared" si="55"/>
        <v/>
      </c>
      <c r="CD75" s="45" t="s">
        <v>38</v>
      </c>
      <c r="CE75" s="45">
        <v>1</v>
      </c>
      <c r="CF75" s="45" t="s">
        <v>495</v>
      </c>
      <c r="CG75" s="45"/>
      <c r="CH75" s="44">
        <v>2</v>
      </c>
      <c r="CI75" s="49" t="str">
        <f t="shared" si="56"/>
        <v/>
      </c>
      <c r="CJ75" s="49" t="str">
        <f t="shared" si="57"/>
        <v/>
      </c>
      <c r="CK75" s="45"/>
      <c r="CL75" s="44">
        <v>1</v>
      </c>
      <c r="CM75" s="50" t="s">
        <v>514</v>
      </c>
      <c r="CN75" s="44" t="s">
        <v>371</v>
      </c>
      <c r="CO75" s="44">
        <v>2</v>
      </c>
      <c r="CP75" s="44">
        <v>42</v>
      </c>
      <c r="CQ75" s="44">
        <v>10</v>
      </c>
      <c r="CR75" s="43" t="str">
        <f t="shared" si="58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9"/>
        <v/>
      </c>
      <c r="CY75" s="43" t="str">
        <f t="shared" si="60"/>
        <v/>
      </c>
      <c r="CZ75" s="43" t="str">
        <f t="shared" si="61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2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3"/>
        <v/>
      </c>
      <c r="DG75" s="43" t="str">
        <f t="shared" si="64"/>
        <v/>
      </c>
      <c r="DH75" s="57"/>
      <c r="DI75" s="43" t="str">
        <f t="shared" ca="1" si="65"/>
        <v/>
      </c>
      <c r="DJ75" s="43" t="str">
        <f t="shared" si="66"/>
        <v/>
      </c>
      <c r="DK75" s="43" t="str">
        <f t="shared" si="67"/>
        <v/>
      </c>
      <c r="DL75" s="57"/>
      <c r="DM75" s="43" t="str">
        <f t="shared" ca="1" si="68"/>
        <v/>
      </c>
      <c r="DN75" s="43" t="str">
        <f t="shared" si="69"/>
        <v/>
      </c>
      <c r="DO75" s="43" t="str">
        <f t="shared" si="70"/>
        <v/>
      </c>
      <c r="DP75" s="57"/>
      <c r="DQ75" s="43" t="str">
        <f t="shared" ca="1" si="71"/>
        <v/>
      </c>
      <c r="DR75" s="43" t="str">
        <f t="shared" si="72"/>
        <v/>
      </c>
      <c r="DS75" s="43" t="str">
        <f t="shared" si="73"/>
        <v/>
      </c>
      <c r="DT75" s="57"/>
      <c r="DU75" s="43" t="str">
        <f t="shared" ca="1" si="74"/>
        <v/>
      </c>
      <c r="DV75" s="43" t="str">
        <f t="shared" si="75"/>
        <v/>
      </c>
      <c r="DX75" s="44">
        <v>1</v>
      </c>
      <c r="DY75" s="44" t="s">
        <v>773</v>
      </c>
      <c r="DZ75" s="43">
        <f t="shared" si="76"/>
        <v>0.01</v>
      </c>
      <c r="EA75" s="43" t="str">
        <f t="shared" si="77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8"/>
        <v>100</v>
      </c>
      <c r="EF75" s="44">
        <v>1</v>
      </c>
      <c r="EG75" s="44">
        <v>0</v>
      </c>
      <c r="EH75" s="44" t="s">
        <v>875</v>
      </c>
      <c r="EI75" s="45">
        <v>0</v>
      </c>
      <c r="EJ75" s="43">
        <f t="shared" si="79"/>
        <v>5000</v>
      </c>
      <c r="EK75" s="69"/>
    </row>
    <row r="76" spans="1:141" x14ac:dyDescent="0.2">
      <c r="A76" s="7" t="str">
        <f t="shared" si="80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IF(IFERROR(INDEX(Consulta!$A:$DP,MATCH('MM01'!$B76,Consulta!$C:$C,0),'MM01'!D$2),"")=0,"",IFERROR(INDEX(Consulta!$A:$DP,MATCH('MM01'!$B76,Consulta!$C:$C,0),'MM01'!D$2),""))</f>
        <v/>
      </c>
      <c r="E76" s="43" t="str">
        <f>IF(IFERROR(INDEX(Consulta!$A:$DP,MATCH('MM01'!$B76,Consulta!$C:$C,0),'MM01'!E$2),"")=0,"",IFERROR(INDEX(Consulta!$A:$DP,MATCH('MM01'!$B76,Consulta!$C:$C,0),'MM01'!E$2),""))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1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2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3"/>
        <v/>
      </c>
      <c r="AV76" s="47" t="s">
        <v>795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4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5"/>
        <v/>
      </c>
      <c r="BC76" s="43" t="str">
        <f t="shared" si="46"/>
        <v/>
      </c>
      <c r="BD76" s="43" t="str">
        <f t="shared" si="47"/>
        <v/>
      </c>
      <c r="BE76" s="43" t="str">
        <f t="shared" si="48"/>
        <v>M</v>
      </c>
      <c r="BF76" s="43" t="str">
        <f t="shared" si="49"/>
        <v/>
      </c>
      <c r="BG76" s="43" t="str">
        <f t="shared" si="50"/>
        <v/>
      </c>
      <c r="BH76" s="43" t="str">
        <f t="shared" si="51"/>
        <v/>
      </c>
      <c r="BI76" s="43" t="str">
        <f t="shared" si="52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>
        <v>99</v>
      </c>
      <c r="BN76" s="46" t="str">
        <f t="shared" ca="1" si="53"/>
        <v>28.04.2022</v>
      </c>
      <c r="BO76" s="49" t="str">
        <f t="shared" si="54"/>
        <v/>
      </c>
      <c r="BP76" s="50">
        <v>1</v>
      </c>
      <c r="BQ76" s="50" t="s">
        <v>194</v>
      </c>
      <c r="BR76" s="79" t="str">
        <f t="shared" si="81"/>
        <v>01</v>
      </c>
      <c r="BS76" s="50" t="s">
        <v>795</v>
      </c>
      <c r="BT76" s="44">
        <v>1</v>
      </c>
      <c r="BU76" s="44" t="s">
        <v>371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391</v>
      </c>
      <c r="BZ76" s="50">
        <v>0</v>
      </c>
      <c r="CA76" s="45" t="s">
        <v>402</v>
      </c>
      <c r="CB76" s="45" t="s">
        <v>84</v>
      </c>
      <c r="CC76" s="43" t="str">
        <f t="shared" si="55"/>
        <v/>
      </c>
      <c r="CD76" s="45" t="s">
        <v>38</v>
      </c>
      <c r="CE76" s="45">
        <v>1</v>
      </c>
      <c r="CF76" s="45" t="s">
        <v>495</v>
      </c>
      <c r="CG76" s="45"/>
      <c r="CH76" s="44">
        <v>2</v>
      </c>
      <c r="CI76" s="49" t="str">
        <f t="shared" si="56"/>
        <v/>
      </c>
      <c r="CJ76" s="49" t="str">
        <f t="shared" si="57"/>
        <v/>
      </c>
      <c r="CK76" s="45"/>
      <c r="CL76" s="44">
        <v>1</v>
      </c>
      <c r="CM76" s="50" t="s">
        <v>514</v>
      </c>
      <c r="CN76" s="44" t="s">
        <v>371</v>
      </c>
      <c r="CO76" s="44">
        <v>2</v>
      </c>
      <c r="CP76" s="44">
        <v>42</v>
      </c>
      <c r="CQ76" s="44">
        <v>10</v>
      </c>
      <c r="CR76" s="43" t="str">
        <f t="shared" si="58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9"/>
        <v/>
      </c>
      <c r="CY76" s="43" t="str">
        <f t="shared" si="60"/>
        <v/>
      </c>
      <c r="CZ76" s="43" t="str">
        <f t="shared" si="61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2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3"/>
        <v/>
      </c>
      <c r="DG76" s="43" t="str">
        <f t="shared" si="64"/>
        <v/>
      </c>
      <c r="DH76" s="57"/>
      <c r="DI76" s="43" t="str">
        <f t="shared" ca="1" si="65"/>
        <v/>
      </c>
      <c r="DJ76" s="43" t="str">
        <f t="shared" si="66"/>
        <v/>
      </c>
      <c r="DK76" s="43" t="str">
        <f t="shared" si="67"/>
        <v/>
      </c>
      <c r="DL76" s="57"/>
      <c r="DM76" s="43" t="str">
        <f t="shared" ca="1" si="68"/>
        <v/>
      </c>
      <c r="DN76" s="43" t="str">
        <f t="shared" si="69"/>
        <v/>
      </c>
      <c r="DO76" s="43" t="str">
        <f t="shared" si="70"/>
        <v/>
      </c>
      <c r="DP76" s="57"/>
      <c r="DQ76" s="43" t="str">
        <f t="shared" ca="1" si="71"/>
        <v/>
      </c>
      <c r="DR76" s="43" t="str">
        <f t="shared" si="72"/>
        <v/>
      </c>
      <c r="DS76" s="43" t="str">
        <f t="shared" si="73"/>
        <v/>
      </c>
      <c r="DT76" s="57"/>
      <c r="DU76" s="43" t="str">
        <f t="shared" ca="1" si="74"/>
        <v/>
      </c>
      <c r="DV76" s="43" t="str">
        <f t="shared" si="75"/>
        <v/>
      </c>
      <c r="DX76" s="44">
        <v>1</v>
      </c>
      <c r="DY76" s="44" t="s">
        <v>773</v>
      </c>
      <c r="DZ76" s="43">
        <f t="shared" si="76"/>
        <v>0.01</v>
      </c>
      <c r="EA76" s="43" t="str">
        <f t="shared" si="77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8"/>
        <v>100</v>
      </c>
      <c r="EF76" s="44">
        <v>1</v>
      </c>
      <c r="EG76" s="44">
        <v>0</v>
      </c>
      <c r="EH76" s="44" t="s">
        <v>875</v>
      </c>
      <c r="EI76" s="45">
        <v>0</v>
      </c>
      <c r="EJ76" s="43">
        <f t="shared" si="79"/>
        <v>5000</v>
      </c>
      <c r="EK76" s="69"/>
    </row>
    <row r="77" spans="1:141" x14ac:dyDescent="0.2">
      <c r="A77" s="7" t="str">
        <f t="shared" si="80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IF(IFERROR(INDEX(Consulta!$A:$DP,MATCH('MM01'!$B77,Consulta!$C:$C,0),'MM01'!D$2),"")=0,"",IFERROR(INDEX(Consulta!$A:$DP,MATCH('MM01'!$B77,Consulta!$C:$C,0),'MM01'!D$2),""))</f>
        <v/>
      </c>
      <c r="E77" s="43" t="str">
        <f>IF(IFERROR(INDEX(Consulta!$A:$DP,MATCH('MM01'!$B77,Consulta!$C:$C,0),'MM01'!E$2),"")=0,"",IFERROR(INDEX(Consulta!$A:$DP,MATCH('MM01'!$B77,Consulta!$C:$C,0),'MM01'!E$2),""))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1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2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3"/>
        <v/>
      </c>
      <c r="AV77" s="47" t="s">
        <v>795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4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5"/>
        <v/>
      </c>
      <c r="BC77" s="43" t="str">
        <f t="shared" si="46"/>
        <v/>
      </c>
      <c r="BD77" s="43" t="str">
        <f t="shared" si="47"/>
        <v/>
      </c>
      <c r="BE77" s="43" t="str">
        <f t="shared" si="48"/>
        <v>M</v>
      </c>
      <c r="BF77" s="43" t="str">
        <f t="shared" si="49"/>
        <v/>
      </c>
      <c r="BG77" s="43" t="str">
        <f t="shared" si="50"/>
        <v/>
      </c>
      <c r="BH77" s="43" t="str">
        <f t="shared" si="51"/>
        <v/>
      </c>
      <c r="BI77" s="43" t="str">
        <f t="shared" si="52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>
        <v>99</v>
      </c>
      <c r="BN77" s="46" t="str">
        <f t="shared" ca="1" si="53"/>
        <v>28.04.2022</v>
      </c>
      <c r="BO77" s="49" t="str">
        <f t="shared" si="54"/>
        <v/>
      </c>
      <c r="BP77" s="50">
        <v>1</v>
      </c>
      <c r="BQ77" s="50" t="s">
        <v>194</v>
      </c>
      <c r="BR77" s="79" t="str">
        <f t="shared" si="81"/>
        <v>01</v>
      </c>
      <c r="BS77" s="50" t="s">
        <v>795</v>
      </c>
      <c r="BT77" s="44">
        <v>1</v>
      </c>
      <c r="BU77" s="44" t="s">
        <v>371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391</v>
      </c>
      <c r="BZ77" s="50">
        <v>0</v>
      </c>
      <c r="CA77" s="45" t="s">
        <v>402</v>
      </c>
      <c r="CB77" s="45" t="s">
        <v>84</v>
      </c>
      <c r="CC77" s="43" t="str">
        <f t="shared" si="55"/>
        <v/>
      </c>
      <c r="CD77" s="45" t="s">
        <v>38</v>
      </c>
      <c r="CE77" s="45">
        <v>1</v>
      </c>
      <c r="CF77" s="45" t="s">
        <v>495</v>
      </c>
      <c r="CG77" s="45"/>
      <c r="CH77" s="44">
        <v>2</v>
      </c>
      <c r="CI77" s="49" t="str">
        <f t="shared" si="56"/>
        <v/>
      </c>
      <c r="CJ77" s="49" t="str">
        <f t="shared" si="57"/>
        <v/>
      </c>
      <c r="CK77" s="45"/>
      <c r="CL77" s="44">
        <v>1</v>
      </c>
      <c r="CM77" s="50" t="s">
        <v>514</v>
      </c>
      <c r="CN77" s="44" t="s">
        <v>371</v>
      </c>
      <c r="CO77" s="44">
        <v>2</v>
      </c>
      <c r="CP77" s="44">
        <v>42</v>
      </c>
      <c r="CQ77" s="44">
        <v>10</v>
      </c>
      <c r="CR77" s="43" t="str">
        <f t="shared" si="58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9"/>
        <v/>
      </c>
      <c r="CY77" s="43" t="str">
        <f t="shared" si="60"/>
        <v/>
      </c>
      <c r="CZ77" s="43" t="str">
        <f t="shared" si="61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2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3"/>
        <v/>
      </c>
      <c r="DG77" s="43" t="str">
        <f t="shared" si="64"/>
        <v/>
      </c>
      <c r="DH77" s="57"/>
      <c r="DI77" s="43" t="str">
        <f t="shared" ca="1" si="65"/>
        <v/>
      </c>
      <c r="DJ77" s="43" t="str">
        <f t="shared" si="66"/>
        <v/>
      </c>
      <c r="DK77" s="43" t="str">
        <f t="shared" si="67"/>
        <v/>
      </c>
      <c r="DL77" s="57"/>
      <c r="DM77" s="43" t="str">
        <f t="shared" ca="1" si="68"/>
        <v/>
      </c>
      <c r="DN77" s="43" t="str">
        <f t="shared" si="69"/>
        <v/>
      </c>
      <c r="DO77" s="43" t="str">
        <f t="shared" si="70"/>
        <v/>
      </c>
      <c r="DP77" s="57"/>
      <c r="DQ77" s="43" t="str">
        <f t="shared" ca="1" si="71"/>
        <v/>
      </c>
      <c r="DR77" s="43" t="str">
        <f t="shared" si="72"/>
        <v/>
      </c>
      <c r="DS77" s="43" t="str">
        <f t="shared" si="73"/>
        <v/>
      </c>
      <c r="DT77" s="57"/>
      <c r="DU77" s="43" t="str">
        <f t="shared" ca="1" si="74"/>
        <v/>
      </c>
      <c r="DV77" s="43" t="str">
        <f t="shared" si="75"/>
        <v/>
      </c>
      <c r="DX77" s="44">
        <v>1</v>
      </c>
      <c r="DY77" s="44" t="s">
        <v>773</v>
      </c>
      <c r="DZ77" s="43">
        <f t="shared" si="76"/>
        <v>0.01</v>
      </c>
      <c r="EA77" s="43" t="str">
        <f t="shared" si="77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8"/>
        <v>100</v>
      </c>
      <c r="EF77" s="44">
        <v>1</v>
      </c>
      <c r="EG77" s="44">
        <v>0</v>
      </c>
      <c r="EH77" s="44" t="s">
        <v>875</v>
      </c>
      <c r="EI77" s="45">
        <v>0</v>
      </c>
      <c r="EJ77" s="43">
        <f t="shared" si="79"/>
        <v>5000</v>
      </c>
      <c r="EK77" s="69"/>
    </row>
    <row r="78" spans="1:141" x14ac:dyDescent="0.2">
      <c r="A78" s="7" t="str">
        <f t="shared" si="80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IF(IFERROR(INDEX(Consulta!$A:$DP,MATCH('MM01'!$B78,Consulta!$C:$C,0),'MM01'!D$2),"")=0,"",IFERROR(INDEX(Consulta!$A:$DP,MATCH('MM01'!$B78,Consulta!$C:$C,0),'MM01'!D$2),""))</f>
        <v/>
      </c>
      <c r="E78" s="43" t="str">
        <f>IF(IFERROR(INDEX(Consulta!$A:$DP,MATCH('MM01'!$B78,Consulta!$C:$C,0),'MM01'!E$2),"")=0,"",IFERROR(INDEX(Consulta!$A:$DP,MATCH('MM01'!$B78,Consulta!$C:$C,0),'MM01'!E$2),""))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1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2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3"/>
        <v/>
      </c>
      <c r="AV78" s="47" t="s">
        <v>795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4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5"/>
        <v/>
      </c>
      <c r="BC78" s="43" t="str">
        <f t="shared" si="46"/>
        <v/>
      </c>
      <c r="BD78" s="43" t="str">
        <f t="shared" si="47"/>
        <v/>
      </c>
      <c r="BE78" s="43" t="str">
        <f t="shared" si="48"/>
        <v>M</v>
      </c>
      <c r="BF78" s="43" t="str">
        <f t="shared" si="49"/>
        <v/>
      </c>
      <c r="BG78" s="43" t="str">
        <f t="shared" si="50"/>
        <v/>
      </c>
      <c r="BH78" s="43" t="str">
        <f t="shared" si="51"/>
        <v/>
      </c>
      <c r="BI78" s="43" t="str">
        <f t="shared" si="52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>
        <v>99</v>
      </c>
      <c r="BN78" s="46" t="str">
        <f t="shared" ca="1" si="53"/>
        <v>28.04.2022</v>
      </c>
      <c r="BO78" s="49" t="str">
        <f t="shared" si="54"/>
        <v/>
      </c>
      <c r="BP78" s="50">
        <v>1</v>
      </c>
      <c r="BQ78" s="50" t="s">
        <v>194</v>
      </c>
      <c r="BR78" s="79" t="str">
        <f t="shared" si="81"/>
        <v>01</v>
      </c>
      <c r="BS78" s="50" t="s">
        <v>795</v>
      </c>
      <c r="BT78" s="44">
        <v>1</v>
      </c>
      <c r="BU78" s="44" t="s">
        <v>371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391</v>
      </c>
      <c r="BZ78" s="50">
        <v>0</v>
      </c>
      <c r="CA78" s="45" t="s">
        <v>402</v>
      </c>
      <c r="CB78" s="45" t="s">
        <v>84</v>
      </c>
      <c r="CC78" s="43" t="str">
        <f t="shared" si="55"/>
        <v/>
      </c>
      <c r="CD78" s="45" t="s">
        <v>38</v>
      </c>
      <c r="CE78" s="45">
        <v>1</v>
      </c>
      <c r="CF78" s="45" t="s">
        <v>495</v>
      </c>
      <c r="CG78" s="45"/>
      <c r="CH78" s="44">
        <v>2</v>
      </c>
      <c r="CI78" s="49" t="str">
        <f t="shared" si="56"/>
        <v/>
      </c>
      <c r="CJ78" s="49" t="str">
        <f t="shared" si="57"/>
        <v/>
      </c>
      <c r="CK78" s="45"/>
      <c r="CL78" s="44">
        <v>1</v>
      </c>
      <c r="CM78" s="50" t="s">
        <v>514</v>
      </c>
      <c r="CN78" s="44" t="s">
        <v>371</v>
      </c>
      <c r="CO78" s="44">
        <v>2</v>
      </c>
      <c r="CP78" s="44">
        <v>42</v>
      </c>
      <c r="CQ78" s="44">
        <v>10</v>
      </c>
      <c r="CR78" s="43" t="str">
        <f t="shared" si="58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9"/>
        <v/>
      </c>
      <c r="CY78" s="43" t="str">
        <f t="shared" si="60"/>
        <v/>
      </c>
      <c r="CZ78" s="43" t="str">
        <f t="shared" si="61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2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3"/>
        <v/>
      </c>
      <c r="DG78" s="43" t="str">
        <f t="shared" si="64"/>
        <v/>
      </c>
      <c r="DH78" s="57"/>
      <c r="DI78" s="43" t="str">
        <f t="shared" ca="1" si="65"/>
        <v/>
      </c>
      <c r="DJ78" s="43" t="str">
        <f t="shared" si="66"/>
        <v/>
      </c>
      <c r="DK78" s="43" t="str">
        <f t="shared" si="67"/>
        <v/>
      </c>
      <c r="DL78" s="57"/>
      <c r="DM78" s="43" t="str">
        <f t="shared" ca="1" si="68"/>
        <v/>
      </c>
      <c r="DN78" s="43" t="str">
        <f t="shared" si="69"/>
        <v/>
      </c>
      <c r="DO78" s="43" t="str">
        <f t="shared" si="70"/>
        <v/>
      </c>
      <c r="DP78" s="57"/>
      <c r="DQ78" s="43" t="str">
        <f t="shared" ca="1" si="71"/>
        <v/>
      </c>
      <c r="DR78" s="43" t="str">
        <f t="shared" si="72"/>
        <v/>
      </c>
      <c r="DS78" s="43" t="str">
        <f t="shared" si="73"/>
        <v/>
      </c>
      <c r="DT78" s="57"/>
      <c r="DU78" s="43" t="str">
        <f t="shared" ca="1" si="74"/>
        <v/>
      </c>
      <c r="DV78" s="43" t="str">
        <f t="shared" si="75"/>
        <v/>
      </c>
      <c r="DX78" s="44">
        <v>1</v>
      </c>
      <c r="DY78" s="44" t="s">
        <v>773</v>
      </c>
      <c r="DZ78" s="43">
        <f t="shared" si="76"/>
        <v>0.01</v>
      </c>
      <c r="EA78" s="43" t="str">
        <f t="shared" si="77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8"/>
        <v>100</v>
      </c>
      <c r="EF78" s="44">
        <v>1</v>
      </c>
      <c r="EG78" s="44">
        <v>0</v>
      </c>
      <c r="EH78" s="44" t="s">
        <v>875</v>
      </c>
      <c r="EI78" s="45">
        <v>0</v>
      </c>
      <c r="EJ78" s="43">
        <f t="shared" si="79"/>
        <v>5000</v>
      </c>
      <c r="EK78" s="69"/>
    </row>
    <row r="79" spans="1:141" x14ac:dyDescent="0.2">
      <c r="A79" s="7" t="str">
        <f t="shared" si="80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IF(IFERROR(INDEX(Consulta!$A:$DP,MATCH('MM01'!$B79,Consulta!$C:$C,0),'MM01'!D$2),"")=0,"",IFERROR(INDEX(Consulta!$A:$DP,MATCH('MM01'!$B79,Consulta!$C:$C,0),'MM01'!D$2),""))</f>
        <v/>
      </c>
      <c r="E79" s="43" t="str">
        <f>IF(IFERROR(INDEX(Consulta!$A:$DP,MATCH('MM01'!$B79,Consulta!$C:$C,0),'MM01'!E$2),"")=0,"",IFERROR(INDEX(Consulta!$A:$DP,MATCH('MM01'!$B79,Consulta!$C:$C,0),'MM01'!E$2),""))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1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2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3"/>
        <v/>
      </c>
      <c r="AV79" s="47" t="s">
        <v>795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4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5"/>
        <v/>
      </c>
      <c r="BC79" s="43" t="str">
        <f t="shared" si="46"/>
        <v/>
      </c>
      <c r="BD79" s="43" t="str">
        <f t="shared" si="47"/>
        <v/>
      </c>
      <c r="BE79" s="43" t="str">
        <f t="shared" si="48"/>
        <v>M</v>
      </c>
      <c r="BF79" s="43" t="str">
        <f t="shared" si="49"/>
        <v/>
      </c>
      <c r="BG79" s="43" t="str">
        <f t="shared" si="50"/>
        <v/>
      </c>
      <c r="BH79" s="43" t="str">
        <f t="shared" si="51"/>
        <v/>
      </c>
      <c r="BI79" s="43" t="str">
        <f t="shared" si="52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>
        <v>99</v>
      </c>
      <c r="BN79" s="46" t="str">
        <f t="shared" ca="1" si="53"/>
        <v>28.04.2022</v>
      </c>
      <c r="BO79" s="49" t="str">
        <f t="shared" si="54"/>
        <v/>
      </c>
      <c r="BP79" s="50">
        <v>1</v>
      </c>
      <c r="BQ79" s="50" t="s">
        <v>194</v>
      </c>
      <c r="BR79" s="79" t="str">
        <f t="shared" si="81"/>
        <v>01</v>
      </c>
      <c r="BS79" s="50" t="s">
        <v>795</v>
      </c>
      <c r="BT79" s="44">
        <v>1</v>
      </c>
      <c r="BU79" s="44" t="s">
        <v>371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391</v>
      </c>
      <c r="BZ79" s="50">
        <v>0</v>
      </c>
      <c r="CA79" s="45" t="s">
        <v>402</v>
      </c>
      <c r="CB79" s="45" t="s">
        <v>84</v>
      </c>
      <c r="CC79" s="43" t="str">
        <f t="shared" si="55"/>
        <v/>
      </c>
      <c r="CD79" s="45" t="s">
        <v>38</v>
      </c>
      <c r="CE79" s="45">
        <v>1</v>
      </c>
      <c r="CF79" s="45" t="s">
        <v>495</v>
      </c>
      <c r="CG79" s="45"/>
      <c r="CH79" s="44">
        <v>2</v>
      </c>
      <c r="CI79" s="49" t="str">
        <f t="shared" si="56"/>
        <v/>
      </c>
      <c r="CJ79" s="49" t="str">
        <f t="shared" si="57"/>
        <v/>
      </c>
      <c r="CK79" s="45"/>
      <c r="CL79" s="44">
        <v>1</v>
      </c>
      <c r="CM79" s="50" t="s">
        <v>514</v>
      </c>
      <c r="CN79" s="44" t="s">
        <v>371</v>
      </c>
      <c r="CO79" s="44">
        <v>2</v>
      </c>
      <c r="CP79" s="44">
        <v>42</v>
      </c>
      <c r="CQ79" s="44">
        <v>10</v>
      </c>
      <c r="CR79" s="43" t="str">
        <f t="shared" si="58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9"/>
        <v/>
      </c>
      <c r="CY79" s="43" t="str">
        <f t="shared" si="60"/>
        <v/>
      </c>
      <c r="CZ79" s="43" t="str">
        <f t="shared" si="61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2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3"/>
        <v/>
      </c>
      <c r="DG79" s="43" t="str">
        <f t="shared" si="64"/>
        <v/>
      </c>
      <c r="DH79" s="57"/>
      <c r="DI79" s="43" t="str">
        <f t="shared" ca="1" si="65"/>
        <v/>
      </c>
      <c r="DJ79" s="43" t="str">
        <f t="shared" si="66"/>
        <v/>
      </c>
      <c r="DK79" s="43" t="str">
        <f t="shared" si="67"/>
        <v/>
      </c>
      <c r="DL79" s="57"/>
      <c r="DM79" s="43" t="str">
        <f t="shared" ca="1" si="68"/>
        <v/>
      </c>
      <c r="DN79" s="43" t="str">
        <f t="shared" si="69"/>
        <v/>
      </c>
      <c r="DO79" s="43" t="str">
        <f t="shared" si="70"/>
        <v/>
      </c>
      <c r="DP79" s="57"/>
      <c r="DQ79" s="43" t="str">
        <f t="shared" ca="1" si="71"/>
        <v/>
      </c>
      <c r="DR79" s="43" t="str">
        <f t="shared" si="72"/>
        <v/>
      </c>
      <c r="DS79" s="43" t="str">
        <f t="shared" si="73"/>
        <v/>
      </c>
      <c r="DT79" s="57"/>
      <c r="DU79" s="43" t="str">
        <f t="shared" ca="1" si="74"/>
        <v/>
      </c>
      <c r="DV79" s="43" t="str">
        <f t="shared" si="75"/>
        <v/>
      </c>
      <c r="DX79" s="44">
        <v>1</v>
      </c>
      <c r="DY79" s="44" t="s">
        <v>773</v>
      </c>
      <c r="DZ79" s="43">
        <f t="shared" si="76"/>
        <v>0.01</v>
      </c>
      <c r="EA79" s="43" t="str">
        <f t="shared" si="77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8"/>
        <v>100</v>
      </c>
      <c r="EF79" s="44">
        <v>1</v>
      </c>
      <c r="EG79" s="44">
        <v>0</v>
      </c>
      <c r="EH79" s="44" t="s">
        <v>875</v>
      </c>
      <c r="EI79" s="45">
        <v>0</v>
      </c>
      <c r="EJ79" s="43">
        <f t="shared" si="79"/>
        <v>5000</v>
      </c>
      <c r="EK79" s="69"/>
    </row>
    <row r="80" spans="1:141" x14ac:dyDescent="0.2">
      <c r="A80" s="7" t="str">
        <f t="shared" si="80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IF(IFERROR(INDEX(Consulta!$A:$DP,MATCH('MM01'!$B80,Consulta!$C:$C,0),'MM01'!D$2),"")=0,"",IFERROR(INDEX(Consulta!$A:$DP,MATCH('MM01'!$B80,Consulta!$C:$C,0),'MM01'!D$2),""))</f>
        <v/>
      </c>
      <c r="E80" s="43" t="str">
        <f>IF(IFERROR(INDEX(Consulta!$A:$DP,MATCH('MM01'!$B80,Consulta!$C:$C,0),'MM01'!E$2),"")=0,"",IFERROR(INDEX(Consulta!$A:$DP,MATCH('MM01'!$B80,Consulta!$C:$C,0),'MM01'!E$2),""))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1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2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3"/>
        <v/>
      </c>
      <c r="AV80" s="47" t="s">
        <v>795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4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5"/>
        <v/>
      </c>
      <c r="BC80" s="43" t="str">
        <f t="shared" si="46"/>
        <v/>
      </c>
      <c r="BD80" s="43" t="str">
        <f t="shared" si="47"/>
        <v/>
      </c>
      <c r="BE80" s="43" t="str">
        <f t="shared" si="48"/>
        <v>M</v>
      </c>
      <c r="BF80" s="43" t="str">
        <f t="shared" si="49"/>
        <v/>
      </c>
      <c r="BG80" s="43" t="str">
        <f t="shared" si="50"/>
        <v/>
      </c>
      <c r="BH80" s="43" t="str">
        <f t="shared" si="51"/>
        <v/>
      </c>
      <c r="BI80" s="43" t="str">
        <f t="shared" si="52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>
        <v>99</v>
      </c>
      <c r="BN80" s="46" t="str">
        <f t="shared" ca="1" si="53"/>
        <v>28.04.2022</v>
      </c>
      <c r="BO80" s="49" t="str">
        <f t="shared" si="54"/>
        <v/>
      </c>
      <c r="BP80" s="50">
        <v>1</v>
      </c>
      <c r="BQ80" s="50" t="s">
        <v>194</v>
      </c>
      <c r="BR80" s="79" t="str">
        <f t="shared" si="81"/>
        <v>01</v>
      </c>
      <c r="BS80" s="50" t="s">
        <v>795</v>
      </c>
      <c r="BT80" s="44">
        <v>1</v>
      </c>
      <c r="BU80" s="44" t="s">
        <v>371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391</v>
      </c>
      <c r="BZ80" s="50">
        <v>0</v>
      </c>
      <c r="CA80" s="45" t="s">
        <v>402</v>
      </c>
      <c r="CB80" s="45" t="s">
        <v>84</v>
      </c>
      <c r="CC80" s="43" t="str">
        <f t="shared" si="55"/>
        <v/>
      </c>
      <c r="CD80" s="45" t="s">
        <v>38</v>
      </c>
      <c r="CE80" s="45">
        <v>1</v>
      </c>
      <c r="CF80" s="45" t="s">
        <v>495</v>
      </c>
      <c r="CG80" s="45"/>
      <c r="CH80" s="44">
        <v>2</v>
      </c>
      <c r="CI80" s="49" t="str">
        <f t="shared" si="56"/>
        <v/>
      </c>
      <c r="CJ80" s="49" t="str">
        <f t="shared" si="57"/>
        <v/>
      </c>
      <c r="CK80" s="45"/>
      <c r="CL80" s="44">
        <v>1</v>
      </c>
      <c r="CM80" s="50" t="s">
        <v>514</v>
      </c>
      <c r="CN80" s="44" t="s">
        <v>371</v>
      </c>
      <c r="CO80" s="44">
        <v>2</v>
      </c>
      <c r="CP80" s="44">
        <v>42</v>
      </c>
      <c r="CQ80" s="44">
        <v>10</v>
      </c>
      <c r="CR80" s="43" t="str">
        <f t="shared" si="58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9"/>
        <v/>
      </c>
      <c r="CY80" s="43" t="str">
        <f t="shared" si="60"/>
        <v/>
      </c>
      <c r="CZ80" s="43" t="str">
        <f t="shared" si="61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2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3"/>
        <v/>
      </c>
      <c r="DG80" s="43" t="str">
        <f t="shared" si="64"/>
        <v/>
      </c>
      <c r="DH80" s="57"/>
      <c r="DI80" s="43" t="str">
        <f t="shared" ca="1" si="65"/>
        <v/>
      </c>
      <c r="DJ80" s="43" t="str">
        <f t="shared" si="66"/>
        <v/>
      </c>
      <c r="DK80" s="43" t="str">
        <f t="shared" si="67"/>
        <v/>
      </c>
      <c r="DL80" s="57"/>
      <c r="DM80" s="43" t="str">
        <f t="shared" ca="1" si="68"/>
        <v/>
      </c>
      <c r="DN80" s="43" t="str">
        <f t="shared" si="69"/>
        <v/>
      </c>
      <c r="DO80" s="43" t="str">
        <f t="shared" si="70"/>
        <v/>
      </c>
      <c r="DP80" s="57"/>
      <c r="DQ80" s="43" t="str">
        <f t="shared" ca="1" si="71"/>
        <v/>
      </c>
      <c r="DR80" s="43" t="str">
        <f t="shared" si="72"/>
        <v/>
      </c>
      <c r="DS80" s="43" t="str">
        <f t="shared" si="73"/>
        <v/>
      </c>
      <c r="DT80" s="57"/>
      <c r="DU80" s="43" t="str">
        <f t="shared" ca="1" si="74"/>
        <v/>
      </c>
      <c r="DV80" s="43" t="str">
        <f t="shared" si="75"/>
        <v/>
      </c>
      <c r="DX80" s="44">
        <v>1</v>
      </c>
      <c r="DY80" s="44" t="s">
        <v>773</v>
      </c>
      <c r="DZ80" s="43">
        <f t="shared" si="76"/>
        <v>0.01</v>
      </c>
      <c r="EA80" s="43" t="str">
        <f t="shared" si="77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8"/>
        <v>100</v>
      </c>
      <c r="EF80" s="44">
        <v>1</v>
      </c>
      <c r="EG80" s="44">
        <v>0</v>
      </c>
      <c r="EH80" s="44" t="s">
        <v>875</v>
      </c>
      <c r="EI80" s="45">
        <v>0</v>
      </c>
      <c r="EJ80" s="43">
        <f t="shared" si="79"/>
        <v>5000</v>
      </c>
      <c r="EK80" s="69"/>
    </row>
    <row r="81" spans="1:141" x14ac:dyDescent="0.2">
      <c r="A81" s="7" t="str">
        <f t="shared" si="80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IF(IFERROR(INDEX(Consulta!$A:$DP,MATCH('MM01'!$B81,Consulta!$C:$C,0),'MM01'!D$2),"")=0,"",IFERROR(INDEX(Consulta!$A:$DP,MATCH('MM01'!$B81,Consulta!$C:$C,0),'MM01'!D$2),""))</f>
        <v/>
      </c>
      <c r="E81" s="43" t="str">
        <f>IF(IFERROR(INDEX(Consulta!$A:$DP,MATCH('MM01'!$B81,Consulta!$C:$C,0),'MM01'!E$2),"")=0,"",IFERROR(INDEX(Consulta!$A:$DP,MATCH('MM01'!$B81,Consulta!$C:$C,0),'MM01'!E$2),""))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1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2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3"/>
        <v/>
      </c>
      <c r="AV81" s="47" t="s">
        <v>795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4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5"/>
        <v/>
      </c>
      <c r="BC81" s="43" t="str">
        <f t="shared" si="46"/>
        <v/>
      </c>
      <c r="BD81" s="43" t="str">
        <f t="shared" si="47"/>
        <v/>
      </c>
      <c r="BE81" s="43" t="str">
        <f t="shared" si="48"/>
        <v>M</v>
      </c>
      <c r="BF81" s="43" t="str">
        <f t="shared" si="49"/>
        <v/>
      </c>
      <c r="BG81" s="43" t="str">
        <f t="shared" si="50"/>
        <v/>
      </c>
      <c r="BH81" s="43" t="str">
        <f t="shared" si="51"/>
        <v/>
      </c>
      <c r="BI81" s="43" t="str">
        <f t="shared" si="52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>
        <v>99</v>
      </c>
      <c r="BN81" s="46" t="str">
        <f t="shared" ca="1" si="53"/>
        <v>28.04.2022</v>
      </c>
      <c r="BO81" s="49" t="str">
        <f t="shared" si="54"/>
        <v/>
      </c>
      <c r="BP81" s="50">
        <v>1</v>
      </c>
      <c r="BQ81" s="50" t="s">
        <v>194</v>
      </c>
      <c r="BR81" s="79" t="str">
        <f t="shared" si="81"/>
        <v>01</v>
      </c>
      <c r="BS81" s="50" t="s">
        <v>795</v>
      </c>
      <c r="BT81" s="44">
        <v>1</v>
      </c>
      <c r="BU81" s="44" t="s">
        <v>371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391</v>
      </c>
      <c r="BZ81" s="50">
        <v>0</v>
      </c>
      <c r="CA81" s="45" t="s">
        <v>402</v>
      </c>
      <c r="CB81" s="45" t="s">
        <v>84</v>
      </c>
      <c r="CC81" s="43" t="str">
        <f t="shared" si="55"/>
        <v/>
      </c>
      <c r="CD81" s="45" t="s">
        <v>38</v>
      </c>
      <c r="CE81" s="45">
        <v>1</v>
      </c>
      <c r="CF81" s="45" t="s">
        <v>495</v>
      </c>
      <c r="CG81" s="45"/>
      <c r="CH81" s="44">
        <v>2</v>
      </c>
      <c r="CI81" s="49" t="str">
        <f t="shared" si="56"/>
        <v/>
      </c>
      <c r="CJ81" s="49" t="str">
        <f t="shared" si="57"/>
        <v/>
      </c>
      <c r="CK81" s="45"/>
      <c r="CL81" s="44">
        <v>1</v>
      </c>
      <c r="CM81" s="50" t="s">
        <v>514</v>
      </c>
      <c r="CN81" s="44" t="s">
        <v>371</v>
      </c>
      <c r="CO81" s="44">
        <v>2</v>
      </c>
      <c r="CP81" s="44">
        <v>42</v>
      </c>
      <c r="CQ81" s="44">
        <v>10</v>
      </c>
      <c r="CR81" s="43" t="str">
        <f t="shared" si="58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9"/>
        <v/>
      </c>
      <c r="CY81" s="43" t="str">
        <f t="shared" si="60"/>
        <v/>
      </c>
      <c r="CZ81" s="43" t="str">
        <f t="shared" si="61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2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3"/>
        <v/>
      </c>
      <c r="DG81" s="43" t="str">
        <f t="shared" si="64"/>
        <v/>
      </c>
      <c r="DH81" s="57"/>
      <c r="DI81" s="43" t="str">
        <f t="shared" ca="1" si="65"/>
        <v/>
      </c>
      <c r="DJ81" s="43" t="str">
        <f t="shared" si="66"/>
        <v/>
      </c>
      <c r="DK81" s="43" t="str">
        <f t="shared" si="67"/>
        <v/>
      </c>
      <c r="DL81" s="57"/>
      <c r="DM81" s="43" t="str">
        <f t="shared" ca="1" si="68"/>
        <v/>
      </c>
      <c r="DN81" s="43" t="str">
        <f t="shared" si="69"/>
        <v/>
      </c>
      <c r="DO81" s="43" t="str">
        <f t="shared" si="70"/>
        <v/>
      </c>
      <c r="DP81" s="57"/>
      <c r="DQ81" s="43" t="str">
        <f t="shared" ca="1" si="71"/>
        <v/>
      </c>
      <c r="DR81" s="43" t="str">
        <f t="shared" si="72"/>
        <v/>
      </c>
      <c r="DS81" s="43" t="str">
        <f t="shared" si="73"/>
        <v/>
      </c>
      <c r="DT81" s="57"/>
      <c r="DU81" s="43" t="str">
        <f t="shared" ca="1" si="74"/>
        <v/>
      </c>
      <c r="DV81" s="43" t="str">
        <f t="shared" si="75"/>
        <v/>
      </c>
      <c r="DX81" s="44">
        <v>1</v>
      </c>
      <c r="DY81" s="44" t="s">
        <v>773</v>
      </c>
      <c r="DZ81" s="43">
        <f t="shared" si="76"/>
        <v>0.01</v>
      </c>
      <c r="EA81" s="43" t="str">
        <f t="shared" si="77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8"/>
        <v>100</v>
      </c>
      <c r="EF81" s="44">
        <v>1</v>
      </c>
      <c r="EG81" s="44">
        <v>0</v>
      </c>
      <c r="EH81" s="44" t="s">
        <v>875</v>
      </c>
      <c r="EI81" s="45">
        <v>0</v>
      </c>
      <c r="EJ81" s="43">
        <f t="shared" si="79"/>
        <v>5000</v>
      </c>
      <c r="EK81" s="69"/>
    </row>
    <row r="82" spans="1:141" x14ac:dyDescent="0.2">
      <c r="A82" s="7" t="str">
        <f t="shared" si="80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IF(IFERROR(INDEX(Consulta!$A:$DP,MATCH('MM01'!$B82,Consulta!$C:$C,0),'MM01'!D$2),"")=0,"",IFERROR(INDEX(Consulta!$A:$DP,MATCH('MM01'!$B82,Consulta!$C:$C,0),'MM01'!D$2),""))</f>
        <v/>
      </c>
      <c r="E82" s="43" t="str">
        <f>IF(IFERROR(INDEX(Consulta!$A:$DP,MATCH('MM01'!$B82,Consulta!$C:$C,0),'MM01'!E$2),"")=0,"",IFERROR(INDEX(Consulta!$A:$DP,MATCH('MM01'!$B82,Consulta!$C:$C,0),'MM01'!E$2),""))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1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2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3"/>
        <v/>
      </c>
      <c r="AV82" s="47" t="s">
        <v>795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4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5"/>
        <v/>
      </c>
      <c r="BC82" s="43" t="str">
        <f t="shared" si="46"/>
        <v/>
      </c>
      <c r="BD82" s="43" t="str">
        <f t="shared" si="47"/>
        <v/>
      </c>
      <c r="BE82" s="43" t="str">
        <f t="shared" si="48"/>
        <v>M</v>
      </c>
      <c r="BF82" s="43" t="str">
        <f t="shared" si="49"/>
        <v/>
      </c>
      <c r="BG82" s="43" t="str">
        <f t="shared" si="50"/>
        <v/>
      </c>
      <c r="BH82" s="43" t="str">
        <f t="shared" si="51"/>
        <v/>
      </c>
      <c r="BI82" s="43" t="str">
        <f t="shared" si="52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>
        <v>99</v>
      </c>
      <c r="BN82" s="46" t="str">
        <f t="shared" ca="1" si="53"/>
        <v>28.04.2022</v>
      </c>
      <c r="BO82" s="49" t="str">
        <f t="shared" si="54"/>
        <v/>
      </c>
      <c r="BP82" s="50">
        <v>1</v>
      </c>
      <c r="BQ82" s="50" t="s">
        <v>194</v>
      </c>
      <c r="BR82" s="79" t="str">
        <f t="shared" si="81"/>
        <v>01</v>
      </c>
      <c r="BS82" s="50" t="s">
        <v>795</v>
      </c>
      <c r="BT82" s="44">
        <v>1</v>
      </c>
      <c r="BU82" s="44" t="s">
        <v>371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391</v>
      </c>
      <c r="BZ82" s="50">
        <v>0</v>
      </c>
      <c r="CA82" s="45" t="s">
        <v>402</v>
      </c>
      <c r="CB82" s="45" t="s">
        <v>84</v>
      </c>
      <c r="CC82" s="43" t="str">
        <f t="shared" si="55"/>
        <v/>
      </c>
      <c r="CD82" s="45" t="s">
        <v>38</v>
      </c>
      <c r="CE82" s="45">
        <v>1</v>
      </c>
      <c r="CF82" s="45" t="s">
        <v>495</v>
      </c>
      <c r="CG82" s="45"/>
      <c r="CH82" s="44">
        <v>2</v>
      </c>
      <c r="CI82" s="49" t="str">
        <f t="shared" si="56"/>
        <v/>
      </c>
      <c r="CJ82" s="49" t="str">
        <f t="shared" si="57"/>
        <v/>
      </c>
      <c r="CK82" s="45"/>
      <c r="CL82" s="44">
        <v>1</v>
      </c>
      <c r="CM82" s="50" t="s">
        <v>514</v>
      </c>
      <c r="CN82" s="44" t="s">
        <v>371</v>
      </c>
      <c r="CO82" s="44">
        <v>2</v>
      </c>
      <c r="CP82" s="44">
        <v>42</v>
      </c>
      <c r="CQ82" s="44">
        <v>10</v>
      </c>
      <c r="CR82" s="43" t="str">
        <f t="shared" si="58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9"/>
        <v/>
      </c>
      <c r="CY82" s="43" t="str">
        <f t="shared" si="60"/>
        <v/>
      </c>
      <c r="CZ82" s="43" t="str">
        <f t="shared" si="61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2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3"/>
        <v/>
      </c>
      <c r="DG82" s="43" t="str">
        <f t="shared" si="64"/>
        <v/>
      </c>
      <c r="DH82" s="57"/>
      <c r="DI82" s="43" t="str">
        <f t="shared" ca="1" si="65"/>
        <v/>
      </c>
      <c r="DJ82" s="43" t="str">
        <f t="shared" si="66"/>
        <v/>
      </c>
      <c r="DK82" s="43" t="str">
        <f t="shared" si="67"/>
        <v/>
      </c>
      <c r="DL82" s="57"/>
      <c r="DM82" s="43" t="str">
        <f t="shared" ca="1" si="68"/>
        <v/>
      </c>
      <c r="DN82" s="43" t="str">
        <f t="shared" si="69"/>
        <v/>
      </c>
      <c r="DO82" s="43" t="str">
        <f t="shared" si="70"/>
        <v/>
      </c>
      <c r="DP82" s="57"/>
      <c r="DQ82" s="43" t="str">
        <f t="shared" ca="1" si="71"/>
        <v/>
      </c>
      <c r="DR82" s="43" t="str">
        <f t="shared" si="72"/>
        <v/>
      </c>
      <c r="DS82" s="43" t="str">
        <f t="shared" si="73"/>
        <v/>
      </c>
      <c r="DT82" s="57"/>
      <c r="DU82" s="43" t="str">
        <f t="shared" ca="1" si="74"/>
        <v/>
      </c>
      <c r="DV82" s="43" t="str">
        <f t="shared" si="75"/>
        <v/>
      </c>
      <c r="DX82" s="44">
        <v>1</v>
      </c>
      <c r="DY82" s="44" t="s">
        <v>773</v>
      </c>
      <c r="DZ82" s="43">
        <f t="shared" si="76"/>
        <v>0.01</v>
      </c>
      <c r="EA82" s="43" t="str">
        <f t="shared" si="77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8"/>
        <v>100</v>
      </c>
      <c r="EF82" s="44">
        <v>1</v>
      </c>
      <c r="EG82" s="44">
        <v>0</v>
      </c>
      <c r="EH82" s="44" t="s">
        <v>875</v>
      </c>
      <c r="EI82" s="45">
        <v>0</v>
      </c>
      <c r="EJ82" s="43">
        <f t="shared" si="79"/>
        <v>5000</v>
      </c>
      <c r="EK82" s="69"/>
    </row>
    <row r="83" spans="1:141" x14ac:dyDescent="0.2">
      <c r="A83" s="7" t="str">
        <f t="shared" si="80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IF(IFERROR(INDEX(Consulta!$A:$DP,MATCH('MM01'!$B83,Consulta!$C:$C,0),'MM01'!D$2),"")=0,"",IFERROR(INDEX(Consulta!$A:$DP,MATCH('MM01'!$B83,Consulta!$C:$C,0),'MM01'!D$2),""))</f>
        <v/>
      </c>
      <c r="E83" s="43" t="str">
        <f>IF(IFERROR(INDEX(Consulta!$A:$DP,MATCH('MM01'!$B83,Consulta!$C:$C,0),'MM01'!E$2),"")=0,"",IFERROR(INDEX(Consulta!$A:$DP,MATCH('MM01'!$B83,Consulta!$C:$C,0),'MM01'!E$2),""))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1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2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3"/>
        <v/>
      </c>
      <c r="AV83" s="47" t="s">
        <v>795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4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5"/>
        <v/>
      </c>
      <c r="BC83" s="43" t="str">
        <f t="shared" si="46"/>
        <v/>
      </c>
      <c r="BD83" s="43" t="str">
        <f t="shared" si="47"/>
        <v/>
      </c>
      <c r="BE83" s="43" t="str">
        <f t="shared" si="48"/>
        <v>M</v>
      </c>
      <c r="BF83" s="43" t="str">
        <f t="shared" si="49"/>
        <v/>
      </c>
      <c r="BG83" s="43" t="str">
        <f t="shared" si="50"/>
        <v/>
      </c>
      <c r="BH83" s="43" t="str">
        <f t="shared" si="51"/>
        <v/>
      </c>
      <c r="BI83" s="43" t="str">
        <f t="shared" si="52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>
        <v>99</v>
      </c>
      <c r="BN83" s="46" t="str">
        <f t="shared" ca="1" si="53"/>
        <v>28.04.2022</v>
      </c>
      <c r="BO83" s="49" t="str">
        <f t="shared" si="54"/>
        <v/>
      </c>
      <c r="BP83" s="50">
        <v>1</v>
      </c>
      <c r="BQ83" s="50" t="s">
        <v>194</v>
      </c>
      <c r="BR83" s="79" t="str">
        <f t="shared" si="81"/>
        <v>01</v>
      </c>
      <c r="BS83" s="50" t="s">
        <v>795</v>
      </c>
      <c r="BT83" s="44">
        <v>1</v>
      </c>
      <c r="BU83" s="44" t="s">
        <v>371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391</v>
      </c>
      <c r="BZ83" s="50">
        <v>0</v>
      </c>
      <c r="CA83" s="45" t="s">
        <v>402</v>
      </c>
      <c r="CB83" s="45" t="s">
        <v>84</v>
      </c>
      <c r="CC83" s="43" t="str">
        <f t="shared" si="55"/>
        <v/>
      </c>
      <c r="CD83" s="45" t="s">
        <v>38</v>
      </c>
      <c r="CE83" s="45">
        <v>1</v>
      </c>
      <c r="CF83" s="45" t="s">
        <v>495</v>
      </c>
      <c r="CG83" s="45"/>
      <c r="CH83" s="44">
        <v>2</v>
      </c>
      <c r="CI83" s="49" t="str">
        <f t="shared" si="56"/>
        <v/>
      </c>
      <c r="CJ83" s="49" t="str">
        <f t="shared" si="57"/>
        <v/>
      </c>
      <c r="CK83" s="45"/>
      <c r="CL83" s="44">
        <v>1</v>
      </c>
      <c r="CM83" s="50" t="s">
        <v>514</v>
      </c>
      <c r="CN83" s="44" t="s">
        <v>371</v>
      </c>
      <c r="CO83" s="44">
        <v>2</v>
      </c>
      <c r="CP83" s="44">
        <v>42</v>
      </c>
      <c r="CQ83" s="44">
        <v>10</v>
      </c>
      <c r="CR83" s="43" t="str">
        <f t="shared" si="58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9"/>
        <v/>
      </c>
      <c r="CY83" s="43" t="str">
        <f t="shared" si="60"/>
        <v/>
      </c>
      <c r="CZ83" s="43" t="str">
        <f t="shared" si="61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2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3"/>
        <v/>
      </c>
      <c r="DG83" s="43" t="str">
        <f t="shared" si="64"/>
        <v/>
      </c>
      <c r="DH83" s="57"/>
      <c r="DI83" s="43" t="str">
        <f t="shared" ca="1" si="65"/>
        <v/>
      </c>
      <c r="DJ83" s="43" t="str">
        <f t="shared" si="66"/>
        <v/>
      </c>
      <c r="DK83" s="43" t="str">
        <f t="shared" si="67"/>
        <v/>
      </c>
      <c r="DL83" s="57"/>
      <c r="DM83" s="43" t="str">
        <f t="shared" ca="1" si="68"/>
        <v/>
      </c>
      <c r="DN83" s="43" t="str">
        <f t="shared" si="69"/>
        <v/>
      </c>
      <c r="DO83" s="43" t="str">
        <f t="shared" si="70"/>
        <v/>
      </c>
      <c r="DP83" s="57"/>
      <c r="DQ83" s="43" t="str">
        <f t="shared" ca="1" si="71"/>
        <v/>
      </c>
      <c r="DR83" s="43" t="str">
        <f t="shared" si="72"/>
        <v/>
      </c>
      <c r="DS83" s="43" t="str">
        <f t="shared" si="73"/>
        <v/>
      </c>
      <c r="DT83" s="57"/>
      <c r="DU83" s="43" t="str">
        <f t="shared" ca="1" si="74"/>
        <v/>
      </c>
      <c r="DV83" s="43" t="str">
        <f t="shared" si="75"/>
        <v/>
      </c>
      <c r="DX83" s="44">
        <v>1</v>
      </c>
      <c r="DY83" s="44" t="s">
        <v>773</v>
      </c>
      <c r="DZ83" s="43">
        <f t="shared" si="76"/>
        <v>0.01</v>
      </c>
      <c r="EA83" s="43" t="str">
        <f t="shared" si="77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8"/>
        <v>100</v>
      </c>
      <c r="EF83" s="44">
        <v>1</v>
      </c>
      <c r="EG83" s="44">
        <v>0</v>
      </c>
      <c r="EH83" s="44" t="s">
        <v>875</v>
      </c>
      <c r="EI83" s="45">
        <v>0</v>
      </c>
      <c r="EJ83" s="43">
        <f t="shared" si="79"/>
        <v>5000</v>
      </c>
      <c r="EK83" s="69"/>
    </row>
    <row r="84" spans="1:141" x14ac:dyDescent="0.2">
      <c r="A84" s="7" t="str">
        <f t="shared" si="80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IF(IFERROR(INDEX(Consulta!$A:$DP,MATCH('MM01'!$B84,Consulta!$C:$C,0),'MM01'!D$2),"")=0,"",IFERROR(INDEX(Consulta!$A:$DP,MATCH('MM01'!$B84,Consulta!$C:$C,0),'MM01'!D$2),""))</f>
        <v/>
      </c>
      <c r="E84" s="43" t="str">
        <f>IF(IFERROR(INDEX(Consulta!$A:$DP,MATCH('MM01'!$B84,Consulta!$C:$C,0),'MM01'!E$2),"")=0,"",IFERROR(INDEX(Consulta!$A:$DP,MATCH('MM01'!$B84,Consulta!$C:$C,0),'MM01'!E$2),""))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1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2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3"/>
        <v/>
      </c>
      <c r="AV84" s="47" t="s">
        <v>795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4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5"/>
        <v/>
      </c>
      <c r="BC84" s="43" t="str">
        <f t="shared" si="46"/>
        <v/>
      </c>
      <c r="BD84" s="43" t="str">
        <f t="shared" si="47"/>
        <v/>
      </c>
      <c r="BE84" s="43" t="str">
        <f t="shared" si="48"/>
        <v>M</v>
      </c>
      <c r="BF84" s="43" t="str">
        <f t="shared" si="49"/>
        <v/>
      </c>
      <c r="BG84" s="43" t="str">
        <f t="shared" si="50"/>
        <v/>
      </c>
      <c r="BH84" s="43" t="str">
        <f t="shared" si="51"/>
        <v/>
      </c>
      <c r="BI84" s="43" t="str">
        <f t="shared" si="52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>
        <v>99</v>
      </c>
      <c r="BN84" s="46" t="str">
        <f t="shared" ca="1" si="53"/>
        <v>28.04.2022</v>
      </c>
      <c r="BO84" s="49" t="str">
        <f t="shared" si="54"/>
        <v/>
      </c>
      <c r="BP84" s="50">
        <v>1</v>
      </c>
      <c r="BQ84" s="50" t="s">
        <v>194</v>
      </c>
      <c r="BR84" s="79" t="str">
        <f t="shared" si="81"/>
        <v>01</v>
      </c>
      <c r="BS84" s="50" t="s">
        <v>795</v>
      </c>
      <c r="BT84" s="44">
        <v>1</v>
      </c>
      <c r="BU84" s="44" t="s">
        <v>371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391</v>
      </c>
      <c r="BZ84" s="50">
        <v>0</v>
      </c>
      <c r="CA84" s="45" t="s">
        <v>402</v>
      </c>
      <c r="CB84" s="45" t="s">
        <v>84</v>
      </c>
      <c r="CC84" s="43" t="str">
        <f t="shared" si="55"/>
        <v/>
      </c>
      <c r="CD84" s="45" t="s">
        <v>38</v>
      </c>
      <c r="CE84" s="45">
        <v>1</v>
      </c>
      <c r="CF84" s="45" t="s">
        <v>495</v>
      </c>
      <c r="CG84" s="45"/>
      <c r="CH84" s="44">
        <v>2</v>
      </c>
      <c r="CI84" s="49" t="str">
        <f t="shared" si="56"/>
        <v/>
      </c>
      <c r="CJ84" s="49" t="str">
        <f t="shared" si="57"/>
        <v/>
      </c>
      <c r="CK84" s="45"/>
      <c r="CL84" s="44">
        <v>1</v>
      </c>
      <c r="CM84" s="50" t="s">
        <v>514</v>
      </c>
      <c r="CN84" s="44" t="s">
        <v>371</v>
      </c>
      <c r="CO84" s="44">
        <v>2</v>
      </c>
      <c r="CP84" s="44">
        <v>42</v>
      </c>
      <c r="CQ84" s="44">
        <v>10</v>
      </c>
      <c r="CR84" s="43" t="str">
        <f t="shared" si="58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9"/>
        <v/>
      </c>
      <c r="CY84" s="43" t="str">
        <f t="shared" si="60"/>
        <v/>
      </c>
      <c r="CZ84" s="43" t="str">
        <f t="shared" si="61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2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3"/>
        <v/>
      </c>
      <c r="DG84" s="43" t="str">
        <f t="shared" si="64"/>
        <v/>
      </c>
      <c r="DH84" s="57"/>
      <c r="DI84" s="43" t="str">
        <f t="shared" ca="1" si="65"/>
        <v/>
      </c>
      <c r="DJ84" s="43" t="str">
        <f t="shared" si="66"/>
        <v/>
      </c>
      <c r="DK84" s="43" t="str">
        <f t="shared" si="67"/>
        <v/>
      </c>
      <c r="DL84" s="57"/>
      <c r="DM84" s="43" t="str">
        <f t="shared" ca="1" si="68"/>
        <v/>
      </c>
      <c r="DN84" s="43" t="str">
        <f t="shared" si="69"/>
        <v/>
      </c>
      <c r="DO84" s="43" t="str">
        <f t="shared" si="70"/>
        <v/>
      </c>
      <c r="DP84" s="57"/>
      <c r="DQ84" s="43" t="str">
        <f t="shared" ca="1" si="71"/>
        <v/>
      </c>
      <c r="DR84" s="43" t="str">
        <f t="shared" si="72"/>
        <v/>
      </c>
      <c r="DS84" s="43" t="str">
        <f t="shared" si="73"/>
        <v/>
      </c>
      <c r="DT84" s="57"/>
      <c r="DU84" s="43" t="str">
        <f t="shared" ca="1" si="74"/>
        <v/>
      </c>
      <c r="DV84" s="43" t="str">
        <f t="shared" si="75"/>
        <v/>
      </c>
      <c r="DX84" s="44">
        <v>1</v>
      </c>
      <c r="DY84" s="44" t="s">
        <v>773</v>
      </c>
      <c r="DZ84" s="43">
        <f t="shared" si="76"/>
        <v>0.01</v>
      </c>
      <c r="EA84" s="43" t="str">
        <f t="shared" si="77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8"/>
        <v>100</v>
      </c>
      <c r="EF84" s="44">
        <v>1</v>
      </c>
      <c r="EG84" s="44">
        <v>0</v>
      </c>
      <c r="EH84" s="44" t="s">
        <v>875</v>
      </c>
      <c r="EI84" s="45">
        <v>0</v>
      </c>
      <c r="EJ84" s="43">
        <f t="shared" si="79"/>
        <v>5000</v>
      </c>
      <c r="EK84" s="69"/>
    </row>
    <row r="85" spans="1:141" x14ac:dyDescent="0.2">
      <c r="A85" s="7" t="str">
        <f t="shared" si="80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IF(IFERROR(INDEX(Consulta!$A:$DP,MATCH('MM01'!$B85,Consulta!$C:$C,0),'MM01'!D$2),"")=0,"",IFERROR(INDEX(Consulta!$A:$DP,MATCH('MM01'!$B85,Consulta!$C:$C,0),'MM01'!D$2),""))</f>
        <v/>
      </c>
      <c r="E85" s="43" t="str">
        <f>IF(IFERROR(INDEX(Consulta!$A:$DP,MATCH('MM01'!$B85,Consulta!$C:$C,0),'MM01'!E$2),"")=0,"",IFERROR(INDEX(Consulta!$A:$DP,MATCH('MM01'!$B85,Consulta!$C:$C,0),'MM01'!E$2),""))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1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2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3"/>
        <v/>
      </c>
      <c r="AV85" s="47" t="s">
        <v>795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4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5"/>
        <v/>
      </c>
      <c r="BC85" s="43" t="str">
        <f t="shared" si="46"/>
        <v/>
      </c>
      <c r="BD85" s="43" t="str">
        <f t="shared" si="47"/>
        <v/>
      </c>
      <c r="BE85" s="43" t="str">
        <f t="shared" si="48"/>
        <v>M</v>
      </c>
      <c r="BF85" s="43" t="str">
        <f t="shared" si="49"/>
        <v/>
      </c>
      <c r="BG85" s="43" t="str">
        <f t="shared" si="50"/>
        <v/>
      </c>
      <c r="BH85" s="43" t="str">
        <f t="shared" si="51"/>
        <v/>
      </c>
      <c r="BI85" s="43" t="str">
        <f t="shared" si="52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>
        <v>99</v>
      </c>
      <c r="BN85" s="46" t="str">
        <f t="shared" ca="1" si="53"/>
        <v>28.04.2022</v>
      </c>
      <c r="BO85" s="49" t="str">
        <f t="shared" si="54"/>
        <v/>
      </c>
      <c r="BP85" s="50">
        <v>1</v>
      </c>
      <c r="BQ85" s="50" t="s">
        <v>194</v>
      </c>
      <c r="BR85" s="79" t="str">
        <f t="shared" si="81"/>
        <v>01</v>
      </c>
      <c r="BS85" s="50" t="s">
        <v>795</v>
      </c>
      <c r="BT85" s="44">
        <v>1</v>
      </c>
      <c r="BU85" s="44" t="s">
        <v>371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391</v>
      </c>
      <c r="BZ85" s="50">
        <v>0</v>
      </c>
      <c r="CA85" s="45" t="s">
        <v>402</v>
      </c>
      <c r="CB85" s="45" t="s">
        <v>84</v>
      </c>
      <c r="CC85" s="43" t="str">
        <f t="shared" si="55"/>
        <v/>
      </c>
      <c r="CD85" s="45" t="s">
        <v>38</v>
      </c>
      <c r="CE85" s="45">
        <v>1</v>
      </c>
      <c r="CF85" s="45" t="s">
        <v>495</v>
      </c>
      <c r="CG85" s="45"/>
      <c r="CH85" s="44">
        <v>2</v>
      </c>
      <c r="CI85" s="49" t="str">
        <f t="shared" si="56"/>
        <v/>
      </c>
      <c r="CJ85" s="49" t="str">
        <f t="shared" si="57"/>
        <v/>
      </c>
      <c r="CK85" s="45"/>
      <c r="CL85" s="44">
        <v>1</v>
      </c>
      <c r="CM85" s="50" t="s">
        <v>514</v>
      </c>
      <c r="CN85" s="44" t="s">
        <v>371</v>
      </c>
      <c r="CO85" s="44">
        <v>2</v>
      </c>
      <c r="CP85" s="44">
        <v>42</v>
      </c>
      <c r="CQ85" s="44">
        <v>10</v>
      </c>
      <c r="CR85" s="43" t="str">
        <f t="shared" si="58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9"/>
        <v/>
      </c>
      <c r="CY85" s="43" t="str">
        <f t="shared" si="60"/>
        <v/>
      </c>
      <c r="CZ85" s="43" t="str">
        <f t="shared" si="61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2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3"/>
        <v/>
      </c>
      <c r="DG85" s="43" t="str">
        <f t="shared" si="64"/>
        <v/>
      </c>
      <c r="DH85" s="57"/>
      <c r="DI85" s="43" t="str">
        <f t="shared" ca="1" si="65"/>
        <v/>
      </c>
      <c r="DJ85" s="43" t="str">
        <f t="shared" si="66"/>
        <v/>
      </c>
      <c r="DK85" s="43" t="str">
        <f t="shared" si="67"/>
        <v/>
      </c>
      <c r="DL85" s="57"/>
      <c r="DM85" s="43" t="str">
        <f t="shared" ca="1" si="68"/>
        <v/>
      </c>
      <c r="DN85" s="43" t="str">
        <f t="shared" si="69"/>
        <v/>
      </c>
      <c r="DO85" s="43" t="str">
        <f t="shared" si="70"/>
        <v/>
      </c>
      <c r="DP85" s="57"/>
      <c r="DQ85" s="43" t="str">
        <f t="shared" ca="1" si="71"/>
        <v/>
      </c>
      <c r="DR85" s="43" t="str">
        <f t="shared" si="72"/>
        <v/>
      </c>
      <c r="DS85" s="43" t="str">
        <f t="shared" si="73"/>
        <v/>
      </c>
      <c r="DT85" s="57"/>
      <c r="DU85" s="43" t="str">
        <f t="shared" ca="1" si="74"/>
        <v/>
      </c>
      <c r="DV85" s="43" t="str">
        <f t="shared" si="75"/>
        <v/>
      </c>
      <c r="DX85" s="44">
        <v>1</v>
      </c>
      <c r="DY85" s="44" t="s">
        <v>773</v>
      </c>
      <c r="DZ85" s="43">
        <f t="shared" si="76"/>
        <v>0.01</v>
      </c>
      <c r="EA85" s="43" t="str">
        <f t="shared" si="77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8"/>
        <v>100</v>
      </c>
      <c r="EF85" s="44">
        <v>1</v>
      </c>
      <c r="EG85" s="44">
        <v>0</v>
      </c>
      <c r="EH85" s="44" t="s">
        <v>875</v>
      </c>
      <c r="EI85" s="45">
        <v>0</v>
      </c>
      <c r="EJ85" s="43">
        <f t="shared" si="79"/>
        <v>5000</v>
      </c>
      <c r="EK85" s="69"/>
    </row>
    <row r="86" spans="1:141" x14ac:dyDescent="0.2">
      <c r="A86" s="7" t="str">
        <f t="shared" si="80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IF(IFERROR(INDEX(Consulta!$A:$DP,MATCH('MM01'!$B86,Consulta!$C:$C,0),'MM01'!D$2),"")=0,"",IFERROR(INDEX(Consulta!$A:$DP,MATCH('MM01'!$B86,Consulta!$C:$C,0),'MM01'!D$2),""))</f>
        <v/>
      </c>
      <c r="E86" s="43" t="str">
        <f>IF(IFERROR(INDEX(Consulta!$A:$DP,MATCH('MM01'!$B86,Consulta!$C:$C,0),'MM01'!E$2),"")=0,"",IFERROR(INDEX(Consulta!$A:$DP,MATCH('MM01'!$B86,Consulta!$C:$C,0),'MM01'!E$2),""))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1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2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3"/>
        <v/>
      </c>
      <c r="AV86" s="47" t="s">
        <v>795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4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5"/>
        <v/>
      </c>
      <c r="BC86" s="43" t="str">
        <f t="shared" si="46"/>
        <v/>
      </c>
      <c r="BD86" s="43" t="str">
        <f t="shared" si="47"/>
        <v/>
      </c>
      <c r="BE86" s="43" t="str">
        <f t="shared" si="48"/>
        <v>M</v>
      </c>
      <c r="BF86" s="43" t="str">
        <f t="shared" si="49"/>
        <v/>
      </c>
      <c r="BG86" s="43" t="str">
        <f t="shared" si="50"/>
        <v/>
      </c>
      <c r="BH86" s="43" t="str">
        <f t="shared" si="51"/>
        <v/>
      </c>
      <c r="BI86" s="43" t="str">
        <f t="shared" si="52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>
        <v>99</v>
      </c>
      <c r="BN86" s="46" t="str">
        <f t="shared" ca="1" si="53"/>
        <v>28.04.2022</v>
      </c>
      <c r="BO86" s="49" t="str">
        <f t="shared" si="54"/>
        <v/>
      </c>
      <c r="BP86" s="50">
        <v>1</v>
      </c>
      <c r="BQ86" s="50" t="s">
        <v>194</v>
      </c>
      <c r="BR86" s="79" t="str">
        <f t="shared" si="81"/>
        <v>01</v>
      </c>
      <c r="BS86" s="50" t="s">
        <v>795</v>
      </c>
      <c r="BT86" s="44">
        <v>1</v>
      </c>
      <c r="BU86" s="44" t="s">
        <v>371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391</v>
      </c>
      <c r="BZ86" s="50">
        <v>0</v>
      </c>
      <c r="CA86" s="45" t="s">
        <v>402</v>
      </c>
      <c r="CB86" s="45" t="s">
        <v>84</v>
      </c>
      <c r="CC86" s="43" t="str">
        <f t="shared" si="55"/>
        <v/>
      </c>
      <c r="CD86" s="45" t="s">
        <v>38</v>
      </c>
      <c r="CE86" s="45">
        <v>1</v>
      </c>
      <c r="CF86" s="45" t="s">
        <v>495</v>
      </c>
      <c r="CG86" s="45"/>
      <c r="CH86" s="44">
        <v>2</v>
      </c>
      <c r="CI86" s="49" t="str">
        <f t="shared" si="56"/>
        <v/>
      </c>
      <c r="CJ86" s="49" t="str">
        <f t="shared" si="57"/>
        <v/>
      </c>
      <c r="CK86" s="45"/>
      <c r="CL86" s="44">
        <v>1</v>
      </c>
      <c r="CM86" s="50" t="s">
        <v>514</v>
      </c>
      <c r="CN86" s="44" t="s">
        <v>371</v>
      </c>
      <c r="CO86" s="44">
        <v>2</v>
      </c>
      <c r="CP86" s="44">
        <v>42</v>
      </c>
      <c r="CQ86" s="44">
        <v>10</v>
      </c>
      <c r="CR86" s="43" t="str">
        <f t="shared" si="58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9"/>
        <v/>
      </c>
      <c r="CY86" s="43" t="str">
        <f t="shared" si="60"/>
        <v/>
      </c>
      <c r="CZ86" s="43" t="str">
        <f t="shared" si="61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2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3"/>
        <v/>
      </c>
      <c r="DG86" s="43" t="str">
        <f t="shared" si="64"/>
        <v/>
      </c>
      <c r="DH86" s="57"/>
      <c r="DI86" s="43" t="str">
        <f t="shared" ca="1" si="65"/>
        <v/>
      </c>
      <c r="DJ86" s="43" t="str">
        <f t="shared" si="66"/>
        <v/>
      </c>
      <c r="DK86" s="43" t="str">
        <f t="shared" si="67"/>
        <v/>
      </c>
      <c r="DL86" s="57"/>
      <c r="DM86" s="43" t="str">
        <f t="shared" ca="1" si="68"/>
        <v/>
      </c>
      <c r="DN86" s="43" t="str">
        <f t="shared" si="69"/>
        <v/>
      </c>
      <c r="DO86" s="43" t="str">
        <f t="shared" si="70"/>
        <v/>
      </c>
      <c r="DP86" s="57"/>
      <c r="DQ86" s="43" t="str">
        <f t="shared" ca="1" si="71"/>
        <v/>
      </c>
      <c r="DR86" s="43" t="str">
        <f t="shared" si="72"/>
        <v/>
      </c>
      <c r="DS86" s="43" t="str">
        <f t="shared" si="73"/>
        <v/>
      </c>
      <c r="DT86" s="57"/>
      <c r="DU86" s="43" t="str">
        <f t="shared" ca="1" si="74"/>
        <v/>
      </c>
      <c r="DV86" s="43" t="str">
        <f t="shared" si="75"/>
        <v/>
      </c>
      <c r="DX86" s="44">
        <v>1</v>
      </c>
      <c r="DY86" s="44" t="s">
        <v>773</v>
      </c>
      <c r="DZ86" s="43">
        <f t="shared" si="76"/>
        <v>0.01</v>
      </c>
      <c r="EA86" s="43" t="str">
        <f t="shared" si="77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8"/>
        <v>100</v>
      </c>
      <c r="EF86" s="44">
        <v>1</v>
      </c>
      <c r="EG86" s="44">
        <v>0</v>
      </c>
      <c r="EH86" s="44" t="s">
        <v>875</v>
      </c>
      <c r="EI86" s="45">
        <v>0</v>
      </c>
      <c r="EJ86" s="43">
        <f t="shared" si="79"/>
        <v>5000</v>
      </c>
      <c r="EK86" s="69"/>
    </row>
    <row r="87" spans="1:141" x14ac:dyDescent="0.2">
      <c r="A87" s="7" t="str">
        <f t="shared" si="80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IF(IFERROR(INDEX(Consulta!$A:$DP,MATCH('MM01'!$B87,Consulta!$C:$C,0),'MM01'!D$2),"")=0,"",IFERROR(INDEX(Consulta!$A:$DP,MATCH('MM01'!$B87,Consulta!$C:$C,0),'MM01'!D$2),""))</f>
        <v/>
      </c>
      <c r="E87" s="43" t="str">
        <f>IF(IFERROR(INDEX(Consulta!$A:$DP,MATCH('MM01'!$B87,Consulta!$C:$C,0),'MM01'!E$2),"")=0,"",IFERROR(INDEX(Consulta!$A:$DP,MATCH('MM01'!$B87,Consulta!$C:$C,0),'MM01'!E$2),""))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1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2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3"/>
        <v/>
      </c>
      <c r="AV87" s="47" t="s">
        <v>795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4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5"/>
        <v/>
      </c>
      <c r="BC87" s="43" t="str">
        <f t="shared" si="46"/>
        <v/>
      </c>
      <c r="BD87" s="43" t="str">
        <f t="shared" si="47"/>
        <v/>
      </c>
      <c r="BE87" s="43" t="str">
        <f t="shared" si="48"/>
        <v>M</v>
      </c>
      <c r="BF87" s="43" t="str">
        <f t="shared" si="49"/>
        <v/>
      </c>
      <c r="BG87" s="43" t="str">
        <f t="shared" si="50"/>
        <v/>
      </c>
      <c r="BH87" s="43" t="str">
        <f t="shared" si="51"/>
        <v/>
      </c>
      <c r="BI87" s="43" t="str">
        <f t="shared" si="52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>
        <v>99</v>
      </c>
      <c r="BN87" s="46" t="str">
        <f t="shared" ca="1" si="53"/>
        <v>28.04.2022</v>
      </c>
      <c r="BO87" s="49" t="str">
        <f t="shared" si="54"/>
        <v/>
      </c>
      <c r="BP87" s="50">
        <v>1</v>
      </c>
      <c r="BQ87" s="50" t="s">
        <v>194</v>
      </c>
      <c r="BR87" s="79" t="str">
        <f t="shared" si="81"/>
        <v>01</v>
      </c>
      <c r="BS87" s="50" t="s">
        <v>795</v>
      </c>
      <c r="BT87" s="44">
        <v>1</v>
      </c>
      <c r="BU87" s="44" t="s">
        <v>371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391</v>
      </c>
      <c r="BZ87" s="50">
        <v>0</v>
      </c>
      <c r="CA87" s="45" t="s">
        <v>402</v>
      </c>
      <c r="CB87" s="45" t="s">
        <v>84</v>
      </c>
      <c r="CC87" s="43" t="str">
        <f t="shared" si="55"/>
        <v/>
      </c>
      <c r="CD87" s="45" t="s">
        <v>38</v>
      </c>
      <c r="CE87" s="45">
        <v>1</v>
      </c>
      <c r="CF87" s="45" t="s">
        <v>495</v>
      </c>
      <c r="CG87" s="45"/>
      <c r="CH87" s="44">
        <v>2</v>
      </c>
      <c r="CI87" s="49" t="str">
        <f t="shared" si="56"/>
        <v/>
      </c>
      <c r="CJ87" s="49" t="str">
        <f t="shared" si="57"/>
        <v/>
      </c>
      <c r="CK87" s="45"/>
      <c r="CL87" s="44">
        <v>1</v>
      </c>
      <c r="CM87" s="50" t="s">
        <v>514</v>
      </c>
      <c r="CN87" s="44" t="s">
        <v>371</v>
      </c>
      <c r="CO87" s="44">
        <v>2</v>
      </c>
      <c r="CP87" s="44">
        <v>42</v>
      </c>
      <c r="CQ87" s="44">
        <v>10</v>
      </c>
      <c r="CR87" s="43" t="str">
        <f t="shared" si="58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9"/>
        <v/>
      </c>
      <c r="CY87" s="43" t="str">
        <f t="shared" si="60"/>
        <v/>
      </c>
      <c r="CZ87" s="43" t="str">
        <f t="shared" si="61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2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3"/>
        <v/>
      </c>
      <c r="DG87" s="43" t="str">
        <f t="shared" si="64"/>
        <v/>
      </c>
      <c r="DH87" s="57"/>
      <c r="DI87" s="43" t="str">
        <f t="shared" ca="1" si="65"/>
        <v/>
      </c>
      <c r="DJ87" s="43" t="str">
        <f t="shared" si="66"/>
        <v/>
      </c>
      <c r="DK87" s="43" t="str">
        <f t="shared" si="67"/>
        <v/>
      </c>
      <c r="DL87" s="57"/>
      <c r="DM87" s="43" t="str">
        <f t="shared" ca="1" si="68"/>
        <v/>
      </c>
      <c r="DN87" s="43" t="str">
        <f t="shared" si="69"/>
        <v/>
      </c>
      <c r="DO87" s="43" t="str">
        <f t="shared" si="70"/>
        <v/>
      </c>
      <c r="DP87" s="57"/>
      <c r="DQ87" s="43" t="str">
        <f t="shared" ca="1" si="71"/>
        <v/>
      </c>
      <c r="DR87" s="43" t="str">
        <f t="shared" si="72"/>
        <v/>
      </c>
      <c r="DS87" s="43" t="str">
        <f t="shared" si="73"/>
        <v/>
      </c>
      <c r="DT87" s="57"/>
      <c r="DU87" s="43" t="str">
        <f t="shared" ca="1" si="74"/>
        <v/>
      </c>
      <c r="DV87" s="43" t="str">
        <f t="shared" si="75"/>
        <v/>
      </c>
      <c r="DX87" s="44">
        <v>1</v>
      </c>
      <c r="DY87" s="44" t="s">
        <v>773</v>
      </c>
      <c r="DZ87" s="43">
        <f t="shared" si="76"/>
        <v>0.01</v>
      </c>
      <c r="EA87" s="43" t="str">
        <f t="shared" si="77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8"/>
        <v>100</v>
      </c>
      <c r="EF87" s="44">
        <v>1</v>
      </c>
      <c r="EG87" s="44">
        <v>0</v>
      </c>
      <c r="EH87" s="44" t="s">
        <v>875</v>
      </c>
      <c r="EI87" s="45">
        <v>0</v>
      </c>
      <c r="EJ87" s="43">
        <f t="shared" si="79"/>
        <v>5000</v>
      </c>
      <c r="EK87" s="69"/>
    </row>
    <row r="88" spans="1:141" x14ac:dyDescent="0.2">
      <c r="A88" s="7" t="str">
        <f t="shared" si="80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IF(IFERROR(INDEX(Consulta!$A:$DP,MATCH('MM01'!$B88,Consulta!$C:$C,0),'MM01'!D$2),"")=0,"",IFERROR(INDEX(Consulta!$A:$DP,MATCH('MM01'!$B88,Consulta!$C:$C,0),'MM01'!D$2),""))</f>
        <v/>
      </c>
      <c r="E88" s="43" t="str">
        <f>IF(IFERROR(INDEX(Consulta!$A:$DP,MATCH('MM01'!$B88,Consulta!$C:$C,0),'MM01'!E$2),"")=0,"",IFERROR(INDEX(Consulta!$A:$DP,MATCH('MM01'!$B88,Consulta!$C:$C,0),'MM01'!E$2),""))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1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2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3"/>
        <v/>
      </c>
      <c r="AV88" s="47" t="s">
        <v>795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4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5"/>
        <v/>
      </c>
      <c r="BC88" s="43" t="str">
        <f t="shared" si="46"/>
        <v/>
      </c>
      <c r="BD88" s="43" t="str">
        <f t="shared" si="47"/>
        <v/>
      </c>
      <c r="BE88" s="43" t="str">
        <f t="shared" si="48"/>
        <v>M</v>
      </c>
      <c r="BF88" s="43" t="str">
        <f t="shared" si="49"/>
        <v/>
      </c>
      <c r="BG88" s="43" t="str">
        <f t="shared" si="50"/>
        <v/>
      </c>
      <c r="BH88" s="43" t="str">
        <f t="shared" si="51"/>
        <v/>
      </c>
      <c r="BI88" s="43" t="str">
        <f t="shared" si="52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>
        <v>99</v>
      </c>
      <c r="BN88" s="46" t="str">
        <f t="shared" ca="1" si="53"/>
        <v>28.04.2022</v>
      </c>
      <c r="BO88" s="49" t="str">
        <f t="shared" si="54"/>
        <v/>
      </c>
      <c r="BP88" s="50">
        <v>1</v>
      </c>
      <c r="BQ88" s="50" t="s">
        <v>194</v>
      </c>
      <c r="BR88" s="79" t="str">
        <f t="shared" si="81"/>
        <v>01</v>
      </c>
      <c r="BS88" s="50" t="s">
        <v>795</v>
      </c>
      <c r="BT88" s="44">
        <v>1</v>
      </c>
      <c r="BU88" s="44" t="s">
        <v>371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391</v>
      </c>
      <c r="BZ88" s="50">
        <v>0</v>
      </c>
      <c r="CA88" s="45" t="s">
        <v>402</v>
      </c>
      <c r="CB88" s="45" t="s">
        <v>84</v>
      </c>
      <c r="CC88" s="43" t="str">
        <f t="shared" si="55"/>
        <v/>
      </c>
      <c r="CD88" s="45" t="s">
        <v>38</v>
      </c>
      <c r="CE88" s="45">
        <v>1</v>
      </c>
      <c r="CF88" s="45" t="s">
        <v>495</v>
      </c>
      <c r="CG88" s="45"/>
      <c r="CH88" s="44">
        <v>2</v>
      </c>
      <c r="CI88" s="49" t="str">
        <f t="shared" si="56"/>
        <v/>
      </c>
      <c r="CJ88" s="49" t="str">
        <f t="shared" si="57"/>
        <v/>
      </c>
      <c r="CK88" s="45"/>
      <c r="CL88" s="44">
        <v>1</v>
      </c>
      <c r="CM88" s="50" t="s">
        <v>514</v>
      </c>
      <c r="CN88" s="44" t="s">
        <v>371</v>
      </c>
      <c r="CO88" s="44">
        <v>2</v>
      </c>
      <c r="CP88" s="44">
        <v>42</v>
      </c>
      <c r="CQ88" s="44">
        <v>10</v>
      </c>
      <c r="CR88" s="43" t="str">
        <f t="shared" si="58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9"/>
        <v/>
      </c>
      <c r="CY88" s="43" t="str">
        <f t="shared" si="60"/>
        <v/>
      </c>
      <c r="CZ88" s="43" t="str">
        <f t="shared" si="61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2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3"/>
        <v/>
      </c>
      <c r="DG88" s="43" t="str">
        <f t="shared" si="64"/>
        <v/>
      </c>
      <c r="DH88" s="57"/>
      <c r="DI88" s="43" t="str">
        <f t="shared" ca="1" si="65"/>
        <v/>
      </c>
      <c r="DJ88" s="43" t="str">
        <f t="shared" si="66"/>
        <v/>
      </c>
      <c r="DK88" s="43" t="str">
        <f t="shared" si="67"/>
        <v/>
      </c>
      <c r="DL88" s="57"/>
      <c r="DM88" s="43" t="str">
        <f t="shared" ca="1" si="68"/>
        <v/>
      </c>
      <c r="DN88" s="43" t="str">
        <f t="shared" si="69"/>
        <v/>
      </c>
      <c r="DO88" s="43" t="str">
        <f t="shared" si="70"/>
        <v/>
      </c>
      <c r="DP88" s="57"/>
      <c r="DQ88" s="43" t="str">
        <f t="shared" ca="1" si="71"/>
        <v/>
      </c>
      <c r="DR88" s="43" t="str">
        <f t="shared" si="72"/>
        <v/>
      </c>
      <c r="DS88" s="43" t="str">
        <f t="shared" si="73"/>
        <v/>
      </c>
      <c r="DT88" s="57"/>
      <c r="DU88" s="43" t="str">
        <f t="shared" ca="1" si="74"/>
        <v/>
      </c>
      <c r="DV88" s="43" t="str">
        <f t="shared" si="75"/>
        <v/>
      </c>
      <c r="DX88" s="44">
        <v>1</v>
      </c>
      <c r="DY88" s="44" t="s">
        <v>773</v>
      </c>
      <c r="DZ88" s="43">
        <f t="shared" si="76"/>
        <v>0.01</v>
      </c>
      <c r="EA88" s="43" t="str">
        <f t="shared" si="77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8"/>
        <v>100</v>
      </c>
      <c r="EF88" s="44">
        <v>1</v>
      </c>
      <c r="EG88" s="44">
        <v>0</v>
      </c>
      <c r="EH88" s="44" t="s">
        <v>875</v>
      </c>
      <c r="EI88" s="45">
        <v>0</v>
      </c>
      <c r="EJ88" s="43">
        <f t="shared" si="79"/>
        <v>5000</v>
      </c>
      <c r="EK88" s="69"/>
    </row>
    <row r="89" spans="1:141" x14ac:dyDescent="0.2">
      <c r="A89" s="7" t="str">
        <f t="shared" si="80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IF(IFERROR(INDEX(Consulta!$A:$DP,MATCH('MM01'!$B89,Consulta!$C:$C,0),'MM01'!D$2),"")=0,"",IFERROR(INDEX(Consulta!$A:$DP,MATCH('MM01'!$B89,Consulta!$C:$C,0),'MM01'!D$2),""))</f>
        <v/>
      </c>
      <c r="E89" s="43" t="str">
        <f>IF(IFERROR(INDEX(Consulta!$A:$DP,MATCH('MM01'!$B89,Consulta!$C:$C,0),'MM01'!E$2),"")=0,"",IFERROR(INDEX(Consulta!$A:$DP,MATCH('MM01'!$B89,Consulta!$C:$C,0),'MM01'!E$2),""))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1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2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3"/>
        <v/>
      </c>
      <c r="AV89" s="47" t="s">
        <v>795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4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5"/>
        <v/>
      </c>
      <c r="BC89" s="43" t="str">
        <f t="shared" si="46"/>
        <v/>
      </c>
      <c r="BD89" s="43" t="str">
        <f t="shared" si="47"/>
        <v/>
      </c>
      <c r="BE89" s="43" t="str">
        <f t="shared" si="48"/>
        <v>M</v>
      </c>
      <c r="BF89" s="43" t="str">
        <f t="shared" si="49"/>
        <v/>
      </c>
      <c r="BG89" s="43" t="str">
        <f t="shared" si="50"/>
        <v/>
      </c>
      <c r="BH89" s="43" t="str">
        <f t="shared" si="51"/>
        <v/>
      </c>
      <c r="BI89" s="43" t="str">
        <f t="shared" si="52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>
        <v>99</v>
      </c>
      <c r="BN89" s="46" t="str">
        <f t="shared" ca="1" si="53"/>
        <v>28.04.2022</v>
      </c>
      <c r="BO89" s="49" t="str">
        <f t="shared" si="54"/>
        <v/>
      </c>
      <c r="BP89" s="50">
        <v>1</v>
      </c>
      <c r="BQ89" s="50" t="s">
        <v>194</v>
      </c>
      <c r="BR89" s="79" t="str">
        <f t="shared" si="81"/>
        <v>01</v>
      </c>
      <c r="BS89" s="50" t="s">
        <v>795</v>
      </c>
      <c r="BT89" s="44">
        <v>1</v>
      </c>
      <c r="BU89" s="44" t="s">
        <v>371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391</v>
      </c>
      <c r="BZ89" s="50">
        <v>0</v>
      </c>
      <c r="CA89" s="45" t="s">
        <v>402</v>
      </c>
      <c r="CB89" s="45" t="s">
        <v>84</v>
      </c>
      <c r="CC89" s="43" t="str">
        <f t="shared" si="55"/>
        <v/>
      </c>
      <c r="CD89" s="45" t="s">
        <v>38</v>
      </c>
      <c r="CE89" s="45">
        <v>1</v>
      </c>
      <c r="CF89" s="45" t="s">
        <v>495</v>
      </c>
      <c r="CG89" s="45"/>
      <c r="CH89" s="44">
        <v>2</v>
      </c>
      <c r="CI89" s="49" t="str">
        <f t="shared" si="56"/>
        <v/>
      </c>
      <c r="CJ89" s="49" t="str">
        <f t="shared" si="57"/>
        <v/>
      </c>
      <c r="CK89" s="45"/>
      <c r="CL89" s="44">
        <v>1</v>
      </c>
      <c r="CM89" s="50" t="s">
        <v>514</v>
      </c>
      <c r="CN89" s="44" t="s">
        <v>371</v>
      </c>
      <c r="CO89" s="44">
        <v>2</v>
      </c>
      <c r="CP89" s="44">
        <v>42</v>
      </c>
      <c r="CQ89" s="44">
        <v>10</v>
      </c>
      <c r="CR89" s="43" t="str">
        <f t="shared" si="58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9"/>
        <v/>
      </c>
      <c r="CY89" s="43" t="str">
        <f t="shared" si="60"/>
        <v/>
      </c>
      <c r="CZ89" s="43" t="str">
        <f t="shared" si="61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2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3"/>
        <v/>
      </c>
      <c r="DG89" s="43" t="str">
        <f t="shared" si="64"/>
        <v/>
      </c>
      <c r="DH89" s="57"/>
      <c r="DI89" s="43" t="str">
        <f t="shared" ca="1" si="65"/>
        <v/>
      </c>
      <c r="DJ89" s="43" t="str">
        <f t="shared" si="66"/>
        <v/>
      </c>
      <c r="DK89" s="43" t="str">
        <f t="shared" si="67"/>
        <v/>
      </c>
      <c r="DL89" s="57"/>
      <c r="DM89" s="43" t="str">
        <f t="shared" ca="1" si="68"/>
        <v/>
      </c>
      <c r="DN89" s="43" t="str">
        <f t="shared" si="69"/>
        <v/>
      </c>
      <c r="DO89" s="43" t="str">
        <f t="shared" si="70"/>
        <v/>
      </c>
      <c r="DP89" s="57"/>
      <c r="DQ89" s="43" t="str">
        <f t="shared" ca="1" si="71"/>
        <v/>
      </c>
      <c r="DR89" s="43" t="str">
        <f t="shared" si="72"/>
        <v/>
      </c>
      <c r="DS89" s="43" t="str">
        <f t="shared" si="73"/>
        <v/>
      </c>
      <c r="DT89" s="57"/>
      <c r="DU89" s="43" t="str">
        <f t="shared" ca="1" si="74"/>
        <v/>
      </c>
      <c r="DV89" s="43" t="str">
        <f t="shared" si="75"/>
        <v/>
      </c>
      <c r="DX89" s="44">
        <v>1</v>
      </c>
      <c r="DY89" s="44" t="s">
        <v>773</v>
      </c>
      <c r="DZ89" s="43">
        <f t="shared" si="76"/>
        <v>0.01</v>
      </c>
      <c r="EA89" s="43" t="str">
        <f t="shared" si="77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8"/>
        <v>100</v>
      </c>
      <c r="EF89" s="44">
        <v>1</v>
      </c>
      <c r="EG89" s="44">
        <v>0</v>
      </c>
      <c r="EH89" s="44" t="s">
        <v>875</v>
      </c>
      <c r="EI89" s="45">
        <v>0</v>
      </c>
      <c r="EJ89" s="43">
        <f t="shared" si="79"/>
        <v>5000</v>
      </c>
      <c r="EK89" s="69"/>
    </row>
    <row r="90" spans="1:141" x14ac:dyDescent="0.2">
      <c r="A90" s="7" t="str">
        <f t="shared" si="80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IF(IFERROR(INDEX(Consulta!$A:$DP,MATCH('MM01'!$B90,Consulta!$C:$C,0),'MM01'!D$2),"")=0,"",IFERROR(INDEX(Consulta!$A:$DP,MATCH('MM01'!$B90,Consulta!$C:$C,0),'MM01'!D$2),""))</f>
        <v/>
      </c>
      <c r="E90" s="43" t="str">
        <f>IF(IFERROR(INDEX(Consulta!$A:$DP,MATCH('MM01'!$B90,Consulta!$C:$C,0),'MM01'!E$2),"")=0,"",IFERROR(INDEX(Consulta!$A:$DP,MATCH('MM01'!$B90,Consulta!$C:$C,0),'MM01'!E$2),""))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1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2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3"/>
        <v/>
      </c>
      <c r="AV90" s="47" t="s">
        <v>795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4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5"/>
        <v/>
      </c>
      <c r="BC90" s="43" t="str">
        <f t="shared" si="46"/>
        <v/>
      </c>
      <c r="BD90" s="43" t="str">
        <f t="shared" si="47"/>
        <v/>
      </c>
      <c r="BE90" s="43" t="str">
        <f t="shared" si="48"/>
        <v>M</v>
      </c>
      <c r="BF90" s="43" t="str">
        <f t="shared" si="49"/>
        <v/>
      </c>
      <c r="BG90" s="43" t="str">
        <f t="shared" si="50"/>
        <v/>
      </c>
      <c r="BH90" s="43" t="str">
        <f t="shared" si="51"/>
        <v/>
      </c>
      <c r="BI90" s="43" t="str">
        <f t="shared" si="52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>
        <v>99</v>
      </c>
      <c r="BN90" s="46" t="str">
        <f t="shared" ca="1" si="53"/>
        <v>28.04.2022</v>
      </c>
      <c r="BO90" s="49" t="str">
        <f t="shared" si="54"/>
        <v/>
      </c>
      <c r="BP90" s="50">
        <v>1</v>
      </c>
      <c r="BQ90" s="50" t="s">
        <v>194</v>
      </c>
      <c r="BR90" s="79" t="str">
        <f t="shared" si="81"/>
        <v>01</v>
      </c>
      <c r="BS90" s="50" t="s">
        <v>795</v>
      </c>
      <c r="BT90" s="44">
        <v>1</v>
      </c>
      <c r="BU90" s="44" t="s">
        <v>371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391</v>
      </c>
      <c r="BZ90" s="50">
        <v>0</v>
      </c>
      <c r="CA90" s="45" t="s">
        <v>402</v>
      </c>
      <c r="CB90" s="45" t="s">
        <v>84</v>
      </c>
      <c r="CC90" s="43" t="str">
        <f t="shared" si="55"/>
        <v/>
      </c>
      <c r="CD90" s="45" t="s">
        <v>38</v>
      </c>
      <c r="CE90" s="45">
        <v>1</v>
      </c>
      <c r="CF90" s="45" t="s">
        <v>495</v>
      </c>
      <c r="CG90" s="45"/>
      <c r="CH90" s="44">
        <v>2</v>
      </c>
      <c r="CI90" s="49" t="str">
        <f t="shared" si="56"/>
        <v/>
      </c>
      <c r="CJ90" s="49" t="str">
        <f t="shared" si="57"/>
        <v/>
      </c>
      <c r="CK90" s="45"/>
      <c r="CL90" s="44">
        <v>1</v>
      </c>
      <c r="CM90" s="50" t="s">
        <v>514</v>
      </c>
      <c r="CN90" s="44" t="s">
        <v>371</v>
      </c>
      <c r="CO90" s="44">
        <v>2</v>
      </c>
      <c r="CP90" s="44">
        <v>42</v>
      </c>
      <c r="CQ90" s="44">
        <v>10</v>
      </c>
      <c r="CR90" s="43" t="str">
        <f t="shared" si="58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9"/>
        <v/>
      </c>
      <c r="CY90" s="43" t="str">
        <f t="shared" si="60"/>
        <v/>
      </c>
      <c r="CZ90" s="43" t="str">
        <f t="shared" si="61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2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3"/>
        <v/>
      </c>
      <c r="DG90" s="43" t="str">
        <f t="shared" si="64"/>
        <v/>
      </c>
      <c r="DH90" s="57"/>
      <c r="DI90" s="43" t="str">
        <f t="shared" ca="1" si="65"/>
        <v/>
      </c>
      <c r="DJ90" s="43" t="str">
        <f t="shared" si="66"/>
        <v/>
      </c>
      <c r="DK90" s="43" t="str">
        <f t="shared" si="67"/>
        <v/>
      </c>
      <c r="DL90" s="57"/>
      <c r="DM90" s="43" t="str">
        <f t="shared" ca="1" si="68"/>
        <v/>
      </c>
      <c r="DN90" s="43" t="str">
        <f t="shared" si="69"/>
        <v/>
      </c>
      <c r="DO90" s="43" t="str">
        <f t="shared" si="70"/>
        <v/>
      </c>
      <c r="DP90" s="57"/>
      <c r="DQ90" s="43" t="str">
        <f t="shared" ca="1" si="71"/>
        <v/>
      </c>
      <c r="DR90" s="43" t="str">
        <f t="shared" si="72"/>
        <v/>
      </c>
      <c r="DS90" s="43" t="str">
        <f t="shared" si="73"/>
        <v/>
      </c>
      <c r="DT90" s="57"/>
      <c r="DU90" s="43" t="str">
        <f t="shared" ca="1" si="74"/>
        <v/>
      </c>
      <c r="DV90" s="43" t="str">
        <f t="shared" si="75"/>
        <v/>
      </c>
      <c r="DX90" s="44">
        <v>1</v>
      </c>
      <c r="DY90" s="44" t="s">
        <v>773</v>
      </c>
      <c r="DZ90" s="43">
        <f t="shared" si="76"/>
        <v>0.01</v>
      </c>
      <c r="EA90" s="43" t="str">
        <f t="shared" si="77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8"/>
        <v>100</v>
      </c>
      <c r="EF90" s="44">
        <v>1</v>
      </c>
      <c r="EG90" s="44">
        <v>0</v>
      </c>
      <c r="EH90" s="44" t="s">
        <v>875</v>
      </c>
      <c r="EI90" s="45">
        <v>0</v>
      </c>
      <c r="EJ90" s="43">
        <f t="shared" si="79"/>
        <v>5000</v>
      </c>
      <c r="EK90" s="69"/>
    </row>
    <row r="91" spans="1:141" x14ac:dyDescent="0.2">
      <c r="A91" s="7" t="str">
        <f t="shared" si="80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IF(IFERROR(INDEX(Consulta!$A:$DP,MATCH('MM01'!$B91,Consulta!$C:$C,0),'MM01'!D$2),"")=0,"",IFERROR(INDEX(Consulta!$A:$DP,MATCH('MM01'!$B91,Consulta!$C:$C,0),'MM01'!D$2),""))</f>
        <v/>
      </c>
      <c r="E91" s="43" t="str">
        <f>IF(IFERROR(INDEX(Consulta!$A:$DP,MATCH('MM01'!$B91,Consulta!$C:$C,0),'MM01'!E$2),"")=0,"",IFERROR(INDEX(Consulta!$A:$DP,MATCH('MM01'!$B91,Consulta!$C:$C,0),'MM01'!E$2),""))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1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2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3"/>
        <v/>
      </c>
      <c r="AV91" s="47" t="s">
        <v>795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4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5"/>
        <v/>
      </c>
      <c r="BC91" s="43" t="str">
        <f t="shared" si="46"/>
        <v/>
      </c>
      <c r="BD91" s="43" t="str">
        <f t="shared" si="47"/>
        <v/>
      </c>
      <c r="BE91" s="43" t="str">
        <f t="shared" si="48"/>
        <v>M</v>
      </c>
      <c r="BF91" s="43" t="str">
        <f t="shared" si="49"/>
        <v/>
      </c>
      <c r="BG91" s="43" t="str">
        <f t="shared" si="50"/>
        <v/>
      </c>
      <c r="BH91" s="43" t="str">
        <f t="shared" si="51"/>
        <v/>
      </c>
      <c r="BI91" s="43" t="str">
        <f t="shared" si="52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>
        <v>99</v>
      </c>
      <c r="BN91" s="46" t="str">
        <f t="shared" ca="1" si="53"/>
        <v>28.04.2022</v>
      </c>
      <c r="BO91" s="49" t="str">
        <f t="shared" si="54"/>
        <v/>
      </c>
      <c r="BP91" s="50">
        <v>1</v>
      </c>
      <c r="BQ91" s="50" t="s">
        <v>194</v>
      </c>
      <c r="BR91" s="79" t="str">
        <f t="shared" si="81"/>
        <v>01</v>
      </c>
      <c r="BS91" s="50" t="s">
        <v>795</v>
      </c>
      <c r="BT91" s="44">
        <v>1</v>
      </c>
      <c r="BU91" s="44" t="s">
        <v>371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391</v>
      </c>
      <c r="BZ91" s="50">
        <v>0</v>
      </c>
      <c r="CA91" s="45" t="s">
        <v>402</v>
      </c>
      <c r="CB91" s="45" t="s">
        <v>84</v>
      </c>
      <c r="CC91" s="43" t="str">
        <f t="shared" si="55"/>
        <v/>
      </c>
      <c r="CD91" s="45" t="s">
        <v>38</v>
      </c>
      <c r="CE91" s="45">
        <v>1</v>
      </c>
      <c r="CF91" s="45" t="s">
        <v>495</v>
      </c>
      <c r="CG91" s="45"/>
      <c r="CH91" s="44">
        <v>2</v>
      </c>
      <c r="CI91" s="49" t="str">
        <f t="shared" si="56"/>
        <v/>
      </c>
      <c r="CJ91" s="49" t="str">
        <f t="shared" si="57"/>
        <v/>
      </c>
      <c r="CK91" s="45"/>
      <c r="CL91" s="44">
        <v>1</v>
      </c>
      <c r="CM91" s="50" t="s">
        <v>514</v>
      </c>
      <c r="CN91" s="44" t="s">
        <v>371</v>
      </c>
      <c r="CO91" s="44">
        <v>2</v>
      </c>
      <c r="CP91" s="44">
        <v>42</v>
      </c>
      <c r="CQ91" s="44">
        <v>10</v>
      </c>
      <c r="CR91" s="43" t="str">
        <f t="shared" si="58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9"/>
        <v/>
      </c>
      <c r="CY91" s="43" t="str">
        <f t="shared" si="60"/>
        <v/>
      </c>
      <c r="CZ91" s="43" t="str">
        <f t="shared" si="61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2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3"/>
        <v/>
      </c>
      <c r="DG91" s="43" t="str">
        <f t="shared" si="64"/>
        <v/>
      </c>
      <c r="DH91" s="57"/>
      <c r="DI91" s="43" t="str">
        <f t="shared" ca="1" si="65"/>
        <v/>
      </c>
      <c r="DJ91" s="43" t="str">
        <f t="shared" si="66"/>
        <v/>
      </c>
      <c r="DK91" s="43" t="str">
        <f t="shared" si="67"/>
        <v/>
      </c>
      <c r="DL91" s="57"/>
      <c r="DM91" s="43" t="str">
        <f t="shared" ca="1" si="68"/>
        <v/>
      </c>
      <c r="DN91" s="43" t="str">
        <f t="shared" si="69"/>
        <v/>
      </c>
      <c r="DO91" s="43" t="str">
        <f t="shared" si="70"/>
        <v/>
      </c>
      <c r="DP91" s="57"/>
      <c r="DQ91" s="43" t="str">
        <f t="shared" ca="1" si="71"/>
        <v/>
      </c>
      <c r="DR91" s="43" t="str">
        <f t="shared" si="72"/>
        <v/>
      </c>
      <c r="DS91" s="43" t="str">
        <f t="shared" si="73"/>
        <v/>
      </c>
      <c r="DT91" s="57"/>
      <c r="DU91" s="43" t="str">
        <f t="shared" ca="1" si="74"/>
        <v/>
      </c>
      <c r="DV91" s="43" t="str">
        <f t="shared" si="75"/>
        <v/>
      </c>
      <c r="DX91" s="44">
        <v>1</v>
      </c>
      <c r="DY91" s="44" t="s">
        <v>773</v>
      </c>
      <c r="DZ91" s="43">
        <f t="shared" si="76"/>
        <v>0.01</v>
      </c>
      <c r="EA91" s="43" t="str">
        <f t="shared" si="77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8"/>
        <v>100</v>
      </c>
      <c r="EF91" s="44">
        <v>1</v>
      </c>
      <c r="EG91" s="44">
        <v>0</v>
      </c>
      <c r="EH91" s="44" t="s">
        <v>875</v>
      </c>
      <c r="EI91" s="45">
        <v>0</v>
      </c>
      <c r="EJ91" s="43">
        <f t="shared" si="79"/>
        <v>5000</v>
      </c>
      <c r="EK91" s="69"/>
    </row>
    <row r="92" spans="1:141" x14ac:dyDescent="0.2">
      <c r="A92" s="7" t="str">
        <f t="shared" si="80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IF(IFERROR(INDEX(Consulta!$A:$DP,MATCH('MM01'!$B92,Consulta!$C:$C,0),'MM01'!D$2),"")=0,"",IFERROR(INDEX(Consulta!$A:$DP,MATCH('MM01'!$B92,Consulta!$C:$C,0),'MM01'!D$2),""))</f>
        <v/>
      </c>
      <c r="E92" s="43" t="str">
        <f>IF(IFERROR(INDEX(Consulta!$A:$DP,MATCH('MM01'!$B92,Consulta!$C:$C,0),'MM01'!E$2),"")=0,"",IFERROR(INDEX(Consulta!$A:$DP,MATCH('MM01'!$B92,Consulta!$C:$C,0),'MM01'!E$2),""))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1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2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3"/>
        <v/>
      </c>
      <c r="AV92" s="47" t="s">
        <v>795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4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5"/>
        <v/>
      </c>
      <c r="BC92" s="43" t="str">
        <f t="shared" si="46"/>
        <v/>
      </c>
      <c r="BD92" s="43" t="str">
        <f t="shared" si="47"/>
        <v/>
      </c>
      <c r="BE92" s="43" t="str">
        <f t="shared" si="48"/>
        <v>M</v>
      </c>
      <c r="BF92" s="43" t="str">
        <f t="shared" si="49"/>
        <v/>
      </c>
      <c r="BG92" s="43" t="str">
        <f t="shared" si="50"/>
        <v/>
      </c>
      <c r="BH92" s="43" t="str">
        <f t="shared" si="51"/>
        <v/>
      </c>
      <c r="BI92" s="43" t="str">
        <f t="shared" si="52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>
        <v>99</v>
      </c>
      <c r="BN92" s="46" t="str">
        <f t="shared" ca="1" si="53"/>
        <v>28.04.2022</v>
      </c>
      <c r="BO92" s="49" t="str">
        <f t="shared" si="54"/>
        <v/>
      </c>
      <c r="BP92" s="50">
        <v>1</v>
      </c>
      <c r="BQ92" s="50" t="s">
        <v>194</v>
      </c>
      <c r="BR92" s="79" t="str">
        <f t="shared" si="81"/>
        <v>01</v>
      </c>
      <c r="BS92" s="50" t="s">
        <v>795</v>
      </c>
      <c r="BT92" s="44">
        <v>1</v>
      </c>
      <c r="BU92" s="44" t="s">
        <v>371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391</v>
      </c>
      <c r="BZ92" s="50">
        <v>0</v>
      </c>
      <c r="CA92" s="45" t="s">
        <v>402</v>
      </c>
      <c r="CB92" s="45" t="s">
        <v>84</v>
      </c>
      <c r="CC92" s="43" t="str">
        <f t="shared" si="55"/>
        <v/>
      </c>
      <c r="CD92" s="45" t="s">
        <v>38</v>
      </c>
      <c r="CE92" s="45">
        <v>1</v>
      </c>
      <c r="CF92" s="45" t="s">
        <v>495</v>
      </c>
      <c r="CG92" s="45"/>
      <c r="CH92" s="44">
        <v>2</v>
      </c>
      <c r="CI92" s="49" t="str">
        <f t="shared" si="56"/>
        <v/>
      </c>
      <c r="CJ92" s="49" t="str">
        <f t="shared" si="57"/>
        <v/>
      </c>
      <c r="CK92" s="45"/>
      <c r="CL92" s="44">
        <v>1</v>
      </c>
      <c r="CM92" s="50" t="s">
        <v>514</v>
      </c>
      <c r="CN92" s="44" t="s">
        <v>371</v>
      </c>
      <c r="CO92" s="44">
        <v>2</v>
      </c>
      <c r="CP92" s="44">
        <v>42</v>
      </c>
      <c r="CQ92" s="44">
        <v>10</v>
      </c>
      <c r="CR92" s="43" t="str">
        <f t="shared" si="58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9"/>
        <v/>
      </c>
      <c r="CY92" s="43" t="str">
        <f t="shared" si="60"/>
        <v/>
      </c>
      <c r="CZ92" s="43" t="str">
        <f t="shared" si="61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2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3"/>
        <v/>
      </c>
      <c r="DG92" s="43" t="str">
        <f t="shared" si="64"/>
        <v/>
      </c>
      <c r="DH92" s="57"/>
      <c r="DI92" s="43" t="str">
        <f t="shared" ca="1" si="65"/>
        <v/>
      </c>
      <c r="DJ92" s="43" t="str">
        <f t="shared" si="66"/>
        <v/>
      </c>
      <c r="DK92" s="43" t="str">
        <f t="shared" si="67"/>
        <v/>
      </c>
      <c r="DL92" s="57"/>
      <c r="DM92" s="43" t="str">
        <f t="shared" ca="1" si="68"/>
        <v/>
      </c>
      <c r="DN92" s="43" t="str">
        <f t="shared" si="69"/>
        <v/>
      </c>
      <c r="DO92" s="43" t="str">
        <f t="shared" si="70"/>
        <v/>
      </c>
      <c r="DP92" s="57"/>
      <c r="DQ92" s="43" t="str">
        <f t="shared" ca="1" si="71"/>
        <v/>
      </c>
      <c r="DR92" s="43" t="str">
        <f t="shared" si="72"/>
        <v/>
      </c>
      <c r="DS92" s="43" t="str">
        <f t="shared" si="73"/>
        <v/>
      </c>
      <c r="DT92" s="57"/>
      <c r="DU92" s="43" t="str">
        <f t="shared" ca="1" si="74"/>
        <v/>
      </c>
      <c r="DV92" s="43" t="str">
        <f t="shared" si="75"/>
        <v/>
      </c>
      <c r="DX92" s="44">
        <v>1</v>
      </c>
      <c r="DY92" s="44" t="s">
        <v>773</v>
      </c>
      <c r="DZ92" s="43">
        <f t="shared" si="76"/>
        <v>0.01</v>
      </c>
      <c r="EA92" s="43" t="str">
        <f t="shared" si="77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8"/>
        <v>100</v>
      </c>
      <c r="EF92" s="44">
        <v>1</v>
      </c>
      <c r="EG92" s="44">
        <v>0</v>
      </c>
      <c r="EH92" s="44" t="s">
        <v>875</v>
      </c>
      <c r="EI92" s="45">
        <v>0</v>
      </c>
      <c r="EJ92" s="43">
        <f t="shared" si="79"/>
        <v>5000</v>
      </c>
      <c r="EK92" s="69"/>
    </row>
    <row r="93" spans="1:141" x14ac:dyDescent="0.2">
      <c r="A93" s="7" t="str">
        <f t="shared" si="80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IF(IFERROR(INDEX(Consulta!$A:$DP,MATCH('MM01'!$B93,Consulta!$C:$C,0),'MM01'!D$2),"")=0,"",IFERROR(INDEX(Consulta!$A:$DP,MATCH('MM01'!$B93,Consulta!$C:$C,0),'MM01'!D$2),""))</f>
        <v/>
      </c>
      <c r="E93" s="43" t="str">
        <f>IF(IFERROR(INDEX(Consulta!$A:$DP,MATCH('MM01'!$B93,Consulta!$C:$C,0),'MM01'!E$2),"")=0,"",IFERROR(INDEX(Consulta!$A:$DP,MATCH('MM01'!$B93,Consulta!$C:$C,0),'MM01'!E$2),""))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1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2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3"/>
        <v/>
      </c>
      <c r="AV93" s="47" t="s">
        <v>795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4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5"/>
        <v/>
      </c>
      <c r="BC93" s="43" t="str">
        <f t="shared" si="46"/>
        <v/>
      </c>
      <c r="BD93" s="43" t="str">
        <f t="shared" si="47"/>
        <v/>
      </c>
      <c r="BE93" s="43" t="str">
        <f t="shared" si="48"/>
        <v>M</v>
      </c>
      <c r="BF93" s="43" t="str">
        <f t="shared" si="49"/>
        <v/>
      </c>
      <c r="BG93" s="43" t="str">
        <f t="shared" si="50"/>
        <v/>
      </c>
      <c r="BH93" s="43" t="str">
        <f t="shared" si="51"/>
        <v/>
      </c>
      <c r="BI93" s="43" t="str">
        <f t="shared" si="52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>
        <v>99</v>
      </c>
      <c r="BN93" s="46" t="str">
        <f t="shared" ca="1" si="53"/>
        <v>28.04.2022</v>
      </c>
      <c r="BO93" s="49" t="str">
        <f t="shared" si="54"/>
        <v/>
      </c>
      <c r="BP93" s="50">
        <v>1</v>
      </c>
      <c r="BQ93" s="50" t="s">
        <v>194</v>
      </c>
      <c r="BR93" s="79" t="str">
        <f t="shared" si="81"/>
        <v>01</v>
      </c>
      <c r="BS93" s="50" t="s">
        <v>795</v>
      </c>
      <c r="BT93" s="44">
        <v>1</v>
      </c>
      <c r="BU93" s="44" t="s">
        <v>371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391</v>
      </c>
      <c r="BZ93" s="50">
        <v>0</v>
      </c>
      <c r="CA93" s="45" t="s">
        <v>402</v>
      </c>
      <c r="CB93" s="45" t="s">
        <v>84</v>
      </c>
      <c r="CC93" s="43" t="str">
        <f t="shared" si="55"/>
        <v/>
      </c>
      <c r="CD93" s="45" t="s">
        <v>38</v>
      </c>
      <c r="CE93" s="45">
        <v>1</v>
      </c>
      <c r="CF93" s="45" t="s">
        <v>495</v>
      </c>
      <c r="CG93" s="45"/>
      <c r="CH93" s="44">
        <v>2</v>
      </c>
      <c r="CI93" s="49" t="str">
        <f t="shared" si="56"/>
        <v/>
      </c>
      <c r="CJ93" s="49" t="str">
        <f t="shared" si="57"/>
        <v/>
      </c>
      <c r="CK93" s="45"/>
      <c r="CL93" s="44">
        <v>1</v>
      </c>
      <c r="CM93" s="50" t="s">
        <v>514</v>
      </c>
      <c r="CN93" s="44" t="s">
        <v>371</v>
      </c>
      <c r="CO93" s="44">
        <v>2</v>
      </c>
      <c r="CP93" s="44">
        <v>42</v>
      </c>
      <c r="CQ93" s="44">
        <v>10</v>
      </c>
      <c r="CR93" s="43" t="str">
        <f t="shared" si="58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9"/>
        <v/>
      </c>
      <c r="CY93" s="43" t="str">
        <f t="shared" si="60"/>
        <v/>
      </c>
      <c r="CZ93" s="43" t="str">
        <f t="shared" si="61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2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3"/>
        <v/>
      </c>
      <c r="DG93" s="43" t="str">
        <f t="shared" si="64"/>
        <v/>
      </c>
      <c r="DH93" s="57"/>
      <c r="DI93" s="43" t="str">
        <f t="shared" ca="1" si="65"/>
        <v/>
      </c>
      <c r="DJ93" s="43" t="str">
        <f t="shared" si="66"/>
        <v/>
      </c>
      <c r="DK93" s="43" t="str">
        <f t="shared" si="67"/>
        <v/>
      </c>
      <c r="DL93" s="57"/>
      <c r="DM93" s="43" t="str">
        <f t="shared" ca="1" si="68"/>
        <v/>
      </c>
      <c r="DN93" s="43" t="str">
        <f t="shared" si="69"/>
        <v/>
      </c>
      <c r="DO93" s="43" t="str">
        <f t="shared" si="70"/>
        <v/>
      </c>
      <c r="DP93" s="57"/>
      <c r="DQ93" s="43" t="str">
        <f t="shared" ca="1" si="71"/>
        <v/>
      </c>
      <c r="DR93" s="43" t="str">
        <f t="shared" si="72"/>
        <v/>
      </c>
      <c r="DS93" s="43" t="str">
        <f t="shared" si="73"/>
        <v/>
      </c>
      <c r="DT93" s="57"/>
      <c r="DU93" s="43" t="str">
        <f t="shared" ca="1" si="74"/>
        <v/>
      </c>
      <c r="DV93" s="43" t="str">
        <f t="shared" si="75"/>
        <v/>
      </c>
      <c r="DX93" s="44">
        <v>1</v>
      </c>
      <c r="DY93" s="44" t="s">
        <v>773</v>
      </c>
      <c r="DZ93" s="43">
        <f t="shared" si="76"/>
        <v>0.01</v>
      </c>
      <c r="EA93" s="43" t="str">
        <f t="shared" si="77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8"/>
        <v>100</v>
      </c>
      <c r="EF93" s="44">
        <v>1</v>
      </c>
      <c r="EG93" s="44">
        <v>0</v>
      </c>
      <c r="EH93" s="44" t="s">
        <v>875</v>
      </c>
      <c r="EI93" s="45">
        <v>0</v>
      </c>
      <c r="EJ93" s="43">
        <f t="shared" si="79"/>
        <v>5000</v>
      </c>
      <c r="EK93" s="69"/>
    </row>
    <row r="94" spans="1:141" x14ac:dyDescent="0.2">
      <c r="A94" s="7" t="str">
        <f t="shared" si="80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IF(IFERROR(INDEX(Consulta!$A:$DP,MATCH('MM01'!$B94,Consulta!$C:$C,0),'MM01'!D$2),"")=0,"",IFERROR(INDEX(Consulta!$A:$DP,MATCH('MM01'!$B94,Consulta!$C:$C,0),'MM01'!D$2),""))</f>
        <v/>
      </c>
      <c r="E94" s="43" t="str">
        <f>IF(IFERROR(INDEX(Consulta!$A:$DP,MATCH('MM01'!$B94,Consulta!$C:$C,0),'MM01'!E$2),"")=0,"",IFERROR(INDEX(Consulta!$A:$DP,MATCH('MM01'!$B94,Consulta!$C:$C,0),'MM01'!E$2),""))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1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2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3"/>
        <v/>
      </c>
      <c r="AV94" s="47" t="s">
        <v>795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4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5"/>
        <v/>
      </c>
      <c r="BC94" s="43" t="str">
        <f t="shared" si="46"/>
        <v/>
      </c>
      <c r="BD94" s="43" t="str">
        <f t="shared" si="47"/>
        <v/>
      </c>
      <c r="BE94" s="43" t="str">
        <f t="shared" si="48"/>
        <v>M</v>
      </c>
      <c r="BF94" s="43" t="str">
        <f t="shared" si="49"/>
        <v/>
      </c>
      <c r="BG94" s="43" t="str">
        <f t="shared" si="50"/>
        <v/>
      </c>
      <c r="BH94" s="43" t="str">
        <f t="shared" si="51"/>
        <v/>
      </c>
      <c r="BI94" s="43" t="str">
        <f t="shared" si="52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>
        <v>99</v>
      </c>
      <c r="BN94" s="46" t="str">
        <f t="shared" ca="1" si="53"/>
        <v>28.04.2022</v>
      </c>
      <c r="BO94" s="49" t="str">
        <f t="shared" si="54"/>
        <v/>
      </c>
      <c r="BP94" s="50">
        <v>1</v>
      </c>
      <c r="BQ94" s="50" t="s">
        <v>194</v>
      </c>
      <c r="BR94" s="79" t="str">
        <f t="shared" si="81"/>
        <v>01</v>
      </c>
      <c r="BS94" s="50" t="s">
        <v>795</v>
      </c>
      <c r="BT94" s="44">
        <v>1</v>
      </c>
      <c r="BU94" s="44" t="s">
        <v>371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391</v>
      </c>
      <c r="BZ94" s="50">
        <v>0</v>
      </c>
      <c r="CA94" s="45" t="s">
        <v>402</v>
      </c>
      <c r="CB94" s="45" t="s">
        <v>84</v>
      </c>
      <c r="CC94" s="43" t="str">
        <f t="shared" si="55"/>
        <v/>
      </c>
      <c r="CD94" s="45" t="s">
        <v>38</v>
      </c>
      <c r="CE94" s="45">
        <v>1</v>
      </c>
      <c r="CF94" s="45" t="s">
        <v>495</v>
      </c>
      <c r="CG94" s="45"/>
      <c r="CH94" s="44">
        <v>2</v>
      </c>
      <c r="CI94" s="49" t="str">
        <f t="shared" si="56"/>
        <v/>
      </c>
      <c r="CJ94" s="49" t="str">
        <f t="shared" si="57"/>
        <v/>
      </c>
      <c r="CK94" s="45"/>
      <c r="CL94" s="44">
        <v>1</v>
      </c>
      <c r="CM94" s="50" t="s">
        <v>514</v>
      </c>
      <c r="CN94" s="44" t="s">
        <v>371</v>
      </c>
      <c r="CO94" s="44">
        <v>2</v>
      </c>
      <c r="CP94" s="44">
        <v>42</v>
      </c>
      <c r="CQ94" s="44">
        <v>10</v>
      </c>
      <c r="CR94" s="43" t="str">
        <f t="shared" si="58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9"/>
        <v/>
      </c>
      <c r="CY94" s="43" t="str">
        <f t="shared" si="60"/>
        <v/>
      </c>
      <c r="CZ94" s="43" t="str">
        <f t="shared" si="61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2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3"/>
        <v/>
      </c>
      <c r="DG94" s="43" t="str">
        <f t="shared" si="64"/>
        <v/>
      </c>
      <c r="DH94" s="57"/>
      <c r="DI94" s="43" t="str">
        <f t="shared" ca="1" si="65"/>
        <v/>
      </c>
      <c r="DJ94" s="43" t="str">
        <f t="shared" si="66"/>
        <v/>
      </c>
      <c r="DK94" s="43" t="str">
        <f t="shared" si="67"/>
        <v/>
      </c>
      <c r="DL94" s="57"/>
      <c r="DM94" s="43" t="str">
        <f t="shared" ca="1" si="68"/>
        <v/>
      </c>
      <c r="DN94" s="43" t="str">
        <f t="shared" si="69"/>
        <v/>
      </c>
      <c r="DO94" s="43" t="str">
        <f t="shared" si="70"/>
        <v/>
      </c>
      <c r="DP94" s="57"/>
      <c r="DQ94" s="43" t="str">
        <f t="shared" ca="1" si="71"/>
        <v/>
      </c>
      <c r="DR94" s="43" t="str">
        <f t="shared" si="72"/>
        <v/>
      </c>
      <c r="DS94" s="43" t="str">
        <f t="shared" si="73"/>
        <v/>
      </c>
      <c r="DT94" s="57"/>
      <c r="DU94" s="43" t="str">
        <f t="shared" ca="1" si="74"/>
        <v/>
      </c>
      <c r="DV94" s="43" t="str">
        <f t="shared" si="75"/>
        <v/>
      </c>
      <c r="DX94" s="44">
        <v>1</v>
      </c>
      <c r="DY94" s="44" t="s">
        <v>773</v>
      </c>
      <c r="DZ94" s="43">
        <f t="shared" si="76"/>
        <v>0.01</v>
      </c>
      <c r="EA94" s="43" t="str">
        <f t="shared" si="77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8"/>
        <v>100</v>
      </c>
      <c r="EF94" s="44">
        <v>1</v>
      </c>
      <c r="EG94" s="44">
        <v>0</v>
      </c>
      <c r="EH94" s="44" t="s">
        <v>875</v>
      </c>
      <c r="EI94" s="45">
        <v>0</v>
      </c>
      <c r="EJ94" s="43">
        <f t="shared" si="79"/>
        <v>5000</v>
      </c>
      <c r="EK94" s="69"/>
    </row>
    <row r="95" spans="1:141" x14ac:dyDescent="0.2">
      <c r="A95" s="7" t="str">
        <f t="shared" si="80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IF(IFERROR(INDEX(Consulta!$A:$DP,MATCH('MM01'!$B95,Consulta!$C:$C,0),'MM01'!D$2),"")=0,"",IFERROR(INDEX(Consulta!$A:$DP,MATCH('MM01'!$B95,Consulta!$C:$C,0),'MM01'!D$2),""))</f>
        <v/>
      </c>
      <c r="E95" s="43" t="str">
        <f>IF(IFERROR(INDEX(Consulta!$A:$DP,MATCH('MM01'!$B95,Consulta!$C:$C,0),'MM01'!E$2),"")=0,"",IFERROR(INDEX(Consulta!$A:$DP,MATCH('MM01'!$B95,Consulta!$C:$C,0),'MM01'!E$2),""))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1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2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3"/>
        <v/>
      </c>
      <c r="AV95" s="47" t="s">
        <v>795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4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5"/>
        <v/>
      </c>
      <c r="BC95" s="43" t="str">
        <f t="shared" si="46"/>
        <v/>
      </c>
      <c r="BD95" s="43" t="str">
        <f t="shared" si="47"/>
        <v/>
      </c>
      <c r="BE95" s="43" t="str">
        <f t="shared" si="48"/>
        <v>M</v>
      </c>
      <c r="BF95" s="43" t="str">
        <f t="shared" si="49"/>
        <v/>
      </c>
      <c r="BG95" s="43" t="str">
        <f t="shared" si="50"/>
        <v/>
      </c>
      <c r="BH95" s="43" t="str">
        <f t="shared" si="51"/>
        <v/>
      </c>
      <c r="BI95" s="43" t="str">
        <f t="shared" si="52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>
        <v>99</v>
      </c>
      <c r="BN95" s="46" t="str">
        <f t="shared" ca="1" si="53"/>
        <v>28.04.2022</v>
      </c>
      <c r="BO95" s="49" t="str">
        <f t="shared" si="54"/>
        <v/>
      </c>
      <c r="BP95" s="50">
        <v>1</v>
      </c>
      <c r="BQ95" s="50" t="s">
        <v>194</v>
      </c>
      <c r="BR95" s="79" t="str">
        <f t="shared" si="81"/>
        <v>01</v>
      </c>
      <c r="BS95" s="50" t="s">
        <v>795</v>
      </c>
      <c r="BT95" s="44">
        <v>1</v>
      </c>
      <c r="BU95" s="44" t="s">
        <v>371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391</v>
      </c>
      <c r="BZ95" s="50">
        <v>0</v>
      </c>
      <c r="CA95" s="45" t="s">
        <v>402</v>
      </c>
      <c r="CB95" s="45" t="s">
        <v>84</v>
      </c>
      <c r="CC95" s="43" t="str">
        <f t="shared" si="55"/>
        <v/>
      </c>
      <c r="CD95" s="45" t="s">
        <v>38</v>
      </c>
      <c r="CE95" s="45">
        <v>1</v>
      </c>
      <c r="CF95" s="45" t="s">
        <v>495</v>
      </c>
      <c r="CG95" s="45"/>
      <c r="CH95" s="44">
        <v>2</v>
      </c>
      <c r="CI95" s="49" t="str">
        <f t="shared" si="56"/>
        <v/>
      </c>
      <c r="CJ95" s="49" t="str">
        <f t="shared" si="57"/>
        <v/>
      </c>
      <c r="CK95" s="45"/>
      <c r="CL95" s="44">
        <v>1</v>
      </c>
      <c r="CM95" s="50" t="s">
        <v>514</v>
      </c>
      <c r="CN95" s="44" t="s">
        <v>371</v>
      </c>
      <c r="CO95" s="44">
        <v>2</v>
      </c>
      <c r="CP95" s="44">
        <v>42</v>
      </c>
      <c r="CQ95" s="44">
        <v>10</v>
      </c>
      <c r="CR95" s="43" t="str">
        <f t="shared" si="58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9"/>
        <v/>
      </c>
      <c r="CY95" s="43" t="str">
        <f t="shared" si="60"/>
        <v/>
      </c>
      <c r="CZ95" s="43" t="str">
        <f t="shared" si="61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2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3"/>
        <v/>
      </c>
      <c r="DG95" s="43" t="str">
        <f t="shared" si="64"/>
        <v/>
      </c>
      <c r="DH95" s="57"/>
      <c r="DI95" s="43" t="str">
        <f t="shared" ca="1" si="65"/>
        <v/>
      </c>
      <c r="DJ95" s="43" t="str">
        <f t="shared" si="66"/>
        <v/>
      </c>
      <c r="DK95" s="43" t="str">
        <f t="shared" si="67"/>
        <v/>
      </c>
      <c r="DL95" s="57"/>
      <c r="DM95" s="43" t="str">
        <f t="shared" ca="1" si="68"/>
        <v/>
      </c>
      <c r="DN95" s="43" t="str">
        <f t="shared" si="69"/>
        <v/>
      </c>
      <c r="DO95" s="43" t="str">
        <f t="shared" si="70"/>
        <v/>
      </c>
      <c r="DP95" s="57"/>
      <c r="DQ95" s="43" t="str">
        <f t="shared" ca="1" si="71"/>
        <v/>
      </c>
      <c r="DR95" s="43" t="str">
        <f t="shared" si="72"/>
        <v/>
      </c>
      <c r="DS95" s="43" t="str">
        <f t="shared" si="73"/>
        <v/>
      </c>
      <c r="DT95" s="57"/>
      <c r="DU95" s="43" t="str">
        <f t="shared" ca="1" si="74"/>
        <v/>
      </c>
      <c r="DV95" s="43" t="str">
        <f t="shared" si="75"/>
        <v/>
      </c>
      <c r="DX95" s="44">
        <v>1</v>
      </c>
      <c r="DY95" s="44" t="s">
        <v>773</v>
      </c>
      <c r="DZ95" s="43">
        <f t="shared" si="76"/>
        <v>0.01</v>
      </c>
      <c r="EA95" s="43" t="str">
        <f t="shared" si="77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8"/>
        <v>100</v>
      </c>
      <c r="EF95" s="44">
        <v>1</v>
      </c>
      <c r="EG95" s="44">
        <v>0</v>
      </c>
      <c r="EH95" s="44" t="s">
        <v>875</v>
      </c>
      <c r="EI95" s="45">
        <v>0</v>
      </c>
      <c r="EJ95" s="43">
        <f t="shared" si="79"/>
        <v>5000</v>
      </c>
      <c r="EK95" s="69"/>
    </row>
    <row r="96" spans="1:141" x14ac:dyDescent="0.2">
      <c r="A96" s="7" t="str">
        <f t="shared" si="80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IF(IFERROR(INDEX(Consulta!$A:$DP,MATCH('MM01'!$B96,Consulta!$C:$C,0),'MM01'!D$2),"")=0,"",IFERROR(INDEX(Consulta!$A:$DP,MATCH('MM01'!$B96,Consulta!$C:$C,0),'MM01'!D$2),""))</f>
        <v/>
      </c>
      <c r="E96" s="43" t="str">
        <f>IF(IFERROR(INDEX(Consulta!$A:$DP,MATCH('MM01'!$B96,Consulta!$C:$C,0),'MM01'!E$2),"")=0,"",IFERROR(INDEX(Consulta!$A:$DP,MATCH('MM01'!$B96,Consulta!$C:$C,0),'MM01'!E$2),""))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1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2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3"/>
        <v/>
      </c>
      <c r="AV96" s="47" t="s">
        <v>795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4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5"/>
        <v/>
      </c>
      <c r="BC96" s="43" t="str">
        <f t="shared" si="46"/>
        <v/>
      </c>
      <c r="BD96" s="43" t="str">
        <f t="shared" si="47"/>
        <v/>
      </c>
      <c r="BE96" s="43" t="str">
        <f t="shared" si="48"/>
        <v>M</v>
      </c>
      <c r="BF96" s="43" t="str">
        <f t="shared" si="49"/>
        <v/>
      </c>
      <c r="BG96" s="43" t="str">
        <f t="shared" si="50"/>
        <v/>
      </c>
      <c r="BH96" s="43" t="str">
        <f t="shared" si="51"/>
        <v/>
      </c>
      <c r="BI96" s="43" t="str">
        <f t="shared" si="52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>
        <v>99</v>
      </c>
      <c r="BN96" s="46" t="str">
        <f t="shared" ca="1" si="53"/>
        <v>28.04.2022</v>
      </c>
      <c r="BO96" s="49" t="str">
        <f t="shared" si="54"/>
        <v/>
      </c>
      <c r="BP96" s="50">
        <v>1</v>
      </c>
      <c r="BQ96" s="50" t="s">
        <v>194</v>
      </c>
      <c r="BR96" s="79" t="str">
        <f t="shared" si="81"/>
        <v>01</v>
      </c>
      <c r="BS96" s="50" t="s">
        <v>795</v>
      </c>
      <c r="BT96" s="44">
        <v>1</v>
      </c>
      <c r="BU96" s="44" t="s">
        <v>371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391</v>
      </c>
      <c r="BZ96" s="50">
        <v>0</v>
      </c>
      <c r="CA96" s="45" t="s">
        <v>402</v>
      </c>
      <c r="CB96" s="45" t="s">
        <v>84</v>
      </c>
      <c r="CC96" s="43" t="str">
        <f t="shared" si="55"/>
        <v/>
      </c>
      <c r="CD96" s="45" t="s">
        <v>38</v>
      </c>
      <c r="CE96" s="45">
        <v>1</v>
      </c>
      <c r="CF96" s="45" t="s">
        <v>495</v>
      </c>
      <c r="CG96" s="45"/>
      <c r="CH96" s="44">
        <v>2</v>
      </c>
      <c r="CI96" s="49" t="str">
        <f t="shared" si="56"/>
        <v/>
      </c>
      <c r="CJ96" s="49" t="str">
        <f t="shared" si="57"/>
        <v/>
      </c>
      <c r="CK96" s="45"/>
      <c r="CL96" s="44">
        <v>1</v>
      </c>
      <c r="CM96" s="50" t="s">
        <v>514</v>
      </c>
      <c r="CN96" s="44" t="s">
        <v>371</v>
      </c>
      <c r="CO96" s="44">
        <v>2</v>
      </c>
      <c r="CP96" s="44">
        <v>42</v>
      </c>
      <c r="CQ96" s="44">
        <v>10</v>
      </c>
      <c r="CR96" s="43" t="str">
        <f t="shared" si="58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9"/>
        <v/>
      </c>
      <c r="CY96" s="43" t="str">
        <f t="shared" si="60"/>
        <v/>
      </c>
      <c r="CZ96" s="43" t="str">
        <f t="shared" si="61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2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3"/>
        <v/>
      </c>
      <c r="DG96" s="43" t="str">
        <f t="shared" si="64"/>
        <v/>
      </c>
      <c r="DH96" s="57"/>
      <c r="DI96" s="43" t="str">
        <f t="shared" ca="1" si="65"/>
        <v/>
      </c>
      <c r="DJ96" s="43" t="str">
        <f t="shared" si="66"/>
        <v/>
      </c>
      <c r="DK96" s="43" t="str">
        <f t="shared" si="67"/>
        <v/>
      </c>
      <c r="DL96" s="57"/>
      <c r="DM96" s="43" t="str">
        <f t="shared" ca="1" si="68"/>
        <v/>
      </c>
      <c r="DN96" s="43" t="str">
        <f t="shared" si="69"/>
        <v/>
      </c>
      <c r="DO96" s="43" t="str">
        <f t="shared" si="70"/>
        <v/>
      </c>
      <c r="DP96" s="57"/>
      <c r="DQ96" s="43" t="str">
        <f t="shared" ca="1" si="71"/>
        <v/>
      </c>
      <c r="DR96" s="43" t="str">
        <f t="shared" si="72"/>
        <v/>
      </c>
      <c r="DS96" s="43" t="str">
        <f t="shared" si="73"/>
        <v/>
      </c>
      <c r="DT96" s="57"/>
      <c r="DU96" s="43" t="str">
        <f t="shared" ca="1" si="74"/>
        <v/>
      </c>
      <c r="DV96" s="43" t="str">
        <f t="shared" si="75"/>
        <v/>
      </c>
      <c r="DX96" s="44">
        <v>1</v>
      </c>
      <c r="DY96" s="44" t="s">
        <v>773</v>
      </c>
      <c r="DZ96" s="43">
        <f t="shared" si="76"/>
        <v>0.01</v>
      </c>
      <c r="EA96" s="43" t="str">
        <f t="shared" si="77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8"/>
        <v>100</v>
      </c>
      <c r="EF96" s="44">
        <v>1</v>
      </c>
      <c r="EG96" s="44">
        <v>0</v>
      </c>
      <c r="EH96" s="44" t="s">
        <v>875</v>
      </c>
      <c r="EI96" s="45">
        <v>0</v>
      </c>
      <c r="EJ96" s="43">
        <f t="shared" si="79"/>
        <v>5000</v>
      </c>
      <c r="EK96" s="69"/>
    </row>
    <row r="97" spans="1:141" x14ac:dyDescent="0.2">
      <c r="A97" s="7" t="str">
        <f t="shared" si="80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IF(IFERROR(INDEX(Consulta!$A:$DP,MATCH('MM01'!$B97,Consulta!$C:$C,0),'MM01'!D$2),"")=0,"",IFERROR(INDEX(Consulta!$A:$DP,MATCH('MM01'!$B97,Consulta!$C:$C,0),'MM01'!D$2),""))</f>
        <v/>
      </c>
      <c r="E97" s="43" t="str">
        <f>IF(IFERROR(INDEX(Consulta!$A:$DP,MATCH('MM01'!$B97,Consulta!$C:$C,0),'MM01'!E$2),"")=0,"",IFERROR(INDEX(Consulta!$A:$DP,MATCH('MM01'!$B97,Consulta!$C:$C,0),'MM01'!E$2),""))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1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2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3"/>
        <v/>
      </c>
      <c r="AV97" s="47" t="s">
        <v>795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4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5"/>
        <v/>
      </c>
      <c r="BC97" s="43" t="str">
        <f t="shared" si="46"/>
        <v/>
      </c>
      <c r="BD97" s="43" t="str">
        <f t="shared" si="47"/>
        <v/>
      </c>
      <c r="BE97" s="43" t="str">
        <f t="shared" si="48"/>
        <v>M</v>
      </c>
      <c r="BF97" s="43" t="str">
        <f t="shared" si="49"/>
        <v/>
      </c>
      <c r="BG97" s="43" t="str">
        <f t="shared" si="50"/>
        <v/>
      </c>
      <c r="BH97" s="43" t="str">
        <f t="shared" si="51"/>
        <v/>
      </c>
      <c r="BI97" s="43" t="str">
        <f t="shared" si="52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>
        <v>99</v>
      </c>
      <c r="BN97" s="46" t="str">
        <f t="shared" ca="1" si="53"/>
        <v>28.04.2022</v>
      </c>
      <c r="BO97" s="49" t="str">
        <f t="shared" si="54"/>
        <v/>
      </c>
      <c r="BP97" s="50">
        <v>1</v>
      </c>
      <c r="BQ97" s="50" t="s">
        <v>194</v>
      </c>
      <c r="BR97" s="79" t="str">
        <f t="shared" si="81"/>
        <v>01</v>
      </c>
      <c r="BS97" s="50" t="s">
        <v>795</v>
      </c>
      <c r="BT97" s="44">
        <v>1</v>
      </c>
      <c r="BU97" s="44" t="s">
        <v>371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391</v>
      </c>
      <c r="BZ97" s="50">
        <v>0</v>
      </c>
      <c r="CA97" s="45" t="s">
        <v>402</v>
      </c>
      <c r="CB97" s="45" t="s">
        <v>84</v>
      </c>
      <c r="CC97" s="43" t="str">
        <f t="shared" si="55"/>
        <v/>
      </c>
      <c r="CD97" s="45" t="s">
        <v>38</v>
      </c>
      <c r="CE97" s="45">
        <v>1</v>
      </c>
      <c r="CF97" s="45" t="s">
        <v>495</v>
      </c>
      <c r="CG97" s="45"/>
      <c r="CH97" s="44">
        <v>2</v>
      </c>
      <c r="CI97" s="49" t="str">
        <f t="shared" si="56"/>
        <v/>
      </c>
      <c r="CJ97" s="49" t="str">
        <f t="shared" si="57"/>
        <v/>
      </c>
      <c r="CK97" s="45"/>
      <c r="CL97" s="44">
        <v>1</v>
      </c>
      <c r="CM97" s="50" t="s">
        <v>514</v>
      </c>
      <c r="CN97" s="44" t="s">
        <v>371</v>
      </c>
      <c r="CO97" s="44">
        <v>2</v>
      </c>
      <c r="CP97" s="44">
        <v>42</v>
      </c>
      <c r="CQ97" s="44">
        <v>10</v>
      </c>
      <c r="CR97" s="43" t="str">
        <f t="shared" si="58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9"/>
        <v/>
      </c>
      <c r="CY97" s="43" t="str">
        <f t="shared" si="60"/>
        <v/>
      </c>
      <c r="CZ97" s="43" t="str">
        <f t="shared" si="61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2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3"/>
        <v/>
      </c>
      <c r="DG97" s="43" t="str">
        <f t="shared" si="64"/>
        <v/>
      </c>
      <c r="DH97" s="57"/>
      <c r="DI97" s="43" t="str">
        <f t="shared" ca="1" si="65"/>
        <v/>
      </c>
      <c r="DJ97" s="43" t="str">
        <f t="shared" si="66"/>
        <v/>
      </c>
      <c r="DK97" s="43" t="str">
        <f t="shared" si="67"/>
        <v/>
      </c>
      <c r="DL97" s="57"/>
      <c r="DM97" s="43" t="str">
        <f t="shared" ca="1" si="68"/>
        <v/>
      </c>
      <c r="DN97" s="43" t="str">
        <f t="shared" si="69"/>
        <v/>
      </c>
      <c r="DO97" s="43" t="str">
        <f t="shared" si="70"/>
        <v/>
      </c>
      <c r="DP97" s="57"/>
      <c r="DQ97" s="43" t="str">
        <f t="shared" ca="1" si="71"/>
        <v/>
      </c>
      <c r="DR97" s="43" t="str">
        <f t="shared" si="72"/>
        <v/>
      </c>
      <c r="DS97" s="43" t="str">
        <f t="shared" si="73"/>
        <v/>
      </c>
      <c r="DT97" s="57"/>
      <c r="DU97" s="43" t="str">
        <f t="shared" ca="1" si="74"/>
        <v/>
      </c>
      <c r="DV97" s="43" t="str">
        <f t="shared" si="75"/>
        <v/>
      </c>
      <c r="DX97" s="44">
        <v>1</v>
      </c>
      <c r="DY97" s="44" t="s">
        <v>773</v>
      </c>
      <c r="DZ97" s="43">
        <f t="shared" si="76"/>
        <v>0.01</v>
      </c>
      <c r="EA97" s="43" t="str">
        <f t="shared" si="77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8"/>
        <v>100</v>
      </c>
      <c r="EF97" s="44">
        <v>1</v>
      </c>
      <c r="EG97" s="44">
        <v>0</v>
      </c>
      <c r="EH97" s="44" t="s">
        <v>875</v>
      </c>
      <c r="EI97" s="45">
        <v>0</v>
      </c>
      <c r="EJ97" s="43">
        <f t="shared" si="79"/>
        <v>5000</v>
      </c>
      <c r="EK97" s="69"/>
    </row>
    <row r="98" spans="1:141" x14ac:dyDescent="0.2">
      <c r="A98" s="7" t="str">
        <f t="shared" si="80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IF(IFERROR(INDEX(Consulta!$A:$DP,MATCH('MM01'!$B98,Consulta!$C:$C,0),'MM01'!D$2),"")=0,"",IFERROR(INDEX(Consulta!$A:$DP,MATCH('MM01'!$B98,Consulta!$C:$C,0),'MM01'!D$2),""))</f>
        <v/>
      </c>
      <c r="E98" s="43" t="str">
        <f>IF(IFERROR(INDEX(Consulta!$A:$DP,MATCH('MM01'!$B98,Consulta!$C:$C,0),'MM01'!E$2),"")=0,"",IFERROR(INDEX(Consulta!$A:$DP,MATCH('MM01'!$B98,Consulta!$C:$C,0),'MM01'!E$2),""))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1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2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3"/>
        <v/>
      </c>
      <c r="AV98" s="47" t="s">
        <v>795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4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5"/>
        <v/>
      </c>
      <c r="BC98" s="43" t="str">
        <f t="shared" si="46"/>
        <v/>
      </c>
      <c r="BD98" s="43" t="str">
        <f t="shared" si="47"/>
        <v/>
      </c>
      <c r="BE98" s="43" t="str">
        <f t="shared" si="48"/>
        <v>M</v>
      </c>
      <c r="BF98" s="43" t="str">
        <f t="shared" si="49"/>
        <v/>
      </c>
      <c r="BG98" s="43" t="str">
        <f t="shared" si="50"/>
        <v/>
      </c>
      <c r="BH98" s="43" t="str">
        <f t="shared" si="51"/>
        <v/>
      </c>
      <c r="BI98" s="43" t="str">
        <f t="shared" si="52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>
        <v>99</v>
      </c>
      <c r="BN98" s="46" t="str">
        <f t="shared" ca="1" si="53"/>
        <v>28.04.2022</v>
      </c>
      <c r="BO98" s="49" t="str">
        <f t="shared" si="54"/>
        <v/>
      </c>
      <c r="BP98" s="50">
        <v>1</v>
      </c>
      <c r="BQ98" s="50" t="s">
        <v>194</v>
      </c>
      <c r="BR98" s="79" t="str">
        <f t="shared" si="81"/>
        <v>01</v>
      </c>
      <c r="BS98" s="50" t="s">
        <v>795</v>
      </c>
      <c r="BT98" s="44">
        <v>1</v>
      </c>
      <c r="BU98" s="44" t="s">
        <v>371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391</v>
      </c>
      <c r="BZ98" s="50">
        <v>0</v>
      </c>
      <c r="CA98" s="45" t="s">
        <v>402</v>
      </c>
      <c r="CB98" s="45" t="s">
        <v>84</v>
      </c>
      <c r="CC98" s="43" t="str">
        <f t="shared" si="55"/>
        <v/>
      </c>
      <c r="CD98" s="45" t="s">
        <v>38</v>
      </c>
      <c r="CE98" s="45">
        <v>1</v>
      </c>
      <c r="CF98" s="45" t="s">
        <v>495</v>
      </c>
      <c r="CG98" s="45"/>
      <c r="CH98" s="44">
        <v>2</v>
      </c>
      <c r="CI98" s="49" t="str">
        <f t="shared" si="56"/>
        <v/>
      </c>
      <c r="CJ98" s="49" t="str">
        <f t="shared" si="57"/>
        <v/>
      </c>
      <c r="CK98" s="45"/>
      <c r="CL98" s="44">
        <v>1</v>
      </c>
      <c r="CM98" s="50" t="s">
        <v>514</v>
      </c>
      <c r="CN98" s="44" t="s">
        <v>371</v>
      </c>
      <c r="CO98" s="44">
        <v>2</v>
      </c>
      <c r="CP98" s="44">
        <v>42</v>
      </c>
      <c r="CQ98" s="44">
        <v>10</v>
      </c>
      <c r="CR98" s="43" t="str">
        <f t="shared" si="58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9"/>
        <v/>
      </c>
      <c r="CY98" s="43" t="str">
        <f t="shared" si="60"/>
        <v/>
      </c>
      <c r="CZ98" s="43" t="str">
        <f t="shared" si="61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2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3"/>
        <v/>
      </c>
      <c r="DG98" s="43" t="str">
        <f t="shared" si="64"/>
        <v/>
      </c>
      <c r="DH98" s="57"/>
      <c r="DI98" s="43" t="str">
        <f t="shared" ca="1" si="65"/>
        <v/>
      </c>
      <c r="DJ98" s="43" t="str">
        <f t="shared" si="66"/>
        <v/>
      </c>
      <c r="DK98" s="43" t="str">
        <f t="shared" si="67"/>
        <v/>
      </c>
      <c r="DL98" s="57"/>
      <c r="DM98" s="43" t="str">
        <f t="shared" ca="1" si="68"/>
        <v/>
      </c>
      <c r="DN98" s="43" t="str">
        <f t="shared" si="69"/>
        <v/>
      </c>
      <c r="DO98" s="43" t="str">
        <f t="shared" si="70"/>
        <v/>
      </c>
      <c r="DP98" s="57"/>
      <c r="DQ98" s="43" t="str">
        <f t="shared" ca="1" si="71"/>
        <v/>
      </c>
      <c r="DR98" s="43" t="str">
        <f t="shared" si="72"/>
        <v/>
      </c>
      <c r="DS98" s="43" t="str">
        <f t="shared" si="73"/>
        <v/>
      </c>
      <c r="DT98" s="57"/>
      <c r="DU98" s="43" t="str">
        <f t="shared" ca="1" si="74"/>
        <v/>
      </c>
      <c r="DV98" s="43" t="str">
        <f t="shared" si="75"/>
        <v/>
      </c>
      <c r="DX98" s="44">
        <v>1</v>
      </c>
      <c r="DY98" s="44" t="s">
        <v>773</v>
      </c>
      <c r="DZ98" s="43">
        <f t="shared" si="76"/>
        <v>0.01</v>
      </c>
      <c r="EA98" s="43" t="str">
        <f t="shared" si="77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8"/>
        <v>100</v>
      </c>
      <c r="EF98" s="44">
        <v>1</v>
      </c>
      <c r="EG98" s="44">
        <v>0</v>
      </c>
      <c r="EH98" s="44" t="s">
        <v>875</v>
      </c>
      <c r="EI98" s="45">
        <v>0</v>
      </c>
      <c r="EJ98" s="43">
        <f t="shared" si="79"/>
        <v>5000</v>
      </c>
      <c r="EK98" s="69"/>
    </row>
    <row r="99" spans="1:141" x14ac:dyDescent="0.2">
      <c r="A99" s="7" t="str">
        <f t="shared" si="80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IF(IFERROR(INDEX(Consulta!$A:$DP,MATCH('MM01'!$B99,Consulta!$C:$C,0),'MM01'!D$2),"")=0,"",IFERROR(INDEX(Consulta!$A:$DP,MATCH('MM01'!$B99,Consulta!$C:$C,0),'MM01'!D$2),""))</f>
        <v/>
      </c>
      <c r="E99" s="43" t="str">
        <f>IF(IFERROR(INDEX(Consulta!$A:$DP,MATCH('MM01'!$B99,Consulta!$C:$C,0),'MM01'!E$2),"")=0,"",IFERROR(INDEX(Consulta!$A:$DP,MATCH('MM01'!$B99,Consulta!$C:$C,0),'MM01'!E$2),""))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1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2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3"/>
        <v/>
      </c>
      <c r="AV99" s="47" t="s">
        <v>795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4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5"/>
        <v/>
      </c>
      <c r="BC99" s="43" t="str">
        <f t="shared" si="46"/>
        <v/>
      </c>
      <c r="BD99" s="43" t="str">
        <f t="shared" si="47"/>
        <v/>
      </c>
      <c r="BE99" s="43" t="str">
        <f t="shared" si="48"/>
        <v>M</v>
      </c>
      <c r="BF99" s="43" t="str">
        <f t="shared" si="49"/>
        <v/>
      </c>
      <c r="BG99" s="43" t="str">
        <f t="shared" si="50"/>
        <v/>
      </c>
      <c r="BH99" s="43" t="str">
        <f t="shared" si="51"/>
        <v/>
      </c>
      <c r="BI99" s="43" t="str">
        <f t="shared" si="52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>
        <v>99</v>
      </c>
      <c r="BN99" s="46" t="str">
        <f t="shared" ca="1" si="53"/>
        <v>28.04.2022</v>
      </c>
      <c r="BO99" s="49" t="str">
        <f t="shared" si="54"/>
        <v/>
      </c>
      <c r="BP99" s="50">
        <v>1</v>
      </c>
      <c r="BQ99" s="50" t="s">
        <v>194</v>
      </c>
      <c r="BR99" s="79" t="str">
        <f t="shared" si="81"/>
        <v>01</v>
      </c>
      <c r="BS99" s="50" t="s">
        <v>795</v>
      </c>
      <c r="BT99" s="44">
        <v>1</v>
      </c>
      <c r="BU99" s="44" t="s">
        <v>371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391</v>
      </c>
      <c r="BZ99" s="50">
        <v>0</v>
      </c>
      <c r="CA99" s="45" t="s">
        <v>402</v>
      </c>
      <c r="CB99" s="45" t="s">
        <v>84</v>
      </c>
      <c r="CC99" s="43" t="str">
        <f t="shared" si="55"/>
        <v/>
      </c>
      <c r="CD99" s="45" t="s">
        <v>38</v>
      </c>
      <c r="CE99" s="45">
        <v>1</v>
      </c>
      <c r="CF99" s="45" t="s">
        <v>495</v>
      </c>
      <c r="CG99" s="45"/>
      <c r="CH99" s="44">
        <v>2</v>
      </c>
      <c r="CI99" s="49" t="str">
        <f t="shared" si="56"/>
        <v/>
      </c>
      <c r="CJ99" s="49" t="str">
        <f t="shared" si="57"/>
        <v/>
      </c>
      <c r="CK99" s="45"/>
      <c r="CL99" s="44">
        <v>1</v>
      </c>
      <c r="CM99" s="50" t="s">
        <v>514</v>
      </c>
      <c r="CN99" s="44" t="s">
        <v>371</v>
      </c>
      <c r="CO99" s="44">
        <v>2</v>
      </c>
      <c r="CP99" s="44">
        <v>42</v>
      </c>
      <c r="CQ99" s="44">
        <v>10</v>
      </c>
      <c r="CR99" s="43" t="str">
        <f t="shared" si="58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9"/>
        <v/>
      </c>
      <c r="CY99" s="43" t="str">
        <f t="shared" si="60"/>
        <v/>
      </c>
      <c r="CZ99" s="43" t="str">
        <f t="shared" si="61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2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3"/>
        <v/>
      </c>
      <c r="DG99" s="43" t="str">
        <f t="shared" si="64"/>
        <v/>
      </c>
      <c r="DH99" s="57"/>
      <c r="DI99" s="43" t="str">
        <f t="shared" ca="1" si="65"/>
        <v/>
      </c>
      <c r="DJ99" s="43" t="str">
        <f t="shared" si="66"/>
        <v/>
      </c>
      <c r="DK99" s="43" t="str">
        <f t="shared" si="67"/>
        <v/>
      </c>
      <c r="DL99" s="57"/>
      <c r="DM99" s="43" t="str">
        <f t="shared" ca="1" si="68"/>
        <v/>
      </c>
      <c r="DN99" s="43" t="str">
        <f t="shared" si="69"/>
        <v/>
      </c>
      <c r="DO99" s="43" t="str">
        <f t="shared" si="70"/>
        <v/>
      </c>
      <c r="DP99" s="57"/>
      <c r="DQ99" s="43" t="str">
        <f t="shared" ca="1" si="71"/>
        <v/>
      </c>
      <c r="DR99" s="43" t="str">
        <f t="shared" si="72"/>
        <v/>
      </c>
      <c r="DS99" s="43" t="str">
        <f t="shared" si="73"/>
        <v/>
      </c>
      <c r="DT99" s="57"/>
      <c r="DU99" s="43" t="str">
        <f t="shared" ca="1" si="74"/>
        <v/>
      </c>
      <c r="DV99" s="43" t="str">
        <f t="shared" si="75"/>
        <v/>
      </c>
      <c r="DX99" s="44">
        <v>1</v>
      </c>
      <c r="DY99" s="44" t="s">
        <v>773</v>
      </c>
      <c r="DZ99" s="43">
        <f t="shared" si="76"/>
        <v>0.01</v>
      </c>
      <c r="EA99" s="43" t="str">
        <f t="shared" si="77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8"/>
        <v>100</v>
      </c>
      <c r="EF99" s="44">
        <v>1</v>
      </c>
      <c r="EG99" s="44">
        <v>0</v>
      </c>
      <c r="EH99" s="44" t="s">
        <v>875</v>
      </c>
      <c r="EI99" s="45">
        <v>0</v>
      </c>
      <c r="EJ99" s="43">
        <f t="shared" si="79"/>
        <v>5000</v>
      </c>
      <c r="EK99" s="69"/>
    </row>
    <row r="100" spans="1:141" x14ac:dyDescent="0.2">
      <c r="A100" s="7" t="str">
        <f t="shared" si="80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IF(IFERROR(INDEX(Consulta!$A:$DP,MATCH('MM01'!$B100,Consulta!$C:$C,0),'MM01'!D$2),"")=0,"",IFERROR(INDEX(Consulta!$A:$DP,MATCH('MM01'!$B100,Consulta!$C:$C,0),'MM01'!D$2),""))</f>
        <v/>
      </c>
      <c r="E100" s="43" t="str">
        <f>IF(IFERROR(INDEX(Consulta!$A:$DP,MATCH('MM01'!$B100,Consulta!$C:$C,0),'MM01'!E$2),"")=0,"",IFERROR(INDEX(Consulta!$A:$DP,MATCH('MM01'!$B100,Consulta!$C:$C,0),'MM01'!E$2),""))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1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2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3"/>
        <v/>
      </c>
      <c r="AV100" s="47" t="s">
        <v>795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4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5"/>
        <v/>
      </c>
      <c r="BC100" s="43" t="str">
        <f t="shared" si="46"/>
        <v/>
      </c>
      <c r="BD100" s="43" t="str">
        <f t="shared" si="47"/>
        <v/>
      </c>
      <c r="BE100" s="43" t="str">
        <f t="shared" si="48"/>
        <v>M</v>
      </c>
      <c r="BF100" s="43" t="str">
        <f t="shared" si="49"/>
        <v/>
      </c>
      <c r="BG100" s="43" t="str">
        <f t="shared" si="50"/>
        <v/>
      </c>
      <c r="BH100" s="43" t="str">
        <f t="shared" si="51"/>
        <v/>
      </c>
      <c r="BI100" s="43" t="str">
        <f t="shared" si="52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>
        <v>99</v>
      </c>
      <c r="BN100" s="46" t="str">
        <f t="shared" ca="1" si="53"/>
        <v>28.04.2022</v>
      </c>
      <c r="BO100" s="49" t="str">
        <f t="shared" si="54"/>
        <v/>
      </c>
      <c r="BP100" s="50">
        <v>1</v>
      </c>
      <c r="BQ100" s="50" t="s">
        <v>194</v>
      </c>
      <c r="BR100" s="79" t="str">
        <f t="shared" si="81"/>
        <v>01</v>
      </c>
      <c r="BS100" s="50" t="s">
        <v>795</v>
      </c>
      <c r="BT100" s="44">
        <v>1</v>
      </c>
      <c r="BU100" s="44" t="s">
        <v>371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391</v>
      </c>
      <c r="BZ100" s="50">
        <v>0</v>
      </c>
      <c r="CA100" s="45" t="s">
        <v>402</v>
      </c>
      <c r="CB100" s="45" t="s">
        <v>84</v>
      </c>
      <c r="CC100" s="43" t="str">
        <f t="shared" si="55"/>
        <v/>
      </c>
      <c r="CD100" s="45" t="s">
        <v>38</v>
      </c>
      <c r="CE100" s="45">
        <v>1</v>
      </c>
      <c r="CF100" s="45" t="s">
        <v>495</v>
      </c>
      <c r="CG100" s="45"/>
      <c r="CH100" s="44">
        <v>2</v>
      </c>
      <c r="CI100" s="49" t="str">
        <f t="shared" si="56"/>
        <v/>
      </c>
      <c r="CJ100" s="49" t="str">
        <f t="shared" si="57"/>
        <v/>
      </c>
      <c r="CK100" s="45"/>
      <c r="CL100" s="44">
        <v>1</v>
      </c>
      <c r="CM100" s="50" t="s">
        <v>514</v>
      </c>
      <c r="CN100" s="44" t="s">
        <v>371</v>
      </c>
      <c r="CO100" s="44">
        <v>2</v>
      </c>
      <c r="CP100" s="44">
        <v>42</v>
      </c>
      <c r="CQ100" s="44">
        <v>10</v>
      </c>
      <c r="CR100" s="43" t="str">
        <f t="shared" si="58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9"/>
        <v/>
      </c>
      <c r="CY100" s="43" t="str">
        <f t="shared" si="60"/>
        <v/>
      </c>
      <c r="CZ100" s="43" t="str">
        <f t="shared" si="61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2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3"/>
        <v/>
      </c>
      <c r="DG100" s="43" t="str">
        <f t="shared" si="64"/>
        <v/>
      </c>
      <c r="DH100" s="57"/>
      <c r="DI100" s="43" t="str">
        <f t="shared" ca="1" si="65"/>
        <v/>
      </c>
      <c r="DJ100" s="43" t="str">
        <f t="shared" si="66"/>
        <v/>
      </c>
      <c r="DK100" s="43" t="str">
        <f t="shared" si="67"/>
        <v/>
      </c>
      <c r="DL100" s="57"/>
      <c r="DM100" s="43" t="str">
        <f t="shared" ca="1" si="68"/>
        <v/>
      </c>
      <c r="DN100" s="43" t="str">
        <f t="shared" si="69"/>
        <v/>
      </c>
      <c r="DO100" s="43" t="str">
        <f t="shared" si="70"/>
        <v/>
      </c>
      <c r="DP100" s="57"/>
      <c r="DQ100" s="43" t="str">
        <f t="shared" ca="1" si="71"/>
        <v/>
      </c>
      <c r="DR100" s="43" t="str">
        <f t="shared" si="72"/>
        <v/>
      </c>
      <c r="DS100" s="43" t="str">
        <f t="shared" si="73"/>
        <v/>
      </c>
      <c r="DT100" s="57"/>
      <c r="DU100" s="43" t="str">
        <f t="shared" ca="1" si="74"/>
        <v/>
      </c>
      <c r="DV100" s="43" t="str">
        <f t="shared" si="75"/>
        <v/>
      </c>
      <c r="DX100" s="44">
        <v>1</v>
      </c>
      <c r="DY100" s="44" t="s">
        <v>773</v>
      </c>
      <c r="DZ100" s="43">
        <f t="shared" si="76"/>
        <v>0.01</v>
      </c>
      <c r="EA100" s="43" t="str">
        <f t="shared" si="77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8"/>
        <v>100</v>
      </c>
      <c r="EF100" s="44">
        <v>1</v>
      </c>
      <c r="EG100" s="44">
        <v>0</v>
      </c>
      <c r="EH100" s="44" t="s">
        <v>875</v>
      </c>
      <c r="EI100" s="45">
        <v>0</v>
      </c>
      <c r="EJ100" s="43">
        <f t="shared" si="79"/>
        <v>5000</v>
      </c>
      <c r="EK100" s="69"/>
    </row>
    <row r="101" spans="1:141" x14ac:dyDescent="0.2">
      <c r="A101" s="7" t="str">
        <f t="shared" si="80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IF(IFERROR(INDEX(Consulta!$A:$DP,MATCH('MM01'!$B101,Consulta!$C:$C,0),'MM01'!D$2),"")=0,"",IFERROR(INDEX(Consulta!$A:$DP,MATCH('MM01'!$B101,Consulta!$C:$C,0),'MM01'!D$2),""))</f>
        <v/>
      </c>
      <c r="E101" s="43" t="str">
        <f>IF(IFERROR(INDEX(Consulta!$A:$DP,MATCH('MM01'!$B101,Consulta!$C:$C,0),'MM01'!E$2),"")=0,"",IFERROR(INDEX(Consulta!$A:$DP,MATCH('MM01'!$B101,Consulta!$C:$C,0),'MM01'!E$2),""))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1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2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3"/>
        <v/>
      </c>
      <c r="AV101" s="47" t="s">
        <v>795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4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5"/>
        <v/>
      </c>
      <c r="BC101" s="43" t="str">
        <f t="shared" si="46"/>
        <v/>
      </c>
      <c r="BD101" s="43" t="str">
        <f t="shared" si="47"/>
        <v/>
      </c>
      <c r="BE101" s="43" t="str">
        <f t="shared" si="48"/>
        <v>M</v>
      </c>
      <c r="BF101" s="43" t="str">
        <f t="shared" si="49"/>
        <v/>
      </c>
      <c r="BG101" s="43" t="str">
        <f t="shared" si="50"/>
        <v/>
      </c>
      <c r="BH101" s="43" t="str">
        <f t="shared" si="51"/>
        <v/>
      </c>
      <c r="BI101" s="43" t="str">
        <f t="shared" si="52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>
        <v>99</v>
      </c>
      <c r="BN101" s="46" t="str">
        <f t="shared" ca="1" si="53"/>
        <v>28.04.2022</v>
      </c>
      <c r="BO101" s="49" t="str">
        <f t="shared" si="54"/>
        <v/>
      </c>
      <c r="BP101" s="50">
        <v>1</v>
      </c>
      <c r="BQ101" s="50" t="s">
        <v>194</v>
      </c>
      <c r="BR101" s="79" t="str">
        <f t="shared" si="81"/>
        <v>01</v>
      </c>
      <c r="BS101" s="50" t="s">
        <v>795</v>
      </c>
      <c r="BT101" s="44">
        <v>1</v>
      </c>
      <c r="BU101" s="44" t="s">
        <v>371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391</v>
      </c>
      <c r="BZ101" s="50">
        <v>0</v>
      </c>
      <c r="CA101" s="45" t="s">
        <v>402</v>
      </c>
      <c r="CB101" s="45" t="s">
        <v>84</v>
      </c>
      <c r="CC101" s="43" t="str">
        <f t="shared" si="55"/>
        <v/>
      </c>
      <c r="CD101" s="45" t="s">
        <v>38</v>
      </c>
      <c r="CE101" s="45">
        <v>1</v>
      </c>
      <c r="CF101" s="45" t="s">
        <v>495</v>
      </c>
      <c r="CG101" s="45"/>
      <c r="CH101" s="44">
        <v>2</v>
      </c>
      <c r="CI101" s="49" t="str">
        <f t="shared" si="56"/>
        <v/>
      </c>
      <c r="CJ101" s="49" t="str">
        <f t="shared" si="57"/>
        <v/>
      </c>
      <c r="CK101" s="45"/>
      <c r="CL101" s="44">
        <v>1</v>
      </c>
      <c r="CM101" s="50" t="s">
        <v>514</v>
      </c>
      <c r="CN101" s="44" t="s">
        <v>371</v>
      </c>
      <c r="CO101" s="44">
        <v>2</v>
      </c>
      <c r="CP101" s="44">
        <v>42</v>
      </c>
      <c r="CQ101" s="44">
        <v>10</v>
      </c>
      <c r="CR101" s="43" t="str">
        <f t="shared" si="58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9"/>
        <v/>
      </c>
      <c r="CY101" s="43" t="str">
        <f t="shared" si="60"/>
        <v/>
      </c>
      <c r="CZ101" s="43" t="str">
        <f t="shared" si="61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2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3"/>
        <v/>
      </c>
      <c r="DG101" s="43" t="str">
        <f t="shared" si="64"/>
        <v/>
      </c>
      <c r="DH101" s="57"/>
      <c r="DI101" s="43" t="str">
        <f t="shared" ca="1" si="65"/>
        <v/>
      </c>
      <c r="DJ101" s="43" t="str">
        <f t="shared" si="66"/>
        <v/>
      </c>
      <c r="DK101" s="43" t="str">
        <f t="shared" si="67"/>
        <v/>
      </c>
      <c r="DL101" s="57"/>
      <c r="DM101" s="43" t="str">
        <f t="shared" ca="1" si="68"/>
        <v/>
      </c>
      <c r="DN101" s="43" t="str">
        <f t="shared" si="69"/>
        <v/>
      </c>
      <c r="DO101" s="43" t="str">
        <f t="shared" si="70"/>
        <v/>
      </c>
      <c r="DP101" s="57"/>
      <c r="DQ101" s="43" t="str">
        <f t="shared" ca="1" si="71"/>
        <v/>
      </c>
      <c r="DR101" s="43" t="str">
        <f t="shared" si="72"/>
        <v/>
      </c>
      <c r="DS101" s="43" t="str">
        <f t="shared" si="73"/>
        <v/>
      </c>
      <c r="DT101" s="57"/>
      <c r="DU101" s="43" t="str">
        <f t="shared" ca="1" si="74"/>
        <v/>
      </c>
      <c r="DV101" s="43" t="str">
        <f t="shared" si="75"/>
        <v/>
      </c>
      <c r="DX101" s="44">
        <v>1</v>
      </c>
      <c r="DY101" s="44" t="s">
        <v>773</v>
      </c>
      <c r="DZ101" s="43">
        <f t="shared" si="76"/>
        <v>0.01</v>
      </c>
      <c r="EA101" s="43" t="str">
        <f t="shared" si="77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8"/>
        <v>100</v>
      </c>
      <c r="EF101" s="44">
        <v>1</v>
      </c>
      <c r="EG101" s="44">
        <v>0</v>
      </c>
      <c r="EH101" s="44" t="s">
        <v>875</v>
      </c>
      <c r="EI101" s="45">
        <v>0</v>
      </c>
      <c r="EJ101" s="43">
        <f t="shared" si="79"/>
        <v>5000</v>
      </c>
      <c r="EK101" s="69"/>
    </row>
    <row r="102" spans="1:141" x14ac:dyDescent="0.2">
      <c r="A102" s="7" t="str">
        <f t="shared" si="80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IF(IFERROR(INDEX(Consulta!$A:$DP,MATCH('MM01'!$B102,Consulta!$C:$C,0),'MM01'!D$2),"")=0,"",IFERROR(INDEX(Consulta!$A:$DP,MATCH('MM01'!$B102,Consulta!$C:$C,0),'MM01'!D$2),""))</f>
        <v/>
      </c>
      <c r="E102" s="43" t="str">
        <f>IF(IFERROR(INDEX(Consulta!$A:$DP,MATCH('MM01'!$B102,Consulta!$C:$C,0),'MM01'!E$2),"")=0,"",IFERROR(INDEX(Consulta!$A:$DP,MATCH('MM01'!$B102,Consulta!$C:$C,0),'MM01'!E$2),""))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1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2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3"/>
        <v/>
      </c>
      <c r="AV102" s="47" t="s">
        <v>795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4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5"/>
        <v/>
      </c>
      <c r="BC102" s="43" t="str">
        <f t="shared" si="46"/>
        <v/>
      </c>
      <c r="BD102" s="43" t="str">
        <f t="shared" si="47"/>
        <v/>
      </c>
      <c r="BE102" s="43" t="str">
        <f t="shared" si="48"/>
        <v>M</v>
      </c>
      <c r="BF102" s="43" t="str">
        <f t="shared" si="49"/>
        <v/>
      </c>
      <c r="BG102" s="43" t="str">
        <f t="shared" si="50"/>
        <v/>
      </c>
      <c r="BH102" s="43" t="str">
        <f t="shared" si="51"/>
        <v/>
      </c>
      <c r="BI102" s="43" t="str">
        <f t="shared" si="52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>
        <v>99</v>
      </c>
      <c r="BN102" s="46" t="str">
        <f t="shared" ca="1" si="53"/>
        <v>28.04.2022</v>
      </c>
      <c r="BO102" s="49" t="str">
        <f t="shared" si="54"/>
        <v/>
      </c>
      <c r="BP102" s="50">
        <v>1</v>
      </c>
      <c r="BQ102" s="50" t="s">
        <v>194</v>
      </c>
      <c r="BR102" s="79" t="str">
        <f t="shared" si="81"/>
        <v>01</v>
      </c>
      <c r="BS102" s="50" t="s">
        <v>795</v>
      </c>
      <c r="BT102" s="44">
        <v>1</v>
      </c>
      <c r="BU102" s="44" t="s">
        <v>371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391</v>
      </c>
      <c r="BZ102" s="50">
        <v>0</v>
      </c>
      <c r="CA102" s="45" t="s">
        <v>402</v>
      </c>
      <c r="CB102" s="45" t="s">
        <v>84</v>
      </c>
      <c r="CC102" s="43" t="str">
        <f t="shared" si="55"/>
        <v/>
      </c>
      <c r="CD102" s="45" t="s">
        <v>38</v>
      </c>
      <c r="CE102" s="45">
        <v>1</v>
      </c>
      <c r="CF102" s="45" t="s">
        <v>495</v>
      </c>
      <c r="CG102" s="45"/>
      <c r="CH102" s="44">
        <v>2</v>
      </c>
      <c r="CI102" s="49" t="str">
        <f t="shared" si="56"/>
        <v/>
      </c>
      <c r="CJ102" s="49" t="str">
        <f t="shared" si="57"/>
        <v/>
      </c>
      <c r="CK102" s="45"/>
      <c r="CL102" s="44">
        <v>1</v>
      </c>
      <c r="CM102" s="50" t="s">
        <v>514</v>
      </c>
      <c r="CN102" s="44" t="s">
        <v>371</v>
      </c>
      <c r="CO102" s="44">
        <v>2</v>
      </c>
      <c r="CP102" s="44">
        <v>42</v>
      </c>
      <c r="CQ102" s="44">
        <v>10</v>
      </c>
      <c r="CR102" s="43" t="str">
        <f t="shared" si="58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9"/>
        <v/>
      </c>
      <c r="CY102" s="43" t="str">
        <f t="shared" si="60"/>
        <v/>
      </c>
      <c r="CZ102" s="43" t="str">
        <f t="shared" si="61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2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3"/>
        <v/>
      </c>
      <c r="DG102" s="43" t="str">
        <f t="shared" si="64"/>
        <v/>
      </c>
      <c r="DH102" s="57"/>
      <c r="DI102" s="43" t="str">
        <f t="shared" ca="1" si="65"/>
        <v/>
      </c>
      <c r="DJ102" s="43" t="str">
        <f t="shared" si="66"/>
        <v/>
      </c>
      <c r="DK102" s="43" t="str">
        <f t="shared" si="67"/>
        <v/>
      </c>
      <c r="DL102" s="57"/>
      <c r="DM102" s="43" t="str">
        <f t="shared" ca="1" si="68"/>
        <v/>
      </c>
      <c r="DN102" s="43" t="str">
        <f t="shared" si="69"/>
        <v/>
      </c>
      <c r="DO102" s="43" t="str">
        <f t="shared" si="70"/>
        <v/>
      </c>
      <c r="DP102" s="57"/>
      <c r="DQ102" s="43" t="str">
        <f t="shared" ca="1" si="71"/>
        <v/>
      </c>
      <c r="DR102" s="43" t="str">
        <f t="shared" si="72"/>
        <v/>
      </c>
      <c r="DS102" s="43" t="str">
        <f t="shared" si="73"/>
        <v/>
      </c>
      <c r="DT102" s="57"/>
      <c r="DU102" s="43" t="str">
        <f t="shared" ca="1" si="74"/>
        <v/>
      </c>
      <c r="DV102" s="43" t="str">
        <f t="shared" si="75"/>
        <v/>
      </c>
      <c r="DX102" s="44">
        <v>1</v>
      </c>
      <c r="DY102" s="44" t="s">
        <v>773</v>
      </c>
      <c r="DZ102" s="43">
        <f t="shared" si="76"/>
        <v>0.01</v>
      </c>
      <c r="EA102" s="43" t="str">
        <f t="shared" si="77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8"/>
        <v>100</v>
      </c>
      <c r="EF102" s="44">
        <v>1</v>
      </c>
      <c r="EG102" s="44">
        <v>0</v>
      </c>
      <c r="EH102" s="44" t="s">
        <v>875</v>
      </c>
      <c r="EI102" s="45">
        <v>0</v>
      </c>
      <c r="EJ102" s="43">
        <f t="shared" si="79"/>
        <v>5000</v>
      </c>
      <c r="EK102" s="69"/>
    </row>
    <row r="103" spans="1:141" x14ac:dyDescent="0.2">
      <c r="A103" s="7" t="str">
        <f t="shared" si="80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IF(IFERROR(INDEX(Consulta!$A:$DP,MATCH('MM01'!$B103,Consulta!$C:$C,0),'MM01'!D$2),"")=0,"",IFERROR(INDEX(Consulta!$A:$DP,MATCH('MM01'!$B103,Consulta!$C:$C,0),'MM01'!D$2),""))</f>
        <v/>
      </c>
      <c r="E103" s="43" t="str">
        <f>IF(IFERROR(INDEX(Consulta!$A:$DP,MATCH('MM01'!$B103,Consulta!$C:$C,0),'MM01'!E$2),"")=0,"",IFERROR(INDEX(Consulta!$A:$DP,MATCH('MM01'!$B103,Consulta!$C:$C,0),'MM01'!E$2),""))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1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2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3"/>
        <v/>
      </c>
      <c r="AV103" s="47" t="s">
        <v>795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4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5"/>
        <v/>
      </c>
      <c r="BC103" s="43" t="str">
        <f t="shared" si="46"/>
        <v/>
      </c>
      <c r="BD103" s="43" t="str">
        <f t="shared" si="47"/>
        <v/>
      </c>
      <c r="BE103" s="43" t="str">
        <f t="shared" si="48"/>
        <v>M</v>
      </c>
      <c r="BF103" s="43" t="str">
        <f t="shared" si="49"/>
        <v/>
      </c>
      <c r="BG103" s="43" t="str">
        <f t="shared" si="50"/>
        <v/>
      </c>
      <c r="BH103" s="43" t="str">
        <f t="shared" si="51"/>
        <v/>
      </c>
      <c r="BI103" s="43" t="str">
        <f t="shared" si="52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>
        <v>99</v>
      </c>
      <c r="BN103" s="46" t="str">
        <f t="shared" ca="1" si="53"/>
        <v>28.04.2022</v>
      </c>
      <c r="BO103" s="49" t="str">
        <f t="shared" si="54"/>
        <v/>
      </c>
      <c r="BP103" s="50">
        <v>1</v>
      </c>
      <c r="BQ103" s="50" t="s">
        <v>194</v>
      </c>
      <c r="BR103" s="79" t="str">
        <f t="shared" si="81"/>
        <v>01</v>
      </c>
      <c r="BS103" s="50" t="s">
        <v>795</v>
      </c>
      <c r="BT103" s="44">
        <v>1</v>
      </c>
      <c r="BU103" s="44" t="s">
        <v>371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391</v>
      </c>
      <c r="BZ103" s="50">
        <v>0</v>
      </c>
      <c r="CA103" s="45" t="s">
        <v>402</v>
      </c>
      <c r="CB103" s="45" t="s">
        <v>84</v>
      </c>
      <c r="CC103" s="43" t="str">
        <f t="shared" si="55"/>
        <v/>
      </c>
      <c r="CD103" s="45" t="s">
        <v>38</v>
      </c>
      <c r="CE103" s="45">
        <v>1</v>
      </c>
      <c r="CF103" s="45" t="s">
        <v>495</v>
      </c>
      <c r="CG103" s="45"/>
      <c r="CH103" s="44">
        <v>2</v>
      </c>
      <c r="CI103" s="49" t="str">
        <f t="shared" si="56"/>
        <v/>
      </c>
      <c r="CJ103" s="49" t="str">
        <f t="shared" si="57"/>
        <v/>
      </c>
      <c r="CK103" s="45"/>
      <c r="CL103" s="44">
        <v>1</v>
      </c>
      <c r="CM103" s="50" t="s">
        <v>514</v>
      </c>
      <c r="CN103" s="44" t="s">
        <v>371</v>
      </c>
      <c r="CO103" s="44">
        <v>2</v>
      </c>
      <c r="CP103" s="44">
        <v>42</v>
      </c>
      <c r="CQ103" s="44">
        <v>10</v>
      </c>
      <c r="CR103" s="43" t="str">
        <f t="shared" si="58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9"/>
        <v/>
      </c>
      <c r="CY103" s="43" t="str">
        <f t="shared" si="60"/>
        <v/>
      </c>
      <c r="CZ103" s="43" t="str">
        <f t="shared" si="61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2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3"/>
        <v/>
      </c>
      <c r="DG103" s="43" t="str">
        <f t="shared" si="64"/>
        <v/>
      </c>
      <c r="DH103" s="57"/>
      <c r="DI103" s="43" t="str">
        <f t="shared" ca="1" si="65"/>
        <v/>
      </c>
      <c r="DJ103" s="43" t="str">
        <f t="shared" si="66"/>
        <v/>
      </c>
      <c r="DK103" s="43" t="str">
        <f t="shared" si="67"/>
        <v/>
      </c>
      <c r="DL103" s="57"/>
      <c r="DM103" s="43" t="str">
        <f t="shared" ca="1" si="68"/>
        <v/>
      </c>
      <c r="DN103" s="43" t="str">
        <f t="shared" si="69"/>
        <v/>
      </c>
      <c r="DO103" s="43" t="str">
        <f t="shared" si="70"/>
        <v/>
      </c>
      <c r="DP103" s="57"/>
      <c r="DQ103" s="43" t="str">
        <f t="shared" ca="1" si="71"/>
        <v/>
      </c>
      <c r="DR103" s="43" t="str">
        <f t="shared" si="72"/>
        <v/>
      </c>
      <c r="DS103" s="43" t="str">
        <f t="shared" si="73"/>
        <v/>
      </c>
      <c r="DT103" s="57"/>
      <c r="DU103" s="43" t="str">
        <f t="shared" ca="1" si="74"/>
        <v/>
      </c>
      <c r="DV103" s="43" t="str">
        <f t="shared" si="75"/>
        <v/>
      </c>
      <c r="DX103" s="44">
        <v>1</v>
      </c>
      <c r="DY103" s="44" t="s">
        <v>773</v>
      </c>
      <c r="DZ103" s="43">
        <f t="shared" si="76"/>
        <v>0.01</v>
      </c>
      <c r="EA103" s="43" t="str">
        <f t="shared" si="77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8"/>
        <v>100</v>
      </c>
      <c r="EF103" s="44">
        <v>1</v>
      </c>
      <c r="EG103" s="44">
        <v>0</v>
      </c>
      <c r="EH103" s="44" t="s">
        <v>875</v>
      </c>
      <c r="EI103" s="45">
        <v>0</v>
      </c>
      <c r="EJ103" s="43">
        <f t="shared" si="79"/>
        <v>5000</v>
      </c>
      <c r="EK103" s="69"/>
    </row>
    <row r="104" spans="1:141" x14ac:dyDescent="0.2">
      <c r="A104" s="7" t="str">
        <f t="shared" si="80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IF(IFERROR(INDEX(Consulta!$A:$DP,MATCH('MM01'!$B104,Consulta!$C:$C,0),'MM01'!D$2),"")=0,"",IFERROR(INDEX(Consulta!$A:$DP,MATCH('MM01'!$B104,Consulta!$C:$C,0),'MM01'!D$2),""))</f>
        <v/>
      </c>
      <c r="E104" s="43" t="str">
        <f>IF(IFERROR(INDEX(Consulta!$A:$DP,MATCH('MM01'!$B104,Consulta!$C:$C,0),'MM01'!E$2),"")=0,"",IFERROR(INDEX(Consulta!$A:$DP,MATCH('MM01'!$B104,Consulta!$C:$C,0),'MM01'!E$2),""))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1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2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3"/>
        <v/>
      </c>
      <c r="AV104" s="47" t="s">
        <v>795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4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5"/>
        <v/>
      </c>
      <c r="BC104" s="43" t="str">
        <f t="shared" si="46"/>
        <v/>
      </c>
      <c r="BD104" s="43" t="str">
        <f t="shared" si="47"/>
        <v/>
      </c>
      <c r="BE104" s="43" t="str">
        <f t="shared" si="48"/>
        <v>M</v>
      </c>
      <c r="BF104" s="43" t="str">
        <f t="shared" si="49"/>
        <v/>
      </c>
      <c r="BG104" s="43" t="str">
        <f t="shared" si="50"/>
        <v/>
      </c>
      <c r="BH104" s="43" t="str">
        <f t="shared" si="51"/>
        <v/>
      </c>
      <c r="BI104" s="43" t="str">
        <f t="shared" si="52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>
        <v>99</v>
      </c>
      <c r="BN104" s="46" t="str">
        <f t="shared" ca="1" si="53"/>
        <v>28.04.2022</v>
      </c>
      <c r="BO104" s="49" t="str">
        <f t="shared" si="54"/>
        <v/>
      </c>
      <c r="BP104" s="50">
        <v>1</v>
      </c>
      <c r="BQ104" s="50" t="s">
        <v>194</v>
      </c>
      <c r="BR104" s="79" t="str">
        <f t="shared" si="81"/>
        <v>01</v>
      </c>
      <c r="BS104" s="50" t="s">
        <v>795</v>
      </c>
      <c r="BT104" s="44">
        <v>1</v>
      </c>
      <c r="BU104" s="44" t="s">
        <v>371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391</v>
      </c>
      <c r="BZ104" s="50">
        <v>0</v>
      </c>
      <c r="CA104" s="45" t="s">
        <v>402</v>
      </c>
      <c r="CB104" s="45" t="s">
        <v>84</v>
      </c>
      <c r="CC104" s="43" t="str">
        <f t="shared" si="55"/>
        <v/>
      </c>
      <c r="CD104" s="45" t="s">
        <v>38</v>
      </c>
      <c r="CE104" s="45">
        <v>1</v>
      </c>
      <c r="CF104" s="45" t="s">
        <v>495</v>
      </c>
      <c r="CG104" s="45"/>
      <c r="CH104" s="44">
        <v>2</v>
      </c>
      <c r="CI104" s="49" t="str">
        <f t="shared" si="56"/>
        <v/>
      </c>
      <c r="CJ104" s="49" t="str">
        <f t="shared" si="57"/>
        <v/>
      </c>
      <c r="CK104" s="45"/>
      <c r="CL104" s="44">
        <v>1</v>
      </c>
      <c r="CM104" s="50" t="s">
        <v>514</v>
      </c>
      <c r="CN104" s="44" t="s">
        <v>371</v>
      </c>
      <c r="CO104" s="44">
        <v>2</v>
      </c>
      <c r="CP104" s="44">
        <v>42</v>
      </c>
      <c r="CQ104" s="44">
        <v>10</v>
      </c>
      <c r="CR104" s="43" t="str">
        <f t="shared" si="58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9"/>
        <v/>
      </c>
      <c r="CY104" s="43" t="str">
        <f t="shared" si="60"/>
        <v/>
      </c>
      <c r="CZ104" s="43" t="str">
        <f t="shared" si="61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2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3"/>
        <v/>
      </c>
      <c r="DG104" s="43" t="str">
        <f t="shared" si="64"/>
        <v/>
      </c>
      <c r="DH104" s="57"/>
      <c r="DI104" s="43" t="str">
        <f t="shared" ca="1" si="65"/>
        <v/>
      </c>
      <c r="DJ104" s="43" t="str">
        <f t="shared" si="66"/>
        <v/>
      </c>
      <c r="DK104" s="43" t="str">
        <f t="shared" si="67"/>
        <v/>
      </c>
      <c r="DL104" s="57"/>
      <c r="DM104" s="43" t="str">
        <f t="shared" ca="1" si="68"/>
        <v/>
      </c>
      <c r="DN104" s="43" t="str">
        <f t="shared" si="69"/>
        <v/>
      </c>
      <c r="DO104" s="43" t="str">
        <f t="shared" si="70"/>
        <v/>
      </c>
      <c r="DP104" s="57"/>
      <c r="DQ104" s="43" t="str">
        <f t="shared" ca="1" si="71"/>
        <v/>
      </c>
      <c r="DR104" s="43" t="str">
        <f t="shared" si="72"/>
        <v/>
      </c>
      <c r="DS104" s="43" t="str">
        <f t="shared" si="73"/>
        <v/>
      </c>
      <c r="DT104" s="57"/>
      <c r="DU104" s="43" t="str">
        <f t="shared" ca="1" si="74"/>
        <v/>
      </c>
      <c r="DV104" s="43" t="str">
        <f t="shared" si="75"/>
        <v/>
      </c>
      <c r="DX104" s="44">
        <v>1</v>
      </c>
      <c r="DY104" s="44" t="s">
        <v>773</v>
      </c>
      <c r="DZ104" s="43">
        <f t="shared" si="76"/>
        <v>0.01</v>
      </c>
      <c r="EA104" s="43" t="str">
        <f t="shared" si="77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8"/>
        <v>100</v>
      </c>
      <c r="EF104" s="44">
        <v>1</v>
      </c>
      <c r="EG104" s="44">
        <v>0</v>
      </c>
      <c r="EH104" s="44" t="s">
        <v>875</v>
      </c>
      <c r="EI104" s="45">
        <v>0</v>
      </c>
      <c r="EJ104" s="43">
        <f t="shared" si="79"/>
        <v>5000</v>
      </c>
      <c r="EK104" s="70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IF(IFERROR(INDEX(Consulta!$A:$DP,MATCH('MM01'!$B105,Consulta!$C:$C,0),'MM01'!D$2),"")=0,"",IFERROR(INDEX(Consulta!$A:$DP,MATCH('MM01'!$B105,Consulta!$C:$C,0),'MM01'!D$2),""))</f>
        <v/>
      </c>
      <c r="E105" s="43" t="str">
        <f>IF(IFERROR(INDEX(Consulta!$A:$DP,MATCH('MM01'!$B105,Consulta!$C:$C,0),'MM01'!E$2),"")=0,"",IFERROR(INDEX(Consulta!$A:$DP,MATCH('MM01'!$B105,Consulta!$C:$C,0),'MM01'!E$2),""))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795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>
        <v>99</v>
      </c>
      <c r="BN105" s="46" t="str">
        <f ca="1">IF(BM105&lt;&gt;0,TEXT(TODAY(),"DD.MM.AAAA"),"")</f>
        <v>28.04.2022</v>
      </c>
      <c r="BO105" s="49" t="str">
        <f>G105</f>
        <v/>
      </c>
      <c r="BP105" s="50">
        <v>1</v>
      </c>
      <c r="BQ105" s="50" t="s">
        <v>194</v>
      </c>
      <c r="BR105" s="79" t="str">
        <f t="shared" si="81"/>
        <v>01</v>
      </c>
      <c r="BS105" s="50" t="s">
        <v>795</v>
      </c>
      <c r="BT105" s="44">
        <v>1</v>
      </c>
      <c r="BU105" s="44" t="s">
        <v>371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391</v>
      </c>
      <c r="BZ105" s="50">
        <v>0</v>
      </c>
      <c r="CA105" s="45" t="s">
        <v>402</v>
      </c>
      <c r="CB105" s="45" t="s">
        <v>84</v>
      </c>
      <c r="CC105" s="43" t="str">
        <f>RIGHT(G105,3)</f>
        <v/>
      </c>
      <c r="CD105" s="45" t="s">
        <v>38</v>
      </c>
      <c r="CE105" s="45">
        <v>1</v>
      </c>
      <c r="CF105" s="45" t="s">
        <v>495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514</v>
      </c>
      <c r="CN105" s="44" t="s">
        <v>371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746</v>
      </c>
      <c r="DI105" s="43" t="str">
        <f ca="1">IF(DH105&lt;&gt;0,TEXT(TODAY(),"dd.mm.aaaa"),"")</f>
        <v>28.04.2022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773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875</v>
      </c>
      <c r="EI105" s="45">
        <v>0</v>
      </c>
      <c r="EJ105" s="43">
        <f>CS105</f>
        <v>5000</v>
      </c>
      <c r="EK105" s="68"/>
    </row>
    <row r="106" spans="1:141" x14ac:dyDescent="0.2">
      <c r="A106" s="7" t="str">
        <f t="shared" ref="A106:A154" si="82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IF(IFERROR(INDEX(Consulta!$A:$DP,MATCH('MM01'!$B106,Consulta!$C:$C,0),'MM01'!D$2),"")=0,"",IFERROR(INDEX(Consulta!$A:$DP,MATCH('MM01'!$B106,Consulta!$C:$C,0),'MM01'!D$2),""))</f>
        <v/>
      </c>
      <c r="E106" s="43" t="str">
        <f>IF(IFERROR(INDEX(Consulta!$A:$DP,MATCH('MM01'!$B106,Consulta!$C:$C,0),'MM01'!E$2),"")=0,"",IFERROR(INDEX(Consulta!$A:$DP,MATCH('MM01'!$B106,Consulta!$C:$C,0),'MM01'!E$2),""))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3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4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5">IF(AT106&lt;&gt;0,TEXT(TODAY(),"DD.MM.AAAA"),"")</f>
        <v/>
      </c>
      <c r="AV106" s="47" t="s">
        <v>795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6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7">IFERROR(ROUND(AW106,3)*1000,"")</f>
        <v/>
      </c>
      <c r="BC106" s="43" t="str">
        <f t="shared" ref="BC106:BC154" si="88">IF(BB106="","",AY106)</f>
        <v/>
      </c>
      <c r="BD106" s="43" t="str">
        <f t="shared" ref="BD106:BD154" si="89">IF(BB106="","",IF(BB106&lt;100000,1000,100))</f>
        <v/>
      </c>
      <c r="BE106" s="43" t="str">
        <f t="shared" ref="BE106:BE154" si="90">AO106</f>
        <v>M</v>
      </c>
      <c r="BF106" s="43" t="str">
        <f t="shared" ref="BF106:BF154" si="91">IF(BH106="","",IF(D106&lt;&gt;"KMAT",IF(BH106&lt;100000,1000,100),""))</f>
        <v/>
      </c>
      <c r="BG106" s="43" t="str">
        <f t="shared" ref="BG106:BG154" si="92">IF(BF106="","",IF(D106&lt;&gt;"KMAT","PC",""))</f>
        <v/>
      </c>
      <c r="BH106" s="43" t="str">
        <f t="shared" ref="BH106:BH154" si="93">IF(D106&lt;&gt;"KMAT",E106,"")</f>
        <v/>
      </c>
      <c r="BI106" s="43" t="str">
        <f t="shared" ref="BI106:BI154" si="94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>
        <v>99</v>
      </c>
      <c r="BN106" s="46" t="str">
        <f t="shared" ref="BN106:BN154" ca="1" si="95">IF(BM106&lt;&gt;0,TEXT(TODAY(),"DD.MM.AAAA"),"")</f>
        <v>28.04.2022</v>
      </c>
      <c r="BO106" s="49" t="str">
        <f t="shared" ref="BO106:BO154" si="96">G106</f>
        <v/>
      </c>
      <c r="BP106" s="50">
        <v>1</v>
      </c>
      <c r="BQ106" s="50" t="s">
        <v>194</v>
      </c>
      <c r="BR106" s="79" t="str">
        <f t="shared" si="81"/>
        <v>01</v>
      </c>
      <c r="BS106" s="50" t="s">
        <v>795</v>
      </c>
      <c r="BT106" s="44">
        <v>1</v>
      </c>
      <c r="BU106" s="44" t="s">
        <v>371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391</v>
      </c>
      <c r="BZ106" s="50">
        <v>0</v>
      </c>
      <c r="CA106" s="45" t="s">
        <v>402</v>
      </c>
      <c r="CB106" s="45" t="s">
        <v>84</v>
      </c>
      <c r="CC106" s="43" t="str">
        <f t="shared" ref="CC106:CC154" si="97">RIGHT(G106,3)</f>
        <v/>
      </c>
      <c r="CD106" s="45" t="s">
        <v>38</v>
      </c>
      <c r="CE106" s="45">
        <v>1</v>
      </c>
      <c r="CF106" s="45" t="s">
        <v>495</v>
      </c>
      <c r="CG106" s="45"/>
      <c r="CH106" s="44">
        <v>2</v>
      </c>
      <c r="CI106" s="49" t="str">
        <f t="shared" ref="CI106:CI154" si="98">H106</f>
        <v/>
      </c>
      <c r="CJ106" s="49" t="str">
        <f t="shared" ref="CJ106:CJ154" si="99">H106</f>
        <v/>
      </c>
      <c r="CK106" s="45"/>
      <c r="CL106" s="44">
        <v>1</v>
      </c>
      <c r="CM106" s="50" t="s">
        <v>514</v>
      </c>
      <c r="CN106" s="44" t="s">
        <v>371</v>
      </c>
      <c r="CO106" s="44">
        <v>2</v>
      </c>
      <c r="CP106" s="44">
        <v>42</v>
      </c>
      <c r="CQ106" s="44">
        <v>10</v>
      </c>
      <c r="CR106" s="43" t="str">
        <f t="shared" ref="CR106:CR154" si="100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101">IF(OR(CT106="",CU106="",CV106="",CW106=""),"",CT106&amp;" / "&amp;CU106&amp;" / "&amp;CV106&amp;" / "&amp;CW106)</f>
        <v/>
      </c>
      <c r="CY106" s="43" t="str">
        <f t="shared" ref="CY106:CY154" si="102">IF(OR(D106="MFER",D106="KMAT"),"INITIAL",IF(OR(D106="FERT",D106="HAWZ"),"0000999999",""))</f>
        <v/>
      </c>
      <c r="CZ106" s="43" t="str">
        <f t="shared" ref="CZ106:CZ154" si="103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4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5">IFERROR(ROUND(AW106,2),"")</f>
        <v/>
      </c>
      <c r="DG106" s="43">
        <f t="shared" ref="DG106:DG154" si="106">IF(DH106&lt;&gt;0,1,"")</f>
        <v>1</v>
      </c>
      <c r="DH106" s="57" t="s">
        <v>746</v>
      </c>
      <c r="DI106" s="43" t="str">
        <f t="shared" ref="DI106:DI154" ca="1" si="107">IF(DH106&lt;&gt;0,TEXT(TODAY(),"dd.mm.aaaa"),"")</f>
        <v>28.04.2022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773</v>
      </c>
      <c r="DZ106" s="43">
        <f t="shared" ref="DZ106:DZ154" si="118">IF(OR(AO106="M",AO106="KG"),0.01,1)</f>
        <v>0.01</v>
      </c>
      <c r="EA106" s="43" t="str">
        <f t="shared" ref="EA106:EA154" si="119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20">EC106</f>
        <v>100</v>
      </c>
      <c r="EF106" s="44">
        <v>1</v>
      </c>
      <c r="EG106" s="44">
        <v>0</v>
      </c>
      <c r="EH106" s="44" t="s">
        <v>875</v>
      </c>
      <c r="EI106" s="45">
        <v>0</v>
      </c>
      <c r="EJ106" s="43">
        <f t="shared" ref="EJ106:EJ154" si="121">CS106</f>
        <v>5000</v>
      </c>
      <c r="EK106" s="69"/>
    </row>
    <row r="107" spans="1:141" x14ac:dyDescent="0.2">
      <c r="A107" s="7" t="str">
        <f t="shared" si="82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IF(IFERROR(INDEX(Consulta!$A:$DP,MATCH('MM01'!$B107,Consulta!$C:$C,0),'MM01'!D$2),"")=0,"",IFERROR(INDEX(Consulta!$A:$DP,MATCH('MM01'!$B107,Consulta!$C:$C,0),'MM01'!D$2),""))</f>
        <v/>
      </c>
      <c r="E107" s="43" t="str">
        <f>IF(IFERROR(INDEX(Consulta!$A:$DP,MATCH('MM01'!$B107,Consulta!$C:$C,0),'MM01'!E$2),"")=0,"",IFERROR(INDEX(Consulta!$A:$DP,MATCH('MM01'!$B107,Consulta!$C:$C,0),'MM01'!E$2),""))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3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4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5"/>
        <v/>
      </c>
      <c r="AV107" s="47" t="s">
        <v>795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6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7"/>
        <v/>
      </c>
      <c r="BC107" s="43" t="str">
        <f t="shared" si="88"/>
        <v/>
      </c>
      <c r="BD107" s="43" t="str">
        <f t="shared" si="89"/>
        <v/>
      </c>
      <c r="BE107" s="43" t="str">
        <f t="shared" si="90"/>
        <v>M</v>
      </c>
      <c r="BF107" s="43" t="str">
        <f t="shared" si="91"/>
        <v/>
      </c>
      <c r="BG107" s="43" t="str">
        <f t="shared" si="92"/>
        <v/>
      </c>
      <c r="BH107" s="43" t="str">
        <f t="shared" si="93"/>
        <v/>
      </c>
      <c r="BI107" s="43" t="str">
        <f t="shared" si="94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>
        <v>99</v>
      </c>
      <c r="BN107" s="46" t="str">
        <f t="shared" ca="1" si="95"/>
        <v>28.04.2022</v>
      </c>
      <c r="BO107" s="49" t="str">
        <f t="shared" si="96"/>
        <v/>
      </c>
      <c r="BP107" s="50">
        <v>1</v>
      </c>
      <c r="BQ107" s="50" t="s">
        <v>194</v>
      </c>
      <c r="BR107" s="79" t="str">
        <f t="shared" si="81"/>
        <v>01</v>
      </c>
      <c r="BS107" s="50" t="s">
        <v>795</v>
      </c>
      <c r="BT107" s="44">
        <v>1</v>
      </c>
      <c r="BU107" s="44" t="s">
        <v>371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391</v>
      </c>
      <c r="BZ107" s="50">
        <v>0</v>
      </c>
      <c r="CA107" s="45" t="s">
        <v>402</v>
      </c>
      <c r="CB107" s="45" t="s">
        <v>84</v>
      </c>
      <c r="CC107" s="43" t="str">
        <f t="shared" si="97"/>
        <v/>
      </c>
      <c r="CD107" s="45" t="s">
        <v>38</v>
      </c>
      <c r="CE107" s="45">
        <v>1</v>
      </c>
      <c r="CF107" s="45" t="s">
        <v>495</v>
      </c>
      <c r="CG107" s="45"/>
      <c r="CH107" s="44">
        <v>2</v>
      </c>
      <c r="CI107" s="49" t="str">
        <f t="shared" si="98"/>
        <v/>
      </c>
      <c r="CJ107" s="49" t="str">
        <f t="shared" si="99"/>
        <v/>
      </c>
      <c r="CK107" s="45"/>
      <c r="CL107" s="44">
        <v>1</v>
      </c>
      <c r="CM107" s="50" t="s">
        <v>514</v>
      </c>
      <c r="CN107" s="44" t="s">
        <v>371</v>
      </c>
      <c r="CO107" s="44">
        <v>2</v>
      </c>
      <c r="CP107" s="44">
        <v>42</v>
      </c>
      <c r="CQ107" s="44">
        <v>10</v>
      </c>
      <c r="CR107" s="43" t="str">
        <f t="shared" si="100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101"/>
        <v/>
      </c>
      <c r="CY107" s="43" t="str">
        <f t="shared" si="102"/>
        <v/>
      </c>
      <c r="CZ107" s="43" t="str">
        <f t="shared" si="103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4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773</v>
      </c>
      <c r="DZ107" s="43">
        <f t="shared" si="118"/>
        <v>0.01</v>
      </c>
      <c r="EA107" s="43" t="str">
        <f t="shared" si="119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20"/>
        <v>100</v>
      </c>
      <c r="EF107" s="44">
        <v>1</v>
      </c>
      <c r="EG107" s="44">
        <v>0</v>
      </c>
      <c r="EH107" s="44" t="s">
        <v>875</v>
      </c>
      <c r="EI107" s="45">
        <v>0</v>
      </c>
      <c r="EJ107" s="43">
        <f t="shared" si="121"/>
        <v>5000</v>
      </c>
      <c r="EK107" s="69"/>
    </row>
    <row r="108" spans="1:141" x14ac:dyDescent="0.2">
      <c r="A108" s="7" t="str">
        <f t="shared" si="82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IF(IFERROR(INDEX(Consulta!$A:$DP,MATCH('MM01'!$B108,Consulta!$C:$C,0),'MM01'!D$2),"")=0,"",IFERROR(INDEX(Consulta!$A:$DP,MATCH('MM01'!$B108,Consulta!$C:$C,0),'MM01'!D$2),""))</f>
        <v/>
      </c>
      <c r="E108" s="43" t="str">
        <f>IF(IFERROR(INDEX(Consulta!$A:$DP,MATCH('MM01'!$B108,Consulta!$C:$C,0),'MM01'!E$2),"")=0,"",IFERROR(INDEX(Consulta!$A:$DP,MATCH('MM01'!$B108,Consulta!$C:$C,0),'MM01'!E$2),""))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3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4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5"/>
        <v/>
      </c>
      <c r="AV108" s="47" t="s">
        <v>795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6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7"/>
        <v/>
      </c>
      <c r="BC108" s="43" t="str">
        <f t="shared" si="88"/>
        <v/>
      </c>
      <c r="BD108" s="43" t="str">
        <f t="shared" si="89"/>
        <v/>
      </c>
      <c r="BE108" s="43" t="str">
        <f t="shared" si="90"/>
        <v>M</v>
      </c>
      <c r="BF108" s="43" t="str">
        <f t="shared" si="91"/>
        <v/>
      </c>
      <c r="BG108" s="43" t="str">
        <f t="shared" si="92"/>
        <v/>
      </c>
      <c r="BH108" s="43" t="str">
        <f t="shared" si="93"/>
        <v/>
      </c>
      <c r="BI108" s="43" t="str">
        <f t="shared" si="94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>
        <v>99</v>
      </c>
      <c r="BN108" s="46" t="str">
        <f t="shared" ca="1" si="95"/>
        <v>28.04.2022</v>
      </c>
      <c r="BO108" s="49" t="str">
        <f t="shared" si="96"/>
        <v/>
      </c>
      <c r="BP108" s="50">
        <v>1</v>
      </c>
      <c r="BQ108" s="50" t="s">
        <v>194</v>
      </c>
      <c r="BR108" s="79" t="str">
        <f t="shared" si="81"/>
        <v>01</v>
      </c>
      <c r="BS108" s="50" t="s">
        <v>795</v>
      </c>
      <c r="BT108" s="44">
        <v>1</v>
      </c>
      <c r="BU108" s="44" t="s">
        <v>371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391</v>
      </c>
      <c r="BZ108" s="50">
        <v>0</v>
      </c>
      <c r="CA108" s="45" t="s">
        <v>402</v>
      </c>
      <c r="CB108" s="45" t="s">
        <v>84</v>
      </c>
      <c r="CC108" s="43" t="str">
        <f t="shared" si="97"/>
        <v/>
      </c>
      <c r="CD108" s="45" t="s">
        <v>38</v>
      </c>
      <c r="CE108" s="45">
        <v>1</v>
      </c>
      <c r="CF108" s="45" t="s">
        <v>495</v>
      </c>
      <c r="CG108" s="45"/>
      <c r="CH108" s="44">
        <v>2</v>
      </c>
      <c r="CI108" s="49" t="str">
        <f t="shared" si="98"/>
        <v/>
      </c>
      <c r="CJ108" s="49" t="str">
        <f t="shared" si="99"/>
        <v/>
      </c>
      <c r="CK108" s="45"/>
      <c r="CL108" s="44">
        <v>1</v>
      </c>
      <c r="CM108" s="50" t="s">
        <v>514</v>
      </c>
      <c r="CN108" s="44" t="s">
        <v>371</v>
      </c>
      <c r="CO108" s="44">
        <v>2</v>
      </c>
      <c r="CP108" s="44">
        <v>42</v>
      </c>
      <c r="CQ108" s="44">
        <v>10</v>
      </c>
      <c r="CR108" s="43" t="str">
        <f t="shared" si="100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101"/>
        <v/>
      </c>
      <c r="CY108" s="43" t="str">
        <f t="shared" si="102"/>
        <v/>
      </c>
      <c r="CZ108" s="43" t="str">
        <f t="shared" si="103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4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773</v>
      </c>
      <c r="DZ108" s="43">
        <f t="shared" si="118"/>
        <v>0.01</v>
      </c>
      <c r="EA108" s="43" t="str">
        <f t="shared" si="119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20"/>
        <v>100</v>
      </c>
      <c r="EF108" s="44">
        <v>1</v>
      </c>
      <c r="EG108" s="44">
        <v>0</v>
      </c>
      <c r="EH108" s="44" t="s">
        <v>875</v>
      </c>
      <c r="EI108" s="45">
        <v>0</v>
      </c>
      <c r="EJ108" s="43">
        <f t="shared" si="121"/>
        <v>5000</v>
      </c>
      <c r="EK108" s="69"/>
    </row>
    <row r="109" spans="1:141" x14ac:dyDescent="0.2">
      <c r="A109" s="7" t="str">
        <f t="shared" si="82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IF(IFERROR(INDEX(Consulta!$A:$DP,MATCH('MM01'!$B109,Consulta!$C:$C,0),'MM01'!D$2),"")=0,"",IFERROR(INDEX(Consulta!$A:$DP,MATCH('MM01'!$B109,Consulta!$C:$C,0),'MM01'!D$2),""))</f>
        <v/>
      </c>
      <c r="E109" s="43" t="str">
        <f>IF(IFERROR(INDEX(Consulta!$A:$DP,MATCH('MM01'!$B109,Consulta!$C:$C,0),'MM01'!E$2),"")=0,"",IFERROR(INDEX(Consulta!$A:$DP,MATCH('MM01'!$B109,Consulta!$C:$C,0),'MM01'!E$2),""))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3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4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5"/>
        <v/>
      </c>
      <c r="AV109" s="47" t="s">
        <v>795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6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7"/>
        <v/>
      </c>
      <c r="BC109" s="43" t="str">
        <f t="shared" si="88"/>
        <v/>
      </c>
      <c r="BD109" s="43" t="str">
        <f t="shared" si="89"/>
        <v/>
      </c>
      <c r="BE109" s="43" t="str">
        <f t="shared" si="90"/>
        <v>M</v>
      </c>
      <c r="BF109" s="43" t="str">
        <f t="shared" si="91"/>
        <v/>
      </c>
      <c r="BG109" s="43" t="str">
        <f t="shared" si="92"/>
        <v/>
      </c>
      <c r="BH109" s="43" t="str">
        <f t="shared" si="93"/>
        <v/>
      </c>
      <c r="BI109" s="43" t="str">
        <f t="shared" si="94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>
        <v>99</v>
      </c>
      <c r="BN109" s="46" t="str">
        <f t="shared" ca="1" si="95"/>
        <v>28.04.2022</v>
      </c>
      <c r="BO109" s="49" t="str">
        <f t="shared" si="96"/>
        <v/>
      </c>
      <c r="BP109" s="50">
        <v>1</v>
      </c>
      <c r="BQ109" s="50" t="s">
        <v>194</v>
      </c>
      <c r="BR109" s="79" t="str">
        <f t="shared" si="81"/>
        <v>01</v>
      </c>
      <c r="BS109" s="50" t="s">
        <v>795</v>
      </c>
      <c r="BT109" s="44">
        <v>1</v>
      </c>
      <c r="BU109" s="44" t="s">
        <v>371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391</v>
      </c>
      <c r="BZ109" s="50">
        <v>0</v>
      </c>
      <c r="CA109" s="45" t="s">
        <v>402</v>
      </c>
      <c r="CB109" s="45" t="s">
        <v>84</v>
      </c>
      <c r="CC109" s="43" t="str">
        <f t="shared" si="97"/>
        <v/>
      </c>
      <c r="CD109" s="45" t="s">
        <v>38</v>
      </c>
      <c r="CE109" s="45">
        <v>1</v>
      </c>
      <c r="CF109" s="45" t="s">
        <v>495</v>
      </c>
      <c r="CG109" s="45"/>
      <c r="CH109" s="44">
        <v>2</v>
      </c>
      <c r="CI109" s="49" t="str">
        <f t="shared" si="98"/>
        <v/>
      </c>
      <c r="CJ109" s="49" t="str">
        <f t="shared" si="99"/>
        <v/>
      </c>
      <c r="CK109" s="45"/>
      <c r="CL109" s="44">
        <v>1</v>
      </c>
      <c r="CM109" s="50" t="s">
        <v>514</v>
      </c>
      <c r="CN109" s="44" t="s">
        <v>371</v>
      </c>
      <c r="CO109" s="44">
        <v>2</v>
      </c>
      <c r="CP109" s="44">
        <v>42</v>
      </c>
      <c r="CQ109" s="44">
        <v>10</v>
      </c>
      <c r="CR109" s="43" t="str">
        <f t="shared" si="100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101"/>
        <v/>
      </c>
      <c r="CY109" s="43" t="str">
        <f t="shared" si="102"/>
        <v/>
      </c>
      <c r="CZ109" s="43" t="str">
        <f t="shared" si="103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4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773</v>
      </c>
      <c r="DZ109" s="43">
        <f t="shared" si="118"/>
        <v>0.01</v>
      </c>
      <c r="EA109" s="43" t="str">
        <f t="shared" si="119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20"/>
        <v>100</v>
      </c>
      <c r="EF109" s="44">
        <v>1</v>
      </c>
      <c r="EG109" s="44">
        <v>0</v>
      </c>
      <c r="EH109" s="44" t="s">
        <v>875</v>
      </c>
      <c r="EI109" s="45">
        <v>0</v>
      </c>
      <c r="EJ109" s="43">
        <f t="shared" si="121"/>
        <v>5000</v>
      </c>
      <c r="EK109" s="69"/>
    </row>
    <row r="110" spans="1:141" x14ac:dyDescent="0.2">
      <c r="A110" s="7" t="str">
        <f t="shared" si="82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IF(IFERROR(INDEX(Consulta!$A:$DP,MATCH('MM01'!$B110,Consulta!$C:$C,0),'MM01'!D$2),"")=0,"",IFERROR(INDEX(Consulta!$A:$DP,MATCH('MM01'!$B110,Consulta!$C:$C,0),'MM01'!D$2),""))</f>
        <v/>
      </c>
      <c r="E110" s="43" t="str">
        <f>IF(IFERROR(INDEX(Consulta!$A:$DP,MATCH('MM01'!$B110,Consulta!$C:$C,0),'MM01'!E$2),"")=0,"",IFERROR(INDEX(Consulta!$A:$DP,MATCH('MM01'!$B110,Consulta!$C:$C,0),'MM01'!E$2),""))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3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4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5"/>
        <v/>
      </c>
      <c r="AV110" s="47" t="s">
        <v>795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6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7"/>
        <v/>
      </c>
      <c r="BC110" s="43" t="str">
        <f t="shared" si="88"/>
        <v/>
      </c>
      <c r="BD110" s="43" t="str">
        <f t="shared" si="89"/>
        <v/>
      </c>
      <c r="BE110" s="43" t="str">
        <f t="shared" si="90"/>
        <v>M</v>
      </c>
      <c r="BF110" s="43" t="str">
        <f t="shared" si="91"/>
        <v/>
      </c>
      <c r="BG110" s="43" t="str">
        <f t="shared" si="92"/>
        <v/>
      </c>
      <c r="BH110" s="43" t="str">
        <f t="shared" si="93"/>
        <v/>
      </c>
      <c r="BI110" s="43" t="str">
        <f t="shared" si="94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>
        <v>99</v>
      </c>
      <c r="BN110" s="46" t="str">
        <f t="shared" ca="1" si="95"/>
        <v>28.04.2022</v>
      </c>
      <c r="BO110" s="49" t="str">
        <f t="shared" si="96"/>
        <v/>
      </c>
      <c r="BP110" s="50">
        <v>1</v>
      </c>
      <c r="BQ110" s="50" t="s">
        <v>194</v>
      </c>
      <c r="BR110" s="79" t="str">
        <f t="shared" si="81"/>
        <v>01</v>
      </c>
      <c r="BS110" s="50" t="s">
        <v>795</v>
      </c>
      <c r="BT110" s="44">
        <v>1</v>
      </c>
      <c r="BU110" s="44" t="s">
        <v>371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391</v>
      </c>
      <c r="BZ110" s="50">
        <v>0</v>
      </c>
      <c r="CA110" s="45" t="s">
        <v>402</v>
      </c>
      <c r="CB110" s="45" t="s">
        <v>84</v>
      </c>
      <c r="CC110" s="43" t="str">
        <f t="shared" si="97"/>
        <v/>
      </c>
      <c r="CD110" s="45" t="s">
        <v>38</v>
      </c>
      <c r="CE110" s="45">
        <v>1</v>
      </c>
      <c r="CF110" s="45" t="s">
        <v>495</v>
      </c>
      <c r="CG110" s="45"/>
      <c r="CH110" s="44">
        <v>2</v>
      </c>
      <c r="CI110" s="49" t="str">
        <f t="shared" si="98"/>
        <v/>
      </c>
      <c r="CJ110" s="49" t="str">
        <f t="shared" si="99"/>
        <v/>
      </c>
      <c r="CK110" s="45"/>
      <c r="CL110" s="44">
        <v>1</v>
      </c>
      <c r="CM110" s="50" t="s">
        <v>514</v>
      </c>
      <c r="CN110" s="44" t="s">
        <v>371</v>
      </c>
      <c r="CO110" s="44">
        <v>2</v>
      </c>
      <c r="CP110" s="44">
        <v>42</v>
      </c>
      <c r="CQ110" s="44">
        <v>10</v>
      </c>
      <c r="CR110" s="43" t="str">
        <f t="shared" si="100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101"/>
        <v/>
      </c>
      <c r="CY110" s="43" t="str">
        <f t="shared" si="102"/>
        <v/>
      </c>
      <c r="CZ110" s="43" t="str">
        <f t="shared" si="103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4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773</v>
      </c>
      <c r="DZ110" s="43">
        <f t="shared" si="118"/>
        <v>0.01</v>
      </c>
      <c r="EA110" s="43" t="str">
        <f t="shared" si="119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20"/>
        <v>100</v>
      </c>
      <c r="EF110" s="44">
        <v>1</v>
      </c>
      <c r="EG110" s="44">
        <v>0</v>
      </c>
      <c r="EH110" s="44" t="s">
        <v>875</v>
      </c>
      <c r="EI110" s="45">
        <v>0</v>
      </c>
      <c r="EJ110" s="43">
        <f t="shared" si="121"/>
        <v>5000</v>
      </c>
      <c r="EK110" s="69"/>
    </row>
    <row r="111" spans="1:141" x14ac:dyDescent="0.2">
      <c r="A111" s="7" t="str">
        <f t="shared" si="82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IF(IFERROR(INDEX(Consulta!$A:$DP,MATCH('MM01'!$B111,Consulta!$C:$C,0),'MM01'!D$2),"")=0,"",IFERROR(INDEX(Consulta!$A:$DP,MATCH('MM01'!$B111,Consulta!$C:$C,0),'MM01'!D$2),""))</f>
        <v/>
      </c>
      <c r="E111" s="43" t="str">
        <f>IF(IFERROR(INDEX(Consulta!$A:$DP,MATCH('MM01'!$B111,Consulta!$C:$C,0),'MM01'!E$2),"")=0,"",IFERROR(INDEX(Consulta!$A:$DP,MATCH('MM01'!$B111,Consulta!$C:$C,0),'MM01'!E$2),""))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3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4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5"/>
        <v/>
      </c>
      <c r="AV111" s="47" t="s">
        <v>795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6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7"/>
        <v/>
      </c>
      <c r="BC111" s="43" t="str">
        <f t="shared" si="88"/>
        <v/>
      </c>
      <c r="BD111" s="43" t="str">
        <f t="shared" si="89"/>
        <v/>
      </c>
      <c r="BE111" s="43" t="str">
        <f t="shared" si="90"/>
        <v>M</v>
      </c>
      <c r="BF111" s="43" t="str">
        <f t="shared" si="91"/>
        <v/>
      </c>
      <c r="BG111" s="43" t="str">
        <f t="shared" si="92"/>
        <v/>
      </c>
      <c r="BH111" s="43" t="str">
        <f t="shared" si="93"/>
        <v/>
      </c>
      <c r="BI111" s="43" t="str">
        <f t="shared" si="94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>
        <v>99</v>
      </c>
      <c r="BN111" s="46" t="str">
        <f t="shared" ca="1" si="95"/>
        <v>28.04.2022</v>
      </c>
      <c r="BO111" s="49" t="str">
        <f t="shared" si="96"/>
        <v/>
      </c>
      <c r="BP111" s="50">
        <v>1</v>
      </c>
      <c r="BQ111" s="50" t="s">
        <v>194</v>
      </c>
      <c r="BR111" s="79" t="str">
        <f t="shared" si="81"/>
        <v>01</v>
      </c>
      <c r="BS111" s="50" t="s">
        <v>795</v>
      </c>
      <c r="BT111" s="44">
        <v>1</v>
      </c>
      <c r="BU111" s="44" t="s">
        <v>371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391</v>
      </c>
      <c r="BZ111" s="50">
        <v>0</v>
      </c>
      <c r="CA111" s="45" t="s">
        <v>402</v>
      </c>
      <c r="CB111" s="45" t="s">
        <v>84</v>
      </c>
      <c r="CC111" s="43" t="str">
        <f t="shared" si="97"/>
        <v/>
      </c>
      <c r="CD111" s="45" t="s">
        <v>38</v>
      </c>
      <c r="CE111" s="45">
        <v>1</v>
      </c>
      <c r="CF111" s="45" t="s">
        <v>495</v>
      </c>
      <c r="CG111" s="45"/>
      <c r="CH111" s="44">
        <v>2</v>
      </c>
      <c r="CI111" s="49" t="str">
        <f t="shared" si="98"/>
        <v/>
      </c>
      <c r="CJ111" s="49" t="str">
        <f t="shared" si="99"/>
        <v/>
      </c>
      <c r="CK111" s="45"/>
      <c r="CL111" s="44">
        <v>1</v>
      </c>
      <c r="CM111" s="50" t="s">
        <v>514</v>
      </c>
      <c r="CN111" s="44" t="s">
        <v>371</v>
      </c>
      <c r="CO111" s="44">
        <v>2</v>
      </c>
      <c r="CP111" s="44">
        <v>42</v>
      </c>
      <c r="CQ111" s="44">
        <v>10</v>
      </c>
      <c r="CR111" s="43" t="str">
        <f t="shared" si="100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101"/>
        <v/>
      </c>
      <c r="CY111" s="43" t="str">
        <f t="shared" si="102"/>
        <v/>
      </c>
      <c r="CZ111" s="43" t="str">
        <f t="shared" si="103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4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773</v>
      </c>
      <c r="DZ111" s="43">
        <f t="shared" si="118"/>
        <v>0.01</v>
      </c>
      <c r="EA111" s="43" t="str">
        <f t="shared" si="119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20"/>
        <v>100</v>
      </c>
      <c r="EF111" s="44">
        <v>1</v>
      </c>
      <c r="EG111" s="44">
        <v>0</v>
      </c>
      <c r="EH111" s="44" t="s">
        <v>875</v>
      </c>
      <c r="EI111" s="45">
        <v>0</v>
      </c>
      <c r="EJ111" s="43">
        <f t="shared" si="121"/>
        <v>5000</v>
      </c>
      <c r="EK111" s="69"/>
    </row>
    <row r="112" spans="1:141" x14ac:dyDescent="0.2">
      <c r="A112" s="7" t="str">
        <f t="shared" si="82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IF(IFERROR(INDEX(Consulta!$A:$DP,MATCH('MM01'!$B112,Consulta!$C:$C,0),'MM01'!D$2),"")=0,"",IFERROR(INDEX(Consulta!$A:$DP,MATCH('MM01'!$B112,Consulta!$C:$C,0),'MM01'!D$2),""))</f>
        <v/>
      </c>
      <c r="E112" s="43" t="str">
        <f>IF(IFERROR(INDEX(Consulta!$A:$DP,MATCH('MM01'!$B112,Consulta!$C:$C,0),'MM01'!E$2),"")=0,"",IFERROR(INDEX(Consulta!$A:$DP,MATCH('MM01'!$B112,Consulta!$C:$C,0),'MM01'!E$2),""))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3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4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5"/>
        <v/>
      </c>
      <c r="AV112" s="47" t="s">
        <v>795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6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7"/>
        <v/>
      </c>
      <c r="BC112" s="43" t="str">
        <f t="shared" si="88"/>
        <v/>
      </c>
      <c r="BD112" s="43" t="str">
        <f t="shared" si="89"/>
        <v/>
      </c>
      <c r="BE112" s="43" t="str">
        <f t="shared" si="90"/>
        <v>M</v>
      </c>
      <c r="BF112" s="43" t="str">
        <f t="shared" si="91"/>
        <v/>
      </c>
      <c r="BG112" s="43" t="str">
        <f t="shared" si="92"/>
        <v/>
      </c>
      <c r="BH112" s="43" t="str">
        <f t="shared" si="93"/>
        <v/>
      </c>
      <c r="BI112" s="43" t="str">
        <f t="shared" si="94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>
        <v>99</v>
      </c>
      <c r="BN112" s="46" t="str">
        <f t="shared" ca="1" si="95"/>
        <v>28.04.2022</v>
      </c>
      <c r="BO112" s="49" t="str">
        <f t="shared" si="96"/>
        <v/>
      </c>
      <c r="BP112" s="50">
        <v>1</v>
      </c>
      <c r="BQ112" s="50" t="s">
        <v>194</v>
      </c>
      <c r="BR112" s="79" t="str">
        <f t="shared" si="81"/>
        <v>01</v>
      </c>
      <c r="BS112" s="50" t="s">
        <v>795</v>
      </c>
      <c r="BT112" s="44">
        <v>1</v>
      </c>
      <c r="BU112" s="44" t="s">
        <v>371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391</v>
      </c>
      <c r="BZ112" s="50">
        <v>0</v>
      </c>
      <c r="CA112" s="45" t="s">
        <v>402</v>
      </c>
      <c r="CB112" s="45" t="s">
        <v>84</v>
      </c>
      <c r="CC112" s="43" t="str">
        <f t="shared" si="97"/>
        <v/>
      </c>
      <c r="CD112" s="45" t="s">
        <v>38</v>
      </c>
      <c r="CE112" s="45">
        <v>1</v>
      </c>
      <c r="CF112" s="45" t="s">
        <v>495</v>
      </c>
      <c r="CG112" s="45"/>
      <c r="CH112" s="44">
        <v>2</v>
      </c>
      <c r="CI112" s="49" t="str">
        <f t="shared" si="98"/>
        <v/>
      </c>
      <c r="CJ112" s="49" t="str">
        <f t="shared" si="99"/>
        <v/>
      </c>
      <c r="CK112" s="45"/>
      <c r="CL112" s="44">
        <v>1</v>
      </c>
      <c r="CM112" s="50" t="s">
        <v>514</v>
      </c>
      <c r="CN112" s="44" t="s">
        <v>371</v>
      </c>
      <c r="CO112" s="44">
        <v>2</v>
      </c>
      <c r="CP112" s="44">
        <v>42</v>
      </c>
      <c r="CQ112" s="44">
        <v>10</v>
      </c>
      <c r="CR112" s="43" t="str">
        <f t="shared" si="100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101"/>
        <v/>
      </c>
      <c r="CY112" s="43" t="str">
        <f t="shared" si="102"/>
        <v/>
      </c>
      <c r="CZ112" s="43" t="str">
        <f t="shared" si="103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4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773</v>
      </c>
      <c r="DZ112" s="43">
        <f t="shared" si="118"/>
        <v>0.01</v>
      </c>
      <c r="EA112" s="43" t="str">
        <f t="shared" si="119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20"/>
        <v>100</v>
      </c>
      <c r="EF112" s="44">
        <v>1</v>
      </c>
      <c r="EG112" s="44">
        <v>0</v>
      </c>
      <c r="EH112" s="44" t="s">
        <v>875</v>
      </c>
      <c r="EI112" s="45">
        <v>0</v>
      </c>
      <c r="EJ112" s="43">
        <f t="shared" si="121"/>
        <v>5000</v>
      </c>
      <c r="EK112" s="69"/>
    </row>
    <row r="113" spans="1:141" x14ac:dyDescent="0.2">
      <c r="A113" s="7" t="str">
        <f t="shared" si="82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IF(IFERROR(INDEX(Consulta!$A:$DP,MATCH('MM01'!$B113,Consulta!$C:$C,0),'MM01'!D$2),"")=0,"",IFERROR(INDEX(Consulta!$A:$DP,MATCH('MM01'!$B113,Consulta!$C:$C,0),'MM01'!D$2),""))</f>
        <v/>
      </c>
      <c r="E113" s="43" t="str">
        <f>IF(IFERROR(INDEX(Consulta!$A:$DP,MATCH('MM01'!$B113,Consulta!$C:$C,0),'MM01'!E$2),"")=0,"",IFERROR(INDEX(Consulta!$A:$DP,MATCH('MM01'!$B113,Consulta!$C:$C,0),'MM01'!E$2),""))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3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4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5"/>
        <v/>
      </c>
      <c r="AV113" s="47" t="s">
        <v>795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6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7"/>
        <v/>
      </c>
      <c r="BC113" s="43" t="str">
        <f t="shared" si="88"/>
        <v/>
      </c>
      <c r="BD113" s="43" t="str">
        <f t="shared" si="89"/>
        <v/>
      </c>
      <c r="BE113" s="43" t="str">
        <f t="shared" si="90"/>
        <v>M</v>
      </c>
      <c r="BF113" s="43" t="str">
        <f t="shared" si="91"/>
        <v/>
      </c>
      <c r="BG113" s="43" t="str">
        <f t="shared" si="92"/>
        <v/>
      </c>
      <c r="BH113" s="43" t="str">
        <f t="shared" si="93"/>
        <v/>
      </c>
      <c r="BI113" s="43" t="str">
        <f t="shared" si="94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>
        <v>99</v>
      </c>
      <c r="BN113" s="46" t="str">
        <f t="shared" ca="1" si="95"/>
        <v>28.04.2022</v>
      </c>
      <c r="BO113" s="49" t="str">
        <f t="shared" si="96"/>
        <v/>
      </c>
      <c r="BP113" s="50">
        <v>1</v>
      </c>
      <c r="BQ113" s="50" t="s">
        <v>194</v>
      </c>
      <c r="BR113" s="79" t="str">
        <f t="shared" si="81"/>
        <v>01</v>
      </c>
      <c r="BS113" s="50" t="s">
        <v>795</v>
      </c>
      <c r="BT113" s="44">
        <v>1</v>
      </c>
      <c r="BU113" s="44" t="s">
        <v>371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391</v>
      </c>
      <c r="BZ113" s="50">
        <v>0</v>
      </c>
      <c r="CA113" s="45" t="s">
        <v>402</v>
      </c>
      <c r="CB113" s="45" t="s">
        <v>84</v>
      </c>
      <c r="CC113" s="43" t="str">
        <f t="shared" si="97"/>
        <v/>
      </c>
      <c r="CD113" s="45" t="s">
        <v>38</v>
      </c>
      <c r="CE113" s="45">
        <v>1</v>
      </c>
      <c r="CF113" s="45" t="s">
        <v>495</v>
      </c>
      <c r="CG113" s="45"/>
      <c r="CH113" s="44">
        <v>2</v>
      </c>
      <c r="CI113" s="49" t="str">
        <f t="shared" si="98"/>
        <v/>
      </c>
      <c r="CJ113" s="49" t="str">
        <f t="shared" si="99"/>
        <v/>
      </c>
      <c r="CK113" s="45"/>
      <c r="CL113" s="44">
        <v>1</v>
      </c>
      <c r="CM113" s="50" t="s">
        <v>514</v>
      </c>
      <c r="CN113" s="44" t="s">
        <v>371</v>
      </c>
      <c r="CO113" s="44">
        <v>2</v>
      </c>
      <c r="CP113" s="44">
        <v>42</v>
      </c>
      <c r="CQ113" s="44">
        <v>10</v>
      </c>
      <c r="CR113" s="43" t="str">
        <f t="shared" si="100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101"/>
        <v/>
      </c>
      <c r="CY113" s="43" t="str">
        <f t="shared" si="102"/>
        <v/>
      </c>
      <c r="CZ113" s="43" t="str">
        <f t="shared" si="103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4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773</v>
      </c>
      <c r="DZ113" s="43">
        <f t="shared" si="118"/>
        <v>0.01</v>
      </c>
      <c r="EA113" s="43" t="str">
        <f t="shared" si="119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20"/>
        <v>100</v>
      </c>
      <c r="EF113" s="44">
        <v>1</v>
      </c>
      <c r="EG113" s="44">
        <v>0</v>
      </c>
      <c r="EH113" s="44" t="s">
        <v>875</v>
      </c>
      <c r="EI113" s="45">
        <v>0</v>
      </c>
      <c r="EJ113" s="43">
        <f t="shared" si="121"/>
        <v>5000</v>
      </c>
      <c r="EK113" s="69"/>
    </row>
    <row r="114" spans="1:141" x14ac:dyDescent="0.2">
      <c r="A114" s="7" t="str">
        <f t="shared" si="82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IF(IFERROR(INDEX(Consulta!$A:$DP,MATCH('MM01'!$B114,Consulta!$C:$C,0),'MM01'!D$2),"")=0,"",IFERROR(INDEX(Consulta!$A:$DP,MATCH('MM01'!$B114,Consulta!$C:$C,0),'MM01'!D$2),""))</f>
        <v/>
      </c>
      <c r="E114" s="43" t="str">
        <f>IF(IFERROR(INDEX(Consulta!$A:$DP,MATCH('MM01'!$B114,Consulta!$C:$C,0),'MM01'!E$2),"")=0,"",IFERROR(INDEX(Consulta!$A:$DP,MATCH('MM01'!$B114,Consulta!$C:$C,0),'MM01'!E$2),""))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3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4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5"/>
        <v/>
      </c>
      <c r="AV114" s="47" t="s">
        <v>795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6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7"/>
        <v/>
      </c>
      <c r="BC114" s="43" t="str">
        <f t="shared" si="88"/>
        <v/>
      </c>
      <c r="BD114" s="43" t="str">
        <f t="shared" si="89"/>
        <v/>
      </c>
      <c r="BE114" s="43" t="str">
        <f t="shared" si="90"/>
        <v>M</v>
      </c>
      <c r="BF114" s="43" t="str">
        <f t="shared" si="91"/>
        <v/>
      </c>
      <c r="BG114" s="43" t="str">
        <f t="shared" si="92"/>
        <v/>
      </c>
      <c r="BH114" s="43" t="str">
        <f t="shared" si="93"/>
        <v/>
      </c>
      <c r="BI114" s="43" t="str">
        <f t="shared" si="94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>
        <v>99</v>
      </c>
      <c r="BN114" s="46" t="str">
        <f t="shared" ca="1" si="95"/>
        <v>28.04.2022</v>
      </c>
      <c r="BO114" s="49" t="str">
        <f t="shared" si="96"/>
        <v/>
      </c>
      <c r="BP114" s="50">
        <v>1</v>
      </c>
      <c r="BQ114" s="50" t="s">
        <v>194</v>
      </c>
      <c r="BR114" s="79" t="str">
        <f t="shared" si="81"/>
        <v>01</v>
      </c>
      <c r="BS114" s="50" t="s">
        <v>795</v>
      </c>
      <c r="BT114" s="44">
        <v>1</v>
      </c>
      <c r="BU114" s="44" t="s">
        <v>371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391</v>
      </c>
      <c r="BZ114" s="50">
        <v>0</v>
      </c>
      <c r="CA114" s="45" t="s">
        <v>402</v>
      </c>
      <c r="CB114" s="45" t="s">
        <v>84</v>
      </c>
      <c r="CC114" s="43" t="str">
        <f t="shared" si="97"/>
        <v/>
      </c>
      <c r="CD114" s="45" t="s">
        <v>38</v>
      </c>
      <c r="CE114" s="45">
        <v>1</v>
      </c>
      <c r="CF114" s="45" t="s">
        <v>495</v>
      </c>
      <c r="CG114" s="45"/>
      <c r="CH114" s="44">
        <v>2</v>
      </c>
      <c r="CI114" s="49" t="str">
        <f t="shared" si="98"/>
        <v/>
      </c>
      <c r="CJ114" s="49" t="str">
        <f t="shared" si="99"/>
        <v/>
      </c>
      <c r="CK114" s="45"/>
      <c r="CL114" s="44">
        <v>1</v>
      </c>
      <c r="CM114" s="50" t="s">
        <v>514</v>
      </c>
      <c r="CN114" s="44" t="s">
        <v>371</v>
      </c>
      <c r="CO114" s="44">
        <v>2</v>
      </c>
      <c r="CP114" s="44">
        <v>42</v>
      </c>
      <c r="CQ114" s="44">
        <v>10</v>
      </c>
      <c r="CR114" s="43" t="str">
        <f t="shared" si="100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101"/>
        <v/>
      </c>
      <c r="CY114" s="43" t="str">
        <f t="shared" si="102"/>
        <v/>
      </c>
      <c r="CZ114" s="43" t="str">
        <f t="shared" si="103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4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773</v>
      </c>
      <c r="DZ114" s="43">
        <f t="shared" si="118"/>
        <v>0.01</v>
      </c>
      <c r="EA114" s="43" t="str">
        <f t="shared" si="119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20"/>
        <v>100</v>
      </c>
      <c r="EF114" s="44">
        <v>1</v>
      </c>
      <c r="EG114" s="44">
        <v>0</v>
      </c>
      <c r="EH114" s="44" t="s">
        <v>875</v>
      </c>
      <c r="EI114" s="45">
        <v>0</v>
      </c>
      <c r="EJ114" s="43">
        <f t="shared" si="121"/>
        <v>5000</v>
      </c>
      <c r="EK114" s="69"/>
    </row>
    <row r="115" spans="1:141" x14ac:dyDescent="0.2">
      <c r="A115" s="7" t="str">
        <f t="shared" si="82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IF(IFERROR(INDEX(Consulta!$A:$DP,MATCH('MM01'!$B115,Consulta!$C:$C,0),'MM01'!D$2),"")=0,"",IFERROR(INDEX(Consulta!$A:$DP,MATCH('MM01'!$B115,Consulta!$C:$C,0),'MM01'!D$2),""))</f>
        <v/>
      </c>
      <c r="E115" s="43" t="str">
        <f>IF(IFERROR(INDEX(Consulta!$A:$DP,MATCH('MM01'!$B115,Consulta!$C:$C,0),'MM01'!E$2),"")=0,"",IFERROR(INDEX(Consulta!$A:$DP,MATCH('MM01'!$B115,Consulta!$C:$C,0),'MM01'!E$2),""))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3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4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5"/>
        <v/>
      </c>
      <c r="AV115" s="47" t="s">
        <v>795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6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7"/>
        <v/>
      </c>
      <c r="BC115" s="43" t="str">
        <f t="shared" si="88"/>
        <v/>
      </c>
      <c r="BD115" s="43" t="str">
        <f t="shared" si="89"/>
        <v/>
      </c>
      <c r="BE115" s="43" t="str">
        <f t="shared" si="90"/>
        <v>M</v>
      </c>
      <c r="BF115" s="43" t="str">
        <f t="shared" si="91"/>
        <v/>
      </c>
      <c r="BG115" s="43" t="str">
        <f t="shared" si="92"/>
        <v/>
      </c>
      <c r="BH115" s="43" t="str">
        <f t="shared" si="93"/>
        <v/>
      </c>
      <c r="BI115" s="43" t="str">
        <f t="shared" si="94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>
        <v>99</v>
      </c>
      <c r="BN115" s="46" t="str">
        <f t="shared" ca="1" si="95"/>
        <v>28.04.2022</v>
      </c>
      <c r="BO115" s="49" t="str">
        <f t="shared" si="96"/>
        <v/>
      </c>
      <c r="BP115" s="50">
        <v>1</v>
      </c>
      <c r="BQ115" s="50" t="s">
        <v>194</v>
      </c>
      <c r="BR115" s="79" t="str">
        <f t="shared" si="81"/>
        <v>01</v>
      </c>
      <c r="BS115" s="50" t="s">
        <v>795</v>
      </c>
      <c r="BT115" s="44">
        <v>1</v>
      </c>
      <c r="BU115" s="44" t="s">
        <v>371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391</v>
      </c>
      <c r="BZ115" s="50">
        <v>0</v>
      </c>
      <c r="CA115" s="45" t="s">
        <v>402</v>
      </c>
      <c r="CB115" s="45" t="s">
        <v>84</v>
      </c>
      <c r="CC115" s="43" t="str">
        <f t="shared" si="97"/>
        <v/>
      </c>
      <c r="CD115" s="45" t="s">
        <v>38</v>
      </c>
      <c r="CE115" s="45">
        <v>1</v>
      </c>
      <c r="CF115" s="45" t="s">
        <v>495</v>
      </c>
      <c r="CG115" s="45"/>
      <c r="CH115" s="44">
        <v>2</v>
      </c>
      <c r="CI115" s="49" t="str">
        <f t="shared" si="98"/>
        <v/>
      </c>
      <c r="CJ115" s="49" t="str">
        <f t="shared" si="99"/>
        <v/>
      </c>
      <c r="CK115" s="45"/>
      <c r="CL115" s="44">
        <v>1</v>
      </c>
      <c r="CM115" s="50" t="s">
        <v>514</v>
      </c>
      <c r="CN115" s="44" t="s">
        <v>371</v>
      </c>
      <c r="CO115" s="44">
        <v>2</v>
      </c>
      <c r="CP115" s="44">
        <v>42</v>
      </c>
      <c r="CQ115" s="44">
        <v>10</v>
      </c>
      <c r="CR115" s="43" t="str">
        <f t="shared" si="100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101"/>
        <v/>
      </c>
      <c r="CY115" s="43" t="str">
        <f t="shared" si="102"/>
        <v/>
      </c>
      <c r="CZ115" s="43" t="str">
        <f t="shared" si="103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4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773</v>
      </c>
      <c r="DZ115" s="43">
        <f t="shared" si="118"/>
        <v>0.01</v>
      </c>
      <c r="EA115" s="43" t="str">
        <f t="shared" si="119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20"/>
        <v>100</v>
      </c>
      <c r="EF115" s="44">
        <v>1</v>
      </c>
      <c r="EG115" s="44">
        <v>0</v>
      </c>
      <c r="EH115" s="44" t="s">
        <v>875</v>
      </c>
      <c r="EI115" s="45">
        <v>0</v>
      </c>
      <c r="EJ115" s="43">
        <f t="shared" si="121"/>
        <v>5000</v>
      </c>
      <c r="EK115" s="69"/>
    </row>
    <row r="116" spans="1:141" x14ac:dyDescent="0.2">
      <c r="A116" s="7" t="str">
        <f t="shared" si="82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IF(IFERROR(INDEX(Consulta!$A:$DP,MATCH('MM01'!$B116,Consulta!$C:$C,0),'MM01'!D$2),"")=0,"",IFERROR(INDEX(Consulta!$A:$DP,MATCH('MM01'!$B116,Consulta!$C:$C,0),'MM01'!D$2),""))</f>
        <v/>
      </c>
      <c r="E116" s="43" t="str">
        <f>IF(IFERROR(INDEX(Consulta!$A:$DP,MATCH('MM01'!$B116,Consulta!$C:$C,0),'MM01'!E$2),"")=0,"",IFERROR(INDEX(Consulta!$A:$DP,MATCH('MM01'!$B116,Consulta!$C:$C,0),'MM01'!E$2),""))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3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4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5"/>
        <v/>
      </c>
      <c r="AV116" s="47" t="s">
        <v>795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6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7"/>
        <v/>
      </c>
      <c r="BC116" s="43" t="str">
        <f t="shared" si="88"/>
        <v/>
      </c>
      <c r="BD116" s="43" t="str">
        <f t="shared" si="89"/>
        <v/>
      </c>
      <c r="BE116" s="43" t="str">
        <f t="shared" si="90"/>
        <v>M</v>
      </c>
      <c r="BF116" s="43" t="str">
        <f t="shared" si="91"/>
        <v/>
      </c>
      <c r="BG116" s="43" t="str">
        <f t="shared" si="92"/>
        <v/>
      </c>
      <c r="BH116" s="43" t="str">
        <f t="shared" si="93"/>
        <v/>
      </c>
      <c r="BI116" s="43" t="str">
        <f t="shared" si="94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>
        <v>99</v>
      </c>
      <c r="BN116" s="46" t="str">
        <f t="shared" ca="1" si="95"/>
        <v>28.04.2022</v>
      </c>
      <c r="BO116" s="49" t="str">
        <f t="shared" si="96"/>
        <v/>
      </c>
      <c r="BP116" s="50">
        <v>1</v>
      </c>
      <c r="BQ116" s="50" t="s">
        <v>194</v>
      </c>
      <c r="BR116" s="79" t="str">
        <f t="shared" si="81"/>
        <v>01</v>
      </c>
      <c r="BS116" s="50" t="s">
        <v>795</v>
      </c>
      <c r="BT116" s="44">
        <v>1</v>
      </c>
      <c r="BU116" s="44" t="s">
        <v>371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391</v>
      </c>
      <c r="BZ116" s="50">
        <v>0</v>
      </c>
      <c r="CA116" s="45" t="s">
        <v>402</v>
      </c>
      <c r="CB116" s="45" t="s">
        <v>84</v>
      </c>
      <c r="CC116" s="43" t="str">
        <f t="shared" si="97"/>
        <v/>
      </c>
      <c r="CD116" s="45" t="s">
        <v>38</v>
      </c>
      <c r="CE116" s="45">
        <v>1</v>
      </c>
      <c r="CF116" s="45" t="s">
        <v>495</v>
      </c>
      <c r="CG116" s="45"/>
      <c r="CH116" s="44">
        <v>2</v>
      </c>
      <c r="CI116" s="49" t="str">
        <f t="shared" si="98"/>
        <v/>
      </c>
      <c r="CJ116" s="49" t="str">
        <f t="shared" si="99"/>
        <v/>
      </c>
      <c r="CK116" s="45"/>
      <c r="CL116" s="44">
        <v>1</v>
      </c>
      <c r="CM116" s="50" t="s">
        <v>514</v>
      </c>
      <c r="CN116" s="44" t="s">
        <v>371</v>
      </c>
      <c r="CO116" s="44">
        <v>2</v>
      </c>
      <c r="CP116" s="44">
        <v>42</v>
      </c>
      <c r="CQ116" s="44">
        <v>10</v>
      </c>
      <c r="CR116" s="43" t="str">
        <f t="shared" si="100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101"/>
        <v/>
      </c>
      <c r="CY116" s="43" t="str">
        <f t="shared" si="102"/>
        <v/>
      </c>
      <c r="CZ116" s="43" t="str">
        <f t="shared" si="103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4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773</v>
      </c>
      <c r="DZ116" s="43">
        <f t="shared" si="118"/>
        <v>0.01</v>
      </c>
      <c r="EA116" s="43" t="str">
        <f t="shared" si="119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20"/>
        <v>100</v>
      </c>
      <c r="EF116" s="44">
        <v>1</v>
      </c>
      <c r="EG116" s="44">
        <v>0</v>
      </c>
      <c r="EH116" s="44" t="s">
        <v>875</v>
      </c>
      <c r="EI116" s="45">
        <v>0</v>
      </c>
      <c r="EJ116" s="43">
        <f t="shared" si="121"/>
        <v>5000</v>
      </c>
      <c r="EK116" s="69"/>
    </row>
    <row r="117" spans="1:141" x14ac:dyDescent="0.2">
      <c r="A117" s="7" t="str">
        <f t="shared" si="82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IF(IFERROR(INDEX(Consulta!$A:$DP,MATCH('MM01'!$B117,Consulta!$C:$C,0),'MM01'!D$2),"")=0,"",IFERROR(INDEX(Consulta!$A:$DP,MATCH('MM01'!$B117,Consulta!$C:$C,0),'MM01'!D$2),""))</f>
        <v/>
      </c>
      <c r="E117" s="43" t="str">
        <f>IF(IFERROR(INDEX(Consulta!$A:$DP,MATCH('MM01'!$B117,Consulta!$C:$C,0),'MM01'!E$2),"")=0,"",IFERROR(INDEX(Consulta!$A:$DP,MATCH('MM01'!$B117,Consulta!$C:$C,0),'MM01'!E$2),""))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3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4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5"/>
        <v/>
      </c>
      <c r="AV117" s="47" t="s">
        <v>795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6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7"/>
        <v/>
      </c>
      <c r="BC117" s="43" t="str">
        <f t="shared" si="88"/>
        <v/>
      </c>
      <c r="BD117" s="43" t="str">
        <f t="shared" si="89"/>
        <v/>
      </c>
      <c r="BE117" s="43" t="str">
        <f t="shared" si="90"/>
        <v>M</v>
      </c>
      <c r="BF117" s="43" t="str">
        <f t="shared" si="91"/>
        <v/>
      </c>
      <c r="BG117" s="43" t="str">
        <f t="shared" si="92"/>
        <v/>
      </c>
      <c r="BH117" s="43" t="str">
        <f t="shared" si="93"/>
        <v/>
      </c>
      <c r="BI117" s="43" t="str">
        <f t="shared" si="94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>
        <v>99</v>
      </c>
      <c r="BN117" s="46" t="str">
        <f t="shared" ca="1" si="95"/>
        <v>28.04.2022</v>
      </c>
      <c r="BO117" s="49" t="str">
        <f t="shared" si="96"/>
        <v/>
      </c>
      <c r="BP117" s="50">
        <v>1</v>
      </c>
      <c r="BQ117" s="50" t="s">
        <v>194</v>
      </c>
      <c r="BR117" s="79" t="str">
        <f t="shared" si="81"/>
        <v>01</v>
      </c>
      <c r="BS117" s="50" t="s">
        <v>795</v>
      </c>
      <c r="BT117" s="44">
        <v>1</v>
      </c>
      <c r="BU117" s="44" t="s">
        <v>371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391</v>
      </c>
      <c r="BZ117" s="50">
        <v>0</v>
      </c>
      <c r="CA117" s="45" t="s">
        <v>402</v>
      </c>
      <c r="CB117" s="45" t="s">
        <v>84</v>
      </c>
      <c r="CC117" s="43" t="str">
        <f t="shared" si="97"/>
        <v/>
      </c>
      <c r="CD117" s="45" t="s">
        <v>38</v>
      </c>
      <c r="CE117" s="45">
        <v>1</v>
      </c>
      <c r="CF117" s="45" t="s">
        <v>495</v>
      </c>
      <c r="CG117" s="45"/>
      <c r="CH117" s="44">
        <v>2</v>
      </c>
      <c r="CI117" s="49" t="str">
        <f t="shared" si="98"/>
        <v/>
      </c>
      <c r="CJ117" s="49" t="str">
        <f t="shared" si="99"/>
        <v/>
      </c>
      <c r="CK117" s="45"/>
      <c r="CL117" s="44">
        <v>1</v>
      </c>
      <c r="CM117" s="50" t="s">
        <v>514</v>
      </c>
      <c r="CN117" s="44" t="s">
        <v>371</v>
      </c>
      <c r="CO117" s="44">
        <v>2</v>
      </c>
      <c r="CP117" s="44">
        <v>42</v>
      </c>
      <c r="CQ117" s="44">
        <v>10</v>
      </c>
      <c r="CR117" s="43" t="str">
        <f t="shared" si="100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101"/>
        <v/>
      </c>
      <c r="CY117" s="43" t="str">
        <f t="shared" si="102"/>
        <v/>
      </c>
      <c r="CZ117" s="43" t="str">
        <f t="shared" si="103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4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773</v>
      </c>
      <c r="DZ117" s="43">
        <f t="shared" si="118"/>
        <v>0.01</v>
      </c>
      <c r="EA117" s="43" t="str">
        <f t="shared" si="119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20"/>
        <v>100</v>
      </c>
      <c r="EF117" s="44">
        <v>1</v>
      </c>
      <c r="EG117" s="44">
        <v>0</v>
      </c>
      <c r="EH117" s="44" t="s">
        <v>875</v>
      </c>
      <c r="EI117" s="45">
        <v>0</v>
      </c>
      <c r="EJ117" s="43">
        <f t="shared" si="121"/>
        <v>5000</v>
      </c>
      <c r="EK117" s="69"/>
    </row>
    <row r="118" spans="1:141" x14ac:dyDescent="0.2">
      <c r="A118" s="7" t="str">
        <f t="shared" si="82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IF(IFERROR(INDEX(Consulta!$A:$DP,MATCH('MM01'!$B118,Consulta!$C:$C,0),'MM01'!D$2),"")=0,"",IFERROR(INDEX(Consulta!$A:$DP,MATCH('MM01'!$B118,Consulta!$C:$C,0),'MM01'!D$2),""))</f>
        <v/>
      </c>
      <c r="E118" s="43" t="str">
        <f>IF(IFERROR(INDEX(Consulta!$A:$DP,MATCH('MM01'!$B118,Consulta!$C:$C,0),'MM01'!E$2),"")=0,"",IFERROR(INDEX(Consulta!$A:$DP,MATCH('MM01'!$B118,Consulta!$C:$C,0),'MM01'!E$2),""))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3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4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5"/>
        <v/>
      </c>
      <c r="AV118" s="47" t="s">
        <v>795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6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7"/>
        <v/>
      </c>
      <c r="BC118" s="43" t="str">
        <f t="shared" si="88"/>
        <v/>
      </c>
      <c r="BD118" s="43" t="str">
        <f t="shared" si="89"/>
        <v/>
      </c>
      <c r="BE118" s="43" t="str">
        <f t="shared" si="90"/>
        <v>M</v>
      </c>
      <c r="BF118" s="43" t="str">
        <f t="shared" si="91"/>
        <v/>
      </c>
      <c r="BG118" s="43" t="str">
        <f t="shared" si="92"/>
        <v/>
      </c>
      <c r="BH118" s="43" t="str">
        <f t="shared" si="93"/>
        <v/>
      </c>
      <c r="BI118" s="43" t="str">
        <f t="shared" si="94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>
        <v>99</v>
      </c>
      <c r="BN118" s="46" t="str">
        <f t="shared" ca="1" si="95"/>
        <v>28.04.2022</v>
      </c>
      <c r="BO118" s="49" t="str">
        <f t="shared" si="96"/>
        <v/>
      </c>
      <c r="BP118" s="50">
        <v>1</v>
      </c>
      <c r="BQ118" s="50" t="s">
        <v>194</v>
      </c>
      <c r="BR118" s="79" t="str">
        <f t="shared" si="81"/>
        <v>01</v>
      </c>
      <c r="BS118" s="50" t="s">
        <v>795</v>
      </c>
      <c r="BT118" s="44">
        <v>1</v>
      </c>
      <c r="BU118" s="44" t="s">
        <v>371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391</v>
      </c>
      <c r="BZ118" s="50">
        <v>0</v>
      </c>
      <c r="CA118" s="45" t="s">
        <v>402</v>
      </c>
      <c r="CB118" s="45" t="s">
        <v>84</v>
      </c>
      <c r="CC118" s="43" t="str">
        <f t="shared" si="97"/>
        <v/>
      </c>
      <c r="CD118" s="45" t="s">
        <v>38</v>
      </c>
      <c r="CE118" s="45">
        <v>1</v>
      </c>
      <c r="CF118" s="45" t="s">
        <v>495</v>
      </c>
      <c r="CG118" s="45"/>
      <c r="CH118" s="44">
        <v>2</v>
      </c>
      <c r="CI118" s="49" t="str">
        <f t="shared" si="98"/>
        <v/>
      </c>
      <c r="CJ118" s="49" t="str">
        <f t="shared" si="99"/>
        <v/>
      </c>
      <c r="CK118" s="45"/>
      <c r="CL118" s="44">
        <v>1</v>
      </c>
      <c r="CM118" s="50" t="s">
        <v>514</v>
      </c>
      <c r="CN118" s="44" t="s">
        <v>371</v>
      </c>
      <c r="CO118" s="44">
        <v>2</v>
      </c>
      <c r="CP118" s="44">
        <v>42</v>
      </c>
      <c r="CQ118" s="44">
        <v>10</v>
      </c>
      <c r="CR118" s="43" t="str">
        <f t="shared" si="100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101"/>
        <v/>
      </c>
      <c r="CY118" s="43" t="str">
        <f t="shared" si="102"/>
        <v/>
      </c>
      <c r="CZ118" s="43" t="str">
        <f t="shared" si="103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4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773</v>
      </c>
      <c r="DZ118" s="43">
        <f t="shared" si="118"/>
        <v>0.01</v>
      </c>
      <c r="EA118" s="43" t="str">
        <f t="shared" si="119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20"/>
        <v>100</v>
      </c>
      <c r="EF118" s="44">
        <v>1</v>
      </c>
      <c r="EG118" s="44">
        <v>0</v>
      </c>
      <c r="EH118" s="44" t="s">
        <v>875</v>
      </c>
      <c r="EI118" s="45">
        <v>0</v>
      </c>
      <c r="EJ118" s="43">
        <f t="shared" si="121"/>
        <v>5000</v>
      </c>
      <c r="EK118" s="69"/>
    </row>
    <row r="119" spans="1:141" x14ac:dyDescent="0.2">
      <c r="A119" s="7" t="str">
        <f t="shared" si="82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IF(IFERROR(INDEX(Consulta!$A:$DP,MATCH('MM01'!$B119,Consulta!$C:$C,0),'MM01'!D$2),"")=0,"",IFERROR(INDEX(Consulta!$A:$DP,MATCH('MM01'!$B119,Consulta!$C:$C,0),'MM01'!D$2),""))</f>
        <v/>
      </c>
      <c r="E119" s="43" t="str">
        <f>IF(IFERROR(INDEX(Consulta!$A:$DP,MATCH('MM01'!$B119,Consulta!$C:$C,0),'MM01'!E$2),"")=0,"",IFERROR(INDEX(Consulta!$A:$DP,MATCH('MM01'!$B119,Consulta!$C:$C,0),'MM01'!E$2),""))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3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4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5"/>
        <v/>
      </c>
      <c r="AV119" s="47" t="s">
        <v>795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6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7"/>
        <v/>
      </c>
      <c r="BC119" s="43" t="str">
        <f t="shared" si="88"/>
        <v/>
      </c>
      <c r="BD119" s="43" t="str">
        <f t="shared" si="89"/>
        <v/>
      </c>
      <c r="BE119" s="43" t="str">
        <f t="shared" si="90"/>
        <v>M</v>
      </c>
      <c r="BF119" s="43" t="str">
        <f t="shared" si="91"/>
        <v/>
      </c>
      <c r="BG119" s="43" t="str">
        <f t="shared" si="92"/>
        <v/>
      </c>
      <c r="BH119" s="43" t="str">
        <f t="shared" si="93"/>
        <v/>
      </c>
      <c r="BI119" s="43" t="str">
        <f t="shared" si="94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>
        <v>99</v>
      </c>
      <c r="BN119" s="46" t="str">
        <f t="shared" ca="1" si="95"/>
        <v>28.04.2022</v>
      </c>
      <c r="BO119" s="49" t="str">
        <f t="shared" si="96"/>
        <v/>
      </c>
      <c r="BP119" s="50">
        <v>1</v>
      </c>
      <c r="BQ119" s="50" t="s">
        <v>194</v>
      </c>
      <c r="BR119" s="79" t="str">
        <f t="shared" si="81"/>
        <v>01</v>
      </c>
      <c r="BS119" s="50" t="s">
        <v>795</v>
      </c>
      <c r="BT119" s="44">
        <v>1</v>
      </c>
      <c r="BU119" s="44" t="s">
        <v>371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391</v>
      </c>
      <c r="BZ119" s="50">
        <v>0</v>
      </c>
      <c r="CA119" s="45" t="s">
        <v>402</v>
      </c>
      <c r="CB119" s="45" t="s">
        <v>84</v>
      </c>
      <c r="CC119" s="43" t="str">
        <f t="shared" si="97"/>
        <v/>
      </c>
      <c r="CD119" s="45" t="s">
        <v>38</v>
      </c>
      <c r="CE119" s="45">
        <v>1</v>
      </c>
      <c r="CF119" s="45" t="s">
        <v>495</v>
      </c>
      <c r="CG119" s="45"/>
      <c r="CH119" s="44">
        <v>2</v>
      </c>
      <c r="CI119" s="49" t="str">
        <f t="shared" si="98"/>
        <v/>
      </c>
      <c r="CJ119" s="49" t="str">
        <f t="shared" si="99"/>
        <v/>
      </c>
      <c r="CK119" s="45"/>
      <c r="CL119" s="44">
        <v>1</v>
      </c>
      <c r="CM119" s="50" t="s">
        <v>514</v>
      </c>
      <c r="CN119" s="44" t="s">
        <v>371</v>
      </c>
      <c r="CO119" s="44">
        <v>2</v>
      </c>
      <c r="CP119" s="44">
        <v>42</v>
      </c>
      <c r="CQ119" s="44">
        <v>10</v>
      </c>
      <c r="CR119" s="43" t="str">
        <f t="shared" si="100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101"/>
        <v/>
      </c>
      <c r="CY119" s="43" t="str">
        <f t="shared" si="102"/>
        <v/>
      </c>
      <c r="CZ119" s="43" t="str">
        <f t="shared" si="103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4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773</v>
      </c>
      <c r="DZ119" s="43">
        <f t="shared" si="118"/>
        <v>0.01</v>
      </c>
      <c r="EA119" s="43" t="str">
        <f t="shared" si="119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20"/>
        <v>100</v>
      </c>
      <c r="EF119" s="44">
        <v>1</v>
      </c>
      <c r="EG119" s="44">
        <v>0</v>
      </c>
      <c r="EH119" s="44" t="s">
        <v>875</v>
      </c>
      <c r="EI119" s="45">
        <v>0</v>
      </c>
      <c r="EJ119" s="43">
        <f t="shared" si="121"/>
        <v>5000</v>
      </c>
      <c r="EK119" s="69"/>
    </row>
    <row r="120" spans="1:141" x14ac:dyDescent="0.2">
      <c r="A120" s="7" t="str">
        <f t="shared" si="82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IF(IFERROR(INDEX(Consulta!$A:$DP,MATCH('MM01'!$B120,Consulta!$C:$C,0),'MM01'!D$2),"")=0,"",IFERROR(INDEX(Consulta!$A:$DP,MATCH('MM01'!$B120,Consulta!$C:$C,0),'MM01'!D$2),""))</f>
        <v/>
      </c>
      <c r="E120" s="43" t="str">
        <f>IF(IFERROR(INDEX(Consulta!$A:$DP,MATCH('MM01'!$B120,Consulta!$C:$C,0),'MM01'!E$2),"")=0,"",IFERROR(INDEX(Consulta!$A:$DP,MATCH('MM01'!$B120,Consulta!$C:$C,0),'MM01'!E$2),""))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3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4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5"/>
        <v/>
      </c>
      <c r="AV120" s="47" t="s">
        <v>795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6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7"/>
        <v/>
      </c>
      <c r="BC120" s="43" t="str">
        <f t="shared" si="88"/>
        <v/>
      </c>
      <c r="BD120" s="43" t="str">
        <f t="shared" si="89"/>
        <v/>
      </c>
      <c r="BE120" s="43" t="str">
        <f t="shared" si="90"/>
        <v>M</v>
      </c>
      <c r="BF120" s="43" t="str">
        <f t="shared" si="91"/>
        <v/>
      </c>
      <c r="BG120" s="43" t="str">
        <f t="shared" si="92"/>
        <v/>
      </c>
      <c r="BH120" s="43" t="str">
        <f t="shared" si="93"/>
        <v/>
      </c>
      <c r="BI120" s="43" t="str">
        <f t="shared" si="94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>
        <v>99</v>
      </c>
      <c r="BN120" s="46" t="str">
        <f t="shared" ca="1" si="95"/>
        <v>28.04.2022</v>
      </c>
      <c r="BO120" s="49" t="str">
        <f t="shared" si="96"/>
        <v/>
      </c>
      <c r="BP120" s="50">
        <v>1</v>
      </c>
      <c r="BQ120" s="50" t="s">
        <v>194</v>
      </c>
      <c r="BR120" s="79" t="str">
        <f t="shared" si="81"/>
        <v>01</v>
      </c>
      <c r="BS120" s="50" t="s">
        <v>795</v>
      </c>
      <c r="BT120" s="44">
        <v>1</v>
      </c>
      <c r="BU120" s="44" t="s">
        <v>371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391</v>
      </c>
      <c r="BZ120" s="50">
        <v>0</v>
      </c>
      <c r="CA120" s="45" t="s">
        <v>402</v>
      </c>
      <c r="CB120" s="45" t="s">
        <v>84</v>
      </c>
      <c r="CC120" s="43" t="str">
        <f t="shared" si="97"/>
        <v/>
      </c>
      <c r="CD120" s="45" t="s">
        <v>38</v>
      </c>
      <c r="CE120" s="45">
        <v>1</v>
      </c>
      <c r="CF120" s="45" t="s">
        <v>495</v>
      </c>
      <c r="CG120" s="45"/>
      <c r="CH120" s="44">
        <v>2</v>
      </c>
      <c r="CI120" s="49" t="str">
        <f t="shared" si="98"/>
        <v/>
      </c>
      <c r="CJ120" s="49" t="str">
        <f t="shared" si="99"/>
        <v/>
      </c>
      <c r="CK120" s="45"/>
      <c r="CL120" s="44">
        <v>1</v>
      </c>
      <c r="CM120" s="50" t="s">
        <v>514</v>
      </c>
      <c r="CN120" s="44" t="s">
        <v>371</v>
      </c>
      <c r="CO120" s="44">
        <v>2</v>
      </c>
      <c r="CP120" s="44">
        <v>42</v>
      </c>
      <c r="CQ120" s="44">
        <v>10</v>
      </c>
      <c r="CR120" s="43" t="str">
        <f t="shared" si="100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101"/>
        <v/>
      </c>
      <c r="CY120" s="43" t="str">
        <f t="shared" si="102"/>
        <v/>
      </c>
      <c r="CZ120" s="43" t="str">
        <f t="shared" si="103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4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773</v>
      </c>
      <c r="DZ120" s="43">
        <f t="shared" si="118"/>
        <v>0.01</v>
      </c>
      <c r="EA120" s="43" t="str">
        <f t="shared" si="119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20"/>
        <v>100</v>
      </c>
      <c r="EF120" s="44">
        <v>1</v>
      </c>
      <c r="EG120" s="44">
        <v>0</v>
      </c>
      <c r="EH120" s="44" t="s">
        <v>875</v>
      </c>
      <c r="EI120" s="45">
        <v>0</v>
      </c>
      <c r="EJ120" s="43">
        <f t="shared" si="121"/>
        <v>5000</v>
      </c>
      <c r="EK120" s="69"/>
    </row>
    <row r="121" spans="1:141" x14ac:dyDescent="0.2">
      <c r="A121" s="7" t="str">
        <f t="shared" si="82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IF(IFERROR(INDEX(Consulta!$A:$DP,MATCH('MM01'!$B121,Consulta!$C:$C,0),'MM01'!D$2),"")=0,"",IFERROR(INDEX(Consulta!$A:$DP,MATCH('MM01'!$B121,Consulta!$C:$C,0),'MM01'!D$2),""))</f>
        <v/>
      </c>
      <c r="E121" s="43" t="str">
        <f>IF(IFERROR(INDEX(Consulta!$A:$DP,MATCH('MM01'!$B121,Consulta!$C:$C,0),'MM01'!E$2),"")=0,"",IFERROR(INDEX(Consulta!$A:$DP,MATCH('MM01'!$B121,Consulta!$C:$C,0),'MM01'!E$2),""))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3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4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5"/>
        <v/>
      </c>
      <c r="AV121" s="47" t="s">
        <v>795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6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7"/>
        <v/>
      </c>
      <c r="BC121" s="43" t="str">
        <f t="shared" si="88"/>
        <v/>
      </c>
      <c r="BD121" s="43" t="str">
        <f t="shared" si="89"/>
        <v/>
      </c>
      <c r="BE121" s="43" t="str">
        <f t="shared" si="90"/>
        <v>M</v>
      </c>
      <c r="BF121" s="43" t="str">
        <f t="shared" si="91"/>
        <v/>
      </c>
      <c r="BG121" s="43" t="str">
        <f t="shared" si="92"/>
        <v/>
      </c>
      <c r="BH121" s="43" t="str">
        <f t="shared" si="93"/>
        <v/>
      </c>
      <c r="BI121" s="43" t="str">
        <f t="shared" si="94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>
        <v>99</v>
      </c>
      <c r="BN121" s="46" t="str">
        <f t="shared" ca="1" si="95"/>
        <v>28.04.2022</v>
      </c>
      <c r="BO121" s="49" t="str">
        <f t="shared" si="96"/>
        <v/>
      </c>
      <c r="BP121" s="50">
        <v>1</v>
      </c>
      <c r="BQ121" s="50" t="s">
        <v>194</v>
      </c>
      <c r="BR121" s="79" t="str">
        <f t="shared" si="81"/>
        <v>01</v>
      </c>
      <c r="BS121" s="50" t="s">
        <v>795</v>
      </c>
      <c r="BT121" s="44">
        <v>1</v>
      </c>
      <c r="BU121" s="44" t="s">
        <v>371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391</v>
      </c>
      <c r="BZ121" s="50">
        <v>0</v>
      </c>
      <c r="CA121" s="45" t="s">
        <v>402</v>
      </c>
      <c r="CB121" s="45" t="s">
        <v>84</v>
      </c>
      <c r="CC121" s="43" t="str">
        <f t="shared" si="97"/>
        <v/>
      </c>
      <c r="CD121" s="45" t="s">
        <v>38</v>
      </c>
      <c r="CE121" s="45">
        <v>1</v>
      </c>
      <c r="CF121" s="45" t="s">
        <v>495</v>
      </c>
      <c r="CG121" s="45"/>
      <c r="CH121" s="44">
        <v>2</v>
      </c>
      <c r="CI121" s="49" t="str">
        <f t="shared" si="98"/>
        <v/>
      </c>
      <c r="CJ121" s="49" t="str">
        <f t="shared" si="99"/>
        <v/>
      </c>
      <c r="CK121" s="45"/>
      <c r="CL121" s="44">
        <v>1</v>
      </c>
      <c r="CM121" s="50" t="s">
        <v>514</v>
      </c>
      <c r="CN121" s="44" t="s">
        <v>371</v>
      </c>
      <c r="CO121" s="44">
        <v>2</v>
      </c>
      <c r="CP121" s="44">
        <v>42</v>
      </c>
      <c r="CQ121" s="44">
        <v>10</v>
      </c>
      <c r="CR121" s="43" t="str">
        <f t="shared" si="100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101"/>
        <v/>
      </c>
      <c r="CY121" s="43" t="str">
        <f t="shared" si="102"/>
        <v/>
      </c>
      <c r="CZ121" s="43" t="str">
        <f t="shared" si="103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4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773</v>
      </c>
      <c r="DZ121" s="43">
        <f t="shared" si="118"/>
        <v>0.01</v>
      </c>
      <c r="EA121" s="43" t="str">
        <f t="shared" si="119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20"/>
        <v>100</v>
      </c>
      <c r="EF121" s="44">
        <v>1</v>
      </c>
      <c r="EG121" s="44">
        <v>0</v>
      </c>
      <c r="EH121" s="44" t="s">
        <v>875</v>
      </c>
      <c r="EI121" s="45">
        <v>0</v>
      </c>
      <c r="EJ121" s="43">
        <f t="shared" si="121"/>
        <v>5000</v>
      </c>
      <c r="EK121" s="69"/>
    </row>
    <row r="122" spans="1:141" x14ac:dyDescent="0.2">
      <c r="A122" s="7" t="str">
        <f t="shared" si="82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IF(IFERROR(INDEX(Consulta!$A:$DP,MATCH('MM01'!$B122,Consulta!$C:$C,0),'MM01'!D$2),"")=0,"",IFERROR(INDEX(Consulta!$A:$DP,MATCH('MM01'!$B122,Consulta!$C:$C,0),'MM01'!D$2),""))</f>
        <v/>
      </c>
      <c r="E122" s="43" t="str">
        <f>IF(IFERROR(INDEX(Consulta!$A:$DP,MATCH('MM01'!$B122,Consulta!$C:$C,0),'MM01'!E$2),"")=0,"",IFERROR(INDEX(Consulta!$A:$DP,MATCH('MM01'!$B122,Consulta!$C:$C,0),'MM01'!E$2),""))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3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4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5"/>
        <v/>
      </c>
      <c r="AV122" s="47" t="s">
        <v>795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6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7"/>
        <v/>
      </c>
      <c r="BC122" s="43" t="str">
        <f t="shared" si="88"/>
        <v/>
      </c>
      <c r="BD122" s="43" t="str">
        <f t="shared" si="89"/>
        <v/>
      </c>
      <c r="BE122" s="43" t="str">
        <f t="shared" si="90"/>
        <v>M</v>
      </c>
      <c r="BF122" s="43" t="str">
        <f t="shared" si="91"/>
        <v/>
      </c>
      <c r="BG122" s="43" t="str">
        <f t="shared" si="92"/>
        <v/>
      </c>
      <c r="BH122" s="43" t="str">
        <f t="shared" si="93"/>
        <v/>
      </c>
      <c r="BI122" s="43" t="str">
        <f t="shared" si="94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>
        <v>99</v>
      </c>
      <c r="BN122" s="46" t="str">
        <f t="shared" ca="1" si="95"/>
        <v>28.04.2022</v>
      </c>
      <c r="BO122" s="49" t="str">
        <f t="shared" si="96"/>
        <v/>
      </c>
      <c r="BP122" s="50">
        <v>1</v>
      </c>
      <c r="BQ122" s="50" t="s">
        <v>194</v>
      </c>
      <c r="BR122" s="79" t="str">
        <f t="shared" si="81"/>
        <v>01</v>
      </c>
      <c r="BS122" s="50" t="s">
        <v>795</v>
      </c>
      <c r="BT122" s="44">
        <v>1</v>
      </c>
      <c r="BU122" s="44" t="s">
        <v>371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391</v>
      </c>
      <c r="BZ122" s="50">
        <v>0</v>
      </c>
      <c r="CA122" s="45" t="s">
        <v>402</v>
      </c>
      <c r="CB122" s="45" t="s">
        <v>84</v>
      </c>
      <c r="CC122" s="43" t="str">
        <f t="shared" si="97"/>
        <v/>
      </c>
      <c r="CD122" s="45" t="s">
        <v>38</v>
      </c>
      <c r="CE122" s="45">
        <v>1</v>
      </c>
      <c r="CF122" s="45" t="s">
        <v>495</v>
      </c>
      <c r="CG122" s="45"/>
      <c r="CH122" s="44">
        <v>2</v>
      </c>
      <c r="CI122" s="49" t="str">
        <f t="shared" si="98"/>
        <v/>
      </c>
      <c r="CJ122" s="49" t="str">
        <f t="shared" si="99"/>
        <v/>
      </c>
      <c r="CK122" s="45"/>
      <c r="CL122" s="44">
        <v>1</v>
      </c>
      <c r="CM122" s="50" t="s">
        <v>514</v>
      </c>
      <c r="CN122" s="44" t="s">
        <v>371</v>
      </c>
      <c r="CO122" s="44">
        <v>2</v>
      </c>
      <c r="CP122" s="44">
        <v>42</v>
      </c>
      <c r="CQ122" s="44">
        <v>10</v>
      </c>
      <c r="CR122" s="43" t="str">
        <f t="shared" si="100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101"/>
        <v/>
      </c>
      <c r="CY122" s="43" t="str">
        <f t="shared" si="102"/>
        <v/>
      </c>
      <c r="CZ122" s="43" t="str">
        <f t="shared" si="103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4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773</v>
      </c>
      <c r="DZ122" s="43">
        <f t="shared" si="118"/>
        <v>0.01</v>
      </c>
      <c r="EA122" s="43" t="str">
        <f t="shared" si="119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20"/>
        <v>100</v>
      </c>
      <c r="EF122" s="44">
        <v>1</v>
      </c>
      <c r="EG122" s="44">
        <v>0</v>
      </c>
      <c r="EH122" s="44" t="s">
        <v>875</v>
      </c>
      <c r="EI122" s="45">
        <v>0</v>
      </c>
      <c r="EJ122" s="43">
        <f t="shared" si="121"/>
        <v>5000</v>
      </c>
      <c r="EK122" s="69"/>
    </row>
    <row r="123" spans="1:141" x14ac:dyDescent="0.2">
      <c r="A123" s="7" t="str">
        <f t="shared" si="82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IF(IFERROR(INDEX(Consulta!$A:$DP,MATCH('MM01'!$B123,Consulta!$C:$C,0),'MM01'!D$2),"")=0,"",IFERROR(INDEX(Consulta!$A:$DP,MATCH('MM01'!$B123,Consulta!$C:$C,0),'MM01'!D$2),""))</f>
        <v/>
      </c>
      <c r="E123" s="43" t="str">
        <f>IF(IFERROR(INDEX(Consulta!$A:$DP,MATCH('MM01'!$B123,Consulta!$C:$C,0),'MM01'!E$2),"")=0,"",IFERROR(INDEX(Consulta!$A:$DP,MATCH('MM01'!$B123,Consulta!$C:$C,0),'MM01'!E$2),""))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3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4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5"/>
        <v/>
      </c>
      <c r="AV123" s="47" t="s">
        <v>795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6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7"/>
        <v/>
      </c>
      <c r="BC123" s="43" t="str">
        <f t="shared" si="88"/>
        <v/>
      </c>
      <c r="BD123" s="43" t="str">
        <f t="shared" si="89"/>
        <v/>
      </c>
      <c r="BE123" s="43" t="str">
        <f t="shared" si="90"/>
        <v>M</v>
      </c>
      <c r="BF123" s="43" t="str">
        <f t="shared" si="91"/>
        <v/>
      </c>
      <c r="BG123" s="43" t="str">
        <f t="shared" si="92"/>
        <v/>
      </c>
      <c r="BH123" s="43" t="str">
        <f t="shared" si="93"/>
        <v/>
      </c>
      <c r="BI123" s="43" t="str">
        <f t="shared" si="94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>
        <v>99</v>
      </c>
      <c r="BN123" s="46" t="str">
        <f t="shared" ca="1" si="95"/>
        <v>28.04.2022</v>
      </c>
      <c r="BO123" s="49" t="str">
        <f t="shared" si="96"/>
        <v/>
      </c>
      <c r="BP123" s="50">
        <v>1</v>
      </c>
      <c r="BQ123" s="50" t="s">
        <v>194</v>
      </c>
      <c r="BR123" s="79" t="str">
        <f t="shared" si="81"/>
        <v>01</v>
      </c>
      <c r="BS123" s="50" t="s">
        <v>795</v>
      </c>
      <c r="BT123" s="44">
        <v>1</v>
      </c>
      <c r="BU123" s="44" t="s">
        <v>371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391</v>
      </c>
      <c r="BZ123" s="50">
        <v>0</v>
      </c>
      <c r="CA123" s="45" t="s">
        <v>402</v>
      </c>
      <c r="CB123" s="45" t="s">
        <v>84</v>
      </c>
      <c r="CC123" s="43" t="str">
        <f t="shared" si="97"/>
        <v/>
      </c>
      <c r="CD123" s="45" t="s">
        <v>38</v>
      </c>
      <c r="CE123" s="45">
        <v>1</v>
      </c>
      <c r="CF123" s="45" t="s">
        <v>495</v>
      </c>
      <c r="CG123" s="45"/>
      <c r="CH123" s="44">
        <v>2</v>
      </c>
      <c r="CI123" s="49" t="str">
        <f t="shared" si="98"/>
        <v/>
      </c>
      <c r="CJ123" s="49" t="str">
        <f t="shared" si="99"/>
        <v/>
      </c>
      <c r="CK123" s="45"/>
      <c r="CL123" s="44">
        <v>1</v>
      </c>
      <c r="CM123" s="50" t="s">
        <v>514</v>
      </c>
      <c r="CN123" s="44" t="s">
        <v>371</v>
      </c>
      <c r="CO123" s="44">
        <v>2</v>
      </c>
      <c r="CP123" s="44">
        <v>42</v>
      </c>
      <c r="CQ123" s="44">
        <v>10</v>
      </c>
      <c r="CR123" s="43" t="str">
        <f t="shared" si="100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101"/>
        <v/>
      </c>
      <c r="CY123" s="43" t="str">
        <f t="shared" si="102"/>
        <v/>
      </c>
      <c r="CZ123" s="43" t="str">
        <f t="shared" si="103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4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773</v>
      </c>
      <c r="DZ123" s="43">
        <f t="shared" si="118"/>
        <v>0.01</v>
      </c>
      <c r="EA123" s="43" t="str">
        <f t="shared" si="119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20"/>
        <v>100</v>
      </c>
      <c r="EF123" s="44">
        <v>1</v>
      </c>
      <c r="EG123" s="44">
        <v>0</v>
      </c>
      <c r="EH123" s="44" t="s">
        <v>875</v>
      </c>
      <c r="EI123" s="45">
        <v>0</v>
      </c>
      <c r="EJ123" s="43">
        <f t="shared" si="121"/>
        <v>5000</v>
      </c>
      <c r="EK123" s="69"/>
    </row>
    <row r="124" spans="1:141" x14ac:dyDescent="0.2">
      <c r="A124" s="7" t="str">
        <f t="shared" si="82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IF(IFERROR(INDEX(Consulta!$A:$DP,MATCH('MM01'!$B124,Consulta!$C:$C,0),'MM01'!D$2),"")=0,"",IFERROR(INDEX(Consulta!$A:$DP,MATCH('MM01'!$B124,Consulta!$C:$C,0),'MM01'!D$2),""))</f>
        <v/>
      </c>
      <c r="E124" s="43" t="str">
        <f>IF(IFERROR(INDEX(Consulta!$A:$DP,MATCH('MM01'!$B124,Consulta!$C:$C,0),'MM01'!E$2),"")=0,"",IFERROR(INDEX(Consulta!$A:$DP,MATCH('MM01'!$B124,Consulta!$C:$C,0),'MM01'!E$2),""))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3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4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5"/>
        <v/>
      </c>
      <c r="AV124" s="47" t="s">
        <v>795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6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7"/>
        <v/>
      </c>
      <c r="BC124" s="43" t="str">
        <f t="shared" si="88"/>
        <v/>
      </c>
      <c r="BD124" s="43" t="str">
        <f t="shared" si="89"/>
        <v/>
      </c>
      <c r="BE124" s="43" t="str">
        <f t="shared" si="90"/>
        <v>M</v>
      </c>
      <c r="BF124" s="43" t="str">
        <f t="shared" si="91"/>
        <v/>
      </c>
      <c r="BG124" s="43" t="str">
        <f t="shared" si="92"/>
        <v/>
      </c>
      <c r="BH124" s="43" t="str">
        <f t="shared" si="93"/>
        <v/>
      </c>
      <c r="BI124" s="43" t="str">
        <f t="shared" si="94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>
        <v>99</v>
      </c>
      <c r="BN124" s="46" t="str">
        <f t="shared" ca="1" si="95"/>
        <v>28.04.2022</v>
      </c>
      <c r="BO124" s="49" t="str">
        <f t="shared" si="96"/>
        <v/>
      </c>
      <c r="BP124" s="50">
        <v>1</v>
      </c>
      <c r="BQ124" s="50" t="s">
        <v>194</v>
      </c>
      <c r="BR124" s="79" t="str">
        <f t="shared" si="81"/>
        <v>01</v>
      </c>
      <c r="BS124" s="50" t="s">
        <v>795</v>
      </c>
      <c r="BT124" s="44">
        <v>1</v>
      </c>
      <c r="BU124" s="44" t="s">
        <v>371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391</v>
      </c>
      <c r="BZ124" s="50">
        <v>0</v>
      </c>
      <c r="CA124" s="45" t="s">
        <v>402</v>
      </c>
      <c r="CB124" s="45" t="s">
        <v>84</v>
      </c>
      <c r="CC124" s="43" t="str">
        <f t="shared" si="97"/>
        <v/>
      </c>
      <c r="CD124" s="45" t="s">
        <v>38</v>
      </c>
      <c r="CE124" s="45">
        <v>1</v>
      </c>
      <c r="CF124" s="45" t="s">
        <v>495</v>
      </c>
      <c r="CG124" s="45"/>
      <c r="CH124" s="44">
        <v>2</v>
      </c>
      <c r="CI124" s="49" t="str">
        <f t="shared" si="98"/>
        <v/>
      </c>
      <c r="CJ124" s="49" t="str">
        <f t="shared" si="99"/>
        <v/>
      </c>
      <c r="CK124" s="45"/>
      <c r="CL124" s="44">
        <v>1</v>
      </c>
      <c r="CM124" s="50" t="s">
        <v>514</v>
      </c>
      <c r="CN124" s="44" t="s">
        <v>371</v>
      </c>
      <c r="CO124" s="44">
        <v>2</v>
      </c>
      <c r="CP124" s="44">
        <v>42</v>
      </c>
      <c r="CQ124" s="44">
        <v>10</v>
      </c>
      <c r="CR124" s="43" t="str">
        <f t="shared" si="100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101"/>
        <v/>
      </c>
      <c r="CY124" s="43" t="str">
        <f t="shared" si="102"/>
        <v/>
      </c>
      <c r="CZ124" s="43" t="str">
        <f t="shared" si="103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4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773</v>
      </c>
      <c r="DZ124" s="43">
        <f t="shared" si="118"/>
        <v>0.01</v>
      </c>
      <c r="EA124" s="43" t="str">
        <f t="shared" si="119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20"/>
        <v>100</v>
      </c>
      <c r="EF124" s="44">
        <v>1</v>
      </c>
      <c r="EG124" s="44">
        <v>0</v>
      </c>
      <c r="EH124" s="44" t="s">
        <v>875</v>
      </c>
      <c r="EI124" s="45">
        <v>0</v>
      </c>
      <c r="EJ124" s="43">
        <f t="shared" si="121"/>
        <v>5000</v>
      </c>
      <c r="EK124" s="69"/>
    </row>
    <row r="125" spans="1:141" x14ac:dyDescent="0.2">
      <c r="A125" s="7" t="str">
        <f t="shared" si="82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IF(IFERROR(INDEX(Consulta!$A:$DP,MATCH('MM01'!$B125,Consulta!$C:$C,0),'MM01'!D$2),"")=0,"",IFERROR(INDEX(Consulta!$A:$DP,MATCH('MM01'!$B125,Consulta!$C:$C,0),'MM01'!D$2),""))</f>
        <v/>
      </c>
      <c r="E125" s="43" t="str">
        <f>IF(IFERROR(INDEX(Consulta!$A:$DP,MATCH('MM01'!$B125,Consulta!$C:$C,0),'MM01'!E$2),"")=0,"",IFERROR(INDEX(Consulta!$A:$DP,MATCH('MM01'!$B125,Consulta!$C:$C,0),'MM01'!E$2),""))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3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4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5"/>
        <v/>
      </c>
      <c r="AV125" s="47" t="s">
        <v>795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6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7"/>
        <v/>
      </c>
      <c r="BC125" s="43" t="str">
        <f t="shared" si="88"/>
        <v/>
      </c>
      <c r="BD125" s="43" t="str">
        <f t="shared" si="89"/>
        <v/>
      </c>
      <c r="BE125" s="43" t="str">
        <f t="shared" si="90"/>
        <v>M</v>
      </c>
      <c r="BF125" s="43" t="str">
        <f t="shared" si="91"/>
        <v/>
      </c>
      <c r="BG125" s="43" t="str">
        <f t="shared" si="92"/>
        <v/>
      </c>
      <c r="BH125" s="43" t="str">
        <f t="shared" si="93"/>
        <v/>
      </c>
      <c r="BI125" s="43" t="str">
        <f t="shared" si="94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>
        <v>99</v>
      </c>
      <c r="BN125" s="46" t="str">
        <f t="shared" ca="1" si="95"/>
        <v>28.04.2022</v>
      </c>
      <c r="BO125" s="49" t="str">
        <f t="shared" si="96"/>
        <v/>
      </c>
      <c r="BP125" s="50">
        <v>1</v>
      </c>
      <c r="BQ125" s="50" t="s">
        <v>194</v>
      </c>
      <c r="BR125" s="79" t="str">
        <f t="shared" si="81"/>
        <v>01</v>
      </c>
      <c r="BS125" s="50" t="s">
        <v>795</v>
      </c>
      <c r="BT125" s="44">
        <v>1</v>
      </c>
      <c r="BU125" s="44" t="s">
        <v>371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391</v>
      </c>
      <c r="BZ125" s="50">
        <v>0</v>
      </c>
      <c r="CA125" s="45" t="s">
        <v>402</v>
      </c>
      <c r="CB125" s="45" t="s">
        <v>84</v>
      </c>
      <c r="CC125" s="43" t="str">
        <f t="shared" si="97"/>
        <v/>
      </c>
      <c r="CD125" s="45" t="s">
        <v>38</v>
      </c>
      <c r="CE125" s="45">
        <v>1</v>
      </c>
      <c r="CF125" s="45" t="s">
        <v>495</v>
      </c>
      <c r="CG125" s="45"/>
      <c r="CH125" s="44">
        <v>2</v>
      </c>
      <c r="CI125" s="49" t="str">
        <f t="shared" si="98"/>
        <v/>
      </c>
      <c r="CJ125" s="49" t="str">
        <f t="shared" si="99"/>
        <v/>
      </c>
      <c r="CK125" s="45"/>
      <c r="CL125" s="44">
        <v>1</v>
      </c>
      <c r="CM125" s="50" t="s">
        <v>514</v>
      </c>
      <c r="CN125" s="44" t="s">
        <v>371</v>
      </c>
      <c r="CO125" s="44">
        <v>2</v>
      </c>
      <c r="CP125" s="44">
        <v>42</v>
      </c>
      <c r="CQ125" s="44">
        <v>10</v>
      </c>
      <c r="CR125" s="43" t="str">
        <f t="shared" si="100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101"/>
        <v/>
      </c>
      <c r="CY125" s="43" t="str">
        <f t="shared" si="102"/>
        <v/>
      </c>
      <c r="CZ125" s="43" t="str">
        <f t="shared" si="103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4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773</v>
      </c>
      <c r="DZ125" s="43">
        <f t="shared" si="118"/>
        <v>0.01</v>
      </c>
      <c r="EA125" s="43" t="str">
        <f t="shared" si="119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20"/>
        <v>100</v>
      </c>
      <c r="EF125" s="44">
        <v>1</v>
      </c>
      <c r="EG125" s="44">
        <v>0</v>
      </c>
      <c r="EH125" s="44" t="s">
        <v>875</v>
      </c>
      <c r="EI125" s="45">
        <v>0</v>
      </c>
      <c r="EJ125" s="43">
        <f t="shared" si="121"/>
        <v>5000</v>
      </c>
      <c r="EK125" s="69"/>
    </row>
    <row r="126" spans="1:141" x14ac:dyDescent="0.2">
      <c r="A126" s="7" t="str">
        <f t="shared" si="82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IF(IFERROR(INDEX(Consulta!$A:$DP,MATCH('MM01'!$B126,Consulta!$C:$C,0),'MM01'!D$2),"")=0,"",IFERROR(INDEX(Consulta!$A:$DP,MATCH('MM01'!$B126,Consulta!$C:$C,0),'MM01'!D$2),""))</f>
        <v/>
      </c>
      <c r="E126" s="43" t="str">
        <f>IF(IFERROR(INDEX(Consulta!$A:$DP,MATCH('MM01'!$B126,Consulta!$C:$C,0),'MM01'!E$2),"")=0,"",IFERROR(INDEX(Consulta!$A:$DP,MATCH('MM01'!$B126,Consulta!$C:$C,0),'MM01'!E$2),""))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3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4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5"/>
        <v/>
      </c>
      <c r="AV126" s="47" t="s">
        <v>795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6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7"/>
        <v/>
      </c>
      <c r="BC126" s="43" t="str">
        <f t="shared" si="88"/>
        <v/>
      </c>
      <c r="BD126" s="43" t="str">
        <f t="shared" si="89"/>
        <v/>
      </c>
      <c r="BE126" s="43" t="str">
        <f t="shared" si="90"/>
        <v>M</v>
      </c>
      <c r="BF126" s="43" t="str">
        <f t="shared" si="91"/>
        <v/>
      </c>
      <c r="BG126" s="43" t="str">
        <f t="shared" si="92"/>
        <v/>
      </c>
      <c r="BH126" s="43" t="str">
        <f t="shared" si="93"/>
        <v/>
      </c>
      <c r="BI126" s="43" t="str">
        <f t="shared" si="94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>
        <v>99</v>
      </c>
      <c r="BN126" s="46" t="str">
        <f t="shared" ca="1" si="95"/>
        <v>28.04.2022</v>
      </c>
      <c r="BO126" s="49" t="str">
        <f t="shared" si="96"/>
        <v/>
      </c>
      <c r="BP126" s="50">
        <v>1</v>
      </c>
      <c r="BQ126" s="50" t="s">
        <v>194</v>
      </c>
      <c r="BR126" s="79" t="str">
        <f t="shared" si="81"/>
        <v>01</v>
      </c>
      <c r="BS126" s="50" t="s">
        <v>795</v>
      </c>
      <c r="BT126" s="44">
        <v>1</v>
      </c>
      <c r="BU126" s="44" t="s">
        <v>371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391</v>
      </c>
      <c r="BZ126" s="50">
        <v>0</v>
      </c>
      <c r="CA126" s="45" t="s">
        <v>402</v>
      </c>
      <c r="CB126" s="45" t="s">
        <v>84</v>
      </c>
      <c r="CC126" s="43" t="str">
        <f t="shared" si="97"/>
        <v/>
      </c>
      <c r="CD126" s="45" t="s">
        <v>38</v>
      </c>
      <c r="CE126" s="45">
        <v>1</v>
      </c>
      <c r="CF126" s="45" t="s">
        <v>495</v>
      </c>
      <c r="CG126" s="45"/>
      <c r="CH126" s="44">
        <v>2</v>
      </c>
      <c r="CI126" s="49" t="str">
        <f t="shared" si="98"/>
        <v/>
      </c>
      <c r="CJ126" s="49" t="str">
        <f t="shared" si="99"/>
        <v/>
      </c>
      <c r="CK126" s="45"/>
      <c r="CL126" s="44">
        <v>1</v>
      </c>
      <c r="CM126" s="50" t="s">
        <v>514</v>
      </c>
      <c r="CN126" s="44" t="s">
        <v>371</v>
      </c>
      <c r="CO126" s="44">
        <v>2</v>
      </c>
      <c r="CP126" s="44">
        <v>42</v>
      </c>
      <c r="CQ126" s="44">
        <v>10</v>
      </c>
      <c r="CR126" s="43" t="str">
        <f t="shared" si="100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101"/>
        <v/>
      </c>
      <c r="CY126" s="43" t="str">
        <f t="shared" si="102"/>
        <v/>
      </c>
      <c r="CZ126" s="43" t="str">
        <f t="shared" si="103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4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773</v>
      </c>
      <c r="DZ126" s="43">
        <f t="shared" si="118"/>
        <v>0.01</v>
      </c>
      <c r="EA126" s="43" t="str">
        <f t="shared" si="119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20"/>
        <v>100</v>
      </c>
      <c r="EF126" s="44">
        <v>1</v>
      </c>
      <c r="EG126" s="44">
        <v>0</v>
      </c>
      <c r="EH126" s="44" t="s">
        <v>875</v>
      </c>
      <c r="EI126" s="45">
        <v>0</v>
      </c>
      <c r="EJ126" s="43">
        <f t="shared" si="121"/>
        <v>5000</v>
      </c>
      <c r="EK126" s="69"/>
    </row>
    <row r="127" spans="1:141" x14ac:dyDescent="0.2">
      <c r="A127" s="7" t="str">
        <f t="shared" si="82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IF(IFERROR(INDEX(Consulta!$A:$DP,MATCH('MM01'!$B127,Consulta!$C:$C,0),'MM01'!D$2),"")=0,"",IFERROR(INDEX(Consulta!$A:$DP,MATCH('MM01'!$B127,Consulta!$C:$C,0),'MM01'!D$2),""))</f>
        <v/>
      </c>
      <c r="E127" s="43" t="str">
        <f>IF(IFERROR(INDEX(Consulta!$A:$DP,MATCH('MM01'!$B127,Consulta!$C:$C,0),'MM01'!E$2),"")=0,"",IFERROR(INDEX(Consulta!$A:$DP,MATCH('MM01'!$B127,Consulta!$C:$C,0),'MM01'!E$2),""))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3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4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5"/>
        <v/>
      </c>
      <c r="AV127" s="47" t="s">
        <v>795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6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7"/>
        <v/>
      </c>
      <c r="BC127" s="43" t="str">
        <f t="shared" si="88"/>
        <v/>
      </c>
      <c r="BD127" s="43" t="str">
        <f t="shared" si="89"/>
        <v/>
      </c>
      <c r="BE127" s="43" t="str">
        <f t="shared" si="90"/>
        <v>M</v>
      </c>
      <c r="BF127" s="43" t="str">
        <f t="shared" si="91"/>
        <v/>
      </c>
      <c r="BG127" s="43" t="str">
        <f t="shared" si="92"/>
        <v/>
      </c>
      <c r="BH127" s="43" t="str">
        <f t="shared" si="93"/>
        <v/>
      </c>
      <c r="BI127" s="43" t="str">
        <f t="shared" si="94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>
        <v>99</v>
      </c>
      <c r="BN127" s="46" t="str">
        <f t="shared" ca="1" si="95"/>
        <v>28.04.2022</v>
      </c>
      <c r="BO127" s="49" t="str">
        <f t="shared" si="96"/>
        <v/>
      </c>
      <c r="BP127" s="50">
        <v>1</v>
      </c>
      <c r="BQ127" s="50" t="s">
        <v>194</v>
      </c>
      <c r="BR127" s="79" t="str">
        <f t="shared" si="81"/>
        <v>01</v>
      </c>
      <c r="BS127" s="50" t="s">
        <v>795</v>
      </c>
      <c r="BT127" s="44">
        <v>1</v>
      </c>
      <c r="BU127" s="44" t="s">
        <v>371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391</v>
      </c>
      <c r="BZ127" s="50">
        <v>0</v>
      </c>
      <c r="CA127" s="45" t="s">
        <v>402</v>
      </c>
      <c r="CB127" s="45" t="s">
        <v>84</v>
      </c>
      <c r="CC127" s="43" t="str">
        <f t="shared" si="97"/>
        <v/>
      </c>
      <c r="CD127" s="45" t="s">
        <v>38</v>
      </c>
      <c r="CE127" s="45">
        <v>1</v>
      </c>
      <c r="CF127" s="45" t="s">
        <v>495</v>
      </c>
      <c r="CG127" s="45"/>
      <c r="CH127" s="44">
        <v>2</v>
      </c>
      <c r="CI127" s="49" t="str">
        <f t="shared" si="98"/>
        <v/>
      </c>
      <c r="CJ127" s="49" t="str">
        <f t="shared" si="99"/>
        <v/>
      </c>
      <c r="CK127" s="45"/>
      <c r="CL127" s="44">
        <v>1</v>
      </c>
      <c r="CM127" s="50" t="s">
        <v>514</v>
      </c>
      <c r="CN127" s="44" t="s">
        <v>371</v>
      </c>
      <c r="CO127" s="44">
        <v>2</v>
      </c>
      <c r="CP127" s="44">
        <v>42</v>
      </c>
      <c r="CQ127" s="44">
        <v>10</v>
      </c>
      <c r="CR127" s="43" t="str">
        <f t="shared" si="100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101"/>
        <v/>
      </c>
      <c r="CY127" s="43" t="str">
        <f t="shared" si="102"/>
        <v/>
      </c>
      <c r="CZ127" s="43" t="str">
        <f t="shared" si="103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4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773</v>
      </c>
      <c r="DZ127" s="43">
        <f t="shared" si="118"/>
        <v>0.01</v>
      </c>
      <c r="EA127" s="43" t="str">
        <f t="shared" si="119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20"/>
        <v>100</v>
      </c>
      <c r="EF127" s="44">
        <v>1</v>
      </c>
      <c r="EG127" s="44">
        <v>0</v>
      </c>
      <c r="EH127" s="44" t="s">
        <v>875</v>
      </c>
      <c r="EI127" s="45">
        <v>0</v>
      </c>
      <c r="EJ127" s="43">
        <f t="shared" si="121"/>
        <v>5000</v>
      </c>
      <c r="EK127" s="69"/>
    </row>
    <row r="128" spans="1:141" x14ac:dyDescent="0.2">
      <c r="A128" s="7" t="str">
        <f t="shared" si="82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IF(IFERROR(INDEX(Consulta!$A:$DP,MATCH('MM01'!$B128,Consulta!$C:$C,0),'MM01'!D$2),"")=0,"",IFERROR(INDEX(Consulta!$A:$DP,MATCH('MM01'!$B128,Consulta!$C:$C,0),'MM01'!D$2),""))</f>
        <v/>
      </c>
      <c r="E128" s="43" t="str">
        <f>IF(IFERROR(INDEX(Consulta!$A:$DP,MATCH('MM01'!$B128,Consulta!$C:$C,0),'MM01'!E$2),"")=0,"",IFERROR(INDEX(Consulta!$A:$DP,MATCH('MM01'!$B128,Consulta!$C:$C,0),'MM01'!E$2),""))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3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4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5"/>
        <v/>
      </c>
      <c r="AV128" s="47" t="s">
        <v>795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6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7"/>
        <v/>
      </c>
      <c r="BC128" s="43" t="str">
        <f t="shared" si="88"/>
        <v/>
      </c>
      <c r="BD128" s="43" t="str">
        <f t="shared" si="89"/>
        <v/>
      </c>
      <c r="BE128" s="43" t="str">
        <f t="shared" si="90"/>
        <v>M</v>
      </c>
      <c r="BF128" s="43" t="str">
        <f t="shared" si="91"/>
        <v/>
      </c>
      <c r="BG128" s="43" t="str">
        <f t="shared" si="92"/>
        <v/>
      </c>
      <c r="BH128" s="43" t="str">
        <f t="shared" si="93"/>
        <v/>
      </c>
      <c r="BI128" s="43" t="str">
        <f t="shared" si="94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>
        <v>99</v>
      </c>
      <c r="BN128" s="46" t="str">
        <f t="shared" ca="1" si="95"/>
        <v>28.04.2022</v>
      </c>
      <c r="BO128" s="49" t="str">
        <f t="shared" si="96"/>
        <v/>
      </c>
      <c r="BP128" s="50">
        <v>1</v>
      </c>
      <c r="BQ128" s="50" t="s">
        <v>194</v>
      </c>
      <c r="BR128" s="79" t="str">
        <f t="shared" si="81"/>
        <v>01</v>
      </c>
      <c r="BS128" s="50" t="s">
        <v>795</v>
      </c>
      <c r="BT128" s="44">
        <v>1</v>
      </c>
      <c r="BU128" s="44" t="s">
        <v>371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391</v>
      </c>
      <c r="BZ128" s="50">
        <v>0</v>
      </c>
      <c r="CA128" s="45" t="s">
        <v>402</v>
      </c>
      <c r="CB128" s="45" t="s">
        <v>84</v>
      </c>
      <c r="CC128" s="43" t="str">
        <f t="shared" si="97"/>
        <v/>
      </c>
      <c r="CD128" s="45" t="s">
        <v>38</v>
      </c>
      <c r="CE128" s="45">
        <v>1</v>
      </c>
      <c r="CF128" s="45" t="s">
        <v>495</v>
      </c>
      <c r="CG128" s="45"/>
      <c r="CH128" s="44">
        <v>2</v>
      </c>
      <c r="CI128" s="49" t="str">
        <f t="shared" si="98"/>
        <v/>
      </c>
      <c r="CJ128" s="49" t="str">
        <f t="shared" si="99"/>
        <v/>
      </c>
      <c r="CK128" s="45"/>
      <c r="CL128" s="44">
        <v>1</v>
      </c>
      <c r="CM128" s="50" t="s">
        <v>514</v>
      </c>
      <c r="CN128" s="44" t="s">
        <v>371</v>
      </c>
      <c r="CO128" s="44">
        <v>2</v>
      </c>
      <c r="CP128" s="44">
        <v>42</v>
      </c>
      <c r="CQ128" s="44">
        <v>10</v>
      </c>
      <c r="CR128" s="43" t="str">
        <f t="shared" si="100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101"/>
        <v/>
      </c>
      <c r="CY128" s="43" t="str">
        <f t="shared" si="102"/>
        <v/>
      </c>
      <c r="CZ128" s="43" t="str">
        <f t="shared" si="103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4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773</v>
      </c>
      <c r="DZ128" s="43">
        <f t="shared" si="118"/>
        <v>0.01</v>
      </c>
      <c r="EA128" s="43" t="str">
        <f t="shared" si="119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20"/>
        <v>100</v>
      </c>
      <c r="EF128" s="44">
        <v>1</v>
      </c>
      <c r="EG128" s="44">
        <v>0</v>
      </c>
      <c r="EH128" s="44" t="s">
        <v>875</v>
      </c>
      <c r="EI128" s="45">
        <v>0</v>
      </c>
      <c r="EJ128" s="43">
        <f t="shared" si="121"/>
        <v>5000</v>
      </c>
      <c r="EK128" s="69"/>
    </row>
    <row r="129" spans="1:141" x14ac:dyDescent="0.2">
      <c r="A129" s="7" t="str">
        <f t="shared" si="82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IF(IFERROR(INDEX(Consulta!$A:$DP,MATCH('MM01'!$B129,Consulta!$C:$C,0),'MM01'!D$2),"")=0,"",IFERROR(INDEX(Consulta!$A:$DP,MATCH('MM01'!$B129,Consulta!$C:$C,0),'MM01'!D$2),""))</f>
        <v/>
      </c>
      <c r="E129" s="43" t="str">
        <f>IF(IFERROR(INDEX(Consulta!$A:$DP,MATCH('MM01'!$B129,Consulta!$C:$C,0),'MM01'!E$2),"")=0,"",IFERROR(INDEX(Consulta!$A:$DP,MATCH('MM01'!$B129,Consulta!$C:$C,0),'MM01'!E$2),""))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3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4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5"/>
        <v/>
      </c>
      <c r="AV129" s="47" t="s">
        <v>795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6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7"/>
        <v/>
      </c>
      <c r="BC129" s="43" t="str">
        <f t="shared" si="88"/>
        <v/>
      </c>
      <c r="BD129" s="43" t="str">
        <f t="shared" si="89"/>
        <v/>
      </c>
      <c r="BE129" s="43" t="str">
        <f t="shared" si="90"/>
        <v>M</v>
      </c>
      <c r="BF129" s="43" t="str">
        <f t="shared" si="91"/>
        <v/>
      </c>
      <c r="BG129" s="43" t="str">
        <f t="shared" si="92"/>
        <v/>
      </c>
      <c r="BH129" s="43" t="str">
        <f t="shared" si="93"/>
        <v/>
      </c>
      <c r="BI129" s="43" t="str">
        <f t="shared" si="94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>
        <v>99</v>
      </c>
      <c r="BN129" s="46" t="str">
        <f t="shared" ca="1" si="95"/>
        <v>28.04.2022</v>
      </c>
      <c r="BO129" s="49" t="str">
        <f t="shared" si="96"/>
        <v/>
      </c>
      <c r="BP129" s="50">
        <v>1</v>
      </c>
      <c r="BQ129" s="50" t="s">
        <v>194</v>
      </c>
      <c r="BR129" s="79" t="str">
        <f t="shared" si="81"/>
        <v>01</v>
      </c>
      <c r="BS129" s="50" t="s">
        <v>795</v>
      </c>
      <c r="BT129" s="44">
        <v>1</v>
      </c>
      <c r="BU129" s="44" t="s">
        <v>371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391</v>
      </c>
      <c r="BZ129" s="50">
        <v>0</v>
      </c>
      <c r="CA129" s="45" t="s">
        <v>402</v>
      </c>
      <c r="CB129" s="45" t="s">
        <v>84</v>
      </c>
      <c r="CC129" s="43" t="str">
        <f t="shared" si="97"/>
        <v/>
      </c>
      <c r="CD129" s="45" t="s">
        <v>38</v>
      </c>
      <c r="CE129" s="45">
        <v>1</v>
      </c>
      <c r="CF129" s="45" t="s">
        <v>495</v>
      </c>
      <c r="CG129" s="45"/>
      <c r="CH129" s="44">
        <v>2</v>
      </c>
      <c r="CI129" s="49" t="str">
        <f t="shared" si="98"/>
        <v/>
      </c>
      <c r="CJ129" s="49" t="str">
        <f t="shared" si="99"/>
        <v/>
      </c>
      <c r="CK129" s="45"/>
      <c r="CL129" s="44">
        <v>1</v>
      </c>
      <c r="CM129" s="50" t="s">
        <v>514</v>
      </c>
      <c r="CN129" s="44" t="s">
        <v>371</v>
      </c>
      <c r="CO129" s="44">
        <v>2</v>
      </c>
      <c r="CP129" s="44">
        <v>42</v>
      </c>
      <c r="CQ129" s="44">
        <v>10</v>
      </c>
      <c r="CR129" s="43" t="str">
        <f t="shared" si="100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101"/>
        <v/>
      </c>
      <c r="CY129" s="43" t="str">
        <f t="shared" si="102"/>
        <v/>
      </c>
      <c r="CZ129" s="43" t="str">
        <f t="shared" si="103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4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773</v>
      </c>
      <c r="DZ129" s="43">
        <f t="shared" si="118"/>
        <v>0.01</v>
      </c>
      <c r="EA129" s="43" t="str">
        <f t="shared" si="119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20"/>
        <v>100</v>
      </c>
      <c r="EF129" s="44">
        <v>1</v>
      </c>
      <c r="EG129" s="44">
        <v>0</v>
      </c>
      <c r="EH129" s="44" t="s">
        <v>875</v>
      </c>
      <c r="EI129" s="45">
        <v>0</v>
      </c>
      <c r="EJ129" s="43">
        <f t="shared" si="121"/>
        <v>5000</v>
      </c>
      <c r="EK129" s="69"/>
    </row>
    <row r="130" spans="1:141" x14ac:dyDescent="0.2">
      <c r="A130" s="7" t="str">
        <f t="shared" si="82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IF(IFERROR(INDEX(Consulta!$A:$DP,MATCH('MM01'!$B130,Consulta!$C:$C,0),'MM01'!D$2),"")=0,"",IFERROR(INDEX(Consulta!$A:$DP,MATCH('MM01'!$B130,Consulta!$C:$C,0),'MM01'!D$2),""))</f>
        <v/>
      </c>
      <c r="E130" s="43" t="str">
        <f>IF(IFERROR(INDEX(Consulta!$A:$DP,MATCH('MM01'!$B130,Consulta!$C:$C,0),'MM01'!E$2),"")=0,"",IFERROR(INDEX(Consulta!$A:$DP,MATCH('MM01'!$B130,Consulta!$C:$C,0),'MM01'!E$2),""))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3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4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5"/>
        <v/>
      </c>
      <c r="AV130" s="47" t="s">
        <v>795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6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7"/>
        <v/>
      </c>
      <c r="BC130" s="43" t="str">
        <f t="shared" si="88"/>
        <v/>
      </c>
      <c r="BD130" s="43" t="str">
        <f t="shared" si="89"/>
        <v/>
      </c>
      <c r="BE130" s="43" t="str">
        <f t="shared" si="90"/>
        <v>M</v>
      </c>
      <c r="BF130" s="43" t="str">
        <f t="shared" si="91"/>
        <v/>
      </c>
      <c r="BG130" s="43" t="str">
        <f t="shared" si="92"/>
        <v/>
      </c>
      <c r="BH130" s="43" t="str">
        <f t="shared" si="93"/>
        <v/>
      </c>
      <c r="BI130" s="43" t="str">
        <f t="shared" si="94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>
        <v>99</v>
      </c>
      <c r="BN130" s="46" t="str">
        <f t="shared" ca="1" si="95"/>
        <v>28.04.2022</v>
      </c>
      <c r="BO130" s="49" t="str">
        <f t="shared" si="96"/>
        <v/>
      </c>
      <c r="BP130" s="50">
        <v>1</v>
      </c>
      <c r="BQ130" s="50" t="s">
        <v>194</v>
      </c>
      <c r="BR130" s="79" t="str">
        <f t="shared" si="81"/>
        <v>01</v>
      </c>
      <c r="BS130" s="50" t="s">
        <v>795</v>
      </c>
      <c r="BT130" s="44">
        <v>1</v>
      </c>
      <c r="BU130" s="44" t="s">
        <v>371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391</v>
      </c>
      <c r="BZ130" s="50">
        <v>0</v>
      </c>
      <c r="CA130" s="45" t="s">
        <v>402</v>
      </c>
      <c r="CB130" s="45" t="s">
        <v>84</v>
      </c>
      <c r="CC130" s="43" t="str">
        <f t="shared" si="97"/>
        <v/>
      </c>
      <c r="CD130" s="45" t="s">
        <v>38</v>
      </c>
      <c r="CE130" s="45">
        <v>1</v>
      </c>
      <c r="CF130" s="45" t="s">
        <v>495</v>
      </c>
      <c r="CG130" s="45"/>
      <c r="CH130" s="44">
        <v>2</v>
      </c>
      <c r="CI130" s="49" t="str">
        <f t="shared" si="98"/>
        <v/>
      </c>
      <c r="CJ130" s="49" t="str">
        <f t="shared" si="99"/>
        <v/>
      </c>
      <c r="CK130" s="45"/>
      <c r="CL130" s="44">
        <v>1</v>
      </c>
      <c r="CM130" s="50" t="s">
        <v>514</v>
      </c>
      <c r="CN130" s="44" t="s">
        <v>371</v>
      </c>
      <c r="CO130" s="44">
        <v>2</v>
      </c>
      <c r="CP130" s="44">
        <v>42</v>
      </c>
      <c r="CQ130" s="44">
        <v>10</v>
      </c>
      <c r="CR130" s="43" t="str">
        <f t="shared" si="100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101"/>
        <v/>
      </c>
      <c r="CY130" s="43" t="str">
        <f t="shared" si="102"/>
        <v/>
      </c>
      <c r="CZ130" s="43" t="str">
        <f t="shared" si="103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4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773</v>
      </c>
      <c r="DZ130" s="43">
        <f t="shared" si="118"/>
        <v>0.01</v>
      </c>
      <c r="EA130" s="43" t="str">
        <f t="shared" si="119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20"/>
        <v>100</v>
      </c>
      <c r="EF130" s="44">
        <v>1</v>
      </c>
      <c r="EG130" s="44">
        <v>0</v>
      </c>
      <c r="EH130" s="44" t="s">
        <v>875</v>
      </c>
      <c r="EI130" s="45">
        <v>0</v>
      </c>
      <c r="EJ130" s="43">
        <f t="shared" si="121"/>
        <v>5000</v>
      </c>
      <c r="EK130" s="69"/>
    </row>
    <row r="131" spans="1:141" x14ac:dyDescent="0.2">
      <c r="A131" s="7" t="str">
        <f t="shared" si="82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IF(IFERROR(INDEX(Consulta!$A:$DP,MATCH('MM01'!$B131,Consulta!$C:$C,0),'MM01'!D$2),"")=0,"",IFERROR(INDEX(Consulta!$A:$DP,MATCH('MM01'!$B131,Consulta!$C:$C,0),'MM01'!D$2),""))</f>
        <v/>
      </c>
      <c r="E131" s="43" t="str">
        <f>IF(IFERROR(INDEX(Consulta!$A:$DP,MATCH('MM01'!$B131,Consulta!$C:$C,0),'MM01'!E$2),"")=0,"",IFERROR(INDEX(Consulta!$A:$DP,MATCH('MM01'!$B131,Consulta!$C:$C,0),'MM01'!E$2),""))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3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4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5"/>
        <v/>
      </c>
      <c r="AV131" s="47" t="s">
        <v>795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6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7"/>
        <v/>
      </c>
      <c r="BC131" s="43" t="str">
        <f t="shared" si="88"/>
        <v/>
      </c>
      <c r="BD131" s="43" t="str">
        <f t="shared" si="89"/>
        <v/>
      </c>
      <c r="BE131" s="43" t="str">
        <f t="shared" si="90"/>
        <v>M</v>
      </c>
      <c r="BF131" s="43" t="str">
        <f t="shared" si="91"/>
        <v/>
      </c>
      <c r="BG131" s="43" t="str">
        <f t="shared" si="92"/>
        <v/>
      </c>
      <c r="BH131" s="43" t="str">
        <f t="shared" si="93"/>
        <v/>
      </c>
      <c r="BI131" s="43" t="str">
        <f t="shared" si="94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>
        <v>99</v>
      </c>
      <c r="BN131" s="46" t="str">
        <f t="shared" ca="1" si="95"/>
        <v>28.04.2022</v>
      </c>
      <c r="BO131" s="49" t="str">
        <f t="shared" si="96"/>
        <v/>
      </c>
      <c r="BP131" s="50">
        <v>1</v>
      </c>
      <c r="BQ131" s="50" t="s">
        <v>194</v>
      </c>
      <c r="BR131" s="79" t="str">
        <f t="shared" si="81"/>
        <v>01</v>
      </c>
      <c r="BS131" s="50" t="s">
        <v>795</v>
      </c>
      <c r="BT131" s="44">
        <v>1</v>
      </c>
      <c r="BU131" s="44" t="s">
        <v>371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391</v>
      </c>
      <c r="BZ131" s="50">
        <v>0</v>
      </c>
      <c r="CA131" s="45" t="s">
        <v>402</v>
      </c>
      <c r="CB131" s="45" t="s">
        <v>84</v>
      </c>
      <c r="CC131" s="43" t="str">
        <f t="shared" si="97"/>
        <v/>
      </c>
      <c r="CD131" s="45" t="s">
        <v>38</v>
      </c>
      <c r="CE131" s="45">
        <v>1</v>
      </c>
      <c r="CF131" s="45" t="s">
        <v>495</v>
      </c>
      <c r="CG131" s="45"/>
      <c r="CH131" s="44">
        <v>2</v>
      </c>
      <c r="CI131" s="49" t="str">
        <f t="shared" si="98"/>
        <v/>
      </c>
      <c r="CJ131" s="49" t="str">
        <f t="shared" si="99"/>
        <v/>
      </c>
      <c r="CK131" s="45"/>
      <c r="CL131" s="44">
        <v>1</v>
      </c>
      <c r="CM131" s="50" t="s">
        <v>514</v>
      </c>
      <c r="CN131" s="44" t="s">
        <v>371</v>
      </c>
      <c r="CO131" s="44">
        <v>2</v>
      </c>
      <c r="CP131" s="44">
        <v>42</v>
      </c>
      <c r="CQ131" s="44">
        <v>10</v>
      </c>
      <c r="CR131" s="43" t="str">
        <f t="shared" si="100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101"/>
        <v/>
      </c>
      <c r="CY131" s="43" t="str">
        <f t="shared" si="102"/>
        <v/>
      </c>
      <c r="CZ131" s="43" t="str">
        <f t="shared" si="103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4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773</v>
      </c>
      <c r="DZ131" s="43">
        <f t="shared" si="118"/>
        <v>0.01</v>
      </c>
      <c r="EA131" s="43" t="str">
        <f t="shared" si="119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20"/>
        <v>100</v>
      </c>
      <c r="EF131" s="44">
        <v>1</v>
      </c>
      <c r="EG131" s="44">
        <v>0</v>
      </c>
      <c r="EH131" s="44" t="s">
        <v>875</v>
      </c>
      <c r="EI131" s="45">
        <v>0</v>
      </c>
      <c r="EJ131" s="43">
        <f t="shared" si="121"/>
        <v>5000</v>
      </c>
      <c r="EK131" s="69"/>
    </row>
    <row r="132" spans="1:141" x14ac:dyDescent="0.2">
      <c r="A132" s="7" t="str">
        <f t="shared" si="82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IF(IFERROR(INDEX(Consulta!$A:$DP,MATCH('MM01'!$B132,Consulta!$C:$C,0),'MM01'!D$2),"")=0,"",IFERROR(INDEX(Consulta!$A:$DP,MATCH('MM01'!$B132,Consulta!$C:$C,0),'MM01'!D$2),""))</f>
        <v/>
      </c>
      <c r="E132" s="43" t="str">
        <f>IF(IFERROR(INDEX(Consulta!$A:$DP,MATCH('MM01'!$B132,Consulta!$C:$C,0),'MM01'!E$2),"")=0,"",IFERROR(INDEX(Consulta!$A:$DP,MATCH('MM01'!$B132,Consulta!$C:$C,0),'MM01'!E$2),""))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3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4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5"/>
        <v/>
      </c>
      <c r="AV132" s="47" t="s">
        <v>795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6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7"/>
        <v/>
      </c>
      <c r="BC132" s="43" t="str">
        <f t="shared" si="88"/>
        <v/>
      </c>
      <c r="BD132" s="43" t="str">
        <f t="shared" si="89"/>
        <v/>
      </c>
      <c r="BE132" s="43" t="str">
        <f t="shared" si="90"/>
        <v>M</v>
      </c>
      <c r="BF132" s="43" t="str">
        <f t="shared" si="91"/>
        <v/>
      </c>
      <c r="BG132" s="43" t="str">
        <f t="shared" si="92"/>
        <v/>
      </c>
      <c r="BH132" s="43" t="str">
        <f t="shared" si="93"/>
        <v/>
      </c>
      <c r="BI132" s="43" t="str">
        <f t="shared" si="94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>
        <v>99</v>
      </c>
      <c r="BN132" s="46" t="str">
        <f t="shared" ca="1" si="95"/>
        <v>28.04.2022</v>
      </c>
      <c r="BO132" s="49" t="str">
        <f t="shared" si="96"/>
        <v/>
      </c>
      <c r="BP132" s="50">
        <v>1</v>
      </c>
      <c r="BQ132" s="50" t="s">
        <v>194</v>
      </c>
      <c r="BR132" s="79" t="str">
        <f t="shared" si="81"/>
        <v>01</v>
      </c>
      <c r="BS132" s="50" t="s">
        <v>795</v>
      </c>
      <c r="BT132" s="44">
        <v>1</v>
      </c>
      <c r="BU132" s="44" t="s">
        <v>371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391</v>
      </c>
      <c r="BZ132" s="50">
        <v>0</v>
      </c>
      <c r="CA132" s="45" t="s">
        <v>402</v>
      </c>
      <c r="CB132" s="45" t="s">
        <v>84</v>
      </c>
      <c r="CC132" s="43" t="str">
        <f t="shared" si="97"/>
        <v/>
      </c>
      <c r="CD132" s="45" t="s">
        <v>38</v>
      </c>
      <c r="CE132" s="45">
        <v>1</v>
      </c>
      <c r="CF132" s="45" t="s">
        <v>495</v>
      </c>
      <c r="CG132" s="45"/>
      <c r="CH132" s="44">
        <v>2</v>
      </c>
      <c r="CI132" s="49" t="str">
        <f t="shared" si="98"/>
        <v/>
      </c>
      <c r="CJ132" s="49" t="str">
        <f t="shared" si="99"/>
        <v/>
      </c>
      <c r="CK132" s="45"/>
      <c r="CL132" s="44">
        <v>1</v>
      </c>
      <c r="CM132" s="50" t="s">
        <v>514</v>
      </c>
      <c r="CN132" s="44" t="s">
        <v>371</v>
      </c>
      <c r="CO132" s="44">
        <v>2</v>
      </c>
      <c r="CP132" s="44">
        <v>42</v>
      </c>
      <c r="CQ132" s="44">
        <v>10</v>
      </c>
      <c r="CR132" s="43" t="str">
        <f t="shared" si="100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101"/>
        <v/>
      </c>
      <c r="CY132" s="43" t="str">
        <f t="shared" si="102"/>
        <v/>
      </c>
      <c r="CZ132" s="43" t="str">
        <f t="shared" si="103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4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773</v>
      </c>
      <c r="DZ132" s="43">
        <f t="shared" si="118"/>
        <v>0.01</v>
      </c>
      <c r="EA132" s="43" t="str">
        <f t="shared" si="119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20"/>
        <v>100</v>
      </c>
      <c r="EF132" s="44">
        <v>1</v>
      </c>
      <c r="EG132" s="44">
        <v>0</v>
      </c>
      <c r="EH132" s="44" t="s">
        <v>875</v>
      </c>
      <c r="EI132" s="45">
        <v>0</v>
      </c>
      <c r="EJ132" s="43">
        <f t="shared" si="121"/>
        <v>5000</v>
      </c>
      <c r="EK132" s="69"/>
    </row>
    <row r="133" spans="1:141" x14ac:dyDescent="0.2">
      <c r="A133" s="7" t="str">
        <f t="shared" si="82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IF(IFERROR(INDEX(Consulta!$A:$DP,MATCH('MM01'!$B133,Consulta!$C:$C,0),'MM01'!D$2),"")=0,"",IFERROR(INDEX(Consulta!$A:$DP,MATCH('MM01'!$B133,Consulta!$C:$C,0),'MM01'!D$2),""))</f>
        <v/>
      </c>
      <c r="E133" s="43" t="str">
        <f>IF(IFERROR(INDEX(Consulta!$A:$DP,MATCH('MM01'!$B133,Consulta!$C:$C,0),'MM01'!E$2),"")=0,"",IFERROR(INDEX(Consulta!$A:$DP,MATCH('MM01'!$B133,Consulta!$C:$C,0),'MM01'!E$2),""))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3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4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5"/>
        <v/>
      </c>
      <c r="AV133" s="47" t="s">
        <v>795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6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7"/>
        <v/>
      </c>
      <c r="BC133" s="43" t="str">
        <f t="shared" si="88"/>
        <v/>
      </c>
      <c r="BD133" s="43" t="str">
        <f t="shared" si="89"/>
        <v/>
      </c>
      <c r="BE133" s="43" t="str">
        <f t="shared" si="90"/>
        <v>M</v>
      </c>
      <c r="BF133" s="43" t="str">
        <f t="shared" si="91"/>
        <v/>
      </c>
      <c r="BG133" s="43" t="str">
        <f t="shared" si="92"/>
        <v/>
      </c>
      <c r="BH133" s="43" t="str">
        <f t="shared" si="93"/>
        <v/>
      </c>
      <c r="BI133" s="43" t="str">
        <f t="shared" si="94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>
        <v>99</v>
      </c>
      <c r="BN133" s="46" t="str">
        <f t="shared" ca="1" si="95"/>
        <v>28.04.2022</v>
      </c>
      <c r="BO133" s="49" t="str">
        <f t="shared" si="96"/>
        <v/>
      </c>
      <c r="BP133" s="50">
        <v>1</v>
      </c>
      <c r="BQ133" s="50" t="s">
        <v>194</v>
      </c>
      <c r="BR133" s="79" t="str">
        <f t="shared" si="81"/>
        <v>01</v>
      </c>
      <c r="BS133" s="50" t="s">
        <v>795</v>
      </c>
      <c r="BT133" s="44">
        <v>1</v>
      </c>
      <c r="BU133" s="44" t="s">
        <v>371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391</v>
      </c>
      <c r="BZ133" s="50">
        <v>0</v>
      </c>
      <c r="CA133" s="45" t="s">
        <v>402</v>
      </c>
      <c r="CB133" s="45" t="s">
        <v>84</v>
      </c>
      <c r="CC133" s="43" t="str">
        <f t="shared" si="97"/>
        <v/>
      </c>
      <c r="CD133" s="45" t="s">
        <v>38</v>
      </c>
      <c r="CE133" s="45">
        <v>1</v>
      </c>
      <c r="CF133" s="45" t="s">
        <v>495</v>
      </c>
      <c r="CG133" s="45"/>
      <c r="CH133" s="44">
        <v>2</v>
      </c>
      <c r="CI133" s="49" t="str">
        <f t="shared" si="98"/>
        <v/>
      </c>
      <c r="CJ133" s="49" t="str">
        <f t="shared" si="99"/>
        <v/>
      </c>
      <c r="CK133" s="45"/>
      <c r="CL133" s="44">
        <v>1</v>
      </c>
      <c r="CM133" s="50" t="s">
        <v>514</v>
      </c>
      <c r="CN133" s="44" t="s">
        <v>371</v>
      </c>
      <c r="CO133" s="44">
        <v>2</v>
      </c>
      <c r="CP133" s="44">
        <v>42</v>
      </c>
      <c r="CQ133" s="44">
        <v>10</v>
      </c>
      <c r="CR133" s="43" t="str">
        <f t="shared" si="100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101"/>
        <v/>
      </c>
      <c r="CY133" s="43" t="str">
        <f t="shared" si="102"/>
        <v/>
      </c>
      <c r="CZ133" s="43" t="str">
        <f t="shared" si="103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4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773</v>
      </c>
      <c r="DZ133" s="43">
        <f t="shared" si="118"/>
        <v>0.01</v>
      </c>
      <c r="EA133" s="43" t="str">
        <f t="shared" si="119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20"/>
        <v>100</v>
      </c>
      <c r="EF133" s="44">
        <v>1</v>
      </c>
      <c r="EG133" s="44">
        <v>0</v>
      </c>
      <c r="EH133" s="44" t="s">
        <v>875</v>
      </c>
      <c r="EI133" s="45">
        <v>0</v>
      </c>
      <c r="EJ133" s="43">
        <f t="shared" si="121"/>
        <v>5000</v>
      </c>
      <c r="EK133" s="69"/>
    </row>
    <row r="134" spans="1:141" x14ac:dyDescent="0.2">
      <c r="A134" s="7" t="str">
        <f t="shared" si="82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IF(IFERROR(INDEX(Consulta!$A:$DP,MATCH('MM01'!$B134,Consulta!$C:$C,0),'MM01'!D$2),"")=0,"",IFERROR(INDEX(Consulta!$A:$DP,MATCH('MM01'!$B134,Consulta!$C:$C,0),'MM01'!D$2),""))</f>
        <v/>
      </c>
      <c r="E134" s="43" t="str">
        <f>IF(IFERROR(INDEX(Consulta!$A:$DP,MATCH('MM01'!$B134,Consulta!$C:$C,0),'MM01'!E$2),"")=0,"",IFERROR(INDEX(Consulta!$A:$DP,MATCH('MM01'!$B134,Consulta!$C:$C,0),'MM01'!E$2),""))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3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4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5"/>
        <v/>
      </c>
      <c r="AV134" s="47" t="s">
        <v>795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6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7"/>
        <v/>
      </c>
      <c r="BC134" s="43" t="str">
        <f t="shared" si="88"/>
        <v/>
      </c>
      <c r="BD134" s="43" t="str">
        <f t="shared" si="89"/>
        <v/>
      </c>
      <c r="BE134" s="43" t="str">
        <f t="shared" si="90"/>
        <v>M</v>
      </c>
      <c r="BF134" s="43" t="str">
        <f t="shared" si="91"/>
        <v/>
      </c>
      <c r="BG134" s="43" t="str">
        <f t="shared" si="92"/>
        <v/>
      </c>
      <c r="BH134" s="43" t="str">
        <f t="shared" si="93"/>
        <v/>
      </c>
      <c r="BI134" s="43" t="str">
        <f t="shared" si="94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>
        <v>99</v>
      </c>
      <c r="BN134" s="46" t="str">
        <f t="shared" ca="1" si="95"/>
        <v>28.04.2022</v>
      </c>
      <c r="BO134" s="49" t="str">
        <f t="shared" si="96"/>
        <v/>
      </c>
      <c r="BP134" s="50">
        <v>1</v>
      </c>
      <c r="BQ134" s="50" t="s">
        <v>194</v>
      </c>
      <c r="BR134" s="79" t="str">
        <f t="shared" ref="BR134:BR154" si="122">IF(AR134=68,20,"01")</f>
        <v>01</v>
      </c>
      <c r="BS134" s="50" t="s">
        <v>795</v>
      </c>
      <c r="BT134" s="44">
        <v>1</v>
      </c>
      <c r="BU134" s="44" t="s">
        <v>371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391</v>
      </c>
      <c r="BZ134" s="50">
        <v>0</v>
      </c>
      <c r="CA134" s="45" t="s">
        <v>402</v>
      </c>
      <c r="CB134" s="45" t="s">
        <v>84</v>
      </c>
      <c r="CC134" s="43" t="str">
        <f t="shared" si="97"/>
        <v/>
      </c>
      <c r="CD134" s="45" t="s">
        <v>38</v>
      </c>
      <c r="CE134" s="45">
        <v>1</v>
      </c>
      <c r="CF134" s="45" t="s">
        <v>495</v>
      </c>
      <c r="CG134" s="45"/>
      <c r="CH134" s="44">
        <v>2</v>
      </c>
      <c r="CI134" s="49" t="str">
        <f t="shared" si="98"/>
        <v/>
      </c>
      <c r="CJ134" s="49" t="str">
        <f t="shared" si="99"/>
        <v/>
      </c>
      <c r="CK134" s="45"/>
      <c r="CL134" s="44">
        <v>1</v>
      </c>
      <c r="CM134" s="50" t="s">
        <v>514</v>
      </c>
      <c r="CN134" s="44" t="s">
        <v>371</v>
      </c>
      <c r="CO134" s="44">
        <v>2</v>
      </c>
      <c r="CP134" s="44">
        <v>42</v>
      </c>
      <c r="CQ134" s="44">
        <v>10</v>
      </c>
      <c r="CR134" s="43" t="str">
        <f t="shared" si="100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101"/>
        <v/>
      </c>
      <c r="CY134" s="43" t="str">
        <f t="shared" si="102"/>
        <v/>
      </c>
      <c r="CZ134" s="43" t="str">
        <f t="shared" si="103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4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773</v>
      </c>
      <c r="DZ134" s="43">
        <f t="shared" si="118"/>
        <v>0.01</v>
      </c>
      <c r="EA134" s="43" t="str">
        <f t="shared" si="119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20"/>
        <v>100</v>
      </c>
      <c r="EF134" s="44">
        <v>1</v>
      </c>
      <c r="EG134" s="44">
        <v>0</v>
      </c>
      <c r="EH134" s="44" t="s">
        <v>875</v>
      </c>
      <c r="EI134" s="45">
        <v>0</v>
      </c>
      <c r="EJ134" s="43">
        <f t="shared" si="121"/>
        <v>5000</v>
      </c>
      <c r="EK134" s="69"/>
    </row>
    <row r="135" spans="1:141" x14ac:dyDescent="0.2">
      <c r="A135" s="7" t="str">
        <f t="shared" si="82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IF(IFERROR(INDEX(Consulta!$A:$DP,MATCH('MM01'!$B135,Consulta!$C:$C,0),'MM01'!D$2),"")=0,"",IFERROR(INDEX(Consulta!$A:$DP,MATCH('MM01'!$B135,Consulta!$C:$C,0),'MM01'!D$2),""))</f>
        <v/>
      </c>
      <c r="E135" s="43" t="str">
        <f>IF(IFERROR(INDEX(Consulta!$A:$DP,MATCH('MM01'!$B135,Consulta!$C:$C,0),'MM01'!E$2),"")=0,"",IFERROR(INDEX(Consulta!$A:$DP,MATCH('MM01'!$B135,Consulta!$C:$C,0),'MM01'!E$2),""))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3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4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5"/>
        <v/>
      </c>
      <c r="AV135" s="47" t="s">
        <v>795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6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7"/>
        <v/>
      </c>
      <c r="BC135" s="43" t="str">
        <f t="shared" si="88"/>
        <v/>
      </c>
      <c r="BD135" s="43" t="str">
        <f t="shared" si="89"/>
        <v/>
      </c>
      <c r="BE135" s="43" t="str">
        <f t="shared" si="90"/>
        <v>M</v>
      </c>
      <c r="BF135" s="43" t="str">
        <f t="shared" si="91"/>
        <v/>
      </c>
      <c r="BG135" s="43" t="str">
        <f t="shared" si="92"/>
        <v/>
      </c>
      <c r="BH135" s="43" t="str">
        <f t="shared" si="93"/>
        <v/>
      </c>
      <c r="BI135" s="43" t="str">
        <f t="shared" si="94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>
        <v>99</v>
      </c>
      <c r="BN135" s="46" t="str">
        <f t="shared" ca="1" si="95"/>
        <v>28.04.2022</v>
      </c>
      <c r="BO135" s="49" t="str">
        <f t="shared" si="96"/>
        <v/>
      </c>
      <c r="BP135" s="50">
        <v>1</v>
      </c>
      <c r="BQ135" s="50" t="s">
        <v>194</v>
      </c>
      <c r="BR135" s="79" t="str">
        <f t="shared" si="122"/>
        <v>01</v>
      </c>
      <c r="BS135" s="50" t="s">
        <v>795</v>
      </c>
      <c r="BT135" s="44">
        <v>1</v>
      </c>
      <c r="BU135" s="44" t="s">
        <v>371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391</v>
      </c>
      <c r="BZ135" s="50">
        <v>0</v>
      </c>
      <c r="CA135" s="45" t="s">
        <v>402</v>
      </c>
      <c r="CB135" s="45" t="s">
        <v>84</v>
      </c>
      <c r="CC135" s="43" t="str">
        <f t="shared" si="97"/>
        <v/>
      </c>
      <c r="CD135" s="45" t="s">
        <v>38</v>
      </c>
      <c r="CE135" s="45">
        <v>1</v>
      </c>
      <c r="CF135" s="45" t="s">
        <v>495</v>
      </c>
      <c r="CG135" s="45"/>
      <c r="CH135" s="44">
        <v>2</v>
      </c>
      <c r="CI135" s="49" t="str">
        <f t="shared" si="98"/>
        <v/>
      </c>
      <c r="CJ135" s="49" t="str">
        <f t="shared" si="99"/>
        <v/>
      </c>
      <c r="CK135" s="45"/>
      <c r="CL135" s="44">
        <v>1</v>
      </c>
      <c r="CM135" s="50" t="s">
        <v>514</v>
      </c>
      <c r="CN135" s="44" t="s">
        <v>371</v>
      </c>
      <c r="CO135" s="44">
        <v>2</v>
      </c>
      <c r="CP135" s="44">
        <v>42</v>
      </c>
      <c r="CQ135" s="44">
        <v>10</v>
      </c>
      <c r="CR135" s="43" t="str">
        <f t="shared" si="100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101"/>
        <v/>
      </c>
      <c r="CY135" s="43" t="str">
        <f t="shared" si="102"/>
        <v/>
      </c>
      <c r="CZ135" s="43" t="str">
        <f t="shared" si="103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4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773</v>
      </c>
      <c r="DZ135" s="43">
        <f t="shared" si="118"/>
        <v>0.01</v>
      </c>
      <c r="EA135" s="43" t="str">
        <f t="shared" si="119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20"/>
        <v>100</v>
      </c>
      <c r="EF135" s="44">
        <v>1</v>
      </c>
      <c r="EG135" s="44">
        <v>0</v>
      </c>
      <c r="EH135" s="44" t="s">
        <v>875</v>
      </c>
      <c r="EI135" s="45">
        <v>0</v>
      </c>
      <c r="EJ135" s="43">
        <f t="shared" si="121"/>
        <v>5000</v>
      </c>
      <c r="EK135" s="69"/>
    </row>
    <row r="136" spans="1:141" x14ac:dyDescent="0.2">
      <c r="A136" s="7" t="str">
        <f t="shared" si="82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IF(IFERROR(INDEX(Consulta!$A:$DP,MATCH('MM01'!$B136,Consulta!$C:$C,0),'MM01'!D$2),"")=0,"",IFERROR(INDEX(Consulta!$A:$DP,MATCH('MM01'!$B136,Consulta!$C:$C,0),'MM01'!D$2),""))</f>
        <v/>
      </c>
      <c r="E136" s="43" t="str">
        <f>IF(IFERROR(INDEX(Consulta!$A:$DP,MATCH('MM01'!$B136,Consulta!$C:$C,0),'MM01'!E$2),"")=0,"",IFERROR(INDEX(Consulta!$A:$DP,MATCH('MM01'!$B136,Consulta!$C:$C,0),'MM01'!E$2),""))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3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4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5"/>
        <v/>
      </c>
      <c r="AV136" s="47" t="s">
        <v>795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6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7"/>
        <v/>
      </c>
      <c r="BC136" s="43" t="str">
        <f t="shared" si="88"/>
        <v/>
      </c>
      <c r="BD136" s="43" t="str">
        <f t="shared" si="89"/>
        <v/>
      </c>
      <c r="BE136" s="43" t="str">
        <f t="shared" si="90"/>
        <v>M</v>
      </c>
      <c r="BF136" s="43" t="str">
        <f t="shared" si="91"/>
        <v/>
      </c>
      <c r="BG136" s="43" t="str">
        <f t="shared" si="92"/>
        <v/>
      </c>
      <c r="BH136" s="43" t="str">
        <f t="shared" si="93"/>
        <v/>
      </c>
      <c r="BI136" s="43" t="str">
        <f t="shared" si="94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>
        <v>99</v>
      </c>
      <c r="BN136" s="46" t="str">
        <f t="shared" ca="1" si="95"/>
        <v>28.04.2022</v>
      </c>
      <c r="BO136" s="49" t="str">
        <f t="shared" si="96"/>
        <v/>
      </c>
      <c r="BP136" s="50">
        <v>1</v>
      </c>
      <c r="BQ136" s="50" t="s">
        <v>194</v>
      </c>
      <c r="BR136" s="79" t="str">
        <f t="shared" si="122"/>
        <v>01</v>
      </c>
      <c r="BS136" s="50" t="s">
        <v>795</v>
      </c>
      <c r="BT136" s="44">
        <v>1</v>
      </c>
      <c r="BU136" s="44" t="s">
        <v>371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391</v>
      </c>
      <c r="BZ136" s="50">
        <v>0</v>
      </c>
      <c r="CA136" s="45" t="s">
        <v>402</v>
      </c>
      <c r="CB136" s="45" t="s">
        <v>84</v>
      </c>
      <c r="CC136" s="43" t="str">
        <f t="shared" si="97"/>
        <v/>
      </c>
      <c r="CD136" s="45" t="s">
        <v>38</v>
      </c>
      <c r="CE136" s="45">
        <v>1</v>
      </c>
      <c r="CF136" s="45" t="s">
        <v>495</v>
      </c>
      <c r="CG136" s="45"/>
      <c r="CH136" s="44">
        <v>2</v>
      </c>
      <c r="CI136" s="49" t="str">
        <f t="shared" si="98"/>
        <v/>
      </c>
      <c r="CJ136" s="49" t="str">
        <f t="shared" si="99"/>
        <v/>
      </c>
      <c r="CK136" s="45"/>
      <c r="CL136" s="44">
        <v>1</v>
      </c>
      <c r="CM136" s="50" t="s">
        <v>514</v>
      </c>
      <c r="CN136" s="44" t="s">
        <v>371</v>
      </c>
      <c r="CO136" s="44">
        <v>2</v>
      </c>
      <c r="CP136" s="44">
        <v>42</v>
      </c>
      <c r="CQ136" s="44">
        <v>10</v>
      </c>
      <c r="CR136" s="43" t="str">
        <f t="shared" si="100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101"/>
        <v/>
      </c>
      <c r="CY136" s="43" t="str">
        <f t="shared" si="102"/>
        <v/>
      </c>
      <c r="CZ136" s="43" t="str">
        <f t="shared" si="103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4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773</v>
      </c>
      <c r="DZ136" s="43">
        <f t="shared" si="118"/>
        <v>0.01</v>
      </c>
      <c r="EA136" s="43" t="str">
        <f t="shared" si="119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20"/>
        <v>100</v>
      </c>
      <c r="EF136" s="44">
        <v>1</v>
      </c>
      <c r="EG136" s="44">
        <v>0</v>
      </c>
      <c r="EH136" s="44" t="s">
        <v>875</v>
      </c>
      <c r="EI136" s="45">
        <v>0</v>
      </c>
      <c r="EJ136" s="43">
        <f t="shared" si="121"/>
        <v>5000</v>
      </c>
      <c r="EK136" s="69"/>
    </row>
    <row r="137" spans="1:141" x14ac:dyDescent="0.2">
      <c r="A137" s="7" t="str">
        <f t="shared" si="82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IF(IFERROR(INDEX(Consulta!$A:$DP,MATCH('MM01'!$B137,Consulta!$C:$C,0),'MM01'!D$2),"")=0,"",IFERROR(INDEX(Consulta!$A:$DP,MATCH('MM01'!$B137,Consulta!$C:$C,0),'MM01'!D$2),""))</f>
        <v/>
      </c>
      <c r="E137" s="43" t="str">
        <f>IF(IFERROR(INDEX(Consulta!$A:$DP,MATCH('MM01'!$B137,Consulta!$C:$C,0),'MM01'!E$2),"")=0,"",IFERROR(INDEX(Consulta!$A:$DP,MATCH('MM01'!$B137,Consulta!$C:$C,0),'MM01'!E$2),""))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3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4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5"/>
        <v/>
      </c>
      <c r="AV137" s="47" t="s">
        <v>795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6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7"/>
        <v/>
      </c>
      <c r="BC137" s="43" t="str">
        <f t="shared" si="88"/>
        <v/>
      </c>
      <c r="BD137" s="43" t="str">
        <f t="shared" si="89"/>
        <v/>
      </c>
      <c r="BE137" s="43" t="str">
        <f t="shared" si="90"/>
        <v>M</v>
      </c>
      <c r="BF137" s="43" t="str">
        <f t="shared" si="91"/>
        <v/>
      </c>
      <c r="BG137" s="43" t="str">
        <f t="shared" si="92"/>
        <v/>
      </c>
      <c r="BH137" s="43" t="str">
        <f t="shared" si="93"/>
        <v/>
      </c>
      <c r="BI137" s="43" t="str">
        <f t="shared" si="94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>
        <v>99</v>
      </c>
      <c r="BN137" s="46" t="str">
        <f t="shared" ca="1" si="95"/>
        <v>28.04.2022</v>
      </c>
      <c r="BO137" s="49" t="str">
        <f t="shared" si="96"/>
        <v/>
      </c>
      <c r="BP137" s="50">
        <v>1</v>
      </c>
      <c r="BQ137" s="50" t="s">
        <v>194</v>
      </c>
      <c r="BR137" s="79" t="str">
        <f t="shared" si="122"/>
        <v>01</v>
      </c>
      <c r="BS137" s="50" t="s">
        <v>795</v>
      </c>
      <c r="BT137" s="44">
        <v>1</v>
      </c>
      <c r="BU137" s="44" t="s">
        <v>371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391</v>
      </c>
      <c r="BZ137" s="50">
        <v>0</v>
      </c>
      <c r="CA137" s="45" t="s">
        <v>402</v>
      </c>
      <c r="CB137" s="45" t="s">
        <v>84</v>
      </c>
      <c r="CC137" s="43" t="str">
        <f t="shared" si="97"/>
        <v/>
      </c>
      <c r="CD137" s="45" t="s">
        <v>38</v>
      </c>
      <c r="CE137" s="45">
        <v>1</v>
      </c>
      <c r="CF137" s="45" t="s">
        <v>495</v>
      </c>
      <c r="CG137" s="45"/>
      <c r="CH137" s="44">
        <v>2</v>
      </c>
      <c r="CI137" s="49" t="str">
        <f t="shared" si="98"/>
        <v/>
      </c>
      <c r="CJ137" s="49" t="str">
        <f t="shared" si="99"/>
        <v/>
      </c>
      <c r="CK137" s="45"/>
      <c r="CL137" s="44">
        <v>1</v>
      </c>
      <c r="CM137" s="50" t="s">
        <v>514</v>
      </c>
      <c r="CN137" s="44" t="s">
        <v>371</v>
      </c>
      <c r="CO137" s="44">
        <v>2</v>
      </c>
      <c r="CP137" s="44">
        <v>42</v>
      </c>
      <c r="CQ137" s="44">
        <v>10</v>
      </c>
      <c r="CR137" s="43" t="str">
        <f t="shared" si="100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101"/>
        <v/>
      </c>
      <c r="CY137" s="43" t="str">
        <f t="shared" si="102"/>
        <v/>
      </c>
      <c r="CZ137" s="43" t="str">
        <f t="shared" si="103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4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773</v>
      </c>
      <c r="DZ137" s="43">
        <f t="shared" si="118"/>
        <v>0.01</v>
      </c>
      <c r="EA137" s="43" t="str">
        <f t="shared" si="119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20"/>
        <v>100</v>
      </c>
      <c r="EF137" s="44">
        <v>1</v>
      </c>
      <c r="EG137" s="44">
        <v>0</v>
      </c>
      <c r="EH137" s="44" t="s">
        <v>875</v>
      </c>
      <c r="EI137" s="45">
        <v>0</v>
      </c>
      <c r="EJ137" s="43">
        <f t="shared" si="121"/>
        <v>5000</v>
      </c>
      <c r="EK137" s="69"/>
    </row>
    <row r="138" spans="1:141" x14ac:dyDescent="0.2">
      <c r="A138" s="7" t="str">
        <f t="shared" si="82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IF(IFERROR(INDEX(Consulta!$A:$DP,MATCH('MM01'!$B138,Consulta!$C:$C,0),'MM01'!D$2),"")=0,"",IFERROR(INDEX(Consulta!$A:$DP,MATCH('MM01'!$B138,Consulta!$C:$C,0),'MM01'!D$2),""))</f>
        <v/>
      </c>
      <c r="E138" s="43" t="str">
        <f>IF(IFERROR(INDEX(Consulta!$A:$DP,MATCH('MM01'!$B138,Consulta!$C:$C,0),'MM01'!E$2),"")=0,"",IFERROR(INDEX(Consulta!$A:$DP,MATCH('MM01'!$B138,Consulta!$C:$C,0),'MM01'!E$2),""))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3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4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5"/>
        <v/>
      </c>
      <c r="AV138" s="47" t="s">
        <v>795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6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7"/>
        <v/>
      </c>
      <c r="BC138" s="43" t="str">
        <f t="shared" si="88"/>
        <v/>
      </c>
      <c r="BD138" s="43" t="str">
        <f t="shared" si="89"/>
        <v/>
      </c>
      <c r="BE138" s="43" t="str">
        <f t="shared" si="90"/>
        <v>M</v>
      </c>
      <c r="BF138" s="43" t="str">
        <f t="shared" si="91"/>
        <v/>
      </c>
      <c r="BG138" s="43" t="str">
        <f t="shared" si="92"/>
        <v/>
      </c>
      <c r="BH138" s="43" t="str">
        <f t="shared" si="93"/>
        <v/>
      </c>
      <c r="BI138" s="43" t="str">
        <f t="shared" si="94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>
        <v>99</v>
      </c>
      <c r="BN138" s="46" t="str">
        <f t="shared" ca="1" si="95"/>
        <v>28.04.2022</v>
      </c>
      <c r="BO138" s="49" t="str">
        <f t="shared" si="96"/>
        <v/>
      </c>
      <c r="BP138" s="50">
        <v>1</v>
      </c>
      <c r="BQ138" s="50" t="s">
        <v>194</v>
      </c>
      <c r="BR138" s="79" t="str">
        <f t="shared" si="122"/>
        <v>01</v>
      </c>
      <c r="BS138" s="50" t="s">
        <v>795</v>
      </c>
      <c r="BT138" s="44">
        <v>1</v>
      </c>
      <c r="BU138" s="44" t="s">
        <v>371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391</v>
      </c>
      <c r="BZ138" s="50">
        <v>0</v>
      </c>
      <c r="CA138" s="45" t="s">
        <v>402</v>
      </c>
      <c r="CB138" s="45" t="s">
        <v>84</v>
      </c>
      <c r="CC138" s="43" t="str">
        <f t="shared" si="97"/>
        <v/>
      </c>
      <c r="CD138" s="45" t="s">
        <v>38</v>
      </c>
      <c r="CE138" s="45">
        <v>1</v>
      </c>
      <c r="CF138" s="45" t="s">
        <v>495</v>
      </c>
      <c r="CG138" s="45"/>
      <c r="CH138" s="44">
        <v>2</v>
      </c>
      <c r="CI138" s="49" t="str">
        <f t="shared" si="98"/>
        <v/>
      </c>
      <c r="CJ138" s="49" t="str">
        <f t="shared" si="99"/>
        <v/>
      </c>
      <c r="CK138" s="45"/>
      <c r="CL138" s="44">
        <v>1</v>
      </c>
      <c r="CM138" s="50" t="s">
        <v>514</v>
      </c>
      <c r="CN138" s="44" t="s">
        <v>371</v>
      </c>
      <c r="CO138" s="44">
        <v>2</v>
      </c>
      <c r="CP138" s="44">
        <v>42</v>
      </c>
      <c r="CQ138" s="44">
        <v>10</v>
      </c>
      <c r="CR138" s="43" t="str">
        <f t="shared" si="100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101"/>
        <v/>
      </c>
      <c r="CY138" s="43" t="str">
        <f t="shared" si="102"/>
        <v/>
      </c>
      <c r="CZ138" s="43" t="str">
        <f t="shared" si="103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4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773</v>
      </c>
      <c r="DZ138" s="43">
        <f t="shared" si="118"/>
        <v>0.01</v>
      </c>
      <c r="EA138" s="43" t="str">
        <f t="shared" si="119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20"/>
        <v>100</v>
      </c>
      <c r="EF138" s="44">
        <v>1</v>
      </c>
      <c r="EG138" s="44">
        <v>0</v>
      </c>
      <c r="EH138" s="44" t="s">
        <v>875</v>
      </c>
      <c r="EI138" s="45">
        <v>0</v>
      </c>
      <c r="EJ138" s="43">
        <f t="shared" si="121"/>
        <v>5000</v>
      </c>
      <c r="EK138" s="69"/>
    </row>
    <row r="139" spans="1:141" x14ac:dyDescent="0.2">
      <c r="A139" s="7" t="str">
        <f t="shared" si="82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IF(IFERROR(INDEX(Consulta!$A:$DP,MATCH('MM01'!$B139,Consulta!$C:$C,0),'MM01'!D$2),"")=0,"",IFERROR(INDEX(Consulta!$A:$DP,MATCH('MM01'!$B139,Consulta!$C:$C,0),'MM01'!D$2),""))</f>
        <v/>
      </c>
      <c r="E139" s="43" t="str">
        <f>IF(IFERROR(INDEX(Consulta!$A:$DP,MATCH('MM01'!$B139,Consulta!$C:$C,0),'MM01'!E$2),"")=0,"",IFERROR(INDEX(Consulta!$A:$DP,MATCH('MM01'!$B139,Consulta!$C:$C,0),'MM01'!E$2),""))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3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4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5"/>
        <v/>
      </c>
      <c r="AV139" s="47" t="s">
        <v>795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6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7"/>
        <v/>
      </c>
      <c r="BC139" s="43" t="str">
        <f t="shared" si="88"/>
        <v/>
      </c>
      <c r="BD139" s="43" t="str">
        <f t="shared" si="89"/>
        <v/>
      </c>
      <c r="BE139" s="43" t="str">
        <f t="shared" si="90"/>
        <v>M</v>
      </c>
      <c r="BF139" s="43" t="str">
        <f t="shared" si="91"/>
        <v/>
      </c>
      <c r="BG139" s="43" t="str">
        <f t="shared" si="92"/>
        <v/>
      </c>
      <c r="BH139" s="43" t="str">
        <f t="shared" si="93"/>
        <v/>
      </c>
      <c r="BI139" s="43" t="str">
        <f t="shared" si="94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>
        <v>99</v>
      </c>
      <c r="BN139" s="46" t="str">
        <f t="shared" ca="1" si="95"/>
        <v>28.04.2022</v>
      </c>
      <c r="BO139" s="49" t="str">
        <f t="shared" si="96"/>
        <v/>
      </c>
      <c r="BP139" s="50">
        <v>1</v>
      </c>
      <c r="BQ139" s="50" t="s">
        <v>194</v>
      </c>
      <c r="BR139" s="79" t="str">
        <f t="shared" si="122"/>
        <v>01</v>
      </c>
      <c r="BS139" s="50" t="s">
        <v>795</v>
      </c>
      <c r="BT139" s="44">
        <v>1</v>
      </c>
      <c r="BU139" s="44" t="s">
        <v>371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391</v>
      </c>
      <c r="BZ139" s="50">
        <v>0</v>
      </c>
      <c r="CA139" s="45" t="s">
        <v>402</v>
      </c>
      <c r="CB139" s="45" t="s">
        <v>84</v>
      </c>
      <c r="CC139" s="43" t="str">
        <f t="shared" si="97"/>
        <v/>
      </c>
      <c r="CD139" s="45" t="s">
        <v>38</v>
      </c>
      <c r="CE139" s="45">
        <v>1</v>
      </c>
      <c r="CF139" s="45" t="s">
        <v>495</v>
      </c>
      <c r="CG139" s="45"/>
      <c r="CH139" s="44">
        <v>2</v>
      </c>
      <c r="CI139" s="49" t="str">
        <f t="shared" si="98"/>
        <v/>
      </c>
      <c r="CJ139" s="49" t="str">
        <f t="shared" si="99"/>
        <v/>
      </c>
      <c r="CK139" s="45"/>
      <c r="CL139" s="44">
        <v>1</v>
      </c>
      <c r="CM139" s="50" t="s">
        <v>514</v>
      </c>
      <c r="CN139" s="44" t="s">
        <v>371</v>
      </c>
      <c r="CO139" s="44">
        <v>2</v>
      </c>
      <c r="CP139" s="44">
        <v>42</v>
      </c>
      <c r="CQ139" s="44">
        <v>10</v>
      </c>
      <c r="CR139" s="43" t="str">
        <f t="shared" si="100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101"/>
        <v/>
      </c>
      <c r="CY139" s="43" t="str">
        <f t="shared" si="102"/>
        <v/>
      </c>
      <c r="CZ139" s="43" t="str">
        <f t="shared" si="103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4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773</v>
      </c>
      <c r="DZ139" s="43">
        <f t="shared" si="118"/>
        <v>0.01</v>
      </c>
      <c r="EA139" s="43" t="str">
        <f t="shared" si="119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20"/>
        <v>100</v>
      </c>
      <c r="EF139" s="44">
        <v>1</v>
      </c>
      <c r="EG139" s="44">
        <v>0</v>
      </c>
      <c r="EH139" s="44" t="s">
        <v>875</v>
      </c>
      <c r="EI139" s="45">
        <v>0</v>
      </c>
      <c r="EJ139" s="43">
        <f t="shared" si="121"/>
        <v>5000</v>
      </c>
      <c r="EK139" s="69"/>
    </row>
    <row r="140" spans="1:141" x14ac:dyDescent="0.2">
      <c r="A140" s="7" t="str">
        <f t="shared" si="82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IF(IFERROR(INDEX(Consulta!$A:$DP,MATCH('MM01'!$B140,Consulta!$C:$C,0),'MM01'!D$2),"")=0,"",IFERROR(INDEX(Consulta!$A:$DP,MATCH('MM01'!$B140,Consulta!$C:$C,0),'MM01'!D$2),""))</f>
        <v/>
      </c>
      <c r="E140" s="43" t="str">
        <f>IF(IFERROR(INDEX(Consulta!$A:$DP,MATCH('MM01'!$B140,Consulta!$C:$C,0),'MM01'!E$2),"")=0,"",IFERROR(INDEX(Consulta!$A:$DP,MATCH('MM01'!$B140,Consulta!$C:$C,0),'MM01'!E$2),""))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3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4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5"/>
        <v/>
      </c>
      <c r="AV140" s="47" t="s">
        <v>795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6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7"/>
        <v/>
      </c>
      <c r="BC140" s="43" t="str">
        <f t="shared" si="88"/>
        <v/>
      </c>
      <c r="BD140" s="43" t="str">
        <f t="shared" si="89"/>
        <v/>
      </c>
      <c r="BE140" s="43" t="str">
        <f t="shared" si="90"/>
        <v>M</v>
      </c>
      <c r="BF140" s="43" t="str">
        <f t="shared" si="91"/>
        <v/>
      </c>
      <c r="BG140" s="43" t="str">
        <f t="shared" si="92"/>
        <v/>
      </c>
      <c r="BH140" s="43" t="str">
        <f t="shared" si="93"/>
        <v/>
      </c>
      <c r="BI140" s="43" t="str">
        <f t="shared" si="94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>
        <v>99</v>
      </c>
      <c r="BN140" s="46" t="str">
        <f t="shared" ca="1" si="95"/>
        <v>28.04.2022</v>
      </c>
      <c r="BO140" s="49" t="str">
        <f t="shared" si="96"/>
        <v/>
      </c>
      <c r="BP140" s="50">
        <v>1</v>
      </c>
      <c r="BQ140" s="50" t="s">
        <v>194</v>
      </c>
      <c r="BR140" s="79" t="str">
        <f t="shared" si="122"/>
        <v>01</v>
      </c>
      <c r="BS140" s="50" t="s">
        <v>795</v>
      </c>
      <c r="BT140" s="44">
        <v>1</v>
      </c>
      <c r="BU140" s="44" t="s">
        <v>371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391</v>
      </c>
      <c r="BZ140" s="50">
        <v>0</v>
      </c>
      <c r="CA140" s="45" t="s">
        <v>402</v>
      </c>
      <c r="CB140" s="45" t="s">
        <v>84</v>
      </c>
      <c r="CC140" s="43" t="str">
        <f t="shared" si="97"/>
        <v/>
      </c>
      <c r="CD140" s="45" t="s">
        <v>38</v>
      </c>
      <c r="CE140" s="45">
        <v>1</v>
      </c>
      <c r="CF140" s="45" t="s">
        <v>495</v>
      </c>
      <c r="CG140" s="45"/>
      <c r="CH140" s="44">
        <v>2</v>
      </c>
      <c r="CI140" s="49" t="str">
        <f t="shared" si="98"/>
        <v/>
      </c>
      <c r="CJ140" s="49" t="str">
        <f t="shared" si="99"/>
        <v/>
      </c>
      <c r="CK140" s="45"/>
      <c r="CL140" s="44">
        <v>1</v>
      </c>
      <c r="CM140" s="50" t="s">
        <v>514</v>
      </c>
      <c r="CN140" s="44" t="s">
        <v>371</v>
      </c>
      <c r="CO140" s="44">
        <v>2</v>
      </c>
      <c r="CP140" s="44">
        <v>42</v>
      </c>
      <c r="CQ140" s="44">
        <v>10</v>
      </c>
      <c r="CR140" s="43" t="str">
        <f t="shared" si="100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101"/>
        <v/>
      </c>
      <c r="CY140" s="43" t="str">
        <f t="shared" si="102"/>
        <v/>
      </c>
      <c r="CZ140" s="43" t="str">
        <f t="shared" si="103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4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773</v>
      </c>
      <c r="DZ140" s="43">
        <f t="shared" si="118"/>
        <v>0.01</v>
      </c>
      <c r="EA140" s="43" t="str">
        <f t="shared" si="119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20"/>
        <v>100</v>
      </c>
      <c r="EF140" s="44">
        <v>1</v>
      </c>
      <c r="EG140" s="44">
        <v>0</v>
      </c>
      <c r="EH140" s="44" t="s">
        <v>875</v>
      </c>
      <c r="EI140" s="45">
        <v>0</v>
      </c>
      <c r="EJ140" s="43">
        <f t="shared" si="121"/>
        <v>5000</v>
      </c>
      <c r="EK140" s="69"/>
    </row>
    <row r="141" spans="1:141" x14ac:dyDescent="0.2">
      <c r="A141" s="7" t="str">
        <f t="shared" si="82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IF(IFERROR(INDEX(Consulta!$A:$DP,MATCH('MM01'!$B141,Consulta!$C:$C,0),'MM01'!D$2),"")=0,"",IFERROR(INDEX(Consulta!$A:$DP,MATCH('MM01'!$B141,Consulta!$C:$C,0),'MM01'!D$2),""))</f>
        <v/>
      </c>
      <c r="E141" s="43" t="str">
        <f>IF(IFERROR(INDEX(Consulta!$A:$DP,MATCH('MM01'!$B141,Consulta!$C:$C,0),'MM01'!E$2),"")=0,"",IFERROR(INDEX(Consulta!$A:$DP,MATCH('MM01'!$B141,Consulta!$C:$C,0),'MM01'!E$2),""))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3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4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5"/>
        <v/>
      </c>
      <c r="AV141" s="47" t="s">
        <v>795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6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7"/>
        <v/>
      </c>
      <c r="BC141" s="43" t="str">
        <f t="shared" si="88"/>
        <v/>
      </c>
      <c r="BD141" s="43" t="str">
        <f t="shared" si="89"/>
        <v/>
      </c>
      <c r="BE141" s="43" t="str">
        <f t="shared" si="90"/>
        <v>M</v>
      </c>
      <c r="BF141" s="43" t="str">
        <f t="shared" si="91"/>
        <v/>
      </c>
      <c r="BG141" s="43" t="str">
        <f t="shared" si="92"/>
        <v/>
      </c>
      <c r="BH141" s="43" t="str">
        <f t="shared" si="93"/>
        <v/>
      </c>
      <c r="BI141" s="43" t="str">
        <f t="shared" si="94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>
        <v>99</v>
      </c>
      <c r="BN141" s="46" t="str">
        <f t="shared" ca="1" si="95"/>
        <v>28.04.2022</v>
      </c>
      <c r="BO141" s="49" t="str">
        <f t="shared" si="96"/>
        <v/>
      </c>
      <c r="BP141" s="50">
        <v>1</v>
      </c>
      <c r="BQ141" s="50" t="s">
        <v>194</v>
      </c>
      <c r="BR141" s="79" t="str">
        <f t="shared" si="122"/>
        <v>01</v>
      </c>
      <c r="BS141" s="50" t="s">
        <v>795</v>
      </c>
      <c r="BT141" s="44">
        <v>1</v>
      </c>
      <c r="BU141" s="44" t="s">
        <v>371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391</v>
      </c>
      <c r="BZ141" s="50">
        <v>0</v>
      </c>
      <c r="CA141" s="45" t="s">
        <v>402</v>
      </c>
      <c r="CB141" s="45" t="s">
        <v>84</v>
      </c>
      <c r="CC141" s="43" t="str">
        <f t="shared" si="97"/>
        <v/>
      </c>
      <c r="CD141" s="45" t="s">
        <v>38</v>
      </c>
      <c r="CE141" s="45">
        <v>1</v>
      </c>
      <c r="CF141" s="45" t="s">
        <v>495</v>
      </c>
      <c r="CG141" s="45"/>
      <c r="CH141" s="44">
        <v>2</v>
      </c>
      <c r="CI141" s="49" t="str">
        <f t="shared" si="98"/>
        <v/>
      </c>
      <c r="CJ141" s="49" t="str">
        <f t="shared" si="99"/>
        <v/>
      </c>
      <c r="CK141" s="45"/>
      <c r="CL141" s="44">
        <v>1</v>
      </c>
      <c r="CM141" s="50" t="s">
        <v>514</v>
      </c>
      <c r="CN141" s="44" t="s">
        <v>371</v>
      </c>
      <c r="CO141" s="44">
        <v>2</v>
      </c>
      <c r="CP141" s="44">
        <v>42</v>
      </c>
      <c r="CQ141" s="44">
        <v>10</v>
      </c>
      <c r="CR141" s="43" t="str">
        <f t="shared" si="100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101"/>
        <v/>
      </c>
      <c r="CY141" s="43" t="str">
        <f t="shared" si="102"/>
        <v/>
      </c>
      <c r="CZ141" s="43" t="str">
        <f t="shared" si="103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4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773</v>
      </c>
      <c r="DZ141" s="43">
        <f t="shared" si="118"/>
        <v>0.01</v>
      </c>
      <c r="EA141" s="43" t="str">
        <f t="shared" si="119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20"/>
        <v>100</v>
      </c>
      <c r="EF141" s="44">
        <v>1</v>
      </c>
      <c r="EG141" s="44">
        <v>0</v>
      </c>
      <c r="EH141" s="44" t="s">
        <v>875</v>
      </c>
      <c r="EI141" s="45">
        <v>0</v>
      </c>
      <c r="EJ141" s="43">
        <f t="shared" si="121"/>
        <v>5000</v>
      </c>
      <c r="EK141" s="69"/>
    </row>
    <row r="142" spans="1:141" x14ac:dyDescent="0.2">
      <c r="A142" s="7" t="str">
        <f t="shared" si="82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IF(IFERROR(INDEX(Consulta!$A:$DP,MATCH('MM01'!$B142,Consulta!$C:$C,0),'MM01'!D$2),"")=0,"",IFERROR(INDEX(Consulta!$A:$DP,MATCH('MM01'!$B142,Consulta!$C:$C,0),'MM01'!D$2),""))</f>
        <v/>
      </c>
      <c r="E142" s="43" t="str">
        <f>IF(IFERROR(INDEX(Consulta!$A:$DP,MATCH('MM01'!$B142,Consulta!$C:$C,0),'MM01'!E$2),"")=0,"",IFERROR(INDEX(Consulta!$A:$DP,MATCH('MM01'!$B142,Consulta!$C:$C,0),'MM01'!E$2),""))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3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4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5"/>
        <v/>
      </c>
      <c r="AV142" s="47" t="s">
        <v>795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6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7"/>
        <v/>
      </c>
      <c r="BC142" s="43" t="str">
        <f t="shared" si="88"/>
        <v/>
      </c>
      <c r="BD142" s="43" t="str">
        <f t="shared" si="89"/>
        <v/>
      </c>
      <c r="BE142" s="43" t="str">
        <f t="shared" si="90"/>
        <v>M</v>
      </c>
      <c r="BF142" s="43" t="str">
        <f t="shared" si="91"/>
        <v/>
      </c>
      <c r="BG142" s="43" t="str">
        <f t="shared" si="92"/>
        <v/>
      </c>
      <c r="BH142" s="43" t="str">
        <f t="shared" si="93"/>
        <v/>
      </c>
      <c r="BI142" s="43" t="str">
        <f t="shared" si="94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>
        <v>99</v>
      </c>
      <c r="BN142" s="46" t="str">
        <f t="shared" ca="1" si="95"/>
        <v>28.04.2022</v>
      </c>
      <c r="BO142" s="49" t="str">
        <f t="shared" si="96"/>
        <v/>
      </c>
      <c r="BP142" s="50">
        <v>1</v>
      </c>
      <c r="BQ142" s="50" t="s">
        <v>194</v>
      </c>
      <c r="BR142" s="79" t="str">
        <f t="shared" si="122"/>
        <v>01</v>
      </c>
      <c r="BS142" s="50" t="s">
        <v>795</v>
      </c>
      <c r="BT142" s="44">
        <v>1</v>
      </c>
      <c r="BU142" s="44" t="s">
        <v>371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391</v>
      </c>
      <c r="BZ142" s="50">
        <v>0</v>
      </c>
      <c r="CA142" s="45" t="s">
        <v>402</v>
      </c>
      <c r="CB142" s="45" t="s">
        <v>84</v>
      </c>
      <c r="CC142" s="43" t="str">
        <f t="shared" si="97"/>
        <v/>
      </c>
      <c r="CD142" s="45" t="s">
        <v>38</v>
      </c>
      <c r="CE142" s="45">
        <v>1</v>
      </c>
      <c r="CF142" s="45" t="s">
        <v>495</v>
      </c>
      <c r="CG142" s="45"/>
      <c r="CH142" s="44">
        <v>2</v>
      </c>
      <c r="CI142" s="49" t="str">
        <f t="shared" si="98"/>
        <v/>
      </c>
      <c r="CJ142" s="49" t="str">
        <f t="shared" si="99"/>
        <v/>
      </c>
      <c r="CK142" s="45"/>
      <c r="CL142" s="44">
        <v>1</v>
      </c>
      <c r="CM142" s="50" t="s">
        <v>514</v>
      </c>
      <c r="CN142" s="44" t="s">
        <v>371</v>
      </c>
      <c r="CO142" s="44">
        <v>2</v>
      </c>
      <c r="CP142" s="44">
        <v>42</v>
      </c>
      <c r="CQ142" s="44">
        <v>10</v>
      </c>
      <c r="CR142" s="43" t="str">
        <f t="shared" si="100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101"/>
        <v/>
      </c>
      <c r="CY142" s="43" t="str">
        <f t="shared" si="102"/>
        <v/>
      </c>
      <c r="CZ142" s="43" t="str">
        <f t="shared" si="103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4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773</v>
      </c>
      <c r="DZ142" s="43">
        <f t="shared" si="118"/>
        <v>0.01</v>
      </c>
      <c r="EA142" s="43" t="str">
        <f t="shared" si="119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20"/>
        <v>100</v>
      </c>
      <c r="EF142" s="44">
        <v>1</v>
      </c>
      <c r="EG142" s="44">
        <v>0</v>
      </c>
      <c r="EH142" s="44" t="s">
        <v>875</v>
      </c>
      <c r="EI142" s="45">
        <v>0</v>
      </c>
      <c r="EJ142" s="43">
        <f t="shared" si="121"/>
        <v>5000</v>
      </c>
      <c r="EK142" s="69"/>
    </row>
    <row r="143" spans="1:141" x14ac:dyDescent="0.2">
      <c r="A143" s="7" t="str">
        <f t="shared" si="82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IF(IFERROR(INDEX(Consulta!$A:$DP,MATCH('MM01'!$B143,Consulta!$C:$C,0),'MM01'!D$2),"")=0,"",IFERROR(INDEX(Consulta!$A:$DP,MATCH('MM01'!$B143,Consulta!$C:$C,0),'MM01'!D$2),""))</f>
        <v/>
      </c>
      <c r="E143" s="43" t="str">
        <f>IF(IFERROR(INDEX(Consulta!$A:$DP,MATCH('MM01'!$B143,Consulta!$C:$C,0),'MM01'!E$2),"")=0,"",IFERROR(INDEX(Consulta!$A:$DP,MATCH('MM01'!$B143,Consulta!$C:$C,0),'MM01'!E$2),""))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3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4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5"/>
        <v/>
      </c>
      <c r="AV143" s="47" t="s">
        <v>795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6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7"/>
        <v/>
      </c>
      <c r="BC143" s="43" t="str">
        <f t="shared" si="88"/>
        <v/>
      </c>
      <c r="BD143" s="43" t="str">
        <f t="shared" si="89"/>
        <v/>
      </c>
      <c r="BE143" s="43" t="str">
        <f t="shared" si="90"/>
        <v>M</v>
      </c>
      <c r="BF143" s="43" t="str">
        <f t="shared" si="91"/>
        <v/>
      </c>
      <c r="BG143" s="43" t="str">
        <f t="shared" si="92"/>
        <v/>
      </c>
      <c r="BH143" s="43" t="str">
        <f t="shared" si="93"/>
        <v/>
      </c>
      <c r="BI143" s="43" t="str">
        <f t="shared" si="94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>
        <v>99</v>
      </c>
      <c r="BN143" s="46" t="str">
        <f t="shared" ca="1" si="95"/>
        <v>28.04.2022</v>
      </c>
      <c r="BO143" s="49" t="str">
        <f t="shared" si="96"/>
        <v/>
      </c>
      <c r="BP143" s="50">
        <v>1</v>
      </c>
      <c r="BQ143" s="50" t="s">
        <v>194</v>
      </c>
      <c r="BR143" s="79" t="str">
        <f t="shared" si="122"/>
        <v>01</v>
      </c>
      <c r="BS143" s="50" t="s">
        <v>795</v>
      </c>
      <c r="BT143" s="44">
        <v>1</v>
      </c>
      <c r="BU143" s="44" t="s">
        <v>371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391</v>
      </c>
      <c r="BZ143" s="50">
        <v>0</v>
      </c>
      <c r="CA143" s="45" t="s">
        <v>402</v>
      </c>
      <c r="CB143" s="45" t="s">
        <v>84</v>
      </c>
      <c r="CC143" s="43" t="str">
        <f t="shared" si="97"/>
        <v/>
      </c>
      <c r="CD143" s="45" t="s">
        <v>38</v>
      </c>
      <c r="CE143" s="45">
        <v>1</v>
      </c>
      <c r="CF143" s="45" t="s">
        <v>495</v>
      </c>
      <c r="CG143" s="45"/>
      <c r="CH143" s="44">
        <v>2</v>
      </c>
      <c r="CI143" s="49" t="str">
        <f t="shared" si="98"/>
        <v/>
      </c>
      <c r="CJ143" s="49" t="str">
        <f t="shared" si="99"/>
        <v/>
      </c>
      <c r="CK143" s="45"/>
      <c r="CL143" s="44">
        <v>1</v>
      </c>
      <c r="CM143" s="50" t="s">
        <v>514</v>
      </c>
      <c r="CN143" s="44" t="s">
        <v>371</v>
      </c>
      <c r="CO143" s="44">
        <v>2</v>
      </c>
      <c r="CP143" s="44">
        <v>42</v>
      </c>
      <c r="CQ143" s="44">
        <v>10</v>
      </c>
      <c r="CR143" s="43" t="str">
        <f t="shared" si="100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101"/>
        <v/>
      </c>
      <c r="CY143" s="43" t="str">
        <f t="shared" si="102"/>
        <v/>
      </c>
      <c r="CZ143" s="43" t="str">
        <f t="shared" si="103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4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773</v>
      </c>
      <c r="DZ143" s="43">
        <f t="shared" si="118"/>
        <v>0.01</v>
      </c>
      <c r="EA143" s="43" t="str">
        <f t="shared" si="119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20"/>
        <v>100</v>
      </c>
      <c r="EF143" s="44">
        <v>1</v>
      </c>
      <c r="EG143" s="44">
        <v>0</v>
      </c>
      <c r="EH143" s="44" t="s">
        <v>875</v>
      </c>
      <c r="EI143" s="45">
        <v>0</v>
      </c>
      <c r="EJ143" s="43">
        <f t="shared" si="121"/>
        <v>5000</v>
      </c>
      <c r="EK143" s="69"/>
    </row>
    <row r="144" spans="1:141" x14ac:dyDescent="0.2">
      <c r="A144" s="7" t="str">
        <f t="shared" si="82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IF(IFERROR(INDEX(Consulta!$A:$DP,MATCH('MM01'!$B144,Consulta!$C:$C,0),'MM01'!D$2),"")=0,"",IFERROR(INDEX(Consulta!$A:$DP,MATCH('MM01'!$B144,Consulta!$C:$C,0),'MM01'!D$2),""))</f>
        <v/>
      </c>
      <c r="E144" s="43" t="str">
        <f>IF(IFERROR(INDEX(Consulta!$A:$DP,MATCH('MM01'!$B144,Consulta!$C:$C,0),'MM01'!E$2),"")=0,"",IFERROR(INDEX(Consulta!$A:$DP,MATCH('MM01'!$B144,Consulta!$C:$C,0),'MM01'!E$2),""))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3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4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5"/>
        <v/>
      </c>
      <c r="AV144" s="47" t="s">
        <v>795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6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7"/>
        <v/>
      </c>
      <c r="BC144" s="43" t="str">
        <f t="shared" si="88"/>
        <v/>
      </c>
      <c r="BD144" s="43" t="str">
        <f t="shared" si="89"/>
        <v/>
      </c>
      <c r="BE144" s="43" t="str">
        <f t="shared" si="90"/>
        <v>M</v>
      </c>
      <c r="BF144" s="43" t="str">
        <f t="shared" si="91"/>
        <v/>
      </c>
      <c r="BG144" s="43" t="str">
        <f t="shared" si="92"/>
        <v/>
      </c>
      <c r="BH144" s="43" t="str">
        <f t="shared" si="93"/>
        <v/>
      </c>
      <c r="BI144" s="43" t="str">
        <f t="shared" si="94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>
        <v>99</v>
      </c>
      <c r="BN144" s="46" t="str">
        <f t="shared" ca="1" si="95"/>
        <v>28.04.2022</v>
      </c>
      <c r="BO144" s="49" t="str">
        <f t="shared" si="96"/>
        <v/>
      </c>
      <c r="BP144" s="50">
        <v>1</v>
      </c>
      <c r="BQ144" s="50" t="s">
        <v>194</v>
      </c>
      <c r="BR144" s="79" t="str">
        <f t="shared" si="122"/>
        <v>01</v>
      </c>
      <c r="BS144" s="50" t="s">
        <v>795</v>
      </c>
      <c r="BT144" s="44">
        <v>1</v>
      </c>
      <c r="BU144" s="44" t="s">
        <v>371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391</v>
      </c>
      <c r="BZ144" s="50">
        <v>0</v>
      </c>
      <c r="CA144" s="45" t="s">
        <v>402</v>
      </c>
      <c r="CB144" s="45" t="s">
        <v>84</v>
      </c>
      <c r="CC144" s="43" t="str">
        <f t="shared" si="97"/>
        <v/>
      </c>
      <c r="CD144" s="45" t="s">
        <v>38</v>
      </c>
      <c r="CE144" s="45">
        <v>1</v>
      </c>
      <c r="CF144" s="45" t="s">
        <v>495</v>
      </c>
      <c r="CG144" s="45"/>
      <c r="CH144" s="44">
        <v>2</v>
      </c>
      <c r="CI144" s="49" t="str">
        <f t="shared" si="98"/>
        <v/>
      </c>
      <c r="CJ144" s="49" t="str">
        <f t="shared" si="99"/>
        <v/>
      </c>
      <c r="CK144" s="45"/>
      <c r="CL144" s="44">
        <v>1</v>
      </c>
      <c r="CM144" s="50" t="s">
        <v>514</v>
      </c>
      <c r="CN144" s="44" t="s">
        <v>371</v>
      </c>
      <c r="CO144" s="44">
        <v>2</v>
      </c>
      <c r="CP144" s="44">
        <v>42</v>
      </c>
      <c r="CQ144" s="44">
        <v>10</v>
      </c>
      <c r="CR144" s="43" t="str">
        <f t="shared" si="100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101"/>
        <v/>
      </c>
      <c r="CY144" s="43" t="str">
        <f t="shared" si="102"/>
        <v/>
      </c>
      <c r="CZ144" s="43" t="str">
        <f t="shared" si="103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4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773</v>
      </c>
      <c r="DZ144" s="43">
        <f t="shared" si="118"/>
        <v>0.01</v>
      </c>
      <c r="EA144" s="43" t="str">
        <f t="shared" si="119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20"/>
        <v>100</v>
      </c>
      <c r="EF144" s="44">
        <v>1</v>
      </c>
      <c r="EG144" s="44">
        <v>0</v>
      </c>
      <c r="EH144" s="44" t="s">
        <v>875</v>
      </c>
      <c r="EI144" s="45">
        <v>0</v>
      </c>
      <c r="EJ144" s="43">
        <f t="shared" si="121"/>
        <v>5000</v>
      </c>
      <c r="EK144" s="69"/>
    </row>
    <row r="145" spans="1:141" x14ac:dyDescent="0.2">
      <c r="A145" s="7" t="str">
        <f t="shared" si="82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IF(IFERROR(INDEX(Consulta!$A:$DP,MATCH('MM01'!$B145,Consulta!$C:$C,0),'MM01'!D$2),"")=0,"",IFERROR(INDEX(Consulta!$A:$DP,MATCH('MM01'!$B145,Consulta!$C:$C,0),'MM01'!D$2),""))</f>
        <v/>
      </c>
      <c r="E145" s="43" t="str">
        <f>IF(IFERROR(INDEX(Consulta!$A:$DP,MATCH('MM01'!$B145,Consulta!$C:$C,0),'MM01'!E$2),"")=0,"",IFERROR(INDEX(Consulta!$A:$DP,MATCH('MM01'!$B145,Consulta!$C:$C,0),'MM01'!E$2),""))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3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4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5"/>
        <v/>
      </c>
      <c r="AV145" s="47" t="s">
        <v>795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6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7"/>
        <v/>
      </c>
      <c r="BC145" s="43" t="str">
        <f t="shared" si="88"/>
        <v/>
      </c>
      <c r="BD145" s="43" t="str">
        <f t="shared" si="89"/>
        <v/>
      </c>
      <c r="BE145" s="43" t="str">
        <f t="shared" si="90"/>
        <v>M</v>
      </c>
      <c r="BF145" s="43" t="str">
        <f t="shared" si="91"/>
        <v/>
      </c>
      <c r="BG145" s="43" t="str">
        <f t="shared" si="92"/>
        <v/>
      </c>
      <c r="BH145" s="43" t="str">
        <f t="shared" si="93"/>
        <v/>
      </c>
      <c r="BI145" s="43" t="str">
        <f t="shared" si="94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>
        <v>99</v>
      </c>
      <c r="BN145" s="46" t="str">
        <f t="shared" ca="1" si="95"/>
        <v>28.04.2022</v>
      </c>
      <c r="BO145" s="49" t="str">
        <f t="shared" si="96"/>
        <v/>
      </c>
      <c r="BP145" s="50">
        <v>1</v>
      </c>
      <c r="BQ145" s="50" t="s">
        <v>194</v>
      </c>
      <c r="BR145" s="79" t="str">
        <f t="shared" si="122"/>
        <v>01</v>
      </c>
      <c r="BS145" s="50" t="s">
        <v>795</v>
      </c>
      <c r="BT145" s="44">
        <v>1</v>
      </c>
      <c r="BU145" s="44" t="s">
        <v>371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391</v>
      </c>
      <c r="BZ145" s="50">
        <v>0</v>
      </c>
      <c r="CA145" s="45" t="s">
        <v>402</v>
      </c>
      <c r="CB145" s="45" t="s">
        <v>84</v>
      </c>
      <c r="CC145" s="43" t="str">
        <f t="shared" si="97"/>
        <v/>
      </c>
      <c r="CD145" s="45" t="s">
        <v>38</v>
      </c>
      <c r="CE145" s="45">
        <v>1</v>
      </c>
      <c r="CF145" s="45" t="s">
        <v>495</v>
      </c>
      <c r="CG145" s="45"/>
      <c r="CH145" s="44">
        <v>2</v>
      </c>
      <c r="CI145" s="49" t="str">
        <f t="shared" si="98"/>
        <v/>
      </c>
      <c r="CJ145" s="49" t="str">
        <f t="shared" si="99"/>
        <v/>
      </c>
      <c r="CK145" s="45"/>
      <c r="CL145" s="44">
        <v>1</v>
      </c>
      <c r="CM145" s="50" t="s">
        <v>514</v>
      </c>
      <c r="CN145" s="44" t="s">
        <v>371</v>
      </c>
      <c r="CO145" s="44">
        <v>2</v>
      </c>
      <c r="CP145" s="44">
        <v>42</v>
      </c>
      <c r="CQ145" s="44">
        <v>10</v>
      </c>
      <c r="CR145" s="43" t="str">
        <f t="shared" si="100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101"/>
        <v/>
      </c>
      <c r="CY145" s="43" t="str">
        <f t="shared" si="102"/>
        <v/>
      </c>
      <c r="CZ145" s="43" t="str">
        <f t="shared" si="103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4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773</v>
      </c>
      <c r="DZ145" s="43">
        <f t="shared" si="118"/>
        <v>0.01</v>
      </c>
      <c r="EA145" s="43" t="str">
        <f t="shared" si="119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20"/>
        <v>100</v>
      </c>
      <c r="EF145" s="44">
        <v>1</v>
      </c>
      <c r="EG145" s="44">
        <v>0</v>
      </c>
      <c r="EH145" s="44" t="s">
        <v>875</v>
      </c>
      <c r="EI145" s="45">
        <v>0</v>
      </c>
      <c r="EJ145" s="43">
        <f t="shared" si="121"/>
        <v>5000</v>
      </c>
      <c r="EK145" s="69"/>
    </row>
    <row r="146" spans="1:141" x14ac:dyDescent="0.2">
      <c r="A146" s="7" t="str">
        <f t="shared" si="82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IF(IFERROR(INDEX(Consulta!$A:$DP,MATCH('MM01'!$B146,Consulta!$C:$C,0),'MM01'!D$2),"")=0,"",IFERROR(INDEX(Consulta!$A:$DP,MATCH('MM01'!$B146,Consulta!$C:$C,0),'MM01'!D$2),""))</f>
        <v/>
      </c>
      <c r="E146" s="43" t="str">
        <f>IF(IFERROR(INDEX(Consulta!$A:$DP,MATCH('MM01'!$B146,Consulta!$C:$C,0),'MM01'!E$2),"")=0,"",IFERROR(INDEX(Consulta!$A:$DP,MATCH('MM01'!$B146,Consulta!$C:$C,0),'MM01'!E$2),""))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3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4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5"/>
        <v/>
      </c>
      <c r="AV146" s="47" t="s">
        <v>795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6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7"/>
        <v/>
      </c>
      <c r="BC146" s="43" t="str">
        <f t="shared" si="88"/>
        <v/>
      </c>
      <c r="BD146" s="43" t="str">
        <f t="shared" si="89"/>
        <v/>
      </c>
      <c r="BE146" s="43" t="str">
        <f t="shared" si="90"/>
        <v>M</v>
      </c>
      <c r="BF146" s="43" t="str">
        <f t="shared" si="91"/>
        <v/>
      </c>
      <c r="BG146" s="43" t="str">
        <f t="shared" si="92"/>
        <v/>
      </c>
      <c r="BH146" s="43" t="str">
        <f t="shared" si="93"/>
        <v/>
      </c>
      <c r="BI146" s="43" t="str">
        <f t="shared" si="94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>
        <v>99</v>
      </c>
      <c r="BN146" s="46" t="str">
        <f t="shared" ca="1" si="95"/>
        <v>28.04.2022</v>
      </c>
      <c r="BO146" s="49" t="str">
        <f t="shared" si="96"/>
        <v/>
      </c>
      <c r="BP146" s="50">
        <v>1</v>
      </c>
      <c r="BQ146" s="50" t="s">
        <v>194</v>
      </c>
      <c r="BR146" s="79" t="str">
        <f t="shared" si="122"/>
        <v>01</v>
      </c>
      <c r="BS146" s="50" t="s">
        <v>795</v>
      </c>
      <c r="BT146" s="44">
        <v>1</v>
      </c>
      <c r="BU146" s="44" t="s">
        <v>371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391</v>
      </c>
      <c r="BZ146" s="50">
        <v>0</v>
      </c>
      <c r="CA146" s="45" t="s">
        <v>402</v>
      </c>
      <c r="CB146" s="45" t="s">
        <v>84</v>
      </c>
      <c r="CC146" s="43" t="str">
        <f t="shared" si="97"/>
        <v/>
      </c>
      <c r="CD146" s="45" t="s">
        <v>38</v>
      </c>
      <c r="CE146" s="45">
        <v>1</v>
      </c>
      <c r="CF146" s="45" t="s">
        <v>495</v>
      </c>
      <c r="CG146" s="45"/>
      <c r="CH146" s="44">
        <v>2</v>
      </c>
      <c r="CI146" s="49" t="str">
        <f t="shared" si="98"/>
        <v/>
      </c>
      <c r="CJ146" s="49" t="str">
        <f t="shared" si="99"/>
        <v/>
      </c>
      <c r="CK146" s="45"/>
      <c r="CL146" s="44">
        <v>1</v>
      </c>
      <c r="CM146" s="50" t="s">
        <v>514</v>
      </c>
      <c r="CN146" s="44" t="s">
        <v>371</v>
      </c>
      <c r="CO146" s="44">
        <v>2</v>
      </c>
      <c r="CP146" s="44">
        <v>42</v>
      </c>
      <c r="CQ146" s="44">
        <v>10</v>
      </c>
      <c r="CR146" s="43" t="str">
        <f t="shared" si="100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101"/>
        <v/>
      </c>
      <c r="CY146" s="43" t="str">
        <f t="shared" si="102"/>
        <v/>
      </c>
      <c r="CZ146" s="43" t="str">
        <f t="shared" si="103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4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773</v>
      </c>
      <c r="DZ146" s="43">
        <f t="shared" si="118"/>
        <v>0.01</v>
      </c>
      <c r="EA146" s="43" t="str">
        <f t="shared" si="119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20"/>
        <v>100</v>
      </c>
      <c r="EF146" s="44">
        <v>1</v>
      </c>
      <c r="EG146" s="44">
        <v>0</v>
      </c>
      <c r="EH146" s="44" t="s">
        <v>875</v>
      </c>
      <c r="EI146" s="45">
        <v>0</v>
      </c>
      <c r="EJ146" s="43">
        <f t="shared" si="121"/>
        <v>5000</v>
      </c>
      <c r="EK146" s="69"/>
    </row>
    <row r="147" spans="1:141" x14ac:dyDescent="0.2">
      <c r="A147" s="7" t="str">
        <f t="shared" si="82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IF(IFERROR(INDEX(Consulta!$A:$DP,MATCH('MM01'!$B147,Consulta!$C:$C,0),'MM01'!D$2),"")=0,"",IFERROR(INDEX(Consulta!$A:$DP,MATCH('MM01'!$B147,Consulta!$C:$C,0),'MM01'!D$2),""))</f>
        <v/>
      </c>
      <c r="E147" s="43" t="str">
        <f>IF(IFERROR(INDEX(Consulta!$A:$DP,MATCH('MM01'!$B147,Consulta!$C:$C,0),'MM01'!E$2),"")=0,"",IFERROR(INDEX(Consulta!$A:$DP,MATCH('MM01'!$B147,Consulta!$C:$C,0),'MM01'!E$2),""))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3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4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5"/>
        <v/>
      </c>
      <c r="AV147" s="47" t="s">
        <v>795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6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7"/>
        <v/>
      </c>
      <c r="BC147" s="43" t="str">
        <f t="shared" si="88"/>
        <v/>
      </c>
      <c r="BD147" s="43" t="str">
        <f t="shared" si="89"/>
        <v/>
      </c>
      <c r="BE147" s="43" t="str">
        <f t="shared" si="90"/>
        <v>M</v>
      </c>
      <c r="BF147" s="43" t="str">
        <f t="shared" si="91"/>
        <v/>
      </c>
      <c r="BG147" s="43" t="str">
        <f t="shared" si="92"/>
        <v/>
      </c>
      <c r="BH147" s="43" t="str">
        <f t="shared" si="93"/>
        <v/>
      </c>
      <c r="BI147" s="43" t="str">
        <f t="shared" si="94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>
        <v>99</v>
      </c>
      <c r="BN147" s="46" t="str">
        <f t="shared" ca="1" si="95"/>
        <v>28.04.2022</v>
      </c>
      <c r="BO147" s="49" t="str">
        <f t="shared" si="96"/>
        <v/>
      </c>
      <c r="BP147" s="50">
        <v>1</v>
      </c>
      <c r="BQ147" s="50" t="s">
        <v>194</v>
      </c>
      <c r="BR147" s="79" t="str">
        <f t="shared" si="122"/>
        <v>01</v>
      </c>
      <c r="BS147" s="50" t="s">
        <v>795</v>
      </c>
      <c r="BT147" s="44">
        <v>1</v>
      </c>
      <c r="BU147" s="44" t="s">
        <v>371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391</v>
      </c>
      <c r="BZ147" s="50">
        <v>0</v>
      </c>
      <c r="CA147" s="45" t="s">
        <v>402</v>
      </c>
      <c r="CB147" s="45" t="s">
        <v>84</v>
      </c>
      <c r="CC147" s="43" t="str">
        <f t="shared" si="97"/>
        <v/>
      </c>
      <c r="CD147" s="45" t="s">
        <v>38</v>
      </c>
      <c r="CE147" s="45">
        <v>1</v>
      </c>
      <c r="CF147" s="45" t="s">
        <v>495</v>
      </c>
      <c r="CG147" s="45"/>
      <c r="CH147" s="44">
        <v>2</v>
      </c>
      <c r="CI147" s="49" t="str">
        <f t="shared" si="98"/>
        <v/>
      </c>
      <c r="CJ147" s="49" t="str">
        <f t="shared" si="99"/>
        <v/>
      </c>
      <c r="CK147" s="45"/>
      <c r="CL147" s="44">
        <v>1</v>
      </c>
      <c r="CM147" s="50" t="s">
        <v>514</v>
      </c>
      <c r="CN147" s="44" t="s">
        <v>371</v>
      </c>
      <c r="CO147" s="44">
        <v>2</v>
      </c>
      <c r="CP147" s="44">
        <v>42</v>
      </c>
      <c r="CQ147" s="44">
        <v>10</v>
      </c>
      <c r="CR147" s="43" t="str">
        <f t="shared" si="100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101"/>
        <v/>
      </c>
      <c r="CY147" s="43" t="str">
        <f t="shared" si="102"/>
        <v/>
      </c>
      <c r="CZ147" s="43" t="str">
        <f t="shared" si="103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4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773</v>
      </c>
      <c r="DZ147" s="43">
        <f t="shared" si="118"/>
        <v>0.01</v>
      </c>
      <c r="EA147" s="43" t="str">
        <f t="shared" si="119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20"/>
        <v>100</v>
      </c>
      <c r="EF147" s="44">
        <v>1</v>
      </c>
      <c r="EG147" s="44">
        <v>0</v>
      </c>
      <c r="EH147" s="44" t="s">
        <v>875</v>
      </c>
      <c r="EI147" s="45">
        <v>0</v>
      </c>
      <c r="EJ147" s="43">
        <f t="shared" si="121"/>
        <v>5000</v>
      </c>
      <c r="EK147" s="69"/>
    </row>
    <row r="148" spans="1:141" x14ac:dyDescent="0.2">
      <c r="A148" s="7" t="str">
        <f t="shared" si="82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IF(IFERROR(INDEX(Consulta!$A:$DP,MATCH('MM01'!$B148,Consulta!$C:$C,0),'MM01'!D$2),"")=0,"",IFERROR(INDEX(Consulta!$A:$DP,MATCH('MM01'!$B148,Consulta!$C:$C,0),'MM01'!D$2),""))</f>
        <v/>
      </c>
      <c r="E148" s="43" t="str">
        <f>IF(IFERROR(INDEX(Consulta!$A:$DP,MATCH('MM01'!$B148,Consulta!$C:$C,0),'MM01'!E$2),"")=0,"",IFERROR(INDEX(Consulta!$A:$DP,MATCH('MM01'!$B148,Consulta!$C:$C,0),'MM01'!E$2),""))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3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4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5"/>
        <v/>
      </c>
      <c r="AV148" s="47" t="s">
        <v>795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6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7"/>
        <v/>
      </c>
      <c r="BC148" s="43" t="str">
        <f t="shared" si="88"/>
        <v/>
      </c>
      <c r="BD148" s="43" t="str">
        <f t="shared" si="89"/>
        <v/>
      </c>
      <c r="BE148" s="43" t="str">
        <f t="shared" si="90"/>
        <v>M</v>
      </c>
      <c r="BF148" s="43" t="str">
        <f t="shared" si="91"/>
        <v/>
      </c>
      <c r="BG148" s="43" t="str">
        <f t="shared" si="92"/>
        <v/>
      </c>
      <c r="BH148" s="43" t="str">
        <f t="shared" si="93"/>
        <v/>
      </c>
      <c r="BI148" s="43" t="str">
        <f t="shared" si="94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>
        <v>99</v>
      </c>
      <c r="BN148" s="46" t="str">
        <f t="shared" ca="1" si="95"/>
        <v>28.04.2022</v>
      </c>
      <c r="BO148" s="49" t="str">
        <f t="shared" si="96"/>
        <v/>
      </c>
      <c r="BP148" s="50">
        <v>1</v>
      </c>
      <c r="BQ148" s="50" t="s">
        <v>194</v>
      </c>
      <c r="BR148" s="79" t="str">
        <f t="shared" si="122"/>
        <v>01</v>
      </c>
      <c r="BS148" s="50" t="s">
        <v>795</v>
      </c>
      <c r="BT148" s="44">
        <v>1</v>
      </c>
      <c r="BU148" s="44" t="s">
        <v>371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391</v>
      </c>
      <c r="BZ148" s="50">
        <v>0</v>
      </c>
      <c r="CA148" s="45" t="s">
        <v>402</v>
      </c>
      <c r="CB148" s="45" t="s">
        <v>84</v>
      </c>
      <c r="CC148" s="43" t="str">
        <f t="shared" si="97"/>
        <v/>
      </c>
      <c r="CD148" s="45" t="s">
        <v>38</v>
      </c>
      <c r="CE148" s="45">
        <v>1</v>
      </c>
      <c r="CF148" s="45" t="s">
        <v>495</v>
      </c>
      <c r="CG148" s="45"/>
      <c r="CH148" s="44">
        <v>2</v>
      </c>
      <c r="CI148" s="49" t="str">
        <f t="shared" si="98"/>
        <v/>
      </c>
      <c r="CJ148" s="49" t="str">
        <f t="shared" si="99"/>
        <v/>
      </c>
      <c r="CK148" s="45"/>
      <c r="CL148" s="44">
        <v>1</v>
      </c>
      <c r="CM148" s="50" t="s">
        <v>514</v>
      </c>
      <c r="CN148" s="44" t="s">
        <v>371</v>
      </c>
      <c r="CO148" s="44">
        <v>2</v>
      </c>
      <c r="CP148" s="44">
        <v>42</v>
      </c>
      <c r="CQ148" s="44">
        <v>10</v>
      </c>
      <c r="CR148" s="43" t="str">
        <f t="shared" si="100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101"/>
        <v/>
      </c>
      <c r="CY148" s="43" t="str">
        <f t="shared" si="102"/>
        <v/>
      </c>
      <c r="CZ148" s="43" t="str">
        <f t="shared" si="103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4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773</v>
      </c>
      <c r="DZ148" s="43">
        <f t="shared" si="118"/>
        <v>0.01</v>
      </c>
      <c r="EA148" s="43" t="str">
        <f t="shared" si="119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20"/>
        <v>100</v>
      </c>
      <c r="EF148" s="44">
        <v>1</v>
      </c>
      <c r="EG148" s="44">
        <v>0</v>
      </c>
      <c r="EH148" s="44" t="s">
        <v>875</v>
      </c>
      <c r="EI148" s="45">
        <v>0</v>
      </c>
      <c r="EJ148" s="43">
        <f t="shared" si="121"/>
        <v>5000</v>
      </c>
      <c r="EK148" s="69"/>
    </row>
    <row r="149" spans="1:141" x14ac:dyDescent="0.2">
      <c r="A149" s="7" t="str">
        <f t="shared" si="82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IF(IFERROR(INDEX(Consulta!$A:$DP,MATCH('MM01'!$B149,Consulta!$C:$C,0),'MM01'!D$2),"")=0,"",IFERROR(INDEX(Consulta!$A:$DP,MATCH('MM01'!$B149,Consulta!$C:$C,0),'MM01'!D$2),""))</f>
        <v/>
      </c>
      <c r="E149" s="43" t="str">
        <f>IF(IFERROR(INDEX(Consulta!$A:$DP,MATCH('MM01'!$B149,Consulta!$C:$C,0),'MM01'!E$2),"")=0,"",IFERROR(INDEX(Consulta!$A:$DP,MATCH('MM01'!$B149,Consulta!$C:$C,0),'MM01'!E$2),""))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3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4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5"/>
        <v/>
      </c>
      <c r="AV149" s="47" t="s">
        <v>795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6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7"/>
        <v/>
      </c>
      <c r="BC149" s="43" t="str">
        <f t="shared" si="88"/>
        <v/>
      </c>
      <c r="BD149" s="43" t="str">
        <f t="shared" si="89"/>
        <v/>
      </c>
      <c r="BE149" s="43" t="str">
        <f t="shared" si="90"/>
        <v>M</v>
      </c>
      <c r="BF149" s="43" t="str">
        <f t="shared" si="91"/>
        <v/>
      </c>
      <c r="BG149" s="43" t="str">
        <f t="shared" si="92"/>
        <v/>
      </c>
      <c r="BH149" s="43" t="str">
        <f t="shared" si="93"/>
        <v/>
      </c>
      <c r="BI149" s="43" t="str">
        <f t="shared" si="94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>
        <v>99</v>
      </c>
      <c r="BN149" s="46" t="str">
        <f t="shared" ca="1" si="95"/>
        <v>28.04.2022</v>
      </c>
      <c r="BO149" s="49" t="str">
        <f t="shared" si="96"/>
        <v/>
      </c>
      <c r="BP149" s="50">
        <v>1</v>
      </c>
      <c r="BQ149" s="50" t="s">
        <v>194</v>
      </c>
      <c r="BR149" s="79" t="str">
        <f t="shared" si="122"/>
        <v>01</v>
      </c>
      <c r="BS149" s="50" t="s">
        <v>795</v>
      </c>
      <c r="BT149" s="44">
        <v>1</v>
      </c>
      <c r="BU149" s="44" t="s">
        <v>371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391</v>
      </c>
      <c r="BZ149" s="50">
        <v>0</v>
      </c>
      <c r="CA149" s="45" t="s">
        <v>402</v>
      </c>
      <c r="CB149" s="45" t="s">
        <v>84</v>
      </c>
      <c r="CC149" s="43" t="str">
        <f t="shared" si="97"/>
        <v/>
      </c>
      <c r="CD149" s="45" t="s">
        <v>38</v>
      </c>
      <c r="CE149" s="45">
        <v>1</v>
      </c>
      <c r="CF149" s="45" t="s">
        <v>495</v>
      </c>
      <c r="CG149" s="45"/>
      <c r="CH149" s="44">
        <v>2</v>
      </c>
      <c r="CI149" s="49" t="str">
        <f t="shared" si="98"/>
        <v/>
      </c>
      <c r="CJ149" s="49" t="str">
        <f t="shared" si="99"/>
        <v/>
      </c>
      <c r="CK149" s="45"/>
      <c r="CL149" s="44">
        <v>1</v>
      </c>
      <c r="CM149" s="50" t="s">
        <v>514</v>
      </c>
      <c r="CN149" s="44" t="s">
        <v>371</v>
      </c>
      <c r="CO149" s="44">
        <v>2</v>
      </c>
      <c r="CP149" s="44">
        <v>42</v>
      </c>
      <c r="CQ149" s="44">
        <v>10</v>
      </c>
      <c r="CR149" s="43" t="str">
        <f t="shared" si="100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101"/>
        <v/>
      </c>
      <c r="CY149" s="43" t="str">
        <f t="shared" si="102"/>
        <v/>
      </c>
      <c r="CZ149" s="43" t="str">
        <f t="shared" si="103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4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773</v>
      </c>
      <c r="DZ149" s="43">
        <f t="shared" si="118"/>
        <v>0.01</v>
      </c>
      <c r="EA149" s="43" t="str">
        <f t="shared" si="119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20"/>
        <v>100</v>
      </c>
      <c r="EF149" s="44">
        <v>1</v>
      </c>
      <c r="EG149" s="44">
        <v>0</v>
      </c>
      <c r="EH149" s="44" t="s">
        <v>875</v>
      </c>
      <c r="EI149" s="45">
        <v>0</v>
      </c>
      <c r="EJ149" s="43">
        <f t="shared" si="121"/>
        <v>5000</v>
      </c>
      <c r="EK149" s="69"/>
    </row>
    <row r="150" spans="1:141" x14ac:dyDescent="0.2">
      <c r="A150" s="7" t="str">
        <f t="shared" si="82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IF(IFERROR(INDEX(Consulta!$A:$DP,MATCH('MM01'!$B150,Consulta!$C:$C,0),'MM01'!D$2),"")=0,"",IFERROR(INDEX(Consulta!$A:$DP,MATCH('MM01'!$B150,Consulta!$C:$C,0),'MM01'!D$2),""))</f>
        <v/>
      </c>
      <c r="E150" s="43" t="str">
        <f>IF(IFERROR(INDEX(Consulta!$A:$DP,MATCH('MM01'!$B150,Consulta!$C:$C,0),'MM01'!E$2),"")=0,"",IFERROR(INDEX(Consulta!$A:$DP,MATCH('MM01'!$B150,Consulta!$C:$C,0),'MM01'!E$2),""))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3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4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5"/>
        <v/>
      </c>
      <c r="AV150" s="47" t="s">
        <v>795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6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7"/>
        <v/>
      </c>
      <c r="BC150" s="43" t="str">
        <f t="shared" si="88"/>
        <v/>
      </c>
      <c r="BD150" s="43" t="str">
        <f t="shared" si="89"/>
        <v/>
      </c>
      <c r="BE150" s="43" t="str">
        <f t="shared" si="90"/>
        <v>M</v>
      </c>
      <c r="BF150" s="43" t="str">
        <f t="shared" si="91"/>
        <v/>
      </c>
      <c r="BG150" s="43" t="str">
        <f t="shared" si="92"/>
        <v/>
      </c>
      <c r="BH150" s="43" t="str">
        <f t="shared" si="93"/>
        <v/>
      </c>
      <c r="BI150" s="43" t="str">
        <f t="shared" si="94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>
        <v>99</v>
      </c>
      <c r="BN150" s="46" t="str">
        <f t="shared" ca="1" si="95"/>
        <v>28.04.2022</v>
      </c>
      <c r="BO150" s="49" t="str">
        <f t="shared" si="96"/>
        <v/>
      </c>
      <c r="BP150" s="50">
        <v>1</v>
      </c>
      <c r="BQ150" s="50" t="s">
        <v>194</v>
      </c>
      <c r="BR150" s="79" t="str">
        <f t="shared" si="122"/>
        <v>01</v>
      </c>
      <c r="BS150" s="50" t="s">
        <v>795</v>
      </c>
      <c r="BT150" s="44">
        <v>1</v>
      </c>
      <c r="BU150" s="44" t="s">
        <v>371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391</v>
      </c>
      <c r="BZ150" s="50">
        <v>0</v>
      </c>
      <c r="CA150" s="45" t="s">
        <v>402</v>
      </c>
      <c r="CB150" s="45" t="s">
        <v>84</v>
      </c>
      <c r="CC150" s="43" t="str">
        <f t="shared" si="97"/>
        <v/>
      </c>
      <c r="CD150" s="45" t="s">
        <v>38</v>
      </c>
      <c r="CE150" s="45">
        <v>1</v>
      </c>
      <c r="CF150" s="45" t="s">
        <v>495</v>
      </c>
      <c r="CG150" s="45"/>
      <c r="CH150" s="44">
        <v>2</v>
      </c>
      <c r="CI150" s="49" t="str">
        <f t="shared" si="98"/>
        <v/>
      </c>
      <c r="CJ150" s="49" t="str">
        <f t="shared" si="99"/>
        <v/>
      </c>
      <c r="CK150" s="45"/>
      <c r="CL150" s="44">
        <v>1</v>
      </c>
      <c r="CM150" s="50" t="s">
        <v>514</v>
      </c>
      <c r="CN150" s="44" t="s">
        <v>371</v>
      </c>
      <c r="CO150" s="44">
        <v>2</v>
      </c>
      <c r="CP150" s="44">
        <v>42</v>
      </c>
      <c r="CQ150" s="44">
        <v>10</v>
      </c>
      <c r="CR150" s="43" t="str">
        <f t="shared" si="100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101"/>
        <v/>
      </c>
      <c r="CY150" s="43" t="str">
        <f t="shared" si="102"/>
        <v/>
      </c>
      <c r="CZ150" s="43" t="str">
        <f t="shared" si="103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4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773</v>
      </c>
      <c r="DZ150" s="43">
        <f t="shared" si="118"/>
        <v>0.01</v>
      </c>
      <c r="EA150" s="43" t="str">
        <f t="shared" si="119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20"/>
        <v>100</v>
      </c>
      <c r="EF150" s="44">
        <v>1</v>
      </c>
      <c r="EG150" s="44">
        <v>0</v>
      </c>
      <c r="EH150" s="44" t="s">
        <v>875</v>
      </c>
      <c r="EI150" s="45">
        <v>0</v>
      </c>
      <c r="EJ150" s="43">
        <f t="shared" si="121"/>
        <v>5000</v>
      </c>
      <c r="EK150" s="69"/>
    </row>
    <row r="151" spans="1:141" x14ac:dyDescent="0.2">
      <c r="A151" s="7" t="str">
        <f t="shared" si="82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IF(IFERROR(INDEX(Consulta!$A:$DP,MATCH('MM01'!$B151,Consulta!$C:$C,0),'MM01'!D$2),"")=0,"",IFERROR(INDEX(Consulta!$A:$DP,MATCH('MM01'!$B151,Consulta!$C:$C,0),'MM01'!D$2),""))</f>
        <v/>
      </c>
      <c r="E151" s="43" t="str">
        <f>IF(IFERROR(INDEX(Consulta!$A:$DP,MATCH('MM01'!$B151,Consulta!$C:$C,0),'MM01'!E$2),"")=0,"",IFERROR(INDEX(Consulta!$A:$DP,MATCH('MM01'!$B151,Consulta!$C:$C,0),'MM01'!E$2),""))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3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4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5"/>
        <v/>
      </c>
      <c r="AV151" s="47" t="s">
        <v>795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6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7"/>
        <v/>
      </c>
      <c r="BC151" s="43" t="str">
        <f t="shared" si="88"/>
        <v/>
      </c>
      <c r="BD151" s="43" t="str">
        <f t="shared" si="89"/>
        <v/>
      </c>
      <c r="BE151" s="43" t="str">
        <f t="shared" si="90"/>
        <v>M</v>
      </c>
      <c r="BF151" s="43" t="str">
        <f t="shared" si="91"/>
        <v/>
      </c>
      <c r="BG151" s="43" t="str">
        <f t="shared" si="92"/>
        <v/>
      </c>
      <c r="BH151" s="43" t="str">
        <f t="shared" si="93"/>
        <v/>
      </c>
      <c r="BI151" s="43" t="str">
        <f t="shared" si="94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>
        <v>99</v>
      </c>
      <c r="BN151" s="46" t="str">
        <f t="shared" ca="1" si="95"/>
        <v>28.04.2022</v>
      </c>
      <c r="BO151" s="49" t="str">
        <f t="shared" si="96"/>
        <v/>
      </c>
      <c r="BP151" s="50">
        <v>1</v>
      </c>
      <c r="BQ151" s="50" t="s">
        <v>194</v>
      </c>
      <c r="BR151" s="79" t="str">
        <f t="shared" si="122"/>
        <v>01</v>
      </c>
      <c r="BS151" s="50" t="s">
        <v>795</v>
      </c>
      <c r="BT151" s="44">
        <v>1</v>
      </c>
      <c r="BU151" s="44" t="s">
        <v>371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391</v>
      </c>
      <c r="BZ151" s="50">
        <v>0</v>
      </c>
      <c r="CA151" s="45" t="s">
        <v>402</v>
      </c>
      <c r="CB151" s="45" t="s">
        <v>84</v>
      </c>
      <c r="CC151" s="43" t="str">
        <f t="shared" si="97"/>
        <v/>
      </c>
      <c r="CD151" s="45" t="s">
        <v>38</v>
      </c>
      <c r="CE151" s="45">
        <v>1</v>
      </c>
      <c r="CF151" s="45" t="s">
        <v>495</v>
      </c>
      <c r="CG151" s="45"/>
      <c r="CH151" s="44">
        <v>2</v>
      </c>
      <c r="CI151" s="49" t="str">
        <f t="shared" si="98"/>
        <v/>
      </c>
      <c r="CJ151" s="49" t="str">
        <f t="shared" si="99"/>
        <v/>
      </c>
      <c r="CK151" s="45"/>
      <c r="CL151" s="44">
        <v>1</v>
      </c>
      <c r="CM151" s="50" t="s">
        <v>514</v>
      </c>
      <c r="CN151" s="44" t="s">
        <v>371</v>
      </c>
      <c r="CO151" s="44">
        <v>2</v>
      </c>
      <c r="CP151" s="44">
        <v>42</v>
      </c>
      <c r="CQ151" s="44">
        <v>10</v>
      </c>
      <c r="CR151" s="43" t="str">
        <f t="shared" si="100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101"/>
        <v/>
      </c>
      <c r="CY151" s="43" t="str">
        <f t="shared" si="102"/>
        <v/>
      </c>
      <c r="CZ151" s="43" t="str">
        <f t="shared" si="103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4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5"/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773</v>
      </c>
      <c r="DZ151" s="43">
        <f t="shared" si="118"/>
        <v>0.01</v>
      </c>
      <c r="EA151" s="43" t="str">
        <f t="shared" si="119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20"/>
        <v>100</v>
      </c>
      <c r="EF151" s="44">
        <v>1</v>
      </c>
      <c r="EG151" s="44">
        <v>0</v>
      </c>
      <c r="EH151" s="44" t="s">
        <v>875</v>
      </c>
      <c r="EI151" s="45">
        <v>0</v>
      </c>
      <c r="EJ151" s="43">
        <f t="shared" si="121"/>
        <v>5000</v>
      </c>
      <c r="EK151" s="69"/>
    </row>
    <row r="152" spans="1:141" x14ac:dyDescent="0.2">
      <c r="A152" s="7" t="str">
        <f t="shared" si="82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IF(IFERROR(INDEX(Consulta!$A:$DP,MATCH('MM01'!$B152,Consulta!$C:$C,0),'MM01'!D$2),"")=0,"",IFERROR(INDEX(Consulta!$A:$DP,MATCH('MM01'!$B152,Consulta!$C:$C,0),'MM01'!D$2),""))</f>
        <v/>
      </c>
      <c r="E152" s="43" t="str">
        <f>IF(IFERROR(INDEX(Consulta!$A:$DP,MATCH('MM01'!$B152,Consulta!$C:$C,0),'MM01'!E$2),"")=0,"",IFERROR(INDEX(Consulta!$A:$DP,MATCH('MM01'!$B152,Consulta!$C:$C,0),'MM01'!E$2),""))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3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4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5"/>
        <v/>
      </c>
      <c r="AV152" s="47" t="s">
        <v>795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6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7"/>
        <v/>
      </c>
      <c r="BC152" s="43" t="str">
        <f t="shared" si="88"/>
        <v/>
      </c>
      <c r="BD152" s="43" t="str">
        <f t="shared" si="89"/>
        <v/>
      </c>
      <c r="BE152" s="43" t="str">
        <f t="shared" si="90"/>
        <v>M</v>
      </c>
      <c r="BF152" s="43" t="str">
        <f t="shared" si="91"/>
        <v/>
      </c>
      <c r="BG152" s="43" t="str">
        <f t="shared" si="92"/>
        <v/>
      </c>
      <c r="BH152" s="43" t="str">
        <f t="shared" si="93"/>
        <v/>
      </c>
      <c r="BI152" s="43" t="str">
        <f t="shared" si="94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>
        <v>99</v>
      </c>
      <c r="BN152" s="46" t="str">
        <f t="shared" ca="1" si="95"/>
        <v>28.04.2022</v>
      </c>
      <c r="BO152" s="49" t="str">
        <f t="shared" si="96"/>
        <v/>
      </c>
      <c r="BP152" s="50">
        <v>1</v>
      </c>
      <c r="BQ152" s="50" t="s">
        <v>194</v>
      </c>
      <c r="BR152" s="79" t="str">
        <f t="shared" si="122"/>
        <v>01</v>
      </c>
      <c r="BS152" s="50" t="s">
        <v>795</v>
      </c>
      <c r="BT152" s="44">
        <v>1</v>
      </c>
      <c r="BU152" s="44" t="s">
        <v>371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391</v>
      </c>
      <c r="BZ152" s="50">
        <v>0</v>
      </c>
      <c r="CA152" s="45" t="s">
        <v>402</v>
      </c>
      <c r="CB152" s="45" t="s">
        <v>84</v>
      </c>
      <c r="CC152" s="43" t="str">
        <f t="shared" si="97"/>
        <v/>
      </c>
      <c r="CD152" s="45" t="s">
        <v>38</v>
      </c>
      <c r="CE152" s="45">
        <v>1</v>
      </c>
      <c r="CF152" s="45" t="s">
        <v>495</v>
      </c>
      <c r="CG152" s="45"/>
      <c r="CH152" s="44">
        <v>2</v>
      </c>
      <c r="CI152" s="49" t="str">
        <f t="shared" si="98"/>
        <v/>
      </c>
      <c r="CJ152" s="49" t="str">
        <f t="shared" si="99"/>
        <v/>
      </c>
      <c r="CK152" s="45"/>
      <c r="CL152" s="44">
        <v>1</v>
      </c>
      <c r="CM152" s="50" t="s">
        <v>514</v>
      </c>
      <c r="CN152" s="44" t="s">
        <v>371</v>
      </c>
      <c r="CO152" s="44">
        <v>2</v>
      </c>
      <c r="CP152" s="44">
        <v>42</v>
      </c>
      <c r="CQ152" s="44">
        <v>10</v>
      </c>
      <c r="CR152" s="43" t="str">
        <f t="shared" si="100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101"/>
        <v/>
      </c>
      <c r="CY152" s="43" t="str">
        <f t="shared" si="102"/>
        <v/>
      </c>
      <c r="CZ152" s="43" t="str">
        <f t="shared" si="103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4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773</v>
      </c>
      <c r="DZ152" s="43">
        <f t="shared" si="118"/>
        <v>0.01</v>
      </c>
      <c r="EA152" s="43" t="str">
        <f t="shared" si="119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20"/>
        <v>100</v>
      </c>
      <c r="EF152" s="44">
        <v>1</v>
      </c>
      <c r="EG152" s="44">
        <v>0</v>
      </c>
      <c r="EH152" s="44" t="s">
        <v>875</v>
      </c>
      <c r="EI152" s="45">
        <v>0</v>
      </c>
      <c r="EJ152" s="43">
        <f t="shared" si="121"/>
        <v>5000</v>
      </c>
      <c r="EK152" s="69"/>
    </row>
    <row r="153" spans="1:141" x14ac:dyDescent="0.2">
      <c r="A153" s="7" t="str">
        <f t="shared" si="82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IF(IFERROR(INDEX(Consulta!$A:$DP,MATCH('MM01'!$B153,Consulta!$C:$C,0),'MM01'!D$2),"")=0,"",IFERROR(INDEX(Consulta!$A:$DP,MATCH('MM01'!$B153,Consulta!$C:$C,0),'MM01'!D$2),""))</f>
        <v/>
      </c>
      <c r="E153" s="43" t="str">
        <f>IF(IFERROR(INDEX(Consulta!$A:$DP,MATCH('MM01'!$B153,Consulta!$C:$C,0),'MM01'!E$2),"")=0,"",IFERROR(INDEX(Consulta!$A:$DP,MATCH('MM01'!$B153,Consulta!$C:$C,0),'MM01'!E$2),""))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3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4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5"/>
        <v/>
      </c>
      <c r="AV153" s="47" t="s">
        <v>795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6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7"/>
        <v/>
      </c>
      <c r="BC153" s="43" t="str">
        <f t="shared" si="88"/>
        <v/>
      </c>
      <c r="BD153" s="43" t="str">
        <f t="shared" si="89"/>
        <v/>
      </c>
      <c r="BE153" s="43" t="str">
        <f t="shared" si="90"/>
        <v>M</v>
      </c>
      <c r="BF153" s="43" t="str">
        <f t="shared" si="91"/>
        <v/>
      </c>
      <c r="BG153" s="43" t="str">
        <f t="shared" si="92"/>
        <v/>
      </c>
      <c r="BH153" s="43" t="str">
        <f t="shared" si="93"/>
        <v/>
      </c>
      <c r="BI153" s="43" t="str">
        <f t="shared" si="94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>
        <v>99</v>
      </c>
      <c r="BN153" s="46" t="str">
        <f t="shared" ca="1" si="95"/>
        <v>28.04.2022</v>
      </c>
      <c r="BO153" s="49" t="str">
        <f t="shared" si="96"/>
        <v/>
      </c>
      <c r="BP153" s="50">
        <v>1</v>
      </c>
      <c r="BQ153" s="50" t="s">
        <v>194</v>
      </c>
      <c r="BR153" s="79" t="str">
        <f t="shared" si="122"/>
        <v>01</v>
      </c>
      <c r="BS153" s="50" t="s">
        <v>795</v>
      </c>
      <c r="BT153" s="44">
        <v>1</v>
      </c>
      <c r="BU153" s="44" t="s">
        <v>371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391</v>
      </c>
      <c r="BZ153" s="50">
        <v>0</v>
      </c>
      <c r="CA153" s="45" t="s">
        <v>402</v>
      </c>
      <c r="CB153" s="45" t="s">
        <v>84</v>
      </c>
      <c r="CC153" s="43" t="str">
        <f t="shared" si="97"/>
        <v/>
      </c>
      <c r="CD153" s="45" t="s">
        <v>38</v>
      </c>
      <c r="CE153" s="45">
        <v>1</v>
      </c>
      <c r="CF153" s="45" t="s">
        <v>495</v>
      </c>
      <c r="CG153" s="45"/>
      <c r="CH153" s="44">
        <v>2</v>
      </c>
      <c r="CI153" s="49" t="str">
        <f t="shared" si="98"/>
        <v/>
      </c>
      <c r="CJ153" s="49" t="str">
        <f t="shared" si="99"/>
        <v/>
      </c>
      <c r="CK153" s="45"/>
      <c r="CL153" s="44">
        <v>1</v>
      </c>
      <c r="CM153" s="50" t="s">
        <v>514</v>
      </c>
      <c r="CN153" s="44" t="s">
        <v>371</v>
      </c>
      <c r="CO153" s="44">
        <v>2</v>
      </c>
      <c r="CP153" s="44">
        <v>42</v>
      </c>
      <c r="CQ153" s="44">
        <v>10</v>
      </c>
      <c r="CR153" s="43" t="str">
        <f t="shared" si="100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101"/>
        <v/>
      </c>
      <c r="CY153" s="43" t="str">
        <f t="shared" si="102"/>
        <v/>
      </c>
      <c r="CZ153" s="43" t="str">
        <f t="shared" si="103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4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773</v>
      </c>
      <c r="DZ153" s="43">
        <f t="shared" si="118"/>
        <v>0.01</v>
      </c>
      <c r="EA153" s="43" t="str">
        <f t="shared" si="119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20"/>
        <v>100</v>
      </c>
      <c r="EF153" s="44">
        <v>1</v>
      </c>
      <c r="EG153" s="44">
        <v>0</v>
      </c>
      <c r="EH153" s="44" t="s">
        <v>875</v>
      </c>
      <c r="EI153" s="45">
        <v>0</v>
      </c>
      <c r="EJ153" s="43">
        <f t="shared" si="121"/>
        <v>5000</v>
      </c>
      <c r="EK153" s="69"/>
    </row>
    <row r="154" spans="1:141" x14ac:dyDescent="0.2">
      <c r="A154" s="7" t="str">
        <f t="shared" si="82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IF(IFERROR(INDEX(Consulta!$A:$DP,MATCH('MM01'!$B154,Consulta!$C:$C,0),'MM01'!D$2),"")=0,"",IFERROR(INDEX(Consulta!$A:$DP,MATCH('MM01'!$B154,Consulta!$C:$C,0),'MM01'!D$2),""))</f>
        <v/>
      </c>
      <c r="E154" s="43" t="str">
        <f>IF(IFERROR(INDEX(Consulta!$A:$DP,MATCH('MM01'!$B154,Consulta!$C:$C,0),'MM01'!E$2),"")=0,"",IFERROR(INDEX(Consulta!$A:$DP,MATCH('MM01'!$B154,Consulta!$C:$C,0),'MM01'!E$2),""))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3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4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5"/>
        <v/>
      </c>
      <c r="AV154" s="47" t="s">
        <v>795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6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7"/>
        <v/>
      </c>
      <c r="BC154" s="43" t="str">
        <f t="shared" si="88"/>
        <v/>
      </c>
      <c r="BD154" s="43" t="str">
        <f t="shared" si="89"/>
        <v/>
      </c>
      <c r="BE154" s="43" t="str">
        <f t="shared" si="90"/>
        <v>M</v>
      </c>
      <c r="BF154" s="43" t="str">
        <f t="shared" si="91"/>
        <v/>
      </c>
      <c r="BG154" s="43" t="str">
        <f t="shared" si="92"/>
        <v/>
      </c>
      <c r="BH154" s="43" t="str">
        <f t="shared" si="93"/>
        <v/>
      </c>
      <c r="BI154" s="43" t="str">
        <f t="shared" si="94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>
        <v>99</v>
      </c>
      <c r="BN154" s="46" t="str">
        <f t="shared" ca="1" si="95"/>
        <v>28.04.2022</v>
      </c>
      <c r="BO154" s="49" t="str">
        <f t="shared" si="96"/>
        <v/>
      </c>
      <c r="BP154" s="50">
        <v>1</v>
      </c>
      <c r="BQ154" s="50" t="s">
        <v>194</v>
      </c>
      <c r="BR154" s="79" t="str">
        <f t="shared" si="122"/>
        <v>01</v>
      </c>
      <c r="BS154" s="50" t="s">
        <v>795</v>
      </c>
      <c r="BT154" s="44">
        <v>1</v>
      </c>
      <c r="BU154" s="44" t="s">
        <v>371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391</v>
      </c>
      <c r="BZ154" s="50">
        <v>0</v>
      </c>
      <c r="CA154" s="45" t="s">
        <v>402</v>
      </c>
      <c r="CB154" s="45" t="s">
        <v>84</v>
      </c>
      <c r="CC154" s="43" t="str">
        <f t="shared" si="97"/>
        <v/>
      </c>
      <c r="CD154" s="45" t="s">
        <v>38</v>
      </c>
      <c r="CE154" s="45">
        <v>1</v>
      </c>
      <c r="CF154" s="45" t="s">
        <v>495</v>
      </c>
      <c r="CG154" s="45"/>
      <c r="CH154" s="44">
        <v>2</v>
      </c>
      <c r="CI154" s="49" t="str">
        <f t="shared" si="98"/>
        <v/>
      </c>
      <c r="CJ154" s="49" t="str">
        <f t="shared" si="99"/>
        <v/>
      </c>
      <c r="CK154" s="45"/>
      <c r="CL154" s="44">
        <v>1</v>
      </c>
      <c r="CM154" s="50" t="s">
        <v>514</v>
      </c>
      <c r="CN154" s="44" t="s">
        <v>371</v>
      </c>
      <c r="CO154" s="44">
        <v>2</v>
      </c>
      <c r="CP154" s="44">
        <v>42</v>
      </c>
      <c r="CQ154" s="44">
        <v>10</v>
      </c>
      <c r="CR154" s="43" t="str">
        <f t="shared" si="100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101"/>
        <v/>
      </c>
      <c r="CY154" s="43" t="str">
        <f t="shared" si="102"/>
        <v/>
      </c>
      <c r="CZ154" s="43" t="str">
        <f t="shared" si="103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4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773</v>
      </c>
      <c r="DZ154" s="43">
        <f t="shared" si="118"/>
        <v>0.01</v>
      </c>
      <c r="EA154" s="43" t="str">
        <f t="shared" si="119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20"/>
        <v>100</v>
      </c>
      <c r="EF154" s="44">
        <v>1</v>
      </c>
      <c r="EG154" s="44">
        <v>0</v>
      </c>
      <c r="EH154" s="44" t="s">
        <v>875</v>
      </c>
      <c r="EI154" s="45">
        <v>0</v>
      </c>
      <c r="EJ154" s="43">
        <f t="shared" si="121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313" priority="164" operator="beginsWith" text="L">
      <formula>LEFT(B5,LEN("L"))="L"</formula>
    </cfRule>
  </conditionalFormatting>
  <conditionalFormatting sqref="D5">
    <cfRule type="beginsWith" dxfId="312" priority="133" operator="beginsWith" text="L">
      <formula>LEFT(D5,LEN("L"))="L"</formula>
    </cfRule>
  </conditionalFormatting>
  <conditionalFormatting sqref="E5:E54">
    <cfRule type="beginsWith" dxfId="311" priority="132" operator="beginsWith" text="L">
      <formula>LEFT(E5,LEN("L"))="L"</formula>
    </cfRule>
  </conditionalFormatting>
  <conditionalFormatting sqref="AP5">
    <cfRule type="beginsWith" dxfId="310" priority="131" operator="beginsWith" text="L">
      <formula>LEFT(AP5,LEN("L"))="L"</formula>
    </cfRule>
  </conditionalFormatting>
  <conditionalFormatting sqref="AS5:AS54">
    <cfRule type="beginsWith" dxfId="309" priority="130" operator="beginsWith" text="L">
      <formula>LEFT(AS5,LEN("L"))="L"</formula>
    </cfRule>
  </conditionalFormatting>
  <conditionalFormatting sqref="AW5">
    <cfRule type="beginsWith" dxfId="308" priority="129" operator="beginsWith" text="L">
      <formula>LEFT(AW5,LEN("L"))="L"</formula>
    </cfRule>
  </conditionalFormatting>
  <conditionalFormatting sqref="BA5">
    <cfRule type="beginsWith" dxfId="307" priority="128" operator="beginsWith" text="L">
      <formula>LEFT(BA5,LEN("L"))="L"</formula>
    </cfRule>
  </conditionalFormatting>
  <conditionalFormatting sqref="BL5">
    <cfRule type="beginsWith" dxfId="306" priority="127" operator="beginsWith" text="L">
      <formula>LEFT(BL5,LEN("L"))="L"</formula>
    </cfRule>
  </conditionalFormatting>
  <conditionalFormatting sqref="BX5">
    <cfRule type="beginsWith" dxfId="305" priority="126" operator="beginsWith" text="L">
      <formula>LEFT(BX5,LEN("L"))="L"</formula>
    </cfRule>
  </conditionalFormatting>
  <conditionalFormatting sqref="CT5">
    <cfRule type="beginsWith" dxfId="304" priority="125" operator="beginsWith" text="L">
      <formula>LEFT(CT5,LEN("L"))="L"</formula>
    </cfRule>
  </conditionalFormatting>
  <conditionalFormatting sqref="CU5">
    <cfRule type="beginsWith" dxfId="303" priority="124" operator="beginsWith" text="L">
      <formula>LEFT(CU5,LEN("L"))="L"</formula>
    </cfRule>
  </conditionalFormatting>
  <conditionalFormatting sqref="CV5">
    <cfRule type="beginsWith" dxfId="302" priority="123" operator="beginsWith" text="L">
      <formula>LEFT(CV5,LEN("L"))="L"</formula>
    </cfRule>
  </conditionalFormatting>
  <conditionalFormatting sqref="CW5">
    <cfRule type="beginsWith" dxfId="301" priority="122" operator="beginsWith" text="L">
      <formula>LEFT(CW5,LEN("L"))="L"</formula>
    </cfRule>
  </conditionalFormatting>
  <conditionalFormatting sqref="DC5">
    <cfRule type="beginsWith" dxfId="300" priority="121" operator="beginsWith" text="L">
      <formula>LEFT(DC5,LEN("L"))="L"</formula>
    </cfRule>
  </conditionalFormatting>
  <conditionalFormatting sqref="B6:C54">
    <cfRule type="beginsWith" dxfId="299" priority="102" operator="beginsWith" text="L">
      <formula>LEFT(B6,LEN("L"))="L"</formula>
    </cfRule>
  </conditionalFormatting>
  <conditionalFormatting sqref="D6:D54">
    <cfRule type="beginsWith" dxfId="298" priority="101" operator="beginsWith" text="L">
      <formula>LEFT(D6,LEN("L"))="L"</formula>
    </cfRule>
  </conditionalFormatting>
  <conditionalFormatting sqref="AP6:AP54">
    <cfRule type="beginsWith" dxfId="297" priority="99" operator="beginsWith" text="L">
      <formula>LEFT(AP6,LEN("L"))="L"</formula>
    </cfRule>
  </conditionalFormatting>
  <conditionalFormatting sqref="BA6:BA54">
    <cfRule type="beginsWith" dxfId="296" priority="96" operator="beginsWith" text="L">
      <formula>LEFT(BA6,LEN("L"))="L"</formula>
    </cfRule>
  </conditionalFormatting>
  <conditionalFormatting sqref="BL6:BL54">
    <cfRule type="beginsWith" dxfId="295" priority="95" operator="beginsWith" text="L">
      <formula>LEFT(BL6,LEN("L"))="L"</formula>
    </cfRule>
  </conditionalFormatting>
  <conditionalFormatting sqref="BX6:BX54">
    <cfRule type="beginsWith" dxfId="294" priority="94" operator="beginsWith" text="L">
      <formula>LEFT(BX6,LEN("L"))="L"</formula>
    </cfRule>
  </conditionalFormatting>
  <conditionalFormatting sqref="CT6:CT54">
    <cfRule type="beginsWith" dxfId="293" priority="93" operator="beginsWith" text="L">
      <formula>LEFT(CT6,LEN("L"))="L"</formula>
    </cfRule>
  </conditionalFormatting>
  <conditionalFormatting sqref="CU6:CU54">
    <cfRule type="beginsWith" dxfId="292" priority="92" operator="beginsWith" text="L">
      <formula>LEFT(CU6,LEN("L"))="L"</formula>
    </cfRule>
  </conditionalFormatting>
  <conditionalFormatting sqref="CV6:CV54">
    <cfRule type="beginsWith" dxfId="291" priority="91" operator="beginsWith" text="L">
      <formula>LEFT(CV6,LEN("L"))="L"</formula>
    </cfRule>
  </conditionalFormatting>
  <conditionalFormatting sqref="CW6:CW54">
    <cfRule type="beginsWith" dxfId="290" priority="90" operator="beginsWith" text="L">
      <formula>LEFT(CW6,LEN("L"))="L"</formula>
    </cfRule>
  </conditionalFormatting>
  <conditionalFormatting sqref="DC6:DC54">
    <cfRule type="beginsWith" dxfId="289" priority="89" operator="beginsWith" text="L">
      <formula>LEFT(DC6,LEN("L"))="L"</formula>
    </cfRule>
  </conditionalFormatting>
  <conditionalFormatting sqref="AW6:AW54">
    <cfRule type="beginsWith" dxfId="288" priority="88" operator="beginsWith" text="L">
      <formula>LEFT(AW6,LEN("L"))="L"</formula>
    </cfRule>
  </conditionalFormatting>
  <conditionalFormatting sqref="EK1:EK54 EK155:EK1048576">
    <cfRule type="containsText" dxfId="287" priority="81" operator="containsText" text="criadas">
      <formula>NOT(ISERROR(SEARCH("criadas",EK1)))</formula>
    </cfRule>
    <cfRule type="containsText" dxfId="286" priority="83" operator="containsText" text="é gravado">
      <formula>NOT(ISERROR(SEARCH("é gravado",EK1)))</formula>
    </cfRule>
    <cfRule type="containsText" dxfId="285" priority="84" operator="containsText" text="é modificado">
      <formula>NOT(ISERROR(SEARCH("é modificado",EK1)))</formula>
    </cfRule>
    <cfRule type="containsText" dxfId="284" priority="85" operator="containsText" text="Error">
      <formula>NOT(ISERROR(SEARCH("Error",EK1)))</formula>
    </cfRule>
    <cfRule type="containsText" dxfId="283" priority="86" operator="containsText" text="é criado">
      <formula>NOT(ISERROR(SEARCH("é criado",EK1)))</formula>
    </cfRule>
  </conditionalFormatting>
  <conditionalFormatting sqref="DA5:DA54">
    <cfRule type="beginsWith" dxfId="282" priority="80" operator="beginsWith" text="L">
      <formula>LEFT(DA5,LEN("L"))="L"</formula>
    </cfRule>
  </conditionalFormatting>
  <conditionalFormatting sqref="EB5:EB54">
    <cfRule type="beginsWith" dxfId="281" priority="79" operator="beginsWith" text="L">
      <formula>LEFT(EB5,LEN("L"))="L"</formula>
    </cfRule>
  </conditionalFormatting>
  <conditionalFormatting sqref="G5:G54">
    <cfRule type="beginsWith" dxfId="280" priority="78" operator="beginsWith" text="L">
      <formula>LEFT(G5,LEN("L"))="L"</formula>
    </cfRule>
  </conditionalFormatting>
  <conditionalFormatting sqref="H5:H54">
    <cfRule type="beginsWith" dxfId="279" priority="77" operator="beginsWith" text="L">
      <formula>LEFT(H5,LEN("L"))="L"</formula>
    </cfRule>
  </conditionalFormatting>
  <conditionalFormatting sqref="J5:J54">
    <cfRule type="beginsWith" dxfId="278" priority="76" operator="beginsWith" text="L">
      <formula>LEFT(J5,LEN("L"))="L"</formula>
    </cfRule>
  </conditionalFormatting>
  <conditionalFormatting sqref="AR5:AR54">
    <cfRule type="beginsWith" dxfId="277" priority="75" operator="beginsWith" text="L">
      <formula>LEFT(AR5,LEN("L"))="L"</formula>
    </cfRule>
  </conditionalFormatting>
  <conditionalFormatting sqref="B55:C55">
    <cfRule type="beginsWith" dxfId="276" priority="74" operator="beginsWith" text="L">
      <formula>LEFT(B55,LEN("L"))="L"</formula>
    </cfRule>
  </conditionalFormatting>
  <conditionalFormatting sqref="D55">
    <cfRule type="beginsWith" dxfId="275" priority="73" operator="beginsWith" text="L">
      <formula>LEFT(D55,LEN("L"))="L"</formula>
    </cfRule>
  </conditionalFormatting>
  <conditionalFormatting sqref="E55:E104">
    <cfRule type="beginsWith" dxfId="274" priority="72" operator="beginsWith" text="L">
      <formula>LEFT(E55,LEN("L"))="L"</formula>
    </cfRule>
  </conditionalFormatting>
  <conditionalFormatting sqref="AP55">
    <cfRule type="beginsWith" dxfId="273" priority="71" operator="beginsWith" text="L">
      <formula>LEFT(AP55,LEN("L"))="L"</formula>
    </cfRule>
  </conditionalFormatting>
  <conditionalFormatting sqref="AS55:AS104">
    <cfRule type="beginsWith" dxfId="272" priority="70" operator="beginsWith" text="L">
      <formula>LEFT(AS55,LEN("L"))="L"</formula>
    </cfRule>
  </conditionalFormatting>
  <conditionalFormatting sqref="AW55">
    <cfRule type="beginsWith" dxfId="271" priority="69" operator="beginsWith" text="L">
      <formula>LEFT(AW55,LEN("L"))="L"</formula>
    </cfRule>
  </conditionalFormatting>
  <conditionalFormatting sqref="BA55">
    <cfRule type="beginsWith" dxfId="270" priority="68" operator="beginsWith" text="L">
      <formula>LEFT(BA55,LEN("L"))="L"</formula>
    </cfRule>
  </conditionalFormatting>
  <conditionalFormatting sqref="BL55">
    <cfRule type="beginsWith" dxfId="269" priority="67" operator="beginsWith" text="L">
      <formula>LEFT(BL55,LEN("L"))="L"</formula>
    </cfRule>
  </conditionalFormatting>
  <conditionalFormatting sqref="BX55">
    <cfRule type="beginsWith" dxfId="268" priority="66" operator="beginsWith" text="L">
      <formula>LEFT(BX55,LEN("L"))="L"</formula>
    </cfRule>
  </conditionalFormatting>
  <conditionalFormatting sqref="CT55">
    <cfRule type="beginsWith" dxfId="267" priority="65" operator="beginsWith" text="L">
      <formula>LEFT(CT55,LEN("L"))="L"</formula>
    </cfRule>
  </conditionalFormatting>
  <conditionalFormatting sqref="CU55">
    <cfRule type="beginsWith" dxfId="266" priority="64" operator="beginsWith" text="L">
      <formula>LEFT(CU55,LEN("L"))="L"</formula>
    </cfRule>
  </conditionalFormatting>
  <conditionalFormatting sqref="CV55">
    <cfRule type="beginsWith" dxfId="265" priority="63" operator="beginsWith" text="L">
      <formula>LEFT(CV55,LEN("L"))="L"</formula>
    </cfRule>
  </conditionalFormatting>
  <conditionalFormatting sqref="CW55">
    <cfRule type="beginsWith" dxfId="264" priority="62" operator="beginsWith" text="L">
      <formula>LEFT(CW55,LEN("L"))="L"</formula>
    </cfRule>
  </conditionalFormatting>
  <conditionalFormatting sqref="DC55">
    <cfRule type="beginsWith" dxfId="263" priority="61" operator="beginsWith" text="L">
      <formula>LEFT(DC55,LEN("L"))="L"</formula>
    </cfRule>
  </conditionalFormatting>
  <conditionalFormatting sqref="B56:C104">
    <cfRule type="beginsWith" dxfId="262" priority="60" operator="beginsWith" text="L">
      <formula>LEFT(B56,LEN("L"))="L"</formula>
    </cfRule>
  </conditionalFormatting>
  <conditionalFormatting sqref="D56:D104">
    <cfRule type="beginsWith" dxfId="261" priority="59" operator="beginsWith" text="L">
      <formula>LEFT(D56,LEN("L"))="L"</formula>
    </cfRule>
  </conditionalFormatting>
  <conditionalFormatting sqref="AP56:AP104">
    <cfRule type="beginsWith" dxfId="260" priority="58" operator="beginsWith" text="L">
      <formula>LEFT(AP56,LEN("L"))="L"</formula>
    </cfRule>
  </conditionalFormatting>
  <conditionalFormatting sqref="BA56:BA104">
    <cfRule type="beginsWith" dxfId="259" priority="57" operator="beginsWith" text="L">
      <formula>LEFT(BA56,LEN("L"))="L"</formula>
    </cfRule>
  </conditionalFormatting>
  <conditionalFormatting sqref="BL56:BL104">
    <cfRule type="beginsWith" dxfId="258" priority="56" operator="beginsWith" text="L">
      <formula>LEFT(BL56,LEN("L"))="L"</formula>
    </cfRule>
  </conditionalFormatting>
  <conditionalFormatting sqref="BX56:BX104">
    <cfRule type="beginsWith" dxfId="257" priority="55" operator="beginsWith" text="L">
      <formula>LEFT(BX56,LEN("L"))="L"</formula>
    </cfRule>
  </conditionalFormatting>
  <conditionalFormatting sqref="CT56:CT104">
    <cfRule type="beginsWith" dxfId="256" priority="54" operator="beginsWith" text="L">
      <formula>LEFT(CT56,LEN("L"))="L"</formula>
    </cfRule>
  </conditionalFormatting>
  <conditionalFormatting sqref="CU56:CU104">
    <cfRule type="beginsWith" dxfId="255" priority="53" operator="beginsWith" text="L">
      <formula>LEFT(CU56,LEN("L"))="L"</formula>
    </cfRule>
  </conditionalFormatting>
  <conditionalFormatting sqref="CV56:CV104">
    <cfRule type="beginsWith" dxfId="254" priority="52" operator="beginsWith" text="L">
      <formula>LEFT(CV56,LEN("L"))="L"</formula>
    </cfRule>
  </conditionalFormatting>
  <conditionalFormatting sqref="CW56:CW104">
    <cfRule type="beginsWith" dxfId="253" priority="51" operator="beginsWith" text="L">
      <formula>LEFT(CW56,LEN("L"))="L"</formula>
    </cfRule>
  </conditionalFormatting>
  <conditionalFormatting sqref="DC56:DC104">
    <cfRule type="beginsWith" dxfId="252" priority="50" operator="beginsWith" text="L">
      <formula>LEFT(DC56,LEN("L"))="L"</formula>
    </cfRule>
  </conditionalFormatting>
  <conditionalFormatting sqref="AW56:AW104">
    <cfRule type="beginsWith" dxfId="251" priority="49" operator="beginsWith" text="L">
      <formula>LEFT(AW56,LEN("L"))="L"</formula>
    </cfRule>
  </conditionalFormatting>
  <conditionalFormatting sqref="EK55:EK104">
    <cfRule type="containsText" dxfId="250" priority="44" operator="containsText" text="criadas">
      <formula>NOT(ISERROR(SEARCH("criadas",EK55)))</formula>
    </cfRule>
    <cfRule type="containsText" dxfId="249" priority="45" operator="containsText" text="é gravado">
      <formula>NOT(ISERROR(SEARCH("é gravado",EK55)))</formula>
    </cfRule>
    <cfRule type="containsText" dxfId="248" priority="46" operator="containsText" text="é modificado">
      <formula>NOT(ISERROR(SEARCH("é modificado",EK55)))</formula>
    </cfRule>
    <cfRule type="containsText" dxfId="247" priority="47" operator="containsText" text="Error">
      <formula>NOT(ISERROR(SEARCH("Error",EK55)))</formula>
    </cfRule>
    <cfRule type="containsText" dxfId="246" priority="48" operator="containsText" text="é criado">
      <formula>NOT(ISERROR(SEARCH("é criado",EK55)))</formula>
    </cfRule>
  </conditionalFormatting>
  <conditionalFormatting sqref="DA55:DA104">
    <cfRule type="beginsWith" dxfId="245" priority="43" operator="beginsWith" text="L">
      <formula>LEFT(DA55,LEN("L"))="L"</formula>
    </cfRule>
  </conditionalFormatting>
  <conditionalFormatting sqref="EB55:EB104">
    <cfRule type="beginsWith" dxfId="244" priority="42" operator="beginsWith" text="L">
      <formula>LEFT(EB55,LEN("L"))="L"</formula>
    </cfRule>
  </conditionalFormatting>
  <conditionalFormatting sqref="G55:G104">
    <cfRule type="beginsWith" dxfId="243" priority="41" operator="beginsWith" text="L">
      <formula>LEFT(G55,LEN("L"))="L"</formula>
    </cfRule>
  </conditionalFormatting>
  <conditionalFormatting sqref="H55:H104">
    <cfRule type="beginsWith" dxfId="242" priority="40" operator="beginsWith" text="L">
      <formula>LEFT(H55,LEN("L"))="L"</formula>
    </cfRule>
  </conditionalFormatting>
  <conditionalFormatting sqref="J55:J104">
    <cfRule type="beginsWith" dxfId="241" priority="39" operator="beginsWith" text="L">
      <formula>LEFT(J55,LEN("L"))="L"</formula>
    </cfRule>
  </conditionalFormatting>
  <conditionalFormatting sqref="AR55:AR104">
    <cfRule type="beginsWith" dxfId="240" priority="38" operator="beginsWith" text="L">
      <formula>LEFT(AR55,LEN("L"))="L"</formula>
    </cfRule>
  </conditionalFormatting>
  <conditionalFormatting sqref="B105:C105">
    <cfRule type="beginsWith" dxfId="239" priority="37" operator="beginsWith" text="L">
      <formula>LEFT(B105,LEN("L"))="L"</formula>
    </cfRule>
  </conditionalFormatting>
  <conditionalFormatting sqref="D105">
    <cfRule type="beginsWith" dxfId="238" priority="36" operator="beginsWith" text="L">
      <formula>LEFT(D105,LEN("L"))="L"</formula>
    </cfRule>
  </conditionalFormatting>
  <conditionalFormatting sqref="E105:E154">
    <cfRule type="beginsWith" dxfId="237" priority="35" operator="beginsWith" text="L">
      <formula>LEFT(E105,LEN("L"))="L"</formula>
    </cfRule>
  </conditionalFormatting>
  <conditionalFormatting sqref="AP105">
    <cfRule type="beginsWith" dxfId="236" priority="34" operator="beginsWith" text="L">
      <formula>LEFT(AP105,LEN("L"))="L"</formula>
    </cfRule>
  </conditionalFormatting>
  <conditionalFormatting sqref="AS105:AS154">
    <cfRule type="beginsWith" dxfId="235" priority="33" operator="beginsWith" text="L">
      <formula>LEFT(AS105,LEN("L"))="L"</formula>
    </cfRule>
  </conditionalFormatting>
  <conditionalFormatting sqref="AW105">
    <cfRule type="beginsWith" dxfId="234" priority="32" operator="beginsWith" text="L">
      <formula>LEFT(AW105,LEN("L"))="L"</formula>
    </cfRule>
  </conditionalFormatting>
  <conditionalFormatting sqref="BA105">
    <cfRule type="beginsWith" dxfId="233" priority="31" operator="beginsWith" text="L">
      <formula>LEFT(BA105,LEN("L"))="L"</formula>
    </cfRule>
  </conditionalFormatting>
  <conditionalFormatting sqref="BL105">
    <cfRule type="beginsWith" dxfId="232" priority="30" operator="beginsWith" text="L">
      <formula>LEFT(BL105,LEN("L"))="L"</formula>
    </cfRule>
  </conditionalFormatting>
  <conditionalFormatting sqref="BX105">
    <cfRule type="beginsWith" dxfId="231" priority="29" operator="beginsWith" text="L">
      <formula>LEFT(BX105,LEN("L"))="L"</formula>
    </cfRule>
  </conditionalFormatting>
  <conditionalFormatting sqref="CT105">
    <cfRule type="beginsWith" dxfId="230" priority="28" operator="beginsWith" text="L">
      <formula>LEFT(CT105,LEN("L"))="L"</formula>
    </cfRule>
  </conditionalFormatting>
  <conditionalFormatting sqref="CU105">
    <cfRule type="beginsWith" dxfId="229" priority="27" operator="beginsWith" text="L">
      <formula>LEFT(CU105,LEN("L"))="L"</formula>
    </cfRule>
  </conditionalFormatting>
  <conditionalFormatting sqref="CV105">
    <cfRule type="beginsWith" dxfId="228" priority="26" operator="beginsWith" text="L">
      <formula>LEFT(CV105,LEN("L"))="L"</formula>
    </cfRule>
  </conditionalFormatting>
  <conditionalFormatting sqref="CW105">
    <cfRule type="beginsWith" dxfId="227" priority="25" operator="beginsWith" text="L">
      <formula>LEFT(CW105,LEN("L"))="L"</formula>
    </cfRule>
  </conditionalFormatting>
  <conditionalFormatting sqref="DC105">
    <cfRule type="beginsWith" dxfId="226" priority="24" operator="beginsWith" text="L">
      <formula>LEFT(DC105,LEN("L"))="L"</formula>
    </cfRule>
  </conditionalFormatting>
  <conditionalFormatting sqref="B106:C154">
    <cfRule type="beginsWith" dxfId="225" priority="23" operator="beginsWith" text="L">
      <formula>LEFT(B106,LEN("L"))="L"</formula>
    </cfRule>
  </conditionalFormatting>
  <conditionalFormatting sqref="D106:D154">
    <cfRule type="beginsWith" dxfId="224" priority="22" operator="beginsWith" text="L">
      <formula>LEFT(D106,LEN("L"))="L"</formula>
    </cfRule>
  </conditionalFormatting>
  <conditionalFormatting sqref="AP106:AP154">
    <cfRule type="beginsWith" dxfId="223" priority="21" operator="beginsWith" text="L">
      <formula>LEFT(AP106,LEN("L"))="L"</formula>
    </cfRule>
  </conditionalFormatting>
  <conditionalFormatting sqref="BA106:BA154">
    <cfRule type="beginsWith" dxfId="222" priority="20" operator="beginsWith" text="L">
      <formula>LEFT(BA106,LEN("L"))="L"</formula>
    </cfRule>
  </conditionalFormatting>
  <conditionalFormatting sqref="BL106:BL154">
    <cfRule type="beginsWith" dxfId="221" priority="19" operator="beginsWith" text="L">
      <formula>LEFT(BL106,LEN("L"))="L"</formula>
    </cfRule>
  </conditionalFormatting>
  <conditionalFormatting sqref="BX106:BX154">
    <cfRule type="beginsWith" dxfId="220" priority="18" operator="beginsWith" text="L">
      <formula>LEFT(BX106,LEN("L"))="L"</formula>
    </cfRule>
  </conditionalFormatting>
  <conditionalFormatting sqref="CT106:CT154">
    <cfRule type="beginsWith" dxfId="219" priority="17" operator="beginsWith" text="L">
      <formula>LEFT(CT106,LEN("L"))="L"</formula>
    </cfRule>
  </conditionalFormatting>
  <conditionalFormatting sqref="CU106:CU154">
    <cfRule type="beginsWith" dxfId="218" priority="16" operator="beginsWith" text="L">
      <formula>LEFT(CU106,LEN("L"))="L"</formula>
    </cfRule>
  </conditionalFormatting>
  <conditionalFormatting sqref="CV106:CV154">
    <cfRule type="beginsWith" dxfId="217" priority="15" operator="beginsWith" text="L">
      <formula>LEFT(CV106,LEN("L"))="L"</formula>
    </cfRule>
  </conditionalFormatting>
  <conditionalFormatting sqref="CW106:CW154">
    <cfRule type="beginsWith" dxfId="216" priority="14" operator="beginsWith" text="L">
      <formula>LEFT(CW106,LEN("L"))="L"</formula>
    </cfRule>
  </conditionalFormatting>
  <conditionalFormatting sqref="DC106:DC154">
    <cfRule type="beginsWith" dxfId="215" priority="13" operator="beginsWith" text="L">
      <formula>LEFT(DC106,LEN("L"))="L"</formula>
    </cfRule>
  </conditionalFormatting>
  <conditionalFormatting sqref="AW106:AW154">
    <cfRule type="beginsWith" dxfId="214" priority="12" operator="beginsWith" text="L">
      <formula>LEFT(AW106,LEN("L"))="L"</formula>
    </cfRule>
  </conditionalFormatting>
  <conditionalFormatting sqref="EK105:EK154">
    <cfRule type="containsText" dxfId="213" priority="7" operator="containsText" text="criadas">
      <formula>NOT(ISERROR(SEARCH("criadas",EK105)))</formula>
    </cfRule>
    <cfRule type="containsText" dxfId="212" priority="8" operator="containsText" text="é gravado">
      <formula>NOT(ISERROR(SEARCH("é gravado",EK105)))</formula>
    </cfRule>
    <cfRule type="containsText" dxfId="211" priority="9" operator="containsText" text="é modificado">
      <formula>NOT(ISERROR(SEARCH("é modificado",EK105)))</formula>
    </cfRule>
    <cfRule type="containsText" dxfId="210" priority="10" operator="containsText" text="Error">
      <formula>NOT(ISERROR(SEARCH("Error",EK105)))</formula>
    </cfRule>
    <cfRule type="containsText" dxfId="209" priority="11" operator="containsText" text="é criado">
      <formula>NOT(ISERROR(SEARCH("é criado",EK105)))</formula>
    </cfRule>
  </conditionalFormatting>
  <conditionalFormatting sqref="DA105:DA154">
    <cfRule type="beginsWith" dxfId="208" priority="6" operator="beginsWith" text="L">
      <formula>LEFT(DA105,LEN("L"))="L"</formula>
    </cfRule>
  </conditionalFormatting>
  <conditionalFormatting sqref="EB105:EB154">
    <cfRule type="beginsWith" dxfId="207" priority="5" operator="beginsWith" text="L">
      <formula>LEFT(EB105,LEN("L"))="L"</formula>
    </cfRule>
  </conditionalFormatting>
  <conditionalFormatting sqref="G105:G154">
    <cfRule type="beginsWith" dxfId="206" priority="4" operator="beginsWith" text="L">
      <formula>LEFT(G105,LEN("L"))="L"</formula>
    </cfRule>
  </conditionalFormatting>
  <conditionalFormatting sqref="H105:H154">
    <cfRule type="beginsWith" dxfId="205" priority="3" operator="beginsWith" text="L">
      <formula>LEFT(H105,LEN("L"))="L"</formula>
    </cfRule>
  </conditionalFormatting>
  <conditionalFormatting sqref="J105:J154">
    <cfRule type="beginsWith" dxfId="204" priority="2" operator="beginsWith" text="L">
      <formula>LEFT(J105,LEN("L"))="L"</formula>
    </cfRule>
  </conditionalFormatting>
  <conditionalFormatting sqref="AR105:AR154">
    <cfRule type="beginsWith" dxfId="20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AT5:AT154 BM5:BM154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855</v>
      </c>
      <c r="C3" s="36" t="s">
        <v>856</v>
      </c>
      <c r="D3" s="36" t="s">
        <v>857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858</v>
      </c>
      <c r="E4" s="5" t="s">
        <v>956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202" priority="72" operator="beginsWith" text="L">
      <formula>LEFT(B5,LEN("L"))="L"</formula>
    </cfRule>
  </conditionalFormatting>
  <conditionalFormatting sqref="B6:B14">
    <cfRule type="beginsWith" dxfId="201" priority="56" operator="beginsWith" text="L">
      <formula>LEFT(B6,LEN("L"))="L"</formula>
    </cfRule>
  </conditionalFormatting>
  <conditionalFormatting sqref="B15:B54">
    <cfRule type="beginsWith" dxfId="200" priority="42" operator="beginsWith" text="L">
      <formula>LEFT(B15,LEN("L"))="L"</formula>
    </cfRule>
  </conditionalFormatting>
  <conditionalFormatting sqref="E1:E54 E155:E1048576">
    <cfRule type="containsText" dxfId="199" priority="17" operator="containsText" text="criadas">
      <formula>NOT(ISERROR(SEARCH("criadas",E1)))</formula>
    </cfRule>
    <cfRule type="containsText" dxfId="198" priority="18" operator="containsText" text="é gravado">
      <formula>NOT(ISERROR(SEARCH("é gravado",E1)))</formula>
    </cfRule>
    <cfRule type="containsText" dxfId="197" priority="19" operator="containsText" text="é modificado">
      <formula>NOT(ISERROR(SEARCH("é modificado",E1)))</formula>
    </cfRule>
    <cfRule type="containsText" dxfId="196" priority="20" operator="containsText" text="Error">
      <formula>NOT(ISERROR(SEARCH("Error",E1)))</formula>
    </cfRule>
    <cfRule type="containsText" dxfId="195" priority="21" operator="containsText" text="é criado">
      <formula>NOT(ISERROR(SEARCH("é criado",E1)))</formula>
    </cfRule>
  </conditionalFormatting>
  <conditionalFormatting sqref="B55">
    <cfRule type="beginsWith" dxfId="194" priority="16" operator="beginsWith" text="L">
      <formula>LEFT(B55,LEN("L"))="L"</formula>
    </cfRule>
  </conditionalFormatting>
  <conditionalFormatting sqref="B56:B64">
    <cfRule type="beginsWith" dxfId="193" priority="15" operator="beginsWith" text="L">
      <formula>LEFT(B56,LEN("L"))="L"</formula>
    </cfRule>
  </conditionalFormatting>
  <conditionalFormatting sqref="B65:B104">
    <cfRule type="beginsWith" dxfId="192" priority="14" operator="beginsWith" text="L">
      <formula>LEFT(B65,LEN("L"))="L"</formula>
    </cfRule>
  </conditionalFormatting>
  <conditionalFormatting sqref="E55:E104">
    <cfRule type="containsText" dxfId="191" priority="9" operator="containsText" text="criadas">
      <formula>NOT(ISERROR(SEARCH("criadas",E55)))</formula>
    </cfRule>
    <cfRule type="containsText" dxfId="190" priority="10" operator="containsText" text="é gravado">
      <formula>NOT(ISERROR(SEARCH("é gravado",E55)))</formula>
    </cfRule>
    <cfRule type="containsText" dxfId="189" priority="11" operator="containsText" text="é modificado">
      <formula>NOT(ISERROR(SEARCH("é modificado",E55)))</formula>
    </cfRule>
    <cfRule type="containsText" dxfId="188" priority="12" operator="containsText" text="Error">
      <formula>NOT(ISERROR(SEARCH("Error",E55)))</formula>
    </cfRule>
    <cfRule type="containsText" dxfId="187" priority="13" operator="containsText" text="é criado">
      <formula>NOT(ISERROR(SEARCH("é criado",E55)))</formula>
    </cfRule>
  </conditionalFormatting>
  <conditionalFormatting sqref="B105">
    <cfRule type="beginsWith" dxfId="186" priority="8" operator="beginsWith" text="L">
      <formula>LEFT(B105,LEN("L"))="L"</formula>
    </cfRule>
  </conditionalFormatting>
  <conditionalFormatting sqref="B106:B114">
    <cfRule type="beginsWith" dxfId="185" priority="7" operator="beginsWith" text="L">
      <formula>LEFT(B106,LEN("L"))="L"</formula>
    </cfRule>
  </conditionalFormatting>
  <conditionalFormatting sqref="B115:B154">
    <cfRule type="beginsWith" dxfId="184" priority="6" operator="beginsWith" text="L">
      <formula>LEFT(B115,LEN("L"))="L"</formula>
    </cfRule>
  </conditionalFormatting>
  <conditionalFormatting sqref="E105:E154">
    <cfRule type="containsText" dxfId="183" priority="1" operator="containsText" text="criadas">
      <formula>NOT(ISERROR(SEARCH("criadas",E105)))</formula>
    </cfRule>
    <cfRule type="containsText" dxfId="182" priority="2" operator="containsText" text="é gravado">
      <formula>NOT(ISERROR(SEARCH("é gravado",E105)))</formula>
    </cfRule>
    <cfRule type="containsText" dxfId="181" priority="3" operator="containsText" text="é modificado">
      <formula>NOT(ISERROR(SEARCH("é modificado",E105)))</formula>
    </cfRule>
    <cfRule type="containsText" dxfId="180" priority="4" operator="containsText" text="Error">
      <formula>NOT(ISERROR(SEARCH("Error",E105)))</formula>
    </cfRule>
    <cfRule type="containsText" dxfId="179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863</v>
      </c>
      <c r="C3" s="36" t="s">
        <v>864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78" priority="39" operator="beginsWith" text="L">
      <formula>LEFT(B5,LEN("L"))="L"</formula>
    </cfRule>
  </conditionalFormatting>
  <conditionalFormatting sqref="B6:B54">
    <cfRule type="beginsWith" dxfId="177" priority="36" operator="beginsWith" text="L">
      <formula>LEFT(B6,LEN("L"))="L"</formula>
    </cfRule>
  </conditionalFormatting>
  <conditionalFormatting sqref="D1:D54 D155:D1048576">
    <cfRule type="containsText" dxfId="176" priority="15" operator="containsText" text="criadas">
      <formula>NOT(ISERROR(SEARCH("criadas",D1)))</formula>
    </cfRule>
    <cfRule type="containsText" dxfId="175" priority="16" operator="containsText" text="é gravado">
      <formula>NOT(ISERROR(SEARCH("é gravado",D1)))</formula>
    </cfRule>
    <cfRule type="containsText" dxfId="174" priority="17" operator="containsText" text="é modificado">
      <formula>NOT(ISERROR(SEARCH("é modificado",D1)))</formula>
    </cfRule>
    <cfRule type="containsText" dxfId="173" priority="18" operator="containsText" text="Error">
      <formula>NOT(ISERROR(SEARCH("Error",D1)))</formula>
    </cfRule>
    <cfRule type="containsText" dxfId="172" priority="19" operator="containsText" text="é criado">
      <formula>NOT(ISERROR(SEARCH("é criado",D1)))</formula>
    </cfRule>
  </conditionalFormatting>
  <conditionalFormatting sqref="B55">
    <cfRule type="beginsWith" dxfId="171" priority="14" operator="beginsWith" text="L">
      <formula>LEFT(B55,LEN("L"))="L"</formula>
    </cfRule>
  </conditionalFormatting>
  <conditionalFormatting sqref="B56:B104">
    <cfRule type="beginsWith" dxfId="170" priority="13" operator="beginsWith" text="L">
      <formula>LEFT(B56,LEN("L"))="L"</formula>
    </cfRule>
  </conditionalFormatting>
  <conditionalFormatting sqref="D55:D104">
    <cfRule type="containsText" dxfId="169" priority="8" operator="containsText" text="criadas">
      <formula>NOT(ISERROR(SEARCH("criadas",D55)))</formula>
    </cfRule>
    <cfRule type="containsText" dxfId="168" priority="9" operator="containsText" text="é gravado">
      <formula>NOT(ISERROR(SEARCH("é gravado",D55)))</formula>
    </cfRule>
    <cfRule type="containsText" dxfId="167" priority="10" operator="containsText" text="é modificado">
      <formula>NOT(ISERROR(SEARCH("é modificado",D55)))</formula>
    </cfRule>
    <cfRule type="containsText" dxfId="166" priority="11" operator="containsText" text="Error">
      <formula>NOT(ISERROR(SEARCH("Error",D55)))</formula>
    </cfRule>
    <cfRule type="containsText" dxfId="165" priority="12" operator="containsText" text="é criado">
      <formula>NOT(ISERROR(SEARCH("é criado",D55)))</formula>
    </cfRule>
  </conditionalFormatting>
  <conditionalFormatting sqref="B105">
    <cfRule type="beginsWith" dxfId="164" priority="7" operator="beginsWith" text="L">
      <formula>LEFT(B105,LEN("L"))="L"</formula>
    </cfRule>
  </conditionalFormatting>
  <conditionalFormatting sqref="B106:B154">
    <cfRule type="beginsWith" dxfId="163" priority="6" operator="beginsWith" text="L">
      <formula>LEFT(B106,LEN("L"))="L"</formula>
    </cfRule>
  </conditionalFormatting>
  <conditionalFormatting sqref="D105:D154">
    <cfRule type="containsText" dxfId="162" priority="1" operator="containsText" text="criadas">
      <formula>NOT(ISERROR(SEARCH("criadas",D105)))</formula>
    </cfRule>
    <cfRule type="containsText" dxfId="161" priority="2" operator="containsText" text="é gravado">
      <formula>NOT(ISERROR(SEARCH("é gravado",D105)))</formula>
    </cfRule>
    <cfRule type="containsText" dxfId="160" priority="3" operator="containsText" text="é modificado">
      <formula>NOT(ISERROR(SEARCH("é modificado",D105)))</formula>
    </cfRule>
    <cfRule type="containsText" dxfId="159" priority="4" operator="containsText" text="Error">
      <formula>NOT(ISERROR(SEARCH("Error",D105)))</formula>
    </cfRule>
    <cfRule type="containsText" dxfId="158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867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57" priority="43" operator="beginsWith" text="L">
      <formula>LEFT(B5,LEN("L"))="L"</formula>
    </cfRule>
  </conditionalFormatting>
  <conditionalFormatting sqref="B6:B14">
    <cfRule type="beginsWith" dxfId="156" priority="40" operator="beginsWith" text="L">
      <formula>LEFT(B6,LEN("L"))="L"</formula>
    </cfRule>
  </conditionalFormatting>
  <conditionalFormatting sqref="B15:B54">
    <cfRule type="beginsWith" dxfId="155" priority="37" operator="beginsWith" text="L">
      <formula>LEFT(B15,LEN("L"))="L"</formula>
    </cfRule>
  </conditionalFormatting>
  <conditionalFormatting sqref="D1:D54 D155:D1048576">
    <cfRule type="containsText" dxfId="154" priority="17" operator="containsText" text="criadas">
      <formula>NOT(ISERROR(SEARCH("criadas",D1)))</formula>
    </cfRule>
    <cfRule type="containsText" dxfId="153" priority="18" operator="containsText" text="é gravado">
      <formula>NOT(ISERROR(SEARCH("é gravado",D1)))</formula>
    </cfRule>
    <cfRule type="containsText" dxfId="152" priority="19" operator="containsText" text="é modificado">
      <formula>NOT(ISERROR(SEARCH("é modificado",D1)))</formula>
    </cfRule>
    <cfRule type="containsText" dxfId="151" priority="20" operator="containsText" text="Error">
      <formula>NOT(ISERROR(SEARCH("Error",D1)))</formula>
    </cfRule>
    <cfRule type="containsText" dxfId="150" priority="21" operator="containsText" text="é criado">
      <formula>NOT(ISERROR(SEARCH("é criado",D1)))</formula>
    </cfRule>
  </conditionalFormatting>
  <conditionalFormatting sqref="B55">
    <cfRule type="beginsWith" dxfId="149" priority="16" operator="beginsWith" text="L">
      <formula>LEFT(B55,LEN("L"))="L"</formula>
    </cfRule>
  </conditionalFormatting>
  <conditionalFormatting sqref="B56:B64">
    <cfRule type="beginsWith" dxfId="148" priority="15" operator="beginsWith" text="L">
      <formula>LEFT(B56,LEN("L"))="L"</formula>
    </cfRule>
  </conditionalFormatting>
  <conditionalFormatting sqref="B65:B104">
    <cfRule type="beginsWith" dxfId="147" priority="14" operator="beginsWith" text="L">
      <formula>LEFT(B65,LEN("L"))="L"</formula>
    </cfRule>
  </conditionalFormatting>
  <conditionalFormatting sqref="D55:D104">
    <cfRule type="containsText" dxfId="146" priority="9" operator="containsText" text="criadas">
      <formula>NOT(ISERROR(SEARCH("criadas",D55)))</formula>
    </cfRule>
    <cfRule type="containsText" dxfId="145" priority="10" operator="containsText" text="é gravado">
      <formula>NOT(ISERROR(SEARCH("é gravado",D55)))</formula>
    </cfRule>
    <cfRule type="containsText" dxfId="144" priority="11" operator="containsText" text="é modificado">
      <formula>NOT(ISERROR(SEARCH("é modificado",D55)))</formula>
    </cfRule>
    <cfRule type="containsText" dxfId="143" priority="12" operator="containsText" text="Error">
      <formula>NOT(ISERROR(SEARCH("Error",D55)))</formula>
    </cfRule>
    <cfRule type="containsText" dxfId="142" priority="13" operator="containsText" text="é criado">
      <formula>NOT(ISERROR(SEARCH("é criado",D55)))</formula>
    </cfRule>
  </conditionalFormatting>
  <conditionalFormatting sqref="B105">
    <cfRule type="beginsWith" dxfId="141" priority="8" operator="beginsWith" text="L">
      <formula>LEFT(B105,LEN("L"))="L"</formula>
    </cfRule>
  </conditionalFormatting>
  <conditionalFormatting sqref="B106:B114">
    <cfRule type="beginsWith" dxfId="140" priority="7" operator="beginsWith" text="L">
      <formula>LEFT(B106,LEN("L"))="L"</formula>
    </cfRule>
  </conditionalFormatting>
  <conditionalFormatting sqref="B115:B154">
    <cfRule type="beginsWith" dxfId="139" priority="6" operator="beginsWith" text="L">
      <formula>LEFT(B115,LEN("L"))="L"</formula>
    </cfRule>
  </conditionalFormatting>
  <conditionalFormatting sqref="D105:D154">
    <cfRule type="containsText" dxfId="138" priority="1" operator="containsText" text="criadas">
      <formula>NOT(ISERROR(SEARCH("criadas",D105)))</formula>
    </cfRule>
    <cfRule type="containsText" dxfId="137" priority="2" operator="containsText" text="é gravado">
      <formula>NOT(ISERROR(SEARCH("é gravado",D105)))</formula>
    </cfRule>
    <cfRule type="containsText" dxfId="136" priority="3" operator="containsText" text="é modificado">
      <formula>NOT(ISERROR(SEARCH("é modificado",D105)))</formula>
    </cfRule>
    <cfRule type="containsText" dxfId="135" priority="4" operator="containsText" text="Error">
      <formula>NOT(ISERROR(SEARCH("Error",D105)))</formula>
    </cfRule>
    <cfRule type="containsText" dxfId="134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872</v>
      </c>
      <c r="C3" s="52" t="s">
        <v>873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33" priority="51" operator="beginsWith" text="L">
      <formula>LEFT(B5,LEN("L"))="L"</formula>
    </cfRule>
  </conditionalFormatting>
  <conditionalFormatting sqref="B6:B14">
    <cfRule type="beginsWith" dxfId="132" priority="48" operator="beginsWith" text="L">
      <formula>LEFT(B6,LEN("L"))="L"</formula>
    </cfRule>
  </conditionalFormatting>
  <conditionalFormatting sqref="B15:B54">
    <cfRule type="beginsWith" dxfId="131" priority="47" operator="beginsWith" text="L">
      <formula>LEFT(B15,LEN("L"))="L"</formula>
    </cfRule>
  </conditionalFormatting>
  <conditionalFormatting sqref="D1:D54 D155:D1048576">
    <cfRule type="containsText" dxfId="130" priority="19" operator="containsText" text="será criado">
      <formula>NOT(ISERROR(SEARCH("será criado",D1)))</formula>
    </cfRule>
    <cfRule type="containsText" dxfId="129" priority="20" operator="containsText" text="criadas">
      <formula>NOT(ISERROR(SEARCH("criadas",D1)))</formula>
    </cfRule>
    <cfRule type="containsText" dxfId="128" priority="21" operator="containsText" text="é gravado">
      <formula>NOT(ISERROR(SEARCH("é gravado",D1)))</formula>
    </cfRule>
    <cfRule type="containsText" dxfId="127" priority="22" operator="containsText" text="é modificado">
      <formula>NOT(ISERROR(SEARCH("é modificado",D1)))</formula>
    </cfRule>
    <cfRule type="containsText" dxfId="126" priority="23" operator="containsText" text="Error">
      <formula>NOT(ISERROR(SEARCH("Error",D1)))</formula>
    </cfRule>
    <cfRule type="containsText" dxfId="125" priority="24" operator="containsText" text="é criado">
      <formula>NOT(ISERROR(SEARCH("é criado",D1)))</formula>
    </cfRule>
  </conditionalFormatting>
  <conditionalFormatting sqref="B55">
    <cfRule type="beginsWith" dxfId="124" priority="18" operator="beginsWith" text="L">
      <formula>LEFT(B55,LEN("L"))="L"</formula>
    </cfRule>
  </conditionalFormatting>
  <conditionalFormatting sqref="B56:B64">
    <cfRule type="beginsWith" dxfId="123" priority="17" operator="beginsWith" text="L">
      <formula>LEFT(B56,LEN("L"))="L"</formula>
    </cfRule>
  </conditionalFormatting>
  <conditionalFormatting sqref="B65:B104">
    <cfRule type="beginsWith" dxfId="122" priority="16" operator="beginsWith" text="L">
      <formula>LEFT(B65,LEN("L"))="L"</formula>
    </cfRule>
  </conditionalFormatting>
  <conditionalFormatting sqref="D55:D104">
    <cfRule type="containsText" dxfId="121" priority="10" operator="containsText" text="será criado">
      <formula>NOT(ISERROR(SEARCH("será criado",D55)))</formula>
    </cfRule>
    <cfRule type="containsText" dxfId="120" priority="11" operator="containsText" text="criadas">
      <formula>NOT(ISERROR(SEARCH("criadas",D55)))</formula>
    </cfRule>
    <cfRule type="containsText" dxfId="119" priority="12" operator="containsText" text="é gravado">
      <formula>NOT(ISERROR(SEARCH("é gravado",D55)))</formula>
    </cfRule>
    <cfRule type="containsText" dxfId="118" priority="13" operator="containsText" text="é modificado">
      <formula>NOT(ISERROR(SEARCH("é modificado",D55)))</formula>
    </cfRule>
    <cfRule type="containsText" dxfId="117" priority="14" operator="containsText" text="Error">
      <formula>NOT(ISERROR(SEARCH("Error",D55)))</formula>
    </cfRule>
    <cfRule type="containsText" dxfId="116" priority="15" operator="containsText" text="é criado">
      <formula>NOT(ISERROR(SEARCH("é criado",D55)))</formula>
    </cfRule>
  </conditionalFormatting>
  <conditionalFormatting sqref="B105">
    <cfRule type="beginsWith" dxfId="115" priority="9" operator="beginsWith" text="L">
      <formula>LEFT(B105,LEN("L"))="L"</formula>
    </cfRule>
  </conditionalFormatting>
  <conditionalFormatting sqref="B106:B114">
    <cfRule type="beginsWith" dxfId="114" priority="8" operator="beginsWith" text="L">
      <formula>LEFT(B106,LEN("L"))="L"</formula>
    </cfRule>
  </conditionalFormatting>
  <conditionalFormatting sqref="B115:B154">
    <cfRule type="beginsWith" dxfId="113" priority="7" operator="beginsWith" text="L">
      <formula>LEFT(B115,LEN("L"))="L"</formula>
    </cfRule>
  </conditionalFormatting>
  <conditionalFormatting sqref="D105:D154">
    <cfRule type="containsText" dxfId="112" priority="1" operator="containsText" text="será criado">
      <formula>NOT(ISERROR(SEARCH("será criado",D105)))</formula>
    </cfRule>
    <cfRule type="containsText" dxfId="111" priority="2" operator="containsText" text="criadas">
      <formula>NOT(ISERROR(SEARCH("criadas",D105)))</formula>
    </cfRule>
    <cfRule type="containsText" dxfId="110" priority="3" operator="containsText" text="é gravado">
      <formula>NOT(ISERROR(SEARCH("é gravado",D105)))</formula>
    </cfRule>
    <cfRule type="containsText" dxfId="109" priority="4" operator="containsText" text="é modificado">
      <formula>NOT(ISERROR(SEARCH("é modificado",D105)))</formula>
    </cfRule>
    <cfRule type="containsText" dxfId="108" priority="5" operator="containsText" text="Error">
      <formula>NOT(ISERROR(SEARCH("Error",D105)))</formula>
    </cfRule>
    <cfRule type="containsText" dxfId="107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980</v>
      </c>
      <c r="C3" s="74" t="s">
        <v>974</v>
      </c>
      <c r="D3" s="74" t="s">
        <v>989</v>
      </c>
      <c r="E3" s="74" t="s">
        <v>981</v>
      </c>
      <c r="F3" s="74" t="s">
        <v>984</v>
      </c>
      <c r="G3" s="74" t="s">
        <v>985</v>
      </c>
      <c r="H3" s="74" t="s">
        <v>987</v>
      </c>
      <c r="I3" s="74" t="s">
        <v>991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990</v>
      </c>
      <c r="E4" s="14" t="s">
        <v>983</v>
      </c>
      <c r="F4" s="14" t="s">
        <v>982</v>
      </c>
      <c r="G4" s="14" t="s">
        <v>986</v>
      </c>
      <c r="H4" s="14" t="s">
        <v>988</v>
      </c>
      <c r="I4" s="14" t="s">
        <v>992</v>
      </c>
      <c r="J4" s="5" t="s">
        <v>956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28.04.2022</v>
      </c>
      <c r="F5" s="77" t="s">
        <v>993</v>
      </c>
      <c r="G5" s="76">
        <v>1</v>
      </c>
      <c r="H5" s="76">
        <v>1</v>
      </c>
      <c r="I5" s="62" t="s">
        <v>533</v>
      </c>
      <c r="J5" s="68"/>
    </row>
    <row r="6" spans="1:10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28.04.2022</v>
      </c>
      <c r="F6" s="77" t="s">
        <v>993</v>
      </c>
      <c r="G6" s="76">
        <v>1</v>
      </c>
      <c r="H6" s="76">
        <v>1</v>
      </c>
      <c r="I6" s="62" t="s">
        <v>533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28.04.2022</v>
      </c>
      <c r="F7" s="77" t="s">
        <v>993</v>
      </c>
      <c r="G7" s="76">
        <v>1</v>
      </c>
      <c r="H7" s="76">
        <v>1</v>
      </c>
      <c r="I7" s="62" t="s">
        <v>533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28.04.2022</v>
      </c>
      <c r="F8" s="77" t="s">
        <v>993</v>
      </c>
      <c r="G8" s="76">
        <v>1</v>
      </c>
      <c r="H8" s="76">
        <v>1</v>
      </c>
      <c r="I8" s="62" t="s">
        <v>533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28.04.2022</v>
      </c>
      <c r="F9" s="77" t="s">
        <v>993</v>
      </c>
      <c r="G9" s="76">
        <v>1</v>
      </c>
      <c r="H9" s="76">
        <v>1</v>
      </c>
      <c r="I9" s="62" t="s">
        <v>533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28.04.2022</v>
      </c>
      <c r="F10" s="77" t="s">
        <v>993</v>
      </c>
      <c r="G10" s="76">
        <v>1</v>
      </c>
      <c r="H10" s="76">
        <v>1</v>
      </c>
      <c r="I10" s="62" t="s">
        <v>533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28.04.2022</v>
      </c>
      <c r="F11" s="77" t="s">
        <v>993</v>
      </c>
      <c r="G11" s="76">
        <v>1</v>
      </c>
      <c r="H11" s="76">
        <v>1</v>
      </c>
      <c r="I11" s="62" t="s">
        <v>533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28.04.2022</v>
      </c>
      <c r="F12" s="77" t="s">
        <v>993</v>
      </c>
      <c r="G12" s="76">
        <v>1</v>
      </c>
      <c r="H12" s="76">
        <v>1</v>
      </c>
      <c r="I12" s="62" t="s">
        <v>533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28.04.2022</v>
      </c>
      <c r="F13" s="77" t="s">
        <v>993</v>
      </c>
      <c r="G13" s="76">
        <v>1</v>
      </c>
      <c r="H13" s="76">
        <v>1</v>
      </c>
      <c r="I13" s="62" t="s">
        <v>533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28.04.2022</v>
      </c>
      <c r="F14" s="77" t="s">
        <v>993</v>
      </c>
      <c r="G14" s="76">
        <v>1</v>
      </c>
      <c r="H14" s="76">
        <v>1</v>
      </c>
      <c r="I14" s="62" t="s">
        <v>533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28.04.2022</v>
      </c>
      <c r="F15" s="77" t="s">
        <v>993</v>
      </c>
      <c r="G15" s="76">
        <v>1</v>
      </c>
      <c r="H15" s="76">
        <v>1</v>
      </c>
      <c r="I15" s="62" t="s">
        <v>533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28.04.2022</v>
      </c>
      <c r="F16" s="77" t="s">
        <v>993</v>
      </c>
      <c r="G16" s="76">
        <v>1</v>
      </c>
      <c r="H16" s="76">
        <v>1</v>
      </c>
      <c r="I16" s="62" t="s">
        <v>533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28.04.2022</v>
      </c>
      <c r="F17" s="77" t="s">
        <v>993</v>
      </c>
      <c r="G17" s="76">
        <v>1</v>
      </c>
      <c r="H17" s="76">
        <v>1</v>
      </c>
      <c r="I17" s="62" t="s">
        <v>533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28.04.2022</v>
      </c>
      <c r="F18" s="77" t="s">
        <v>993</v>
      </c>
      <c r="G18" s="76">
        <v>1</v>
      </c>
      <c r="H18" s="76">
        <v>1</v>
      </c>
      <c r="I18" s="62" t="s">
        <v>533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28.04.2022</v>
      </c>
      <c r="F19" s="77" t="s">
        <v>993</v>
      </c>
      <c r="G19" s="76">
        <v>1</v>
      </c>
      <c r="H19" s="76">
        <v>1</v>
      </c>
      <c r="I19" s="62" t="s">
        <v>533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28.04.2022</v>
      </c>
      <c r="F20" s="77" t="s">
        <v>993</v>
      </c>
      <c r="G20" s="76">
        <v>1</v>
      </c>
      <c r="H20" s="76">
        <v>1</v>
      </c>
      <c r="I20" s="62" t="s">
        <v>533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28.04.2022</v>
      </c>
      <c r="F21" s="77" t="s">
        <v>993</v>
      </c>
      <c r="G21" s="76">
        <v>1</v>
      </c>
      <c r="H21" s="76">
        <v>1</v>
      </c>
      <c r="I21" s="62" t="s">
        <v>533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28.04.2022</v>
      </c>
      <c r="F22" s="77" t="s">
        <v>993</v>
      </c>
      <c r="G22" s="76">
        <v>1</v>
      </c>
      <c r="H22" s="76">
        <v>1</v>
      </c>
      <c r="I22" s="62" t="s">
        <v>533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28.04.2022</v>
      </c>
      <c r="F23" s="77" t="s">
        <v>993</v>
      </c>
      <c r="G23" s="76">
        <v>1</v>
      </c>
      <c r="H23" s="76">
        <v>1</v>
      </c>
      <c r="I23" s="62" t="s">
        <v>533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28.04.2022</v>
      </c>
      <c r="F24" s="77" t="s">
        <v>993</v>
      </c>
      <c r="G24" s="76">
        <v>1</v>
      </c>
      <c r="H24" s="76">
        <v>1</v>
      </c>
      <c r="I24" s="62" t="s">
        <v>533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28.04.2022</v>
      </c>
      <c r="F25" s="77" t="s">
        <v>993</v>
      </c>
      <c r="G25" s="76">
        <v>1</v>
      </c>
      <c r="H25" s="76">
        <v>1</v>
      </c>
      <c r="I25" s="62" t="s">
        <v>533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28.04.2022</v>
      </c>
      <c r="F26" s="77" t="s">
        <v>993</v>
      </c>
      <c r="G26" s="76">
        <v>1</v>
      </c>
      <c r="H26" s="76">
        <v>1</v>
      </c>
      <c r="I26" s="62" t="s">
        <v>533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28.04.2022</v>
      </c>
      <c r="F27" s="77" t="s">
        <v>993</v>
      </c>
      <c r="G27" s="76">
        <v>1</v>
      </c>
      <c r="H27" s="76">
        <v>1</v>
      </c>
      <c r="I27" s="62" t="s">
        <v>533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28.04.2022</v>
      </c>
      <c r="F28" s="77" t="s">
        <v>993</v>
      </c>
      <c r="G28" s="76">
        <v>1</v>
      </c>
      <c r="H28" s="76">
        <v>1</v>
      </c>
      <c r="I28" s="62" t="s">
        <v>533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28.04.2022</v>
      </c>
      <c r="F29" s="77" t="s">
        <v>993</v>
      </c>
      <c r="G29" s="76">
        <v>1</v>
      </c>
      <c r="H29" s="76">
        <v>1</v>
      </c>
      <c r="I29" s="62" t="s">
        <v>533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28.04.2022</v>
      </c>
      <c r="F30" s="77" t="s">
        <v>993</v>
      </c>
      <c r="G30" s="76">
        <v>1</v>
      </c>
      <c r="H30" s="76">
        <v>1</v>
      </c>
      <c r="I30" s="62" t="s">
        <v>533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28.04.2022</v>
      </c>
      <c r="F31" s="77" t="s">
        <v>993</v>
      </c>
      <c r="G31" s="76">
        <v>1</v>
      </c>
      <c r="H31" s="76">
        <v>1</v>
      </c>
      <c r="I31" s="62" t="s">
        <v>533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28.04.2022</v>
      </c>
      <c r="F32" s="77" t="s">
        <v>993</v>
      </c>
      <c r="G32" s="76">
        <v>1</v>
      </c>
      <c r="H32" s="76">
        <v>1</v>
      </c>
      <c r="I32" s="62" t="s">
        <v>533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28.04.2022</v>
      </c>
      <c r="F33" s="77" t="s">
        <v>993</v>
      </c>
      <c r="G33" s="76">
        <v>1</v>
      </c>
      <c r="H33" s="76">
        <v>1</v>
      </c>
      <c r="I33" s="62" t="s">
        <v>533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28.04.2022</v>
      </c>
      <c r="F34" s="77" t="s">
        <v>993</v>
      </c>
      <c r="G34" s="76">
        <v>1</v>
      </c>
      <c r="H34" s="76">
        <v>1</v>
      </c>
      <c r="I34" s="62" t="s">
        <v>533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28.04.2022</v>
      </c>
      <c r="F35" s="77" t="s">
        <v>993</v>
      </c>
      <c r="G35" s="76">
        <v>1</v>
      </c>
      <c r="H35" s="76">
        <v>1</v>
      </c>
      <c r="I35" s="62" t="s">
        <v>533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28.04.2022</v>
      </c>
      <c r="F36" s="77" t="s">
        <v>993</v>
      </c>
      <c r="G36" s="76">
        <v>1</v>
      </c>
      <c r="H36" s="76">
        <v>1</v>
      </c>
      <c r="I36" s="62" t="s">
        <v>533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28.04.2022</v>
      </c>
      <c r="F37" s="77" t="s">
        <v>993</v>
      </c>
      <c r="G37" s="76">
        <v>1</v>
      </c>
      <c r="H37" s="76">
        <v>1</v>
      </c>
      <c r="I37" s="62" t="s">
        <v>533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28.04.2022</v>
      </c>
      <c r="F38" s="77" t="s">
        <v>993</v>
      </c>
      <c r="G38" s="76">
        <v>1</v>
      </c>
      <c r="H38" s="76">
        <v>1</v>
      </c>
      <c r="I38" s="62" t="s">
        <v>533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28.04.2022</v>
      </c>
      <c r="F39" s="77" t="s">
        <v>993</v>
      </c>
      <c r="G39" s="76">
        <v>1</v>
      </c>
      <c r="H39" s="76">
        <v>1</v>
      </c>
      <c r="I39" s="62" t="s">
        <v>533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28.04.2022</v>
      </c>
      <c r="F40" s="77" t="s">
        <v>993</v>
      </c>
      <c r="G40" s="76">
        <v>1</v>
      </c>
      <c r="H40" s="76">
        <v>1</v>
      </c>
      <c r="I40" s="62" t="s">
        <v>533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28.04.2022</v>
      </c>
      <c r="F41" s="77" t="s">
        <v>993</v>
      </c>
      <c r="G41" s="76">
        <v>1</v>
      </c>
      <c r="H41" s="76">
        <v>1</v>
      </c>
      <c r="I41" s="62" t="s">
        <v>533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28.04.2022</v>
      </c>
      <c r="F42" s="77" t="s">
        <v>993</v>
      </c>
      <c r="G42" s="76">
        <v>1</v>
      </c>
      <c r="H42" s="76">
        <v>1</v>
      </c>
      <c r="I42" s="62" t="s">
        <v>533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28.04.2022</v>
      </c>
      <c r="F43" s="77" t="s">
        <v>993</v>
      </c>
      <c r="G43" s="76">
        <v>1</v>
      </c>
      <c r="H43" s="76">
        <v>1</v>
      </c>
      <c r="I43" s="62" t="s">
        <v>533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28.04.2022</v>
      </c>
      <c r="F44" s="77" t="s">
        <v>993</v>
      </c>
      <c r="G44" s="76">
        <v>1</v>
      </c>
      <c r="H44" s="76">
        <v>1</v>
      </c>
      <c r="I44" s="62" t="s">
        <v>533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28.04.2022</v>
      </c>
      <c r="F45" s="77" t="s">
        <v>993</v>
      </c>
      <c r="G45" s="76">
        <v>1</v>
      </c>
      <c r="H45" s="76">
        <v>1</v>
      </c>
      <c r="I45" s="62" t="s">
        <v>533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28.04.2022</v>
      </c>
      <c r="F46" s="77" t="s">
        <v>993</v>
      </c>
      <c r="G46" s="76">
        <v>1</v>
      </c>
      <c r="H46" s="76">
        <v>1</v>
      </c>
      <c r="I46" s="62" t="s">
        <v>533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28.04.2022</v>
      </c>
      <c r="F47" s="77" t="s">
        <v>993</v>
      </c>
      <c r="G47" s="76">
        <v>1</v>
      </c>
      <c r="H47" s="76">
        <v>1</v>
      </c>
      <c r="I47" s="62" t="s">
        <v>533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28.04.2022</v>
      </c>
      <c r="F48" s="77" t="s">
        <v>993</v>
      </c>
      <c r="G48" s="76">
        <v>1</v>
      </c>
      <c r="H48" s="76">
        <v>1</v>
      </c>
      <c r="I48" s="62" t="s">
        <v>533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28.04.2022</v>
      </c>
      <c r="F49" s="77" t="s">
        <v>993</v>
      </c>
      <c r="G49" s="76">
        <v>1</v>
      </c>
      <c r="H49" s="76">
        <v>1</v>
      </c>
      <c r="I49" s="62" t="s">
        <v>533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28.04.2022</v>
      </c>
      <c r="F50" s="77" t="s">
        <v>993</v>
      </c>
      <c r="G50" s="76">
        <v>1</v>
      </c>
      <c r="H50" s="76">
        <v>1</v>
      </c>
      <c r="I50" s="62" t="s">
        <v>533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28.04.2022</v>
      </c>
      <c r="F51" s="77" t="s">
        <v>993</v>
      </c>
      <c r="G51" s="76">
        <v>1</v>
      </c>
      <c r="H51" s="76">
        <v>1</v>
      </c>
      <c r="I51" s="62" t="s">
        <v>533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28.04.2022</v>
      </c>
      <c r="F52" s="77" t="s">
        <v>993</v>
      </c>
      <c r="G52" s="76">
        <v>1</v>
      </c>
      <c r="H52" s="76">
        <v>1</v>
      </c>
      <c r="I52" s="62" t="s">
        <v>533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28.04.2022</v>
      </c>
      <c r="F53" s="77" t="s">
        <v>993</v>
      </c>
      <c r="G53" s="76">
        <v>1</v>
      </c>
      <c r="H53" s="76">
        <v>1</v>
      </c>
      <c r="I53" s="62" t="s">
        <v>533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28.04.2022</v>
      </c>
      <c r="F54" s="77" t="s">
        <v>993</v>
      </c>
      <c r="G54" s="76">
        <v>1</v>
      </c>
      <c r="H54" s="76">
        <v>1</v>
      </c>
      <c r="I54" s="62" t="s">
        <v>533</v>
      </c>
      <c r="J54" s="70"/>
    </row>
    <row r="55" spans="1:10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28.04.2022</v>
      </c>
      <c r="F55" s="77" t="s">
        <v>993</v>
      </c>
      <c r="G55" s="76">
        <v>1</v>
      </c>
      <c r="H55" s="76">
        <v>1</v>
      </c>
      <c r="I55" s="62" t="s">
        <v>533</v>
      </c>
      <c r="J55" s="68"/>
    </row>
    <row r="56" spans="1:10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28.04.2022</v>
      </c>
      <c r="F56" s="77" t="s">
        <v>993</v>
      </c>
      <c r="G56" s="76">
        <v>1</v>
      </c>
      <c r="H56" s="76">
        <v>1</v>
      </c>
      <c r="I56" s="62" t="s">
        <v>533</v>
      </c>
      <c r="J56" s="69"/>
    </row>
    <row r="57" spans="1:10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28.04.2022</v>
      </c>
      <c r="F57" s="77" t="s">
        <v>993</v>
      </c>
      <c r="G57" s="76">
        <v>1</v>
      </c>
      <c r="H57" s="76">
        <v>1</v>
      </c>
      <c r="I57" s="62" t="s">
        <v>533</v>
      </c>
      <c r="J57" s="69"/>
    </row>
    <row r="58" spans="1:10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28.04.2022</v>
      </c>
      <c r="F58" s="77" t="s">
        <v>993</v>
      </c>
      <c r="G58" s="76">
        <v>1</v>
      </c>
      <c r="H58" s="76">
        <v>1</v>
      </c>
      <c r="I58" s="62" t="s">
        <v>533</v>
      </c>
      <c r="J58" s="69"/>
    </row>
    <row r="59" spans="1:10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28.04.2022</v>
      </c>
      <c r="F59" s="77" t="s">
        <v>993</v>
      </c>
      <c r="G59" s="76">
        <v>1</v>
      </c>
      <c r="H59" s="76">
        <v>1</v>
      </c>
      <c r="I59" s="62" t="s">
        <v>533</v>
      </c>
      <c r="J59" s="69"/>
    </row>
    <row r="60" spans="1:10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28.04.2022</v>
      </c>
      <c r="F60" s="77" t="s">
        <v>993</v>
      </c>
      <c r="G60" s="76">
        <v>1</v>
      </c>
      <c r="H60" s="76">
        <v>1</v>
      </c>
      <c r="I60" s="62" t="s">
        <v>533</v>
      </c>
      <c r="J60" s="69"/>
    </row>
    <row r="61" spans="1:10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28.04.2022</v>
      </c>
      <c r="F61" s="77" t="s">
        <v>993</v>
      </c>
      <c r="G61" s="76">
        <v>1</v>
      </c>
      <c r="H61" s="76">
        <v>1</v>
      </c>
      <c r="I61" s="62" t="s">
        <v>533</v>
      </c>
      <c r="J61" s="69"/>
    </row>
    <row r="62" spans="1:10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28.04.2022</v>
      </c>
      <c r="F62" s="77" t="s">
        <v>993</v>
      </c>
      <c r="G62" s="76">
        <v>1</v>
      </c>
      <c r="H62" s="76">
        <v>1</v>
      </c>
      <c r="I62" s="62" t="s">
        <v>533</v>
      </c>
      <c r="J62" s="69"/>
    </row>
    <row r="63" spans="1:10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28.04.2022</v>
      </c>
      <c r="F63" s="77" t="s">
        <v>993</v>
      </c>
      <c r="G63" s="76">
        <v>1</v>
      </c>
      <c r="H63" s="76">
        <v>1</v>
      </c>
      <c r="I63" s="62" t="s">
        <v>533</v>
      </c>
      <c r="J63" s="69"/>
    </row>
    <row r="64" spans="1:10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28.04.2022</v>
      </c>
      <c r="F64" s="77" t="s">
        <v>993</v>
      </c>
      <c r="G64" s="76">
        <v>1</v>
      </c>
      <c r="H64" s="76">
        <v>1</v>
      </c>
      <c r="I64" s="62" t="s">
        <v>533</v>
      </c>
      <c r="J64" s="69"/>
    </row>
    <row r="65" spans="1:10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28.04.2022</v>
      </c>
      <c r="F65" s="77" t="s">
        <v>993</v>
      </c>
      <c r="G65" s="76">
        <v>1</v>
      </c>
      <c r="H65" s="76">
        <v>1</v>
      </c>
      <c r="I65" s="62" t="s">
        <v>533</v>
      </c>
      <c r="J65" s="69"/>
    </row>
    <row r="66" spans="1:10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28.04.2022</v>
      </c>
      <c r="F66" s="77" t="s">
        <v>993</v>
      </c>
      <c r="G66" s="76">
        <v>1</v>
      </c>
      <c r="H66" s="76">
        <v>1</v>
      </c>
      <c r="I66" s="62" t="s">
        <v>533</v>
      </c>
      <c r="J66" s="69"/>
    </row>
    <row r="67" spans="1:10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28.04.2022</v>
      </c>
      <c r="F67" s="77" t="s">
        <v>993</v>
      </c>
      <c r="G67" s="76">
        <v>1</v>
      </c>
      <c r="H67" s="76">
        <v>1</v>
      </c>
      <c r="I67" s="62" t="s">
        <v>533</v>
      </c>
      <c r="J67" s="69"/>
    </row>
    <row r="68" spans="1:10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28.04.2022</v>
      </c>
      <c r="F68" s="77" t="s">
        <v>993</v>
      </c>
      <c r="G68" s="76">
        <v>1</v>
      </c>
      <c r="H68" s="76">
        <v>1</v>
      </c>
      <c r="I68" s="62" t="s">
        <v>533</v>
      </c>
      <c r="J68" s="69"/>
    </row>
    <row r="69" spans="1:10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28.04.2022</v>
      </c>
      <c r="F69" s="77" t="s">
        <v>993</v>
      </c>
      <c r="G69" s="76">
        <v>1</v>
      </c>
      <c r="H69" s="76">
        <v>1</v>
      </c>
      <c r="I69" s="62" t="s">
        <v>533</v>
      </c>
      <c r="J69" s="69"/>
    </row>
    <row r="70" spans="1:10" x14ac:dyDescent="0.2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28.04.2022</v>
      </c>
      <c r="F70" s="77" t="s">
        <v>993</v>
      </c>
      <c r="G70" s="76">
        <v>1</v>
      </c>
      <c r="H70" s="76">
        <v>1</v>
      </c>
      <c r="I70" s="62" t="s">
        <v>533</v>
      </c>
      <c r="J70" s="69"/>
    </row>
    <row r="71" spans="1:10" x14ac:dyDescent="0.2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28.04.2022</v>
      </c>
      <c r="F71" s="77" t="s">
        <v>993</v>
      </c>
      <c r="G71" s="76">
        <v>1</v>
      </c>
      <c r="H71" s="76">
        <v>1</v>
      </c>
      <c r="I71" s="62" t="s">
        <v>533</v>
      </c>
      <c r="J71" s="69"/>
    </row>
    <row r="72" spans="1:10" x14ac:dyDescent="0.2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28.04.2022</v>
      </c>
      <c r="F72" s="77" t="s">
        <v>993</v>
      </c>
      <c r="G72" s="76">
        <v>1</v>
      </c>
      <c r="H72" s="76">
        <v>1</v>
      </c>
      <c r="I72" s="62" t="s">
        <v>533</v>
      </c>
      <c r="J72" s="69"/>
    </row>
    <row r="73" spans="1:10" x14ac:dyDescent="0.2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28.04.2022</v>
      </c>
      <c r="F73" s="77" t="s">
        <v>993</v>
      </c>
      <c r="G73" s="76">
        <v>1</v>
      </c>
      <c r="H73" s="76">
        <v>1</v>
      </c>
      <c r="I73" s="62" t="s">
        <v>533</v>
      </c>
      <c r="J73" s="69"/>
    </row>
    <row r="74" spans="1:10" x14ac:dyDescent="0.2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28.04.2022</v>
      </c>
      <c r="F74" s="77" t="s">
        <v>993</v>
      </c>
      <c r="G74" s="76">
        <v>1</v>
      </c>
      <c r="H74" s="76">
        <v>1</v>
      </c>
      <c r="I74" s="62" t="s">
        <v>533</v>
      </c>
      <c r="J74" s="69"/>
    </row>
    <row r="75" spans="1:10" x14ac:dyDescent="0.2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28.04.2022</v>
      </c>
      <c r="F75" s="77" t="s">
        <v>993</v>
      </c>
      <c r="G75" s="76">
        <v>1</v>
      </c>
      <c r="H75" s="76">
        <v>1</v>
      </c>
      <c r="I75" s="62" t="s">
        <v>533</v>
      </c>
      <c r="J75" s="69"/>
    </row>
    <row r="76" spans="1:10" x14ac:dyDescent="0.2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28.04.2022</v>
      </c>
      <c r="F76" s="77" t="s">
        <v>993</v>
      </c>
      <c r="G76" s="76">
        <v>1</v>
      </c>
      <c r="H76" s="76">
        <v>1</v>
      </c>
      <c r="I76" s="62" t="s">
        <v>533</v>
      </c>
      <c r="J76" s="69"/>
    </row>
    <row r="77" spans="1:10" x14ac:dyDescent="0.2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28.04.2022</v>
      </c>
      <c r="F77" s="77" t="s">
        <v>993</v>
      </c>
      <c r="G77" s="76">
        <v>1</v>
      </c>
      <c r="H77" s="76">
        <v>1</v>
      </c>
      <c r="I77" s="62" t="s">
        <v>533</v>
      </c>
      <c r="J77" s="69"/>
    </row>
    <row r="78" spans="1:10" x14ac:dyDescent="0.2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28.04.2022</v>
      </c>
      <c r="F78" s="77" t="s">
        <v>993</v>
      </c>
      <c r="G78" s="76">
        <v>1</v>
      </c>
      <c r="H78" s="76">
        <v>1</v>
      </c>
      <c r="I78" s="62" t="s">
        <v>533</v>
      </c>
      <c r="J78" s="69"/>
    </row>
    <row r="79" spans="1:10" x14ac:dyDescent="0.2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28.04.2022</v>
      </c>
      <c r="F79" s="77" t="s">
        <v>993</v>
      </c>
      <c r="G79" s="76">
        <v>1</v>
      </c>
      <c r="H79" s="76">
        <v>1</v>
      </c>
      <c r="I79" s="62" t="s">
        <v>533</v>
      </c>
      <c r="J79" s="69"/>
    </row>
    <row r="80" spans="1:10" x14ac:dyDescent="0.2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28.04.2022</v>
      </c>
      <c r="F80" s="77" t="s">
        <v>993</v>
      </c>
      <c r="G80" s="76">
        <v>1</v>
      </c>
      <c r="H80" s="76">
        <v>1</v>
      </c>
      <c r="I80" s="62" t="s">
        <v>533</v>
      </c>
      <c r="J80" s="69"/>
    </row>
    <row r="81" spans="1:10" x14ac:dyDescent="0.2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28.04.2022</v>
      </c>
      <c r="F81" s="77" t="s">
        <v>993</v>
      </c>
      <c r="G81" s="76">
        <v>1</v>
      </c>
      <c r="H81" s="76">
        <v>1</v>
      </c>
      <c r="I81" s="62" t="s">
        <v>533</v>
      </c>
      <c r="J81" s="69"/>
    </row>
    <row r="82" spans="1:10" x14ac:dyDescent="0.2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28.04.2022</v>
      </c>
      <c r="F82" s="77" t="s">
        <v>993</v>
      </c>
      <c r="G82" s="76">
        <v>1</v>
      </c>
      <c r="H82" s="76">
        <v>1</v>
      </c>
      <c r="I82" s="62" t="s">
        <v>533</v>
      </c>
      <c r="J82" s="69"/>
    </row>
    <row r="83" spans="1:10" x14ac:dyDescent="0.2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28.04.2022</v>
      </c>
      <c r="F83" s="77" t="s">
        <v>993</v>
      </c>
      <c r="G83" s="76">
        <v>1</v>
      </c>
      <c r="H83" s="76">
        <v>1</v>
      </c>
      <c r="I83" s="62" t="s">
        <v>533</v>
      </c>
      <c r="J83" s="69"/>
    </row>
    <row r="84" spans="1:10" x14ac:dyDescent="0.2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28.04.2022</v>
      </c>
      <c r="F84" s="77" t="s">
        <v>993</v>
      </c>
      <c r="G84" s="76">
        <v>1</v>
      </c>
      <c r="H84" s="76">
        <v>1</v>
      </c>
      <c r="I84" s="62" t="s">
        <v>533</v>
      </c>
      <c r="J84" s="69"/>
    </row>
    <row r="85" spans="1:10" x14ac:dyDescent="0.2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28.04.2022</v>
      </c>
      <c r="F85" s="77" t="s">
        <v>993</v>
      </c>
      <c r="G85" s="76">
        <v>1</v>
      </c>
      <c r="H85" s="76">
        <v>1</v>
      </c>
      <c r="I85" s="62" t="s">
        <v>533</v>
      </c>
      <c r="J85" s="69"/>
    </row>
    <row r="86" spans="1:10" x14ac:dyDescent="0.2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28.04.2022</v>
      </c>
      <c r="F86" s="77" t="s">
        <v>993</v>
      </c>
      <c r="G86" s="76">
        <v>1</v>
      </c>
      <c r="H86" s="76">
        <v>1</v>
      </c>
      <c r="I86" s="62" t="s">
        <v>533</v>
      </c>
      <c r="J86" s="69"/>
    </row>
    <row r="87" spans="1:10" x14ac:dyDescent="0.2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28.04.2022</v>
      </c>
      <c r="F87" s="77" t="s">
        <v>993</v>
      </c>
      <c r="G87" s="76">
        <v>1</v>
      </c>
      <c r="H87" s="76">
        <v>1</v>
      </c>
      <c r="I87" s="62" t="s">
        <v>533</v>
      </c>
      <c r="J87" s="69"/>
    </row>
    <row r="88" spans="1:10" x14ac:dyDescent="0.2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28.04.2022</v>
      </c>
      <c r="F88" s="77" t="s">
        <v>993</v>
      </c>
      <c r="G88" s="76">
        <v>1</v>
      </c>
      <c r="H88" s="76">
        <v>1</v>
      </c>
      <c r="I88" s="62" t="s">
        <v>533</v>
      </c>
      <c r="J88" s="69"/>
    </row>
    <row r="89" spans="1:10" x14ac:dyDescent="0.2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28.04.2022</v>
      </c>
      <c r="F89" s="77" t="s">
        <v>993</v>
      </c>
      <c r="G89" s="76">
        <v>1</v>
      </c>
      <c r="H89" s="76">
        <v>1</v>
      </c>
      <c r="I89" s="62" t="s">
        <v>533</v>
      </c>
      <c r="J89" s="69"/>
    </row>
    <row r="90" spans="1:10" x14ac:dyDescent="0.2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28.04.2022</v>
      </c>
      <c r="F90" s="77" t="s">
        <v>993</v>
      </c>
      <c r="G90" s="76">
        <v>1</v>
      </c>
      <c r="H90" s="76">
        <v>1</v>
      </c>
      <c r="I90" s="62" t="s">
        <v>533</v>
      </c>
      <c r="J90" s="69"/>
    </row>
    <row r="91" spans="1:10" x14ac:dyDescent="0.2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28.04.2022</v>
      </c>
      <c r="F91" s="77" t="s">
        <v>993</v>
      </c>
      <c r="G91" s="76">
        <v>1</v>
      </c>
      <c r="H91" s="76">
        <v>1</v>
      </c>
      <c r="I91" s="62" t="s">
        <v>533</v>
      </c>
      <c r="J91" s="69"/>
    </row>
    <row r="92" spans="1:10" x14ac:dyDescent="0.2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28.04.2022</v>
      </c>
      <c r="F92" s="77" t="s">
        <v>993</v>
      </c>
      <c r="G92" s="76">
        <v>1</v>
      </c>
      <c r="H92" s="76">
        <v>1</v>
      </c>
      <c r="I92" s="62" t="s">
        <v>533</v>
      </c>
      <c r="J92" s="69"/>
    </row>
    <row r="93" spans="1:10" x14ac:dyDescent="0.2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28.04.2022</v>
      </c>
      <c r="F93" s="77" t="s">
        <v>993</v>
      </c>
      <c r="G93" s="76">
        <v>1</v>
      </c>
      <c r="H93" s="76">
        <v>1</v>
      </c>
      <c r="I93" s="62" t="s">
        <v>533</v>
      </c>
      <c r="J93" s="69"/>
    </row>
    <row r="94" spans="1:10" x14ac:dyDescent="0.2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28.04.2022</v>
      </c>
      <c r="F94" s="77" t="s">
        <v>993</v>
      </c>
      <c r="G94" s="76">
        <v>1</v>
      </c>
      <c r="H94" s="76">
        <v>1</v>
      </c>
      <c r="I94" s="62" t="s">
        <v>533</v>
      </c>
      <c r="J94" s="69"/>
    </row>
    <row r="95" spans="1:10" x14ac:dyDescent="0.2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28.04.2022</v>
      </c>
      <c r="F95" s="77" t="s">
        <v>993</v>
      </c>
      <c r="G95" s="76">
        <v>1</v>
      </c>
      <c r="H95" s="76">
        <v>1</v>
      </c>
      <c r="I95" s="62" t="s">
        <v>533</v>
      </c>
      <c r="J95" s="69"/>
    </row>
    <row r="96" spans="1:10" x14ac:dyDescent="0.2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28.04.2022</v>
      </c>
      <c r="F96" s="77" t="s">
        <v>993</v>
      </c>
      <c r="G96" s="76">
        <v>1</v>
      </c>
      <c r="H96" s="76">
        <v>1</v>
      </c>
      <c r="I96" s="62" t="s">
        <v>533</v>
      </c>
      <c r="J96" s="69"/>
    </row>
    <row r="97" spans="1:10" x14ac:dyDescent="0.2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28.04.2022</v>
      </c>
      <c r="F97" s="77" t="s">
        <v>993</v>
      </c>
      <c r="G97" s="76">
        <v>1</v>
      </c>
      <c r="H97" s="76">
        <v>1</v>
      </c>
      <c r="I97" s="62" t="s">
        <v>533</v>
      </c>
      <c r="J97" s="69"/>
    </row>
    <row r="98" spans="1:10" x14ac:dyDescent="0.2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28.04.2022</v>
      </c>
      <c r="F98" s="77" t="s">
        <v>993</v>
      </c>
      <c r="G98" s="76">
        <v>1</v>
      </c>
      <c r="H98" s="76">
        <v>1</v>
      </c>
      <c r="I98" s="62" t="s">
        <v>533</v>
      </c>
      <c r="J98" s="69"/>
    </row>
    <row r="99" spans="1:10" x14ac:dyDescent="0.2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28.04.2022</v>
      </c>
      <c r="F99" s="77" t="s">
        <v>993</v>
      </c>
      <c r="G99" s="76">
        <v>1</v>
      </c>
      <c r="H99" s="76">
        <v>1</v>
      </c>
      <c r="I99" s="62" t="s">
        <v>533</v>
      </c>
      <c r="J99" s="69"/>
    </row>
    <row r="100" spans="1:10" x14ac:dyDescent="0.2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28.04.2022</v>
      </c>
      <c r="F100" s="77" t="s">
        <v>993</v>
      </c>
      <c r="G100" s="76">
        <v>1</v>
      </c>
      <c r="H100" s="76">
        <v>1</v>
      </c>
      <c r="I100" s="62" t="s">
        <v>533</v>
      </c>
      <c r="J100" s="69"/>
    </row>
    <row r="101" spans="1:10" x14ac:dyDescent="0.2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28.04.2022</v>
      </c>
      <c r="F101" s="77" t="s">
        <v>993</v>
      </c>
      <c r="G101" s="76">
        <v>1</v>
      </c>
      <c r="H101" s="76">
        <v>1</v>
      </c>
      <c r="I101" s="62" t="s">
        <v>533</v>
      </c>
      <c r="J101" s="69"/>
    </row>
    <row r="102" spans="1:10" x14ac:dyDescent="0.2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28.04.2022</v>
      </c>
      <c r="F102" s="77" t="s">
        <v>993</v>
      </c>
      <c r="G102" s="76">
        <v>1</v>
      </c>
      <c r="H102" s="76">
        <v>1</v>
      </c>
      <c r="I102" s="62" t="s">
        <v>533</v>
      </c>
      <c r="J102" s="69"/>
    </row>
    <row r="103" spans="1:10" x14ac:dyDescent="0.2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28.04.2022</v>
      </c>
      <c r="F103" s="77" t="s">
        <v>993</v>
      </c>
      <c r="G103" s="76">
        <v>1</v>
      </c>
      <c r="H103" s="76">
        <v>1</v>
      </c>
      <c r="I103" s="62" t="s">
        <v>533</v>
      </c>
      <c r="J103" s="69"/>
    </row>
    <row r="104" spans="1:10" x14ac:dyDescent="0.2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28.04.2022</v>
      </c>
      <c r="F104" s="77" t="s">
        <v>993</v>
      </c>
      <c r="G104" s="76">
        <v>1</v>
      </c>
      <c r="H104" s="76">
        <v>1</v>
      </c>
      <c r="I104" s="62" t="s">
        <v>533</v>
      </c>
      <c r="J104" s="70"/>
    </row>
    <row r="105" spans="1:10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28.04.2022</v>
      </c>
      <c r="F105" s="77" t="s">
        <v>993</v>
      </c>
      <c r="G105" s="76">
        <v>1</v>
      </c>
      <c r="H105" s="76">
        <v>1</v>
      </c>
      <c r="I105" s="62" t="s">
        <v>533</v>
      </c>
      <c r="J105" s="68"/>
    </row>
    <row r="106" spans="1:10" x14ac:dyDescent="0.2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28.04.2022</v>
      </c>
      <c r="F106" s="77" t="s">
        <v>993</v>
      </c>
      <c r="G106" s="76">
        <v>1</v>
      </c>
      <c r="H106" s="76">
        <v>1</v>
      </c>
      <c r="I106" s="62" t="s">
        <v>533</v>
      </c>
      <c r="J106" s="69"/>
    </row>
    <row r="107" spans="1:10" x14ac:dyDescent="0.2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28.04.2022</v>
      </c>
      <c r="F107" s="77" t="s">
        <v>993</v>
      </c>
      <c r="G107" s="76">
        <v>1</v>
      </c>
      <c r="H107" s="76">
        <v>1</v>
      </c>
      <c r="I107" s="62" t="s">
        <v>533</v>
      </c>
      <c r="J107" s="69"/>
    </row>
    <row r="108" spans="1:10" x14ac:dyDescent="0.2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28.04.2022</v>
      </c>
      <c r="F108" s="77" t="s">
        <v>993</v>
      </c>
      <c r="G108" s="76">
        <v>1</v>
      </c>
      <c r="H108" s="76">
        <v>1</v>
      </c>
      <c r="I108" s="62" t="s">
        <v>533</v>
      </c>
      <c r="J108" s="69"/>
    </row>
    <row r="109" spans="1:10" x14ac:dyDescent="0.2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28.04.2022</v>
      </c>
      <c r="F109" s="77" t="s">
        <v>993</v>
      </c>
      <c r="G109" s="76">
        <v>1</v>
      </c>
      <c r="H109" s="76">
        <v>1</v>
      </c>
      <c r="I109" s="62" t="s">
        <v>533</v>
      </c>
      <c r="J109" s="69"/>
    </row>
    <row r="110" spans="1:10" x14ac:dyDescent="0.2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28.04.2022</v>
      </c>
      <c r="F110" s="77" t="s">
        <v>993</v>
      </c>
      <c r="G110" s="76">
        <v>1</v>
      </c>
      <c r="H110" s="76">
        <v>1</v>
      </c>
      <c r="I110" s="62" t="s">
        <v>533</v>
      </c>
      <c r="J110" s="69"/>
    </row>
    <row r="111" spans="1:10" x14ac:dyDescent="0.2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28.04.2022</v>
      </c>
      <c r="F111" s="77" t="s">
        <v>993</v>
      </c>
      <c r="G111" s="76">
        <v>1</v>
      </c>
      <c r="H111" s="76">
        <v>1</v>
      </c>
      <c r="I111" s="62" t="s">
        <v>533</v>
      </c>
      <c r="J111" s="69"/>
    </row>
    <row r="112" spans="1:10" x14ac:dyDescent="0.2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28.04.2022</v>
      </c>
      <c r="F112" s="77" t="s">
        <v>993</v>
      </c>
      <c r="G112" s="76">
        <v>1</v>
      </c>
      <c r="H112" s="76">
        <v>1</v>
      </c>
      <c r="I112" s="62" t="s">
        <v>533</v>
      </c>
      <c r="J112" s="69"/>
    </row>
    <row r="113" spans="1:10" x14ac:dyDescent="0.2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28.04.2022</v>
      </c>
      <c r="F113" s="77" t="s">
        <v>993</v>
      </c>
      <c r="G113" s="76">
        <v>1</v>
      </c>
      <c r="H113" s="76">
        <v>1</v>
      </c>
      <c r="I113" s="62" t="s">
        <v>533</v>
      </c>
      <c r="J113" s="69"/>
    </row>
    <row r="114" spans="1:10" x14ac:dyDescent="0.2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28.04.2022</v>
      </c>
      <c r="F114" s="77" t="s">
        <v>993</v>
      </c>
      <c r="G114" s="76">
        <v>1</v>
      </c>
      <c r="H114" s="76">
        <v>1</v>
      </c>
      <c r="I114" s="62" t="s">
        <v>533</v>
      </c>
      <c r="J114" s="69"/>
    </row>
    <row r="115" spans="1:10" x14ac:dyDescent="0.2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28.04.2022</v>
      </c>
      <c r="F115" s="77" t="s">
        <v>993</v>
      </c>
      <c r="G115" s="76">
        <v>1</v>
      </c>
      <c r="H115" s="76">
        <v>1</v>
      </c>
      <c r="I115" s="62" t="s">
        <v>533</v>
      </c>
      <c r="J115" s="69"/>
    </row>
    <row r="116" spans="1:10" x14ac:dyDescent="0.2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28.04.2022</v>
      </c>
      <c r="F116" s="77" t="s">
        <v>993</v>
      </c>
      <c r="G116" s="76">
        <v>1</v>
      </c>
      <c r="H116" s="76">
        <v>1</v>
      </c>
      <c r="I116" s="62" t="s">
        <v>533</v>
      </c>
      <c r="J116" s="69"/>
    </row>
    <row r="117" spans="1:10" x14ac:dyDescent="0.2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28.04.2022</v>
      </c>
      <c r="F117" s="77" t="s">
        <v>993</v>
      </c>
      <c r="G117" s="76">
        <v>1</v>
      </c>
      <c r="H117" s="76">
        <v>1</v>
      </c>
      <c r="I117" s="62" t="s">
        <v>533</v>
      </c>
      <c r="J117" s="69"/>
    </row>
    <row r="118" spans="1:10" x14ac:dyDescent="0.2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28.04.2022</v>
      </c>
      <c r="F118" s="77" t="s">
        <v>993</v>
      </c>
      <c r="G118" s="76">
        <v>1</v>
      </c>
      <c r="H118" s="76">
        <v>1</v>
      </c>
      <c r="I118" s="62" t="s">
        <v>533</v>
      </c>
      <c r="J118" s="69"/>
    </row>
    <row r="119" spans="1:10" x14ac:dyDescent="0.2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28.04.2022</v>
      </c>
      <c r="F119" s="77" t="s">
        <v>993</v>
      </c>
      <c r="G119" s="76">
        <v>1</v>
      </c>
      <c r="H119" s="76">
        <v>1</v>
      </c>
      <c r="I119" s="62" t="s">
        <v>533</v>
      </c>
      <c r="J119" s="69"/>
    </row>
    <row r="120" spans="1:10" x14ac:dyDescent="0.2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28.04.2022</v>
      </c>
      <c r="F120" s="77" t="s">
        <v>993</v>
      </c>
      <c r="G120" s="76">
        <v>1</v>
      </c>
      <c r="H120" s="76">
        <v>1</v>
      </c>
      <c r="I120" s="62" t="s">
        <v>533</v>
      </c>
      <c r="J120" s="69"/>
    </row>
    <row r="121" spans="1:10" x14ac:dyDescent="0.2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28.04.2022</v>
      </c>
      <c r="F121" s="77" t="s">
        <v>993</v>
      </c>
      <c r="G121" s="76">
        <v>1</v>
      </c>
      <c r="H121" s="76">
        <v>1</v>
      </c>
      <c r="I121" s="62" t="s">
        <v>533</v>
      </c>
      <c r="J121" s="69"/>
    </row>
    <row r="122" spans="1:10" x14ac:dyDescent="0.2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28.04.2022</v>
      </c>
      <c r="F122" s="77" t="s">
        <v>993</v>
      </c>
      <c r="G122" s="76">
        <v>1</v>
      </c>
      <c r="H122" s="76">
        <v>1</v>
      </c>
      <c r="I122" s="62" t="s">
        <v>533</v>
      </c>
      <c r="J122" s="69"/>
    </row>
    <row r="123" spans="1:10" x14ac:dyDescent="0.2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28.04.2022</v>
      </c>
      <c r="F123" s="77" t="s">
        <v>993</v>
      </c>
      <c r="G123" s="76">
        <v>1</v>
      </c>
      <c r="H123" s="76">
        <v>1</v>
      </c>
      <c r="I123" s="62" t="s">
        <v>533</v>
      </c>
      <c r="J123" s="69"/>
    </row>
    <row r="124" spans="1:10" x14ac:dyDescent="0.2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28.04.2022</v>
      </c>
      <c r="F124" s="77" t="s">
        <v>993</v>
      </c>
      <c r="G124" s="76">
        <v>1</v>
      </c>
      <c r="H124" s="76">
        <v>1</v>
      </c>
      <c r="I124" s="62" t="s">
        <v>533</v>
      </c>
      <c r="J124" s="69"/>
    </row>
    <row r="125" spans="1:10" x14ac:dyDescent="0.2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28.04.2022</v>
      </c>
      <c r="F125" s="77" t="s">
        <v>993</v>
      </c>
      <c r="G125" s="76">
        <v>1</v>
      </c>
      <c r="H125" s="76">
        <v>1</v>
      </c>
      <c r="I125" s="62" t="s">
        <v>533</v>
      </c>
      <c r="J125" s="69"/>
    </row>
    <row r="126" spans="1:10" x14ac:dyDescent="0.2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28.04.2022</v>
      </c>
      <c r="F126" s="77" t="s">
        <v>993</v>
      </c>
      <c r="G126" s="76">
        <v>1</v>
      </c>
      <c r="H126" s="76">
        <v>1</v>
      </c>
      <c r="I126" s="62" t="s">
        <v>533</v>
      </c>
      <c r="J126" s="69"/>
    </row>
    <row r="127" spans="1:10" x14ac:dyDescent="0.2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28.04.2022</v>
      </c>
      <c r="F127" s="77" t="s">
        <v>993</v>
      </c>
      <c r="G127" s="76">
        <v>1</v>
      </c>
      <c r="H127" s="76">
        <v>1</v>
      </c>
      <c r="I127" s="62" t="s">
        <v>533</v>
      </c>
      <c r="J127" s="69"/>
    </row>
    <row r="128" spans="1:10" x14ac:dyDescent="0.2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28.04.2022</v>
      </c>
      <c r="F128" s="77" t="s">
        <v>993</v>
      </c>
      <c r="G128" s="76">
        <v>1</v>
      </c>
      <c r="H128" s="76">
        <v>1</v>
      </c>
      <c r="I128" s="62" t="s">
        <v>533</v>
      </c>
      <c r="J128" s="69"/>
    </row>
    <row r="129" spans="1:10" x14ac:dyDescent="0.2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28.04.2022</v>
      </c>
      <c r="F129" s="77" t="s">
        <v>993</v>
      </c>
      <c r="G129" s="76">
        <v>1</v>
      </c>
      <c r="H129" s="76">
        <v>1</v>
      </c>
      <c r="I129" s="62" t="s">
        <v>533</v>
      </c>
      <c r="J129" s="69"/>
    </row>
    <row r="130" spans="1:10" x14ac:dyDescent="0.2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28.04.2022</v>
      </c>
      <c r="F130" s="77" t="s">
        <v>993</v>
      </c>
      <c r="G130" s="76">
        <v>1</v>
      </c>
      <c r="H130" s="76">
        <v>1</v>
      </c>
      <c r="I130" s="62" t="s">
        <v>533</v>
      </c>
      <c r="J130" s="69"/>
    </row>
    <row r="131" spans="1:10" x14ac:dyDescent="0.2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28.04.2022</v>
      </c>
      <c r="F131" s="77" t="s">
        <v>993</v>
      </c>
      <c r="G131" s="76">
        <v>1</v>
      </c>
      <c r="H131" s="76">
        <v>1</v>
      </c>
      <c r="I131" s="62" t="s">
        <v>533</v>
      </c>
      <c r="J131" s="69"/>
    </row>
    <row r="132" spans="1:10" x14ac:dyDescent="0.2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28.04.2022</v>
      </c>
      <c r="F132" s="77" t="s">
        <v>993</v>
      </c>
      <c r="G132" s="76">
        <v>1</v>
      </c>
      <c r="H132" s="76">
        <v>1</v>
      </c>
      <c r="I132" s="62" t="s">
        <v>533</v>
      </c>
      <c r="J132" s="69"/>
    </row>
    <row r="133" spans="1:10" x14ac:dyDescent="0.2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28.04.2022</v>
      </c>
      <c r="F133" s="77" t="s">
        <v>993</v>
      </c>
      <c r="G133" s="76">
        <v>1</v>
      </c>
      <c r="H133" s="76">
        <v>1</v>
      </c>
      <c r="I133" s="62" t="s">
        <v>533</v>
      </c>
      <c r="J133" s="69"/>
    </row>
    <row r="134" spans="1:10" x14ac:dyDescent="0.2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28.04.2022</v>
      </c>
      <c r="F134" s="77" t="s">
        <v>993</v>
      </c>
      <c r="G134" s="76">
        <v>1</v>
      </c>
      <c r="H134" s="76">
        <v>1</v>
      </c>
      <c r="I134" s="62" t="s">
        <v>533</v>
      </c>
      <c r="J134" s="69"/>
    </row>
    <row r="135" spans="1:10" x14ac:dyDescent="0.2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28.04.2022</v>
      </c>
      <c r="F135" s="77" t="s">
        <v>993</v>
      </c>
      <c r="G135" s="76">
        <v>1</v>
      </c>
      <c r="H135" s="76">
        <v>1</v>
      </c>
      <c r="I135" s="62" t="s">
        <v>533</v>
      </c>
      <c r="J135" s="69"/>
    </row>
    <row r="136" spans="1:10" x14ac:dyDescent="0.2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28.04.2022</v>
      </c>
      <c r="F136" s="77" t="s">
        <v>993</v>
      </c>
      <c r="G136" s="76">
        <v>1</v>
      </c>
      <c r="H136" s="76">
        <v>1</v>
      </c>
      <c r="I136" s="62" t="s">
        <v>533</v>
      </c>
      <c r="J136" s="69"/>
    </row>
    <row r="137" spans="1:10" x14ac:dyDescent="0.2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28.04.2022</v>
      </c>
      <c r="F137" s="77" t="s">
        <v>993</v>
      </c>
      <c r="G137" s="76">
        <v>1</v>
      </c>
      <c r="H137" s="76">
        <v>1</v>
      </c>
      <c r="I137" s="62" t="s">
        <v>533</v>
      </c>
      <c r="J137" s="69"/>
    </row>
    <row r="138" spans="1:10" x14ac:dyDescent="0.2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28.04.2022</v>
      </c>
      <c r="F138" s="77" t="s">
        <v>993</v>
      </c>
      <c r="G138" s="76">
        <v>1</v>
      </c>
      <c r="H138" s="76">
        <v>1</v>
      </c>
      <c r="I138" s="62" t="s">
        <v>533</v>
      </c>
      <c r="J138" s="69"/>
    </row>
    <row r="139" spans="1:10" x14ac:dyDescent="0.2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28.04.2022</v>
      </c>
      <c r="F139" s="77" t="s">
        <v>993</v>
      </c>
      <c r="G139" s="76">
        <v>1</v>
      </c>
      <c r="H139" s="76">
        <v>1</v>
      </c>
      <c r="I139" s="62" t="s">
        <v>533</v>
      </c>
      <c r="J139" s="69"/>
    </row>
    <row r="140" spans="1:10" x14ac:dyDescent="0.2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28.04.2022</v>
      </c>
      <c r="F140" s="77" t="s">
        <v>993</v>
      </c>
      <c r="G140" s="76">
        <v>1</v>
      </c>
      <c r="H140" s="76">
        <v>1</v>
      </c>
      <c r="I140" s="62" t="s">
        <v>533</v>
      </c>
      <c r="J140" s="69"/>
    </row>
    <row r="141" spans="1:10" x14ac:dyDescent="0.2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28.04.2022</v>
      </c>
      <c r="F141" s="77" t="s">
        <v>993</v>
      </c>
      <c r="G141" s="76">
        <v>1</v>
      </c>
      <c r="H141" s="76">
        <v>1</v>
      </c>
      <c r="I141" s="62" t="s">
        <v>533</v>
      </c>
      <c r="J141" s="69"/>
    </row>
    <row r="142" spans="1:10" x14ac:dyDescent="0.2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28.04.2022</v>
      </c>
      <c r="F142" s="77" t="s">
        <v>993</v>
      </c>
      <c r="G142" s="76">
        <v>1</v>
      </c>
      <c r="H142" s="76">
        <v>1</v>
      </c>
      <c r="I142" s="62" t="s">
        <v>533</v>
      </c>
      <c r="J142" s="69"/>
    </row>
    <row r="143" spans="1:10" x14ac:dyDescent="0.2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28.04.2022</v>
      </c>
      <c r="F143" s="77" t="s">
        <v>993</v>
      </c>
      <c r="G143" s="76">
        <v>1</v>
      </c>
      <c r="H143" s="76">
        <v>1</v>
      </c>
      <c r="I143" s="62" t="s">
        <v>533</v>
      </c>
      <c r="J143" s="69"/>
    </row>
    <row r="144" spans="1:10" x14ac:dyDescent="0.2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28.04.2022</v>
      </c>
      <c r="F144" s="77" t="s">
        <v>993</v>
      </c>
      <c r="G144" s="76">
        <v>1</v>
      </c>
      <c r="H144" s="76">
        <v>1</v>
      </c>
      <c r="I144" s="62" t="s">
        <v>533</v>
      </c>
      <c r="J144" s="69"/>
    </row>
    <row r="145" spans="1:10" x14ac:dyDescent="0.2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28.04.2022</v>
      </c>
      <c r="F145" s="77" t="s">
        <v>993</v>
      </c>
      <c r="G145" s="76">
        <v>1</v>
      </c>
      <c r="H145" s="76">
        <v>1</v>
      </c>
      <c r="I145" s="62" t="s">
        <v>533</v>
      </c>
      <c r="J145" s="69"/>
    </row>
    <row r="146" spans="1:10" x14ac:dyDescent="0.2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28.04.2022</v>
      </c>
      <c r="F146" s="77" t="s">
        <v>993</v>
      </c>
      <c r="G146" s="76">
        <v>1</v>
      </c>
      <c r="H146" s="76">
        <v>1</v>
      </c>
      <c r="I146" s="62" t="s">
        <v>533</v>
      </c>
      <c r="J146" s="69"/>
    </row>
    <row r="147" spans="1:10" x14ac:dyDescent="0.2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28.04.2022</v>
      </c>
      <c r="F147" s="77" t="s">
        <v>993</v>
      </c>
      <c r="G147" s="76">
        <v>1</v>
      </c>
      <c r="H147" s="76">
        <v>1</v>
      </c>
      <c r="I147" s="62" t="s">
        <v>533</v>
      </c>
      <c r="J147" s="69"/>
    </row>
    <row r="148" spans="1:10" x14ac:dyDescent="0.2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28.04.2022</v>
      </c>
      <c r="F148" s="77" t="s">
        <v>993</v>
      </c>
      <c r="G148" s="76">
        <v>1</v>
      </c>
      <c r="H148" s="76">
        <v>1</v>
      </c>
      <c r="I148" s="62" t="s">
        <v>533</v>
      </c>
      <c r="J148" s="69"/>
    </row>
    <row r="149" spans="1:10" x14ac:dyDescent="0.2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28.04.2022</v>
      </c>
      <c r="F149" s="77" t="s">
        <v>993</v>
      </c>
      <c r="G149" s="76">
        <v>1</v>
      </c>
      <c r="H149" s="76">
        <v>1</v>
      </c>
      <c r="I149" s="62" t="s">
        <v>533</v>
      </c>
      <c r="J149" s="69"/>
    </row>
    <row r="150" spans="1:10" x14ac:dyDescent="0.2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28.04.2022</v>
      </c>
      <c r="F150" s="77" t="s">
        <v>993</v>
      </c>
      <c r="G150" s="76">
        <v>1</v>
      </c>
      <c r="H150" s="76">
        <v>1</v>
      </c>
      <c r="I150" s="62" t="s">
        <v>533</v>
      </c>
      <c r="J150" s="69"/>
    </row>
    <row r="151" spans="1:10" x14ac:dyDescent="0.2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28.04.2022</v>
      </c>
      <c r="F151" s="77" t="s">
        <v>993</v>
      </c>
      <c r="G151" s="76">
        <v>1</v>
      </c>
      <c r="H151" s="76">
        <v>1</v>
      </c>
      <c r="I151" s="62" t="s">
        <v>533</v>
      </c>
      <c r="J151" s="69"/>
    </row>
    <row r="152" spans="1:10" x14ac:dyDescent="0.2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28.04.2022</v>
      </c>
      <c r="F152" s="77" t="s">
        <v>993</v>
      </c>
      <c r="G152" s="76">
        <v>1</v>
      </c>
      <c r="H152" s="76">
        <v>1</v>
      </c>
      <c r="I152" s="62" t="s">
        <v>533</v>
      </c>
      <c r="J152" s="69"/>
    </row>
    <row r="153" spans="1:10" x14ac:dyDescent="0.2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28.04.2022</v>
      </c>
      <c r="F153" s="77" t="s">
        <v>993</v>
      </c>
      <c r="G153" s="76">
        <v>1</v>
      </c>
      <c r="H153" s="76">
        <v>1</v>
      </c>
      <c r="I153" s="62" t="s">
        <v>533</v>
      </c>
      <c r="J153" s="69"/>
    </row>
    <row r="154" spans="1:10" x14ac:dyDescent="0.2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28.04.2022</v>
      </c>
      <c r="F154" s="77" t="s">
        <v>993</v>
      </c>
      <c r="G154" s="76">
        <v>1</v>
      </c>
      <c r="H154" s="76">
        <v>1</v>
      </c>
      <c r="I154" s="62" t="s">
        <v>533</v>
      </c>
      <c r="J154" s="70"/>
    </row>
  </sheetData>
  <conditionalFormatting sqref="B5">
    <cfRule type="beginsWith" dxfId="106" priority="24" operator="beginsWith" text="L">
      <formula>LEFT(B5,LEN("L"))="L"</formula>
    </cfRule>
  </conditionalFormatting>
  <conditionalFormatting sqref="B6:B14">
    <cfRule type="beginsWith" dxfId="105" priority="23" operator="beginsWith" text="L">
      <formula>LEFT(B6,LEN("L"))="L"</formula>
    </cfRule>
  </conditionalFormatting>
  <conditionalFormatting sqref="B15:B54">
    <cfRule type="beginsWith" dxfId="104" priority="22" operator="beginsWith" text="L">
      <formula>LEFT(B15,LEN("L"))="L"</formula>
    </cfRule>
  </conditionalFormatting>
  <conditionalFormatting sqref="J1:J54 J155:J1048576">
    <cfRule type="containsText" dxfId="103" priority="17" operator="containsText" text="criadas">
      <formula>NOT(ISERROR(SEARCH("criadas",J1)))</formula>
    </cfRule>
    <cfRule type="containsText" dxfId="102" priority="18" operator="containsText" text="é gravado">
      <formula>NOT(ISERROR(SEARCH("é gravado",J1)))</formula>
    </cfRule>
    <cfRule type="containsText" dxfId="101" priority="19" operator="containsText" text="é modificado">
      <formula>NOT(ISERROR(SEARCH("é modificado",J1)))</formula>
    </cfRule>
    <cfRule type="containsText" dxfId="100" priority="20" operator="containsText" text="Error">
      <formula>NOT(ISERROR(SEARCH("Error",J1)))</formula>
    </cfRule>
    <cfRule type="containsText" dxfId="99" priority="21" operator="containsText" text="é criado">
      <formula>NOT(ISERROR(SEARCH("é criado",J1)))</formula>
    </cfRule>
  </conditionalFormatting>
  <conditionalFormatting sqref="B55">
    <cfRule type="beginsWith" dxfId="98" priority="16" operator="beginsWith" text="L">
      <formula>LEFT(B55,LEN("L"))="L"</formula>
    </cfRule>
  </conditionalFormatting>
  <conditionalFormatting sqref="B56:B64">
    <cfRule type="beginsWith" dxfId="97" priority="15" operator="beginsWith" text="L">
      <formula>LEFT(B56,LEN("L"))="L"</formula>
    </cfRule>
  </conditionalFormatting>
  <conditionalFormatting sqref="B65:B104">
    <cfRule type="beginsWith" dxfId="96" priority="14" operator="beginsWith" text="L">
      <formula>LEFT(B65,LEN("L"))="L"</formula>
    </cfRule>
  </conditionalFormatting>
  <conditionalFormatting sqref="J55:J104">
    <cfRule type="containsText" dxfId="95" priority="9" operator="containsText" text="criadas">
      <formula>NOT(ISERROR(SEARCH("criadas",J55)))</formula>
    </cfRule>
    <cfRule type="containsText" dxfId="94" priority="10" operator="containsText" text="é gravado">
      <formula>NOT(ISERROR(SEARCH("é gravado",J55)))</formula>
    </cfRule>
    <cfRule type="containsText" dxfId="93" priority="11" operator="containsText" text="é modificado">
      <formula>NOT(ISERROR(SEARCH("é modificado",J55)))</formula>
    </cfRule>
    <cfRule type="containsText" dxfId="92" priority="12" operator="containsText" text="Error">
      <formula>NOT(ISERROR(SEARCH("Error",J55)))</formula>
    </cfRule>
    <cfRule type="containsText" dxfId="91" priority="13" operator="containsText" text="é criado">
      <formula>NOT(ISERROR(SEARCH("é criado",J55)))</formula>
    </cfRule>
  </conditionalFormatting>
  <conditionalFormatting sqref="B105">
    <cfRule type="beginsWith" dxfId="90" priority="8" operator="beginsWith" text="L">
      <formula>LEFT(B105,LEN("L"))="L"</formula>
    </cfRule>
  </conditionalFormatting>
  <conditionalFormatting sqref="B106:B114">
    <cfRule type="beginsWith" dxfId="89" priority="7" operator="beginsWith" text="L">
      <formula>LEFT(B106,LEN("L"))="L"</formula>
    </cfRule>
  </conditionalFormatting>
  <conditionalFormatting sqref="B115:B154">
    <cfRule type="beginsWith" dxfId="88" priority="6" operator="beginsWith" text="L">
      <formula>LEFT(B115,LEN("L"))="L"</formula>
    </cfRule>
  </conditionalFormatting>
  <conditionalFormatting sqref="J105:J154">
    <cfRule type="containsText" dxfId="87" priority="1" operator="containsText" text="criadas">
      <formula>NOT(ISERROR(SEARCH("criadas",J105)))</formula>
    </cfRule>
    <cfRule type="containsText" dxfId="86" priority="2" operator="containsText" text="é gravado">
      <formula>NOT(ISERROR(SEARCH("é gravado",J105)))</formula>
    </cfRule>
    <cfRule type="containsText" dxfId="85" priority="3" operator="containsText" text="é modificado">
      <formula>NOT(ISERROR(SEARCH("é modificado",J105)))</formula>
    </cfRule>
    <cfRule type="containsText" dxfId="84" priority="4" operator="containsText" text="Error">
      <formula>NOT(ISERROR(SEARCH("Error",J105)))</formula>
    </cfRule>
    <cfRule type="containsText" dxfId="83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53"/>
  <sheetViews>
    <sheetView showGridLines="0" showRowColHeaders="0" tabSelected="1" workbookViewId="0">
      <selection sqref="A1:CB13"/>
    </sheetView>
  </sheetViews>
  <sheetFormatPr defaultColWidth="0" defaultRowHeight="12.75" zeroHeight="1" x14ac:dyDescent="0.2"/>
  <cols>
    <col min="1" max="1" width="6.5703125" customWidth="1"/>
    <col min="2" max="2" width="6.85546875" customWidth="1"/>
    <col min="3" max="3" width="14.7109375" customWidth="1"/>
    <col min="4" max="4" width="38.42578125" customWidth="1"/>
    <col min="5" max="5" width="9.28515625" customWidth="1"/>
    <col min="6" max="6" width="21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15.7109375" customWidth="1"/>
    <col min="15" max="15" width="20.710937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8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38.25" x14ac:dyDescent="0.2">
      <c r="A1" s="38" t="s">
        <v>806</v>
      </c>
      <c r="B1" s="38" t="s">
        <v>807</v>
      </c>
      <c r="C1" s="38" t="s">
        <v>808</v>
      </c>
      <c r="D1" s="38" t="s">
        <v>809</v>
      </c>
      <c r="E1" s="38" t="s">
        <v>810</v>
      </c>
      <c r="F1" s="38" t="s">
        <v>811</v>
      </c>
      <c r="G1" s="38" t="s">
        <v>812</v>
      </c>
      <c r="H1" s="39" t="s">
        <v>813</v>
      </c>
      <c r="I1" s="38" t="s">
        <v>814</v>
      </c>
      <c r="J1" s="38" t="s">
        <v>815</v>
      </c>
      <c r="K1" s="39" t="s">
        <v>945</v>
      </c>
      <c r="L1" s="38" t="s">
        <v>946</v>
      </c>
      <c r="M1" s="38" t="s">
        <v>947</v>
      </c>
      <c r="N1" s="38" t="s">
        <v>948</v>
      </c>
      <c r="O1" s="38" t="s">
        <v>949</v>
      </c>
      <c r="P1" s="39" t="s">
        <v>950</v>
      </c>
      <c r="Q1" s="38" t="s">
        <v>816</v>
      </c>
      <c r="R1" s="39" t="s">
        <v>952</v>
      </c>
      <c r="S1" s="38" t="s">
        <v>951</v>
      </c>
      <c r="T1" s="38" t="s">
        <v>817</v>
      </c>
      <c r="U1" s="38" t="s">
        <v>388</v>
      </c>
      <c r="V1" s="39" t="s">
        <v>818</v>
      </c>
      <c r="W1" s="38" t="s">
        <v>819</v>
      </c>
      <c r="X1" s="39" t="s">
        <v>820</v>
      </c>
      <c r="Y1" s="39" t="s">
        <v>821</v>
      </c>
      <c r="Z1" s="39" t="s">
        <v>822</v>
      </c>
      <c r="AA1" s="39" t="s">
        <v>967</v>
      </c>
      <c r="AB1" s="38" t="s">
        <v>823</v>
      </c>
      <c r="AC1" s="38" t="s">
        <v>824</v>
      </c>
      <c r="AD1" s="38" t="s">
        <v>825</v>
      </c>
      <c r="AE1" s="38" t="s">
        <v>826</v>
      </c>
      <c r="AF1" s="38" t="s">
        <v>827</v>
      </c>
      <c r="AG1" s="38" t="s">
        <v>960</v>
      </c>
      <c r="AH1" s="39" t="s">
        <v>828</v>
      </c>
      <c r="AI1" s="38" t="s">
        <v>829</v>
      </c>
      <c r="AJ1" s="38" t="s">
        <v>830</v>
      </c>
      <c r="AK1" s="38" t="s">
        <v>831</v>
      </c>
      <c r="AL1" s="38" t="s">
        <v>832</v>
      </c>
      <c r="AM1" s="39" t="s">
        <v>833</v>
      </c>
      <c r="AN1" s="38" t="s">
        <v>834</v>
      </c>
      <c r="AO1" s="39" t="s">
        <v>835</v>
      </c>
      <c r="AP1" s="38" t="s">
        <v>836</v>
      </c>
      <c r="AQ1" s="38" t="s">
        <v>837</v>
      </c>
      <c r="AR1" s="38" t="s">
        <v>838</v>
      </c>
      <c r="AS1" s="39" t="s">
        <v>839</v>
      </c>
      <c r="AT1" s="38" t="s">
        <v>840</v>
      </c>
      <c r="AU1" s="39" t="s">
        <v>841</v>
      </c>
      <c r="AV1" s="39" t="s">
        <v>842</v>
      </c>
      <c r="AW1" s="39" t="s">
        <v>843</v>
      </c>
      <c r="AX1" s="38" t="s">
        <v>844</v>
      </c>
      <c r="AY1" s="38" t="s">
        <v>845</v>
      </c>
      <c r="AZ1" s="38" t="s">
        <v>846</v>
      </c>
      <c r="BA1" s="38" t="s">
        <v>847</v>
      </c>
      <c r="BB1" s="38" t="s">
        <v>848</v>
      </c>
      <c r="BC1" s="38" t="s">
        <v>961</v>
      </c>
      <c r="BD1" s="38" t="s">
        <v>968</v>
      </c>
      <c r="BE1" s="38" t="s">
        <v>962</v>
      </c>
      <c r="BF1" s="38" t="s">
        <v>969</v>
      </c>
      <c r="BG1" s="38" t="s">
        <v>963</v>
      </c>
      <c r="BH1" s="38" t="s">
        <v>970</v>
      </c>
      <c r="BI1" s="38" t="s">
        <v>964</v>
      </c>
      <c r="BJ1" s="38" t="s">
        <v>971</v>
      </c>
      <c r="BK1" s="38" t="s">
        <v>965</v>
      </c>
      <c r="BL1" s="38" t="s">
        <v>850</v>
      </c>
      <c r="BM1" s="38" t="s">
        <v>851</v>
      </c>
      <c r="BN1" s="38" t="s">
        <v>852</v>
      </c>
      <c r="BO1" s="38" t="s">
        <v>853</v>
      </c>
      <c r="BP1" s="38" t="s">
        <v>854</v>
      </c>
      <c r="BQ1" s="38" t="s">
        <v>953</v>
      </c>
      <c r="BR1" s="38" t="s">
        <v>994</v>
      </c>
      <c r="BS1" s="38" t="s">
        <v>995</v>
      </c>
      <c r="BT1" s="38" t="s">
        <v>996</v>
      </c>
      <c r="BU1" s="38" t="s">
        <v>997</v>
      </c>
      <c r="BV1" s="38" t="s">
        <v>998</v>
      </c>
      <c r="BW1" s="38" t="s">
        <v>999</v>
      </c>
      <c r="BX1" s="38" t="s">
        <v>1000</v>
      </c>
      <c r="BY1" s="38" t="s">
        <v>1001</v>
      </c>
      <c r="BZ1" s="38" t="s">
        <v>1002</v>
      </c>
      <c r="CA1" s="38" t="s">
        <v>1003</v>
      </c>
      <c r="CB1" s="38" t="s">
        <v>1004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hidden="1" x14ac:dyDescent="0.2">
      <c r="A2" s="38"/>
      <c r="B2" s="38" t="s">
        <v>1012</v>
      </c>
      <c r="C2" s="38" t="s">
        <v>1021</v>
      </c>
      <c r="D2" s="38" t="s">
        <v>1022</v>
      </c>
      <c r="E2" s="38"/>
      <c r="F2" s="38"/>
      <c r="G2" s="38" t="s">
        <v>4</v>
      </c>
      <c r="H2" s="38">
        <v>1830</v>
      </c>
      <c r="I2" s="38">
        <v>2.2839999999999998</v>
      </c>
      <c r="J2" s="38" t="s">
        <v>1023</v>
      </c>
      <c r="K2" s="38" t="s">
        <v>201</v>
      </c>
      <c r="L2" s="38" t="s">
        <v>195</v>
      </c>
      <c r="M2" s="38" t="s">
        <v>196</v>
      </c>
      <c r="N2" s="38" t="s">
        <v>198</v>
      </c>
      <c r="O2" s="38" t="s">
        <v>199</v>
      </c>
      <c r="P2" s="38" t="s">
        <v>1024</v>
      </c>
      <c r="Q2" s="38" t="s">
        <v>923</v>
      </c>
      <c r="R2" s="38" t="s">
        <v>1025</v>
      </c>
      <c r="S2" s="38" t="s">
        <v>1026</v>
      </c>
      <c r="T2" s="38" t="s">
        <v>299</v>
      </c>
      <c r="U2" s="38" t="s">
        <v>1007</v>
      </c>
      <c r="V2" s="38">
        <v>64</v>
      </c>
      <c r="W2" s="38" t="s">
        <v>691</v>
      </c>
      <c r="X2" s="38">
        <v>900</v>
      </c>
      <c r="Y2" s="38">
        <v>10000</v>
      </c>
      <c r="Z2" s="38">
        <v>1.4999999999999999E-2</v>
      </c>
      <c r="AA2" s="38" t="s">
        <v>1027</v>
      </c>
      <c r="AB2" s="38">
        <v>7370</v>
      </c>
      <c r="AC2" s="38" t="s">
        <v>1028</v>
      </c>
      <c r="AD2" s="38" t="s">
        <v>1029</v>
      </c>
      <c r="AE2" s="38" t="s">
        <v>1030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67"/>
      <c r="BC2" s="38" t="s">
        <v>4</v>
      </c>
      <c r="BD2" s="67" t="s">
        <v>1008</v>
      </c>
      <c r="BE2" s="38" t="s">
        <v>5</v>
      </c>
      <c r="BF2" s="67" t="s">
        <v>1009</v>
      </c>
      <c r="BG2" s="38" t="s">
        <v>6</v>
      </c>
      <c r="BH2" s="38" t="s">
        <v>1010</v>
      </c>
      <c r="BI2" s="38"/>
      <c r="BJ2" s="38" t="s">
        <v>1011</v>
      </c>
      <c r="BK2" s="38"/>
      <c r="BL2" s="38" t="s">
        <v>849</v>
      </c>
      <c r="BM2" s="38"/>
      <c r="BN2" s="38" t="s">
        <v>580</v>
      </c>
      <c r="BO2" s="38" t="s">
        <v>533</v>
      </c>
      <c r="BP2" s="38" t="s">
        <v>533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x14ac:dyDescent="0.2">
      <c r="A3" s="38" t="s">
        <v>1031</v>
      </c>
      <c r="B3" s="38" t="s">
        <v>1005</v>
      </c>
      <c r="C3" s="38" t="s">
        <v>1027</v>
      </c>
      <c r="D3" s="38" t="s">
        <v>1032</v>
      </c>
      <c r="E3" s="38"/>
      <c r="F3" s="38"/>
      <c r="G3" s="38" t="s">
        <v>4</v>
      </c>
      <c r="H3" s="38">
        <v>7370</v>
      </c>
      <c r="I3" s="38">
        <v>2.2839999999999998</v>
      </c>
      <c r="J3" s="38" t="s">
        <v>1033</v>
      </c>
      <c r="K3" s="38" t="s">
        <v>201</v>
      </c>
      <c r="L3" s="38" t="s">
        <v>195</v>
      </c>
      <c r="M3" s="38" t="s">
        <v>196</v>
      </c>
      <c r="N3" s="38" t="s">
        <v>198</v>
      </c>
      <c r="O3" s="38"/>
      <c r="P3" s="38" t="s">
        <v>1034</v>
      </c>
      <c r="Q3" s="38" t="s">
        <v>923</v>
      </c>
      <c r="R3" s="38" t="s">
        <v>1025</v>
      </c>
      <c r="S3" s="38" t="s">
        <v>1026</v>
      </c>
      <c r="T3" s="38" t="s">
        <v>299</v>
      </c>
      <c r="U3" s="38" t="s">
        <v>1007</v>
      </c>
      <c r="V3" s="38">
        <v>64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1035</v>
      </c>
      <c r="AH3" s="38">
        <v>1.5</v>
      </c>
      <c r="AI3" s="38" t="s">
        <v>1036</v>
      </c>
      <c r="AJ3" s="38"/>
      <c r="AK3" s="38" t="s">
        <v>1037</v>
      </c>
      <c r="AL3" s="38" t="s">
        <v>1038</v>
      </c>
      <c r="AM3" s="38" t="s">
        <v>697</v>
      </c>
      <c r="AN3" s="38" t="s">
        <v>1039</v>
      </c>
      <c r="AO3" s="38">
        <v>888</v>
      </c>
      <c r="AP3" s="38" t="s">
        <v>1040</v>
      </c>
      <c r="AQ3" s="38" t="s">
        <v>1041</v>
      </c>
      <c r="AR3" s="38" t="s">
        <v>1042</v>
      </c>
      <c r="AS3" s="38">
        <v>5.46</v>
      </c>
      <c r="AT3" s="38">
        <v>194</v>
      </c>
      <c r="AU3" s="38" t="s">
        <v>1043</v>
      </c>
      <c r="AV3" s="38" t="s">
        <v>1044</v>
      </c>
      <c r="AW3" s="38" t="s">
        <v>1045</v>
      </c>
      <c r="AX3" s="38" t="s">
        <v>1046</v>
      </c>
      <c r="AY3" s="38" t="s">
        <v>1047</v>
      </c>
      <c r="AZ3" s="38"/>
      <c r="BA3" s="38"/>
      <c r="BB3" s="67"/>
      <c r="BC3" s="38" t="s">
        <v>4</v>
      </c>
      <c r="BD3" s="67" t="s">
        <v>1008</v>
      </c>
      <c r="BE3" s="38" t="s">
        <v>16</v>
      </c>
      <c r="BF3" s="67" t="s">
        <v>1048</v>
      </c>
      <c r="BG3" s="38" t="s">
        <v>6</v>
      </c>
      <c r="BH3" s="38" t="s">
        <v>1010</v>
      </c>
      <c r="BI3" s="38"/>
      <c r="BJ3" s="38" t="s">
        <v>1011</v>
      </c>
      <c r="BK3" s="38"/>
      <c r="BL3" s="38" t="s">
        <v>849</v>
      </c>
      <c r="BM3" s="38" t="s">
        <v>539</v>
      </c>
      <c r="BN3" s="38" t="s">
        <v>580</v>
      </c>
      <c r="BO3" s="38" t="s">
        <v>533</v>
      </c>
      <c r="BP3" s="38" t="s">
        <v>533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2">
      <c r="A4" s="38"/>
      <c r="B4" s="38" t="s">
        <v>1012</v>
      </c>
      <c r="C4" s="38" t="s">
        <v>1049</v>
      </c>
      <c r="D4" s="38" t="s">
        <v>1050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67"/>
      <c r="BC4" s="38"/>
      <c r="BD4" s="67"/>
      <c r="BE4" s="38"/>
      <c r="BF4" s="6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hidden="1" x14ac:dyDescent="0.2">
      <c r="A5" s="38" t="s">
        <v>1031</v>
      </c>
      <c r="B5" s="38" t="s">
        <v>1012</v>
      </c>
      <c r="C5" s="38" t="s">
        <v>1051</v>
      </c>
      <c r="D5" s="38" t="s">
        <v>1052</v>
      </c>
      <c r="E5" s="38"/>
      <c r="F5" s="38"/>
      <c r="G5" s="38" t="s">
        <v>4</v>
      </c>
      <c r="H5" s="38"/>
      <c r="I5" s="38">
        <v>2.2839999999999998</v>
      </c>
      <c r="J5" s="38" t="s">
        <v>1006</v>
      </c>
      <c r="K5" s="38" t="s">
        <v>201</v>
      </c>
      <c r="L5" s="38" t="s">
        <v>195</v>
      </c>
      <c r="M5" s="38" t="s">
        <v>196</v>
      </c>
      <c r="N5" s="38" t="s">
        <v>198</v>
      </c>
      <c r="O5" s="38"/>
      <c r="P5" s="38" t="s">
        <v>1034</v>
      </c>
      <c r="Q5" s="38" t="s">
        <v>923</v>
      </c>
      <c r="R5" s="38" t="s">
        <v>1025</v>
      </c>
      <c r="S5" s="38" t="s">
        <v>1026</v>
      </c>
      <c r="T5" s="38" t="s">
        <v>299</v>
      </c>
      <c r="U5" s="38" t="s">
        <v>1007</v>
      </c>
      <c r="V5" s="38">
        <v>64</v>
      </c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 t="s">
        <v>1035</v>
      </c>
      <c r="AH5" s="38">
        <v>1.5</v>
      </c>
      <c r="AI5" s="38" t="s">
        <v>1036</v>
      </c>
      <c r="AJ5" s="38"/>
      <c r="AK5" s="38" t="s">
        <v>1037</v>
      </c>
      <c r="AL5" s="38" t="s">
        <v>1038</v>
      </c>
      <c r="AM5" s="38" t="s">
        <v>697</v>
      </c>
      <c r="AN5" s="38" t="s">
        <v>1039</v>
      </c>
      <c r="AO5" s="38">
        <v>888</v>
      </c>
      <c r="AP5" s="38" t="s">
        <v>1040</v>
      </c>
      <c r="AQ5" s="38" t="s">
        <v>1041</v>
      </c>
      <c r="AR5" s="38" t="s">
        <v>1042</v>
      </c>
      <c r="AS5" s="38">
        <v>5.46</v>
      </c>
      <c r="AT5" s="38">
        <v>194</v>
      </c>
      <c r="AU5" s="38" t="s">
        <v>1043</v>
      </c>
      <c r="AV5" s="38" t="s">
        <v>1044</v>
      </c>
      <c r="AW5" s="38" t="s">
        <v>1045</v>
      </c>
      <c r="AX5" s="38" t="s">
        <v>1046</v>
      </c>
      <c r="AY5" s="38" t="s">
        <v>1047</v>
      </c>
      <c r="AZ5" s="38"/>
      <c r="BA5" s="38"/>
      <c r="BB5" s="67"/>
      <c r="BC5" s="38" t="s">
        <v>4</v>
      </c>
      <c r="BD5" s="67" t="s">
        <v>1008</v>
      </c>
      <c r="BE5" s="38" t="s">
        <v>5</v>
      </c>
      <c r="BF5" s="67" t="s">
        <v>1009</v>
      </c>
      <c r="BG5" s="38" t="s">
        <v>6</v>
      </c>
      <c r="BH5" s="38" t="s">
        <v>1010</v>
      </c>
      <c r="BI5" s="38"/>
      <c r="BJ5" s="38" t="s">
        <v>1011</v>
      </c>
      <c r="BK5" s="38"/>
      <c r="BL5" s="38" t="s">
        <v>875</v>
      </c>
      <c r="BM5" s="38" t="s">
        <v>539</v>
      </c>
      <c r="BN5" s="38" t="s">
        <v>580</v>
      </c>
      <c r="BO5" s="38" t="s">
        <v>533</v>
      </c>
      <c r="BP5" s="38" t="s">
        <v>533</v>
      </c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hidden="1" x14ac:dyDescent="0.2">
      <c r="A6" s="38"/>
      <c r="B6" s="38" t="s">
        <v>1012</v>
      </c>
      <c r="C6" s="38" t="s">
        <v>1049</v>
      </c>
      <c r="D6" s="38" t="s">
        <v>1050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/>
      <c r="BD6" s="67"/>
      <c r="BE6" s="38"/>
      <c r="BF6" s="6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2">
      <c r="A7" s="38"/>
      <c r="B7" s="38"/>
      <c r="C7" s="38"/>
      <c r="D7" s="38" t="s">
        <v>1013</v>
      </c>
      <c r="E7" s="38"/>
      <c r="F7" s="38"/>
      <c r="G7" s="38"/>
      <c r="H7" s="38"/>
      <c r="I7" s="38"/>
      <c r="J7" s="38" t="s">
        <v>1006</v>
      </c>
      <c r="K7" s="38"/>
      <c r="L7" s="38"/>
      <c r="M7" s="38"/>
      <c r="N7" s="38"/>
      <c r="O7" s="38"/>
      <c r="P7" s="38" t="s">
        <v>1006</v>
      </c>
      <c r="Q7" s="38"/>
      <c r="R7" s="38"/>
      <c r="S7" s="38" t="s">
        <v>1006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1006</v>
      </c>
      <c r="AL7" s="38" t="s">
        <v>1006</v>
      </c>
      <c r="AM7" s="38"/>
      <c r="AN7" s="38" t="s">
        <v>1006</v>
      </c>
      <c r="AO7" s="38"/>
      <c r="AP7" s="38" t="s">
        <v>1006</v>
      </c>
      <c r="AQ7" s="38" t="s">
        <v>1006</v>
      </c>
      <c r="AR7" s="38" t="s">
        <v>1006</v>
      </c>
      <c r="AS7" s="38"/>
      <c r="AT7" s="38"/>
      <c r="AU7" s="38"/>
      <c r="AV7" s="38" t="s">
        <v>1006</v>
      </c>
      <c r="AW7" s="38" t="s">
        <v>1006</v>
      </c>
      <c r="AX7" s="38" t="s">
        <v>1006</v>
      </c>
      <c r="AY7" s="38" t="s">
        <v>1006</v>
      </c>
      <c r="AZ7" s="38"/>
      <c r="BA7" s="38"/>
      <c r="BB7" s="67"/>
      <c r="BC7" s="38" t="s">
        <v>1006</v>
      </c>
      <c r="BD7" s="67" t="s">
        <v>1006</v>
      </c>
      <c r="BE7" s="38"/>
      <c r="BF7" s="67" t="s">
        <v>1006</v>
      </c>
      <c r="BG7" s="38"/>
      <c r="BH7" s="38" t="s">
        <v>1006</v>
      </c>
      <c r="BI7" s="38"/>
      <c r="BJ7" s="38" t="s">
        <v>1011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hidden="1" x14ac:dyDescent="0.2">
      <c r="A8" s="38"/>
      <c r="B8" s="38"/>
      <c r="C8" s="38"/>
      <c r="D8" s="38" t="s">
        <v>1014</v>
      </c>
      <c r="E8" s="38"/>
      <c r="F8" s="38"/>
      <c r="G8" s="38"/>
      <c r="H8" s="38"/>
      <c r="I8" s="38"/>
      <c r="J8" s="38" t="s">
        <v>1006</v>
      </c>
      <c r="K8" s="38"/>
      <c r="L8" s="38"/>
      <c r="M8" s="38"/>
      <c r="N8" s="38"/>
      <c r="O8" s="38"/>
      <c r="P8" s="38" t="s">
        <v>1006</v>
      </c>
      <c r="Q8" s="38"/>
      <c r="R8" s="38"/>
      <c r="S8" s="38" t="s">
        <v>1006</v>
      </c>
      <c r="T8" s="38"/>
      <c r="U8" s="38"/>
      <c r="V8" s="38"/>
      <c r="W8" s="38"/>
      <c r="X8" s="38"/>
      <c r="Y8" s="38"/>
      <c r="Z8" s="38"/>
      <c r="AA8" s="38" t="s">
        <v>1006</v>
      </c>
      <c r="AB8" s="38" t="s">
        <v>1006</v>
      </c>
      <c r="AC8" s="38" t="s">
        <v>1015</v>
      </c>
      <c r="AD8" s="38" t="s">
        <v>1015</v>
      </c>
      <c r="AE8" s="38" t="s">
        <v>1006</v>
      </c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 t="s">
        <v>1006</v>
      </c>
      <c r="BD8" s="67" t="s">
        <v>1006</v>
      </c>
      <c r="BE8" s="38"/>
      <c r="BF8" s="67" t="s">
        <v>1006</v>
      </c>
      <c r="BG8" s="38"/>
      <c r="BH8" s="38" t="s">
        <v>1006</v>
      </c>
      <c r="BI8" s="38"/>
      <c r="BJ8" s="38" t="s">
        <v>1011</v>
      </c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hidden="1" x14ac:dyDescent="0.2">
      <c r="A9" s="38"/>
      <c r="B9" s="38"/>
      <c r="C9" s="38"/>
      <c r="D9" s="38" t="s">
        <v>1016</v>
      </c>
      <c r="E9" s="38"/>
      <c r="F9" s="38"/>
      <c r="G9" s="38"/>
      <c r="H9" s="38"/>
      <c r="I9" s="38"/>
      <c r="J9" s="38" t="s">
        <v>1006</v>
      </c>
      <c r="K9" s="38"/>
      <c r="L9" s="38"/>
      <c r="M9" s="38"/>
      <c r="N9" s="38"/>
      <c r="O9" s="38"/>
      <c r="P9" s="38" t="s">
        <v>1006</v>
      </c>
      <c r="Q9" s="38"/>
      <c r="R9" s="38"/>
      <c r="S9" s="38" t="s">
        <v>1006</v>
      </c>
      <c r="T9" s="38"/>
      <c r="U9" s="38"/>
      <c r="V9" s="38"/>
      <c r="W9" s="38"/>
      <c r="X9" s="38"/>
      <c r="Y9" s="38"/>
      <c r="Z9" s="38"/>
      <c r="AA9" s="38"/>
      <c r="AB9" s="38" t="s">
        <v>1006</v>
      </c>
      <c r="AC9" s="38" t="s">
        <v>1015</v>
      </c>
      <c r="AD9" s="38" t="s">
        <v>1015</v>
      </c>
      <c r="AE9" s="38" t="s">
        <v>1006</v>
      </c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1006</v>
      </c>
      <c r="BD9" s="67" t="s">
        <v>1006</v>
      </c>
      <c r="BE9" s="38"/>
      <c r="BF9" s="67" t="s">
        <v>1006</v>
      </c>
      <c r="BG9" s="38"/>
      <c r="BH9" s="38" t="s">
        <v>1006</v>
      </c>
      <c r="BI9" s="38"/>
      <c r="BJ9" s="38" t="s">
        <v>1011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hidden="1" x14ac:dyDescent="0.2">
      <c r="A10" s="38"/>
      <c r="B10" s="38"/>
      <c r="C10" s="38"/>
      <c r="D10" s="38" t="s">
        <v>1017</v>
      </c>
      <c r="E10" s="38"/>
      <c r="F10" s="38"/>
      <c r="G10" s="38"/>
      <c r="H10" s="38"/>
      <c r="I10" s="38"/>
      <c r="J10" s="38" t="s">
        <v>1006</v>
      </c>
      <c r="K10" s="38"/>
      <c r="L10" s="38"/>
      <c r="M10" s="38"/>
      <c r="N10" s="38"/>
      <c r="O10" s="38"/>
      <c r="P10" s="38" t="s">
        <v>1006</v>
      </c>
      <c r="Q10" s="38"/>
      <c r="R10" s="38"/>
      <c r="S10" s="38" t="s">
        <v>1006</v>
      </c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 t="s">
        <v>1006</v>
      </c>
      <c r="AL10" s="38" t="s">
        <v>1006</v>
      </c>
      <c r="AM10" s="38"/>
      <c r="AN10" s="38" t="s">
        <v>1006</v>
      </c>
      <c r="AO10" s="38"/>
      <c r="AP10" s="38" t="s">
        <v>1006</v>
      </c>
      <c r="AQ10" s="38" t="s">
        <v>1006</v>
      </c>
      <c r="AR10" s="38" t="s">
        <v>1006</v>
      </c>
      <c r="AS10" s="38"/>
      <c r="AT10" s="38"/>
      <c r="AU10" s="38"/>
      <c r="AV10" s="38" t="s">
        <v>1006</v>
      </c>
      <c r="AW10" s="38" t="s">
        <v>1006</v>
      </c>
      <c r="AX10" s="38" t="s">
        <v>1006</v>
      </c>
      <c r="AY10" s="38" t="s">
        <v>1006</v>
      </c>
      <c r="AZ10" s="38"/>
      <c r="BA10" s="38"/>
      <c r="BB10" s="67"/>
      <c r="BC10" s="38" t="s">
        <v>1006</v>
      </c>
      <c r="BD10" s="67" t="s">
        <v>1006</v>
      </c>
      <c r="BE10" s="38"/>
      <c r="BF10" s="67" t="s">
        <v>1006</v>
      </c>
      <c r="BG10" s="38"/>
      <c r="BH10" s="38" t="s">
        <v>1006</v>
      </c>
      <c r="BI10" s="38"/>
      <c r="BJ10" s="38" t="s">
        <v>1011</v>
      </c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hidden="1" x14ac:dyDescent="0.2">
      <c r="A11" s="38"/>
      <c r="B11" s="38"/>
      <c r="C11" s="38"/>
      <c r="D11" s="38" t="s">
        <v>421</v>
      </c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67"/>
      <c r="BC11" s="38"/>
      <c r="BD11" s="67"/>
      <c r="BE11" s="38"/>
      <c r="BF11" s="6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hidden="1" x14ac:dyDescent="0.2">
      <c r="A12" s="38"/>
      <c r="B12" s="38"/>
      <c r="C12" s="38"/>
      <c r="D12" s="38" t="s">
        <v>1018</v>
      </c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67"/>
      <c r="BC12" s="38" t="s">
        <v>1006</v>
      </c>
      <c r="BD12" s="67" t="s">
        <v>1006</v>
      </c>
      <c r="BE12" s="38"/>
      <c r="BF12" s="67" t="s">
        <v>1006</v>
      </c>
      <c r="BG12" s="38"/>
      <c r="BH12" s="38" t="s">
        <v>1006</v>
      </c>
      <c r="BI12" s="38"/>
      <c r="BJ12" s="38" t="s">
        <v>1011</v>
      </c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2">
      <c r="A13" s="38" t="s">
        <v>868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7"/>
      <c r="BC13" s="38"/>
      <c r="BD13" s="67"/>
      <c r="BE13" s="38"/>
      <c r="BF13" s="6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>
        <f>SUBTOTAL(103,Estrutura_P01[DADOS PURLINS])</f>
        <v>0</v>
      </c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hidden="1" x14ac:dyDescent="0.2">
      <c r="A14" t="s">
        <v>533</v>
      </c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hidden="1" x14ac:dyDescent="0.2"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2"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92:102" hidden="1" x14ac:dyDescent="0.2"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92:102" hidden="1" x14ac:dyDescent="0.2"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92:102" hidden="1" x14ac:dyDescent="0.2"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92:102" hidden="1" x14ac:dyDescent="0.2"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92:102" hidden="1" x14ac:dyDescent="0.2"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92:102" hidden="1" x14ac:dyDescent="0.2"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92:102" hidden="1" x14ac:dyDescent="0.2"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92:102" hidden="1" x14ac:dyDescent="0.2"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92:102" hidden="1" x14ac:dyDescent="0.2"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92:102" hidden="1" x14ac:dyDescent="0.2"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92:102" hidden="1" x14ac:dyDescent="0.2"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92:102" hidden="1" x14ac:dyDescent="0.2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92:102" hidden="1" x14ac:dyDescent="0.2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92:102" hidden="1" x14ac:dyDescent="0.2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92:102" hidden="1" x14ac:dyDescent="0.2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92:102" hidden="1" x14ac:dyDescent="0.2">
      <c r="CT32" s="38"/>
      <c r="CU32" s="38"/>
      <c r="CV32" s="38"/>
      <c r="CW32" s="38"/>
      <c r="CX32" s="38"/>
    </row>
    <row r="33" spans="98:102" hidden="1" x14ac:dyDescent="0.2">
      <c r="CT33" s="38"/>
      <c r="CU33" s="38"/>
      <c r="CV33" s="38"/>
      <c r="CW33" s="38"/>
      <c r="CX33" s="38"/>
    </row>
    <row r="34" spans="98:102" hidden="1" x14ac:dyDescent="0.2">
      <c r="CT34" s="38"/>
      <c r="CU34" s="38"/>
      <c r="CV34" s="38"/>
      <c r="CW34" s="38"/>
      <c r="CX34" s="38"/>
    </row>
    <row r="35" spans="98:102" hidden="1" x14ac:dyDescent="0.2">
      <c r="CT35" s="38"/>
      <c r="CU35" s="38"/>
      <c r="CV35" s="38"/>
      <c r="CW35" s="38"/>
      <c r="CX35" s="38"/>
    </row>
    <row r="36" spans="98:102" hidden="1" x14ac:dyDescent="0.2">
      <c r="CT36" s="38"/>
      <c r="CU36" s="38"/>
      <c r="CV36" s="38"/>
      <c r="CW36" s="38"/>
      <c r="CX36" s="38"/>
    </row>
    <row r="37" spans="98:102" hidden="1" x14ac:dyDescent="0.2">
      <c r="CT37" s="38"/>
      <c r="CU37" s="38"/>
      <c r="CV37" s="38"/>
      <c r="CW37" s="38"/>
      <c r="CX37" s="38"/>
    </row>
    <row r="38" spans="98:102" hidden="1" x14ac:dyDescent="0.2"/>
    <row r="39" spans="98:102" hidden="1" x14ac:dyDescent="0.2"/>
    <row r="40" spans="98:102" hidden="1" x14ac:dyDescent="0.2"/>
    <row r="41" spans="98:102" hidden="1" x14ac:dyDescent="0.2"/>
    <row r="42" spans="98:102" hidden="1" x14ac:dyDescent="0.2"/>
    <row r="43" spans="98:102" hidden="1" x14ac:dyDescent="0.2"/>
    <row r="44" spans="98:102" hidden="1" x14ac:dyDescent="0.2"/>
    <row r="45" spans="98:102" hidden="1" x14ac:dyDescent="0.2"/>
    <row r="46" spans="98:102" hidden="1" x14ac:dyDescent="0.2"/>
    <row r="47" spans="98:102" hidden="1" x14ac:dyDescent="0.2"/>
    <row r="48" spans="98:102" hidden="1" x14ac:dyDescent="0.2"/>
    <row r="49" spans="101:101" hidden="1" x14ac:dyDescent="0.2"/>
    <row r="50" spans="101:101" hidden="1" x14ac:dyDescent="0.2"/>
    <row r="51" spans="101:101" hidden="1" x14ac:dyDescent="0.2"/>
    <row r="52" spans="101:101" hidden="1" x14ac:dyDescent="0.2"/>
    <row r="53" spans="101:101" hidden="1" x14ac:dyDescent="0.2">
      <c r="CW53" t="e">
        <f>SUBTOTAL(103,#REF!)</f>
        <v>#REF!</v>
      </c>
    </row>
    <row r="54" spans="101:101" hidden="1" x14ac:dyDescent="0.2"/>
    <row r="55" spans="101:101" hidden="1" x14ac:dyDescent="0.2"/>
    <row r="56" spans="101:101" hidden="1" x14ac:dyDescent="0.2"/>
    <row r="57" spans="101:101" hidden="1" x14ac:dyDescent="0.2"/>
    <row r="58" spans="101:101" hidden="1" x14ac:dyDescent="0.2"/>
    <row r="59" spans="101:101" hidden="1" x14ac:dyDescent="0.2"/>
    <row r="60" spans="101:101" hidden="1" x14ac:dyDescent="0.2"/>
    <row r="61" spans="101:101" hidden="1" x14ac:dyDescent="0.2"/>
    <row r="62" spans="101:101" hidden="1" x14ac:dyDescent="0.2"/>
    <row r="63" spans="101:101" hidden="1" x14ac:dyDescent="0.2"/>
    <row r="64" spans="101:10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8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81"/>
      <c r="B2" s="81" t="s">
        <v>10</v>
      </c>
      <c r="C2" s="81"/>
      <c r="D2" s="81"/>
      <c r="E2" s="81"/>
      <c r="F2" s="15"/>
      <c r="G2" s="81" t="s">
        <v>33</v>
      </c>
      <c r="H2" s="81"/>
      <c r="I2" s="15"/>
      <c r="J2" s="81" t="s">
        <v>127</v>
      </c>
      <c r="K2" s="81"/>
      <c r="L2" s="15"/>
      <c r="M2" s="81" t="s">
        <v>172</v>
      </c>
      <c r="N2" s="81"/>
      <c r="O2" s="15"/>
      <c r="P2" s="81" t="s">
        <v>186</v>
      </c>
      <c r="Q2" s="81"/>
      <c r="R2" s="81"/>
      <c r="S2" s="81"/>
      <c r="T2" s="81"/>
      <c r="U2" s="81"/>
      <c r="V2" s="81"/>
      <c r="W2" s="81"/>
      <c r="X2" s="81"/>
      <c r="Y2" s="81"/>
      <c r="Z2" s="34"/>
      <c r="AA2" s="81" t="s">
        <v>292</v>
      </c>
      <c r="AB2" s="81"/>
      <c r="AC2" s="15"/>
      <c r="AD2" s="81" t="s">
        <v>323</v>
      </c>
      <c r="AE2" s="81"/>
      <c r="AF2" s="19"/>
      <c r="AG2" s="19" t="s">
        <v>323</v>
      </c>
      <c r="AH2" s="22"/>
      <c r="AI2" s="81" t="s">
        <v>372</v>
      </c>
      <c r="AJ2" s="81"/>
      <c r="AK2" s="22"/>
      <c r="AL2" s="81" t="s">
        <v>409</v>
      </c>
      <c r="AM2" s="81"/>
      <c r="AN2" s="22"/>
      <c r="AO2" s="81" t="s">
        <v>33</v>
      </c>
      <c r="AP2" s="81"/>
      <c r="AQ2" s="22"/>
      <c r="AR2" s="81" t="s">
        <v>412</v>
      </c>
      <c r="AS2" s="81"/>
      <c r="AT2" s="22"/>
      <c r="AU2" s="81" t="s">
        <v>427</v>
      </c>
      <c r="AV2" s="81"/>
      <c r="AW2" s="22"/>
      <c r="AX2" s="81" t="s">
        <v>492</v>
      </c>
      <c r="AY2" s="81"/>
      <c r="AZ2" s="25"/>
      <c r="BA2" s="81" t="s">
        <v>531</v>
      </c>
      <c r="BB2" s="81"/>
      <c r="BC2" s="81"/>
      <c r="BD2" s="81"/>
      <c r="BE2" s="28"/>
      <c r="BF2" s="81" t="s">
        <v>719</v>
      </c>
      <c r="BG2" s="81"/>
      <c r="BH2" s="81"/>
      <c r="BI2" s="37"/>
      <c r="BJ2" s="81" t="s">
        <v>862</v>
      </c>
      <c r="BK2" s="81"/>
      <c r="BL2" s="53"/>
      <c r="BM2" s="53" t="s">
        <v>99</v>
      </c>
      <c r="BN2" s="53"/>
      <c r="BO2" s="81" t="s">
        <v>939</v>
      </c>
      <c r="BP2" s="81"/>
      <c r="BQ2" s="53"/>
      <c r="BR2" s="53" t="s">
        <v>940</v>
      </c>
      <c r="BS2" s="73"/>
      <c r="BT2" s="81" t="s">
        <v>975</v>
      </c>
      <c r="BU2" s="81"/>
      <c r="BV2" s="81"/>
    </row>
    <row r="3" spans="1:75" s="2" customFormat="1" ht="17.100000000000001" customHeight="1" x14ac:dyDescent="0.2">
      <c r="A3" s="8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799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529</v>
      </c>
      <c r="BB3" s="25" t="s">
        <v>530</v>
      </c>
      <c r="BC3" s="2" t="s">
        <v>527</v>
      </c>
      <c r="BD3" s="2" t="s">
        <v>528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860</v>
      </c>
      <c r="BL3" s="53"/>
      <c r="BM3" s="53" t="s">
        <v>860</v>
      </c>
      <c r="BN3" s="53"/>
      <c r="BO3" s="53" t="s">
        <v>860</v>
      </c>
      <c r="BP3" s="53" t="s">
        <v>93</v>
      </c>
      <c r="BQ3" s="53"/>
      <c r="BR3" s="53" t="s">
        <v>941</v>
      </c>
      <c r="BS3" s="73"/>
      <c r="BT3" s="73" t="s">
        <v>0</v>
      </c>
      <c r="BU3" s="73" t="s">
        <v>860</v>
      </c>
      <c r="BV3" s="2" t="s">
        <v>93</v>
      </c>
      <c r="BW3" s="73"/>
    </row>
    <row r="4" spans="1:75" x14ac:dyDescent="0.2">
      <c r="A4" s="55" t="s">
        <v>944</v>
      </c>
      <c r="B4" s="10" t="s">
        <v>4</v>
      </c>
      <c r="C4" s="17" t="s">
        <v>966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373</v>
      </c>
      <c r="AL4" s="17" t="s">
        <v>396</v>
      </c>
      <c r="AM4" s="23" t="s">
        <v>397</v>
      </c>
      <c r="AO4" s="17" t="s">
        <v>34</v>
      </c>
      <c r="AP4" s="23" t="s">
        <v>35</v>
      </c>
      <c r="AR4" s="17" t="s">
        <v>413</v>
      </c>
      <c r="AS4" s="23" t="s">
        <v>414</v>
      </c>
      <c r="AU4" s="17" t="s">
        <v>428</v>
      </c>
      <c r="AV4" s="23" t="s">
        <v>457</v>
      </c>
      <c r="AX4" s="17" t="s">
        <v>495</v>
      </c>
      <c r="AY4" s="23" t="s">
        <v>496</v>
      </c>
      <c r="BA4" s="17" t="s">
        <v>532</v>
      </c>
      <c r="BB4" s="17" t="s">
        <v>14</v>
      </c>
      <c r="BC4" s="23" t="s">
        <v>533</v>
      </c>
      <c r="BD4" s="23" t="s">
        <v>533</v>
      </c>
      <c r="BF4" s="17" t="s">
        <v>689</v>
      </c>
      <c r="BG4" s="17" t="s">
        <v>690</v>
      </c>
      <c r="BH4" s="17" t="s">
        <v>4</v>
      </c>
      <c r="BJ4" s="17" t="s">
        <v>4</v>
      </c>
      <c r="BK4" s="17" t="s">
        <v>859</v>
      </c>
      <c r="BM4" s="17" t="s">
        <v>874</v>
      </c>
      <c r="BO4" s="17" t="s">
        <v>879</v>
      </c>
      <c r="BP4" s="17" t="s">
        <v>880</v>
      </c>
      <c r="BR4" s="17" t="s">
        <v>299</v>
      </c>
      <c r="BT4" s="17" t="s">
        <v>4</v>
      </c>
      <c r="BU4" s="17" t="s">
        <v>976</v>
      </c>
      <c r="BV4" s="17" t="s">
        <v>978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954</v>
      </c>
      <c r="AD5" s="10" t="s">
        <v>324</v>
      </c>
      <c r="AE5" s="20" t="s">
        <v>800</v>
      </c>
      <c r="AG5" s="20" t="s">
        <v>325</v>
      </c>
      <c r="AI5" s="10">
        <v>2</v>
      </c>
      <c r="AJ5" s="20" t="s">
        <v>374</v>
      </c>
      <c r="AL5" s="17" t="s">
        <v>398</v>
      </c>
      <c r="AM5" s="23" t="s">
        <v>399</v>
      </c>
      <c r="AO5" s="17" t="s">
        <v>36</v>
      </c>
      <c r="AP5" s="23" t="s">
        <v>37</v>
      </c>
      <c r="AR5" s="17" t="s">
        <v>415</v>
      </c>
      <c r="AS5" s="23" t="s">
        <v>416</v>
      </c>
      <c r="AU5" s="17" t="s">
        <v>429</v>
      </c>
      <c r="AV5" s="23" t="s">
        <v>458</v>
      </c>
      <c r="AX5" s="17" t="s">
        <v>497</v>
      </c>
      <c r="AY5" s="23" t="s">
        <v>498</v>
      </c>
      <c r="BA5" s="17" t="s">
        <v>534</v>
      </c>
      <c r="BB5" s="17" t="s">
        <v>564</v>
      </c>
      <c r="BC5" s="23" t="s">
        <v>535</v>
      </c>
      <c r="BD5" s="23" t="s">
        <v>536</v>
      </c>
      <c r="BF5" s="17" t="s">
        <v>691</v>
      </c>
      <c r="BG5" s="17" t="s">
        <v>692</v>
      </c>
      <c r="BH5" s="17" t="s">
        <v>4</v>
      </c>
      <c r="BJ5" s="17" t="s">
        <v>9</v>
      </c>
      <c r="BK5" s="17" t="s">
        <v>861</v>
      </c>
      <c r="BM5" s="17" t="s">
        <v>849</v>
      </c>
      <c r="BO5" s="17" t="s">
        <v>881</v>
      </c>
      <c r="BP5" s="17" t="s">
        <v>882</v>
      </c>
      <c r="BR5" s="17" t="s">
        <v>870</v>
      </c>
      <c r="BT5" s="17" t="s">
        <v>9</v>
      </c>
      <c r="BU5" s="17" t="s">
        <v>977</v>
      </c>
      <c r="BV5" s="17" t="s">
        <v>979</v>
      </c>
    </row>
    <row r="6" spans="1:75" x14ac:dyDescent="0.2">
      <c r="A6" s="53" t="s">
        <v>942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800</v>
      </c>
      <c r="AG6" s="20"/>
      <c r="AI6" s="10" t="s">
        <v>375</v>
      </c>
      <c r="AJ6" s="20" t="s">
        <v>376</v>
      </c>
      <c r="AL6" s="17" t="s">
        <v>400</v>
      </c>
      <c r="AM6" s="23" t="s">
        <v>401</v>
      </c>
      <c r="AO6" s="17" t="s">
        <v>38</v>
      </c>
      <c r="AP6" s="23" t="s">
        <v>39</v>
      </c>
      <c r="AR6" s="17" t="s">
        <v>8</v>
      </c>
      <c r="AS6" s="23" t="s">
        <v>417</v>
      </c>
      <c r="AU6" s="17" t="s">
        <v>430</v>
      </c>
      <c r="AV6" s="23" t="s">
        <v>459</v>
      </c>
      <c r="AX6" s="17" t="s">
        <v>278</v>
      </c>
      <c r="AY6" s="23" t="s">
        <v>501</v>
      </c>
      <c r="BA6" s="17" t="s">
        <v>537</v>
      </c>
      <c r="BB6" s="17" t="s">
        <v>565</v>
      </c>
      <c r="BC6" s="23"/>
      <c r="BD6" s="23"/>
      <c r="BF6" s="17" t="s">
        <v>693</v>
      </c>
      <c r="BG6" s="17" t="s">
        <v>694</v>
      </c>
      <c r="BH6" s="17" t="s">
        <v>4</v>
      </c>
      <c r="BJ6" s="17" t="s">
        <v>4</v>
      </c>
      <c r="BK6" s="17" t="s">
        <v>865</v>
      </c>
      <c r="BM6" s="17" t="s">
        <v>875</v>
      </c>
      <c r="BO6" s="17" t="s">
        <v>883</v>
      </c>
      <c r="BP6" s="17" t="s">
        <v>884</v>
      </c>
      <c r="BR6" s="17" t="s">
        <v>100</v>
      </c>
      <c r="BT6" s="17"/>
      <c r="BU6" s="17"/>
      <c r="BV6" s="17"/>
    </row>
    <row r="7" spans="1:75" x14ac:dyDescent="0.2">
      <c r="A7" s="54" t="s">
        <v>1020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801</v>
      </c>
      <c r="AE7" s="20" t="s">
        <v>802</v>
      </c>
      <c r="AG7" s="20"/>
      <c r="AI7" s="10" t="s">
        <v>377</v>
      </c>
      <c r="AJ7" s="20"/>
      <c r="AL7" s="17" t="s">
        <v>402</v>
      </c>
      <c r="AM7" s="23"/>
      <c r="AO7" s="17" t="s">
        <v>40</v>
      </c>
      <c r="AP7" s="23" t="s">
        <v>41</v>
      </c>
      <c r="AR7" s="17" t="s">
        <v>27</v>
      </c>
      <c r="AS7" s="23" t="s">
        <v>943</v>
      </c>
      <c r="AU7" s="17" t="s">
        <v>431</v>
      </c>
      <c r="AV7" s="23" t="s">
        <v>460</v>
      </c>
      <c r="AX7" s="17" t="s">
        <v>90</v>
      </c>
      <c r="AY7" s="23" t="s">
        <v>502</v>
      </c>
      <c r="BA7" s="17" t="s">
        <v>538</v>
      </c>
      <c r="BB7" s="17" t="s">
        <v>566</v>
      </c>
      <c r="BC7" s="23"/>
      <c r="BD7" s="23"/>
      <c r="BF7" s="17" t="s">
        <v>695</v>
      </c>
      <c r="BG7" s="17" t="s">
        <v>696</v>
      </c>
      <c r="BH7" s="17" t="s">
        <v>4</v>
      </c>
      <c r="BJ7" s="17" t="s">
        <v>9</v>
      </c>
      <c r="BK7" s="17" t="s">
        <v>866</v>
      </c>
      <c r="BM7" s="17" t="s">
        <v>876</v>
      </c>
      <c r="BO7" s="17" t="s">
        <v>885</v>
      </c>
      <c r="BP7" s="17" t="s">
        <v>886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803</v>
      </c>
      <c r="AE8" s="20" t="s">
        <v>800</v>
      </c>
      <c r="AG8" s="20"/>
      <c r="AI8" s="10" t="s">
        <v>378</v>
      </c>
      <c r="AJ8" s="20" t="s">
        <v>379</v>
      </c>
      <c r="AL8" s="17" t="s">
        <v>403</v>
      </c>
      <c r="AM8" s="23" t="s">
        <v>404</v>
      </c>
      <c r="AO8" s="17" t="s">
        <v>42</v>
      </c>
      <c r="AP8" s="23" t="s">
        <v>43</v>
      </c>
      <c r="AR8" s="17" t="s">
        <v>419</v>
      </c>
      <c r="AS8" s="23" t="s">
        <v>418</v>
      </c>
      <c r="AU8" s="17" t="s">
        <v>432</v>
      </c>
      <c r="AV8" s="23" t="s">
        <v>461</v>
      </c>
      <c r="AX8" s="17"/>
      <c r="AY8" s="23" t="s">
        <v>503</v>
      </c>
      <c r="BA8" s="17" t="s">
        <v>539</v>
      </c>
      <c r="BB8" s="17" t="s">
        <v>567</v>
      </c>
      <c r="BC8" s="23"/>
      <c r="BD8" s="23"/>
      <c r="BF8" s="17" t="s">
        <v>697</v>
      </c>
      <c r="BG8" s="17" t="s">
        <v>698</v>
      </c>
      <c r="BH8" s="17" t="s">
        <v>4</v>
      </c>
      <c r="BJ8" s="17" t="s">
        <v>4</v>
      </c>
      <c r="BK8" s="17" t="s">
        <v>972</v>
      </c>
      <c r="BM8" s="17" t="s">
        <v>877</v>
      </c>
      <c r="BO8" s="17" t="s">
        <v>887</v>
      </c>
      <c r="BP8" s="17" t="s">
        <v>888</v>
      </c>
      <c r="BR8" s="17"/>
      <c r="BT8"/>
      <c r="BU8"/>
      <c r="BV8"/>
    </row>
    <row r="9" spans="1:75" x14ac:dyDescent="0.2">
      <c r="A9" s="59" t="s">
        <v>955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804</v>
      </c>
      <c r="AE9" s="20" t="s">
        <v>800</v>
      </c>
      <c r="AI9" s="10" t="s">
        <v>380</v>
      </c>
      <c r="AJ9" s="20" t="s">
        <v>381</v>
      </c>
      <c r="AL9" s="17" t="s">
        <v>405</v>
      </c>
      <c r="AM9" s="23" t="s">
        <v>406</v>
      </c>
      <c r="AO9" s="17" t="s">
        <v>44</v>
      </c>
      <c r="AP9" s="23" t="s">
        <v>45</v>
      </c>
      <c r="AR9" s="17" t="s">
        <v>420</v>
      </c>
      <c r="AS9" s="23" t="s">
        <v>421</v>
      </c>
      <c r="AU9" s="17" t="s">
        <v>433</v>
      </c>
      <c r="AV9" s="23" t="s">
        <v>462</v>
      </c>
      <c r="BA9" s="17" t="s">
        <v>540</v>
      </c>
      <c r="BB9" s="17" t="s">
        <v>568</v>
      </c>
      <c r="BC9" s="23"/>
      <c r="BD9" s="23"/>
      <c r="BF9" s="17" t="s">
        <v>699</v>
      </c>
      <c r="BG9" s="17" t="s">
        <v>700</v>
      </c>
      <c r="BH9" s="17" t="s">
        <v>4</v>
      </c>
      <c r="BJ9" s="17" t="s">
        <v>9</v>
      </c>
      <c r="BK9" s="17" t="s">
        <v>973</v>
      </c>
      <c r="BM9" s="17" t="s">
        <v>878</v>
      </c>
      <c r="BO9" s="17" t="s">
        <v>889</v>
      </c>
      <c r="BP9" s="17" t="s">
        <v>890</v>
      </c>
      <c r="BR9" s="17"/>
      <c r="BT9"/>
      <c r="BU9"/>
      <c r="BV9"/>
    </row>
    <row r="10" spans="1:75" x14ac:dyDescent="0.2">
      <c r="A10" s="55" t="s">
        <v>959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805</v>
      </c>
      <c r="AE10" s="20" t="s">
        <v>800</v>
      </c>
      <c r="AI10" s="10" t="s">
        <v>371</v>
      </c>
      <c r="AJ10" s="20" t="s">
        <v>381</v>
      </c>
      <c r="AL10" s="17" t="s">
        <v>407</v>
      </c>
      <c r="AM10" s="23" t="s">
        <v>408</v>
      </c>
      <c r="AO10" s="17" t="s">
        <v>46</v>
      </c>
      <c r="AP10" s="23" t="s">
        <v>47</v>
      </c>
      <c r="AR10" s="17" t="s">
        <v>422</v>
      </c>
      <c r="AS10" s="23" t="s">
        <v>423</v>
      </c>
      <c r="AU10" s="17" t="s">
        <v>38</v>
      </c>
      <c r="AV10" s="23" t="s">
        <v>463</v>
      </c>
      <c r="BA10" s="17" t="s">
        <v>541</v>
      </c>
      <c r="BB10" s="17" t="s">
        <v>569</v>
      </c>
      <c r="BC10" s="23"/>
      <c r="BD10" s="23"/>
      <c r="BF10" s="17" t="s">
        <v>701</v>
      </c>
      <c r="BG10" s="17" t="s">
        <v>702</v>
      </c>
      <c r="BH10" s="17" t="s">
        <v>4</v>
      </c>
      <c r="BJ10"/>
      <c r="BK10"/>
      <c r="BM10"/>
      <c r="BO10" s="17" t="s">
        <v>891</v>
      </c>
      <c r="BP10" s="17" t="s">
        <v>892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382</v>
      </c>
      <c r="AJ11" s="20" t="s">
        <v>381</v>
      </c>
      <c r="AO11" s="17" t="s">
        <v>48</v>
      </c>
      <c r="AP11" s="23" t="s">
        <v>49</v>
      </c>
      <c r="AR11" s="17" t="s">
        <v>424</v>
      </c>
      <c r="AS11" s="23" t="s">
        <v>425</v>
      </c>
      <c r="AU11" s="17" t="s">
        <v>40</v>
      </c>
      <c r="AV11" s="23" t="s">
        <v>464</v>
      </c>
      <c r="BA11" s="17" t="s">
        <v>542</v>
      </c>
      <c r="BB11" s="17" t="s">
        <v>570</v>
      </c>
      <c r="BC11" s="23"/>
      <c r="BD11" s="23"/>
      <c r="BF11" s="17" t="s">
        <v>703</v>
      </c>
      <c r="BG11" s="17" t="s">
        <v>704</v>
      </c>
      <c r="BH11" s="17" t="s">
        <v>4</v>
      </c>
      <c r="BJ11"/>
      <c r="BK11"/>
      <c r="BM11"/>
      <c r="BO11" s="17" t="s">
        <v>893</v>
      </c>
      <c r="BP11" s="17" t="s">
        <v>894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465</v>
      </c>
      <c r="BA12" s="17" t="s">
        <v>543</v>
      </c>
      <c r="BB12" s="17" t="s">
        <v>571</v>
      </c>
      <c r="BC12" s="23"/>
      <c r="BD12" s="23"/>
      <c r="BF12" s="17" t="s">
        <v>705</v>
      </c>
      <c r="BG12" s="17" t="s">
        <v>706</v>
      </c>
      <c r="BH12" s="17" t="s">
        <v>4</v>
      </c>
      <c r="BJ12"/>
      <c r="BK12"/>
      <c r="BM12"/>
      <c r="BO12" s="17" t="s">
        <v>895</v>
      </c>
      <c r="BP12" s="17" t="s">
        <v>896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434</v>
      </c>
      <c r="AV13" s="23" t="s">
        <v>466</v>
      </c>
      <c r="BA13" s="17" t="s">
        <v>544</v>
      </c>
      <c r="BB13" s="17" t="s">
        <v>572</v>
      </c>
      <c r="BC13" s="23"/>
      <c r="BD13" s="23"/>
      <c r="BF13" s="17" t="s">
        <v>707</v>
      </c>
      <c r="BG13" s="17" t="s">
        <v>708</v>
      </c>
      <c r="BH13" s="17" t="s">
        <v>4</v>
      </c>
      <c r="BJ13"/>
      <c r="BK13"/>
      <c r="BM13"/>
      <c r="BO13" s="17" t="s">
        <v>897</v>
      </c>
      <c r="BP13" s="17" t="s">
        <v>898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435</v>
      </c>
      <c r="AV14" s="23" t="s">
        <v>467</v>
      </c>
      <c r="BA14" s="17" t="s">
        <v>545</v>
      </c>
      <c r="BB14" s="17" t="s">
        <v>573</v>
      </c>
      <c r="BC14" s="23"/>
      <c r="BD14" s="23"/>
      <c r="BF14" s="17" t="s">
        <v>709</v>
      </c>
      <c r="BG14" s="17" t="s">
        <v>710</v>
      </c>
      <c r="BH14" s="17" t="s">
        <v>4</v>
      </c>
      <c r="BJ14"/>
      <c r="BK14"/>
      <c r="BM14"/>
      <c r="BO14" s="17" t="s">
        <v>899</v>
      </c>
      <c r="BP14" s="17" t="s">
        <v>900</v>
      </c>
      <c r="BR14"/>
      <c r="BT14"/>
      <c r="BU14"/>
      <c r="BV14"/>
    </row>
    <row r="15" spans="1:75" x14ac:dyDescent="0.2">
      <c r="A15" s="35" t="s">
        <v>681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436</v>
      </c>
      <c r="AV15" s="23" t="s">
        <v>468</v>
      </c>
      <c r="BA15" s="17" t="s">
        <v>546</v>
      </c>
      <c r="BB15" s="17" t="s">
        <v>574</v>
      </c>
      <c r="BC15" s="23"/>
      <c r="BD15" s="23"/>
      <c r="BF15" s="17" t="s">
        <v>711</v>
      </c>
      <c r="BG15" s="17" t="s">
        <v>712</v>
      </c>
      <c r="BH15" s="17" t="s">
        <v>4</v>
      </c>
      <c r="BJ15"/>
      <c r="BK15"/>
      <c r="BM15"/>
      <c r="BO15" s="17" t="s">
        <v>871</v>
      </c>
      <c r="BP15" s="17" t="s">
        <v>901</v>
      </c>
      <c r="BR15"/>
      <c r="BT15"/>
      <c r="BU15"/>
      <c r="BV15"/>
    </row>
    <row r="16" spans="1:75" x14ac:dyDescent="0.2">
      <c r="A16" s="28" t="s">
        <v>683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437</v>
      </c>
      <c r="AV16" s="23" t="s">
        <v>469</v>
      </c>
      <c r="BA16" s="17" t="s">
        <v>547</v>
      </c>
      <c r="BB16" s="17" t="s">
        <v>15</v>
      </c>
      <c r="BC16" s="23"/>
      <c r="BD16" s="23"/>
      <c r="BF16" s="17" t="s">
        <v>713</v>
      </c>
      <c r="BG16" s="17" t="s">
        <v>714</v>
      </c>
      <c r="BH16" s="17" t="s">
        <v>4</v>
      </c>
      <c r="BJ16"/>
      <c r="BK16"/>
      <c r="BM16"/>
      <c r="BO16" s="17" t="s">
        <v>902</v>
      </c>
      <c r="BP16" s="17" t="s">
        <v>903</v>
      </c>
      <c r="BR16"/>
      <c r="BT16"/>
      <c r="BU16"/>
      <c r="BV16"/>
    </row>
    <row r="17" spans="1:74" x14ac:dyDescent="0.2">
      <c r="A17" s="26" t="s">
        <v>682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438</v>
      </c>
      <c r="AV17" s="23" t="s">
        <v>470</v>
      </c>
      <c r="BA17" s="17" t="s">
        <v>548</v>
      </c>
      <c r="BB17" s="17" t="s">
        <v>575</v>
      </c>
      <c r="BC17" s="23"/>
      <c r="BD17" s="23"/>
      <c r="BF17" s="17" t="s">
        <v>715</v>
      </c>
      <c r="BG17" s="17" t="s">
        <v>716</v>
      </c>
      <c r="BH17" s="17" t="s">
        <v>4</v>
      </c>
      <c r="BJ17"/>
      <c r="BK17"/>
      <c r="BM17"/>
      <c r="BO17" s="17" t="s">
        <v>904</v>
      </c>
      <c r="BP17" s="17" t="s">
        <v>905</v>
      </c>
      <c r="BR17"/>
      <c r="BT17"/>
      <c r="BU17"/>
      <c r="BV17"/>
    </row>
    <row r="18" spans="1:74" x14ac:dyDescent="0.2">
      <c r="A18" s="56" t="s">
        <v>688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439</v>
      </c>
      <c r="AV18" s="23" t="s">
        <v>471</v>
      </c>
      <c r="BA18" s="17" t="s">
        <v>549</v>
      </c>
      <c r="BB18" s="17" t="s">
        <v>576</v>
      </c>
      <c r="BC18" s="23"/>
      <c r="BD18" s="23"/>
      <c r="BF18" s="17" t="s">
        <v>717</v>
      </c>
      <c r="BG18" s="17" t="s">
        <v>718</v>
      </c>
      <c r="BH18" s="17" t="s">
        <v>4</v>
      </c>
      <c r="BJ18"/>
      <c r="BK18"/>
      <c r="BM18"/>
      <c r="BO18" s="17" t="s">
        <v>906</v>
      </c>
      <c r="BP18" s="17" t="s">
        <v>907</v>
      </c>
      <c r="BR18"/>
      <c r="BT18"/>
      <c r="BU18"/>
      <c r="BV18"/>
    </row>
    <row r="19" spans="1:74" x14ac:dyDescent="0.2">
      <c r="A19" s="32" t="s">
        <v>687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440</v>
      </c>
      <c r="AV19" s="23" t="s">
        <v>472</v>
      </c>
      <c r="BA19" s="17" t="s">
        <v>550</v>
      </c>
      <c r="BB19" s="17" t="s">
        <v>577</v>
      </c>
      <c r="BC19" s="23"/>
      <c r="BD19" s="23"/>
      <c r="BF19" s="17" t="s">
        <v>720</v>
      </c>
      <c r="BG19" s="17" t="s">
        <v>721</v>
      </c>
      <c r="BH19" s="17" t="s">
        <v>9</v>
      </c>
      <c r="BJ19"/>
      <c r="BK19"/>
      <c r="BM19"/>
      <c r="BO19" s="17" t="s">
        <v>908</v>
      </c>
      <c r="BP19" s="17" t="s">
        <v>909</v>
      </c>
      <c r="BR19"/>
      <c r="BT19"/>
      <c r="BU19"/>
      <c r="BV19"/>
    </row>
    <row r="20" spans="1:74" x14ac:dyDescent="0.2">
      <c r="A20" s="30" t="s">
        <v>686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441</v>
      </c>
      <c r="AV20" s="23" t="s">
        <v>473</v>
      </c>
      <c r="BA20" s="17" t="s">
        <v>551</v>
      </c>
      <c r="BB20" s="17" t="s">
        <v>578</v>
      </c>
      <c r="BC20" s="23"/>
      <c r="BD20" s="23"/>
      <c r="BF20" s="17" t="s">
        <v>722</v>
      </c>
      <c r="BG20" s="17" t="s">
        <v>723</v>
      </c>
      <c r="BH20" s="17" t="s">
        <v>9</v>
      </c>
      <c r="BJ20"/>
      <c r="BK20"/>
      <c r="BM20"/>
      <c r="BO20" s="17" t="s">
        <v>910</v>
      </c>
      <c r="BP20" s="17" t="s">
        <v>911</v>
      </c>
      <c r="BR20"/>
      <c r="BT20"/>
      <c r="BU20"/>
      <c r="BV20"/>
    </row>
    <row r="21" spans="1:74" x14ac:dyDescent="0.2">
      <c r="A21" s="31" t="s">
        <v>684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442</v>
      </c>
      <c r="AV21" s="23" t="s">
        <v>474</v>
      </c>
      <c r="BA21" s="17" t="s">
        <v>552</v>
      </c>
      <c r="BB21" s="17" t="s">
        <v>579</v>
      </c>
      <c r="BC21" s="23"/>
      <c r="BD21" s="23"/>
      <c r="BF21" s="17" t="s">
        <v>724</v>
      </c>
      <c r="BG21" s="17" t="s">
        <v>725</v>
      </c>
      <c r="BH21" s="17" t="s">
        <v>9</v>
      </c>
      <c r="BJ21"/>
      <c r="BK21"/>
      <c r="BM21"/>
      <c r="BO21" s="17" t="s">
        <v>912</v>
      </c>
      <c r="BP21" s="17" t="s">
        <v>913</v>
      </c>
      <c r="BR21"/>
      <c r="BT21"/>
      <c r="BU21"/>
      <c r="BV21"/>
    </row>
    <row r="22" spans="1:74" x14ac:dyDescent="0.2">
      <c r="A22" s="6" t="s">
        <v>685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443</v>
      </c>
      <c r="AV22" s="23" t="s">
        <v>475</v>
      </c>
      <c r="BA22" s="17" t="s">
        <v>553</v>
      </c>
      <c r="BB22" s="17" t="s">
        <v>580</v>
      </c>
      <c r="BC22" s="23"/>
      <c r="BD22" s="23"/>
      <c r="BF22" s="17" t="s">
        <v>726</v>
      </c>
      <c r="BG22" s="17" t="s">
        <v>727</v>
      </c>
      <c r="BH22" s="17" t="s">
        <v>9</v>
      </c>
      <c r="BJ22"/>
      <c r="BK22"/>
      <c r="BM22"/>
      <c r="BO22" s="17" t="s">
        <v>914</v>
      </c>
      <c r="BP22" s="17" t="s">
        <v>915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444</v>
      </c>
      <c r="AV23" s="23" t="s">
        <v>476</v>
      </c>
      <c r="BA23" s="17" t="s">
        <v>554</v>
      </c>
      <c r="BB23" s="17" t="s">
        <v>581</v>
      </c>
      <c r="BC23" s="23"/>
      <c r="BD23" s="23"/>
      <c r="BF23" s="17" t="s">
        <v>728</v>
      </c>
      <c r="BG23" s="17" t="s">
        <v>729</v>
      </c>
      <c r="BH23" s="17" t="s">
        <v>9</v>
      </c>
      <c r="BJ23"/>
      <c r="BK23"/>
      <c r="BM23"/>
      <c r="BO23" s="17" t="s">
        <v>916</v>
      </c>
      <c r="BP23" s="17" t="s">
        <v>917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445</v>
      </c>
      <c r="AV24" s="23" t="s">
        <v>477</v>
      </c>
      <c r="BA24" s="17" t="s">
        <v>555</v>
      </c>
      <c r="BB24" s="17" t="s">
        <v>582</v>
      </c>
      <c r="BC24" s="23"/>
      <c r="BD24" s="23"/>
      <c r="BF24" s="17" t="s">
        <v>730</v>
      </c>
      <c r="BG24" s="17" t="s">
        <v>731</v>
      </c>
      <c r="BH24" s="17" t="s">
        <v>9</v>
      </c>
      <c r="BJ24"/>
      <c r="BK24"/>
      <c r="BM24"/>
      <c r="BO24" s="17" t="s">
        <v>918</v>
      </c>
      <c r="BP24" s="17" t="s">
        <v>919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446</v>
      </c>
      <c r="AV25" s="23" t="s">
        <v>478</v>
      </c>
      <c r="BA25" s="17" t="s">
        <v>556</v>
      </c>
      <c r="BB25" s="17" t="s">
        <v>583</v>
      </c>
      <c r="BC25" s="23"/>
      <c r="BD25" s="23"/>
      <c r="BF25" s="17" t="s">
        <v>732</v>
      </c>
      <c r="BG25" s="17" t="s">
        <v>733</v>
      </c>
      <c r="BH25" s="17" t="s">
        <v>9</v>
      </c>
      <c r="BJ25"/>
      <c r="BK25"/>
      <c r="BM25"/>
      <c r="BO25" s="17" t="s">
        <v>920</v>
      </c>
      <c r="BP25" s="17" t="s">
        <v>921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447</v>
      </c>
      <c r="AV26" s="23" t="s">
        <v>479</v>
      </c>
      <c r="BA26" s="17" t="s">
        <v>557</v>
      </c>
      <c r="BB26" s="17" t="s">
        <v>16</v>
      </c>
      <c r="BC26" s="23"/>
      <c r="BD26" s="23"/>
      <c r="BF26" s="17" t="s">
        <v>734</v>
      </c>
      <c r="BG26" s="17" t="s">
        <v>735</v>
      </c>
      <c r="BH26" s="17" t="s">
        <v>9</v>
      </c>
      <c r="BJ26"/>
      <c r="BK26"/>
      <c r="BM26"/>
      <c r="BO26" s="17" t="s">
        <v>869</v>
      </c>
      <c r="BP26" s="17" t="s">
        <v>922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448</v>
      </c>
      <c r="AV27" s="23" t="s">
        <v>480</v>
      </c>
      <c r="BA27" s="17" t="s">
        <v>558</v>
      </c>
      <c r="BB27" s="17" t="s">
        <v>584</v>
      </c>
      <c r="BC27" s="23"/>
      <c r="BD27" s="23"/>
      <c r="BF27" s="17" t="s">
        <v>736</v>
      </c>
      <c r="BG27" s="17" t="s">
        <v>737</v>
      </c>
      <c r="BH27" s="17" t="s">
        <v>9</v>
      </c>
      <c r="BJ27"/>
      <c r="BK27"/>
      <c r="BM27"/>
      <c r="BO27" s="17" t="s">
        <v>923</v>
      </c>
      <c r="BP27" s="17" t="s">
        <v>924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449</v>
      </c>
      <c r="AV28" s="23" t="s">
        <v>481</v>
      </c>
      <c r="BA28" s="17" t="s">
        <v>559</v>
      </c>
      <c r="BB28" s="17" t="s">
        <v>585</v>
      </c>
      <c r="BC28" s="23"/>
      <c r="BD28" s="23"/>
      <c r="BF28" s="17" t="s">
        <v>738</v>
      </c>
      <c r="BG28" s="17" t="s">
        <v>739</v>
      </c>
      <c r="BH28" s="17" t="s">
        <v>9</v>
      </c>
      <c r="BJ28"/>
      <c r="BK28"/>
      <c r="BM28"/>
      <c r="BO28" s="17" t="s">
        <v>925</v>
      </c>
      <c r="BP28" s="17" t="s">
        <v>926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450</v>
      </c>
      <c r="AV29" s="23" t="s">
        <v>482</v>
      </c>
      <c r="BA29" s="17" t="s">
        <v>560</v>
      </c>
      <c r="BB29" s="17" t="s">
        <v>586</v>
      </c>
      <c r="BC29" s="23"/>
      <c r="BD29" s="23"/>
      <c r="BF29" s="17" t="s">
        <v>740</v>
      </c>
      <c r="BG29" s="17" t="s">
        <v>741</v>
      </c>
      <c r="BH29" s="17" t="s">
        <v>9</v>
      </c>
      <c r="BJ29"/>
      <c r="BK29"/>
      <c r="BM29"/>
      <c r="BO29" s="17" t="s">
        <v>927</v>
      </c>
      <c r="BP29" s="17" t="s">
        <v>928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451</v>
      </c>
      <c r="AV30" s="23" t="s">
        <v>483</v>
      </c>
      <c r="BA30" s="17" t="s">
        <v>561</v>
      </c>
      <c r="BB30" s="17" t="s">
        <v>587</v>
      </c>
      <c r="BC30" s="23"/>
      <c r="BD30" s="23"/>
      <c r="BF30" s="17" t="s">
        <v>742</v>
      </c>
      <c r="BG30" s="17" t="s">
        <v>743</v>
      </c>
      <c r="BH30" s="17" t="s">
        <v>9</v>
      </c>
      <c r="BJ30"/>
      <c r="BK30"/>
      <c r="BM30"/>
      <c r="BO30" s="17" t="s">
        <v>929</v>
      </c>
      <c r="BP30" s="17" t="s">
        <v>930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452</v>
      </c>
      <c r="AV31" s="23" t="s">
        <v>484</v>
      </c>
      <c r="BA31" s="17" t="s">
        <v>562</v>
      </c>
      <c r="BB31" s="17" t="s">
        <v>17</v>
      </c>
      <c r="BC31" s="23"/>
      <c r="BD31" s="23"/>
      <c r="BF31" s="17" t="s">
        <v>744</v>
      </c>
      <c r="BG31" s="17" t="s">
        <v>745</v>
      </c>
      <c r="BH31" s="17" t="s">
        <v>9</v>
      </c>
      <c r="BJ31"/>
      <c r="BK31"/>
      <c r="BM31"/>
      <c r="BO31" s="17" t="s">
        <v>931</v>
      </c>
      <c r="BP31" s="17" t="s">
        <v>932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453</v>
      </c>
      <c r="AV32" s="23" t="s">
        <v>485</v>
      </c>
      <c r="BA32" s="17" t="s">
        <v>563</v>
      </c>
      <c r="BB32" s="17" t="s">
        <v>588</v>
      </c>
      <c r="BC32" s="23"/>
      <c r="BD32" s="23"/>
      <c r="BF32" s="17" t="s">
        <v>746</v>
      </c>
      <c r="BG32" s="17" t="s">
        <v>747</v>
      </c>
      <c r="BH32" s="17" t="s">
        <v>9</v>
      </c>
      <c r="BJ32"/>
      <c r="BK32"/>
      <c r="BM32"/>
      <c r="BO32" s="17" t="s">
        <v>933</v>
      </c>
      <c r="BP32" s="17" t="s">
        <v>934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454</v>
      </c>
      <c r="AV33" s="23" t="s">
        <v>486</v>
      </c>
      <c r="BA33" s="17"/>
      <c r="BB33" s="17" t="s">
        <v>589</v>
      </c>
      <c r="BC33" s="23"/>
      <c r="BD33" s="23"/>
      <c r="BF33" s="17" t="s">
        <v>748</v>
      </c>
      <c r="BG33" s="17" t="s">
        <v>749</v>
      </c>
      <c r="BH33" s="17" t="s">
        <v>9</v>
      </c>
      <c r="BJ33"/>
      <c r="BK33"/>
      <c r="BM33"/>
      <c r="BO33" s="17" t="s">
        <v>935</v>
      </c>
      <c r="BP33" s="17" t="s">
        <v>936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455</v>
      </c>
      <c r="AV34" s="23" t="s">
        <v>487</v>
      </c>
      <c r="BA34" s="17"/>
      <c r="BB34" s="17" t="s">
        <v>590</v>
      </c>
      <c r="BC34" s="23"/>
      <c r="BD34" s="23"/>
      <c r="BF34" s="17" t="s">
        <v>750</v>
      </c>
      <c r="BG34" s="17" t="s">
        <v>751</v>
      </c>
      <c r="BH34" s="17" t="s">
        <v>9</v>
      </c>
      <c r="BJ34"/>
      <c r="BK34"/>
      <c r="BM34"/>
      <c r="BO34" s="17" t="s">
        <v>937</v>
      </c>
      <c r="BP34" s="17" t="s">
        <v>938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456</v>
      </c>
      <c r="AV35" s="23" t="s">
        <v>488</v>
      </c>
      <c r="BA35" s="17"/>
      <c r="BB35" s="17" t="s">
        <v>591</v>
      </c>
      <c r="BC35" s="23"/>
      <c r="BD35" s="23"/>
      <c r="BF35" s="17" t="s">
        <v>752</v>
      </c>
      <c r="BG35" s="17" t="s">
        <v>753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592</v>
      </c>
      <c r="BC36" s="23"/>
      <c r="BD36" s="23"/>
      <c r="BF36" s="17" t="s">
        <v>754</v>
      </c>
      <c r="BG36" s="17" t="s">
        <v>755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593</v>
      </c>
      <c r="BC37" s="23"/>
      <c r="BD37" s="23"/>
      <c r="BF37" s="17" t="s">
        <v>756</v>
      </c>
      <c r="BG37" s="17" t="s">
        <v>757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594</v>
      </c>
      <c r="BC38" s="23"/>
      <c r="BD38" s="23"/>
      <c r="BF38" s="17" t="s">
        <v>758</v>
      </c>
      <c r="BG38" s="17" t="s">
        <v>759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595</v>
      </c>
      <c r="BC39" s="23"/>
      <c r="BD39" s="23"/>
      <c r="BF39" s="17" t="s">
        <v>717</v>
      </c>
      <c r="BG39" s="17" t="s">
        <v>718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596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597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598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599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600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601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602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603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604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605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606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607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608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609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610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611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612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613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614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615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616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617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618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619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620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621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622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623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624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625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626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627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628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629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630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631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632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633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634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635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636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637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638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9D2A24-A715-4BD8-92EC-184FE6EB87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2022-04-28T11:42:53Z</dcterms:modified>
</cp:coreProperties>
</file>